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essories" sheetId="2" state="visible" r:id="rId2"/>
    <sheet xmlns:r="http://schemas.openxmlformats.org/officeDocument/2006/relationships" name="Men" sheetId="3" state="visible" r:id="rId3"/>
    <sheet xmlns:r="http://schemas.openxmlformats.org/officeDocument/2006/relationships" name="Women" sheetId="4" state="visible" r:id="rId4"/>
    <sheet xmlns:r="http://schemas.openxmlformats.org/officeDocument/2006/relationships" name="Suppl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1F4E78"/>
        <bgColor rgb="001F4E78"/>
      </patternFill>
    </fill>
    <fill>
      <patternFill patternType="solid">
        <fgColor rgb="00E8F4F8"/>
        <bgColor rgb="00E8F4F8"/>
      </patternFill>
    </fill>
    <fill>
      <patternFill patternType="solid">
        <fgColor rgb="00FFFFFF"/>
        <bgColor rgb="00FFFFFF"/>
      </patternFill>
    </fill>
  </fills>
  <borders count="5">
    <border>
      <left/>
      <right/>
      <top/>
      <bottom/>
      <diagonal/>
    </border>
    <border>
      <left style="medium">
        <color rgb="00000000"/>
      </left>
      <right style="medium">
        <color rgb="00000000"/>
      </right>
      <top style="medium">
        <color rgb="00000000"/>
      </top>
      <bottom style="medium">
        <color rgb="00000000"/>
      </bottom>
    </border>
    <border>
      <left style="thin">
        <color rgb="00CCCCCC"/>
      </left>
      <right style="thin">
        <color rgb="00CCCCCC"/>
      </right>
      <top style="thin">
        <color rgb="00CCCCCC"/>
      </top>
      <bottom style="thin">
        <color rgb="00CCCCCC"/>
      </bottom>
    </border>
    <border>
      <left style="thin">
        <color rgb="00CCCCCC"/>
      </left>
      <right style="thin">
        <color rgb="00CCCCCC"/>
      </right>
      <top style="thin">
        <color rgb="00CCCCCC"/>
      </top>
      <bottom style="medium">
        <color rgb="002E4053"/>
      </bottom>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4" applyAlignment="1" pivotButton="0" quotePrefix="0" xfId="0">
      <alignment horizontal="center" vertical="center" wrapText="1"/>
    </xf>
    <xf numFmtId="0" fontId="0" fillId="4" borderId="4" applyAlignment="1" pivotButton="0" quotePrefix="0" xfId="0">
      <alignment horizontal="center" vertical="center" wrapText="1"/>
    </xf>
    <xf numFmtId="0" fontId="0" fillId="3" borderId="2" applyAlignment="1" pivotButton="0" quotePrefix="0" xfId="0">
      <alignment horizontal="center" vertical="center" wrapText="1"/>
    </xf>
    <xf numFmtId="0" fontId="0" fillId="4" borderId="3" applyAlignment="1" pivotButton="0" quotePrefix="0" xfId="0">
      <alignment horizontal="center" vertical="center" wrapText="1"/>
    </xf>
    <xf numFmtId="0" fontId="0" fillId="3" borderId="3" applyAlignment="1" pivotButton="0" quotePrefix="0" xfId="0">
      <alignment horizontal="center" vertical="center" wrapText="1"/>
    </xf>
    <xf numFmtId="0" fontId="0"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3"/>
  <sheetViews>
    <sheetView workbookViewId="0">
      <selection activeCell="A1" sqref="A1"/>
    </sheetView>
  </sheetViews>
  <sheetFormatPr baseColWidth="8" defaultRowHeight="15"/>
  <cols>
    <col width="20" customWidth="1" min="1" max="1"/>
    <col width="30" customWidth="1" min="2" max="2"/>
    <col width="20" customWidth="1" min="3" max="3"/>
    <col width="15" customWidth="1" min="4" max="4"/>
    <col width="15"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8" customWidth="1" min="13" max="13"/>
    <col width="40" customWidth="1" min="14" max="14"/>
    <col width="25" customWidth="1" min="15" max="15"/>
    <col width="12" customWidth="1" min="16" max="16"/>
    <col width="35" customWidth="1" min="17" max="17"/>
    <col width="20" customWidth="1" min="18" max="18"/>
    <col width="20" customWidth="1" min="19" max="19"/>
    <col width="15" customWidth="1" min="20" max="20"/>
  </cols>
  <sheetData>
    <row r="1" ht="30" customHeight="1">
      <c r="A1" s="1" t="inlineStr">
        <is>
          <t>Product Image</t>
        </is>
      </c>
      <c r="B1" s="1" t="inlineStr">
        <is>
          <t>Product Name</t>
        </is>
      </c>
      <c r="C1" s="1" t="inlineStr">
        <is>
          <t>SKU</t>
        </is>
      </c>
      <c r="D1" s="1" t="inlineStr">
        <is>
          <t>Retail Price</t>
        </is>
      </c>
      <c r="E1" s="1" t="inlineStr">
        <is>
          <t>Wholesale Price</t>
        </is>
      </c>
      <c r="F1" s="1" t="inlineStr">
        <is>
          <t>Color 1</t>
        </is>
      </c>
      <c r="G1" s="1" t="inlineStr">
        <is>
          <t>Color 2</t>
        </is>
      </c>
      <c r="H1" s="1" t="inlineStr">
        <is>
          <t>Color 3</t>
        </is>
      </c>
      <c r="I1" s="1" t="inlineStr">
        <is>
          <t>Color 4</t>
        </is>
      </c>
      <c r="J1" s="1" t="inlineStr">
        <is>
          <t>Color 5</t>
        </is>
      </c>
      <c r="K1" s="1" t="inlineStr">
        <is>
          <t>Color 6</t>
        </is>
      </c>
      <c r="L1" s="1" t="inlineStr">
        <is>
          <t>Sizes</t>
        </is>
      </c>
      <c r="M1" s="1" t="inlineStr">
        <is>
          <t>Total Quantity</t>
        </is>
      </c>
      <c r="N1" s="1" t="inlineStr">
        <is>
          <t>Description</t>
        </is>
      </c>
      <c r="O1" s="1" t="inlineStr">
        <is>
          <t>Slug</t>
        </is>
      </c>
      <c r="P1" s="1" t="inlineStr">
        <is>
          <t>In Stock</t>
        </is>
      </c>
      <c r="Q1" s="1" t="inlineStr">
        <is>
          <t>SKU Name</t>
        </is>
      </c>
      <c r="R1" s="1" t="inlineStr">
        <is>
          <t>Color Names</t>
        </is>
      </c>
      <c r="S1" s="1" t="inlineStr">
        <is>
          <t>Product Type</t>
        </is>
      </c>
      <c r="T1" s="1" t="inlineStr">
        <is>
          <t>Category</t>
        </is>
      </c>
    </row>
    <row r="2" ht="80" customHeight="1">
      <c r="A2" s="2">
        <f>IMAGE("https://images.lululemon.com/is/image/lululemon/LU9CIAS_035486_1?wid=320&amp;op_usm=0.8",1)</f>
        <v/>
      </c>
      <c r="B2" s="2" t="inlineStr">
        <is>
          <t>Insulated Mug 20oz</t>
        </is>
      </c>
      <c r="C2" s="2" t="inlineStr">
        <is>
          <t>156751580</t>
        </is>
      </c>
      <c r="D2" s="2" t="inlineStr">
        <is>
          <t>$38.00</t>
        </is>
      </c>
      <c r="E2" s="2" t="inlineStr">
        <is>
          <t>$19.00</t>
        </is>
      </c>
      <c r="F2" s="2">
        <f>IMAGE("https://images.lululemon.com/is/image/lululemon/35486",1)</f>
        <v/>
      </c>
      <c r="G2" s="2">
        <f>IMAGE("https://images.lululemon.com/is/image/lululemon/28022",1)</f>
        <v/>
      </c>
      <c r="H2" s="2" t="n"/>
      <c r="I2" s="2" t="n"/>
      <c r="J2" s="2" t="n"/>
      <c r="K2" s="2" t="n"/>
      <c r="L2" s="2" t="inlineStr">
        <is>
          <t>O/S</t>
        </is>
      </c>
      <c r="M2" s="2" t="n">
        <v>687</v>
      </c>
      <c r="N2" s="2" t="inlineStr">
        <is>
          <t>Sip, sip, hooray. This insulated mug has a leak-proof lid and a double-walled design that will keep your drink ice cold or perfectly hot.</t>
        </is>
      </c>
      <c r="O2" s="2" t="inlineStr">
        <is>
          <t>Insulated-Mug-20oz</t>
        </is>
      </c>
      <c r="P2" s="2" t="inlineStr">
        <is>
          <t>Yes</t>
        </is>
      </c>
      <c r="Q2" s="2" t="inlineStr">
        <is>
          <t>Insulated Mug 20oz BLLP ONE SIZE</t>
        </is>
      </c>
      <c r="R2" s="2" t="inlineStr">
        <is>
          <t>Blissful Pink, Indochine Blue</t>
        </is>
      </c>
      <c r="S2" s="2" t="inlineStr">
        <is>
          <t>Tumblers and Travel Mugs</t>
        </is>
      </c>
      <c r="T2" s="2" t="inlineStr">
        <is>
          <t>Accessories</t>
        </is>
      </c>
    </row>
    <row r="3" ht="80" customHeight="1">
      <c r="A3" s="3">
        <f>IMAGE("https://images.lululemon.com/is/image/lululemon/LU9AY5S_072992_1?wid=320&amp;op_usm=0.8",1)</f>
        <v/>
      </c>
      <c r="B3" s="3" t="inlineStr">
        <is>
          <t>The (Small) Towel</t>
        </is>
      </c>
      <c r="C3" s="3" t="inlineStr">
        <is>
          <t>157743699</t>
        </is>
      </c>
      <c r="D3" s="3" t="inlineStr">
        <is>
          <t>$22.00</t>
        </is>
      </c>
      <c r="E3" s="3" t="inlineStr">
        <is>
          <t>$11.00</t>
        </is>
      </c>
      <c r="F3" s="3">
        <f>IMAGE("https://images.lululemon.com/is/image/lululemon/72992",1)</f>
        <v/>
      </c>
      <c r="G3" s="3" t="n"/>
      <c r="H3" s="3" t="n"/>
      <c r="I3" s="3" t="n"/>
      <c r="J3" s="3" t="n"/>
      <c r="K3" s="3" t="n"/>
      <c r="L3" s="3" t="inlineStr">
        <is>
          <t>O/S</t>
        </is>
      </c>
      <c r="M3" s="3" t="n">
        <v>170</v>
      </c>
      <c r="N3" s="3" t="inlineStr">
        <is>
          <t>This absorbent microfibre towel likes hot yoga, indoor cycling classes, and the gym. Sounds like you've got a lot in common!</t>
        </is>
      </c>
      <c r="O3" s="3" t="inlineStr">
        <is>
          <t>The-Small-Towel</t>
        </is>
      </c>
      <c r="P3" s="3" t="inlineStr">
        <is>
          <t>Yes</t>
        </is>
      </c>
      <c r="Q3" s="3" t="inlineStr">
        <is>
          <t>The (Small) Towel MHMG ONE SIZE</t>
        </is>
      </c>
      <c r="R3" s="3" t="inlineStr">
        <is>
          <t>Meadow Haze Mini Grey Multi</t>
        </is>
      </c>
      <c r="S3" s="3" t="inlineStr">
        <is>
          <t>Towels</t>
        </is>
      </c>
      <c r="T3" s="3" t="inlineStr">
        <is>
          <t>Accessories</t>
        </is>
      </c>
    </row>
    <row r="4" ht="80" customHeight="1">
      <c r="A4" s="2">
        <f>IMAGE("https://images.lululemon.com/is/image/lululemon/LW9FOPS_0001_1?wid=320&amp;op_usm=0.8",1)</f>
        <v/>
      </c>
      <c r="B4" s="2" t="inlineStr">
        <is>
          <t>Women's Fast and Free Fleece Running Gloves</t>
        </is>
      </c>
      <c r="C4" s="2" t="inlineStr">
        <is>
          <t>154525191</t>
        </is>
      </c>
      <c r="D4" s="2" t="inlineStr">
        <is>
          <t>$42.00</t>
        </is>
      </c>
      <c r="E4" s="2" t="inlineStr">
        <is>
          <t>$21.00</t>
        </is>
      </c>
      <c r="F4" s="2">
        <f>IMAGE("https://images.lululemon.com/is/image/lululemon/0001",1)</f>
        <v/>
      </c>
      <c r="G4" s="2" t="n"/>
      <c r="H4" s="2" t="n"/>
      <c r="I4" s="2" t="n"/>
      <c r="J4" s="2" t="n"/>
      <c r="K4" s="2" t="n"/>
      <c r="L4" s="2" t="inlineStr">
        <is>
          <t>XS, S, M, L</t>
        </is>
      </c>
      <c r="M4" s="2" t="n">
        <v>355</v>
      </c>
      <c r="N4" s="2" t="inlineStr">
        <is>
          <t>Cold hands can take your run off-track. Keep them warm while you clock miles in these fleece gloves made with screen-friendly technology.</t>
        </is>
      </c>
      <c r="O4" s="2" t="inlineStr">
        <is>
          <t>W-Fast-and-Free-Fleece-Run-Gloves</t>
        </is>
      </c>
      <c r="P4" s="2" t="inlineStr">
        <is>
          <t>Yes</t>
        </is>
      </c>
      <c r="Q4" s="2" t="inlineStr">
        <is>
          <t>Fast and Free Fleece Run Gloves W BLK XS</t>
        </is>
      </c>
      <c r="R4" s="2" t="inlineStr">
        <is>
          <t>Black</t>
        </is>
      </c>
      <c r="S4" s="2" t="inlineStr"/>
      <c r="T4" s="2" t="inlineStr">
        <is>
          <t>Accessories</t>
        </is>
      </c>
    </row>
    <row r="5" ht="80" customHeight="1">
      <c r="A5" s="3">
        <f>IMAGE("https://images.lululemon.com/is/image/lululemon/LW9FWOS_032614_1?wid=320&amp;op_usm=0.8",1)</f>
        <v/>
      </c>
      <c r="B5" s="3" t="inlineStr">
        <is>
          <t>Mini Claw Jewelled Clips *2 Pack</t>
        </is>
      </c>
      <c r="C5" s="3" t="inlineStr">
        <is>
          <t>158098712</t>
        </is>
      </c>
      <c r="D5" s="3" t="inlineStr">
        <is>
          <t>$14.00</t>
        </is>
      </c>
      <c r="E5" s="3" t="inlineStr">
        <is>
          <t>$7.00</t>
        </is>
      </c>
      <c r="F5" s="3">
        <f>IMAGE("https://images.lululemon.com/is/image/lululemon/32614",1)</f>
        <v/>
      </c>
      <c r="G5" s="3" t="n"/>
      <c r="H5" s="3" t="n"/>
      <c r="I5" s="3" t="n"/>
      <c r="J5" s="3" t="n"/>
      <c r="K5" s="3" t="n"/>
      <c r="L5" s="3" t="inlineStr">
        <is>
          <t>O/S</t>
        </is>
      </c>
      <c r="M5" s="3" t="n">
        <v>3</v>
      </c>
      <c r="N5" s="3" t="inlineStr">
        <is>
          <t>Add a pop of shine to your 'do—these petite metal clips feature glittery logo details.</t>
        </is>
      </c>
      <c r="O5" s="3" t="inlineStr">
        <is>
          <t>Mini-Claw-Jewelled-Clips-2-Pack</t>
        </is>
      </c>
      <c r="P5" s="3" t="inlineStr">
        <is>
          <t>Yes</t>
        </is>
      </c>
      <c r="Q5" s="3" t="inlineStr">
        <is>
          <t>Mini Claw Jewelled Clip *2 Pack RSGO ONE SIZE</t>
        </is>
      </c>
      <c r="R5" s="3" t="inlineStr">
        <is>
          <t>Rose Gold</t>
        </is>
      </c>
      <c r="S5" s="3" t="inlineStr">
        <is>
          <t>Hair Clips</t>
        </is>
      </c>
      <c r="T5" s="3" t="inlineStr">
        <is>
          <t>Accessories</t>
        </is>
      </c>
    </row>
    <row r="6" ht="80" customHeight="1">
      <c r="A6" s="2">
        <f>IMAGE("https://images.lululemon.com/is/image/lululemon/LU9B94S_065048_1?wid=320&amp;op_usm=0.8",1)</f>
        <v/>
      </c>
      <c r="B6" s="2" t="inlineStr">
        <is>
          <t>The Foldable Mat 6.5mm</t>
        </is>
      </c>
      <c r="C6" s="2" t="inlineStr">
        <is>
          <t>150350151</t>
        </is>
      </c>
      <c r="D6" s="2" t="inlineStr">
        <is>
          <t>$118.00</t>
        </is>
      </c>
      <c r="E6" s="2" t="inlineStr">
        <is>
          <t>$59.00</t>
        </is>
      </c>
      <c r="F6" s="2">
        <f>IMAGE("https://images.lululemon.com/is/image/lululemon/65048",1)</f>
        <v/>
      </c>
      <c r="G6" s="2" t="n"/>
      <c r="H6" s="2" t="n"/>
      <c r="I6" s="2" t="n"/>
      <c r="J6" s="2" t="n"/>
      <c r="K6" s="2" t="n"/>
      <c r="L6" s="2" t="inlineStr">
        <is>
          <t>O/S</t>
        </is>
      </c>
      <c r="M6" s="2" t="n">
        <v>311</v>
      </c>
      <c r="N6" s="2" t="inlineStr">
        <is>
          <t>Take your practice to new heights. This yoga mat stacks up (or folds down) for a fully personalized practice.</t>
        </is>
      </c>
      <c r="O6" s="2" t="inlineStr">
        <is>
          <t>The-Foldable-Mat</t>
        </is>
      </c>
      <c r="P6" s="2" t="inlineStr">
        <is>
          <t>Yes</t>
        </is>
      </c>
      <c r="Q6" s="2" t="inlineStr">
        <is>
          <t>The Foldable Mat 6.5mm TVSG/BLK ONE SIZE</t>
        </is>
      </c>
      <c r="R6" s="2" t="inlineStr">
        <is>
          <t>Traverse Grey/Black</t>
        </is>
      </c>
      <c r="S6" s="2" t="inlineStr"/>
      <c r="T6" s="2" t="inlineStr">
        <is>
          <t>Accessories</t>
        </is>
      </c>
    </row>
    <row r="7" ht="80" customHeight="1">
      <c r="A7" s="3">
        <f>IMAGE("https://images.lululemon.com/is/image/lululemon/LU9CY6S_0001_1?wid=320&amp;op_usm=0.8",1)</f>
        <v/>
      </c>
      <c r="B7" s="3" t="inlineStr">
        <is>
          <t>Fuzzy Cashmere Beanie</t>
        </is>
      </c>
      <c r="C7" s="3" t="inlineStr">
        <is>
          <t>158097574</t>
        </is>
      </c>
      <c r="D7" s="3" t="inlineStr">
        <is>
          <t>$78.00</t>
        </is>
      </c>
      <c r="E7" s="3" t="inlineStr">
        <is>
          <t>$39.00</t>
        </is>
      </c>
      <c r="F7" s="3">
        <f>IMAGE("https://images.lululemon.com/is/image/lululemon/0001",1)</f>
        <v/>
      </c>
      <c r="G7" s="3">
        <f>IMAGE("https://images.lululemon.com/is/image/lululemon/74795",1)</f>
        <v/>
      </c>
      <c r="H7" s="3" t="n"/>
      <c r="I7" s="3" t="n"/>
      <c r="J7" s="3" t="n"/>
      <c r="K7" s="3" t="n"/>
      <c r="L7" s="3" t="inlineStr">
        <is>
          <t>O/S</t>
        </is>
      </c>
      <c r="M7" s="3" t="n">
        <v>388</v>
      </c>
      <c r="N7" s="3" t="inlineStr">
        <is>
          <t>Cashmere: Feel the love. Made from supremely soft cashmere yarns, this luxe, lightweight beanie brings cozy softness that will help you feel cherished.</t>
        </is>
      </c>
      <c r="O7" s="3" t="inlineStr">
        <is>
          <t>Fuzzy-Cashmere-Beanie</t>
        </is>
      </c>
      <c r="P7" s="3" t="inlineStr">
        <is>
          <t>Yes</t>
        </is>
      </c>
      <c r="Q7" s="3" t="inlineStr">
        <is>
          <t>Fuzzy Cashmere Beanie BLK ONE SIZE</t>
        </is>
      </c>
      <c r="R7" s="3" t="inlineStr">
        <is>
          <t>Black, Heathered Light Onyx</t>
        </is>
      </c>
      <c r="S7" s="3" t="inlineStr">
        <is>
          <t>Beanies</t>
        </is>
      </c>
      <c r="T7" s="3" t="inlineStr">
        <is>
          <t>Accessories</t>
        </is>
      </c>
    </row>
    <row r="8" ht="80" customHeight="1">
      <c r="A8" s="2">
        <f>IMAGE("https://images.lululemon.com/is/image/lululemon/LU9BE3S_0001_1?wid=320&amp;op_usm=0.8",1)</f>
        <v/>
      </c>
      <c r="B8" s="2" t="inlineStr">
        <is>
          <t>Everywhere Belt Bag 1L *Clear</t>
        </is>
      </c>
      <c r="C8" s="2" t="inlineStr">
        <is>
          <t>147475064</t>
        </is>
      </c>
      <c r="D8" s="2" t="inlineStr">
        <is>
          <t>$38.00</t>
        </is>
      </c>
      <c r="E8" s="2" t="inlineStr">
        <is>
          <t>$19.00</t>
        </is>
      </c>
      <c r="F8" s="2">
        <f>IMAGE("https://images.lululemon.com/is/image/lululemon/0001",1)</f>
        <v/>
      </c>
      <c r="G8" s="2" t="n"/>
      <c r="H8" s="2" t="n"/>
      <c r="I8" s="2" t="n"/>
      <c r="J8" s="2" t="n"/>
      <c r="K8" s="2" t="n"/>
      <c r="L8" s="2" t="inlineStr">
        <is>
          <t>O/S</t>
        </is>
      </c>
      <c r="M8" s="2" t="n">
        <v>419</v>
      </c>
      <c r="N8" s="2" t="inlineStr">
        <is>
          <t>Stadium ready. Whether you're heading to a concert or cheering on your home team, this transparent belt bag keeps your belongings visible so lineups are a breeze.</t>
        </is>
      </c>
      <c r="O8" s="2" t="inlineStr">
        <is>
          <t>Clear-Belt-Bag-Logo-1L</t>
        </is>
      </c>
      <c r="P8" s="2" t="inlineStr">
        <is>
          <t>Yes</t>
        </is>
      </c>
      <c r="Q8" s="2" t="inlineStr">
        <is>
          <t>Everywhere Belt Bag *Clear BLK ONE SIZE</t>
        </is>
      </c>
      <c r="R8" s="2" t="inlineStr">
        <is>
          <t>Black</t>
        </is>
      </c>
      <c r="S8" s="2" t="inlineStr">
        <is>
          <t>Belt Bags, Crossbody Bags</t>
        </is>
      </c>
      <c r="T8" s="2" t="inlineStr">
        <is>
          <t>Accessories</t>
        </is>
      </c>
    </row>
    <row r="9" ht="80" customHeight="1">
      <c r="A9" s="3">
        <f>IMAGE("https://images.lululemon.com/is/image/lululemon/LW9FM3S_073560_1?wid=320&amp;op_usm=0.8",1)</f>
        <v/>
      </c>
      <c r="B9" s="3" t="inlineStr">
        <is>
          <t>Extra Large Claw Hair Clip</t>
        </is>
      </c>
      <c r="C9" s="3" t="inlineStr">
        <is>
          <t>158023068</t>
        </is>
      </c>
      <c r="D9" s="3" t="inlineStr">
        <is>
          <t>$26.00</t>
        </is>
      </c>
      <c r="E9" s="3" t="inlineStr">
        <is>
          <t>$13.00</t>
        </is>
      </c>
      <c r="F9" s="3">
        <f>IMAGE("https://images.lululemon.com/is/image/lululemon/73560",1)</f>
        <v/>
      </c>
      <c r="G9" s="3">
        <f>IMAGE("https://images.lululemon.com/is/image/lululemon/65675",1)</f>
        <v/>
      </c>
      <c r="H9" s="3">
        <f>IMAGE("https://images.lululemon.com/is/image/lululemon/73561",1)</f>
        <v/>
      </c>
      <c r="I9" s="3" t="n"/>
      <c r="J9" s="3" t="n"/>
      <c r="K9" s="3" t="n"/>
      <c r="L9" s="3" t="inlineStr">
        <is>
          <t>O/S</t>
        </is>
      </c>
      <c r="M9" s="3" t="n">
        <v>1714</v>
      </c>
      <c r="N9" s="3" t="inlineStr">
        <is>
          <t>Wavy, textured, curly, or straight—whatever kind of hair you've got, this extra large clip will keep it together.</t>
        </is>
      </c>
      <c r="O9" s="3" t="inlineStr">
        <is>
          <t>Extra-Large-Claw-Hair-Clip</t>
        </is>
      </c>
      <c r="P9" s="3" t="inlineStr">
        <is>
          <t>Yes</t>
        </is>
      </c>
      <c r="Q9" s="3" t="inlineStr">
        <is>
          <t>Extra Large Claw Hair Clip 8RRP ONE SIZE</t>
        </is>
      </c>
      <c r="R9" s="3" t="inlineStr">
        <is>
          <t>Berry Rumble/Racer Pink, French Press/Burnt Caramel, Cornflower/Blissful Pink</t>
        </is>
      </c>
      <c r="S9" s="3" t="inlineStr">
        <is>
          <t>Hair Clips</t>
        </is>
      </c>
      <c r="T9" s="3" t="inlineStr">
        <is>
          <t>Accessories</t>
        </is>
      </c>
    </row>
    <row r="10" ht="80" customHeight="1">
      <c r="A10" s="2">
        <f>IMAGE("https://images.lululemon.com/is/image/lululemon/LU9CLAS_0024_1?wid=320&amp;op_usm=0.8",1)</f>
        <v/>
      </c>
      <c r="B10" s="2" t="inlineStr">
        <is>
          <t>Unisex Daily Essential Crew Socks *Stripe</t>
        </is>
      </c>
      <c r="C10" s="2" t="inlineStr">
        <is>
          <t>155775205</t>
        </is>
      </c>
      <c r="D10" s="2" t="inlineStr">
        <is>
          <t>$14.00</t>
        </is>
      </c>
      <c r="E10" s="2" t="inlineStr">
        <is>
          <t>$7.00</t>
        </is>
      </c>
      <c r="F10" s="2">
        <f>IMAGE("https://images.lululemon.com/is/image/lululemon/0024",1)</f>
        <v/>
      </c>
      <c r="G10" s="2">
        <f>IMAGE("https://images.lululemon.com/is/image/lululemon/69946",1)</f>
        <v/>
      </c>
      <c r="H10" s="2">
        <f>IMAGE("https://images.lululemon.com/is/image/lululemon/74939",1)</f>
        <v/>
      </c>
      <c r="I10" s="2" t="n"/>
      <c r="J10" s="2" t="n"/>
      <c r="K10" s="2" t="n"/>
      <c r="L10" s="2" t="inlineStr">
        <is>
          <t>S, M, L, XL</t>
        </is>
      </c>
      <c r="M10" s="2" t="n">
        <v>1221</v>
      </c>
      <c r="N10" s="2" t="inlineStr">
        <is>
          <t>Top drawer comfort. These soft cotton socks combine integrated arch support and plush cushioning.</t>
        </is>
      </c>
      <c r="O10" s="2" t="inlineStr">
        <is>
          <t>Unisex-Daily-Essential-Crew-Socks-Stripe</t>
        </is>
      </c>
      <c r="P10" s="2" t="inlineStr">
        <is>
          <t>Yes</t>
        </is>
      </c>
      <c r="Q10" s="2" t="inlineStr">
        <is>
          <t>Daily Essential Socks WHT/BLK S</t>
        </is>
      </c>
      <c r="R10" s="2" t="inlineStr">
        <is>
          <t>White/Black, White/Rainforest Green, White/Riverside</t>
        </is>
      </c>
      <c r="S10" s="2" t="inlineStr">
        <is>
          <t>Crew Socks</t>
        </is>
      </c>
      <c r="T10" s="2" t="inlineStr">
        <is>
          <t>Accessories</t>
        </is>
      </c>
    </row>
    <row r="11" ht="80" customHeight="1">
      <c r="A11" s="3">
        <f>IMAGE("https://images.lululemon.com/is/image/lululemon/LM9AWSS_0001_1?wid=320&amp;op_usm=0.8",1)</f>
        <v/>
      </c>
      <c r="B11" s="3" t="inlineStr">
        <is>
          <t>Men's Fast and Free Insulated Running Gloves</t>
        </is>
      </c>
      <c r="C11" s="3" t="inlineStr">
        <is>
          <t>154901007</t>
        </is>
      </c>
      <c r="D11" s="3" t="inlineStr">
        <is>
          <t>$58.00</t>
        </is>
      </c>
      <c r="E11" s="3" t="inlineStr">
        <is>
          <t>$29.00</t>
        </is>
      </c>
      <c r="F11" s="3">
        <f>IMAGE("https://images.lululemon.com/is/image/lululemon/0001",1)</f>
        <v/>
      </c>
      <c r="G11" s="3" t="n"/>
      <c r="H11" s="3" t="n"/>
      <c r="I11" s="3" t="n"/>
      <c r="J11" s="3" t="n"/>
      <c r="K11" s="3" t="n"/>
      <c r="L11" s="3" t="inlineStr">
        <is>
          <t>S, M, L, XL</t>
        </is>
      </c>
      <c r="M11" s="3" t="n">
        <v>142</v>
      </c>
      <c r="N11" s="3" t="inlineStr">
        <is>
          <t>Cold run, warm hands. These mid-weight gloves have a packable water-repellent hood and tech-friendly fingers.</t>
        </is>
      </c>
      <c r="O11" s="3" t="inlineStr">
        <is>
          <t>M-Fast-and-Free-Insulated-Running-Gloves</t>
        </is>
      </c>
      <c r="P11" s="3" t="inlineStr">
        <is>
          <t>Yes</t>
        </is>
      </c>
      <c r="Q11" s="3" t="inlineStr">
        <is>
          <t>Fast and Free Insulated Run Gloves M BLK S</t>
        </is>
      </c>
      <c r="R11" s="3" t="inlineStr">
        <is>
          <t>Black</t>
        </is>
      </c>
      <c r="S11" s="3" t="inlineStr"/>
      <c r="T11" s="3" t="inlineStr">
        <is>
          <t>Accessories</t>
        </is>
      </c>
    </row>
    <row r="12" ht="80" customHeight="1">
      <c r="A12" s="2">
        <f>IMAGE("https://images.lululemon.com/is/image/lululemon/LU9CPQS_0001_1?wid=320&amp;op_usm=0.8",1)</f>
        <v/>
      </c>
      <c r="B12" s="2" t="inlineStr">
        <is>
          <t>Unisex Power Stride Tab Socks</t>
        </is>
      </c>
      <c r="C12" s="2" t="inlineStr">
        <is>
          <t>156701189</t>
        </is>
      </c>
      <c r="D12" s="2" t="inlineStr">
        <is>
          <t>$14.00</t>
        </is>
      </c>
      <c r="E12" s="2" t="inlineStr">
        <is>
          <t>$7.00</t>
        </is>
      </c>
      <c r="F12" s="2">
        <f>IMAGE("https://images.lululemon.com/is/image/lululemon/0001",1)</f>
        <v/>
      </c>
      <c r="G12" s="2" t="n"/>
      <c r="H12" s="2" t="n"/>
      <c r="I12" s="2" t="n"/>
      <c r="J12" s="2" t="n"/>
      <c r="K12" s="2" t="n"/>
      <c r="L12" s="2" t="inlineStr">
        <is>
          <t>S, M, L, XL</t>
        </is>
      </c>
      <c r="M12" s="2" t="n">
        <v>636</v>
      </c>
      <c r="N12" s="2" t="inlineStr">
        <is>
          <t>Set the groundwork for a strong workout. We updated our versatile performance socks with intentional cushioning and enhanced breathability so you can move more comfortably.</t>
        </is>
      </c>
      <c r="O12" s="2" t="inlineStr">
        <is>
          <t>Unisex-Power-Stride-Tab-Socks</t>
        </is>
      </c>
      <c r="P12" s="2" t="inlineStr">
        <is>
          <t>Yes</t>
        </is>
      </c>
      <c r="Q12" s="2" t="inlineStr">
        <is>
          <t>Power Stride Socks BLK S</t>
        </is>
      </c>
      <c r="R12" s="2" t="inlineStr">
        <is>
          <t>Black</t>
        </is>
      </c>
      <c r="S12" s="2" t="inlineStr">
        <is>
          <t>Ankle Socks</t>
        </is>
      </c>
      <c r="T12" s="2" t="inlineStr">
        <is>
          <t>Accessories</t>
        </is>
      </c>
    </row>
    <row r="13" ht="80" customHeight="1">
      <c r="A13" s="3">
        <f>IMAGE("https://images.lululemon.com/is/image/lululemon/LU9ALIS_0001_1?wid=320&amp;op_usm=0.8",1)</f>
        <v/>
      </c>
      <c r="B13" s="3" t="inlineStr">
        <is>
          <t>Resistance Band Set</t>
        </is>
      </c>
      <c r="C13" s="3" t="inlineStr">
        <is>
          <t>142350264</t>
        </is>
      </c>
      <c r="D13" s="3" t="inlineStr">
        <is>
          <t>$58.00</t>
        </is>
      </c>
      <c r="E13" s="3" t="inlineStr">
        <is>
          <t>$29.00</t>
        </is>
      </c>
      <c r="F13" s="3">
        <f>IMAGE("https://images.lululemon.com/is/image/lululemon/0001",1)</f>
        <v/>
      </c>
      <c r="G13" s="3" t="n"/>
      <c r="H13" s="3" t="n"/>
      <c r="I13" s="3" t="n"/>
      <c r="J13" s="3" t="n"/>
      <c r="K13" s="3" t="n"/>
      <c r="L13" s="3" t="inlineStr">
        <is>
          <t>O/S</t>
        </is>
      </c>
      <c r="M13" s="3" t="n">
        <v>298</v>
      </c>
      <c r="N13" s="3" t="inlineStr">
        <is>
          <t>Push, pull, strengthen, and tone—this resistance band set can handle it all. Switch between low, medium, and high resistance levels for a customized workout.</t>
        </is>
      </c>
      <c r="O13" s="3" t="inlineStr">
        <is>
          <t>Resistance-Bands-3-Pack</t>
        </is>
      </c>
      <c r="P13" s="3" t="inlineStr">
        <is>
          <t>Yes</t>
        </is>
      </c>
      <c r="Q13" s="3" t="inlineStr">
        <is>
          <t>Resistance Band Set BLK ONE SIZE</t>
        </is>
      </c>
      <c r="R13" s="3" t="inlineStr">
        <is>
          <t>Black</t>
        </is>
      </c>
      <c r="S13" s="3" t="inlineStr">
        <is>
          <t>Resistance Bands</t>
        </is>
      </c>
      <c r="T13" s="3" t="inlineStr">
        <is>
          <t>Accessories</t>
        </is>
      </c>
    </row>
    <row r="14" ht="80" customHeight="1">
      <c r="A14" s="2">
        <f>IMAGE("https://images.lululemon.com/is/image/lululemon/LU9BUMS_031382_1?wid=320&amp;op_usm=0.8",1)</f>
        <v/>
      </c>
      <c r="B14" s="2" t="inlineStr">
        <is>
          <t>Classic Ball Cap</t>
        </is>
      </c>
      <c r="C14" s="2" t="inlineStr">
        <is>
          <t>153836695</t>
        </is>
      </c>
      <c r="D14" s="2" t="inlineStr">
        <is>
          <t>$38.00</t>
        </is>
      </c>
      <c r="E14" s="2" t="inlineStr">
        <is>
          <t>$19.00</t>
        </is>
      </c>
      <c r="F14" s="2">
        <f>IMAGE("https://images.lululemon.com/is/image/lululemon/31382",1)</f>
        <v/>
      </c>
      <c r="G14" s="2">
        <f>IMAGE("https://images.lululemon.com/is/image/lululemon/0002",1)</f>
        <v/>
      </c>
      <c r="H14" s="2">
        <f>IMAGE("https://images.lululemon.com/is/image/lululemon/0001",1)</f>
        <v/>
      </c>
      <c r="I14" s="2">
        <f>IMAGE("https://images.lululemon.com/is/image/lululemon/33454",1)</f>
        <v/>
      </c>
      <c r="J14" s="2" t="n"/>
      <c r="K14" s="2" t="n"/>
      <c r="L14" s="2" t="inlineStr">
        <is>
          <t>S/M, L/XL</t>
        </is>
      </c>
      <c r="M14" s="2" t="n">
        <v>3712</v>
      </c>
      <c r="N14" s="2" t="inlineStr">
        <is>
          <t>Anywhere, anytime. This soft, lightweight cap is a year-round favourite for days on the go.</t>
        </is>
      </c>
      <c r="O14" s="2" t="inlineStr">
        <is>
          <t>Soft-Cap</t>
        </is>
      </c>
      <c r="P14" s="2" t="inlineStr">
        <is>
          <t>Yes</t>
        </is>
      </c>
      <c r="Q14" s="2" t="inlineStr">
        <is>
          <t>Unisex Classic Ball Cap TRNV S/M</t>
        </is>
      </c>
      <c r="R14" s="2" t="inlineStr">
        <is>
          <t>True Navy, White, Black, Light Ivory</t>
        </is>
      </c>
      <c r="S14" s="2" t="inlineStr">
        <is>
          <t>Caps</t>
        </is>
      </c>
      <c r="T14" s="2" t="inlineStr">
        <is>
          <t>Accessories</t>
        </is>
      </c>
    </row>
    <row r="15" ht="80" customHeight="1">
      <c r="A15" s="3">
        <f>IMAGE("https://images.lululemon.com/is/image/lululemon/LU9CMAS_071473_1?wid=320&amp;op_usm=0.8",1)</f>
        <v/>
      </c>
      <c r="B15" s="3" t="inlineStr">
        <is>
          <t>Everywhere Backpack 22L</t>
        </is>
      </c>
      <c r="C15" s="3" t="inlineStr">
        <is>
          <t>156527940</t>
        </is>
      </c>
      <c r="D15" s="3" t="inlineStr">
        <is>
          <t>$78.00</t>
        </is>
      </c>
      <c r="E15" s="3" t="inlineStr">
        <is>
          <t>$39.00</t>
        </is>
      </c>
      <c r="F15" s="3">
        <f>IMAGE("https://images.lululemon.com/is/image/lululemon/71473",1)</f>
        <v/>
      </c>
      <c r="G15" s="3">
        <f>IMAGE("https://images.lululemon.com/is/image/lululemon/31382",1)</f>
        <v/>
      </c>
      <c r="H15" s="3">
        <f>IMAGE("https://images.lululemon.com/is/image/lululemon/43646",1)</f>
        <v/>
      </c>
      <c r="I15" s="3" t="n"/>
      <c r="J15" s="3" t="n"/>
      <c r="K15" s="3" t="n"/>
      <c r="L15" s="3" t="inlineStr">
        <is>
          <t>O/S</t>
        </is>
      </c>
      <c r="M15" s="3" t="n">
        <v>9167</v>
      </c>
      <c r="N15" s="3" t="inlineStr">
        <is>
          <t>Not your average backpack. With an internal laptop sleeve and side water bottle pockets, this one ticks the boxes for school, work, and travel.</t>
        </is>
      </c>
      <c r="O15" s="3" t="inlineStr">
        <is>
          <t>Everywhere-Backpack-22L</t>
        </is>
      </c>
      <c r="P15" s="3" t="inlineStr">
        <is>
          <t>Yes</t>
        </is>
      </c>
      <c r="Q15" s="3" t="inlineStr">
        <is>
          <t>Everywhere Backpack VPOR/SHOK ONE SIZE</t>
        </is>
      </c>
      <c r="R15" s="3" t="inlineStr">
        <is>
          <t>Vapor/Sheer Oak, True Navy, Black/Graphite Grey</t>
        </is>
      </c>
      <c r="S15" s="3" t="inlineStr">
        <is>
          <t>Backpacks</t>
        </is>
      </c>
      <c r="T15" s="3" t="inlineStr">
        <is>
          <t>Accessories</t>
        </is>
      </c>
    </row>
    <row r="16" ht="80" customHeight="1">
      <c r="A16" s="2">
        <f>IMAGE("https://images.lululemon.com/is/image/lululemon/LU9CN3S_074868_1?wid=320&amp;op_usm=0.8",1)</f>
        <v/>
      </c>
      <c r="B16" s="2" t="inlineStr">
        <is>
          <t>Everywhere Belt Bag 1L *Glitter</t>
        </is>
      </c>
      <c r="C16" s="2" t="inlineStr">
        <is>
          <t>157968470</t>
        </is>
      </c>
      <c r="D16" s="2" t="inlineStr">
        <is>
          <t>$58.00</t>
        </is>
      </c>
      <c r="E16" s="2" t="inlineStr">
        <is>
          <t>$29.00</t>
        </is>
      </c>
      <c r="F16" s="2">
        <f>IMAGE("https://images.lululemon.com/is/image/lululemon/74868",1)</f>
        <v/>
      </c>
      <c r="G16" s="2">
        <f>IMAGE("https://images.lululemon.com/is/image/lululemon/74449",1)</f>
        <v/>
      </c>
      <c r="H16" s="2" t="n"/>
      <c r="I16" s="2" t="n"/>
      <c r="J16" s="2" t="n"/>
      <c r="K16" s="2" t="n"/>
      <c r="L16" s="2" t="inlineStr">
        <is>
          <t>O/S</t>
        </is>
      </c>
      <c r="M16" s="2" t="n">
        <v>2079</v>
      </c>
      <c r="N16" s="2" t="inlineStr">
        <is>
          <t>Phone, keys, wallet. Keep them close in this versatile belt bag that helps you get out the door and on to your next adventure.</t>
        </is>
      </c>
      <c r="O16" s="2" t="inlineStr">
        <is>
          <t>Everywhere-Belt-Bag-Glitter</t>
        </is>
      </c>
      <c r="P16" s="2" t="inlineStr">
        <is>
          <t>Yes</t>
        </is>
      </c>
      <c r="Q16" s="2" t="inlineStr">
        <is>
          <t>Everywhere Belt Bag *Glitter PNUC/MUUS/GOLD ONE SIZE</t>
        </is>
      </c>
      <c r="R16" s="2" t="inlineStr">
        <is>
          <t>Pink Champagne/Muse/Gold, Dark Silver/Graphite Grey/Silver</t>
        </is>
      </c>
      <c r="S16" s="2" t="inlineStr">
        <is>
          <t>Belt Bags, Crossbody Bags</t>
        </is>
      </c>
      <c r="T16" s="2" t="inlineStr">
        <is>
          <t>Accessories</t>
        </is>
      </c>
    </row>
    <row r="17" ht="80" customHeight="1">
      <c r="A17" s="3">
        <f>IMAGE("https://images.lululemon.com/is/image/lululemon/LU9AI6S_0001_1?wid=320&amp;op_usm=0.8",1)</f>
        <v/>
      </c>
      <c r="B17" s="3" t="inlineStr">
        <is>
          <t>Loop It Up Mat Strap</t>
        </is>
      </c>
      <c r="C17" s="3" t="inlineStr">
        <is>
          <t>123000131</t>
        </is>
      </c>
      <c r="D17" s="3" t="inlineStr">
        <is>
          <t>$24.00</t>
        </is>
      </c>
      <c r="E17" s="3" t="inlineStr">
        <is>
          <t>$12.00</t>
        </is>
      </c>
      <c r="F17" s="3">
        <f>IMAGE("https://images.lululemon.com/is/image/lululemon/0001",1)</f>
        <v/>
      </c>
      <c r="G17" s="3" t="n"/>
      <c r="H17" s="3" t="n"/>
      <c r="I17" s="3" t="n"/>
      <c r="J17" s="3" t="n"/>
      <c r="K17" s="3" t="n"/>
      <c r="L17" s="3" t="inlineStr">
        <is>
          <t>O/S</t>
        </is>
      </c>
      <c r="M17" s="3" t="n">
        <v>526</v>
      </c>
      <c r="N17" s="3" t="inlineStr">
        <is>
          <t>A no-fuss mat strap perfect for carrying, well, your mat. It doubles as a strap to help you stretch. How about that?</t>
        </is>
      </c>
      <c r="O17" s="3" t="inlineStr">
        <is>
          <t>Loop-It-Up-Mat-Strap-Cotton</t>
        </is>
      </c>
      <c r="P17" s="3" t="inlineStr">
        <is>
          <t>Yes</t>
        </is>
      </c>
      <c r="Q17" s="3" t="inlineStr">
        <is>
          <t>Loop It Up Mat Strap BLK ONE SIZE</t>
        </is>
      </c>
      <c r="R17" s="3" t="inlineStr">
        <is>
          <t>Black</t>
        </is>
      </c>
      <c r="S17" s="3" t="inlineStr">
        <is>
          <t>Mat Straps</t>
        </is>
      </c>
      <c r="T17" s="3" t="inlineStr">
        <is>
          <t>Accessories</t>
        </is>
      </c>
    </row>
    <row r="18" ht="80" customHeight="1">
      <c r="A18" s="2">
        <f>IMAGE("https://images.lululemon.com/is/image/lululemon/LU9AZ3S_0002_1?wid=320&amp;op_usm=0.8",1)</f>
        <v/>
      </c>
      <c r="B18" s="2" t="inlineStr">
        <is>
          <t>Everywhere Belt Bag 1L</t>
        </is>
      </c>
      <c r="C18" s="2" t="inlineStr">
        <is>
          <t>143483266</t>
        </is>
      </c>
      <c r="D18" s="2" t="inlineStr">
        <is>
          <t>$38.00</t>
        </is>
      </c>
      <c r="E18" s="2" t="inlineStr">
        <is>
          <t>$19.00</t>
        </is>
      </c>
      <c r="F18" s="2">
        <f>IMAGE("https://images.lululemon.com/is/image/lululemon/0002",1)</f>
        <v/>
      </c>
      <c r="G18" s="2">
        <f>IMAGE("https://images.lululemon.com/is/image/lululemon/31382",1)</f>
        <v/>
      </c>
      <c r="H18" s="2">
        <f>IMAGE("https://images.lululemon.com/is/image/lululemon/4780",1)</f>
        <v/>
      </c>
      <c r="I18" s="2">
        <f>IMAGE("https://images.lululemon.com/is/image/lululemon/62220",1)</f>
        <v/>
      </c>
      <c r="J18" s="2">
        <f>IMAGE("https://images.lululemon.com/is/image/lululemon/25461",1)</f>
        <v/>
      </c>
      <c r="K18" s="2">
        <f>IMAGE("https://images.lululemon.com/is/image/lululemon/62468",1)</f>
        <v/>
      </c>
      <c r="L18" s="2" t="inlineStr">
        <is>
          <t>O/S</t>
        </is>
      </c>
      <c r="M18" s="2" t="n">
        <v>17813</v>
      </c>
      <c r="N18" s="2" t="inlineStr">
        <is>
          <t>Phone, keys, wallet. Keep them close in this versatile belt bag that helps you get out the door and on to your next adventure.</t>
        </is>
      </c>
      <c r="O18" s="2" t="inlineStr">
        <is>
          <t>Everywhere-Belt-Bag</t>
        </is>
      </c>
      <c r="P18" s="2" t="inlineStr">
        <is>
          <t>Yes</t>
        </is>
      </c>
      <c r="Q18" s="2" t="inlineStr">
        <is>
          <t>Everywhere Belt Bag WHT ONE SIZE</t>
        </is>
      </c>
      <c r="R18" s="2" t="inlineStr">
        <is>
          <t>White, True Navy, Black/Black, Raspberry coulis, Pool Party, Raceway Green, Light Ivory, Serene Blue, Bay Leaf, Lululemon Red, Rainforest Green, Berry Rumble, Warm Ash Grey</t>
        </is>
      </c>
      <c r="S18" s="2" t="inlineStr">
        <is>
          <t>Belt Bags, Crossbody Bags</t>
        </is>
      </c>
      <c r="T18" s="2" t="inlineStr">
        <is>
          <t>Accessories</t>
        </is>
      </c>
    </row>
    <row r="19" ht="80" customHeight="1">
      <c r="A19" s="3">
        <f>IMAGE("https://images.lululemon.com/is/image/lululemon/LU9CRIS_0001_1?wid=320&amp;op_usm=0.8",1)</f>
        <v/>
      </c>
      <c r="B19" s="3" t="inlineStr">
        <is>
          <t>Warm Revelation Beanie</t>
        </is>
      </c>
      <c r="C19" s="3" t="inlineStr">
        <is>
          <t>157702454</t>
        </is>
      </c>
      <c r="D19" s="3" t="inlineStr">
        <is>
          <t>$48.00</t>
        </is>
      </c>
      <c r="E19" s="3" t="inlineStr">
        <is>
          <t>$24.00</t>
        </is>
      </c>
      <c r="F19" s="3">
        <f>IMAGE("https://images.lululemon.com/is/image/lululemon/0001",1)</f>
        <v/>
      </c>
      <c r="G19" s="3">
        <f>IMAGE("https://images.lululemon.com/is/image/lululemon/28022",1)</f>
        <v/>
      </c>
      <c r="H19" s="3">
        <f>IMAGE("https://images.lululemon.com/is/image/lululemon/70144",1)</f>
        <v/>
      </c>
      <c r="I19" s="3" t="n"/>
      <c r="J19" s="3" t="n"/>
      <c r="K19" s="3" t="n"/>
      <c r="L19" s="3" t="inlineStr">
        <is>
          <t>O/S</t>
        </is>
      </c>
      <c r="M19" s="3" t="n">
        <v>993</v>
      </c>
      <c r="N19" s="3" t="inlineStr">
        <is>
          <t>Pop on this merino wool-blend beanie when the temperature drops to help keep you cozy on chilly days.</t>
        </is>
      </c>
      <c r="O19" s="3" t="inlineStr">
        <is>
          <t>Warm-Revelation-Beanie</t>
        </is>
      </c>
      <c r="P19" s="3" t="inlineStr">
        <is>
          <t>Yes</t>
        </is>
      </c>
      <c r="Q19" s="3" t="inlineStr">
        <is>
          <t>Warm Revelation Beanie BLK ONE SIZE</t>
        </is>
      </c>
      <c r="R19" s="3" t="inlineStr">
        <is>
          <t>Black, Indochine Blue, Fog Green</t>
        </is>
      </c>
      <c r="S19" s="3" t="inlineStr">
        <is>
          <t>Beanies</t>
        </is>
      </c>
      <c r="T19" s="3" t="inlineStr">
        <is>
          <t>Accessories</t>
        </is>
      </c>
    </row>
    <row r="20" ht="80" customHeight="1">
      <c r="A20" s="2">
        <f>IMAGE("https://images.lululemon.com/is/image/lululemon/LU9BK9S_069510_1?wid=320&amp;op_usm=0.8",1)</f>
        <v/>
      </c>
      <c r="B20" s="2" t="inlineStr">
        <is>
          <t>Daily Multi-Pocket Canvas Tote Bag 20L *Logo</t>
        </is>
      </c>
      <c r="C20" s="2" t="inlineStr">
        <is>
          <t>155779488</t>
        </is>
      </c>
      <c r="D20" s="2" t="inlineStr">
        <is>
          <t>$68.00</t>
        </is>
      </c>
      <c r="E20" s="2" t="inlineStr">
        <is>
          <t>$34.00</t>
        </is>
      </c>
      <c r="F20" s="2">
        <f>IMAGE("https://images.lululemon.com/is/image/lululemon/69510",1)</f>
        <v/>
      </c>
      <c r="G20" s="2" t="n"/>
      <c r="H20" s="2" t="n"/>
      <c r="I20" s="2" t="n"/>
      <c r="J20" s="2" t="n"/>
      <c r="K20" s="2" t="n"/>
      <c r="L20" s="2" t="inlineStr">
        <is>
          <t>O/S</t>
        </is>
      </c>
      <c r="M20" s="2" t="n">
        <v>156</v>
      </c>
      <c r="N20" s="2" t="inlineStr">
        <is>
          <t>From farmers-market finds to picnic essentials, this roomy canvas tote handles it all. Plenty of pockets and a large opening make finding your things a breeze.</t>
        </is>
      </c>
      <c r="O20" s="2" t="inlineStr">
        <is>
          <t>Dly-Mlti-Pckt-Cnvs-Tote-Bag-20L-Logo</t>
        </is>
      </c>
      <c r="P20" s="2" t="inlineStr">
        <is>
          <t>Yes</t>
        </is>
      </c>
      <c r="Q20" s="2" t="inlineStr">
        <is>
          <t>Daily Multi-Pocket Tote *Canvas TRNV/STRH ONE SIZE</t>
        </is>
      </c>
      <c r="R20" s="2" t="inlineStr">
        <is>
          <t>True Navy/Starch Blue</t>
        </is>
      </c>
      <c r="S20" s="2" t="inlineStr">
        <is>
          <t>Totes</t>
        </is>
      </c>
      <c r="T20" s="2" t="inlineStr">
        <is>
          <t>Accessories</t>
        </is>
      </c>
    </row>
    <row r="21" ht="80" customHeight="1">
      <c r="A21" s="3">
        <f>IMAGE("https://images.lululemon.com/is/image/lululemon/LU9BZRS_0001_1?wid=320&amp;op_usm=0.8",1)</f>
        <v/>
      </c>
      <c r="B21" s="3" t="inlineStr">
        <is>
          <t>Everywhere Belt Bag 1L *Wunder Puff Shine</t>
        </is>
      </c>
      <c r="C21" s="3" t="inlineStr">
        <is>
          <t>154877945</t>
        </is>
      </c>
      <c r="D21" s="3" t="inlineStr">
        <is>
          <t>$58.00</t>
        </is>
      </c>
      <c r="E21" s="3" t="inlineStr">
        <is>
          <t>$29.00</t>
        </is>
      </c>
      <c r="F21" s="3">
        <f>IMAGE("https://images.lululemon.com/is/image/lululemon/0001",1)</f>
        <v/>
      </c>
      <c r="G21" s="3" t="n"/>
      <c r="H21" s="3" t="n"/>
      <c r="I21" s="3" t="n"/>
      <c r="J21" s="3" t="n"/>
      <c r="K21" s="3" t="n"/>
      <c r="L21" s="3" t="inlineStr">
        <is>
          <t>O/S</t>
        </is>
      </c>
      <c r="M21" s="3" t="n">
        <v>645</v>
      </c>
      <c r="N21" s="3" t="inlineStr">
        <is>
          <t>Inspired by the look of our Wunder Puff collection, this quilted Everywhere Belt Bag has space for your phone, keys, and wallet.</t>
        </is>
      </c>
      <c r="O21" s="3" t="inlineStr">
        <is>
          <t>Everywhere-Belt-Bag-1L-Wunder-Puff-Shine</t>
        </is>
      </c>
      <c r="P21" s="3" t="inlineStr">
        <is>
          <t>Yes</t>
        </is>
      </c>
      <c r="Q21" s="3" t="inlineStr">
        <is>
          <t>Everywhere Belt Bag *Wunder Puff BLK ONE SIZE</t>
        </is>
      </c>
      <c r="R21" s="3" t="inlineStr">
        <is>
          <t>Black</t>
        </is>
      </c>
      <c r="S21" s="3" t="inlineStr">
        <is>
          <t>Belt Bags, Crossbody Bags</t>
        </is>
      </c>
      <c r="T21" s="3" t="inlineStr">
        <is>
          <t>Accessories</t>
        </is>
      </c>
    </row>
    <row r="22" ht="80" customHeight="1">
      <c r="A22" s="2">
        <f>IMAGE("https://images.lululemon.com/is/image/lululemon/LU9AYAS_038426_1?wid=320&amp;op_usm=0.8",1)</f>
        <v/>
      </c>
      <c r="B22" s="2" t="inlineStr">
        <is>
          <t>The Lightweight Mat 5mm</t>
        </is>
      </c>
      <c r="C22" s="2" t="inlineStr">
        <is>
          <t>155825816</t>
        </is>
      </c>
      <c r="D22" s="2" t="inlineStr">
        <is>
          <t>$84.00</t>
        </is>
      </c>
      <c r="E22" s="2" t="inlineStr">
        <is>
          <t>$42.00</t>
        </is>
      </c>
      <c r="F22" s="2">
        <f>IMAGE("https://images.lululemon.com/is/image/lululemon/38426",1)</f>
        <v/>
      </c>
      <c r="G22" s="2" t="n"/>
      <c r="H22" s="2" t="n"/>
      <c r="I22" s="2" t="n"/>
      <c r="J22" s="2" t="n"/>
      <c r="K22" s="2" t="n"/>
      <c r="L22" s="2" t="inlineStr">
        <is>
          <t>O/S</t>
        </is>
      </c>
      <c r="M22" s="2" t="n">
        <v>63</v>
      </c>
      <c r="N22" s="2" t="inlineStr">
        <is>
          <t>This cushiony, easy-to-clean yoga mat is perfect for low-sweat practices. Pair with The Towel for extra grip when things heat up.</t>
        </is>
      </c>
      <c r="O22" s="2" t="inlineStr">
        <is>
          <t>The-Lightweight-Mat-5mm</t>
        </is>
      </c>
      <c r="P22" s="2" t="inlineStr">
        <is>
          <t>Yes</t>
        </is>
      </c>
      <c r="Q22" s="2" t="inlineStr">
        <is>
          <t>The Lightweight Mat 5mm SOGY ONE SIZE</t>
        </is>
      </c>
      <c r="R22" s="2" t="inlineStr">
        <is>
          <t>Solar Grey</t>
        </is>
      </c>
      <c r="S22" s="2" t="inlineStr"/>
      <c r="T22" s="2" t="inlineStr">
        <is>
          <t>Accessories</t>
        </is>
      </c>
    </row>
    <row r="23" ht="80" customHeight="1">
      <c r="A23" s="3">
        <f>IMAGE("https://images.lululemon.com/is/image/lululemon/LU9D25S_031078_1?wid=320&amp;op_usm=0.8",1)</f>
        <v/>
      </c>
      <c r="B23" s="3" t="inlineStr">
        <is>
          <t>All Sport Backpack 10L</t>
        </is>
      </c>
      <c r="C23" s="3" t="inlineStr">
        <is>
          <t>157678046</t>
        </is>
      </c>
      <c r="D23" s="3" t="inlineStr">
        <is>
          <t>$98.00</t>
        </is>
      </c>
      <c r="E23" s="3" t="inlineStr">
        <is>
          <t>$49.00</t>
        </is>
      </c>
      <c r="F23" s="3">
        <f>IMAGE("https://images.lululemon.com/is/image/lululemon/31078",1)</f>
        <v/>
      </c>
      <c r="G23" s="3" t="n"/>
      <c r="H23" s="3" t="n"/>
      <c r="I23" s="3" t="n"/>
      <c r="J23" s="3" t="n"/>
      <c r="K23" s="3" t="n"/>
      <c r="L23" s="3" t="inlineStr">
        <is>
          <t>O/S</t>
        </is>
      </c>
      <c r="M23" s="3" t="n">
        <v>130</v>
      </c>
      <c r="N23" s="3" t="inlineStr">
        <is>
          <t>Run, bike, or hike your way into adventure. This lightweight backpack has ample storage for your gear and strategically placed load lifters and compression straps for a snug fit.</t>
        </is>
      </c>
      <c r="O23" s="3" t="inlineStr">
        <is>
          <t>All-Sport-Backpack-10L</t>
        </is>
      </c>
      <c r="P23" s="3" t="inlineStr">
        <is>
          <t>Yes</t>
        </is>
      </c>
      <c r="Q23" s="3" t="inlineStr">
        <is>
          <t>All Sport Backpack 10L ANCH/BLK ONE SIZE</t>
        </is>
      </c>
      <c r="R23" s="3" t="inlineStr">
        <is>
          <t>Anchor/Black</t>
        </is>
      </c>
      <c r="S23" s="3" t="inlineStr">
        <is>
          <t>Backpacks</t>
        </is>
      </c>
      <c r="T23" s="3" t="inlineStr">
        <is>
          <t>Accessories</t>
        </is>
      </c>
    </row>
    <row r="24" ht="80" customHeight="1">
      <c r="A24" s="2">
        <f>IMAGE("https://images.lululemon.com/is/image/lululemon/LU9CWXS_074436_1?wid=320&amp;op_usm=0.8",1)</f>
        <v/>
      </c>
      <c r="B24" s="2" t="inlineStr">
        <is>
          <t>Wunderlust Backpack Mini 3L *Fleece</t>
        </is>
      </c>
      <c r="C24" s="2" t="inlineStr">
        <is>
          <t>158096482</t>
        </is>
      </c>
      <c r="D24" s="2" t="inlineStr">
        <is>
          <t>$108.00</t>
        </is>
      </c>
      <c r="E24" s="2" t="inlineStr">
        <is>
          <t>$54.00</t>
        </is>
      </c>
      <c r="F24" s="2">
        <f>IMAGE("https://images.lululemon.com/is/image/lululemon/74436",1)</f>
        <v/>
      </c>
      <c r="G24" s="2" t="n"/>
      <c r="H24" s="2" t="n"/>
      <c r="I24" s="2" t="n"/>
      <c r="J24" s="2" t="n"/>
      <c r="K24" s="2" t="n"/>
      <c r="L24" s="2" t="inlineStr">
        <is>
          <t>O/S</t>
        </is>
      </c>
      <c r="M24" s="2" t="n">
        <v>82</v>
      </c>
      <c r="N24" s="2" t="inlineStr">
        <is>
          <t>Major flex. Convert the straps on this mini bag to wear it as a backpack or cross-body. Stash your phone, protein bar, and tumbler inside and get going.</t>
        </is>
      </c>
      <c r="O24" s="2" t="inlineStr">
        <is>
          <t>Wunderlust-Backpack-Mini-3L-Fleece</t>
        </is>
      </c>
      <c r="P24" s="2" t="inlineStr">
        <is>
          <t>Yes</t>
        </is>
      </c>
      <c r="Q24" s="2" t="inlineStr">
        <is>
          <t>Wunderlust Backpack Mini *Fleece PLCN/JDWI ONE SIZE</t>
        </is>
      </c>
      <c r="R24" s="2" t="inlineStr">
        <is>
          <t>Pelican/Jade Whisper</t>
        </is>
      </c>
      <c r="S24" s="2" t="inlineStr">
        <is>
          <t>Backpacks</t>
        </is>
      </c>
      <c r="T24" s="2" t="inlineStr">
        <is>
          <t>Accessories</t>
        </is>
      </c>
    </row>
    <row r="25" ht="80" customHeight="1">
      <c r="A25" s="3">
        <f>IMAGE("https://images.lululemon.com/is/image/lululemon/LU9BU3S_0002_1?wid=320&amp;op_usm=0.8",1)</f>
        <v/>
      </c>
      <c r="B25" s="3" t="inlineStr">
        <is>
          <t>Fast and Free Running Hat *WovenAir</t>
        </is>
      </c>
      <c r="C25" s="3" t="inlineStr">
        <is>
          <t>153575604</t>
        </is>
      </c>
      <c r="D25" s="3" t="inlineStr">
        <is>
          <t>$38.00</t>
        </is>
      </c>
      <c r="E25" s="3" t="inlineStr">
        <is>
          <t>$19.00</t>
        </is>
      </c>
      <c r="F25" s="3">
        <f>IMAGE("https://images.lululemon.com/is/image/lululemon/0002",1)</f>
        <v/>
      </c>
      <c r="G25" s="3">
        <f>IMAGE("https://images.lululemon.com/is/image/lululemon/0001",1)</f>
        <v/>
      </c>
      <c r="H25" s="3">
        <f>IMAGE("https://images.lululemon.com/is/image/lululemon/31382",1)</f>
        <v/>
      </c>
      <c r="I25" s="3" t="n"/>
      <c r="J25" s="3" t="n"/>
      <c r="K25" s="3" t="n"/>
      <c r="L25" s="3" t="inlineStr">
        <is>
          <t>S/M, L/XL</t>
        </is>
      </c>
      <c r="M25" s="3" t="n">
        <v>2257</v>
      </c>
      <c r="N25" s="3" t="inlineStr">
        <is>
          <t>Short jogs, five mile sprints, or full-on marathons—whatever distance you're running, this lightweight hat provides shade and comfortable ventilation.</t>
        </is>
      </c>
      <c r="O25" s="3" t="inlineStr">
        <is>
          <t>Fast-and-Free-Running-Hat-WovenAir</t>
        </is>
      </c>
      <c r="P25" s="3" t="inlineStr">
        <is>
          <t>Yes</t>
        </is>
      </c>
      <c r="Q25" s="3" t="inlineStr">
        <is>
          <t>Fast and Free Run Hat *WovenAir™ WHT S/M</t>
        </is>
      </c>
      <c r="R25" s="3" t="inlineStr">
        <is>
          <t>White, Black, True Navy</t>
        </is>
      </c>
      <c r="S25" s="3" t="inlineStr">
        <is>
          <t>Caps</t>
        </is>
      </c>
      <c r="T25" s="3" t="inlineStr">
        <is>
          <t>Accessories</t>
        </is>
      </c>
    </row>
    <row r="26" ht="80" customHeight="1">
      <c r="A26" s="2">
        <f>IMAGE("https://images.lululemon.com/is/image/lululemon/LU9CXXS_021363_1?wid=320&amp;op_usm=0.8",1)</f>
        <v/>
      </c>
      <c r="B26" s="2" t="inlineStr">
        <is>
          <t>Warm Revelation Beanie *Shine</t>
        </is>
      </c>
      <c r="C26" s="2" t="inlineStr">
        <is>
          <t>158019285</t>
        </is>
      </c>
      <c r="D26" s="2" t="inlineStr">
        <is>
          <t>$52.00</t>
        </is>
      </c>
      <c r="E26" s="2" t="inlineStr">
        <is>
          <t>$26.00</t>
        </is>
      </c>
      <c r="F26" s="2">
        <f>IMAGE("https://images.lululemon.com/is/image/lululemon/21363",1)</f>
        <v/>
      </c>
      <c r="G26" s="2" t="n"/>
      <c r="H26" s="2" t="n"/>
      <c r="I26" s="2" t="n"/>
      <c r="J26" s="2" t="n"/>
      <c r="K26" s="2" t="n"/>
      <c r="L26" s="2" t="inlineStr">
        <is>
          <t>O/S</t>
        </is>
      </c>
      <c r="M26" s="2" t="n">
        <v>900</v>
      </c>
      <c r="N26" s="2" t="inlineStr">
        <is>
          <t>Pop on this merino wool-blend beanie when the temperature drops to help keep you cozy on chilly days. To add a hint of shine, this version features a glittery yarn knit throughout.</t>
        </is>
      </c>
      <c r="O26" s="2" t="inlineStr">
        <is>
          <t>Warm-Revelation-Beanie-Shine</t>
        </is>
      </c>
      <c r="P26" s="2" t="inlineStr">
        <is>
          <t>Yes</t>
        </is>
      </c>
      <c r="Q26" s="2" t="inlineStr">
        <is>
          <t>Warm Revelation Beanie *Shine BRML ONE SIZE</t>
        </is>
      </c>
      <c r="R26" s="2" t="inlineStr">
        <is>
          <t>Berry Rumble</t>
        </is>
      </c>
      <c r="S26" s="2" t="inlineStr">
        <is>
          <t>Beanies</t>
        </is>
      </c>
      <c r="T26" s="2" t="inlineStr">
        <is>
          <t>Accessories</t>
        </is>
      </c>
    </row>
    <row r="27" ht="80" customHeight="1">
      <c r="A27" s="3">
        <f>IMAGE("https://images.lululemon.com/is/image/lululemon/LU9AC4S_073766_1?wid=320&amp;op_usm=0.8",1)</f>
        <v/>
      </c>
      <c r="B27" s="3" t="inlineStr">
        <is>
          <t>Lift and Lengthen Yoga Block</t>
        </is>
      </c>
      <c r="C27" s="3" t="inlineStr">
        <is>
          <t>157793520</t>
        </is>
      </c>
      <c r="D27" s="3" t="inlineStr">
        <is>
          <t>$24.00</t>
        </is>
      </c>
      <c r="E27" s="3" t="inlineStr">
        <is>
          <t>$12.00</t>
        </is>
      </c>
      <c r="F27" s="3">
        <f>IMAGE("https://images.lululemon.com/is/image/lululemon/73766",1)</f>
        <v/>
      </c>
      <c r="G27" s="3">
        <f>IMAGE("https://images.lululemon.com/is/image/lululemon/0023",1)</f>
        <v/>
      </c>
      <c r="H27" s="3" t="n"/>
      <c r="I27" s="3" t="n"/>
      <c r="J27" s="3" t="n"/>
      <c r="K27" s="3" t="n"/>
      <c r="L27" s="3" t="inlineStr">
        <is>
          <t>O/S</t>
        </is>
      </c>
      <c r="M27" s="3" t="n">
        <v>1307</v>
      </c>
      <c r="N27" s="3" t="inlineStr">
        <is>
          <t>Give yourself a little support. From a few extra inches in crescent moon to lifting you in a seated twist, this block has your back.</t>
        </is>
      </c>
      <c r="O27" s="3" t="inlineStr">
        <is>
          <t>Lift-And-Lengthen-Yoga-Block</t>
        </is>
      </c>
      <c r="P27" s="3" t="inlineStr">
        <is>
          <t>Yes</t>
        </is>
      </c>
      <c r="Q27" s="3" t="inlineStr">
        <is>
          <t>Lift And Lengthen Yoga Block RGPL ONE SIZE</t>
        </is>
      </c>
      <c r="R27" s="3" t="inlineStr">
        <is>
          <t>Rainforest Green/Palm Deco/Laurel Green/Light Ivory, Black/White</t>
        </is>
      </c>
      <c r="S27" s="3" t="inlineStr">
        <is>
          <t>Blocks</t>
        </is>
      </c>
      <c r="T27" s="3" t="inlineStr">
        <is>
          <t>Accessories</t>
        </is>
      </c>
    </row>
    <row r="28" ht="80" customHeight="1">
      <c r="A28" s="2">
        <f>IMAGE("https://images.lululemon.com/is/image/lululemon/LU9CAMS_031382_1?wid=320&amp;op_usm=0.8",1)</f>
        <v/>
      </c>
      <c r="B28" s="2" t="inlineStr">
        <is>
          <t>Removable Sweatband All-Sport Visor</t>
        </is>
      </c>
      <c r="C28" s="2" t="inlineStr">
        <is>
          <t>150750165</t>
        </is>
      </c>
      <c r="D28" s="2" t="inlineStr">
        <is>
          <t>$38.00</t>
        </is>
      </c>
      <c r="E28" s="2" t="inlineStr">
        <is>
          <t>$19.00</t>
        </is>
      </c>
      <c r="F28" s="2">
        <f>IMAGE("https://images.lululemon.com/is/image/lululemon/31382",1)</f>
        <v/>
      </c>
      <c r="G28" s="2">
        <f>IMAGE("https://images.lululemon.com/is/image/lululemon/0001",1)</f>
        <v/>
      </c>
      <c r="H28" s="2" t="n"/>
      <c r="I28" s="2" t="n"/>
      <c r="J28" s="2" t="n"/>
      <c r="K28" s="2" t="n"/>
      <c r="L28" s="2" t="inlineStr">
        <is>
          <t>L/XL</t>
        </is>
      </c>
      <c r="M28" s="2" t="n">
        <v>181</v>
      </c>
      <c r="N28" s="2" t="inlineStr">
        <is>
          <t>It's easy to stay fresh with this do-it-all visor. Toss the detachable interior sweatband in the laundry so it's ready to go for your next sweat session.</t>
        </is>
      </c>
      <c r="O28" s="2" t="inlineStr">
        <is>
          <t>Removable-SweatbAll-Sport-Visor</t>
        </is>
      </c>
      <c r="P28" s="2" t="inlineStr">
        <is>
          <t>Yes</t>
        </is>
      </c>
      <c r="Q28" s="2" t="inlineStr">
        <is>
          <t>Removable Sweatband All-Sport Visor TRNV L/XL</t>
        </is>
      </c>
      <c r="R28" s="2" t="inlineStr">
        <is>
          <t>True Navy, Black</t>
        </is>
      </c>
      <c r="S28" s="2" t="inlineStr">
        <is>
          <t>Visors</t>
        </is>
      </c>
      <c r="T28" s="2" t="inlineStr">
        <is>
          <t>Accessories</t>
        </is>
      </c>
    </row>
    <row r="29" ht="80" customHeight="1">
      <c r="A29" s="3">
        <f>IMAGE("https://images.lululemon.com/is/image/lululemon/LW9FBXS_0002_1?wid=320&amp;op_usm=0.8",1)</f>
        <v/>
      </c>
      <c r="B29" s="3" t="inlineStr">
        <is>
          <t>Women's Luxtreme Training Headband</t>
        </is>
      </c>
      <c r="C29" s="3" t="inlineStr">
        <is>
          <t>153836035</t>
        </is>
      </c>
      <c r="D29" s="3" t="inlineStr">
        <is>
          <t>$14.00</t>
        </is>
      </c>
      <c r="E29" s="3" t="inlineStr">
        <is>
          <t>$7.00</t>
        </is>
      </c>
      <c r="F29" s="3">
        <f>IMAGE("https://images.lululemon.com/is/image/lululemon/0002",1)</f>
        <v/>
      </c>
      <c r="G29" s="3">
        <f>IMAGE("https://images.lululemon.com/is/image/lululemon/0001",1)</f>
        <v/>
      </c>
      <c r="H29" s="3">
        <f>IMAGE("https://images.lululemon.com/is/image/lululemon/28022",1)</f>
        <v/>
      </c>
      <c r="I29" s="3">
        <f>IMAGE("https://images.lululemon.com/is/image/lululemon/21363",1)</f>
        <v/>
      </c>
      <c r="J29" s="3">
        <f>IMAGE("https://images.lululemon.com/is/image/lululemon/72757",1)</f>
        <v/>
      </c>
      <c r="K29" s="3" t="n"/>
      <c r="L29" s="3" t="inlineStr">
        <is>
          <t>O/S</t>
        </is>
      </c>
      <c r="M29" s="3" t="n">
        <v>4426</v>
      </c>
      <c r="N29" s="3" t="inlineStr">
        <is>
          <t>Keep your hair in place while you work out. This sweat-wicking headband hugs your head in all the right places.</t>
        </is>
      </c>
      <c r="O29" s="3" t="inlineStr">
        <is>
          <t>W-Luxtreme-Training-Headband</t>
        </is>
      </c>
      <c r="P29" s="3" t="inlineStr">
        <is>
          <t>Yes</t>
        </is>
      </c>
      <c r="Q29" s="3" t="inlineStr">
        <is>
          <t>Luxtreme™ Training Headband WHT ONE SIZE</t>
        </is>
      </c>
      <c r="R29" s="3" t="inlineStr">
        <is>
          <t>White, Black, Indochine Blue, Berry Rumble, Oxford Red</t>
        </is>
      </c>
      <c r="S29" s="3" t="inlineStr">
        <is>
          <t>Headbands</t>
        </is>
      </c>
      <c r="T29" s="3" t="inlineStr">
        <is>
          <t>Accessories</t>
        </is>
      </c>
    </row>
    <row r="30" ht="80" customHeight="1">
      <c r="A30" s="2">
        <f>IMAGE("https://images.lululemon.com/is/image/lululemon/LU9CGNS_0001_1?wid=320&amp;op_usm=0.8",1)</f>
        <v/>
      </c>
      <c r="B30" s="2" t="inlineStr">
        <is>
          <t>Fast and Free Fleece Running Beanie</t>
        </is>
      </c>
      <c r="C30" s="2" t="inlineStr">
        <is>
          <t>154832028</t>
        </is>
      </c>
      <c r="D30" s="2" t="inlineStr">
        <is>
          <t>$48.00</t>
        </is>
      </c>
      <c r="E30" s="2" t="inlineStr">
        <is>
          <t>$24.00</t>
        </is>
      </c>
      <c r="F30" s="2">
        <f>IMAGE("https://images.lululemon.com/is/image/lululemon/0001",1)</f>
        <v/>
      </c>
      <c r="G30" s="2" t="n"/>
      <c r="H30" s="2" t="n"/>
      <c r="I30" s="2" t="n"/>
      <c r="J30" s="2" t="n"/>
      <c r="K30" s="2" t="n"/>
      <c r="L30" s="2" t="inlineStr">
        <is>
          <t>S/M, L/XL</t>
        </is>
      </c>
      <c r="M30" s="2" t="n">
        <v>303</v>
      </c>
      <c r="N30" s="2" t="inlineStr">
        <is>
          <t>Gone in a flash. This warm, double-layered beanie has reflective details to help keep you on the radar during cold-weather runs.</t>
        </is>
      </c>
      <c r="O30" s="2" t="inlineStr">
        <is>
          <t>Fast-and-Free-Fleece-Run-Beanie</t>
        </is>
      </c>
      <c r="P30" s="2" t="inlineStr">
        <is>
          <t>Yes</t>
        </is>
      </c>
      <c r="Q30" s="2" t="inlineStr">
        <is>
          <t>Fast and Free Fleece Run Beanie BLK S/M</t>
        </is>
      </c>
      <c r="R30" s="2" t="inlineStr">
        <is>
          <t>Black</t>
        </is>
      </c>
      <c r="S30" s="2" t="inlineStr">
        <is>
          <t>Beanies</t>
        </is>
      </c>
      <c r="T30" s="2" t="inlineStr">
        <is>
          <t>Accessories</t>
        </is>
      </c>
    </row>
    <row r="31" ht="80" customHeight="1">
      <c r="A31" s="3">
        <f>IMAGE("https://images.lululemon.com/is/image/lululemon/LU9BSDS_073013_1?wid=320&amp;op_usm=0.8",1)</f>
        <v/>
      </c>
      <c r="B31" s="3" t="inlineStr">
        <is>
          <t>Daily Multi-Pocket Tote Bag 20L</t>
        </is>
      </c>
      <c r="C31" s="3" t="inlineStr">
        <is>
          <t>158020348</t>
        </is>
      </c>
      <c r="D31" s="3" t="inlineStr">
        <is>
          <t>$68.00</t>
        </is>
      </c>
      <c r="E31" s="3" t="inlineStr">
        <is>
          <t>$34.00</t>
        </is>
      </c>
      <c r="F31" s="3">
        <f>IMAGE("https://images.lululemon.com/is/image/lululemon/73013",1)</f>
        <v/>
      </c>
      <c r="G31" s="3">
        <f>IMAGE("https://images.lululemon.com/is/image/lululemon/73852",1)</f>
        <v/>
      </c>
      <c r="H31" s="3">
        <f>IMAGE("https://images.lululemon.com/is/image/lululemon/70401",1)</f>
        <v/>
      </c>
      <c r="I31" s="3" t="n"/>
      <c r="J31" s="3" t="n"/>
      <c r="K31" s="3" t="n"/>
      <c r="L31" s="3" t="inlineStr">
        <is>
          <t>O/S</t>
        </is>
      </c>
      <c r="M31" s="3" t="n">
        <v>1114</v>
      </c>
      <c r="N31" s="3" t="inlineStr">
        <is>
          <t>From farmers-market scores to picnic essentials, this roomy tote handles it all. Bonus: it stands up on its own to make finding your things a breeze.</t>
        </is>
      </c>
      <c r="O31" s="3" t="inlineStr">
        <is>
          <t>Daily-Multi-Pocket-Tote-Bag-20L</t>
        </is>
      </c>
      <c r="P31" s="3" t="inlineStr">
        <is>
          <t>Yes</t>
        </is>
      </c>
      <c r="Q31" s="3" t="inlineStr">
        <is>
          <t>Daily Multi-Pocket Tote TROS/REDC ONE SIZE</t>
        </is>
      </c>
      <c r="R31" s="3" t="inlineStr">
        <is>
          <t>Tea Rose/Red Clay, Black Plum/Jewelled Magenta, Lavender Frost/Galactic Cobalt</t>
        </is>
      </c>
      <c r="S31" s="3" t="inlineStr">
        <is>
          <t>Totes</t>
        </is>
      </c>
      <c r="T31" s="3" t="inlineStr">
        <is>
          <t>Accessories</t>
        </is>
      </c>
    </row>
    <row r="32" ht="80" customHeight="1">
      <c r="A32" s="2">
        <f>IMAGE("https://images.lululemon.com/is/image/lululemon/LM9A09S_0001_1?wid=320&amp;op_usm=0.8",1)</f>
        <v/>
      </c>
      <c r="B32" s="2" t="inlineStr">
        <is>
          <t>License to Train Training Gloves</t>
        </is>
      </c>
      <c r="C32" s="2" t="inlineStr">
        <is>
          <t>115650043</t>
        </is>
      </c>
      <c r="D32" s="2" t="inlineStr">
        <is>
          <t>$44.00</t>
        </is>
      </c>
      <c r="E32" s="2" t="inlineStr">
        <is>
          <t>$22.00</t>
        </is>
      </c>
      <c r="F32" s="2">
        <f>IMAGE("https://images.lululemon.com/is/image/lululemon/0001",1)</f>
        <v/>
      </c>
      <c r="G32" s="2" t="n"/>
      <c r="H32" s="2" t="n"/>
      <c r="I32" s="2" t="n"/>
      <c r="J32" s="2" t="n"/>
      <c r="K32" s="2" t="n"/>
      <c r="L32" s="2" t="inlineStr">
        <is>
          <t>S/M, L/XL</t>
        </is>
      </c>
      <c r="M32" s="2" t="n">
        <v>34</v>
      </c>
      <c r="N32" s="2" t="inlineStr">
        <is>
          <t>From deadlifts to pull-ups, these ventilated gloves help protect your hands while you train.</t>
        </is>
      </c>
      <c r="O32" s="2" t="inlineStr">
        <is>
          <t>License-to-Train-Training-Glove</t>
        </is>
      </c>
      <c r="P32" s="2" t="inlineStr">
        <is>
          <t>Yes</t>
        </is>
      </c>
      <c r="Q32" s="2" t="inlineStr">
        <is>
          <t>License to Train Gloves BLK S/M</t>
        </is>
      </c>
      <c r="R32" s="2" t="inlineStr">
        <is>
          <t>Black</t>
        </is>
      </c>
      <c r="S32" s="2" t="inlineStr"/>
      <c r="T32" s="2" t="inlineStr">
        <is>
          <t>Accessories</t>
        </is>
      </c>
    </row>
    <row r="33" ht="80" customHeight="1">
      <c r="A33" s="3">
        <f>IMAGE("https://images.lululemon.com/is/image/lululemon/LU9CVWS_073767_1?wid=320&amp;op_usm=0.8",1)</f>
        <v/>
      </c>
      <c r="B33" s="3" t="inlineStr">
        <is>
          <t>Insulated Tumbler 40oz *Shine</t>
        </is>
      </c>
      <c r="C33" s="3" t="inlineStr">
        <is>
          <t>157718224</t>
        </is>
      </c>
      <c r="D33" s="3" t="inlineStr">
        <is>
          <t>$58.00</t>
        </is>
      </c>
      <c r="E33" s="3" t="inlineStr">
        <is>
          <t>$29.00</t>
        </is>
      </c>
      <c r="F33" s="3">
        <f>IMAGE("https://images.lululemon.com/is/image/lululemon/73767",1)</f>
        <v/>
      </c>
      <c r="G33" s="3">
        <f>IMAGE("https://images.lululemon.com/is/image/lululemon/73740",1)</f>
        <v/>
      </c>
      <c r="H33" s="3" t="n"/>
      <c r="I33" s="3" t="n"/>
      <c r="J33" s="3" t="n"/>
      <c r="K33" s="3" t="n"/>
      <c r="L33" s="3" t="inlineStr">
        <is>
          <t>O/S</t>
        </is>
      </c>
      <c r="M33" s="3" t="n">
        <v>487</v>
      </c>
      <c r="N33" s="3" t="inlineStr">
        <is>
          <t>Your new hydration bestie. This easy-carry tumbler gives you options: take icy cold sips from the stainless steel straw or swig from the secure lid flap.</t>
        </is>
      </c>
      <c r="O33" s="3" t="inlineStr">
        <is>
          <t>Insulated-Tumbler-40oz-Shine</t>
        </is>
      </c>
      <c r="P33" s="3" t="inlineStr">
        <is>
          <t>Yes</t>
        </is>
      </c>
      <c r="Q33" s="3" t="inlineStr">
        <is>
          <t>Insulated Tumbler 40oz DRGL/SLVR ONE SIZE</t>
        </is>
      </c>
      <c r="R33" s="3" t="inlineStr">
        <is>
          <t>Dark Rose Gold/Silver, Gunmetal/Silver/Black</t>
        </is>
      </c>
      <c r="S33" s="3" t="inlineStr">
        <is>
          <t>Tumblers and Travel Mugs</t>
        </is>
      </c>
      <c r="T33" s="3" t="inlineStr">
        <is>
          <t>Accessories</t>
        </is>
      </c>
    </row>
    <row r="34" ht="80" customHeight="1">
      <c r="A34" s="2">
        <f>IMAGE("https://images.lululemon.com/is/image/lululemon/LU9CMUS_027401_1?wid=320&amp;op_usm=0.8",1)</f>
        <v/>
      </c>
      <c r="B34" s="2" t="inlineStr">
        <is>
          <t>Back to Life Sport Bottle 24oz Straw Lid *Print</t>
        </is>
      </c>
      <c r="C34" s="2" t="inlineStr">
        <is>
          <t>157768469</t>
        </is>
      </c>
      <c r="D34" s="2" t="inlineStr">
        <is>
          <t>$48.00</t>
        </is>
      </c>
      <c r="E34" s="2" t="inlineStr">
        <is>
          <t>$24.00</t>
        </is>
      </c>
      <c r="F34" s="2">
        <f>IMAGE("https://images.lululemon.com/is/image/lululemon/27401",1)</f>
        <v/>
      </c>
      <c r="G34" s="2" t="n"/>
      <c r="H34" s="2" t="n"/>
      <c r="I34" s="2" t="n"/>
      <c r="J34" s="2" t="n"/>
      <c r="K34" s="2" t="n"/>
      <c r="L34" s="2" t="inlineStr">
        <is>
          <t>O/S</t>
        </is>
      </c>
      <c r="M34" s="2" t="n">
        <v>174</v>
      </c>
      <c r="N34" s="2" t="inlineStr">
        <is>
          <t>Sport mode: activated. This insulated water bottle has a built-in straw lid and a slip-free texture to make one-handed drinking a breeze.</t>
        </is>
      </c>
      <c r="O34" s="2" t="inlineStr">
        <is>
          <t>Back-to-Life-Sport-Bottle-24oz-Straw-Lid-Print</t>
        </is>
      </c>
      <c r="P34" s="2" t="inlineStr">
        <is>
          <t>Yes</t>
        </is>
      </c>
      <c r="Q34" s="2" t="inlineStr">
        <is>
          <t>Back to Life Sport Bottle 24oz*Straw Lid PLCN ONE SIZE</t>
        </is>
      </c>
      <c r="R34" s="2" t="inlineStr">
        <is>
          <t>Pelican</t>
        </is>
      </c>
      <c r="S34" s="2" t="inlineStr"/>
      <c r="T34" s="2" t="inlineStr">
        <is>
          <t>Accessories</t>
        </is>
      </c>
    </row>
    <row r="35" ht="80" customHeight="1">
      <c r="A35" s="3">
        <f>IMAGE("https://images.lululemon.com/is/image/lululemon/LU9CACS_0001_1?wid=320&amp;op_usm=0.8",1)</f>
        <v/>
      </c>
      <c r="B35" s="3" t="inlineStr">
        <is>
          <t>Slouchy Sling Bag 6L</t>
        </is>
      </c>
      <c r="C35" s="3" t="inlineStr">
        <is>
          <t>153840523</t>
        </is>
      </c>
      <c r="D35" s="3" t="inlineStr">
        <is>
          <t>$68.00</t>
        </is>
      </c>
      <c r="E35" s="3" t="inlineStr">
        <is>
          <t>$34.00</t>
        </is>
      </c>
      <c r="F35" s="3">
        <f>IMAGE("https://images.lululemon.com/is/image/lululemon/0001",1)</f>
        <v/>
      </c>
      <c r="G35" s="3">
        <f>IMAGE("https://images.lululemon.com/is/image/lululemon/42797",1)</f>
        <v/>
      </c>
      <c r="H35" s="3" t="n"/>
      <c r="I35" s="3" t="n"/>
      <c r="J35" s="3" t="n"/>
      <c r="K35" s="3" t="n"/>
      <c r="L35" s="3" t="inlineStr">
        <is>
          <t>O/S</t>
        </is>
      </c>
      <c r="M35" s="3" t="n">
        <v>147</v>
      </c>
      <c r="N35" s="3" t="inlineStr">
        <is>
          <t>No structure, no problem. With a curved silhouette and a surprising amount of space, this slouchy sling tucks close to your frame for comfort and security.</t>
        </is>
      </c>
      <c r="O35" s="3" t="inlineStr">
        <is>
          <t>Slouchy-Sling-Bag-6L</t>
        </is>
      </c>
      <c r="P35" s="3" t="inlineStr">
        <is>
          <t>Yes</t>
        </is>
      </c>
      <c r="Q35" s="3" t="inlineStr">
        <is>
          <t>Slouchy Sling Bag BLK ONE SIZE</t>
        </is>
      </c>
      <c r="R35" s="3" t="inlineStr">
        <is>
          <t>Black, Light Ivory/Gold</t>
        </is>
      </c>
      <c r="S35" s="3" t="inlineStr">
        <is>
          <t>Crossbody Bags, Shoulder Bags</t>
        </is>
      </c>
      <c r="T35" s="3" t="inlineStr">
        <is>
          <t>Accessories</t>
        </is>
      </c>
    </row>
    <row r="36" ht="80" customHeight="1">
      <c r="A36" s="2">
        <f>IMAGE("https://images.lululemon.com/is/image/lululemon/LU9CPTS_0001_1?wid=320&amp;op_usm=0.8",1)</f>
        <v/>
      </c>
      <c r="B36" s="2" t="inlineStr">
        <is>
          <t>Unisex Power Stride Crew Socks</t>
        </is>
      </c>
      <c r="C36" s="2" t="inlineStr">
        <is>
          <t>156751324</t>
        </is>
      </c>
      <c r="D36" s="2" t="inlineStr">
        <is>
          <t>$18.00</t>
        </is>
      </c>
      <c r="E36" s="2" t="inlineStr">
        <is>
          <t>$9.00</t>
        </is>
      </c>
      <c r="F36" s="2">
        <f>IMAGE("https://images.lululemon.com/is/image/lululemon/0001",1)</f>
        <v/>
      </c>
      <c r="G36" s="2" t="n"/>
      <c r="H36" s="2" t="n"/>
      <c r="I36" s="2" t="n"/>
      <c r="J36" s="2" t="n"/>
      <c r="K36" s="2" t="n"/>
      <c r="L36" s="2" t="inlineStr">
        <is>
          <t>S, M, L, XL</t>
        </is>
      </c>
      <c r="M36" s="2" t="n">
        <v>265</v>
      </c>
      <c r="N36" s="2" t="inlineStr">
        <is>
          <t>Set the groundwork for a strong workout. We updated our versatile performance socks with intentional cushioning and enhanced breathability so you can move more comfortably.</t>
        </is>
      </c>
      <c r="O36" s="2" t="inlineStr">
        <is>
          <t>Unisex-Power-Stride-Crew-Socks</t>
        </is>
      </c>
      <c r="P36" s="2" t="inlineStr">
        <is>
          <t>Yes</t>
        </is>
      </c>
      <c r="Q36" s="2" t="inlineStr">
        <is>
          <t>Power Stride Socks BLK S</t>
        </is>
      </c>
      <c r="R36" s="2" t="inlineStr">
        <is>
          <t>Black</t>
        </is>
      </c>
      <c r="S36" s="2" t="inlineStr">
        <is>
          <t>Crew Socks</t>
        </is>
      </c>
      <c r="T36" s="2" t="inlineStr">
        <is>
          <t>Accessories</t>
        </is>
      </c>
    </row>
    <row r="37" ht="80" customHeight="1">
      <c r="A37" s="3">
        <f>IMAGE("https://images.lululemon.com/is/image/lululemon/LW9GC3S_0393_1?wid=320&amp;op_usm=0.8",1)</f>
        <v/>
      </c>
      <c r="B37" s="3" t="inlineStr">
        <is>
          <t>On My Level Tote Bag Small 3L *Puffy</t>
        </is>
      </c>
      <c r="C37" s="3" t="inlineStr">
        <is>
          <t>158118733</t>
        </is>
      </c>
      <c r="D37" s="3" t="inlineStr">
        <is>
          <t>$98.00</t>
        </is>
      </c>
      <c r="E37" s="3" t="inlineStr">
        <is>
          <t>$49.00</t>
        </is>
      </c>
      <c r="F37" s="3">
        <f>IMAGE("https://images.lululemon.com/is/image/lululemon/0393",1)</f>
        <v/>
      </c>
      <c r="G37" s="3" t="n"/>
      <c r="H37" s="3" t="n"/>
      <c r="I37" s="3" t="n"/>
      <c r="J37" s="3" t="n"/>
      <c r="K37" s="3" t="n"/>
      <c r="L37" s="3" t="inlineStr">
        <is>
          <t>O/S</t>
        </is>
      </c>
      <c r="M37" s="3" t="n">
        <v>22</v>
      </c>
      <c r="N37" s="3" t="inlineStr">
        <is>
          <t>All puffed up. This small version of our On My Level Tote has all the space, slouch, and storage you love, plus a soft, padded exterior.</t>
        </is>
      </c>
      <c r="O37" s="3" t="inlineStr">
        <is>
          <t>On-My-Level-Tote-Bag-Small-3L-Puffy</t>
        </is>
      </c>
      <c r="P37" s="3" t="inlineStr">
        <is>
          <t>Yes</t>
        </is>
      </c>
      <c r="Q37" s="3" t="inlineStr">
        <is>
          <t>On My Level Tote Small *Puffy BLK/SLVR ONE SIZE</t>
        </is>
      </c>
      <c r="R37" s="3" t="inlineStr">
        <is>
          <t>Black/Silver</t>
        </is>
      </c>
      <c r="S37" s="3" t="inlineStr">
        <is>
          <t>Totes, Wallets and Pouches</t>
        </is>
      </c>
      <c r="T37" s="3" t="inlineStr">
        <is>
          <t>Accessories</t>
        </is>
      </c>
    </row>
    <row r="38" ht="80" customHeight="1">
      <c r="A38" s="2">
        <f>IMAGE("https://images.lululemon.com/is/image/lululemon/LU9AYKS_0001_1?wid=320&amp;op_usm=0.8",1)</f>
        <v/>
      </c>
      <c r="B38" s="2" t="inlineStr">
        <is>
          <t>Fast and Free Running Armband</t>
        </is>
      </c>
      <c r="C38" s="2" t="inlineStr">
        <is>
          <t>144355704</t>
        </is>
      </c>
      <c r="D38" s="2" t="inlineStr">
        <is>
          <t>$38.00</t>
        </is>
      </c>
      <c r="E38" s="2" t="inlineStr">
        <is>
          <t>$19.00</t>
        </is>
      </c>
      <c r="F38" s="2">
        <f>IMAGE("https://images.lululemon.com/is/image/lululemon/0001",1)</f>
        <v/>
      </c>
      <c r="G38" s="2" t="n"/>
      <c r="H38" s="2" t="n"/>
      <c r="I38" s="2" t="n"/>
      <c r="J38" s="2" t="n"/>
      <c r="K38" s="2" t="n"/>
      <c r="L38" s="2" t="inlineStr">
        <is>
          <t>S/M, L/XL</t>
        </is>
      </c>
      <c r="M38" s="2" t="n">
        <v>121</v>
      </c>
      <c r="N38" s="2" t="inlineStr">
        <is>
          <t>Go the distance while staying connected. This low-profile armband is lightweight and breathable, making it perfect for long runs.</t>
        </is>
      </c>
      <c r="O38" s="2" t="inlineStr">
        <is>
          <t>Fast-and-Free-Run-Arm-Band</t>
        </is>
      </c>
      <c r="P38" s="2" t="inlineStr">
        <is>
          <t>Yes</t>
        </is>
      </c>
      <c r="Q38" s="2" t="inlineStr">
        <is>
          <t>Fast and Free Run Armband BLK S/M</t>
        </is>
      </c>
      <c r="R38" s="2" t="inlineStr">
        <is>
          <t>Black</t>
        </is>
      </c>
      <c r="S38" s="2" t="inlineStr"/>
      <c r="T38" s="2" t="inlineStr">
        <is>
          <t>Accessories</t>
        </is>
      </c>
    </row>
    <row r="39" ht="80" customHeight="1">
      <c r="A39" s="3">
        <f>IMAGE("https://images.lululemon.com/is/image/lululemon/LU9CVAS_0001_1?wid=320&amp;op_usm=0.8",1)</f>
        <v/>
      </c>
      <c r="B39" s="3" t="inlineStr">
        <is>
          <t>Back To Life Sport Bottle 24oz Straw Lid *Iridescent</t>
        </is>
      </c>
      <c r="C39" s="3" t="inlineStr">
        <is>
          <t>157689553</t>
        </is>
      </c>
      <c r="D39" s="3" t="inlineStr">
        <is>
          <t>$48.00</t>
        </is>
      </c>
      <c r="E39" s="3" t="inlineStr">
        <is>
          <t>$24.00</t>
        </is>
      </c>
      <c r="F39" s="3">
        <f>IMAGE("https://images.lululemon.com/is/image/lululemon/0001",1)</f>
        <v/>
      </c>
      <c r="G39" s="3" t="n"/>
      <c r="H39" s="3" t="n"/>
      <c r="I39" s="3" t="n"/>
      <c r="J39" s="3" t="n"/>
      <c r="K39" s="3" t="n"/>
      <c r="L39" s="3" t="inlineStr">
        <is>
          <t>O/S</t>
        </is>
      </c>
      <c r="M39" s="3" t="n">
        <v>53</v>
      </c>
      <c r="N39" s="3" t="inlineStr">
        <is>
          <t>Sport mode: activated. This insulated water bottle has a built-in straw lid and a slip-free texture to make one-handed drinking a breeze.</t>
        </is>
      </c>
      <c r="O39" s="3" t="inlineStr">
        <is>
          <t>Bck-to-Life-Sprt-Bttle-24oz-Straw-Lid-Irid</t>
        </is>
      </c>
      <c r="P39" s="3" t="inlineStr">
        <is>
          <t>Yes</t>
        </is>
      </c>
      <c r="Q39" s="3" t="inlineStr">
        <is>
          <t>Back to Life Sport Bottle 24oz Straw Lid BLK ONE SIZE</t>
        </is>
      </c>
      <c r="R39" s="3" t="inlineStr">
        <is>
          <t>Black</t>
        </is>
      </c>
      <c r="S39" s="3" t="inlineStr"/>
      <c r="T39" s="3" t="inlineStr">
        <is>
          <t>Accessories</t>
        </is>
      </c>
    </row>
    <row r="40" ht="80" customHeight="1">
      <c r="A40" s="2">
        <f>IMAGE("https://images.lululemon.com/is/image/lululemon/LU9DDSS_036168_1?wid=320&amp;op_usm=0.8",1)</f>
        <v/>
      </c>
      <c r="B40" s="2" t="inlineStr">
        <is>
          <t>Warm Revelation Beanie *Wordmark</t>
        </is>
      </c>
      <c r="C40" s="2" t="inlineStr">
        <is>
          <t>157702281</t>
        </is>
      </c>
      <c r="D40" s="2" t="inlineStr">
        <is>
          <t>$48.00</t>
        </is>
      </c>
      <c r="E40" s="2" t="inlineStr">
        <is>
          <t>$24.00</t>
        </is>
      </c>
      <c r="F40" s="2">
        <f>IMAGE("https://images.lululemon.com/is/image/lululemon/36168",1)</f>
        <v/>
      </c>
      <c r="G40" s="2">
        <f>IMAGE("https://images.lululemon.com/is/image/lululemon/73461",1)</f>
        <v/>
      </c>
      <c r="H40" s="2" t="n"/>
      <c r="I40" s="2" t="n"/>
      <c r="J40" s="2" t="n"/>
      <c r="K40" s="2" t="n"/>
      <c r="L40" s="2" t="inlineStr">
        <is>
          <t>O/S</t>
        </is>
      </c>
      <c r="M40" s="2" t="n">
        <v>904</v>
      </c>
      <c r="N40" s="2" t="inlineStr">
        <is>
          <t>Pop on this merino wool-blend beanie when the temperature drops to help keep you cozy on chilly days.</t>
        </is>
      </c>
      <c r="O40" s="2" t="inlineStr">
        <is>
          <t>Warm-Revelation-Beanie-Wordmark</t>
        </is>
      </c>
      <c r="P40" s="2" t="inlineStr">
        <is>
          <t>Yes</t>
        </is>
      </c>
      <c r="Q40" s="2" t="inlineStr">
        <is>
          <t>Warm Revelation Beanie HRLI ONE SIZE</t>
        </is>
      </c>
      <c r="R40" s="2" t="inlineStr">
        <is>
          <t>Heathered Light Ivory, Faint Lavender/Grape Mist</t>
        </is>
      </c>
      <c r="S40" s="2" t="inlineStr">
        <is>
          <t>Beanies</t>
        </is>
      </c>
      <c r="T40" s="2" t="inlineStr">
        <is>
          <t>Accessories</t>
        </is>
      </c>
    </row>
    <row r="41" ht="80" customHeight="1">
      <c r="A41" s="3">
        <f>IMAGE("https://images.lululemon.com/is/image/lululemon/LW9FZXS_033454_1?wid=320&amp;op_usm=0.8",1)</f>
        <v/>
      </c>
      <c r="B41" s="3" t="inlineStr">
        <is>
          <t>Diamond Quilt Tote Bag 14L</t>
        </is>
      </c>
      <c r="C41" s="3" t="inlineStr">
        <is>
          <t>158021945</t>
        </is>
      </c>
      <c r="D41" s="3" t="inlineStr">
        <is>
          <t>$198.00</t>
        </is>
      </c>
      <c r="E41" s="3" t="inlineStr">
        <is>
          <t>$99.00</t>
        </is>
      </c>
      <c r="F41" s="3">
        <f>IMAGE("https://images.lululemon.com/is/image/lululemon/33454",1)</f>
        <v/>
      </c>
      <c r="G41" s="3">
        <f>IMAGE("https://images.lululemon.com/is/image/lululemon/0001",1)</f>
        <v/>
      </c>
      <c r="H41" s="3" t="n"/>
      <c r="I41" s="3" t="n"/>
      <c r="J41" s="3" t="n"/>
      <c r="K41" s="3" t="n"/>
      <c r="L41" s="3" t="inlineStr">
        <is>
          <t>O/S</t>
        </is>
      </c>
      <c r="M41" s="3" t="n">
        <v>1091</v>
      </c>
      <c r="N41" s="3" t="inlineStr">
        <is>
          <t>Your favourite tote all grown  up. With a quilted exterior  and plenty of pockets inside  and out, this roomy carryall  puts a sophisticated spin on  every look.</t>
        </is>
      </c>
      <c r="O41" s="3" t="inlineStr">
        <is>
          <t>Diamond-Quilt-Tote-Bag-14L</t>
        </is>
      </c>
      <c r="P41" s="3" t="inlineStr">
        <is>
          <t>Yes</t>
        </is>
      </c>
      <c r="Q41" s="3" t="inlineStr">
        <is>
          <t>Diamond Quilt Tote LTIV ONE SIZE</t>
        </is>
      </c>
      <c r="R41" s="3" t="inlineStr">
        <is>
          <t>Light Ivory, Black</t>
        </is>
      </c>
      <c r="S41" s="3" t="inlineStr"/>
      <c r="T41" s="3" t="inlineStr">
        <is>
          <t>Accessories</t>
        </is>
      </c>
    </row>
    <row r="42" ht="80" customHeight="1">
      <c r="A42" s="2">
        <f>IMAGE("https://images.lululemon.com/is/image/lululemon/LW9GBRS_041431_1?wid=320&amp;op_usm=0.8",1)</f>
        <v/>
      </c>
      <c r="B42" s="2" t="inlineStr">
        <is>
          <t>Jumbo Claw Clip</t>
        </is>
      </c>
      <c r="C42" s="2" t="inlineStr">
        <is>
          <t>156525972</t>
        </is>
      </c>
      <c r="D42" s="2" t="inlineStr">
        <is>
          <t>$28.00</t>
        </is>
      </c>
      <c r="E42" s="2" t="inlineStr">
        <is>
          <t>$14.00</t>
        </is>
      </c>
      <c r="F42" s="2">
        <f>IMAGE("https://images.lululemon.com/is/image/lululemon/41431",1)</f>
        <v/>
      </c>
      <c r="G42" s="2" t="n"/>
      <c r="H42" s="2" t="n"/>
      <c r="I42" s="2" t="n"/>
      <c r="J42" s="2" t="n"/>
      <c r="K42" s="2" t="n"/>
      <c r="L42" s="2" t="inlineStr">
        <is>
          <t>O/S</t>
        </is>
      </c>
      <c r="M42" s="2" t="n">
        <v>212</v>
      </c>
      <c r="N42" s="2" t="inlineStr">
        <is>
          <t>Lots of hold for lots of hair. This jumbo hair clip has extra long prongs to keep thick, voluminous hair in place.</t>
        </is>
      </c>
      <c r="O42" s="2" t="inlineStr">
        <is>
          <t>Jumbo-Claw-Clip</t>
        </is>
      </c>
      <c r="P42" s="2" t="inlineStr">
        <is>
          <t>Yes</t>
        </is>
      </c>
      <c r="Q42" s="2" t="inlineStr">
        <is>
          <t>Jumbo Claw Clip LTIV/BLK ONE SIZE</t>
        </is>
      </c>
      <c r="R42" s="2" t="inlineStr">
        <is>
          <t>Light Ivory/Black</t>
        </is>
      </c>
      <c r="S42" s="2" t="inlineStr">
        <is>
          <t>Hair Clips</t>
        </is>
      </c>
      <c r="T42" s="2" t="inlineStr">
        <is>
          <t>Accessories</t>
        </is>
      </c>
    </row>
    <row r="43" ht="80" customHeight="1">
      <c r="A43" s="3">
        <f>IMAGE("https://images.lululemon.com/is/image/lululemon/LW9FWTS_076305_1?wid=320&amp;op_usm=0.8",1)</f>
        <v/>
      </c>
      <c r="B43" s="3" t="inlineStr">
        <is>
          <t>Boxy Tote Bag 10L *Faux Shearling Trims</t>
        </is>
      </c>
      <c r="C43" s="3" t="inlineStr">
        <is>
          <t>158118619</t>
        </is>
      </c>
      <c r="D43" s="3" t="inlineStr">
        <is>
          <t>$168.00</t>
        </is>
      </c>
      <c r="E43" s="3" t="inlineStr">
        <is>
          <t>$84.00</t>
        </is>
      </c>
      <c r="F43" s="3">
        <f>IMAGE("https://images.lululemon.com/is/image/lululemon/76305",1)</f>
        <v/>
      </c>
      <c r="G43" s="3" t="n"/>
      <c r="H43" s="3" t="n"/>
      <c r="I43" s="3" t="n"/>
      <c r="J43" s="3" t="n"/>
      <c r="K43" s="3" t="n"/>
      <c r="L43" s="3" t="inlineStr">
        <is>
          <t>O/S</t>
        </is>
      </c>
      <c r="M43" s="3" t="n">
        <v>165</v>
      </c>
      <c r="N43" s="3" t="inlineStr">
        <is>
          <t>Cozy catch-all. This boxy tote is made from soft, faux shearling-trimmed fabric, and has space for your water bottle, planner, and everyday essentials.</t>
        </is>
      </c>
      <c r="O43" s="3" t="inlineStr">
        <is>
          <t>Boxy-Tote-Bag-10L-Faux-Shearling-Trims</t>
        </is>
      </c>
      <c r="P43" s="3" t="inlineStr">
        <is>
          <t>Yes</t>
        </is>
      </c>
      <c r="Q43" s="3" t="inlineStr">
        <is>
          <t>Boxy Tote *Faux Shearling Trims SHOK/LTIV/ANTB ONE SIZE</t>
        </is>
      </c>
      <c r="R43" s="3" t="inlineStr">
        <is>
          <t>Sheer Oak/Light Ivory/Antique Brass</t>
        </is>
      </c>
      <c r="S43" s="3" t="inlineStr"/>
      <c r="T43" s="3" t="inlineStr">
        <is>
          <t>Accessories</t>
        </is>
      </c>
    </row>
    <row r="44" ht="80" customHeight="1">
      <c r="A44" s="2">
        <f>IMAGE("https://images.lululemon.com/is/image/lululemon/LW9FJZS_0001_1?wid=320&amp;op_usm=0.8",1)</f>
        <v/>
      </c>
      <c r="B44" s="2" t="inlineStr">
        <is>
          <t>Women's Fast and Free Insulated Running Gloves</t>
        </is>
      </c>
      <c r="C44" s="2" t="inlineStr">
        <is>
          <t>154900977</t>
        </is>
      </c>
      <c r="D44" s="2" t="inlineStr">
        <is>
          <t>$58.00</t>
        </is>
      </c>
      <c r="E44" s="2" t="inlineStr">
        <is>
          <t>$29.00</t>
        </is>
      </c>
      <c r="F44" s="2">
        <f>IMAGE("https://images.lululemon.com/is/image/lululemon/0001",1)</f>
        <v/>
      </c>
      <c r="G44" s="2" t="n"/>
      <c r="H44" s="2" t="n"/>
      <c r="I44" s="2" t="n"/>
      <c r="J44" s="2" t="n"/>
      <c r="K44" s="2" t="n"/>
      <c r="L44" s="2" t="inlineStr">
        <is>
          <t>XS, S, M, L</t>
        </is>
      </c>
      <c r="M44" s="2" t="n">
        <v>339</v>
      </c>
      <c r="N44" s="2" t="inlineStr">
        <is>
          <t>Cold run, warm hands. These mid-weight gloves have a packable water-repellent hood and tech-friendly fingers.</t>
        </is>
      </c>
      <c r="O44" s="2" t="inlineStr">
        <is>
          <t>W-Fast-and-Free-Insulated-Running-Gloves</t>
        </is>
      </c>
      <c r="P44" s="2" t="inlineStr">
        <is>
          <t>Yes</t>
        </is>
      </c>
      <c r="Q44" s="2" t="inlineStr">
        <is>
          <t>Fast and Free Insulated Run Gloves W BLK XS</t>
        </is>
      </c>
      <c r="R44" s="2" t="inlineStr">
        <is>
          <t>Black</t>
        </is>
      </c>
      <c r="S44" s="2" t="inlineStr"/>
      <c r="T44" s="2" t="inlineStr">
        <is>
          <t>Accessories</t>
        </is>
      </c>
    </row>
    <row r="45" ht="80" customHeight="1">
      <c r="A45" s="3">
        <f>IMAGE("https://images.lululemon.com/is/image/lululemon/LW9FNCS_3385_1?wid=320&amp;op_usm=0.8",1)</f>
        <v/>
      </c>
      <c r="B45" s="3" t="inlineStr">
        <is>
          <t>On My Level Tote Bag 20L</t>
        </is>
      </c>
      <c r="C45" s="3" t="inlineStr">
        <is>
          <t>155725278</t>
        </is>
      </c>
      <c r="D45" s="3" t="inlineStr">
        <is>
          <t>$128.00</t>
        </is>
      </c>
      <c r="E45" s="3" t="inlineStr">
        <is>
          <t>$64.00</t>
        </is>
      </c>
      <c r="F45" s="3">
        <f>IMAGE("https://images.lululemon.com/is/image/lululemon/3385",1)</f>
        <v/>
      </c>
      <c r="G45" s="3" t="n"/>
      <c r="H45" s="3" t="n"/>
      <c r="I45" s="3" t="n"/>
      <c r="J45" s="3" t="n"/>
      <c r="K45" s="3" t="n"/>
      <c r="L45" s="3" t="inlineStr">
        <is>
          <t>O/S</t>
        </is>
      </c>
      <c r="M45" s="3" t="n">
        <v>20</v>
      </c>
      <c r="N45" s="3" t="inlineStr">
        <is>
          <t>Whether your morning starts with a class or errands, this soft, slouchy tote is always a winner. Wear it over your shoulder, cross-body, or just grab it and go.</t>
        </is>
      </c>
      <c r="O45" s="3" t="inlineStr">
        <is>
          <t>On-My-Level-Tote-Bag-20L</t>
        </is>
      </c>
      <c r="P45" s="3" t="inlineStr">
        <is>
          <t>Yes</t>
        </is>
      </c>
      <c r="Q45" s="3" t="inlineStr">
        <is>
          <t>On My Level Tote BLK/GOLD ONE SIZE</t>
        </is>
      </c>
      <c r="R45" s="3" t="inlineStr">
        <is>
          <t>Black/Gold</t>
        </is>
      </c>
      <c r="S45" s="3" t="inlineStr">
        <is>
          <t>Totes</t>
        </is>
      </c>
      <c r="T45" s="3" t="inlineStr">
        <is>
          <t>Accessories</t>
        </is>
      </c>
    </row>
    <row r="46" ht="80" customHeight="1">
      <c r="A46" s="2">
        <f>IMAGE("https://images.lululemon.com/is/image/lululemon/LU9BB5S_0024_1?wid=320&amp;op_usm=0.8",1)</f>
        <v/>
      </c>
      <c r="B46" s="2" t="inlineStr">
        <is>
          <t>Removable Sweatband All-Sport Visor *Wordmark</t>
        </is>
      </c>
      <c r="C46" s="2" t="inlineStr">
        <is>
          <t>146956824</t>
        </is>
      </c>
      <c r="D46" s="2" t="inlineStr">
        <is>
          <t>$38.00</t>
        </is>
      </c>
      <c r="E46" s="2" t="inlineStr">
        <is>
          <t>$19.00</t>
        </is>
      </c>
      <c r="F46" s="2">
        <f>IMAGE("https://images.lululemon.com/is/image/lululemon/0024",1)</f>
        <v/>
      </c>
      <c r="G46" s="2" t="n"/>
      <c r="H46" s="2" t="n"/>
      <c r="I46" s="2" t="n"/>
      <c r="J46" s="2" t="n"/>
      <c r="K46" s="2" t="n"/>
      <c r="L46" s="2" t="inlineStr">
        <is>
          <t>L/XL</t>
        </is>
      </c>
      <c r="M46" s="2" t="n">
        <v>95</v>
      </c>
      <c r="N46" s="2" t="inlineStr">
        <is>
          <t>It's easy to stay fresh with this do-it-all visor. Toss the detachable interior sweatband in the laundry so it's ready to go for your next sweat session.</t>
        </is>
      </c>
      <c r="O46" s="2" t="inlineStr">
        <is>
          <t>Removable-SweatbAll-Sport-Visor-Woodmark</t>
        </is>
      </c>
      <c r="P46" s="2" t="inlineStr">
        <is>
          <t>Yes</t>
        </is>
      </c>
      <c r="Q46" s="2" t="inlineStr">
        <is>
          <t>Removable Sweatband All-Sport Visor WHT/BLK L/XL</t>
        </is>
      </c>
      <c r="R46" s="2" t="inlineStr">
        <is>
          <t>White/Black</t>
        </is>
      </c>
      <c r="S46" s="2" t="inlineStr">
        <is>
          <t>Visors</t>
        </is>
      </c>
      <c r="T46" s="2" t="inlineStr">
        <is>
          <t>Accessories</t>
        </is>
      </c>
    </row>
    <row r="47" ht="80" customHeight="1">
      <c r="A47" s="3">
        <f>IMAGE("https://images.lululemon.com/is/image/lululemon/LU9D55S_027597_1?wid=320&amp;op_usm=0.8",1)</f>
        <v/>
      </c>
      <c r="B47" s="3" t="inlineStr">
        <is>
          <t>Multi-Sport Sun Hat</t>
        </is>
      </c>
      <c r="C47" s="3" t="inlineStr">
        <is>
          <t>156925673</t>
        </is>
      </c>
      <c r="D47" s="3" t="inlineStr">
        <is>
          <t>$68.00</t>
        </is>
      </c>
      <c r="E47" s="3" t="inlineStr">
        <is>
          <t>$34.00</t>
        </is>
      </c>
      <c r="F47" s="3">
        <f>IMAGE("https://images.lululemon.com/is/image/lululemon/27597",1)</f>
        <v/>
      </c>
      <c r="G47" s="3" t="n"/>
      <c r="H47" s="3" t="n"/>
      <c r="I47" s="3" t="n"/>
      <c r="J47" s="3" t="n"/>
      <c r="K47" s="3" t="n"/>
      <c r="L47" s="3" t="inlineStr">
        <is>
          <t>S/M, L/XL</t>
        </is>
      </c>
      <c r="M47" s="3" t="n">
        <v>76</v>
      </c>
      <c r="N47" s="3" t="inlineStr">
        <is>
          <t>Just add sunshine. This lightweight, flexible sun hat is the perfect mix of ventilation and coverage.</t>
        </is>
      </c>
      <c r="O47" s="3" t="inlineStr">
        <is>
          <t>Multi-Sport-Sun-Hat</t>
        </is>
      </c>
      <c r="P47" s="3" t="inlineStr">
        <is>
          <t>Yes</t>
        </is>
      </c>
      <c r="Q47" s="3" t="inlineStr">
        <is>
          <t>Multi-Sport Sun Hat BONE S/M</t>
        </is>
      </c>
      <c r="R47" s="3" t="inlineStr">
        <is>
          <t>Bone</t>
        </is>
      </c>
      <c r="S47" s="3" t="inlineStr"/>
      <c r="T47" s="3" t="inlineStr">
        <is>
          <t>Accessories</t>
        </is>
      </c>
    </row>
    <row r="48" ht="80" customHeight="1">
      <c r="A48" s="2">
        <f>IMAGE("https://images.lululemon.com/is/image/lululemon/LU9BOTS_0023_1?wid=320&amp;op_usm=0.8",1)</f>
        <v/>
      </c>
      <c r="B48" s="2" t="inlineStr">
        <is>
          <t>Classic Ball Cap *Wordmark</t>
        </is>
      </c>
      <c r="C48" s="2" t="inlineStr">
        <is>
          <t>155801250</t>
        </is>
      </c>
      <c r="D48" s="2" t="inlineStr">
        <is>
          <t>$38.00</t>
        </is>
      </c>
      <c r="E48" s="2" t="inlineStr">
        <is>
          <t>$19.00</t>
        </is>
      </c>
      <c r="F48" s="2">
        <f>IMAGE("https://images.lululemon.com/is/image/lululemon/0023",1)</f>
        <v/>
      </c>
      <c r="G48" s="2">
        <f>IMAGE("https://images.lululemon.com/is/image/lululemon/0024",1)</f>
        <v/>
      </c>
      <c r="H48" s="2">
        <f>IMAGE("https://images.lululemon.com/is/image/lululemon/69040",1)</f>
        <v/>
      </c>
      <c r="I48" s="2" t="n"/>
      <c r="J48" s="2" t="n"/>
      <c r="K48" s="2" t="n"/>
      <c r="L48" s="2" t="inlineStr">
        <is>
          <t>S/M, L/XL</t>
        </is>
      </c>
      <c r="M48" s="2" t="n">
        <v>413</v>
      </c>
      <c r="N48" s="2" t="inlineStr">
        <is>
          <t>Anywhere, anytime. This soft, lightweight cap is a year-round favourite for days on the go.</t>
        </is>
      </c>
      <c r="O48" s="2" t="inlineStr">
        <is>
          <t>Ball-Cap-Wordmark</t>
        </is>
      </c>
      <c r="P48" s="2" t="inlineStr">
        <is>
          <t>Yes</t>
        </is>
      </c>
      <c r="Q48" s="2" t="inlineStr">
        <is>
          <t>Unisex Classic Ball Cap MIBR S/M</t>
        </is>
      </c>
      <c r="R48" s="2" t="inlineStr">
        <is>
          <t>Black/White, White/Black, Mint Breeze</t>
        </is>
      </c>
      <c r="S48" s="2" t="inlineStr">
        <is>
          <t>Caps</t>
        </is>
      </c>
      <c r="T48" s="2" t="inlineStr">
        <is>
          <t>Accessories</t>
        </is>
      </c>
    </row>
    <row r="49" ht="80" customHeight="1">
      <c r="A49" s="3">
        <f>IMAGE("https://images.lululemon.com/is/image/lululemon/LU9AY4S_072619_1?wid=320&amp;op_usm=0.8",1)</f>
        <v/>
      </c>
      <c r="B49" s="3" t="inlineStr">
        <is>
          <t>The Towel</t>
        </is>
      </c>
      <c r="C49" s="3" t="inlineStr">
        <is>
          <t>157793522</t>
        </is>
      </c>
      <c r="D49" s="3" t="inlineStr">
        <is>
          <t>$42.00</t>
        </is>
      </c>
      <c r="E49" s="3" t="inlineStr">
        <is>
          <t>$21.00</t>
        </is>
      </c>
      <c r="F49" s="3">
        <f>IMAGE("https://images.lululemon.com/is/image/lululemon/72619",1)</f>
        <v/>
      </c>
      <c r="G49" s="3" t="n"/>
      <c r="H49" s="3" t="n"/>
      <c r="I49" s="3" t="n"/>
      <c r="J49" s="3" t="n"/>
      <c r="K49" s="3" t="n"/>
      <c r="L49" s="3" t="inlineStr">
        <is>
          <t>O/S</t>
        </is>
      </c>
      <c r="M49" s="3" t="n">
        <v>182</v>
      </c>
      <c r="N49" s="3" t="inlineStr">
        <is>
          <t>Whether it's soaking up sweat during hot yoga classes or drying off post-shower, this absorbent microfibre towel handles it all.</t>
        </is>
      </c>
      <c r="O49" s="3" t="inlineStr">
        <is>
          <t>The-Towel</t>
        </is>
      </c>
      <c r="P49" s="3" t="inlineStr">
        <is>
          <t>Yes</t>
        </is>
      </c>
      <c r="Q49" s="3" t="inlineStr">
        <is>
          <t>The Towel MHGM ONE SIZE</t>
        </is>
      </c>
      <c r="R49" s="3" t="inlineStr">
        <is>
          <t>Meadow Haze Grey Multi</t>
        </is>
      </c>
      <c r="S49" s="3" t="inlineStr">
        <is>
          <t>Towels</t>
        </is>
      </c>
      <c r="T49" s="3" t="inlineStr">
        <is>
          <t>Accessories</t>
        </is>
      </c>
    </row>
    <row r="50" ht="80" customHeight="1">
      <c r="A50" s="2">
        <f>IMAGE("https://images.lululemon.com/is/image/lululemon/LU9ALBS_0001_1?wid=320&amp;op_usm=0.8",1)</f>
        <v/>
      </c>
      <c r="B50" s="2" t="inlineStr">
        <is>
          <t>Back to Life Sport Bottle 32oz</t>
        </is>
      </c>
      <c r="C50" s="2" t="inlineStr">
        <is>
          <t>124875044</t>
        </is>
      </c>
      <c r="D50" s="2" t="inlineStr">
        <is>
          <t>$54.00</t>
        </is>
      </c>
      <c r="E50" s="2" t="inlineStr">
        <is>
          <t>$27.00</t>
        </is>
      </c>
      <c r="F50" s="2">
        <f>IMAGE("https://images.lululemon.com/is/image/lululemon/0001",1)</f>
        <v/>
      </c>
      <c r="G50" s="2" t="n"/>
      <c r="H50" s="2" t="n"/>
      <c r="I50" s="2" t="n"/>
      <c r="J50" s="2" t="n"/>
      <c r="K50" s="2" t="n"/>
      <c r="L50" s="2" t="inlineStr">
        <is>
          <t>O/S</t>
        </is>
      </c>
      <c r="M50" s="2" t="n">
        <v>1716</v>
      </c>
      <c r="N50" s="2" t="inlineStr">
        <is>
          <t>This insulated water bottle features a leak-proof lid and slip-free texture, so no matter how adventurous the adventure gets, your drink is safe.</t>
        </is>
      </c>
      <c r="O50" s="2" t="inlineStr">
        <is>
          <t>Back-to-Life-Sport-Bottle-32oz</t>
        </is>
      </c>
      <c r="P50" s="2" t="inlineStr">
        <is>
          <t>Yes</t>
        </is>
      </c>
      <c r="Q50" s="2" t="inlineStr">
        <is>
          <t>Back to Life Sport Bottle 32oz BLK ONE SIZE</t>
        </is>
      </c>
      <c r="R50" s="2" t="inlineStr">
        <is>
          <t>Black</t>
        </is>
      </c>
      <c r="S50" s="2" t="inlineStr"/>
      <c r="T50" s="2" t="inlineStr">
        <is>
          <t>Accessories</t>
        </is>
      </c>
    </row>
    <row r="51" ht="80" customHeight="1">
      <c r="A51" s="3">
        <f>IMAGE("https://images.lululemon.com/is/image/lululemon/LU9CU5S_031382_1?wid=320&amp;op_usm=0.8",1)</f>
        <v/>
      </c>
      <c r="B51" s="3" t="inlineStr">
        <is>
          <t>Easy Clip Nano Golf Pouch</t>
        </is>
      </c>
      <c r="C51" s="3" t="inlineStr">
        <is>
          <t>156484978</t>
        </is>
      </c>
      <c r="D51" s="3" t="inlineStr">
        <is>
          <t>$34.00</t>
        </is>
      </c>
      <c r="E51" s="3" t="inlineStr">
        <is>
          <t>$17.00</t>
        </is>
      </c>
      <c r="F51" s="3">
        <f>IMAGE("https://images.lululemon.com/is/image/lululemon/31382",1)</f>
        <v/>
      </c>
      <c r="G51" s="3">
        <f>IMAGE("https://images.lululemon.com/is/image/lululemon/0001",1)</f>
        <v/>
      </c>
      <c r="H51" s="3" t="n"/>
      <c r="I51" s="3" t="n"/>
      <c r="J51" s="3" t="n"/>
      <c r="K51" s="3" t="n"/>
      <c r="L51" s="3" t="inlineStr">
        <is>
          <t>O/S</t>
        </is>
      </c>
      <c r="M51" s="3" t="n">
        <v>46</v>
      </c>
      <c r="N51" s="3" t="inlineStr">
        <is>
          <t>Fore! This pouch clips onto  your golf bag to keep extra  balls and tees conveniently  close when your shot goes out  of bounds.</t>
        </is>
      </c>
      <c r="O51" s="3" t="inlineStr">
        <is>
          <t>Easy-Clip-Nano-Golf-Pouch</t>
        </is>
      </c>
      <c r="P51" s="3" t="inlineStr">
        <is>
          <t>Yes</t>
        </is>
      </c>
      <c r="Q51" s="3" t="inlineStr">
        <is>
          <t>Easy Clip Nano Golf Pouch TRNV ONE SIZE</t>
        </is>
      </c>
      <c r="R51" s="3" t="inlineStr">
        <is>
          <t>True Navy, Black</t>
        </is>
      </c>
      <c r="S51" s="3" t="inlineStr">
        <is>
          <t>Wallets and Pouches, Bag Accessories</t>
        </is>
      </c>
      <c r="T51" s="3" t="inlineStr">
        <is>
          <t>Accessories</t>
        </is>
      </c>
    </row>
    <row r="52" ht="80" customHeight="1">
      <c r="A52" s="2">
        <f>IMAGE("https://images.lululemon.com/is/image/lululemon/LW9FW9S_074449_1?wid=320&amp;op_usm=0.8",1)</f>
        <v/>
      </c>
      <c r="B52" s="2" t="inlineStr">
        <is>
          <t>Clippable Card Pouch *Glitter</t>
        </is>
      </c>
      <c r="C52" s="2" t="inlineStr">
        <is>
          <t>157968465</t>
        </is>
      </c>
      <c r="D52" s="2" t="inlineStr">
        <is>
          <t>$38.00</t>
        </is>
      </c>
      <c r="E52" s="2" t="inlineStr">
        <is>
          <t>$19.00</t>
        </is>
      </c>
      <c r="F52" s="2">
        <f>IMAGE("https://images.lululemon.com/is/image/lululemon/74449",1)</f>
        <v/>
      </c>
      <c r="G52" s="2" t="n"/>
      <c r="H52" s="2" t="n"/>
      <c r="I52" s="2" t="n"/>
      <c r="J52" s="2" t="n"/>
      <c r="K52" s="2" t="n"/>
      <c r="L52" s="2" t="inlineStr">
        <is>
          <t>O/S</t>
        </is>
      </c>
      <c r="M52" s="2" t="n">
        <v>234</v>
      </c>
      <c r="N52" s="2" t="inlineStr">
        <is>
          <t>Zip, clip, and go. Secure this pouch onto your keychain, belt loop, or bag to keep your cards and cash handy.</t>
        </is>
      </c>
      <c r="O52" s="2" t="inlineStr">
        <is>
          <t>Clippable-Card-Pouch-Glitter</t>
        </is>
      </c>
      <c r="P52" s="2" t="inlineStr">
        <is>
          <t>Yes</t>
        </is>
      </c>
      <c r="Q52" s="2" t="inlineStr">
        <is>
          <t>Clippable Card Pouch *Glitter DKSV/GGRE/SLVR ONE SIZE</t>
        </is>
      </c>
      <c r="R52" s="2" t="inlineStr">
        <is>
          <t>Dark Silver/Graphite Grey/Silver</t>
        </is>
      </c>
      <c r="S52" s="2" t="inlineStr">
        <is>
          <t>Wallets and Pouches, Keychains</t>
        </is>
      </c>
      <c r="T52" s="2" t="inlineStr">
        <is>
          <t>Accessories</t>
        </is>
      </c>
    </row>
    <row r="53" ht="80" customHeight="1">
      <c r="A53" s="3">
        <f>IMAGE("https://images.lululemon.com/is/image/lululemon/LW9FOBS_076320_1?wid=320&amp;op_usm=0.8",1)</f>
        <v/>
      </c>
      <c r="B53" s="3" t="inlineStr">
        <is>
          <t>Uplifting Scrunchies Satin *3 Pack</t>
        </is>
      </c>
      <c r="C53" s="3" t="inlineStr">
        <is>
          <t>158343717</t>
        </is>
      </c>
      <c r="D53" s="3" t="inlineStr">
        <is>
          <t>$24.00</t>
        </is>
      </c>
      <c r="E53" s="3" t="inlineStr">
        <is>
          <t>$12.00</t>
        </is>
      </c>
      <c r="F53" s="3">
        <f>IMAGE("https://images.lululemon.com/is/image/lululemon/76320",1)</f>
        <v/>
      </c>
      <c r="G53" s="3" t="n"/>
      <c r="H53" s="3" t="n"/>
      <c r="I53" s="3" t="n"/>
      <c r="J53" s="3" t="n"/>
      <c r="K53" s="3" t="n"/>
      <c r="L53" s="3" t="inlineStr">
        <is>
          <t>O/S</t>
        </is>
      </c>
      <c r="M53" s="3" t="n">
        <v>327</v>
      </c>
      <c r="N53" s="3" t="inlineStr">
        <is>
          <t>It's scrunch time. These fan favourite scrunchies keep your hair tied tight, stretch after stretch.</t>
        </is>
      </c>
      <c r="O53" s="3" t="inlineStr">
        <is>
          <t>Uplifting-Scrunchies-Satin-3Pack</t>
        </is>
      </c>
      <c r="P53" s="3" t="inlineStr">
        <is>
          <t>Yes</t>
        </is>
      </c>
      <c r="Q53" s="3" t="inlineStr">
        <is>
          <t>Uplifting Scrunchies *3 Pack BLK/OVBR/CMBN ONE SIZE</t>
        </is>
      </c>
      <c r="R53" s="3" t="inlineStr">
        <is>
          <t>Black/Olive Brown/Camel Brown</t>
        </is>
      </c>
      <c r="S53" s="3" t="inlineStr">
        <is>
          <t>Scrunchies</t>
        </is>
      </c>
      <c r="T53" s="3" t="inlineStr">
        <is>
          <t>Accessories</t>
        </is>
      </c>
    </row>
    <row r="54" ht="80" customHeight="1">
      <c r="A54" s="2">
        <f>IMAGE("https://images.lululemon.com/is/image/lululemon/LW9FRWS_074895_1?wid=320&amp;op_usm=0.8",1)</f>
        <v/>
      </c>
      <c r="B54" s="2" t="inlineStr">
        <is>
          <t>Dual Pouch Wristlet *Glitter</t>
        </is>
      </c>
      <c r="C54" s="2" t="inlineStr">
        <is>
          <t>158068530</t>
        </is>
      </c>
      <c r="D54" s="2" t="inlineStr">
        <is>
          <t>$58.00</t>
        </is>
      </c>
      <c r="E54" s="2" t="inlineStr">
        <is>
          <t>$29.00</t>
        </is>
      </c>
      <c r="F54" s="2">
        <f>IMAGE("https://images.lululemon.com/is/image/lululemon/74895",1)</f>
        <v/>
      </c>
      <c r="G54" s="2" t="n"/>
      <c r="H54" s="2" t="n"/>
      <c r="I54" s="2" t="n"/>
      <c r="J54" s="2" t="n"/>
      <c r="K54" s="2" t="n"/>
      <c r="L54" s="2" t="inlineStr">
        <is>
          <t>O/S</t>
        </is>
      </c>
      <c r="M54" s="2" t="n">
        <v>905</v>
      </c>
      <c r="N54" s="2" t="inlineStr">
        <is>
          <t>Ready to go with the flick of a wrist. This wristlet comes with two zippered pouches to keep small items in place while you're on the move.</t>
        </is>
      </c>
      <c r="O54" s="2" t="inlineStr">
        <is>
          <t>Dual-Pouch-Wristlet-Glitter</t>
        </is>
      </c>
      <c r="P54" s="2" t="inlineStr">
        <is>
          <t>Yes</t>
        </is>
      </c>
      <c r="Q54" s="2" t="inlineStr">
        <is>
          <t>Dual Pouch Wristlet *Glitter PNUC/MINK/GOLD ONE SIZE</t>
        </is>
      </c>
      <c r="R54" s="2" t="inlineStr">
        <is>
          <t>Pink Champagne/Mink Berry/Gold</t>
        </is>
      </c>
      <c r="S54" s="2" t="inlineStr">
        <is>
          <t>Wallets and Pouches, Keychains</t>
        </is>
      </c>
      <c r="T54" s="2" t="inlineStr">
        <is>
          <t>Accessories</t>
        </is>
      </c>
    </row>
    <row r="55" ht="80" customHeight="1">
      <c r="A55" s="3">
        <f>IMAGE("https://images.lululemon.com/is/image/lululemon/LU9BSJS_072760_1?wid=320&amp;op_usm=0.8",1)</f>
        <v/>
      </c>
      <c r="B55" s="3" t="inlineStr">
        <is>
          <t>Curved Crossbody Bag 3L</t>
        </is>
      </c>
      <c r="C55" s="3" t="inlineStr">
        <is>
          <t>158029888</t>
        </is>
      </c>
      <c r="D55" s="3" t="inlineStr">
        <is>
          <t>$78.00</t>
        </is>
      </c>
      <c r="E55" s="3" t="inlineStr">
        <is>
          <t>$39.00</t>
        </is>
      </c>
      <c r="F55" s="3">
        <f>IMAGE("https://images.lululemon.com/is/image/lululemon/72760",1)</f>
        <v/>
      </c>
      <c r="G55" s="3">
        <f>IMAGE("https://images.lululemon.com/is/image/lululemon/21363",1)</f>
        <v/>
      </c>
      <c r="H55" s="3" t="n"/>
      <c r="I55" s="3" t="n"/>
      <c r="J55" s="3" t="n"/>
      <c r="K55" s="3" t="n"/>
      <c r="L55" s="3" t="inlineStr">
        <is>
          <t>O/S</t>
        </is>
      </c>
      <c r="M55" s="3" t="n">
        <v>1184</v>
      </c>
      <c r="N55" s="3" t="inlineStr">
        <is>
          <t>Look at you, all hands-free and hydrated. This cross-body's unique design lets you stow your water bottle in a hidden drop-down pocket.</t>
        </is>
      </c>
      <c r="O55" s="3" t="inlineStr">
        <is>
          <t>Curved-Crossbody-Bag-3L</t>
        </is>
      </c>
      <c r="P55" s="3" t="inlineStr">
        <is>
          <t>Yes</t>
        </is>
      </c>
      <c r="Q55" s="3" t="inlineStr">
        <is>
          <t>Curved Crossbody Bag ONGE ONE SIZE</t>
        </is>
      </c>
      <c r="R55" s="3" t="inlineStr">
        <is>
          <t>Onyx Grey, Berry Rumble</t>
        </is>
      </c>
      <c r="S55" s="3" t="inlineStr">
        <is>
          <t>Crossbody Bags</t>
        </is>
      </c>
      <c r="T55" s="3" t="inlineStr">
        <is>
          <t>Accessories</t>
        </is>
      </c>
    </row>
    <row r="56" ht="80" customHeight="1">
      <c r="A56" s="2">
        <f>IMAGE("https://images.lululemon.com/is/image/lululemon/LW9GCYS_074104_1?wid=320&amp;op_usm=0.8",1)</f>
        <v/>
      </c>
      <c r="B56" s="2" t="inlineStr">
        <is>
          <t>Dual Pouch Wristlet *Plush Fleece</t>
        </is>
      </c>
      <c r="C56" s="2" t="inlineStr">
        <is>
          <t>158098791</t>
        </is>
      </c>
      <c r="D56" s="2" t="inlineStr">
        <is>
          <t>$58.00</t>
        </is>
      </c>
      <c r="E56" s="2" t="inlineStr">
        <is>
          <t>$29.00</t>
        </is>
      </c>
      <c r="F56" s="2">
        <f>IMAGE("https://images.lululemon.com/is/image/lululemon/74104",1)</f>
        <v/>
      </c>
      <c r="G56" s="2" t="n"/>
      <c r="H56" s="2" t="n"/>
      <c r="I56" s="2" t="n"/>
      <c r="J56" s="2" t="n"/>
      <c r="K56" s="2" t="n"/>
      <c r="L56" s="2" t="inlineStr">
        <is>
          <t>O/S</t>
        </is>
      </c>
      <c r="M56" s="2" t="n">
        <v>608</v>
      </c>
      <c r="N56" s="2" t="inlineStr">
        <is>
          <t>Ready to go with the flick of a wrist. This wristlet comes with two zippered pouches to keep small items in place while you're on the move.</t>
        </is>
      </c>
      <c r="O56" s="2" t="inlineStr">
        <is>
          <t>Dual-Pouch-Wristlet-Plush-Fleece</t>
        </is>
      </c>
      <c r="P56" s="2" t="inlineStr">
        <is>
          <t>Yes</t>
        </is>
      </c>
      <c r="Q56" s="2" t="inlineStr">
        <is>
          <t>Dual Pouch Wristlet *Plush Fleece BLPM/GOLD ONE SIZE</t>
        </is>
      </c>
      <c r="R56" s="2" t="inlineStr">
        <is>
          <t>Black Plum/Gold</t>
        </is>
      </c>
      <c r="S56" s="2" t="inlineStr">
        <is>
          <t>Wallets and Pouches, Keychains, Bag Accessories</t>
        </is>
      </c>
      <c r="T56" s="2" t="inlineStr">
        <is>
          <t>Accessories</t>
        </is>
      </c>
    </row>
    <row r="57" ht="80" customHeight="1">
      <c r="A57" s="3">
        <f>IMAGE("https://images.lululemon.com/is/image/lululemon/LW9FHKS_073564_1?wid=320&amp;op_usm=0.8",1)</f>
        <v/>
      </c>
      <c r="B57" s="3" t="inlineStr">
        <is>
          <t>Medium Claw Hair Clip</t>
        </is>
      </c>
      <c r="C57" s="3" t="inlineStr">
        <is>
          <t>158022935</t>
        </is>
      </c>
      <c r="D57" s="3" t="inlineStr">
        <is>
          <t>$18.00</t>
        </is>
      </c>
      <c r="E57" s="3" t="inlineStr">
        <is>
          <t>$9.00</t>
        </is>
      </c>
      <c r="F57" s="3">
        <f>IMAGE("https://images.lululemon.com/is/image/lululemon/73564",1)</f>
        <v/>
      </c>
      <c r="G57" s="3">
        <f>IMAGE("https://images.lululemon.com/is/image/lululemon/65675",1)</f>
        <v/>
      </c>
      <c r="H57" s="3" t="n"/>
      <c r="I57" s="3" t="n"/>
      <c r="J57" s="3" t="n"/>
      <c r="K57" s="3" t="n"/>
      <c r="L57" s="3" t="inlineStr">
        <is>
          <t>O/S</t>
        </is>
      </c>
      <c r="M57" s="3" t="n">
        <v>635</v>
      </c>
      <c r="N57" s="3" t="inlineStr">
        <is>
          <t>Wavy, textured, curly, or straight—whatever kind of hair you've got, this clip will keep it together.</t>
        </is>
      </c>
      <c r="O57" s="3" t="inlineStr">
        <is>
          <t>Medium-Claw-Hair-Clip</t>
        </is>
      </c>
      <c r="P57" s="3" t="inlineStr">
        <is>
          <t>Yes</t>
        </is>
      </c>
      <c r="Q57" s="3" t="inlineStr">
        <is>
          <t>Medium Claw Hair Clip JWMG/ROWD ONE SIZE</t>
        </is>
      </c>
      <c r="R57" s="3" t="inlineStr">
        <is>
          <t>Jewelled Magenta/Rockwood, French Press/Burnt Caramel</t>
        </is>
      </c>
      <c r="S57" s="3" t="inlineStr">
        <is>
          <t>Hair Clips</t>
        </is>
      </c>
      <c r="T57" s="3" t="inlineStr">
        <is>
          <t>Accessories</t>
        </is>
      </c>
    </row>
    <row r="58" ht="80" customHeight="1">
      <c r="A58" s="2">
        <f>IMAGE("https://images.lululemon.com/is/image/lululemon/LW9FL8S_035486_1?wid=320&amp;op_usm=0.8",1)</f>
        <v/>
      </c>
      <c r="B58" s="2" t="inlineStr">
        <is>
          <t>City Essentials Pouch *Mini 2L</t>
        </is>
      </c>
      <c r="C58" s="2" t="inlineStr">
        <is>
          <t>157706652</t>
        </is>
      </c>
      <c r="D58" s="2" t="inlineStr">
        <is>
          <t>$38.00</t>
        </is>
      </c>
      <c r="E58" s="2" t="inlineStr">
        <is>
          <t>$19.00</t>
        </is>
      </c>
      <c r="F58" s="2">
        <f>IMAGE("https://images.lululemon.com/is/image/lululemon/35486",1)</f>
        <v/>
      </c>
      <c r="G58" s="2">
        <f>IMAGE("https://images.lululemon.com/is/image/lululemon/34697",1)</f>
        <v/>
      </c>
      <c r="H58" s="2" t="n"/>
      <c r="I58" s="2" t="n"/>
      <c r="J58" s="2" t="n"/>
      <c r="K58" s="2" t="n"/>
      <c r="L58" s="2" t="inlineStr">
        <is>
          <t>O/S</t>
        </is>
      </c>
      <c r="M58" s="2" t="n">
        <v>1096</v>
      </c>
      <c r="N58" s="2" t="inlineStr">
        <is>
          <t>Spend less time searching for things and more time knowing exactly where they are. From makeup to electronic accessories, this pouch will keep you organized.</t>
        </is>
      </c>
      <c r="O58" s="2" t="inlineStr">
        <is>
          <t>City-Essentials-Pouch-Mini</t>
        </is>
      </c>
      <c r="P58" s="2" t="inlineStr">
        <is>
          <t>Yes</t>
        </is>
      </c>
      <c r="Q58" s="2" t="inlineStr">
        <is>
          <t>City Essentials Pouch Mini BLLP ONE SIZE</t>
        </is>
      </c>
      <c r="R58" s="2" t="inlineStr">
        <is>
          <t>Blissful Pink, Black Plum</t>
        </is>
      </c>
      <c r="S58" s="2" t="inlineStr">
        <is>
          <t>Wallets and Pouches</t>
        </is>
      </c>
      <c r="T58" s="2" t="inlineStr">
        <is>
          <t>Accessories</t>
        </is>
      </c>
    </row>
    <row r="59" ht="80" customHeight="1">
      <c r="A59" s="3">
        <f>IMAGE("https://images.lululemon.com/is/image/lululemon/LU9DL2S_074104_1?wid=320&amp;op_usm=0.8",1)</f>
        <v/>
      </c>
      <c r="B59" s="3" t="inlineStr">
        <is>
          <t>Everywhere Belt Bag 1L *Plush Fleece</t>
        </is>
      </c>
      <c r="C59" s="3" t="inlineStr">
        <is>
          <t>158021626</t>
        </is>
      </c>
      <c r="D59" s="3" t="inlineStr">
        <is>
          <t>$68.00</t>
        </is>
      </c>
      <c r="E59" s="3" t="inlineStr">
        <is>
          <t>$34.00</t>
        </is>
      </c>
      <c r="F59" s="3">
        <f>IMAGE("https://images.lululemon.com/is/image/lululemon/74104",1)</f>
        <v/>
      </c>
      <c r="G59" s="3" t="n"/>
      <c r="H59" s="3" t="n"/>
      <c r="I59" s="3" t="n"/>
      <c r="J59" s="3" t="n"/>
      <c r="K59" s="3" t="n"/>
      <c r="L59" s="3" t="inlineStr">
        <is>
          <t>O/S</t>
        </is>
      </c>
      <c r="M59" s="3" t="n">
        <v>342</v>
      </c>
      <c r="N59" s="3" t="inlineStr">
        <is>
          <t>Phone, keys, wallet. Keep them close in this versatile belt bag that helps you get out the door and on to your next adventure.</t>
        </is>
      </c>
      <c r="O59" s="3" t="inlineStr">
        <is>
          <t>Everywhere-Belt-Bag-1L-Plush-Fleece</t>
        </is>
      </c>
      <c r="P59" s="3" t="inlineStr">
        <is>
          <t>Yes</t>
        </is>
      </c>
      <c r="Q59" s="3" t="inlineStr">
        <is>
          <t>Everywhere Belt Bag *Plush Fleece BLPM/GOLD ONE SIZE</t>
        </is>
      </c>
      <c r="R59" s="3" t="inlineStr">
        <is>
          <t>Black Plum/Gold</t>
        </is>
      </c>
      <c r="S59" s="3" t="inlineStr">
        <is>
          <t>Belt Bags</t>
        </is>
      </c>
      <c r="T59" s="3" t="inlineStr">
        <is>
          <t>Accessories</t>
        </is>
      </c>
    </row>
    <row r="60" ht="80" customHeight="1">
      <c r="A60" s="2">
        <f>IMAGE("https://images.lululemon.com/is/image/lululemon/LU9BW1S_0001_1?wid=320&amp;op_usm=0.8",1)</f>
        <v/>
      </c>
      <c r="B60" s="2" t="inlineStr">
        <is>
          <t>Close-Fit Wool-Blend Ribbed Knit Beanie</t>
        </is>
      </c>
      <c r="C60" s="2" t="inlineStr">
        <is>
          <t>153826998</t>
        </is>
      </c>
      <c r="D60" s="2" t="inlineStr">
        <is>
          <t>$48.00</t>
        </is>
      </c>
      <c r="E60" s="2" t="inlineStr">
        <is>
          <t>$24.00</t>
        </is>
      </c>
      <c r="F60" s="2">
        <f>IMAGE("https://images.lululemon.com/is/image/lululemon/0001",1)</f>
        <v/>
      </c>
      <c r="G60" s="2" t="n"/>
      <c r="H60" s="2" t="n"/>
      <c r="I60" s="2" t="n"/>
      <c r="J60" s="2" t="n"/>
      <c r="K60" s="2" t="n"/>
      <c r="L60" s="2" t="inlineStr">
        <is>
          <t>O/S</t>
        </is>
      </c>
      <c r="M60" s="2" t="n">
        <v>380</v>
      </c>
      <c r="N60" s="2" t="inlineStr">
        <is>
          <t>Keep the cozy close. This lightweight, soft beanie is strategically knit to maintain a close fit, keeping things toasty up top.</t>
        </is>
      </c>
      <c r="O60" s="2" t="inlineStr">
        <is>
          <t>Close-Wool-Blend-Ribbed-Knit-Beanie</t>
        </is>
      </c>
      <c r="P60" s="2" t="inlineStr">
        <is>
          <t>Yes</t>
        </is>
      </c>
      <c r="Q60" s="2" t="inlineStr">
        <is>
          <t>Close-Fit Wool-Blend Ribbed Knit Beanie BLK ONE SIZE</t>
        </is>
      </c>
      <c r="R60" s="2" t="inlineStr">
        <is>
          <t>Black</t>
        </is>
      </c>
      <c r="S60" s="2" t="inlineStr">
        <is>
          <t>Beanies</t>
        </is>
      </c>
      <c r="T60" s="2" t="inlineStr">
        <is>
          <t>Accessories</t>
        </is>
      </c>
    </row>
    <row r="61" ht="80" customHeight="1">
      <c r="A61" s="3">
        <f>IMAGE("https://images.lululemon.com/is/image/lululemon/LU9BYLS_069147_1?wid=320&amp;op_usm=0.8",1)</f>
        <v/>
      </c>
      <c r="B61" s="3" t="inlineStr">
        <is>
          <t>Back to Life Sport Bottle 24oz *Straw Lid</t>
        </is>
      </c>
      <c r="C61" s="3" t="inlineStr">
        <is>
          <t>157718272</t>
        </is>
      </c>
      <c r="D61" s="3" t="inlineStr">
        <is>
          <t>$44.00</t>
        </is>
      </c>
      <c r="E61" s="3" t="inlineStr">
        <is>
          <t>$22.00</t>
        </is>
      </c>
      <c r="F61" s="3">
        <f>IMAGE("https://images.lululemon.com/is/image/lululemon/69147",1)</f>
        <v/>
      </c>
      <c r="G61" s="3">
        <f>IMAGE("https://images.lululemon.com/is/image/lululemon/74492",1)</f>
        <v/>
      </c>
      <c r="H61" s="3">
        <f>IMAGE("https://images.lululemon.com/is/image/lululemon/0002",1)</f>
        <v/>
      </c>
      <c r="I61" s="3" t="n"/>
      <c r="J61" s="3" t="n"/>
      <c r="K61" s="3" t="n"/>
      <c r="L61" s="3" t="inlineStr">
        <is>
          <t>O/S</t>
        </is>
      </c>
      <c r="M61" s="3" t="n">
        <v>220</v>
      </c>
      <c r="N61" s="3" t="inlineStr">
        <is>
          <t>Sport mode: activated. This insulated water bottle has a built-in straw lid and a slip-free texture to make one-handed drinking a breeze.</t>
        </is>
      </c>
      <c r="O61" s="3" t="inlineStr">
        <is>
          <t>Bck-to-Life-Sprt-Bttle-24oz-Straw-Lid</t>
        </is>
      </c>
      <c r="P61" s="3" t="inlineStr">
        <is>
          <t>Yes</t>
        </is>
      </c>
      <c r="Q61" s="3" t="inlineStr">
        <is>
          <t>Back to Life Sport Bottle 24oz*Straw Lid BLK/VIOI/DKLV ONE SIZE</t>
        </is>
      </c>
      <c r="R61" s="3" t="inlineStr">
        <is>
          <t>Black/Violet Indigo/Dusky Lavender, White/Dove Grey/Pelican, White</t>
        </is>
      </c>
      <c r="S61" s="3" t="inlineStr"/>
      <c r="T61" s="3" t="inlineStr">
        <is>
          <t>Accessories</t>
        </is>
      </c>
    </row>
    <row r="62" ht="80" customHeight="1">
      <c r="A62" s="2">
        <f>IMAGE("https://images.lululemon.com/is/image/lululemon/LW9FM7S_0002_1?wid=320&amp;op_usm=0.8",1)</f>
        <v/>
      </c>
      <c r="B62" s="2" t="inlineStr">
        <is>
          <t>Women's Fast Paced Wide Band Running Visor</t>
        </is>
      </c>
      <c r="C62" s="2" t="inlineStr">
        <is>
          <t>150750152</t>
        </is>
      </c>
      <c r="D62" s="2" t="inlineStr">
        <is>
          <t>$28.00</t>
        </is>
      </c>
      <c r="E62" s="2" t="inlineStr">
        <is>
          <t>$14.00</t>
        </is>
      </c>
      <c r="F62" s="2">
        <f>IMAGE("https://images.lululemon.com/is/image/lululemon/0002",1)</f>
        <v/>
      </c>
      <c r="G62" s="2" t="n"/>
      <c r="H62" s="2" t="n"/>
      <c r="I62" s="2" t="n"/>
      <c r="J62" s="2" t="n"/>
      <c r="K62" s="2" t="n"/>
      <c r="L62" s="2" t="inlineStr">
        <is>
          <t>O/S</t>
        </is>
      </c>
      <c r="M62" s="2" t="n">
        <v>716</v>
      </c>
      <c r="N62" s="2" t="inlineStr">
        <is>
          <t>Feel the wind, not the rays. We added height to the front band of this visor for extra coverage on your forehead. The ultimate run-in-the-sun solution just levelled up.</t>
        </is>
      </c>
      <c r="O62" s="2" t="inlineStr">
        <is>
          <t>W-Fast-Paced-Wide-Band-Running-Visor</t>
        </is>
      </c>
      <c r="P62" s="2" t="inlineStr">
        <is>
          <t>Yes</t>
        </is>
      </c>
      <c r="Q62" s="2" t="inlineStr">
        <is>
          <t>Fast Paced Wide Band Run Visor WHT ONE SIZE</t>
        </is>
      </c>
      <c r="R62" s="2" t="inlineStr">
        <is>
          <t>White</t>
        </is>
      </c>
      <c r="S62" s="2" t="inlineStr">
        <is>
          <t>Visors</t>
        </is>
      </c>
      <c r="T62" s="2" t="inlineStr">
        <is>
          <t>Accessories</t>
        </is>
      </c>
    </row>
    <row r="63" ht="80" customHeight="1">
      <c r="A63" s="3">
        <f>IMAGE("https://images.lululemon.com/is/image/lululemon/LU9DM0S_014336_1?wid=320&amp;op_usm=0.8",1)</f>
        <v/>
      </c>
      <c r="B63" s="3" t="inlineStr">
        <is>
          <t>Insulated Tumbler 40oz *Iridescent</t>
        </is>
      </c>
      <c r="C63" s="3" t="inlineStr">
        <is>
          <t>157718199</t>
        </is>
      </c>
      <c r="D63" s="3" t="inlineStr">
        <is>
          <t>$58.00</t>
        </is>
      </c>
      <c r="E63" s="3" t="inlineStr">
        <is>
          <t>$29.00</t>
        </is>
      </c>
      <c r="F63" s="3">
        <f>IMAGE("https://images.lululemon.com/is/image/lululemon/14336",1)</f>
        <v/>
      </c>
      <c r="G63" s="3" t="n"/>
      <c r="H63" s="3" t="n"/>
      <c r="I63" s="3" t="n"/>
      <c r="J63" s="3" t="n"/>
      <c r="K63" s="3" t="n"/>
      <c r="L63" s="3" t="inlineStr">
        <is>
          <t>O/S</t>
        </is>
      </c>
      <c r="M63" s="3" t="n">
        <v>420</v>
      </c>
      <c r="N63" s="3" t="inlineStr">
        <is>
          <t>Your new hydration bestie. This easy-carry tumbler gives you options: take icy cold sips from the stainless steel straw or swig from the secure lid flap.</t>
        </is>
      </c>
      <c r="O63" s="3" t="inlineStr">
        <is>
          <t>Insulated-Tumbler-40oz-Iridescent</t>
        </is>
      </c>
      <c r="P63" s="3" t="inlineStr">
        <is>
          <t>Yes</t>
        </is>
      </c>
      <c r="Q63" s="3" t="inlineStr">
        <is>
          <t>Insulated Tumbler 40oz JWMG ONE SIZE</t>
        </is>
      </c>
      <c r="R63" s="3" t="inlineStr">
        <is>
          <t>Jewelled Magenta</t>
        </is>
      </c>
      <c r="S63" s="3" t="inlineStr">
        <is>
          <t>Tumblers and Travel Mugs</t>
        </is>
      </c>
      <c r="T63" s="3" t="inlineStr">
        <is>
          <t>Accessories</t>
        </is>
      </c>
    </row>
    <row r="64" ht="80" customHeight="1">
      <c r="A64" s="2">
        <f>IMAGE("https://images.lululemon.com/is/image/lululemon/LU9DO5S_0002_1?wid=320&amp;op_usm=0.8",1)</f>
        <v/>
      </c>
      <c r="B64" s="2" t="inlineStr">
        <is>
          <t>Unisex Daily Essential Crew Socks</t>
        </is>
      </c>
      <c r="C64" s="2" t="inlineStr">
        <is>
          <t>157768511</t>
        </is>
      </c>
      <c r="D64" s="2" t="inlineStr">
        <is>
          <t>$14.00</t>
        </is>
      </c>
      <c r="E64" s="2" t="inlineStr">
        <is>
          <t>$7.00</t>
        </is>
      </c>
      <c r="F64" s="2">
        <f>IMAGE("https://images.lululemon.com/is/image/lululemon/0002",1)</f>
        <v/>
      </c>
      <c r="G64" s="2" t="n"/>
      <c r="H64" s="2" t="n"/>
      <c r="I64" s="2" t="n"/>
      <c r="J64" s="2" t="n"/>
      <c r="K64" s="2" t="n"/>
      <c r="L64" s="2" t="inlineStr">
        <is>
          <t>S, M, L, XL</t>
        </is>
      </c>
      <c r="M64" s="2" t="n">
        <v>183</v>
      </c>
      <c r="N64" s="2" t="inlineStr">
        <is>
          <t>Top drawer comfort. These soft cotton socks combine integrated arch support and plush cushioning.</t>
        </is>
      </c>
      <c r="O64" s="2" t="inlineStr">
        <is>
          <t>Unisex-Daily-Essential-Crew-Socks</t>
        </is>
      </c>
      <c r="P64" s="2" t="inlineStr">
        <is>
          <t>Yes</t>
        </is>
      </c>
      <c r="Q64" s="2" t="inlineStr">
        <is>
          <t>Daily Essential Socks WHT S</t>
        </is>
      </c>
      <c r="R64" s="2" t="inlineStr">
        <is>
          <t>White</t>
        </is>
      </c>
      <c r="S64" s="2" t="inlineStr">
        <is>
          <t>Crew Socks</t>
        </is>
      </c>
      <c r="T64" s="2" t="inlineStr">
        <is>
          <t>Accessories</t>
        </is>
      </c>
    </row>
    <row r="65" ht="80" customHeight="1">
      <c r="A65" s="3">
        <f>IMAGE("https://images.lululemon.com/is/image/lululemon/LW9FXRS_070108_1?wid=320&amp;op_usm=0.8",1)</f>
        <v/>
      </c>
      <c r="B65" s="3" t="inlineStr">
        <is>
          <t>Quilty Pleasures Tote Bag *Medium 12L</t>
        </is>
      </c>
      <c r="C65" s="3" t="inlineStr">
        <is>
          <t>157686546</t>
        </is>
      </c>
      <c r="D65" s="3" t="inlineStr">
        <is>
          <t>$148.00</t>
        </is>
      </c>
      <c r="E65" s="3" t="inlineStr">
        <is>
          <t>$74.00</t>
        </is>
      </c>
      <c r="F65" s="3">
        <f>IMAGE("https://images.lululemon.com/is/image/lululemon/70108",1)</f>
        <v/>
      </c>
      <c r="G65" s="3">
        <f>IMAGE("https://images.lululemon.com/is/image/lululemon/0001",1)</f>
        <v/>
      </c>
      <c r="H65" s="3" t="n"/>
      <c r="I65" s="3" t="n"/>
      <c r="J65" s="3" t="n"/>
      <c r="K65" s="3" t="n"/>
      <c r="L65" s="3" t="inlineStr">
        <is>
          <t>O/S</t>
        </is>
      </c>
      <c r="M65" s="3" t="n">
        <v>403</v>
      </c>
      <c r="N65" s="3" t="inlineStr">
        <is>
          <t>Softly does it. Daily essentials find a cushioned landing in this quilted tote that's stamped all over with our wordmark design.</t>
        </is>
      </c>
      <c r="O65" s="3" t="inlineStr">
        <is>
          <t>Quilty-Pleasures-Tote-Bag-Medium-12L</t>
        </is>
      </c>
      <c r="P65" s="3" t="inlineStr">
        <is>
          <t>Yes</t>
        </is>
      </c>
      <c r="Q65" s="3" t="inlineStr">
        <is>
          <t>Quilty Pleasures Tote Medium WSHG ONE SIZE</t>
        </is>
      </c>
      <c r="R65" s="3" t="inlineStr">
        <is>
          <t>Warm Ash Grey, Black</t>
        </is>
      </c>
      <c r="S65" s="3" t="inlineStr">
        <is>
          <t>Totes</t>
        </is>
      </c>
      <c r="T65" s="3" t="inlineStr">
        <is>
          <t>Accessories</t>
        </is>
      </c>
    </row>
    <row r="66" ht="80" customHeight="1">
      <c r="A66" s="2">
        <f>IMAGE("https://images.lululemon.com/is/image/lululemon/LU9BXQS_0001_1?wid=320&amp;op_usm=0.8",1)</f>
        <v/>
      </c>
      <c r="B66" s="2" t="inlineStr">
        <is>
          <t>Everywhere Belt Bag 1L Clear *Logo</t>
        </is>
      </c>
      <c r="C66" s="2" t="inlineStr">
        <is>
          <t>153107559</t>
        </is>
      </c>
      <c r="D66" s="2" t="inlineStr">
        <is>
          <t>$38.00</t>
        </is>
      </c>
      <c r="E66" s="2" t="inlineStr">
        <is>
          <t>$19.00</t>
        </is>
      </c>
      <c r="F66" s="2">
        <f>IMAGE("https://images.lululemon.com/is/image/lululemon/0001",1)</f>
        <v/>
      </c>
      <c r="G66" s="2" t="n"/>
      <c r="H66" s="2" t="n"/>
      <c r="I66" s="2" t="n"/>
      <c r="J66" s="2" t="n"/>
      <c r="K66" s="2" t="n"/>
      <c r="L66" s="2" t="inlineStr">
        <is>
          <t>O/S</t>
        </is>
      </c>
      <c r="M66" s="2" t="n">
        <v>3690</v>
      </c>
      <c r="N66" s="2" t="inlineStr">
        <is>
          <t>Stadium ready. Whether you're heading to a concert or a game, this clear version of our Everywhere Belt Bag keeps belongings visible so lineups are a breeze.</t>
        </is>
      </c>
      <c r="O66" s="2" t="inlineStr">
        <is>
          <t>Everywhere-Belt-Bag-1L-Clear-Logo</t>
        </is>
      </c>
      <c r="P66" s="2" t="inlineStr">
        <is>
          <t>Yes</t>
        </is>
      </c>
      <c r="Q66" s="2" t="inlineStr">
        <is>
          <t>Everywhere Belt Bag *Clear BLK ONE SIZE</t>
        </is>
      </c>
      <c r="R66" s="2" t="inlineStr">
        <is>
          <t>Black</t>
        </is>
      </c>
      <c r="S66" s="2" t="inlineStr">
        <is>
          <t>Belt Bags, Crossbody Bags</t>
        </is>
      </c>
      <c r="T66" s="2" t="inlineStr">
        <is>
          <t>Accessories</t>
        </is>
      </c>
    </row>
    <row r="67" ht="80" customHeight="1">
      <c r="A67" s="3">
        <f>IMAGE("https://images.lululemon.com/is/image/lululemon/LU9CV9S_074104_1?wid=320&amp;op_usm=0.8",1)</f>
        <v/>
      </c>
      <c r="B67" s="3" t="inlineStr">
        <is>
          <t>Everywhere Crossbody Bag 2L *Plush Fleece</t>
        </is>
      </c>
      <c r="C67" s="3" t="inlineStr">
        <is>
          <t>158096385</t>
        </is>
      </c>
      <c r="D67" s="3" t="inlineStr">
        <is>
          <t>$108.00</t>
        </is>
      </c>
      <c r="E67" s="3" t="inlineStr">
        <is>
          <t>$54.00</t>
        </is>
      </c>
      <c r="F67" s="3">
        <f>IMAGE("https://images.lululemon.com/is/image/lululemon/74104",1)</f>
        <v/>
      </c>
      <c r="G67" s="3" t="n"/>
      <c r="H67" s="3" t="n"/>
      <c r="I67" s="3" t="n"/>
      <c r="J67" s="3" t="n"/>
      <c r="K67" s="3" t="n"/>
      <c r="L67" s="3" t="inlineStr">
        <is>
          <t>O/S</t>
        </is>
      </c>
      <c r="M67" s="3" t="n">
        <v>486</v>
      </c>
      <c r="N67" s="3" t="inlineStr">
        <is>
          <t>Bringing you more of what you love. The Everywhere Crossbody comes equipped with strategically placed pockets inside and out and a removable strap to customize your look.</t>
        </is>
      </c>
      <c r="O67" s="3" t="inlineStr">
        <is>
          <t>Everywhere-Crossbody-Bag-2L-Plush-Fleece</t>
        </is>
      </c>
      <c r="P67" s="3" t="inlineStr">
        <is>
          <t>Yes</t>
        </is>
      </c>
      <c r="Q67" s="3" t="inlineStr">
        <is>
          <t>Everywhere Crossbody *Plush Fleece BLPM/GOLD ONE SIZE</t>
        </is>
      </c>
      <c r="R67" s="3" t="inlineStr">
        <is>
          <t>Black Plum/Gold</t>
        </is>
      </c>
      <c r="S67" s="3" t="inlineStr">
        <is>
          <t>Crossbody Bags</t>
        </is>
      </c>
      <c r="T67" s="3" t="inlineStr">
        <is>
          <t>Accessories</t>
        </is>
      </c>
    </row>
    <row r="68" ht="80" customHeight="1">
      <c r="A68" s="2">
        <f>IMAGE("https://images.lululemon.com/is/image/lululemon/LW9FL7S_035486_1?wid=320&amp;op_usm=0.8",1)</f>
        <v/>
      </c>
      <c r="B68" s="2" t="inlineStr">
        <is>
          <t>City Essentials Pouch 4L</t>
        </is>
      </c>
      <c r="C68" s="2" t="inlineStr">
        <is>
          <t>157706634</t>
        </is>
      </c>
      <c r="D68" s="2" t="inlineStr">
        <is>
          <t>$48.00</t>
        </is>
      </c>
      <c r="E68" s="2" t="inlineStr">
        <is>
          <t>$24.00</t>
        </is>
      </c>
      <c r="F68" s="2">
        <f>IMAGE("https://images.lululemon.com/is/image/lululemon/35486",1)</f>
        <v/>
      </c>
      <c r="G68" s="2">
        <f>IMAGE("https://images.lululemon.com/is/image/lululemon/21363",1)</f>
        <v/>
      </c>
      <c r="H68" s="2" t="n"/>
      <c r="I68" s="2" t="n"/>
      <c r="J68" s="2" t="n"/>
      <c r="K68" s="2" t="n"/>
      <c r="L68" s="2" t="inlineStr">
        <is>
          <t>O/S</t>
        </is>
      </c>
      <c r="M68" s="2" t="n">
        <v>425</v>
      </c>
      <c r="N68" s="2" t="inlineStr">
        <is>
          <t>Spend less time searching for things and more time knowing exactly where they are. From makeup to electronic accessories, this pouch will keep you organized.</t>
        </is>
      </c>
      <c r="O68" s="2" t="inlineStr">
        <is>
          <t>City-Essentials-Pouch-4L</t>
        </is>
      </c>
      <c r="P68" s="2" t="inlineStr">
        <is>
          <t>Yes</t>
        </is>
      </c>
      <c r="Q68" s="2" t="inlineStr">
        <is>
          <t>City Essentials Pouch BLLP ONE SIZE</t>
        </is>
      </c>
      <c r="R68" s="2" t="inlineStr">
        <is>
          <t>Blissful Pink, Berry Rumble</t>
        </is>
      </c>
      <c r="S68" s="2" t="inlineStr">
        <is>
          <t>Wallets and Pouches</t>
        </is>
      </c>
      <c r="T68" s="2" t="inlineStr">
        <is>
          <t>Accessories</t>
        </is>
      </c>
    </row>
    <row r="69" ht="80" customHeight="1">
      <c r="A69" s="3">
        <f>IMAGE("https://images.lululemon.com/is/image/lululemon/LU9AQAS_0001_1?wid=320&amp;op_usm=0.8",1)</f>
        <v/>
      </c>
      <c r="B69" s="3" t="inlineStr">
        <is>
          <t>Workout Sliders *Set of 2</t>
        </is>
      </c>
      <c r="C69" s="3" t="inlineStr">
        <is>
          <t>142975048</t>
        </is>
      </c>
      <c r="D69" s="3" t="inlineStr">
        <is>
          <t>$28.00</t>
        </is>
      </c>
      <c r="E69" s="3" t="inlineStr">
        <is>
          <t>$14.00</t>
        </is>
      </c>
      <c r="F69" s="3">
        <f>IMAGE("https://images.lululemon.com/is/image/lululemon/0001",1)</f>
        <v/>
      </c>
      <c r="G69" s="3" t="n"/>
      <c r="H69" s="3" t="n"/>
      <c r="I69" s="3" t="n"/>
      <c r="J69" s="3" t="n"/>
      <c r="K69" s="3" t="n"/>
      <c r="L69" s="3" t="inlineStr">
        <is>
          <t>O/S</t>
        </is>
      </c>
      <c r="M69" s="3" t="n">
        <v>759</v>
      </c>
      <c r="N69" s="3" t="inlineStr">
        <is>
          <t>Glide past your limits. These versatile sliding discs are double-sided for core and stability work on any surface.</t>
        </is>
      </c>
      <c r="O69" s="3" t="inlineStr">
        <is>
          <t>Workout-Sliders-Set-of-2</t>
        </is>
      </c>
      <c r="P69" s="3" t="inlineStr">
        <is>
          <t>Yes</t>
        </is>
      </c>
      <c r="Q69" s="3" t="inlineStr">
        <is>
          <t>Workout Sliders BLK ONE SIZE</t>
        </is>
      </c>
      <c r="R69" s="3" t="inlineStr">
        <is>
          <t>Black</t>
        </is>
      </c>
      <c r="S69" s="3" t="inlineStr">
        <is>
          <t>Sliders</t>
        </is>
      </c>
      <c r="T69" s="3" t="inlineStr">
        <is>
          <t>Accessories</t>
        </is>
      </c>
    </row>
    <row r="70" ht="80" customHeight="1">
      <c r="A70" s="2">
        <f>IMAGE("https://images.lululemon.com/is/image/lululemon/LM9AS7S_0001_1?wid=320&amp;op_usm=0.8",1)</f>
        <v/>
      </c>
      <c r="B70" s="2" t="inlineStr">
        <is>
          <t>Men's Days Shade Ball Cap</t>
        </is>
      </c>
      <c r="C70" s="2" t="inlineStr">
        <is>
          <t>146403931</t>
        </is>
      </c>
      <c r="D70" s="2" t="inlineStr">
        <is>
          <t>$38.00</t>
        </is>
      </c>
      <c r="E70" s="2" t="inlineStr">
        <is>
          <t>$19.00</t>
        </is>
      </c>
      <c r="F70" s="2">
        <f>IMAGE("https://images.lululemon.com/is/image/lululemon/0001",1)</f>
        <v/>
      </c>
      <c r="G70" s="2" t="n"/>
      <c r="H70" s="2" t="n"/>
      <c r="I70" s="2" t="n"/>
      <c r="J70" s="2" t="n"/>
      <c r="K70" s="2" t="n"/>
      <c r="L70" s="2" t="inlineStr">
        <is>
          <t>O/S</t>
        </is>
      </c>
      <c r="M70" s="2" t="n">
        <v>19</v>
      </c>
      <c r="N70" s="2" t="inlineStr">
        <is>
          <t>Keep it casual in this classic, VersaTwill™ ball cap.</t>
        </is>
      </c>
      <c r="O70" s="2" t="inlineStr">
        <is>
          <t>Days-Shade-Ball-Cap</t>
        </is>
      </c>
      <c r="P70" s="2" t="inlineStr">
        <is>
          <t>Yes</t>
        </is>
      </c>
      <c r="Q70" s="2" t="inlineStr">
        <is>
          <t>Days Shade Ball Cap BLK ONE SIZE</t>
        </is>
      </c>
      <c r="R70" s="2" t="inlineStr">
        <is>
          <t>Black</t>
        </is>
      </c>
      <c r="S70" s="2" t="inlineStr">
        <is>
          <t>Caps</t>
        </is>
      </c>
      <c r="T70" s="2" t="inlineStr">
        <is>
          <t>Accessories</t>
        </is>
      </c>
    </row>
    <row r="71" ht="80" customHeight="1">
      <c r="A71" s="3">
        <f>IMAGE("https://images.lululemon.com/is/image/lululemon/LW9FZYS_0001_1?wid=320&amp;op_usm=0.8",1)</f>
        <v/>
      </c>
      <c r="B71" s="3" t="inlineStr">
        <is>
          <t>Diamond Quilt Tote Bag Mini 5L</t>
        </is>
      </c>
      <c r="C71" s="3" t="inlineStr">
        <is>
          <t>158021951</t>
        </is>
      </c>
      <c r="D71" s="3" t="inlineStr">
        <is>
          <t>$168.00</t>
        </is>
      </c>
      <c r="E71" s="3" t="inlineStr">
        <is>
          <t>$84.00</t>
        </is>
      </c>
      <c r="F71" s="3">
        <f>IMAGE("https://images.lululemon.com/is/image/lululemon/0001",1)</f>
        <v/>
      </c>
      <c r="G71" s="3" t="n"/>
      <c r="H71" s="3" t="n"/>
      <c r="I71" s="3" t="n"/>
      <c r="J71" s="3" t="n"/>
      <c r="K71" s="3" t="n"/>
      <c r="L71" s="3" t="inlineStr">
        <is>
          <t>O/S</t>
        </is>
      </c>
      <c r="M71" s="3" t="n">
        <v>48</v>
      </c>
      <c r="N71" s="3" t="inlineStr">
        <is>
          <t>Your favourite tote all grown up. With a quilted exterior and cute, mini size, this compact carryall puts a sophisticated spin on every look.</t>
        </is>
      </c>
      <c r="O71" s="3" t="inlineStr">
        <is>
          <t>Diamond-Quilt-Tote-Bag-Mini-5L</t>
        </is>
      </c>
      <c r="P71" s="3" t="inlineStr">
        <is>
          <t>Yes</t>
        </is>
      </c>
      <c r="Q71" s="3" t="inlineStr">
        <is>
          <t>Diamond Quilt Tote Mini BLK ONE SIZE</t>
        </is>
      </c>
      <c r="R71" s="3" t="inlineStr">
        <is>
          <t>Black</t>
        </is>
      </c>
      <c r="S71" s="3" t="inlineStr"/>
      <c r="T71" s="3" t="inlineStr">
        <is>
          <t>Accessories</t>
        </is>
      </c>
    </row>
    <row r="72" ht="80" customHeight="1">
      <c r="A72" s="2">
        <f>IMAGE("https://images.lululemon.com/is/image/lululemon/LU9BRKS_049106_1?wid=320&amp;op_usm=0.8",1)</f>
        <v/>
      </c>
      <c r="B72" s="2" t="inlineStr">
        <is>
          <t>3-in-1 Gym Duffle Bag 30L</t>
        </is>
      </c>
      <c r="C72" s="2" t="inlineStr">
        <is>
          <t>155725295</t>
        </is>
      </c>
      <c r="D72" s="2" t="inlineStr">
        <is>
          <t>$158.00</t>
        </is>
      </c>
      <c r="E72" s="2" t="inlineStr">
        <is>
          <t>$79.00</t>
        </is>
      </c>
      <c r="F72" s="2">
        <f>IMAGE("https://images.lululemon.com/is/image/lululemon/49106",1)</f>
        <v/>
      </c>
      <c r="G72" s="2" t="n"/>
      <c r="H72" s="2" t="n"/>
      <c r="I72" s="2" t="n"/>
      <c r="J72" s="2" t="n"/>
      <c r="K72" s="2" t="n"/>
      <c r="L72" s="2" t="inlineStr">
        <is>
          <t>O/S</t>
        </is>
      </c>
      <c r="M72" s="2" t="n">
        <v>79</v>
      </c>
      <c r="N72" s="2" t="inlineStr">
        <is>
          <t>Taking multi-use to the next level. Pack this duffle with sweat essentials and use the removable shoulder strap to carry your yoga mat or as a stretching strap.</t>
        </is>
      </c>
      <c r="O72" s="2" t="inlineStr">
        <is>
          <t>Gym-Duffle-Bag-30L</t>
        </is>
      </c>
      <c r="P72" s="2" t="inlineStr">
        <is>
          <t>Yes</t>
        </is>
      </c>
      <c r="Q72" s="2" t="inlineStr">
        <is>
          <t>Gym Duffle Bag RNFG ONE SIZE</t>
        </is>
      </c>
      <c r="R72" s="2" t="inlineStr">
        <is>
          <t>Rainforest Green</t>
        </is>
      </c>
      <c r="S72" s="2" t="inlineStr">
        <is>
          <t>Duffle Bags</t>
        </is>
      </c>
      <c r="T72" s="2" t="inlineStr">
        <is>
          <t>Accessories</t>
        </is>
      </c>
    </row>
    <row r="73" ht="80" customHeight="1">
      <c r="A73" s="3">
        <f>IMAGE("https://images.lululemon.com/is/image/lululemon/LU9CJ7S_0001_1?wid=320&amp;op_usm=0.8",1)</f>
        <v/>
      </c>
      <c r="B73" s="3" t="inlineStr">
        <is>
          <t>The Mat 5mm *Made With FSC™ Certified Rubber</t>
        </is>
      </c>
      <c r="C73" s="3" t="inlineStr">
        <is>
          <t>153151858</t>
        </is>
      </c>
      <c r="D73" s="3" t="inlineStr">
        <is>
          <t>$118.00</t>
        </is>
      </c>
      <c r="E73" s="3" t="inlineStr">
        <is>
          <t>$59.00</t>
        </is>
      </c>
      <c r="F73" s="3">
        <f>IMAGE("https://images.lululemon.com/is/image/lululemon/0001",1)</f>
        <v/>
      </c>
      <c r="G73" s="3">
        <f>IMAGE("https://images.lululemon.com/is/image/lululemon/69286",1)</f>
        <v/>
      </c>
      <c r="H73" s="3">
        <f>IMAGE("https://images.lululemon.com/is/image/lululemon/69285",1)</f>
        <v/>
      </c>
      <c r="I73" s="3">
        <f>IMAGE("https://images.lululemon.com/is/image/lululemon/73781",1)</f>
        <v/>
      </c>
      <c r="J73" s="3" t="n"/>
      <c r="K73" s="3" t="n"/>
      <c r="L73" s="3" t="inlineStr">
        <is>
          <t>O/S</t>
        </is>
      </c>
      <c r="M73" s="3" t="n">
        <v>3361</v>
      </c>
      <c r="N73" s="3" t="inlineStr">
        <is>
          <t>This mat features a natural rubber base with a little extra cushion to give your body more depth while your mind goes deep.</t>
        </is>
      </c>
      <c r="O73" s="3" t="inlineStr">
        <is>
          <t>The-Mat-5mm</t>
        </is>
      </c>
      <c r="P73" s="3" t="inlineStr">
        <is>
          <t>Yes</t>
        </is>
      </c>
      <c r="Q73" s="3" t="inlineStr">
        <is>
          <t>The Mat 5mm BLK ONE SIZE</t>
        </is>
      </c>
      <c r="R73" s="3" t="inlineStr">
        <is>
          <t>Black, Pink Haze/Deco Pink/Pink Organza/Cherry Lemonade/Deco Pink, Chambray/Washed Denim/Starch Blue/White/Chambray, Sweet Velvet/Plum/Faint Lavender/White/Sweet Velvet</t>
        </is>
      </c>
      <c r="S73" s="3" t="inlineStr"/>
      <c r="T73" s="3" t="inlineStr">
        <is>
          <t>Accessories</t>
        </is>
      </c>
    </row>
    <row r="74" ht="80" customHeight="1">
      <c r="A74" s="2">
        <f>IMAGE("https://images.lululemon.com/is/image/lululemon/LU9CEIS_071534_1?wid=320&amp;op_usm=0.8",1)</f>
        <v/>
      </c>
      <c r="B74" s="2" t="inlineStr">
        <is>
          <t>Racket Bag 19L</t>
        </is>
      </c>
      <c r="C74" s="2" t="inlineStr">
        <is>
          <t>158029922</t>
        </is>
      </c>
      <c r="D74" s="2" t="inlineStr">
        <is>
          <t>$168.00</t>
        </is>
      </c>
      <c r="E74" s="2" t="inlineStr">
        <is>
          <t>$84.00</t>
        </is>
      </c>
      <c r="F74" s="2">
        <f>IMAGE("https://images.lululemon.com/is/image/lululemon/71534",1)</f>
        <v/>
      </c>
      <c r="G74" s="2">
        <f>IMAGE("https://images.lululemon.com/is/image/lululemon/73959",1)</f>
        <v/>
      </c>
      <c r="H74" s="2">
        <f>IMAGE("https://images.lululemon.com/is/image/lululemon/11185",1)</f>
        <v/>
      </c>
      <c r="I74" s="2" t="n"/>
      <c r="J74" s="2" t="n"/>
      <c r="K74" s="2" t="n"/>
      <c r="L74" s="2" t="inlineStr">
        <is>
          <t>O/S</t>
        </is>
      </c>
      <c r="M74" s="2" t="n">
        <v>1258</v>
      </c>
      <c r="N74" s="2" t="inlineStr">
        <is>
          <t>This convertible backpack has room for snacks, shoes, and a change of clothes, while the detachable racket holder adjusts to fit two tennis, badminton, or pickleball rackets.</t>
        </is>
      </c>
      <c r="O74" s="2" t="inlineStr">
        <is>
          <t>Racket-Bag-19L</t>
        </is>
      </c>
      <c r="P74" s="2" t="inlineStr">
        <is>
          <t>Yes</t>
        </is>
      </c>
      <c r="Q74" s="2" t="inlineStr">
        <is>
          <t>Racket Bag CLBL/BLK ONE SIZE</t>
        </is>
      </c>
      <c r="R74" s="2" t="inlineStr">
        <is>
          <t>Club Blue/Black, Natural/Rockwood, Natural/Black</t>
        </is>
      </c>
      <c r="S74" s="2" t="inlineStr">
        <is>
          <t>Backpacks</t>
        </is>
      </c>
      <c r="T74" s="2" t="inlineStr">
        <is>
          <t>Accessories</t>
        </is>
      </c>
    </row>
    <row r="75" ht="80" customHeight="1">
      <c r="A75" s="3">
        <f>IMAGE("https://images.lululemon.com/is/image/lululemon/LU9CM5S_043646_1?wid=320&amp;op_usm=0.8",1)</f>
        <v/>
      </c>
      <c r="B75" s="3" t="inlineStr">
        <is>
          <t>Double-Zip Backpack 22L *Tech Canvas</t>
        </is>
      </c>
      <c r="C75" s="3" t="inlineStr">
        <is>
          <t>158020669</t>
        </is>
      </c>
      <c r="D75" s="3" t="inlineStr">
        <is>
          <t>$128.00</t>
        </is>
      </c>
      <c r="E75" s="3" t="inlineStr">
        <is>
          <t>$64.00</t>
        </is>
      </c>
      <c r="F75" s="3">
        <f>IMAGE("https://images.lululemon.com/is/image/lululemon/43646",1)</f>
        <v/>
      </c>
      <c r="G75" s="3" t="n"/>
      <c r="H75" s="3" t="n"/>
      <c r="I75" s="3" t="n"/>
      <c r="J75" s="3" t="n"/>
      <c r="K75" s="3" t="n"/>
      <c r="L75" s="3" t="inlineStr">
        <is>
          <t>O/S</t>
        </is>
      </c>
      <c r="M75" s="3" t="n">
        <v>111</v>
      </c>
      <c r="N75" s="3" t="inlineStr">
        <is>
          <t>Laptop, lunch, and gear—bring it all. This backpack has zippered pockets inside and out to keep your phone, chargers, and other essentials organized and easy to access.</t>
        </is>
      </c>
      <c r="O75" s="3" t="inlineStr">
        <is>
          <t>Double-Zip-Backpack-22L-Tech-Canvas</t>
        </is>
      </c>
      <c r="P75" s="3" t="inlineStr">
        <is>
          <t>Yes</t>
        </is>
      </c>
      <c r="Q75" s="3" t="inlineStr">
        <is>
          <t>Double-Zip Backpack *Tech Canvas BLK/GGRE ONE SIZE</t>
        </is>
      </c>
      <c r="R75" s="3" t="inlineStr">
        <is>
          <t>Black/Graphite Grey</t>
        </is>
      </c>
      <c r="S75" s="3" t="inlineStr">
        <is>
          <t>Backpacks</t>
        </is>
      </c>
      <c r="T75" s="3" t="inlineStr">
        <is>
          <t>Accessories</t>
        </is>
      </c>
    </row>
    <row r="76" ht="80" customHeight="1">
      <c r="A76" s="2">
        <f>IMAGE("https://images.lululemon.com/is/image/lululemon/LW9FRRS_0001_1?wid=320&amp;op_usm=0.8",1)</f>
        <v/>
      </c>
      <c r="B76" s="2" t="inlineStr">
        <is>
          <t>Uplifting Scrunchies *3 Pack</t>
        </is>
      </c>
      <c r="C76" s="2" t="inlineStr">
        <is>
          <t>154075151</t>
        </is>
      </c>
      <c r="D76" s="2" t="inlineStr">
        <is>
          <t>$24.00</t>
        </is>
      </c>
      <c r="E76" s="2" t="inlineStr">
        <is>
          <t>$12.00</t>
        </is>
      </c>
      <c r="F76" s="2">
        <f>IMAGE("https://images.lululemon.com/is/image/lululemon/0001",1)</f>
        <v/>
      </c>
      <c r="G76" s="2" t="n"/>
      <c r="H76" s="2" t="n"/>
      <c r="I76" s="2" t="n"/>
      <c r="J76" s="2" t="n"/>
      <c r="K76" s="2" t="n"/>
      <c r="L76" s="2" t="inlineStr">
        <is>
          <t>O/S</t>
        </is>
      </c>
      <c r="M76" s="2" t="n">
        <v>215</v>
      </c>
      <c r="N76" s="2" t="inlineStr">
        <is>
          <t>It's scrunch time. These fan favourite scrunchies keep your hair tied tight, stretch after stretch.</t>
        </is>
      </c>
      <c r="O76" s="2" t="inlineStr">
        <is>
          <t>Uplifting-Scrunchies-3-Pack</t>
        </is>
      </c>
      <c r="P76" s="2" t="inlineStr">
        <is>
          <t>Yes</t>
        </is>
      </c>
      <c r="Q76" s="2" t="inlineStr">
        <is>
          <t>Uplifting Scrunchies *3 Pack BLK ONE SIZE</t>
        </is>
      </c>
      <c r="R76" s="2" t="inlineStr">
        <is>
          <t>Black</t>
        </is>
      </c>
      <c r="S76" s="2" t="inlineStr">
        <is>
          <t>Scrunchies</t>
        </is>
      </c>
      <c r="T76" s="2" t="inlineStr">
        <is>
          <t>Accessories</t>
        </is>
      </c>
    </row>
    <row r="77" ht="80" customHeight="1">
      <c r="A77" s="3">
        <f>IMAGE("https://images.lululemon.com/is/image/lululemon/LU9B35S_0001_1?wid=320&amp;op_usm=0.8",1)</f>
        <v/>
      </c>
      <c r="B77" s="3" t="inlineStr">
        <is>
          <t>Fast and Free Running Belt</t>
        </is>
      </c>
      <c r="C77" s="3" t="inlineStr">
        <is>
          <t>155702492</t>
        </is>
      </c>
      <c r="D77" s="3" t="inlineStr">
        <is>
          <t>$44.00</t>
        </is>
      </c>
      <c r="E77" s="3" t="inlineStr">
        <is>
          <t>$22.00</t>
        </is>
      </c>
      <c r="F77" s="3">
        <f>IMAGE("https://images.lululemon.com/is/image/lululemon/0001",1)</f>
        <v/>
      </c>
      <c r="G77" s="3">
        <f>IMAGE("https://images.lululemon.com/is/image/lululemon/14336",1)</f>
        <v/>
      </c>
      <c r="H77" s="3" t="n"/>
      <c r="I77" s="3" t="n"/>
      <c r="J77" s="3" t="n"/>
      <c r="K77" s="3" t="n"/>
      <c r="L77" s="3" t="inlineStr">
        <is>
          <t>XS/S, S/M, L/XL</t>
        </is>
      </c>
      <c r="M77" s="3" t="n">
        <v>300</v>
      </c>
      <c r="N77" s="3" t="inlineStr">
        <is>
          <t>Free your mind—and your hands. This sleek, distraction-free run belt is lightweight and adjustable with just enough space for run essentials.</t>
        </is>
      </c>
      <c r="O77" s="3" t="inlineStr">
        <is>
          <t>Fast-and-Free-Run-Belt</t>
        </is>
      </c>
      <c r="P77" s="3" t="inlineStr">
        <is>
          <t>Yes</t>
        </is>
      </c>
      <c r="Q77" s="3" t="inlineStr">
        <is>
          <t>Fast and Free Run Belt BLK XS/S</t>
        </is>
      </c>
      <c r="R77" s="3" t="inlineStr">
        <is>
          <t>Black, Jewelled Magenta</t>
        </is>
      </c>
      <c r="S77" s="3" t="inlineStr">
        <is>
          <t>Belt Bags</t>
        </is>
      </c>
      <c r="T77" s="3" t="inlineStr">
        <is>
          <t>Accessories</t>
        </is>
      </c>
    </row>
    <row r="78" ht="80" customHeight="1">
      <c r="A78" s="2">
        <f>IMAGE("https://images.lululemon.com/is/image/lululemon/LW9FF2S_065675_1?wid=320&amp;op_usm=0.8",1)</f>
        <v/>
      </c>
      <c r="B78" s="2" t="inlineStr">
        <is>
          <t>Criss-Cross Claw Clip</t>
        </is>
      </c>
      <c r="C78" s="2" t="inlineStr">
        <is>
          <t>153885350</t>
        </is>
      </c>
      <c r="D78" s="2" t="inlineStr">
        <is>
          <t>$22.00</t>
        </is>
      </c>
      <c r="E78" s="2" t="inlineStr">
        <is>
          <t>$11.00</t>
        </is>
      </c>
      <c r="F78" s="2">
        <f>IMAGE("https://images.lululemon.com/is/image/lululemon/65675",1)</f>
        <v/>
      </c>
      <c r="G78" s="2" t="n"/>
      <c r="H78" s="2" t="n"/>
      <c r="I78" s="2" t="n"/>
      <c r="J78" s="2" t="n"/>
      <c r="K78" s="2" t="n"/>
      <c r="L78" s="2" t="inlineStr">
        <is>
          <t>O/S</t>
        </is>
      </c>
      <c r="M78" s="2" t="n">
        <v>141</v>
      </c>
      <c r="N78" s="2" t="inlineStr">
        <is>
          <t>Styling made easy. This rounded clip has extra long prongs to help keep stray locks secured.</t>
        </is>
      </c>
      <c r="O78" s="2" t="inlineStr">
        <is>
          <t>Criss-Cross-Claw-Clip</t>
        </is>
      </c>
      <c r="P78" s="2" t="inlineStr">
        <is>
          <t>Yes</t>
        </is>
      </c>
      <c r="Q78" s="2" t="inlineStr">
        <is>
          <t>Criss-Cross Claw Clip FRPR/BTCA ONE SIZE</t>
        </is>
      </c>
      <c r="R78" s="2" t="inlineStr">
        <is>
          <t>French Press/Burnt Caramel</t>
        </is>
      </c>
      <c r="S78" s="2" t="inlineStr">
        <is>
          <t>Hair Clips</t>
        </is>
      </c>
      <c r="T78" s="2" t="inlineStr">
        <is>
          <t>Accessories</t>
        </is>
      </c>
    </row>
    <row r="79" ht="80" customHeight="1">
      <c r="A79" s="3">
        <f>IMAGE("https://images.lululemon.com/is/image/lululemon/LW9EICS_0001_1?wid=320&amp;op_usm=0.8",1)</f>
        <v/>
      </c>
      <c r="B79" s="3" t="inlineStr">
        <is>
          <t>Women's Wunder Train Gloves</t>
        </is>
      </c>
      <c r="C79" s="3" t="inlineStr">
        <is>
          <t>142475098</t>
        </is>
      </c>
      <c r="D79" s="3" t="inlineStr">
        <is>
          <t>$38.00</t>
        </is>
      </c>
      <c r="E79" s="3" t="inlineStr">
        <is>
          <t>$19.00</t>
        </is>
      </c>
      <c r="F79" s="3">
        <f>IMAGE("https://images.lululemon.com/is/image/lululemon/0001",1)</f>
        <v/>
      </c>
      <c r="G79" s="3" t="n"/>
      <c r="H79" s="3" t="n"/>
      <c r="I79" s="3" t="n"/>
      <c r="J79" s="3" t="n"/>
      <c r="K79" s="3" t="n"/>
      <c r="L79" s="3" t="inlineStr">
        <is>
          <t>XS/S, M/L</t>
        </is>
      </c>
      <c r="M79" s="3" t="n">
        <v>200</v>
      </c>
      <c r="N79" s="3" t="inlineStr">
        <is>
          <t>From deadlifts to pull-ups, these ventilated gloves help protect your hands while you train.</t>
        </is>
      </c>
      <c r="O79" s="3" t="inlineStr">
        <is>
          <t>Wunder-Train-Gloves</t>
        </is>
      </c>
      <c r="P79" s="3" t="inlineStr">
        <is>
          <t>Yes</t>
        </is>
      </c>
      <c r="Q79" s="3" t="inlineStr">
        <is>
          <t>Wunder Train Gloves BLK XS/S</t>
        </is>
      </c>
      <c r="R79" s="3" t="inlineStr">
        <is>
          <t>Black</t>
        </is>
      </c>
      <c r="S79" s="3" t="inlineStr"/>
      <c r="T79" s="3" t="inlineStr">
        <is>
          <t>Accessories</t>
        </is>
      </c>
    </row>
    <row r="80" ht="80" customHeight="1">
      <c r="A80" s="2">
        <f>IMAGE("https://images.lululemon.com/is/image/lululemon/LW9FWZS_0001_1?wid=320&amp;op_usm=0.8",1)</f>
        <v/>
      </c>
      <c r="B80" s="2" t="inlineStr">
        <is>
          <t>Women's Velour Headband</t>
        </is>
      </c>
      <c r="C80" s="2" t="inlineStr">
        <is>
          <t>158020224</t>
        </is>
      </c>
      <c r="D80" s="2" t="inlineStr">
        <is>
          <t>$22.00</t>
        </is>
      </c>
      <c r="E80" s="2" t="inlineStr">
        <is>
          <t>$11.00</t>
        </is>
      </c>
      <c r="F80" s="2">
        <f>IMAGE("https://images.lululemon.com/is/image/lululemon/0001",1)</f>
        <v/>
      </c>
      <c r="G80" s="2">
        <f>IMAGE("https://images.lululemon.com/is/image/lululemon/21363",1)</f>
        <v/>
      </c>
      <c r="H80" s="2" t="n"/>
      <c r="I80" s="2" t="n"/>
      <c r="J80" s="2" t="n"/>
      <c r="K80" s="2" t="n"/>
      <c r="L80" s="2" t="inlineStr">
        <is>
          <t>O/S</t>
        </is>
      </c>
      <c r="M80" s="2" t="n">
        <v>370</v>
      </c>
      <c r="N80" s="2" t="inlineStr">
        <is>
          <t>Va-va-velour. Pop on this plush headband to add a little softness and sophistication to your look (and keep your hair out of your eyes).</t>
        </is>
      </c>
      <c r="O80" s="2" t="inlineStr">
        <is>
          <t>Womens-Velour-Headband</t>
        </is>
      </c>
      <c r="P80" s="2" t="inlineStr">
        <is>
          <t>Yes</t>
        </is>
      </c>
      <c r="Q80" s="2" t="inlineStr">
        <is>
          <t>Velour Headband BLK ONE SIZE</t>
        </is>
      </c>
      <c r="R80" s="2" t="inlineStr">
        <is>
          <t>Black, Berry Rumble</t>
        </is>
      </c>
      <c r="S80" s="2" t="inlineStr">
        <is>
          <t>Headbands</t>
        </is>
      </c>
      <c r="T80" s="2" t="inlineStr">
        <is>
          <t>Accessories</t>
        </is>
      </c>
    </row>
    <row r="81" ht="80" customHeight="1">
      <c r="A81" s="3">
        <f>IMAGE("https://images.lululemon.com/is/image/lululemon/LW9FH8S_043639_1?wid=320&amp;op_usm=0.8",1)</f>
        <v/>
      </c>
      <c r="B81" s="3" t="inlineStr">
        <is>
          <t>Women's Fast and Free Rulu Running Gloves</t>
        </is>
      </c>
      <c r="C81" s="3" t="inlineStr">
        <is>
          <t>154525166</t>
        </is>
      </c>
      <c r="D81" s="3" t="inlineStr">
        <is>
          <t>$52.00</t>
        </is>
      </c>
      <c r="E81" s="3" t="inlineStr">
        <is>
          <t>$26.00</t>
        </is>
      </c>
      <c r="F81" s="3">
        <f>IMAGE("https://images.lululemon.com/is/image/lululemon/43639",1)</f>
        <v/>
      </c>
      <c r="G81" s="3" t="n"/>
      <c r="H81" s="3" t="n"/>
      <c r="I81" s="3" t="n"/>
      <c r="J81" s="3" t="n"/>
      <c r="K81" s="3" t="n"/>
      <c r="L81" s="3" t="inlineStr">
        <is>
          <t>M</t>
        </is>
      </c>
      <c r="M81" s="3" t="n">
        <v>39</v>
      </c>
      <c r="N81" s="3" t="inlineStr">
        <is>
          <t>Brisk, frosty, crisp—anyway you say it, these tech-friendly, fleece-insulated run gloves stop the chill in its tracks.</t>
        </is>
      </c>
      <c r="O81" s="3" t="inlineStr">
        <is>
          <t>W-Fast-and-Free-Rulu-Run-Gloves</t>
        </is>
      </c>
      <c r="P81" s="3" t="inlineStr">
        <is>
          <t>Yes</t>
        </is>
      </c>
      <c r="Q81" s="3" t="inlineStr">
        <is>
          <t>Fast and Free Rulu™ Run Gloves W HTGR M</t>
        </is>
      </c>
      <c r="R81" s="3" t="inlineStr">
        <is>
          <t>Heathered Graphite Grey</t>
        </is>
      </c>
      <c r="S81" s="3" t="inlineStr"/>
      <c r="T81" s="3" t="inlineStr">
        <is>
          <t>Accessories</t>
        </is>
      </c>
    </row>
    <row r="82" ht="80" customHeight="1">
      <c r="A82" s="2">
        <f>IMAGE("https://images.lululemon.com/is/image/lululemon/LW9FNQS_0002_1?wid=320&amp;op_usm=0.8",1)</f>
        <v/>
      </c>
      <c r="B82" s="2" t="inlineStr">
        <is>
          <t>Women's Fast and Free Ponytail Running Hat</t>
        </is>
      </c>
      <c r="C82" s="2" t="inlineStr">
        <is>
          <t>155725289</t>
        </is>
      </c>
      <c r="D82" s="2" t="inlineStr">
        <is>
          <t>$38.00</t>
        </is>
      </c>
      <c r="E82" s="2" t="inlineStr">
        <is>
          <t>$19.00</t>
        </is>
      </c>
      <c r="F82" s="2">
        <f>IMAGE("https://images.lululemon.com/is/image/lululemon/0002",1)</f>
        <v/>
      </c>
      <c r="G82" s="2" t="n"/>
      <c r="H82" s="2" t="n"/>
      <c r="I82" s="2" t="n"/>
      <c r="J82" s="2" t="n"/>
      <c r="K82" s="2" t="n"/>
      <c r="L82" s="2" t="inlineStr">
        <is>
          <t>O/S</t>
        </is>
      </c>
      <c r="M82" s="2" t="n">
        <v>136</v>
      </c>
      <c r="N82" s="2" t="inlineStr">
        <is>
          <t>Run fast and let your hair free. This sweat-wicking hat has a wide back opening that fits your ponytail and gives you airflow.</t>
        </is>
      </c>
      <c r="O82" s="2" t="inlineStr">
        <is>
          <t>Fast-and-Free-Womens-Run-Hat-Ponytail</t>
        </is>
      </c>
      <c r="P82" s="2" t="inlineStr">
        <is>
          <t>Yes</t>
        </is>
      </c>
      <c r="Q82" s="2" t="inlineStr">
        <is>
          <t>Fast and Free Run Hat *Pony WHT ONE SIZE</t>
        </is>
      </c>
      <c r="R82" s="2" t="inlineStr">
        <is>
          <t>White</t>
        </is>
      </c>
      <c r="S82" s="2" t="inlineStr">
        <is>
          <t>Caps</t>
        </is>
      </c>
      <c r="T82" s="2" t="inlineStr">
        <is>
          <t>Accessories</t>
        </is>
      </c>
    </row>
    <row r="83" ht="80" customHeight="1">
      <c r="A83" s="3">
        <f>IMAGE("https://images.lululemon.com/is/image/lululemon/LU9C94S_036168_1?wid=320&amp;op_usm=0.8",1)</f>
        <v/>
      </c>
      <c r="B83" s="3" t="inlineStr">
        <is>
          <t>Warm Revelation Gloves</t>
        </is>
      </c>
      <c r="C83" s="3" t="inlineStr">
        <is>
          <t>157703621</t>
        </is>
      </c>
      <c r="D83" s="3" t="inlineStr">
        <is>
          <t>$52.00</t>
        </is>
      </c>
      <c r="E83" s="3" t="inlineStr">
        <is>
          <t>$26.00</t>
        </is>
      </c>
      <c r="F83" s="3">
        <f>IMAGE("https://images.lululemon.com/is/image/lululemon/36168",1)</f>
        <v/>
      </c>
      <c r="G83" s="3" t="n"/>
      <c r="H83" s="3" t="n"/>
      <c r="I83" s="3" t="n"/>
      <c r="J83" s="3" t="n"/>
      <c r="K83" s="3" t="n"/>
      <c r="L83" s="3" t="inlineStr">
        <is>
          <t>S, M, L, XL</t>
        </is>
      </c>
      <c r="M83" s="3" t="n">
        <v>42</v>
      </c>
      <c r="N83" s="3" t="inlineStr">
        <is>
          <t>Pop on these merino wool-blend gloves when the temperature drops to help keep you cozy on chilly days.</t>
        </is>
      </c>
      <c r="O83" s="3" t="inlineStr">
        <is>
          <t>Warm-Revelation-Gloves-Updated</t>
        </is>
      </c>
      <c r="P83" s="3" t="inlineStr">
        <is>
          <t>Yes</t>
        </is>
      </c>
      <c r="Q83" s="3" t="inlineStr">
        <is>
          <t>Warm Revelation Gloves HRLI S</t>
        </is>
      </c>
      <c r="R83" s="3" t="inlineStr">
        <is>
          <t>Heathered Light Ivory</t>
        </is>
      </c>
      <c r="S83" s="3" t="inlineStr"/>
      <c r="T83" s="3" t="inlineStr">
        <is>
          <t>Accessories</t>
        </is>
      </c>
    </row>
    <row r="84" ht="80" customHeight="1">
      <c r="A84" s="2">
        <f>IMAGE("https://images.lululemon.com/is/image/lululemon/LU9BQPS_0001_1?wid=320&amp;op_usm=0.8",1)</f>
        <v/>
      </c>
      <c r="B84" s="2" t="inlineStr">
        <is>
          <t>Back to Life Sport Bottle 18oz *Straw Lid</t>
        </is>
      </c>
      <c r="C84" s="2" t="inlineStr">
        <is>
          <t>147150092</t>
        </is>
      </c>
      <c r="D84" s="2" t="inlineStr">
        <is>
          <t>$38.00</t>
        </is>
      </c>
      <c r="E84" s="2" t="inlineStr">
        <is>
          <t>$19.00</t>
        </is>
      </c>
      <c r="F84" s="2">
        <f>IMAGE("https://images.lululemon.com/is/image/lululemon/0001",1)</f>
        <v/>
      </c>
      <c r="G84" s="2" t="n"/>
      <c r="H84" s="2" t="n"/>
      <c r="I84" s="2" t="n"/>
      <c r="J84" s="2" t="n"/>
      <c r="K84" s="2" t="n"/>
      <c r="L84" s="2" t="inlineStr">
        <is>
          <t>O/S</t>
        </is>
      </c>
      <c r="M84" s="2" t="n">
        <v>225</v>
      </c>
      <c r="N84" s="2" t="inlineStr">
        <is>
          <t>Sport mode: activated. This insulated water bottle has a built-in straw lid and a slip-free texture to make one-handed drinking a breeze.</t>
        </is>
      </c>
      <c r="O84" s="2" t="inlineStr">
        <is>
          <t>Bck-to-Life-Sprt-Bttle-18oz-Straw-Lid</t>
        </is>
      </c>
      <c r="P84" s="2" t="inlineStr">
        <is>
          <t>Yes</t>
        </is>
      </c>
      <c r="Q84" s="2" t="inlineStr">
        <is>
          <t>Back to Life Sport Bottle 18oz*Straw Lid BLK ONE SIZE</t>
        </is>
      </c>
      <c r="R84" s="2" t="inlineStr">
        <is>
          <t>Black</t>
        </is>
      </c>
      <c r="S84" s="2" t="inlineStr"/>
      <c r="T84" s="2" t="inlineStr">
        <is>
          <t>Accessories</t>
        </is>
      </c>
    </row>
    <row r="85" ht="80" customHeight="1">
      <c r="A85" s="3">
        <f>IMAGE("https://images.lululemon.com/is/image/lululemon/LU9CLXS_0001_1?wid=320&amp;op_usm=0.8",1)</f>
        <v/>
      </c>
      <c r="B85" s="3" t="inlineStr">
        <is>
          <t>License to Train Wide Headband</t>
        </is>
      </c>
      <c r="C85" s="3" t="inlineStr">
        <is>
          <t>153835510</t>
        </is>
      </c>
      <c r="D85" s="3" t="inlineStr">
        <is>
          <t>$18.00</t>
        </is>
      </c>
      <c r="E85" s="3" t="inlineStr">
        <is>
          <t>$9.00</t>
        </is>
      </c>
      <c r="F85" s="3">
        <f>IMAGE("https://images.lululemon.com/is/image/lululemon/0001",1)</f>
        <v/>
      </c>
      <c r="G85" s="3" t="n"/>
      <c r="H85" s="3" t="n"/>
      <c r="I85" s="3" t="n"/>
      <c r="J85" s="3" t="n"/>
      <c r="K85" s="3" t="n"/>
      <c r="L85" s="3" t="inlineStr">
        <is>
          <t>O/S</t>
        </is>
      </c>
      <c r="M85" s="3" t="n">
        <v>409</v>
      </c>
      <c r="N85" s="3" t="inlineStr">
        <is>
          <t>High performance means no distractions. Keep your hair off your face, sweat out of your eyes, and the focus on your workout with this wide headband.</t>
        </is>
      </c>
      <c r="O85" s="3" t="inlineStr">
        <is>
          <t>License-to-Train-Wide-Headband</t>
        </is>
      </c>
      <c r="P85" s="3" t="inlineStr">
        <is>
          <t>Yes</t>
        </is>
      </c>
      <c r="Q85" s="3" t="inlineStr">
        <is>
          <t>License To Train Wide Headband BLK ONE SIZE</t>
        </is>
      </c>
      <c r="R85" s="3" t="inlineStr">
        <is>
          <t>Black</t>
        </is>
      </c>
      <c r="S85" s="3" t="inlineStr">
        <is>
          <t>Headbands</t>
        </is>
      </c>
      <c r="T85" s="3" t="inlineStr">
        <is>
          <t>Accessories</t>
        </is>
      </c>
    </row>
    <row r="86" ht="80" customHeight="1">
      <c r="A86" s="2">
        <f>IMAGE("https://images.lululemon.com/is/image/lululemon/LW9GC4S_0393_1?wid=320&amp;op_usm=0.8",1)</f>
        <v/>
      </c>
      <c r="B86" s="2" t="inlineStr">
        <is>
          <t>On My Level Tote Bag 15L *Puffy</t>
        </is>
      </c>
      <c r="C86" s="2" t="inlineStr">
        <is>
          <t>158118755</t>
        </is>
      </c>
      <c r="D86" s="2" t="inlineStr">
        <is>
          <t>$148.00</t>
        </is>
      </c>
      <c r="E86" s="2" t="inlineStr">
        <is>
          <t>$74.00</t>
        </is>
      </c>
      <c r="F86" s="2">
        <f>IMAGE("https://images.lululemon.com/is/image/lululemon/0393",1)</f>
        <v/>
      </c>
      <c r="G86" s="2" t="n"/>
      <c r="H86" s="2" t="n"/>
      <c r="I86" s="2" t="n"/>
      <c r="J86" s="2" t="n"/>
      <c r="K86" s="2" t="n"/>
      <c r="L86" s="2" t="inlineStr">
        <is>
          <t>O/S</t>
        </is>
      </c>
      <c r="M86" s="2" t="n">
        <v>149</v>
      </c>
      <c r="N86" s="2" t="inlineStr">
        <is>
          <t>All puffed up. This version of our On My Level Tote has all the space, slouch, and storage you love, plus a soft, padded exterior.</t>
        </is>
      </c>
      <c r="O86" s="2" t="inlineStr">
        <is>
          <t>On-My-Level-Tote-Bag-15L-Puffy</t>
        </is>
      </c>
      <c r="P86" s="2" t="inlineStr">
        <is>
          <t>Yes</t>
        </is>
      </c>
      <c r="Q86" s="2" t="inlineStr">
        <is>
          <t>On My Level Tote *Puffy BLK/SLVR ONE SIZE</t>
        </is>
      </c>
      <c r="R86" s="2" t="inlineStr">
        <is>
          <t>Black/Silver</t>
        </is>
      </c>
      <c r="S86" s="2" t="inlineStr">
        <is>
          <t>Totes</t>
        </is>
      </c>
      <c r="T86" s="2" t="inlineStr">
        <is>
          <t>Accessories</t>
        </is>
      </c>
    </row>
    <row r="87" ht="80" customHeight="1">
      <c r="A87" s="3">
        <f>IMAGE("https://images.lululemon.com/is/image/lululemon/LW9FWLS_074535_1?wid=320&amp;op_usm=0.8",1)</f>
        <v/>
      </c>
      <c r="B87" s="3" t="inlineStr">
        <is>
          <t>Charm Hair Ties *3 Pack</t>
        </is>
      </c>
      <c r="C87" s="3" t="inlineStr">
        <is>
          <t>158098705</t>
        </is>
      </c>
      <c r="D87" s="3" t="inlineStr">
        <is>
          <t>$28.00</t>
        </is>
      </c>
      <c r="E87" s="3" t="inlineStr">
        <is>
          <t>$14.00</t>
        </is>
      </c>
      <c r="F87" s="3">
        <f>IMAGE("https://images.lululemon.com/is/image/lululemon/74535",1)</f>
        <v/>
      </c>
      <c r="G87" s="3" t="n"/>
      <c r="H87" s="3" t="n"/>
      <c r="I87" s="3" t="n"/>
      <c r="J87" s="3" t="n"/>
      <c r="K87" s="3" t="n"/>
      <c r="L87" s="3" t="inlineStr">
        <is>
          <t>O/S</t>
        </is>
      </c>
      <c r="M87" s="3" t="n">
        <v>3</v>
      </c>
      <c r="N87" s="3" t="inlineStr">
        <is>
          <t>How charming. These hair ties are embellished with removable mini charms so they look just as good on your wrist as they do in your hair. Collect them all to customize your favourite accessories.</t>
        </is>
      </c>
      <c r="O87" s="3" t="inlineStr">
        <is>
          <t>Charm-Hair-Ties-3-Pack</t>
        </is>
      </c>
      <c r="P87" s="3" t="inlineStr">
        <is>
          <t>Yes</t>
        </is>
      </c>
      <c r="Q87" s="3" t="inlineStr">
        <is>
          <t>Charm Hair Ties *3 Pack FOGN/FTLV/6M5V ONE SIZE</t>
        </is>
      </c>
      <c r="R87" s="3" t="inlineStr">
        <is>
          <t>Fog Green/Faint Lavender/Grape Mist/Silver</t>
        </is>
      </c>
      <c r="S87" s="3" t="inlineStr">
        <is>
          <t>Hair Ties</t>
        </is>
      </c>
      <c r="T87" s="3" t="inlineStr">
        <is>
          <t>Accessories</t>
        </is>
      </c>
    </row>
    <row r="88" ht="80" customHeight="1">
      <c r="A88" s="2">
        <f>IMAGE("https://images.lululemon.com/is/image/lululemon/LW9EPBS_0002_1?wid=320&amp;op_usm=0.8",1)</f>
        <v/>
      </c>
      <c r="B88" s="2" t="inlineStr">
        <is>
          <t>Women's MacroPillow Crew Running Socks *Medium Cushioning</t>
        </is>
      </c>
      <c r="C88" s="2" t="inlineStr">
        <is>
          <t>147004130</t>
        </is>
      </c>
      <c r="D88" s="2" t="inlineStr">
        <is>
          <t>$24.00</t>
        </is>
      </c>
      <c r="E88" s="2" t="inlineStr">
        <is>
          <t>$12.00</t>
        </is>
      </c>
      <c r="F88" s="2">
        <f>IMAGE("https://images.lululemon.com/is/image/lululemon/0002",1)</f>
        <v/>
      </c>
      <c r="G88" s="2" t="n"/>
      <c r="H88" s="2" t="n"/>
      <c r="I88" s="2" t="n"/>
      <c r="J88" s="2" t="n"/>
      <c r="K88" s="2" t="n"/>
      <c r="L88" s="2" t="inlineStr">
        <is>
          <t>S, M, L</t>
        </is>
      </c>
      <c r="M88" s="2" t="n">
        <v>138</v>
      </c>
      <c r="N88" s="2" t="inlineStr">
        <is>
          <t>We mapped the movement and impact of a runner's foot to create these socks that cushion, hug, and breathe in all the right places.</t>
        </is>
      </c>
      <c r="O88" s="2" t="inlineStr">
        <is>
          <t>MacroPillow-Crew-Sock-W</t>
        </is>
      </c>
      <c r="P88" s="2" t="inlineStr">
        <is>
          <t>Yes</t>
        </is>
      </c>
      <c r="Q88" s="2" t="inlineStr">
        <is>
          <t>MacroPillow™ Crew Socks WHT S</t>
        </is>
      </c>
      <c r="R88" s="2" t="inlineStr">
        <is>
          <t>White</t>
        </is>
      </c>
      <c r="S88" s="2" t="inlineStr">
        <is>
          <t>Crew Socks</t>
        </is>
      </c>
      <c r="T88" s="2" t="inlineStr">
        <is>
          <t>Accessories</t>
        </is>
      </c>
    </row>
    <row r="89" ht="80" customHeight="1">
      <c r="A89" s="3">
        <f>IMAGE("https://images.lululemon.com/is/image/lululemon/LU9DO6S_0002_1?wid=320&amp;op_usm=0.8",1)</f>
        <v/>
      </c>
      <c r="B89" s="3" t="inlineStr">
        <is>
          <t>Unisex Daily Essential Quarter Socks</t>
        </is>
      </c>
      <c r="C89" s="3" t="inlineStr">
        <is>
          <t>157768510</t>
        </is>
      </c>
      <c r="D89" s="3" t="inlineStr">
        <is>
          <t>$14.00</t>
        </is>
      </c>
      <c r="E89" s="3" t="inlineStr">
        <is>
          <t>$7.00</t>
        </is>
      </c>
      <c r="F89" s="3">
        <f>IMAGE("https://images.lululemon.com/is/image/lululemon/0002",1)</f>
        <v/>
      </c>
      <c r="G89" s="3">
        <f>IMAGE("https://images.lululemon.com/is/image/lululemon/0001",1)</f>
        <v/>
      </c>
      <c r="H89" s="3" t="n"/>
      <c r="I89" s="3" t="n"/>
      <c r="J89" s="3" t="n"/>
      <c r="K89" s="3" t="n"/>
      <c r="L89" s="3" t="inlineStr">
        <is>
          <t>S, M, L, XL</t>
        </is>
      </c>
      <c r="M89" s="3" t="n">
        <v>416</v>
      </c>
      <c r="N89" s="3" t="inlineStr">
        <is>
          <t>Top drawer comfort. These soft cotton socks combine integrated arch support and plush cushioning.</t>
        </is>
      </c>
      <c r="O89" s="3" t="inlineStr">
        <is>
          <t>Unisex-Daily-Essential-Quarter-Socks</t>
        </is>
      </c>
      <c r="P89" s="3" t="inlineStr">
        <is>
          <t>Yes</t>
        </is>
      </c>
      <c r="Q89" s="3" t="inlineStr">
        <is>
          <t>Daily Essential Socks WHT S</t>
        </is>
      </c>
      <c r="R89" s="3" t="inlineStr">
        <is>
          <t>White, Black</t>
        </is>
      </c>
      <c r="S89" s="3" t="inlineStr">
        <is>
          <t>Quarter Socks</t>
        </is>
      </c>
      <c r="T89" s="3" t="inlineStr">
        <is>
          <t>Accessories</t>
        </is>
      </c>
    </row>
    <row r="90" ht="80" customHeight="1">
      <c r="A90" s="2">
        <f>IMAGE("https://images.lululemon.com/is/image/lululemon/LU9C80S_0001_1?wid=320&amp;op_usm=0.8",1)</f>
        <v/>
      </c>
      <c r="B90" s="2" t="inlineStr">
        <is>
          <t>Everywhere Crossbody Bag 2L *Metal Hardware</t>
        </is>
      </c>
      <c r="C90" s="2" t="inlineStr">
        <is>
          <t>153829113</t>
        </is>
      </c>
      <c r="D90" s="2" t="inlineStr">
        <is>
          <t>$78.00</t>
        </is>
      </c>
      <c r="E90" s="2" t="inlineStr">
        <is>
          <t>$39.00</t>
        </is>
      </c>
      <c r="F90" s="2">
        <f>IMAGE("https://images.lululemon.com/is/image/lululemon/0001",1)</f>
        <v/>
      </c>
      <c r="G90" s="2">
        <f>IMAGE("https://images.lululemon.com/is/image/lululemon/73255",1)</f>
        <v/>
      </c>
      <c r="H90" s="2" t="n"/>
      <c r="I90" s="2" t="n"/>
      <c r="J90" s="2" t="n"/>
      <c r="K90" s="2" t="n"/>
      <c r="L90" s="2" t="inlineStr">
        <is>
          <t>O/S</t>
        </is>
      </c>
      <c r="M90" s="2" t="n">
        <v>1282</v>
      </c>
      <c r="N90" s="2" t="inlineStr">
        <is>
          <t>Bringing you more of what you love. The Everywhere Crossbody comes equipped with strategically placed pockets inside and out and a removable strap to customize your look.</t>
        </is>
      </c>
      <c r="O90" s="2" t="inlineStr">
        <is>
          <t>Everywhere-Crossbody-Bag-2L-Metal-Hardware</t>
        </is>
      </c>
      <c r="P90" s="2" t="inlineStr">
        <is>
          <t>Yes</t>
        </is>
      </c>
      <c r="Q90" s="2" t="inlineStr">
        <is>
          <t>Everywhere Crossbody Bag *Metal Hardware BLK ONE SIZE</t>
        </is>
      </c>
      <c r="R90" s="2" t="inlineStr">
        <is>
          <t>Black, Berry Rumble/Gold</t>
        </is>
      </c>
      <c r="S90" s="2" t="inlineStr">
        <is>
          <t>Crossbody Bags</t>
        </is>
      </c>
      <c r="T90" s="2" t="inlineStr">
        <is>
          <t>Accessories</t>
        </is>
      </c>
    </row>
    <row r="91" ht="80" customHeight="1">
      <c r="A91" s="3">
        <f>IMAGE("https://images.lululemon.com/is/image/lululemon/LU9CIAS_035486_1?wid=320&amp;op_usm=0.8",1)</f>
        <v/>
      </c>
      <c r="B91" s="3" t="inlineStr">
        <is>
          <t>Insulated Mug 20oz</t>
        </is>
      </c>
      <c r="C91" s="3" t="inlineStr">
        <is>
          <t>156751580</t>
        </is>
      </c>
      <c r="D91" s="3" t="inlineStr">
        <is>
          <t>$38.00</t>
        </is>
      </c>
      <c r="E91" s="3" t="inlineStr">
        <is>
          <t>$19.00</t>
        </is>
      </c>
      <c r="F91" s="3">
        <f>IMAGE("https://images.lululemon.com/is/image/lululemon/35486",1)</f>
        <v/>
      </c>
      <c r="G91" s="3">
        <f>IMAGE("https://images.lululemon.com/is/image/lululemon/28022",1)</f>
        <v/>
      </c>
      <c r="H91" s="3" t="n"/>
      <c r="I91" s="3" t="n"/>
      <c r="J91" s="3" t="n"/>
      <c r="K91" s="3" t="n"/>
      <c r="L91" s="3" t="inlineStr">
        <is>
          <t>O/S</t>
        </is>
      </c>
      <c r="M91" s="3" t="n">
        <v>687</v>
      </c>
      <c r="N91" s="3" t="inlineStr">
        <is>
          <t>Sip, sip, hooray. This insulated mug has a leak-proof lid and a double-walled design that will keep your drink ice cold or perfectly hot.</t>
        </is>
      </c>
      <c r="O91" s="3" t="inlineStr">
        <is>
          <t>Insulated-Mug-20oz</t>
        </is>
      </c>
      <c r="P91" s="3" t="inlineStr">
        <is>
          <t>Yes</t>
        </is>
      </c>
      <c r="Q91" s="3" t="inlineStr">
        <is>
          <t>Insulated Mug 20oz BLLP ONE SIZE</t>
        </is>
      </c>
      <c r="R91" s="3" t="inlineStr">
        <is>
          <t>Blissful Pink, Indochine Blue</t>
        </is>
      </c>
      <c r="S91" s="3" t="inlineStr">
        <is>
          <t>Tumblers and Travel Mugs</t>
        </is>
      </c>
      <c r="T91" s="3" t="inlineStr">
        <is>
          <t>Men</t>
        </is>
      </c>
    </row>
    <row r="92" ht="80" customHeight="1">
      <c r="A92" s="2">
        <f>IMAGE("https://images.lululemon.com/is/image/lululemon/LW2DQ0S_062214_1?wid=320&amp;op_usm=0.8",1)</f>
        <v/>
      </c>
      <c r="B92" s="2" t="inlineStr">
        <is>
          <t>Wunder Train Strappy Racer Bra *Light Support, A/B Cup</t>
        </is>
      </c>
      <c r="C92" s="2" t="inlineStr">
        <is>
          <t>157708688</t>
        </is>
      </c>
      <c r="D92" s="2" t="inlineStr">
        <is>
          <t>$58.00</t>
        </is>
      </c>
      <c r="E92" s="2" t="inlineStr">
        <is>
          <t>$29.00</t>
        </is>
      </c>
      <c r="F92" s="2">
        <f>IMAGE("https://images.lululemon.com/is/image/lululemon/62214",1)</f>
        <v/>
      </c>
      <c r="G92" s="2">
        <f>IMAGE("https://images.lululemon.com/is/image/lululemon/71177",1)</f>
        <v/>
      </c>
      <c r="H92" s="2">
        <f>IMAGE("https://images.lululemon.com/is/image/lululemon/71293",1)</f>
        <v/>
      </c>
      <c r="I92" s="2" t="n"/>
      <c r="J92" s="2" t="n"/>
      <c r="K92" s="2" t="n"/>
      <c r="L92" s="2" t="inlineStr">
        <is>
          <t>2, 8, 10, 12, 4, 6</t>
        </is>
      </c>
      <c r="M92" s="2" t="n">
        <v>233</v>
      </c>
      <c r="N92" s="2" t="inlineStr">
        <is>
          <t>Focus on every push, press, and hold. This narrow-strap bra is intentionally designed with a light feel that lets you stay hyper-mindful.</t>
        </is>
      </c>
      <c r="O92" s="2" t="inlineStr">
        <is>
          <t>Wunder-Train-Strappy-Race-Bra-Light-AB</t>
        </is>
      </c>
      <c r="P92" s="2" t="inlineStr">
        <is>
          <t>Yes</t>
        </is>
      </c>
      <c r="Q92" s="2" t="inlineStr">
        <is>
          <t>Wunder Train Strappy Racer Bra A/B BALF 2</t>
        </is>
      </c>
      <c r="R92" s="2" t="inlineStr">
        <is>
          <t>Bay Leaf, Sunburst Orange, Thawed Camo Black Multi</t>
        </is>
      </c>
      <c r="S92" s="2" t="inlineStr">
        <is>
          <t>Racerback Bras, Bralettes, Strappy Bras</t>
        </is>
      </c>
      <c r="T92" s="2" t="inlineStr">
        <is>
          <t>Men</t>
        </is>
      </c>
    </row>
    <row r="93" ht="80" customHeight="1">
      <c r="A93" s="3">
        <f>IMAGE("https://images.lululemon.com/is/image/lululemon/LM7B83S_0001_1?wid=320&amp;op_usm=0.8",1)</f>
        <v/>
      </c>
      <c r="B93" s="3" t="inlineStr">
        <is>
          <t>Pace Breaker Lined Short 5"</t>
        </is>
      </c>
      <c r="C93" s="3" t="inlineStr">
        <is>
          <t>147004628</t>
        </is>
      </c>
      <c r="D93" s="3" t="inlineStr">
        <is>
          <t>$78.00</t>
        </is>
      </c>
      <c r="E93" s="3" t="inlineStr">
        <is>
          <t>$39.00</t>
        </is>
      </c>
      <c r="F93" s="3">
        <f>IMAGE("https://images.lululemon.com/is/image/lululemon/0001",1)</f>
        <v/>
      </c>
      <c r="G93" s="3">
        <f>IMAGE("https://images.lululemon.com/is/image/lululemon/33068",1)</f>
        <v/>
      </c>
      <c r="H93" s="3" t="n"/>
      <c r="I93" s="3" t="n"/>
      <c r="J93" s="3" t="n"/>
      <c r="K93" s="3" t="n"/>
      <c r="L93" s="3" t="inlineStr">
        <is>
          <t>S, M, L, XL, XXL</t>
        </is>
      </c>
      <c r="M93" s="3" t="n">
        <v>1025</v>
      </c>
      <c r="N93" s="3" t="inlineStr">
        <is>
          <t>Athlete backed, performance driven. This elevated version of our most versatile short was designed for maximum comfort and zero distractions.</t>
        </is>
      </c>
      <c r="O93" s="3" t="inlineStr">
        <is>
          <t>Pace-Breaker-Short-5-Lined-Update</t>
        </is>
      </c>
      <c r="P93" s="3" t="inlineStr">
        <is>
          <t>Yes</t>
        </is>
      </c>
      <c r="Q93" s="3" t="inlineStr">
        <is>
          <t>Pace Breaker Short 5" *Lined BLK S</t>
        </is>
      </c>
      <c r="R93" s="3" t="inlineStr">
        <is>
          <t>Black, Sinatra Blue</t>
        </is>
      </c>
      <c r="S93" s="3" t="inlineStr">
        <is>
          <t>Athletic Shorts, Liner Shorts, Track Shorts</t>
        </is>
      </c>
      <c r="T93" s="3" t="inlineStr">
        <is>
          <t>Men</t>
        </is>
      </c>
    </row>
    <row r="94" ht="80" customHeight="1">
      <c r="A94" s="2">
        <f>IMAGE("https://images.lululemon.com/is/image/lululemon/LM4AMYS_0001_1?wid=320&amp;op_usm=0.8",1)</f>
        <v/>
      </c>
      <c r="B94" s="2" t="inlineStr">
        <is>
          <t>Down for It All Vest</t>
        </is>
      </c>
      <c r="C94" s="2" t="inlineStr">
        <is>
          <t>147151678</t>
        </is>
      </c>
      <c r="D94" s="2" t="inlineStr">
        <is>
          <t>$168.00</t>
        </is>
      </c>
      <c r="E94" s="2" t="inlineStr">
        <is>
          <t>$84.00</t>
        </is>
      </c>
      <c r="F94" s="2">
        <f>IMAGE("https://images.lululemon.com/is/image/lululemon/0001",1)</f>
        <v/>
      </c>
      <c r="G94" s="2">
        <f>IMAGE("https://images.lululemon.com/is/image/lululemon/35488",1)</f>
        <v/>
      </c>
      <c r="H94" s="2" t="n"/>
      <c r="I94" s="2" t="n"/>
      <c r="J94" s="2" t="n"/>
      <c r="K94" s="2" t="n"/>
      <c r="L94" s="2" t="inlineStr">
        <is>
          <t>S, M, L, XL, XXL</t>
        </is>
      </c>
      <c r="M94" s="2" t="n">
        <v>286</v>
      </c>
      <c r="N94" s="2" t="inlineStr">
        <is>
          <t>When temperature drops, this water-resistant vest keeps up. Lightweight goose down helps keep you warm, while stretchy fabric panels let you move with ease.</t>
        </is>
      </c>
      <c r="O94" s="2" t="inlineStr">
        <is>
          <t>Down-For-It-All-Vest-M</t>
        </is>
      </c>
      <c r="P94" s="2" t="inlineStr">
        <is>
          <t>Yes</t>
        </is>
      </c>
      <c r="Q94" s="2" t="inlineStr">
        <is>
          <t>Down for It All Vest BLK S</t>
        </is>
      </c>
      <c r="R94" s="2" t="inlineStr">
        <is>
          <t>Black, Carbon Dust</t>
        </is>
      </c>
      <c r="S94" s="2" t="inlineStr">
        <is>
          <t>Puffer Jackets, Vests, Athletic Jackets</t>
        </is>
      </c>
      <c r="T94" s="2" t="inlineStr">
        <is>
          <t>Men</t>
        </is>
      </c>
    </row>
    <row r="95" ht="80" customHeight="1">
      <c r="A95" s="3">
        <f>IMAGE("https://images.lululemon.com/is/image/lululemon/LM7B80S_0001_1?wid=320&amp;op_usm=0.8",1)</f>
        <v/>
      </c>
      <c r="B95" s="3" t="inlineStr">
        <is>
          <t>Pace Breaker Linerless Short 7"</t>
        </is>
      </c>
      <c r="C95" s="3" t="inlineStr">
        <is>
          <t>158027412</t>
        </is>
      </c>
      <c r="D95" s="3" t="inlineStr">
        <is>
          <t>$68.00</t>
        </is>
      </c>
      <c r="E95" s="3" t="inlineStr">
        <is>
          <t>$34.00</t>
        </is>
      </c>
      <c r="F95" s="3">
        <f>IMAGE("https://images.lululemon.com/is/image/lululemon/0001",1)</f>
        <v/>
      </c>
      <c r="G95" s="3">
        <f>IMAGE("https://images.lululemon.com/is/image/lululemon/69033",1)</f>
        <v/>
      </c>
      <c r="H95" s="3">
        <f>IMAGE("https://images.lululemon.com/is/image/lululemon/33454",1)</f>
        <v/>
      </c>
      <c r="I95" s="3">
        <f>IMAGE("https://images.lululemon.com/is/image/lululemon/70144",1)</f>
        <v/>
      </c>
      <c r="J95" s="3">
        <f>IMAGE("https://images.lululemon.com/is/image/lululemon/38426",1)</f>
        <v/>
      </c>
      <c r="K95" s="3">
        <f>IMAGE("https://images.lululemon.com/is/image/lululemon/32507",1)</f>
        <v/>
      </c>
      <c r="L95" s="3" t="inlineStr">
        <is>
          <t>XS, S, M, L, XL, XXL</t>
        </is>
      </c>
      <c r="M95" s="3" t="n">
        <v>5203</v>
      </c>
      <c r="N95" s="3" t="inlineStr">
        <is>
          <t>Athlete backed, performance driven. This elevated version of our most versatile short was designed for maximum comfort and zero distractions.</t>
        </is>
      </c>
      <c r="O95" s="3" t="inlineStr">
        <is>
          <t>Pace-Breaker-Short-Linerless-7-Update</t>
        </is>
      </c>
      <c r="P95" s="3" t="inlineStr">
        <is>
          <t>Yes</t>
        </is>
      </c>
      <c r="Q95" s="3" t="inlineStr">
        <is>
          <t>Pace Breaker Short 7" *LL INCB XS</t>
        </is>
      </c>
      <c r="R95" s="3" t="inlineStr">
        <is>
          <t>Black, Sour Grape, Light Ivory, Fog Green, Solar Grey, Serene Blue, Red Clay, Indochine Blue, Ultra Plum, Speckled Heather Plum Multi</t>
        </is>
      </c>
      <c r="S95" s="3" t="inlineStr">
        <is>
          <t>Athletic Shorts</t>
        </is>
      </c>
      <c r="T95" s="3" t="inlineStr">
        <is>
          <t>Men</t>
        </is>
      </c>
    </row>
    <row r="96" ht="80" customHeight="1">
      <c r="A96" s="2">
        <f>IMAGE("https://images.lululemon.com/is/image/lululemon/LU9AY5S_072992_1?wid=320&amp;op_usm=0.8",1)</f>
        <v/>
      </c>
      <c r="B96" s="2" t="inlineStr">
        <is>
          <t>The (Small) Towel</t>
        </is>
      </c>
      <c r="C96" s="2" t="inlineStr">
        <is>
          <t>157743699</t>
        </is>
      </c>
      <c r="D96" s="2" t="inlineStr">
        <is>
          <t>$22.00</t>
        </is>
      </c>
      <c r="E96" s="2" t="inlineStr">
        <is>
          <t>$11.00</t>
        </is>
      </c>
      <c r="F96" s="2">
        <f>IMAGE("https://images.lululemon.com/is/image/lululemon/72992",1)</f>
        <v/>
      </c>
      <c r="G96" s="2" t="n"/>
      <c r="H96" s="2" t="n"/>
      <c r="I96" s="2" t="n"/>
      <c r="J96" s="2" t="n"/>
      <c r="K96" s="2" t="n"/>
      <c r="L96" s="2" t="inlineStr">
        <is>
          <t>O/S</t>
        </is>
      </c>
      <c r="M96" s="2" t="n">
        <v>170</v>
      </c>
      <c r="N96" s="2" t="inlineStr">
        <is>
          <t>This absorbent microfibre towel likes hot yoga, indoor cycling classes, and the gym. Sounds like you've got a lot in common!</t>
        </is>
      </c>
      <c r="O96" s="2" t="inlineStr">
        <is>
          <t>The-Small-Towel</t>
        </is>
      </c>
      <c r="P96" s="2" t="inlineStr">
        <is>
          <t>Yes</t>
        </is>
      </c>
      <c r="Q96" s="2" t="inlineStr">
        <is>
          <t>The (Small) Towel MHMG ONE SIZE</t>
        </is>
      </c>
      <c r="R96" s="2" t="inlineStr">
        <is>
          <t>Meadow Haze Mini Grey Multi</t>
        </is>
      </c>
      <c r="S96" s="2" t="inlineStr">
        <is>
          <t>Towels</t>
        </is>
      </c>
      <c r="T96" s="2" t="inlineStr">
        <is>
          <t>Men</t>
        </is>
      </c>
    </row>
    <row r="97" ht="80" customHeight="1">
      <c r="A97" s="3">
        <f>IMAGE("https://images.lululemon.com/is/image/lululemon/LW9FOPS_0001_1?wid=320&amp;op_usm=0.8",1)</f>
        <v/>
      </c>
      <c r="B97" s="3" t="inlineStr">
        <is>
          <t>Women's Fast and Free Fleece Running Gloves</t>
        </is>
      </c>
      <c r="C97" s="3" t="inlineStr">
        <is>
          <t>154525191</t>
        </is>
      </c>
      <c r="D97" s="3" t="inlineStr">
        <is>
          <t>$42.00</t>
        </is>
      </c>
      <c r="E97" s="3" t="inlineStr">
        <is>
          <t>$21.00</t>
        </is>
      </c>
      <c r="F97" s="3">
        <f>IMAGE("https://images.lululemon.com/is/image/lululemon/0001",1)</f>
        <v/>
      </c>
      <c r="G97" s="3" t="n"/>
      <c r="H97" s="3" t="n"/>
      <c r="I97" s="3" t="n"/>
      <c r="J97" s="3" t="n"/>
      <c r="K97" s="3" t="n"/>
      <c r="L97" s="3" t="inlineStr">
        <is>
          <t>XS, S, M, L</t>
        </is>
      </c>
      <c r="M97" s="3" t="n">
        <v>355</v>
      </c>
      <c r="N97" s="3" t="inlineStr">
        <is>
          <t>Cold hands can take your run off-track. Keep them warm while you clock miles in these fleece gloves made with screen-friendly technology.</t>
        </is>
      </c>
      <c r="O97" s="3" t="inlineStr">
        <is>
          <t>W-Fast-and-Free-Fleece-Run-Gloves</t>
        </is>
      </c>
      <c r="P97" s="3" t="inlineStr">
        <is>
          <t>Yes</t>
        </is>
      </c>
      <c r="Q97" s="3" t="inlineStr">
        <is>
          <t>Fast and Free Fleece Run Gloves W BLK XS</t>
        </is>
      </c>
      <c r="R97" s="3" t="inlineStr">
        <is>
          <t>Black</t>
        </is>
      </c>
      <c r="S97" s="3" t="inlineStr"/>
      <c r="T97" s="3" t="inlineStr">
        <is>
          <t>Men</t>
        </is>
      </c>
    </row>
    <row r="98" ht="80" customHeight="1">
      <c r="A98" s="2">
        <f>IMAGE("https://images.lululemon.com/is/image/lululemon/LU9B94S_065048_1?wid=320&amp;op_usm=0.8",1)</f>
        <v/>
      </c>
      <c r="B98" s="2" t="inlineStr">
        <is>
          <t>The Foldable Mat 6.5mm</t>
        </is>
      </c>
      <c r="C98" s="2" t="inlineStr">
        <is>
          <t>150350151</t>
        </is>
      </c>
      <c r="D98" s="2" t="inlineStr">
        <is>
          <t>$118.00</t>
        </is>
      </c>
      <c r="E98" s="2" t="inlineStr">
        <is>
          <t>$59.00</t>
        </is>
      </c>
      <c r="F98" s="2">
        <f>IMAGE("https://images.lululemon.com/is/image/lululemon/65048",1)</f>
        <v/>
      </c>
      <c r="G98" s="2" t="n"/>
      <c r="H98" s="2" t="n"/>
      <c r="I98" s="2" t="n"/>
      <c r="J98" s="2" t="n"/>
      <c r="K98" s="2" t="n"/>
      <c r="L98" s="2" t="inlineStr">
        <is>
          <t>O/S</t>
        </is>
      </c>
      <c r="M98" s="2" t="n">
        <v>311</v>
      </c>
      <c r="N98" s="2" t="inlineStr">
        <is>
          <t>Take your practice to new heights. This yoga mat stacks up (or folds down) for a fully personalized practice.</t>
        </is>
      </c>
      <c r="O98" s="2" t="inlineStr">
        <is>
          <t>The-Foldable-Mat</t>
        </is>
      </c>
      <c r="P98" s="2" t="inlineStr">
        <is>
          <t>Yes</t>
        </is>
      </c>
      <c r="Q98" s="2" t="inlineStr">
        <is>
          <t>The Foldable Mat 6.5mm TVSG/BLK ONE SIZE</t>
        </is>
      </c>
      <c r="R98" s="2" t="inlineStr">
        <is>
          <t>Traverse Grey/Black</t>
        </is>
      </c>
      <c r="S98" s="2" t="inlineStr"/>
      <c r="T98" s="2" t="inlineStr">
        <is>
          <t>Men</t>
        </is>
      </c>
    </row>
    <row r="99" ht="80" customHeight="1">
      <c r="A99" s="3">
        <f>IMAGE("https://images.lululemon.com/is/image/lululemon/LM7BNQS_033454_1?wid=320&amp;op_usm=0.8",1)</f>
        <v/>
      </c>
      <c r="B99" s="3" t="inlineStr">
        <is>
          <t>ABC WovenAir Pull-On Short 7"</t>
        </is>
      </c>
      <c r="C99" s="3" t="inlineStr">
        <is>
          <t>155750388</t>
        </is>
      </c>
      <c r="D99" s="3" t="inlineStr">
        <is>
          <t>$78.00</t>
        </is>
      </c>
      <c r="E99" s="3" t="inlineStr">
        <is>
          <t>$39.00</t>
        </is>
      </c>
      <c r="F99" s="3">
        <f>IMAGE("https://images.lululemon.com/is/image/lululemon/33454",1)</f>
        <v/>
      </c>
      <c r="G99" s="3" t="n"/>
      <c r="H99" s="3" t="n"/>
      <c r="I99" s="3" t="n"/>
      <c r="J99" s="3" t="n"/>
      <c r="K99" s="3" t="n"/>
      <c r="L99" s="3" t="inlineStr">
        <is>
          <t>S, M, L, XL, XXL</t>
        </is>
      </c>
      <c r="M99" s="3" t="n">
        <v>89</v>
      </c>
      <c r="N99" s="3" t="inlineStr">
        <is>
          <t>Comfort that won't quit. Made from our naturally breathable WovenAir™ fabric, these shorts make warm days feel easy breezy.</t>
        </is>
      </c>
      <c r="O99" s="3" t="inlineStr">
        <is>
          <t>ABC-WovenAir-Pull-On-Short-7</t>
        </is>
      </c>
      <c r="P99" s="3" t="inlineStr">
        <is>
          <t>Yes</t>
        </is>
      </c>
      <c r="Q99" s="3" t="inlineStr">
        <is>
          <t>ABC WovenAir™ Pull-On Short 7" LTIV S</t>
        </is>
      </c>
      <c r="R99" s="3" t="inlineStr">
        <is>
          <t>Light Ivory</t>
        </is>
      </c>
      <c r="S99" s="3" t="inlineStr"/>
      <c r="T99" s="3" t="inlineStr">
        <is>
          <t>Men</t>
        </is>
      </c>
    </row>
    <row r="100" ht="80" customHeight="1">
      <c r="A100" s="2">
        <f>IMAGE("https://images.lululemon.com/is/image/lululemon/LM7BI2S_0001_1?wid=320&amp;op_usm=0.8",1)</f>
        <v/>
      </c>
      <c r="B100" s="2" t="inlineStr">
        <is>
          <t>Soft Jersey Short 5"</t>
        </is>
      </c>
      <c r="C100" s="2" t="inlineStr">
        <is>
          <t>148230763</t>
        </is>
      </c>
      <c r="D100" s="2" t="inlineStr">
        <is>
          <t>$68.00</t>
        </is>
      </c>
      <c r="E100" s="2" t="inlineStr">
        <is>
          <t>$34.00</t>
        </is>
      </c>
      <c r="F100" s="2">
        <f>IMAGE("https://images.lululemon.com/is/image/lululemon/0001",1)</f>
        <v/>
      </c>
      <c r="G100" s="2">
        <f>IMAGE("https://images.lululemon.com/is/image/lululemon/64587",1)</f>
        <v/>
      </c>
      <c r="H100" s="2">
        <f>IMAGE("https://images.lululemon.com/is/image/lululemon/63781",1)</f>
        <v/>
      </c>
      <c r="I100" s="2" t="n"/>
      <c r="J100" s="2" t="n"/>
      <c r="K100" s="2" t="n"/>
      <c r="L100" s="2" t="inlineStr">
        <is>
          <t>S, M, L, XL, XXL</t>
        </is>
      </c>
      <c r="M100" s="2" t="n">
        <v>1006</v>
      </c>
      <c r="N100" s="2" t="inlineStr">
        <is>
          <t>Rest and reset. These lightweight shorts have a brushed interior that makes downtime irresistible.</t>
        </is>
      </c>
      <c r="O100" s="2" t="inlineStr">
        <is>
          <t>Soft-Jersey-Short-5</t>
        </is>
      </c>
      <c r="P100" s="2" t="inlineStr">
        <is>
          <t>Yes</t>
        </is>
      </c>
      <c r="Q100" s="2" t="inlineStr">
        <is>
          <t>Soft Jersey Short 5" BLK S</t>
        </is>
      </c>
      <c r="R100" s="2" t="inlineStr">
        <is>
          <t>Black, Heathered Black/Heathered Graphite Grey, Heathered Vapor/Heathered Silver Drop</t>
        </is>
      </c>
      <c r="S100" s="2" t="inlineStr">
        <is>
          <t>Sweat Shorts</t>
        </is>
      </c>
      <c r="T100" s="2" t="inlineStr">
        <is>
          <t>Men</t>
        </is>
      </c>
    </row>
    <row r="101" ht="80" customHeight="1">
      <c r="A101" s="3">
        <f>IMAGE("https://images.lululemon.com/is/image/lululemon/LM7B74S_0001_1?wid=320&amp;op_usm=0.8",1)</f>
        <v/>
      </c>
      <c r="B101" s="3" t="inlineStr">
        <is>
          <t>Fast and Free Half Tight 8"</t>
        </is>
      </c>
      <c r="C101" s="3" t="inlineStr">
        <is>
          <t>146403282</t>
        </is>
      </c>
      <c r="D101" s="3" t="inlineStr">
        <is>
          <t>$98.00</t>
        </is>
      </c>
      <c r="E101" s="3" t="inlineStr">
        <is>
          <t>$49.00</t>
        </is>
      </c>
      <c r="F101" s="3">
        <f>IMAGE("https://images.lululemon.com/is/image/lululemon/0001",1)</f>
        <v/>
      </c>
      <c r="G101" s="3" t="n"/>
      <c r="H101" s="3" t="n"/>
      <c r="I101" s="3" t="n"/>
      <c r="J101" s="3" t="n"/>
      <c r="K101" s="3" t="n"/>
      <c r="L101" s="3" t="inlineStr">
        <is>
          <t>L, XL, XXL</t>
        </is>
      </c>
      <c r="M101" s="3" t="n">
        <v>42</v>
      </c>
      <c r="N101" s="3" t="inlineStr">
        <is>
          <t>100% pure freedom. These sleek run shorts have a mesh fabric back panel for breezy ventilation.</t>
        </is>
      </c>
      <c r="O101" s="3" t="inlineStr">
        <is>
          <t>Fast-And-Free-Half-Tight-8</t>
        </is>
      </c>
      <c r="P101" s="3" t="inlineStr">
        <is>
          <t>Yes</t>
        </is>
      </c>
      <c r="Q101" s="3" t="inlineStr">
        <is>
          <t>Fast and Free Half Tight 8" BLK L</t>
        </is>
      </c>
      <c r="R101" s="3" t="inlineStr">
        <is>
          <t>Black</t>
        </is>
      </c>
      <c r="S101" s="3" t="inlineStr">
        <is>
          <t>Base Layers, Athletic Shorts</t>
        </is>
      </c>
      <c r="T101" s="3" t="inlineStr">
        <is>
          <t>Men</t>
        </is>
      </c>
    </row>
    <row r="102" ht="80" customHeight="1">
      <c r="A102" s="2">
        <f>IMAGE("https://images.lululemon.com/is/image/lululemon/LU9BE3S_0001_1?wid=320&amp;op_usm=0.8",1)</f>
        <v/>
      </c>
      <c r="B102" s="2" t="inlineStr">
        <is>
          <t>Everywhere Belt Bag 1L *Clear</t>
        </is>
      </c>
      <c r="C102" s="2" t="inlineStr">
        <is>
          <t>147475064</t>
        </is>
      </c>
      <c r="D102" s="2" t="inlineStr">
        <is>
          <t>$38.00</t>
        </is>
      </c>
      <c r="E102" s="2" t="inlineStr">
        <is>
          <t>$19.00</t>
        </is>
      </c>
      <c r="F102" s="2">
        <f>IMAGE("https://images.lululemon.com/is/image/lululemon/0001",1)</f>
        <v/>
      </c>
      <c r="G102" s="2" t="n"/>
      <c r="H102" s="2" t="n"/>
      <c r="I102" s="2" t="n"/>
      <c r="J102" s="2" t="n"/>
      <c r="K102" s="2" t="n"/>
      <c r="L102" s="2" t="inlineStr">
        <is>
          <t>O/S</t>
        </is>
      </c>
      <c r="M102" s="2" t="n">
        <v>419</v>
      </c>
      <c r="N102" s="2" t="inlineStr">
        <is>
          <t>Stadium ready. Whether you're heading to a concert or cheering on your home team, this transparent belt bag keeps your belongings visible so lineups are a breeze.</t>
        </is>
      </c>
      <c r="O102" s="2" t="inlineStr">
        <is>
          <t>Clear-Belt-Bag-Logo-1L</t>
        </is>
      </c>
      <c r="P102" s="2" t="inlineStr">
        <is>
          <t>Yes</t>
        </is>
      </c>
      <c r="Q102" s="2" t="inlineStr">
        <is>
          <t>Everywhere Belt Bag *Clear BLK ONE SIZE</t>
        </is>
      </c>
      <c r="R102" s="2" t="inlineStr">
        <is>
          <t>Black</t>
        </is>
      </c>
      <c r="S102" s="2" t="inlineStr">
        <is>
          <t>Belt Bags, Crossbody Bags</t>
        </is>
      </c>
      <c r="T102" s="2" t="inlineStr">
        <is>
          <t>Men</t>
        </is>
      </c>
    </row>
    <row r="103" ht="80" customHeight="1">
      <c r="A103" s="3">
        <f>IMAGE("https://images.lululemon.com/is/image/lululemon/LM7BGUS_038470_1?wid=320&amp;op_usm=0.8",1)</f>
        <v/>
      </c>
      <c r="B103" s="3" t="inlineStr">
        <is>
          <t>ABC Classic-Fit Short 7" *WovenAir</t>
        </is>
      </c>
      <c r="C103" s="3" t="inlineStr">
        <is>
          <t>155802290</t>
        </is>
      </c>
      <c r="D103" s="3" t="inlineStr">
        <is>
          <t>$88.00</t>
        </is>
      </c>
      <c r="E103" s="3" t="inlineStr">
        <is>
          <t>$44.00</t>
        </is>
      </c>
      <c r="F103" s="3">
        <f>IMAGE("https://images.lululemon.com/is/image/lululemon/38470",1)</f>
        <v/>
      </c>
      <c r="G103" s="3">
        <f>IMAGE("https://images.lululemon.com/is/image/lululemon/33454",1)</f>
        <v/>
      </c>
      <c r="H103" s="3">
        <f>IMAGE("https://images.lululemon.com/is/image/lululemon/31382",1)</f>
        <v/>
      </c>
      <c r="I103" s="3" t="n"/>
      <c r="J103" s="3" t="n"/>
      <c r="K103" s="3" t="n"/>
      <c r="L103" s="3" t="inlineStr">
        <is>
          <t>28, 30, 31, 32, 33, 34, 36, 38, 40</t>
        </is>
      </c>
      <c r="M103" s="3" t="n">
        <v>1022</v>
      </c>
      <c r="N103" s="3" t="inlineStr">
        <is>
          <t>Welcome to the all-day comfort club. Streamlined yet technical, these shorts elevate any look.</t>
        </is>
      </c>
      <c r="O103" s="3" t="inlineStr">
        <is>
          <t>ABC-Classic-Fit-Short-7-WovenAir</t>
        </is>
      </c>
      <c r="P103" s="3" t="inlineStr">
        <is>
          <t>Yes</t>
        </is>
      </c>
      <c r="Q103" s="3" t="inlineStr">
        <is>
          <t>ABC Classic-Fit Short 7" *WovenAir™ TRNV 28</t>
        </is>
      </c>
      <c r="R103" s="3" t="inlineStr">
        <is>
          <t>Oasis Blue, Light Ivory, True Navy</t>
        </is>
      </c>
      <c r="S103" s="3" t="inlineStr">
        <is>
          <t>Chino Shorts</t>
        </is>
      </c>
      <c r="T103" s="3" t="inlineStr">
        <is>
          <t>Men</t>
        </is>
      </c>
    </row>
    <row r="104" ht="80" customHeight="1">
      <c r="A104" s="2">
        <f>IMAGE("https://images.lululemon.com/is/image/lululemon/LM5BL1S_049106_1?wid=320&amp;op_usm=0.8",1)</f>
        <v/>
      </c>
      <c r="B104" s="2" t="inlineStr">
        <is>
          <t>Textured Spacer Relaxed Straight Pant</t>
        </is>
      </c>
      <c r="C104" s="2" t="inlineStr">
        <is>
          <t>158026304</t>
        </is>
      </c>
      <c r="D104" s="2" t="inlineStr">
        <is>
          <t>$148.00</t>
        </is>
      </c>
      <c r="E104" s="2" t="inlineStr">
        <is>
          <t>$74.00</t>
        </is>
      </c>
      <c r="F104" s="2">
        <f>IMAGE("https://images.lululemon.com/is/image/lululemon/49106",1)</f>
        <v/>
      </c>
      <c r="G104" s="2">
        <f>IMAGE("https://images.lululemon.com/is/image/lululemon/72761",1)</f>
        <v/>
      </c>
      <c r="H104" s="2" t="n"/>
      <c r="I104" s="2" t="n"/>
      <c r="J104" s="2" t="n"/>
      <c r="K104" s="2" t="n"/>
      <c r="L104" s="2" t="inlineStr">
        <is>
          <t>S, M, L, XL, XXL</t>
        </is>
      </c>
      <c r="M104" s="2" t="n">
        <v>301</v>
      </c>
      <c r="N104" s="2" t="inlineStr">
        <is>
          <t>Warm up and cool down in comfort. These textured pants are made of four-way stretch, quick-drying fabric—making it easy to go from stretch to sweat to street.</t>
        </is>
      </c>
      <c r="O104" s="2" t="inlineStr">
        <is>
          <t>Textured-Spacer-Relaxed-Straight-Pant</t>
        </is>
      </c>
      <c r="P104" s="2" t="inlineStr">
        <is>
          <t>Yes</t>
        </is>
      </c>
      <c r="Q104" s="2" t="inlineStr">
        <is>
          <t>Textured Spacer Relaxed Straight Pant RNFG S</t>
        </is>
      </c>
      <c r="R104" s="2" t="inlineStr">
        <is>
          <t>Rainforest Green, Walnut Crunch</t>
        </is>
      </c>
      <c r="S104" s="2" t="inlineStr"/>
      <c r="T104" s="2" t="inlineStr">
        <is>
          <t>Men</t>
        </is>
      </c>
    </row>
    <row r="105" ht="80" customHeight="1">
      <c r="A105" s="3">
        <f>IMAGE("https://images.lululemon.com/is/image/lululemon/LM3GB5S_0001_1?wid=320&amp;op_usm=0.8",1)</f>
        <v/>
      </c>
      <c r="B105" s="3" t="inlineStr">
        <is>
          <t>Men's ShowZero™ Classic-Fit Polo Shirt</t>
        </is>
      </c>
      <c r="C105" s="3" t="inlineStr">
        <is>
          <t>157708243</t>
        </is>
      </c>
      <c r="D105" s="3" t="inlineStr">
        <is>
          <t>$98.00</t>
        </is>
      </c>
      <c r="E105" s="3" t="inlineStr">
        <is>
          <t>$49.00</t>
        </is>
      </c>
      <c r="F105" s="3">
        <f>IMAGE("https://images.lululemon.com/is/image/lululemon/0001",1)</f>
        <v/>
      </c>
      <c r="G105" s="3">
        <f>IMAGE("https://images.lululemon.com/is/image/lululemon/48432",1)</f>
        <v/>
      </c>
      <c r="H105" s="3">
        <f>IMAGE("https://images.lululemon.com/is/image/lululemon/27401",1)</f>
        <v/>
      </c>
      <c r="I105" s="3" t="n"/>
      <c r="J105" s="3" t="n"/>
      <c r="K105" s="3" t="n"/>
      <c r="L105" s="3" t="inlineStr">
        <is>
          <t>S, M, L, XL, XXL</t>
        </is>
      </c>
      <c r="M105" s="3" t="n">
        <v>905</v>
      </c>
      <c r="N105" s="3" t="inlineStr">
        <is>
          <t>Our little secret. This polo's sleek fabric harnesses the power of ShowZero™ technology to virtually eliminate the appearance of sweat on the outside, keeping you confident for tee offs, takeoffs, and everything in between.</t>
        </is>
      </c>
      <c r="O105" s="3" t="inlineStr">
        <is>
          <t>Mens-ShowZero-Classic-Fit-Polo-Shirt</t>
        </is>
      </c>
      <c r="P105" s="3" t="inlineStr">
        <is>
          <t>Yes</t>
        </is>
      </c>
      <c r="Q105" s="3" t="inlineStr">
        <is>
          <t>ShowZero™ Classic-Fit Polo BLK S</t>
        </is>
      </c>
      <c r="R105" s="3" t="inlineStr">
        <is>
          <t>Black, Raw Linen, Pelican</t>
        </is>
      </c>
      <c r="S105" s="3" t="inlineStr"/>
      <c r="T105" s="3" t="inlineStr">
        <is>
          <t>Men</t>
        </is>
      </c>
    </row>
    <row r="106" ht="80" customHeight="1">
      <c r="A106" s="2">
        <f>IMAGE("https://images.lululemon.com/is/image/lululemon/LU9CLAS_0024_1?wid=320&amp;op_usm=0.8",1)</f>
        <v/>
      </c>
      <c r="B106" s="2" t="inlineStr">
        <is>
          <t>Unisex Daily Essential Crew Socks *Stripe</t>
        </is>
      </c>
      <c r="C106" s="2" t="inlineStr">
        <is>
          <t>155775205</t>
        </is>
      </c>
      <c r="D106" s="2" t="inlineStr">
        <is>
          <t>$14.00</t>
        </is>
      </c>
      <c r="E106" s="2" t="inlineStr">
        <is>
          <t>$7.00</t>
        </is>
      </c>
      <c r="F106" s="2">
        <f>IMAGE("https://images.lululemon.com/is/image/lululemon/0024",1)</f>
        <v/>
      </c>
      <c r="G106" s="2">
        <f>IMAGE("https://images.lululemon.com/is/image/lululemon/69946",1)</f>
        <v/>
      </c>
      <c r="H106" s="2">
        <f>IMAGE("https://images.lululemon.com/is/image/lululemon/74939",1)</f>
        <v/>
      </c>
      <c r="I106" s="2" t="n"/>
      <c r="J106" s="2" t="n"/>
      <c r="K106" s="2" t="n"/>
      <c r="L106" s="2" t="inlineStr">
        <is>
          <t>S, M, L, XL</t>
        </is>
      </c>
      <c r="M106" s="2" t="n">
        <v>1221</v>
      </c>
      <c r="N106" s="2" t="inlineStr">
        <is>
          <t>Top drawer comfort. These soft cotton socks combine integrated arch support and plush cushioning.</t>
        </is>
      </c>
      <c r="O106" s="2" t="inlineStr">
        <is>
          <t>Unisex-Daily-Essential-Crew-Socks-Stripe</t>
        </is>
      </c>
      <c r="P106" s="2" t="inlineStr">
        <is>
          <t>Yes</t>
        </is>
      </c>
      <c r="Q106" s="2" t="inlineStr">
        <is>
          <t>Daily Essential Socks WHT/BLK S</t>
        </is>
      </c>
      <c r="R106" s="2" t="inlineStr">
        <is>
          <t>White/Black, White/Rainforest Green, White/Riverside</t>
        </is>
      </c>
      <c r="S106" s="2" t="inlineStr">
        <is>
          <t>Crew Socks</t>
        </is>
      </c>
      <c r="T106" s="2" t="inlineStr">
        <is>
          <t>Men</t>
        </is>
      </c>
    </row>
    <row r="107" ht="80" customHeight="1">
      <c r="A107" s="3">
        <f>IMAGE("https://images.lululemon.com/is/image/lululemon/LM9AWSS_0001_1?wid=320&amp;op_usm=0.8",1)</f>
        <v/>
      </c>
      <c r="B107" s="3" t="inlineStr">
        <is>
          <t>Men's Fast and Free Insulated Running Gloves</t>
        </is>
      </c>
      <c r="C107" s="3" t="inlineStr">
        <is>
          <t>154901007</t>
        </is>
      </c>
      <c r="D107" s="3" t="inlineStr">
        <is>
          <t>$58.00</t>
        </is>
      </c>
      <c r="E107" s="3" t="inlineStr">
        <is>
          <t>$29.00</t>
        </is>
      </c>
      <c r="F107" s="3">
        <f>IMAGE("https://images.lululemon.com/is/image/lululemon/0001",1)</f>
        <v/>
      </c>
      <c r="G107" s="3" t="n"/>
      <c r="H107" s="3" t="n"/>
      <c r="I107" s="3" t="n"/>
      <c r="J107" s="3" t="n"/>
      <c r="K107" s="3" t="n"/>
      <c r="L107" s="3" t="inlineStr">
        <is>
          <t>S, M, L, XL</t>
        </is>
      </c>
      <c r="M107" s="3" t="n">
        <v>142</v>
      </c>
      <c r="N107" s="3" t="inlineStr">
        <is>
          <t>Cold run, warm hands. These mid-weight gloves have a packable water-repellent hood and tech-friendly fingers.</t>
        </is>
      </c>
      <c r="O107" s="3" t="inlineStr">
        <is>
          <t>M-Fast-and-Free-Insulated-Running-Gloves</t>
        </is>
      </c>
      <c r="P107" s="3" t="inlineStr">
        <is>
          <t>Yes</t>
        </is>
      </c>
      <c r="Q107" s="3" t="inlineStr">
        <is>
          <t>Fast and Free Insulated Run Gloves M BLK S</t>
        </is>
      </c>
      <c r="R107" s="3" t="inlineStr">
        <is>
          <t>Black</t>
        </is>
      </c>
      <c r="S107" s="3" t="inlineStr"/>
      <c r="T107" s="3" t="inlineStr">
        <is>
          <t>Men</t>
        </is>
      </c>
    </row>
    <row r="108" ht="80" customHeight="1">
      <c r="A108" s="2">
        <f>IMAGE("https://images.lululemon.com/is/image/lululemon/LM3FTWS_0001_1?wid=320&amp;op_usm=0.8",1)</f>
        <v/>
      </c>
      <c r="B108" s="2" t="inlineStr">
        <is>
          <t>Rulu Fleece Half-Zip Long-Sleeve Shirt</t>
        </is>
      </c>
      <c r="C108" s="2" t="inlineStr">
        <is>
          <t>157707221</t>
        </is>
      </c>
      <c r="D108" s="2" t="inlineStr">
        <is>
          <t>$118.00</t>
        </is>
      </c>
      <c r="E108" s="2" t="inlineStr">
        <is>
          <t>$59.00</t>
        </is>
      </c>
      <c r="F108" s="2">
        <f>IMAGE("https://images.lululemon.com/is/image/lululemon/0001",1)</f>
        <v/>
      </c>
      <c r="G108" s="2">
        <f>IMAGE("https://images.lululemon.com/is/image/lululemon/70108",1)</f>
        <v/>
      </c>
      <c r="H108" s="2">
        <f>IMAGE("https://images.lululemon.com/is/image/lululemon/0010",1)</f>
        <v/>
      </c>
      <c r="I108" s="2" t="n"/>
      <c r="J108" s="2" t="n"/>
      <c r="K108" s="2" t="n"/>
      <c r="L108" s="2" t="inlineStr">
        <is>
          <t>S, M, L, XL, XXL</t>
        </is>
      </c>
      <c r="M108" s="2" t="n">
        <v>617</v>
      </c>
      <c r="N108" s="2" t="inlineStr">
        <is>
          <t>Make cold days count. Warm Rulu™ fleece fabric on this versatile layer keeps the chills out so you can run, play, and stay out longer.</t>
        </is>
      </c>
      <c r="O108" s="2" t="inlineStr">
        <is>
          <t>Rulu-Fleece-Half-Zip-Long-Sleeve-Shirt</t>
        </is>
      </c>
      <c r="P108" s="2" t="inlineStr">
        <is>
          <t>Yes</t>
        </is>
      </c>
      <c r="Q108" s="2" t="inlineStr">
        <is>
          <t>Rulu Fleece Half-Zip Long Sleeve BLK S</t>
        </is>
      </c>
      <c r="R108" s="2" t="inlineStr">
        <is>
          <t>Black, Warm Ash Grey, Plum</t>
        </is>
      </c>
      <c r="S108" s="2" t="inlineStr">
        <is>
          <t>Half Zip Sweatshirts, Quarter Zip Sweatshirts</t>
        </is>
      </c>
      <c r="T108" s="2" t="inlineStr">
        <is>
          <t>Men</t>
        </is>
      </c>
    </row>
    <row r="109" ht="80" customHeight="1">
      <c r="A109" s="3">
        <f>IMAGE("https://images.lululemon.com/is/image/lululemon/LU9CPQS_0001_1?wid=320&amp;op_usm=0.8",1)</f>
        <v/>
      </c>
      <c r="B109" s="3" t="inlineStr">
        <is>
          <t>Unisex Power Stride Tab Socks</t>
        </is>
      </c>
      <c r="C109" s="3" t="inlineStr">
        <is>
          <t>156701189</t>
        </is>
      </c>
      <c r="D109" s="3" t="inlineStr">
        <is>
          <t>$14.00</t>
        </is>
      </c>
      <c r="E109" s="3" t="inlineStr">
        <is>
          <t>$7.00</t>
        </is>
      </c>
      <c r="F109" s="3">
        <f>IMAGE("https://images.lululemon.com/is/image/lululemon/0001",1)</f>
        <v/>
      </c>
      <c r="G109" s="3" t="n"/>
      <c r="H109" s="3" t="n"/>
      <c r="I109" s="3" t="n"/>
      <c r="J109" s="3" t="n"/>
      <c r="K109" s="3" t="n"/>
      <c r="L109" s="3" t="inlineStr">
        <is>
          <t>S, M, L, XL</t>
        </is>
      </c>
      <c r="M109" s="3" t="n">
        <v>636</v>
      </c>
      <c r="N109" s="3" t="inlineStr">
        <is>
          <t>Set the groundwork for a strong workout. We updated our versatile performance socks with intentional cushioning and enhanced breathability so you can move more comfortably.</t>
        </is>
      </c>
      <c r="O109" s="3" t="inlineStr">
        <is>
          <t>Unisex-Power-Stride-Tab-Socks</t>
        </is>
      </c>
      <c r="P109" s="3" t="inlineStr">
        <is>
          <t>Yes</t>
        </is>
      </c>
      <c r="Q109" s="3" t="inlineStr">
        <is>
          <t>Power Stride Socks BLK S</t>
        </is>
      </c>
      <c r="R109" s="3" t="inlineStr">
        <is>
          <t>Black</t>
        </is>
      </c>
      <c r="S109" s="3" t="inlineStr">
        <is>
          <t>Ankle Socks</t>
        </is>
      </c>
      <c r="T109" s="3" t="inlineStr">
        <is>
          <t>Men</t>
        </is>
      </c>
    </row>
    <row r="110" ht="80" customHeight="1">
      <c r="A110" s="2">
        <f>IMAGE("https://images.lululemon.com/is/image/lululemon/LM5AOBS_020111_1?wid=320&amp;op_usm=0.8",1)</f>
        <v/>
      </c>
      <c r="B110" s="2" t="inlineStr">
        <is>
          <t>Textured Double-Knit Cotton Jogger *Regular</t>
        </is>
      </c>
      <c r="C110" s="2" t="inlineStr">
        <is>
          <t>148301881</t>
        </is>
      </c>
      <c r="D110" s="2" t="inlineStr">
        <is>
          <t>$128.00</t>
        </is>
      </c>
      <c r="E110" s="2" t="inlineStr">
        <is>
          <t>$64.00</t>
        </is>
      </c>
      <c r="F110" s="2">
        <f>IMAGE("https://images.lululemon.com/is/image/lululemon/20111",1)</f>
        <v/>
      </c>
      <c r="G110" s="2">
        <f>IMAGE("https://images.lululemon.com/is/image/lululemon/36170",1)</f>
        <v/>
      </c>
      <c r="H110" s="2" t="n"/>
      <c r="I110" s="2" t="n"/>
      <c r="J110" s="2" t="n"/>
      <c r="K110" s="2" t="n"/>
      <c r="L110" s="2" t="inlineStr">
        <is>
          <t>S, M, L, XL, XXL</t>
        </is>
      </c>
      <c r="M110" s="2" t="n">
        <v>406</v>
      </c>
      <c r="N110" s="2" t="inlineStr">
        <is>
          <t>From warm-up to wind-down, these textured, cotton-blend joggers deliver non-stop breathable comfort.</t>
        </is>
      </c>
      <c r="O110" s="2" t="inlineStr">
        <is>
          <t>Textured-Double-Knit-Cotton-Jogger</t>
        </is>
      </c>
      <c r="P110" s="2" t="inlineStr">
        <is>
          <t>Yes</t>
        </is>
      </c>
      <c r="Q110" s="2" t="inlineStr">
        <is>
          <t>Textured Double-Knit Cotton Jogger *Reg HTTN/BLK S</t>
        </is>
      </c>
      <c r="R110" s="2" t="inlineStr">
        <is>
          <t>Classic Navy, Heathered True Navy/Black</t>
        </is>
      </c>
      <c r="S110" s="2" t="inlineStr"/>
      <c r="T110" s="2" t="inlineStr">
        <is>
          <t>Men</t>
        </is>
      </c>
    </row>
    <row r="111" ht="80" customHeight="1">
      <c r="A111" s="3">
        <f>IMAGE("https://images.lululemon.com/is/image/lululemon/LM3FDUS_0001_1?wid=320&amp;op_usm=0.8",1)</f>
        <v/>
      </c>
      <c r="B111" s="3" t="inlineStr">
        <is>
          <t>Smooth Spacer Classic-Fit Crew</t>
        </is>
      </c>
      <c r="C111" s="3" t="inlineStr">
        <is>
          <t>151655099</t>
        </is>
      </c>
      <c r="D111" s="3" t="inlineStr">
        <is>
          <t>$128.00</t>
        </is>
      </c>
      <c r="E111" s="3" t="inlineStr">
        <is>
          <t>$64.00</t>
        </is>
      </c>
      <c r="F111" s="3">
        <f>IMAGE("https://images.lululemon.com/is/image/lululemon/0001",1)</f>
        <v/>
      </c>
      <c r="G111" s="3">
        <f>IMAGE("https://images.lululemon.com/is/image/lululemon/32493",1)</f>
        <v/>
      </c>
      <c r="H111" s="3">
        <f>IMAGE("https://images.lululemon.com/is/image/lululemon/70108",1)</f>
        <v/>
      </c>
      <c r="I111" s="3" t="n"/>
      <c r="J111" s="3" t="n"/>
      <c r="K111" s="3" t="n"/>
      <c r="L111" s="3" t="inlineStr">
        <is>
          <t>S, M, L, XL, XXL</t>
        </is>
      </c>
      <c r="M111" s="3" t="n">
        <v>804</v>
      </c>
      <c r="N111" s="3" t="inlineStr">
        <is>
          <t>Instant recovery mode. Fast-drying fabric on this crew is soft on the outside and sleek next to skin for that perfect cool-down feeling.</t>
        </is>
      </c>
      <c r="O111" s="3" t="inlineStr">
        <is>
          <t>Smooth-Spacer-Classic-Fit-Crew</t>
        </is>
      </c>
      <c r="P111" s="3" t="inlineStr">
        <is>
          <t>Yes</t>
        </is>
      </c>
      <c r="Q111" s="3" t="inlineStr">
        <is>
          <t>Smooth Spacer Crew BLK S</t>
        </is>
      </c>
      <c r="R111" s="3" t="inlineStr">
        <is>
          <t>Black, Heathered Core Ultra Light Grey, Warm Ash Grey</t>
        </is>
      </c>
      <c r="S111" s="3" t="inlineStr">
        <is>
          <t>Crewneck Sweatshirts</t>
        </is>
      </c>
      <c r="T111" s="3" t="inlineStr">
        <is>
          <t>Men</t>
        </is>
      </c>
    </row>
    <row r="112" ht="80" customHeight="1">
      <c r="A112" s="2">
        <f>IMAGE("https://images.lululemon.com/is/image/lululemon/LU9ALIS_0001_1?wid=320&amp;op_usm=0.8",1)</f>
        <v/>
      </c>
      <c r="B112" s="2" t="inlineStr">
        <is>
          <t>Resistance Band Set</t>
        </is>
      </c>
      <c r="C112" s="2" t="inlineStr">
        <is>
          <t>142350264</t>
        </is>
      </c>
      <c r="D112" s="2" t="inlineStr">
        <is>
          <t>$58.00</t>
        </is>
      </c>
      <c r="E112" s="2" t="inlineStr">
        <is>
          <t>$29.00</t>
        </is>
      </c>
      <c r="F112" s="2">
        <f>IMAGE("https://images.lululemon.com/is/image/lululemon/0001",1)</f>
        <v/>
      </c>
      <c r="G112" s="2" t="n"/>
      <c r="H112" s="2" t="n"/>
      <c r="I112" s="2" t="n"/>
      <c r="J112" s="2" t="n"/>
      <c r="K112" s="2" t="n"/>
      <c r="L112" s="2" t="inlineStr">
        <is>
          <t>O/S</t>
        </is>
      </c>
      <c r="M112" s="2" t="n">
        <v>298</v>
      </c>
      <c r="N112" s="2" t="inlineStr">
        <is>
          <t>Push, pull, strengthen, and tone—this resistance band set can handle it all. Switch between low, medium, and high resistance levels for a customized workout.</t>
        </is>
      </c>
      <c r="O112" s="2" t="inlineStr">
        <is>
          <t>Resistance-Bands-3-Pack</t>
        </is>
      </c>
      <c r="P112" s="2" t="inlineStr">
        <is>
          <t>Yes</t>
        </is>
      </c>
      <c r="Q112" s="2" t="inlineStr">
        <is>
          <t>Resistance Band Set BLK ONE SIZE</t>
        </is>
      </c>
      <c r="R112" s="2" t="inlineStr">
        <is>
          <t>Black</t>
        </is>
      </c>
      <c r="S112" s="2" t="inlineStr">
        <is>
          <t>Resistance Bands</t>
        </is>
      </c>
      <c r="T112" s="2" t="inlineStr">
        <is>
          <t>Men</t>
        </is>
      </c>
    </row>
    <row r="113" ht="80" customHeight="1">
      <c r="A113" s="3">
        <f>IMAGE("https://images.lululemon.com/is/image/lululemon/LU9BUMS_031382_1?wid=320&amp;op_usm=0.8",1)</f>
        <v/>
      </c>
      <c r="B113" s="3" t="inlineStr">
        <is>
          <t>Classic Ball Cap</t>
        </is>
      </c>
      <c r="C113" s="3" t="inlineStr">
        <is>
          <t>153836695</t>
        </is>
      </c>
      <c r="D113" s="3" t="inlineStr">
        <is>
          <t>$38.00</t>
        </is>
      </c>
      <c r="E113" s="3" t="inlineStr">
        <is>
          <t>$19.00</t>
        </is>
      </c>
      <c r="F113" s="3">
        <f>IMAGE("https://images.lululemon.com/is/image/lululemon/31382",1)</f>
        <v/>
      </c>
      <c r="G113" s="3">
        <f>IMAGE("https://images.lululemon.com/is/image/lululemon/0002",1)</f>
        <v/>
      </c>
      <c r="H113" s="3">
        <f>IMAGE("https://images.lululemon.com/is/image/lululemon/0001",1)</f>
        <v/>
      </c>
      <c r="I113" s="3">
        <f>IMAGE("https://images.lululemon.com/is/image/lululemon/33454",1)</f>
        <v/>
      </c>
      <c r="J113" s="3" t="n"/>
      <c r="K113" s="3" t="n"/>
      <c r="L113" s="3" t="inlineStr">
        <is>
          <t>S/M, L/XL</t>
        </is>
      </c>
      <c r="M113" s="3" t="n">
        <v>3712</v>
      </c>
      <c r="N113" s="3" t="inlineStr">
        <is>
          <t>Anywhere, anytime. This soft, lightweight cap is a year-round favourite for days on the go.</t>
        </is>
      </c>
      <c r="O113" s="3" t="inlineStr">
        <is>
          <t>Soft-Cap</t>
        </is>
      </c>
      <c r="P113" s="3" t="inlineStr">
        <is>
          <t>Yes</t>
        </is>
      </c>
      <c r="Q113" s="3" t="inlineStr">
        <is>
          <t>Unisex Classic Ball Cap TRNV S/M</t>
        </is>
      </c>
      <c r="R113" s="3" t="inlineStr">
        <is>
          <t>True Navy, White, Black, Light Ivory</t>
        </is>
      </c>
      <c r="S113" s="3" t="inlineStr">
        <is>
          <t>Caps</t>
        </is>
      </c>
      <c r="T113" s="3" t="inlineStr">
        <is>
          <t>Men</t>
        </is>
      </c>
    </row>
    <row r="114" ht="80" customHeight="1">
      <c r="A114" s="2">
        <f>IMAGE("https://images.lululemon.com/is/image/lululemon/LU9CMAS_071473_1?wid=320&amp;op_usm=0.8",1)</f>
        <v/>
      </c>
      <c r="B114" s="2" t="inlineStr">
        <is>
          <t>Everywhere Backpack 22L</t>
        </is>
      </c>
      <c r="C114" s="2" t="inlineStr">
        <is>
          <t>156527940</t>
        </is>
      </c>
      <c r="D114" s="2" t="inlineStr">
        <is>
          <t>$78.00</t>
        </is>
      </c>
      <c r="E114" s="2" t="inlineStr">
        <is>
          <t>$39.00</t>
        </is>
      </c>
      <c r="F114" s="2">
        <f>IMAGE("https://images.lululemon.com/is/image/lululemon/71473",1)</f>
        <v/>
      </c>
      <c r="G114" s="2">
        <f>IMAGE("https://images.lululemon.com/is/image/lululemon/31382",1)</f>
        <v/>
      </c>
      <c r="H114" s="2">
        <f>IMAGE("https://images.lululemon.com/is/image/lululemon/43646",1)</f>
        <v/>
      </c>
      <c r="I114" s="2" t="n"/>
      <c r="J114" s="2" t="n"/>
      <c r="K114" s="2" t="n"/>
      <c r="L114" s="2" t="inlineStr">
        <is>
          <t>O/S</t>
        </is>
      </c>
      <c r="M114" s="2" t="n">
        <v>9167</v>
      </c>
      <c r="N114" s="2" t="inlineStr">
        <is>
          <t>Not your average backpack. With an internal laptop sleeve and side water bottle pockets, this one ticks the boxes for school, work, and travel.</t>
        </is>
      </c>
      <c r="O114" s="2" t="inlineStr">
        <is>
          <t>Everywhere-Backpack-22L</t>
        </is>
      </c>
      <c r="P114" s="2" t="inlineStr">
        <is>
          <t>Yes</t>
        </is>
      </c>
      <c r="Q114" s="2" t="inlineStr">
        <is>
          <t>Everywhere Backpack VPOR/SHOK ONE SIZE</t>
        </is>
      </c>
      <c r="R114" s="2" t="inlineStr">
        <is>
          <t>Vapor/Sheer Oak, True Navy, Black/Graphite Grey</t>
        </is>
      </c>
      <c r="S114" s="2" t="inlineStr">
        <is>
          <t>Backpacks</t>
        </is>
      </c>
      <c r="T114" s="2" t="inlineStr">
        <is>
          <t>Men</t>
        </is>
      </c>
    </row>
    <row r="115" ht="80" customHeight="1">
      <c r="A115" s="3">
        <f>IMAGE("https://images.lululemon.com/is/image/lululemon/LM5AWXS_0001_1?wid=320&amp;op_usm=0.8",1)</f>
        <v/>
      </c>
      <c r="B115" s="3" t="inlineStr">
        <is>
          <t>ABC Slim-Fit Golf Trouser 32L</t>
        </is>
      </c>
      <c r="C115" s="3" t="inlineStr">
        <is>
          <t>155783514</t>
        </is>
      </c>
      <c r="D115" s="3" t="inlineStr">
        <is>
          <t>$148.00</t>
        </is>
      </c>
      <c r="E115" s="3" t="inlineStr">
        <is>
          <t>$74.00</t>
        </is>
      </c>
      <c r="F115" s="3">
        <f>IMAGE("https://images.lululemon.com/is/image/lululemon/0001",1)</f>
        <v/>
      </c>
      <c r="G115" s="3">
        <f>IMAGE("https://images.lululemon.com/is/image/lululemon/31382",1)</f>
        <v/>
      </c>
      <c r="H115" s="3">
        <f>IMAGE("https://images.lululemon.com/is/image/lululemon/49106",1)</f>
        <v/>
      </c>
      <c r="I115" s="3">
        <f>IMAGE("https://images.lululemon.com/is/image/lululemon/0002",1)</f>
        <v/>
      </c>
      <c r="J115" s="3">
        <f>IMAGE("https://images.lululemon.com/is/image/lululemon/70144",1)</f>
        <v/>
      </c>
      <c r="K115" s="3">
        <f>IMAGE("https://images.lululemon.com/is/image/lululemon/33454",1)</f>
        <v/>
      </c>
      <c r="L115" s="3" t="inlineStr">
        <is>
          <t>28, 30, 31, 32, 33, 34, 36, 38, 40</t>
        </is>
      </c>
      <c r="M115" s="3" t="n">
        <v>2426</v>
      </c>
      <c r="N115" s="3" t="inlineStr">
        <is>
          <t>From first swing to the final round, these golf pants are at the top of their game. Integrated ventilation and stretch fabric deliver comfort that lasts on and off the course.</t>
        </is>
      </c>
      <c r="O115" s="3" t="inlineStr">
        <is>
          <t>ABC-Slim-Fit-Golf-Trouser-32L</t>
        </is>
      </c>
      <c r="P115" s="3" t="inlineStr">
        <is>
          <t>Yes</t>
        </is>
      </c>
      <c r="Q115" s="3" t="inlineStr">
        <is>
          <t>ABC Slim-Fit Golf Trouser 32L RNFG 28</t>
        </is>
      </c>
      <c r="R115" s="3" t="inlineStr">
        <is>
          <t>Black, True Navy, Rainforest Green, White, Fog Green, Light Ivory, Club Blue, Onyx Grey</t>
        </is>
      </c>
      <c r="S115" s="3" t="inlineStr">
        <is>
          <t>Chinos</t>
        </is>
      </c>
      <c r="T115" s="3" t="inlineStr">
        <is>
          <t>Men</t>
        </is>
      </c>
    </row>
    <row r="116" ht="80" customHeight="1">
      <c r="A116" s="2">
        <f>IMAGE("https://images.lululemon.com/is/image/lululemon/LM5BBQS_0001_1?wid=320&amp;op_usm=0.8",1)</f>
        <v/>
      </c>
      <c r="B116" s="2" t="inlineStr">
        <is>
          <t>Textured Spacer Classic-Fit Pant</t>
        </is>
      </c>
      <c r="C116" s="2" t="inlineStr">
        <is>
          <t>154836176</t>
        </is>
      </c>
      <c r="D116" s="2" t="inlineStr">
        <is>
          <t>$128.00</t>
        </is>
      </c>
      <c r="E116" s="2" t="inlineStr">
        <is>
          <t>$64.00</t>
        </is>
      </c>
      <c r="F116" s="2">
        <f>IMAGE("https://images.lululemon.com/is/image/lululemon/0001",1)</f>
        <v/>
      </c>
      <c r="G116" s="2">
        <f>IMAGE("https://images.lululemon.com/is/image/lululemon/33123",1)</f>
        <v/>
      </c>
      <c r="H116" s="2" t="n"/>
      <c r="I116" s="2" t="n"/>
      <c r="J116" s="2" t="n"/>
      <c r="K116" s="2" t="n"/>
      <c r="L116" s="2" t="inlineStr">
        <is>
          <t>S, M, L, XL, XXL</t>
        </is>
      </c>
      <c r="M116" s="2" t="n">
        <v>1498</v>
      </c>
      <c r="N116" s="2" t="inlineStr">
        <is>
          <t>Technical comfort at its finest. These pants use spacer construction to create a warm, lofty fabric that feels soft with a slightly structured look.</t>
        </is>
      </c>
      <c r="O116" s="2" t="inlineStr">
        <is>
          <t>Textured-Spacer-Classic-Fit-Pant</t>
        </is>
      </c>
      <c r="P116" s="2" t="inlineStr">
        <is>
          <t>Yes</t>
        </is>
      </c>
      <c r="Q116" s="2" t="inlineStr">
        <is>
          <t>Textured Spacer Classic-Fit Pant OLBL S</t>
        </is>
      </c>
      <c r="R116" s="2" t="inlineStr">
        <is>
          <t>Black, Oil Grey</t>
        </is>
      </c>
      <c r="S116" s="2" t="inlineStr"/>
      <c r="T116" s="2" t="inlineStr">
        <is>
          <t>Men</t>
        </is>
      </c>
    </row>
    <row r="117" ht="80" customHeight="1">
      <c r="A117" s="3">
        <f>IMAGE("https://images.lululemon.com/is/image/lululemon/LM1279S_0001_1?wid=320&amp;op_usm=0.8",1)</f>
        <v/>
      </c>
      <c r="B117" s="3" t="inlineStr">
        <is>
          <t>License to Train Tank</t>
        </is>
      </c>
      <c r="C117" s="3" t="inlineStr">
        <is>
          <t>147001846</t>
        </is>
      </c>
      <c r="D117" s="3" t="inlineStr">
        <is>
          <t>$68.00</t>
        </is>
      </c>
      <c r="E117" s="3" t="inlineStr">
        <is>
          <t>$34.00</t>
        </is>
      </c>
      <c r="F117" s="3">
        <f>IMAGE("https://images.lululemon.com/is/image/lululemon/0001",1)</f>
        <v/>
      </c>
      <c r="G117" s="3">
        <f>IMAGE("https://images.lululemon.com/is/image/lululemon/69276",1)</f>
        <v/>
      </c>
      <c r="H117" s="3" t="n"/>
      <c r="I117" s="3" t="n"/>
      <c r="J117" s="3" t="n"/>
      <c r="K117" s="3" t="n"/>
      <c r="L117" s="3" t="inlineStr">
        <is>
          <t>S, M, L, XL, XXL</t>
        </is>
      </c>
      <c r="M117" s="3" t="n">
        <v>415</v>
      </c>
      <c r="N117" s="3" t="inlineStr">
        <is>
          <t>All bets on sweat. Powered by anti-stink technology, this training top won't cling to sweaty skin so you can stay comfortable and focused.</t>
        </is>
      </c>
      <c r="O117" s="3" t="inlineStr">
        <is>
          <t>License-To-Train-Tank</t>
        </is>
      </c>
      <c r="P117" s="3" t="inlineStr">
        <is>
          <t>Yes</t>
        </is>
      </c>
      <c r="Q117" s="3" t="inlineStr">
        <is>
          <t>License to Train Tank BLK S</t>
        </is>
      </c>
      <c r="R117" s="3" t="inlineStr">
        <is>
          <t>Black, HEATHERED SHEER OAK</t>
        </is>
      </c>
      <c r="S117" s="3" t="inlineStr"/>
      <c r="T117" s="3" t="inlineStr">
        <is>
          <t>Men</t>
        </is>
      </c>
    </row>
    <row r="118" ht="80" customHeight="1">
      <c r="A118" s="2">
        <f>IMAGE("https://images.lululemon.com/is/image/lululemon/LU9AI6S_0001_1?wid=320&amp;op_usm=0.8",1)</f>
        <v/>
      </c>
      <c r="B118" s="2" t="inlineStr">
        <is>
          <t>Loop It Up Mat Strap</t>
        </is>
      </c>
      <c r="C118" s="2" t="inlineStr">
        <is>
          <t>123000131</t>
        </is>
      </c>
      <c r="D118" s="2" t="inlineStr">
        <is>
          <t>$24.00</t>
        </is>
      </c>
      <c r="E118" s="2" t="inlineStr">
        <is>
          <t>$12.00</t>
        </is>
      </c>
      <c r="F118" s="2">
        <f>IMAGE("https://images.lululemon.com/is/image/lululemon/0001",1)</f>
        <v/>
      </c>
      <c r="G118" s="2" t="n"/>
      <c r="H118" s="2" t="n"/>
      <c r="I118" s="2" t="n"/>
      <c r="J118" s="2" t="n"/>
      <c r="K118" s="2" t="n"/>
      <c r="L118" s="2" t="inlineStr">
        <is>
          <t>O/S</t>
        </is>
      </c>
      <c r="M118" s="2" t="n">
        <v>526</v>
      </c>
      <c r="N118" s="2" t="inlineStr">
        <is>
          <t>A no-fuss mat strap perfect for carrying, well, your mat. It doubles as a strap to help you stretch. How about that?</t>
        </is>
      </c>
      <c r="O118" s="2" t="inlineStr">
        <is>
          <t>Loop-It-Up-Mat-Strap-Cotton</t>
        </is>
      </c>
      <c r="P118" s="2" t="inlineStr">
        <is>
          <t>Yes</t>
        </is>
      </c>
      <c r="Q118" s="2" t="inlineStr">
        <is>
          <t>Loop It Up Mat Strap BLK ONE SIZE</t>
        </is>
      </c>
      <c r="R118" s="2" t="inlineStr">
        <is>
          <t>Black</t>
        </is>
      </c>
      <c r="S118" s="2" t="inlineStr">
        <is>
          <t>Mat Straps</t>
        </is>
      </c>
      <c r="T118" s="2" t="inlineStr">
        <is>
          <t>Men</t>
        </is>
      </c>
    </row>
    <row r="119" ht="80" customHeight="1">
      <c r="A119" s="3">
        <f>IMAGE("https://images.lululemon.com/is/image/lululemon/LU9AZ3S_0002_1?wid=320&amp;op_usm=0.8",1)</f>
        <v/>
      </c>
      <c r="B119" s="3" t="inlineStr">
        <is>
          <t>Everywhere Belt Bag 1L</t>
        </is>
      </c>
      <c r="C119" s="3" t="inlineStr">
        <is>
          <t>143483266</t>
        </is>
      </c>
      <c r="D119" s="3" t="inlineStr">
        <is>
          <t>$38.00</t>
        </is>
      </c>
      <c r="E119" s="3" t="inlineStr">
        <is>
          <t>$19.00</t>
        </is>
      </c>
      <c r="F119" s="3">
        <f>IMAGE("https://images.lululemon.com/is/image/lululemon/0002",1)</f>
        <v/>
      </c>
      <c r="G119" s="3">
        <f>IMAGE("https://images.lululemon.com/is/image/lululemon/31382",1)</f>
        <v/>
      </c>
      <c r="H119" s="3">
        <f>IMAGE("https://images.lululemon.com/is/image/lululemon/4780",1)</f>
        <v/>
      </c>
      <c r="I119" s="3">
        <f>IMAGE("https://images.lululemon.com/is/image/lululemon/62220",1)</f>
        <v/>
      </c>
      <c r="J119" s="3">
        <f>IMAGE("https://images.lululemon.com/is/image/lululemon/25461",1)</f>
        <v/>
      </c>
      <c r="K119" s="3">
        <f>IMAGE("https://images.lululemon.com/is/image/lululemon/62468",1)</f>
        <v/>
      </c>
      <c r="L119" s="3" t="inlineStr">
        <is>
          <t>O/S</t>
        </is>
      </c>
      <c r="M119" s="3" t="n">
        <v>17813</v>
      </c>
      <c r="N119" s="3" t="inlineStr">
        <is>
          <t>Phone, keys, wallet. Keep them close in this versatile belt bag that helps you get out the door and on to your next adventure.</t>
        </is>
      </c>
      <c r="O119" s="3" t="inlineStr">
        <is>
          <t>Everywhere-Belt-Bag</t>
        </is>
      </c>
      <c r="P119" s="3" t="inlineStr">
        <is>
          <t>Yes</t>
        </is>
      </c>
      <c r="Q119" s="3" t="inlineStr">
        <is>
          <t>Everywhere Belt Bag WHT ONE SIZE</t>
        </is>
      </c>
      <c r="R119" s="3" t="inlineStr">
        <is>
          <t>White, True Navy, Black/Black, Raspberry coulis, Pool Party, Raceway Green, Light Ivory, Serene Blue, Bay Leaf, Lululemon Red, Rainforest Green, Berry Rumble, Warm Ash Grey</t>
        </is>
      </c>
      <c r="S119" s="3" t="inlineStr">
        <is>
          <t>Belt Bags, Crossbody Bags</t>
        </is>
      </c>
      <c r="T119" s="3" t="inlineStr">
        <is>
          <t>Men</t>
        </is>
      </c>
    </row>
    <row r="120" ht="80" customHeight="1">
      <c r="A120" s="2">
        <f>IMAGE("https://images.lululemon.com/is/image/lululemon/LU9CRIS_0001_1?wid=320&amp;op_usm=0.8",1)</f>
        <v/>
      </c>
      <c r="B120" s="2" t="inlineStr">
        <is>
          <t>Warm Revelation Beanie</t>
        </is>
      </c>
      <c r="C120" s="2" t="inlineStr">
        <is>
          <t>157702454</t>
        </is>
      </c>
      <c r="D120" s="2" t="inlineStr">
        <is>
          <t>$48.00</t>
        </is>
      </c>
      <c r="E120" s="2" t="inlineStr">
        <is>
          <t>$24.00</t>
        </is>
      </c>
      <c r="F120" s="2">
        <f>IMAGE("https://images.lululemon.com/is/image/lululemon/0001",1)</f>
        <v/>
      </c>
      <c r="G120" s="2">
        <f>IMAGE("https://images.lululemon.com/is/image/lululemon/28022",1)</f>
        <v/>
      </c>
      <c r="H120" s="2">
        <f>IMAGE("https://images.lululemon.com/is/image/lululemon/70144",1)</f>
        <v/>
      </c>
      <c r="I120" s="2" t="n"/>
      <c r="J120" s="2" t="n"/>
      <c r="K120" s="2" t="n"/>
      <c r="L120" s="2" t="inlineStr">
        <is>
          <t>O/S</t>
        </is>
      </c>
      <c r="M120" s="2" t="n">
        <v>993</v>
      </c>
      <c r="N120" s="2" t="inlineStr">
        <is>
          <t>Pop on this merino wool-blend beanie when the temperature drops to help keep you cozy on chilly days.</t>
        </is>
      </c>
      <c r="O120" s="2" t="inlineStr">
        <is>
          <t>Warm-Revelation-Beanie</t>
        </is>
      </c>
      <c r="P120" s="2" t="inlineStr">
        <is>
          <t>Yes</t>
        </is>
      </c>
      <c r="Q120" s="2" t="inlineStr">
        <is>
          <t>Warm Revelation Beanie BLK ONE SIZE</t>
        </is>
      </c>
      <c r="R120" s="2" t="inlineStr">
        <is>
          <t>Black, Indochine Blue, Fog Green</t>
        </is>
      </c>
      <c r="S120" s="2" t="inlineStr">
        <is>
          <t>Beanies</t>
        </is>
      </c>
      <c r="T120" s="2" t="inlineStr">
        <is>
          <t>Men</t>
        </is>
      </c>
    </row>
    <row r="121" ht="80" customHeight="1">
      <c r="A121" s="3">
        <f>IMAGE("https://images.lululemon.com/is/image/lululemon/LM3FV5S_0001_1?wid=320&amp;op_usm=0.8",1)</f>
        <v/>
      </c>
      <c r="B121" s="3" t="inlineStr">
        <is>
          <t>Textured Spacer Crewneck Pullover</t>
        </is>
      </c>
      <c r="C121" s="3" t="inlineStr">
        <is>
          <t>157713073</t>
        </is>
      </c>
      <c r="D121" s="3" t="inlineStr">
        <is>
          <t>$128.00</t>
        </is>
      </c>
      <c r="E121" s="3" t="inlineStr">
        <is>
          <t>$64.00</t>
        </is>
      </c>
      <c r="F121" s="3">
        <f>IMAGE("https://images.lululemon.com/is/image/lululemon/0001",1)</f>
        <v/>
      </c>
      <c r="G121" s="3">
        <f>IMAGE("https://images.lululemon.com/is/image/lululemon/27401",1)</f>
        <v/>
      </c>
      <c r="H121" s="3">
        <f>IMAGE("https://images.lululemon.com/is/image/lululemon/68578",1)</f>
        <v/>
      </c>
      <c r="I121" s="3">
        <f>IMAGE("https://images.lululemon.com/is/image/lululemon/72761",1)</f>
        <v/>
      </c>
      <c r="J121" s="3" t="n"/>
      <c r="K121" s="3" t="n"/>
      <c r="L121" s="3" t="inlineStr">
        <is>
          <t>S, M, L, XL, XXL</t>
        </is>
      </c>
      <c r="M121" s="3" t="n">
        <v>919</v>
      </c>
      <c r="N121" s="3" t="inlineStr">
        <is>
          <t>Warm up and cool down in comfort. This textured pullover is made of four-way stretch, quick-drying fabric—making it easy to go from stretch to sweat to street.</t>
        </is>
      </c>
      <c r="O121" s="3" t="inlineStr">
        <is>
          <t>Textured-Spacer-Crewneck-Pullover</t>
        </is>
      </c>
      <c r="P121" s="3" t="inlineStr">
        <is>
          <t>Yes</t>
        </is>
      </c>
      <c r="Q121" s="3" t="inlineStr">
        <is>
          <t>Textured Spacer Crewneck Pullover BLK S</t>
        </is>
      </c>
      <c r="R121" s="3" t="inlineStr">
        <is>
          <t>Black, Pelican, Club Blue, Walnut Crunch</t>
        </is>
      </c>
      <c r="S121" s="3" t="inlineStr">
        <is>
          <t>Crewneck Sweatshirts</t>
        </is>
      </c>
      <c r="T121" s="3" t="inlineStr">
        <is>
          <t>Men</t>
        </is>
      </c>
    </row>
    <row r="122" ht="80" customHeight="1">
      <c r="A122" s="2">
        <f>IMAGE("https://images.lululemon.com/is/image/lululemon/LM7BSRS_069299_1?wid=320&amp;op_usm=0.8",1)</f>
        <v/>
      </c>
      <c r="B122" s="2" t="inlineStr">
        <is>
          <t>Tennis Short 7"</t>
        </is>
      </c>
      <c r="C122" s="2" t="inlineStr">
        <is>
          <t>157684985</t>
        </is>
      </c>
      <c r="D122" s="2" t="inlineStr">
        <is>
          <t>$78.00</t>
        </is>
      </c>
      <c r="E122" s="2" t="inlineStr">
        <is>
          <t>$39.00</t>
        </is>
      </c>
      <c r="F122" s="2">
        <f>IMAGE("https://images.lululemon.com/is/image/lululemon/69299",1)</f>
        <v/>
      </c>
      <c r="G122" s="2">
        <f>IMAGE("https://images.lululemon.com/is/image/lululemon/71316",1)</f>
        <v/>
      </c>
      <c r="H122" s="2" t="n"/>
      <c r="I122" s="2" t="n"/>
      <c r="J122" s="2" t="n"/>
      <c r="K122" s="2" t="n"/>
      <c r="L122" s="2" t="inlineStr">
        <is>
          <t>S, M, L, XL, XXL</t>
        </is>
      </c>
      <c r="M122" s="2" t="n">
        <v>121</v>
      </c>
      <c r="N122" s="2" t="inlineStr">
        <is>
          <t>A new smash hit. Inspired by  classic tennis looks, these  breezy, unlined mesh shorts  have fuss-free front pockets  for spare tennis balls.</t>
        </is>
      </c>
      <c r="O122" s="2" t="inlineStr">
        <is>
          <t>Tennis-Short-7</t>
        </is>
      </c>
      <c r="P122" s="2" t="inlineStr">
        <is>
          <t>Yes</t>
        </is>
      </c>
      <c r="Q122" s="2" t="inlineStr">
        <is>
          <t>Tennis Short 7" LURD/DKSR S</t>
        </is>
      </c>
      <c r="R122" s="2" t="inlineStr">
        <is>
          <t>Club Blue/Club Blue, Lululemon Red/Dark Sport Red</t>
        </is>
      </c>
      <c r="S122" s="2" t="inlineStr"/>
      <c r="T122" s="2" t="inlineStr">
        <is>
          <t>Men</t>
        </is>
      </c>
    </row>
    <row r="123" ht="80" customHeight="1">
      <c r="A123" s="3">
        <f>IMAGE("https://images.lululemon.com/is/image/lululemon/LM7BL0S_032894_1?wid=320&amp;op_usm=0.8",1)</f>
        <v/>
      </c>
      <c r="B123" s="3" t="inlineStr">
        <is>
          <t>Mile Maker Ripstop Lined Short 6"</t>
        </is>
      </c>
      <c r="C123" s="3" t="inlineStr">
        <is>
          <t>156515324</t>
        </is>
      </c>
      <c r="D123" s="3" t="inlineStr">
        <is>
          <t>$78.00</t>
        </is>
      </c>
      <c r="E123" s="3" t="inlineStr">
        <is>
          <t>$39.00</t>
        </is>
      </c>
      <c r="F123" s="3">
        <f>IMAGE("https://images.lululemon.com/is/image/lululemon/32894",1)</f>
        <v/>
      </c>
      <c r="G123" s="3" t="n"/>
      <c r="H123" s="3" t="n"/>
      <c r="I123" s="3" t="n"/>
      <c r="J123" s="3" t="n"/>
      <c r="K123" s="3" t="n"/>
      <c r="L123" s="3" t="inlineStr">
        <is>
          <t>L</t>
        </is>
      </c>
      <c r="M123" s="3" t="n">
        <v>11</v>
      </c>
      <c r="N123" s="3" t="inlineStr">
        <is>
          <t>Whether you're a seasoned runner or new to the crew, these lined, quick-drying shorts keep you comfortable from warm-up stretches to post-run hangs.</t>
        </is>
      </c>
      <c r="O123" s="3" t="inlineStr">
        <is>
          <t>Mile-Maker-Ripstop-Lined-Short-6</t>
        </is>
      </c>
      <c r="P123" s="3" t="inlineStr">
        <is>
          <t>Yes</t>
        </is>
      </c>
      <c r="Q123" s="3" t="inlineStr">
        <is>
          <t>Mile Maker Ripstop Short 6" *Lined VPOR L</t>
        </is>
      </c>
      <c r="R123" s="3" t="inlineStr">
        <is>
          <t>Vapor</t>
        </is>
      </c>
      <c r="S123" s="3" t="inlineStr">
        <is>
          <t>Liner Shorts, Athletic Shorts</t>
        </is>
      </c>
      <c r="T123" s="3" t="inlineStr">
        <is>
          <t>Men</t>
        </is>
      </c>
    </row>
    <row r="124" ht="80" customHeight="1">
      <c r="A124" s="2">
        <f>IMAGE("https://images.lululemon.com/is/image/lululemon/LM3FNBS_031382_1?wid=320&amp;op_usm=0.8",1)</f>
        <v/>
      </c>
      <c r="B124" s="2" t="inlineStr">
        <is>
          <t>Smooth Spacer Full-Zip Track Jacket</t>
        </is>
      </c>
      <c r="C124" s="2" t="inlineStr">
        <is>
          <t>157682556</t>
        </is>
      </c>
      <c r="D124" s="2" t="inlineStr">
        <is>
          <t>$168.00</t>
        </is>
      </c>
      <c r="E124" s="2" t="inlineStr">
        <is>
          <t>$84.00</t>
        </is>
      </c>
      <c r="F124" s="2">
        <f>IMAGE("https://images.lululemon.com/is/image/lululemon/31382",1)</f>
        <v/>
      </c>
      <c r="G124" s="2" t="n"/>
      <c r="H124" s="2" t="n"/>
      <c r="I124" s="2" t="n"/>
      <c r="J124" s="2" t="n"/>
      <c r="K124" s="2" t="n"/>
      <c r="L124" s="2" t="inlineStr">
        <is>
          <t>XXL</t>
        </is>
      </c>
      <c r="M124" s="2" t="n">
        <v>3</v>
      </c>
      <c r="N124" s="2" t="inlineStr">
        <is>
          <t>Instant recovery mode. Fast-drying fabric on this track jacket is soft on the outside and sleek next to skin for that perfect cool-down feeling.</t>
        </is>
      </c>
      <c r="O124" s="2" t="inlineStr">
        <is>
          <t>Smooth-Spacer-Full-Zip-Track-Jacket</t>
        </is>
      </c>
      <c r="P124" s="2" t="inlineStr">
        <is>
          <t>Yes</t>
        </is>
      </c>
      <c r="Q124" s="2" t="inlineStr">
        <is>
          <t>Smooth Spacer Full-Zip Track Jacket TRNV XXL</t>
        </is>
      </c>
      <c r="R124" s="2" t="inlineStr">
        <is>
          <t>True Navy</t>
        </is>
      </c>
      <c r="S124" s="2" t="inlineStr">
        <is>
          <t>Track Jackets</t>
        </is>
      </c>
      <c r="T124" s="2" t="inlineStr">
        <is>
          <t>Men</t>
        </is>
      </c>
    </row>
    <row r="125" ht="80" customHeight="1">
      <c r="A125" s="3">
        <f>IMAGE("https://images.lululemon.com/is/image/lululemon/LM3FY9S_0001_1?wid=320&amp;op_usm=0.8",1)</f>
        <v/>
      </c>
      <c r="B125" s="3" t="inlineStr">
        <is>
          <t>Water-Repellent Golf Vest</t>
        </is>
      </c>
      <c r="C125" s="3" t="inlineStr">
        <is>
          <t>158096434</t>
        </is>
      </c>
      <c r="D125" s="3" t="inlineStr">
        <is>
          <t>$128.00</t>
        </is>
      </c>
      <c r="E125" s="3" t="inlineStr">
        <is>
          <t>$64.00</t>
        </is>
      </c>
      <c r="F125" s="3">
        <f>IMAGE("https://images.lululemon.com/is/image/lululemon/0001",1)</f>
        <v/>
      </c>
      <c r="G125" s="3" t="n"/>
      <c r="H125" s="3" t="n"/>
      <c r="I125" s="3" t="n"/>
      <c r="J125" s="3" t="n"/>
      <c r="K125" s="3" t="n"/>
      <c r="L125" s="3" t="inlineStr">
        <is>
          <t>S, M, L, XL, XXL</t>
        </is>
      </c>
      <c r="M125" s="3" t="n">
        <v>284</v>
      </c>
      <c r="N125" s="3" t="inlineStr">
        <is>
          <t>Stay in play. Lightly padded at the front and back for added warmth, this water-repellent golf vest helps keep you dry and cozy during misty morning rounds.</t>
        </is>
      </c>
      <c r="O125" s="3" t="inlineStr">
        <is>
          <t>Water-Repellent-Golf-Vest</t>
        </is>
      </c>
      <c r="P125" s="3" t="inlineStr">
        <is>
          <t>Yes</t>
        </is>
      </c>
      <c r="Q125" s="3" t="inlineStr">
        <is>
          <t>Water-Repellent Golf Vest BLK S</t>
        </is>
      </c>
      <c r="R125" s="3" t="inlineStr">
        <is>
          <t>Black</t>
        </is>
      </c>
      <c r="S125" s="3" t="inlineStr">
        <is>
          <t>Vests</t>
        </is>
      </c>
      <c r="T125" s="3" t="inlineStr">
        <is>
          <t>Men</t>
        </is>
      </c>
    </row>
    <row r="126" ht="80" customHeight="1">
      <c r="A126" s="2">
        <f>IMAGE("https://images.lululemon.com/is/image/lululemon/LM4AVPS_0001_1?wid=320&amp;op_usm=0.8",1)</f>
        <v/>
      </c>
      <c r="B126" s="2" t="inlineStr">
        <is>
          <t>Men’s InsulEight Cold-Weather Run Shell</t>
        </is>
      </c>
      <c r="C126" s="2" t="inlineStr">
        <is>
          <t>157717483</t>
        </is>
      </c>
      <c r="D126" s="2" t="inlineStr">
        <is>
          <t>$198.00</t>
        </is>
      </c>
      <c r="E126" s="2" t="inlineStr">
        <is>
          <t>$99.00</t>
        </is>
      </c>
      <c r="F126" s="2">
        <f>IMAGE("https://images.lululemon.com/is/image/lululemon/0001",1)</f>
        <v/>
      </c>
      <c r="G126" s="2" t="n"/>
      <c r="H126" s="2" t="n"/>
      <c r="I126" s="2" t="n"/>
      <c r="J126" s="2" t="n"/>
      <c r="K126" s="2" t="n"/>
      <c r="L126" s="2" t="inlineStr">
        <is>
          <t>S, M, L, XL, XXL</t>
        </is>
      </c>
      <c r="M126" s="2" t="n">
        <v>106</v>
      </c>
      <c r="N126" s="2" t="inlineStr">
        <is>
          <t>Further, faster, warmer. Take the chill out of cold-weather runs in this lightweight jacket that's body-mapped to retain heat without adding weight to your stride.</t>
        </is>
      </c>
      <c r="O126" s="2" t="inlineStr">
        <is>
          <t>Mens-InsulEight-Cold-Weather-Run-Shell</t>
        </is>
      </c>
      <c r="P126" s="2" t="inlineStr">
        <is>
          <t>Yes</t>
        </is>
      </c>
      <c r="Q126" s="2" t="inlineStr">
        <is>
          <t>M's InsulEight Cold-Weather Run Shell BLK S</t>
        </is>
      </c>
      <c r="R126" s="2" t="inlineStr">
        <is>
          <t>Black</t>
        </is>
      </c>
      <c r="S126" s="2" t="inlineStr">
        <is>
          <t>Athletic Jackets</t>
        </is>
      </c>
      <c r="T126" s="2" t="inlineStr">
        <is>
          <t>Men</t>
        </is>
      </c>
    </row>
    <row r="127" ht="80" customHeight="1">
      <c r="A127" s="3">
        <f>IMAGE("https://images.lululemon.com/is/image/lululemon/LM3EJUS_0001_1?wid=320&amp;op_usm=0.8",1)</f>
        <v/>
      </c>
      <c r="B127" s="3" t="inlineStr">
        <is>
          <t>License to Train Short-Sleeve Shirt</t>
        </is>
      </c>
      <c r="C127" s="3" t="inlineStr">
        <is>
          <t>146400200</t>
        </is>
      </c>
      <c r="D127" s="3" t="inlineStr">
        <is>
          <t>$78.00</t>
        </is>
      </c>
      <c r="E127" s="3" t="inlineStr">
        <is>
          <t>$39.00</t>
        </is>
      </c>
      <c r="F127" s="3">
        <f>IMAGE("https://images.lululemon.com/is/image/lululemon/0001",1)</f>
        <v/>
      </c>
      <c r="G127" s="3">
        <f>IMAGE("https://images.lululemon.com/is/image/lululemon/31382",1)</f>
        <v/>
      </c>
      <c r="H127" s="3">
        <f>IMAGE("https://images.lululemon.com/is/image/lululemon/32894",1)</f>
        <v/>
      </c>
      <c r="I127" s="3">
        <f>IMAGE("https://images.lululemon.com/is/image/lululemon/69496",1)</f>
        <v/>
      </c>
      <c r="J127" s="3">
        <f>IMAGE("https://images.lululemon.com/is/image/lululemon/32489",1)</f>
        <v/>
      </c>
      <c r="K127" s="3">
        <f>IMAGE("https://images.lululemon.com/is/image/lululemon/71150",1)</f>
        <v/>
      </c>
      <c r="L127" s="3" t="inlineStr">
        <is>
          <t>S, M, L, XL, XXL</t>
        </is>
      </c>
      <c r="M127" s="3" t="n">
        <v>3511</v>
      </c>
      <c r="N127" s="3" t="inlineStr">
        <is>
          <t>All bets on sweat. Powered by anti-stink technology, this training top won't cling to sweaty skin so you can stay comfortable and focused.</t>
        </is>
      </c>
      <c r="O127" s="3" t="inlineStr">
        <is>
          <t>License-To-Train-SS</t>
        </is>
      </c>
      <c r="P127" s="3" t="inlineStr">
        <is>
          <t>Yes</t>
        </is>
      </c>
      <c r="Q127" s="3" t="inlineStr">
        <is>
          <t>License to Train Short Sleeve BLK S</t>
        </is>
      </c>
      <c r="R127" s="3" t="inlineStr">
        <is>
          <t>Black, True Navy, Vapor, Heathered Lavender Lux, Heathered True Navy, Blue Twill, Heathered Rockwood, Atmospheric Purple, Heathered Plum, Heathered Cornflower, Pelican</t>
        </is>
      </c>
      <c r="S127" s="3" t="inlineStr"/>
      <c r="T127" s="3" t="inlineStr">
        <is>
          <t>Men</t>
        </is>
      </c>
    </row>
    <row r="128" ht="80" customHeight="1">
      <c r="A128" s="2">
        <f>IMAGE("https://images.lululemon.com/is/image/lululemon/LM3CY5S_026857_1?wid=320&amp;op_usm=0.8",1)</f>
        <v/>
      </c>
      <c r="B128" s="2" t="inlineStr">
        <is>
          <t>Evolution Short-Sleeve Polo Shirt</t>
        </is>
      </c>
      <c r="C128" s="2" t="inlineStr">
        <is>
          <t>146401785</t>
        </is>
      </c>
      <c r="D128" s="2" t="inlineStr">
        <is>
          <t>$88.00</t>
        </is>
      </c>
      <c r="E128" s="2" t="inlineStr">
        <is>
          <t>$44.00</t>
        </is>
      </c>
      <c r="F128" s="2">
        <f>IMAGE("https://images.lululemon.com/is/image/lululemon/26857",1)</f>
        <v/>
      </c>
      <c r="G128" s="2">
        <f>IMAGE("https://images.lululemon.com/is/image/lululemon/0001",1)</f>
        <v/>
      </c>
      <c r="H128" s="2">
        <f>IMAGE("https://images.lululemon.com/is/image/lululemon/71150",1)</f>
        <v/>
      </c>
      <c r="I128" s="2">
        <f>IMAGE("https://images.lululemon.com/is/image/lululemon/21363",1)</f>
        <v/>
      </c>
      <c r="J128" s="2">
        <f>IMAGE("https://images.lululemon.com/is/image/lululemon/68578",1)</f>
        <v/>
      </c>
      <c r="K128" s="2">
        <f>IMAGE("https://images.lululemon.com/is/image/lululemon/33089",1)</f>
        <v/>
      </c>
      <c r="L128" s="2" t="inlineStr">
        <is>
          <t>S, M, L, XL, XXL</t>
        </is>
      </c>
      <c r="M128" s="2" t="n">
        <v>3334</v>
      </c>
      <c r="N128" s="2" t="inlineStr">
        <is>
          <t>Basically a hole-in-one. This polo, powered by our anti-stink technology, keeps you cool and comfortable on the course or wherever your day takes you.</t>
        </is>
      </c>
      <c r="O128" s="2" t="inlineStr">
        <is>
          <t>Evolution-Polo</t>
        </is>
      </c>
      <c r="P128" s="2" t="inlineStr">
        <is>
          <t>Yes</t>
        </is>
      </c>
      <c r="Q128" s="2" t="inlineStr">
        <is>
          <t>Evolution Short-Sleeve Polo NUNY S</t>
        </is>
      </c>
      <c r="R128" s="2" t="inlineStr">
        <is>
          <t>Nautical Navy, Black, Blue Twill, Berry Rumble, Club Blue, Heathered Dove Grey, Indochine Blue</t>
        </is>
      </c>
      <c r="S128" s="2" t="inlineStr"/>
      <c r="T128" s="2" t="inlineStr">
        <is>
          <t>Men</t>
        </is>
      </c>
    </row>
    <row r="129" ht="80" customHeight="1">
      <c r="A129" s="3">
        <f>IMAGE("https://images.lululemon.com/is/image/lululemon/LM3FLWS_033928_1?wid=320&amp;op_usm=0.8",1)</f>
        <v/>
      </c>
      <c r="B129" s="3" t="inlineStr">
        <is>
          <t>Men's ShowZero™ Slim-Fit Polo Shirt</t>
        </is>
      </c>
      <c r="C129" s="3" t="inlineStr">
        <is>
          <t>153725168</t>
        </is>
      </c>
      <c r="D129" s="3" t="inlineStr">
        <is>
          <t>$98.00</t>
        </is>
      </c>
      <c r="E129" s="3" t="inlineStr">
        <is>
          <t>$49.00</t>
        </is>
      </c>
      <c r="F129" s="3">
        <f>IMAGE("https://images.lululemon.com/is/image/lululemon/33928",1)</f>
        <v/>
      </c>
      <c r="G129" s="3">
        <f>IMAGE("https://images.lululemon.com/is/image/lululemon/27597",1)</f>
        <v/>
      </c>
      <c r="H129" s="3">
        <f>IMAGE("https://images.lululemon.com/is/image/lululemon/68578",1)</f>
        <v/>
      </c>
      <c r="I129" s="3" t="n"/>
      <c r="J129" s="3" t="n"/>
      <c r="K129" s="3" t="n"/>
      <c r="L129" s="3" t="inlineStr">
        <is>
          <t>S, M, L, XL, XXL</t>
        </is>
      </c>
      <c r="M129" s="3" t="n">
        <v>708</v>
      </c>
      <c r="N129" s="3" t="inlineStr">
        <is>
          <t>Our little secret. This polo's sleek fabric harnesses the power of ShowZero™ technology to virtually eliminate the appearance of sweat on the outside, keeping you confident for tee offs, takeoffs, and everything in between.</t>
        </is>
      </c>
      <c r="O129" s="3" t="inlineStr">
        <is>
          <t>ShowZero-Polo</t>
        </is>
      </c>
      <c r="P129" s="3" t="inlineStr">
        <is>
          <t>Yes</t>
        </is>
      </c>
      <c r="Q129" s="3" t="inlineStr">
        <is>
          <t>ShowZero™ Polo SILD S</t>
        </is>
      </c>
      <c r="R129" s="3" t="inlineStr">
        <is>
          <t>Silver Drop, Bone, Club Blue</t>
        </is>
      </c>
      <c r="S129" s="3" t="inlineStr"/>
      <c r="T129" s="3" t="inlineStr">
        <is>
          <t>Men</t>
        </is>
      </c>
    </row>
    <row r="130" ht="80" customHeight="1">
      <c r="A130" s="2">
        <f>IMAGE("https://images.lululemon.com/is/image/lululemon/LM5BIAS_0001_1?wid=320&amp;op_usm=0.8",1)</f>
        <v/>
      </c>
      <c r="B130" s="2" t="inlineStr">
        <is>
          <t>Mile Maker Cold-Weather Pant *Regular</t>
        </is>
      </c>
      <c r="C130" s="2" t="inlineStr">
        <is>
          <t>157701330</t>
        </is>
      </c>
      <c r="D130" s="2" t="inlineStr">
        <is>
          <t>$148.00</t>
        </is>
      </c>
      <c r="E130" s="2" t="inlineStr">
        <is>
          <t>$74.00</t>
        </is>
      </c>
      <c r="F130" s="2">
        <f>IMAGE("https://images.lululemon.com/is/image/lululemon/0001",1)</f>
        <v/>
      </c>
      <c r="G130" s="2">
        <f>IMAGE("https://images.lululemon.com/is/image/lululemon/31382",1)</f>
        <v/>
      </c>
      <c r="H130" s="2" t="n"/>
      <c r="I130" s="2" t="n"/>
      <c r="J130" s="2" t="n"/>
      <c r="K130" s="2" t="n"/>
      <c r="L130" s="2" t="inlineStr">
        <is>
          <t>S, M, L, XL, XXL</t>
        </is>
      </c>
      <c r="M130" s="2" t="n">
        <v>1041</v>
      </c>
      <c r="N130" s="2" t="inlineStr">
        <is>
          <t>Misty morning miles. Element protection on the front and breathability on the back of these pants helps keep you covered even when it's wet.</t>
        </is>
      </c>
      <c r="O130" s="2" t="inlineStr">
        <is>
          <t>Mile-Maker-Cold-Weather-Pant-Regular</t>
        </is>
      </c>
      <c r="P130" s="2" t="inlineStr">
        <is>
          <t>Yes</t>
        </is>
      </c>
      <c r="Q130" s="2" t="inlineStr">
        <is>
          <t>Mile Maker Cold-Weather Pant *Regular BLK S</t>
        </is>
      </c>
      <c r="R130" s="2" t="inlineStr">
        <is>
          <t>Black, True Navy</t>
        </is>
      </c>
      <c r="S130" s="2" t="inlineStr">
        <is>
          <t>Athletic Pants</t>
        </is>
      </c>
      <c r="T130" s="2" t="inlineStr">
        <is>
          <t>Men</t>
        </is>
      </c>
    </row>
    <row r="131" ht="80" customHeight="1">
      <c r="A131" s="3">
        <f>IMAGE("https://images.lululemon.com/is/image/lululemon/LM4AH7S_0001_1?wid=320&amp;op_usm=0.8",1)</f>
        <v/>
      </c>
      <c r="B131" s="3" t="inlineStr">
        <is>
          <t>Navigation Down Vest</t>
        </is>
      </c>
      <c r="C131" s="3" t="inlineStr">
        <is>
          <t>141700281</t>
        </is>
      </c>
      <c r="D131" s="3" t="inlineStr">
        <is>
          <t>$198.00</t>
        </is>
      </c>
      <c r="E131" s="3" t="inlineStr">
        <is>
          <t>$99.00</t>
        </is>
      </c>
      <c r="F131" s="3">
        <f>IMAGE("https://images.lululemon.com/is/image/lululemon/0001",1)</f>
        <v/>
      </c>
      <c r="G131" s="3" t="n"/>
      <c r="H131" s="3" t="n"/>
      <c r="I131" s="3" t="n"/>
      <c r="J131" s="3" t="n"/>
      <c r="K131" s="3" t="n"/>
      <c r="L131" s="3" t="inlineStr">
        <is>
          <t>S, M, L, XL, XXL</t>
        </is>
      </c>
      <c r="M131" s="3" t="n">
        <v>151</v>
      </c>
      <c r="N131" s="3" t="inlineStr">
        <is>
          <t>Navigate the great outdoors in this insulated vest. Powered by ThermoChannel™ construction to lock in heat, it's made from stretchy fabric to keep you warm and agile in the cold.</t>
        </is>
      </c>
      <c r="O131" s="3" t="inlineStr">
        <is>
          <t>Navigation-Stretch-Down-Vest</t>
        </is>
      </c>
      <c r="P131" s="3" t="inlineStr">
        <is>
          <t>Yes</t>
        </is>
      </c>
      <c r="Q131" s="3" t="inlineStr">
        <is>
          <t>Navigation Down Vest BLK S</t>
        </is>
      </c>
      <c r="R131" s="3" t="inlineStr">
        <is>
          <t>Black</t>
        </is>
      </c>
      <c r="S131" s="3" t="inlineStr">
        <is>
          <t>Vests, Puffer Jackets</t>
        </is>
      </c>
      <c r="T131" s="3" t="inlineStr">
        <is>
          <t>Men</t>
        </is>
      </c>
    </row>
    <row r="132" ht="80" customHeight="1">
      <c r="A132" s="2">
        <f>IMAGE("https://images.lululemon.com/is/image/lululemon/LM3FQKS_062187_1?wid=320&amp;op_usm=0.8",1)</f>
        <v/>
      </c>
      <c r="B132" s="2" t="inlineStr">
        <is>
          <t>Sport Polo Short Sleeve</t>
        </is>
      </c>
      <c r="C132" s="2" t="inlineStr">
        <is>
          <t>155865693</t>
        </is>
      </c>
      <c r="D132" s="2" t="inlineStr">
        <is>
          <t>$98.00</t>
        </is>
      </c>
      <c r="E132" s="2" t="inlineStr">
        <is>
          <t>$49.00</t>
        </is>
      </c>
      <c r="F132" s="2">
        <f>IMAGE("https://images.lululemon.com/is/image/lululemon/62187",1)</f>
        <v/>
      </c>
      <c r="G132" s="2" t="n"/>
      <c r="H132" s="2" t="n"/>
      <c r="I132" s="2" t="n"/>
      <c r="J132" s="2" t="n"/>
      <c r="K132" s="2" t="n"/>
      <c r="L132" s="2" t="inlineStr">
        <is>
          <t>S, M, L, XL</t>
        </is>
      </c>
      <c r="M132" s="2" t="n">
        <v>99</v>
      </c>
      <c r="N132" s="2" t="inlineStr">
        <is>
          <t>“Out of Office” vibes, in a polo. Minimally seamed, anti-stink fabric can handle a full day’s adventure.</t>
        </is>
      </c>
      <c r="O132" s="2" t="inlineStr">
        <is>
          <t>Sport-Polo-Short-Sleeve</t>
        </is>
      </c>
      <c r="P132" s="2" t="inlineStr">
        <is>
          <t>Yes</t>
        </is>
      </c>
      <c r="Q132" s="2" t="inlineStr">
        <is>
          <t>Logo Sport Polo Short Sleeve HRBA S</t>
        </is>
      </c>
      <c r="R132" s="2" t="inlineStr">
        <is>
          <t>Herbal</t>
        </is>
      </c>
      <c r="S132" s="2" t="inlineStr"/>
      <c r="T132" s="2" t="inlineStr">
        <is>
          <t>Men</t>
        </is>
      </c>
    </row>
    <row r="133" ht="80" customHeight="1">
      <c r="A133" s="3">
        <f>IMAGE("https://images.lululemon.com/is/image/lululemon/LU9BK9S_069510_1?wid=320&amp;op_usm=0.8",1)</f>
        <v/>
      </c>
      <c r="B133" s="3" t="inlineStr">
        <is>
          <t>Daily Multi-Pocket Canvas Tote Bag 20L *Logo</t>
        </is>
      </c>
      <c r="C133" s="3" t="inlineStr">
        <is>
          <t>155779488</t>
        </is>
      </c>
      <c r="D133" s="3" t="inlineStr">
        <is>
          <t>$68.00</t>
        </is>
      </c>
      <c r="E133" s="3" t="inlineStr">
        <is>
          <t>$34.00</t>
        </is>
      </c>
      <c r="F133" s="3">
        <f>IMAGE("https://images.lululemon.com/is/image/lululemon/69510",1)</f>
        <v/>
      </c>
      <c r="G133" s="3" t="n"/>
      <c r="H133" s="3" t="n"/>
      <c r="I133" s="3" t="n"/>
      <c r="J133" s="3" t="n"/>
      <c r="K133" s="3" t="n"/>
      <c r="L133" s="3" t="inlineStr">
        <is>
          <t>O/S</t>
        </is>
      </c>
      <c r="M133" s="3" t="n">
        <v>156</v>
      </c>
      <c r="N133" s="3" t="inlineStr">
        <is>
          <t>From farmers-market finds to picnic essentials, this roomy canvas tote handles it all. Plenty of pockets and a large opening make finding your things a breeze.</t>
        </is>
      </c>
      <c r="O133" s="3" t="inlineStr">
        <is>
          <t>Dly-Mlti-Pckt-Cnvs-Tote-Bag-20L-Logo</t>
        </is>
      </c>
      <c r="P133" s="3" t="inlineStr">
        <is>
          <t>Yes</t>
        </is>
      </c>
      <c r="Q133" s="3" t="inlineStr">
        <is>
          <t>Daily Multi-Pocket Tote *Canvas TRNV/STRH ONE SIZE</t>
        </is>
      </c>
      <c r="R133" s="3" t="inlineStr">
        <is>
          <t>True Navy/Starch Blue</t>
        </is>
      </c>
      <c r="S133" s="3" t="inlineStr">
        <is>
          <t>Totes</t>
        </is>
      </c>
      <c r="T133" s="3" t="inlineStr">
        <is>
          <t>Men</t>
        </is>
      </c>
    </row>
    <row r="134" ht="80" customHeight="1">
      <c r="A134" s="2">
        <f>IMAGE("https://images.lululemon.com/is/image/lululemon/LM3FWQS_071148_1?wid=320&amp;op_usm=0.8",1)</f>
        <v/>
      </c>
      <c r="B134" s="2" t="inlineStr">
        <is>
          <t>Smooth Spacer Quarter Zip</t>
        </is>
      </c>
      <c r="C134" s="2" t="inlineStr">
        <is>
          <t>158028661</t>
        </is>
      </c>
      <c r="D134" s="2" t="inlineStr">
        <is>
          <t>$138.00</t>
        </is>
      </c>
      <c r="E134" s="2" t="inlineStr">
        <is>
          <t>$69.00</t>
        </is>
      </c>
      <c r="F134" s="2">
        <f>IMAGE("https://images.lululemon.com/is/image/lululemon/71148",1)</f>
        <v/>
      </c>
      <c r="G134" s="2">
        <f>IMAGE("https://images.lululemon.com/is/image/lululemon/31382",1)</f>
        <v/>
      </c>
      <c r="H134" s="2">
        <f>IMAGE("https://images.lululemon.com/is/image/lululemon/71169",1)</f>
        <v/>
      </c>
      <c r="I134" s="2">
        <f>IMAGE("https://images.lululemon.com/is/image/lululemon/1179",1)</f>
        <v/>
      </c>
      <c r="J134" s="2" t="n"/>
      <c r="K134" s="2" t="n"/>
      <c r="L134" s="2" t="inlineStr">
        <is>
          <t>S, M, L, XL, XXL</t>
        </is>
      </c>
      <c r="M134" s="2" t="n">
        <v>858</v>
      </c>
      <c r="N134" s="2" t="inlineStr">
        <is>
          <t>Instant recovery mode. Fast-drying fabric on this top is soft on the outside and sleek next to skin for that perfect cool-down feeling.</t>
        </is>
      </c>
      <c r="O134" s="2" t="inlineStr">
        <is>
          <t>Smooth-Spacer-Quarter-Zip</t>
        </is>
      </c>
      <c r="P134" s="2" t="inlineStr">
        <is>
          <t>Yes</t>
        </is>
      </c>
      <c r="Q134" s="2" t="inlineStr">
        <is>
          <t>Smooth Spacer Quarter Zip OVBR S</t>
        </is>
      </c>
      <c r="R134" s="2" t="inlineStr">
        <is>
          <t>Olive Brown, True Navy, Red Clay, Steel Blue</t>
        </is>
      </c>
      <c r="S134" s="2" t="inlineStr">
        <is>
          <t>Half Zip Sweatshirts, Quarter Zip Sweatshirts</t>
        </is>
      </c>
      <c r="T134" s="2" t="inlineStr">
        <is>
          <t>Men</t>
        </is>
      </c>
    </row>
    <row r="135" ht="80" customHeight="1">
      <c r="A135" s="3">
        <f>IMAGE("https://images.lululemon.com/is/image/lululemon/LM4APWS_0001_1?wid=320&amp;op_usm=0.8",1)</f>
        <v/>
      </c>
      <c r="B135" s="3" t="inlineStr">
        <is>
          <t>Pace Breaker Jacket</t>
        </is>
      </c>
      <c r="C135" s="3" t="inlineStr">
        <is>
          <t>155752051</t>
        </is>
      </c>
      <c r="D135" s="3" t="inlineStr">
        <is>
          <t>$168.00</t>
        </is>
      </c>
      <c r="E135" s="3" t="inlineStr">
        <is>
          <t>$84.00</t>
        </is>
      </c>
      <c r="F135" s="3">
        <f>IMAGE("https://images.lululemon.com/is/image/lululemon/0001",1)</f>
        <v/>
      </c>
      <c r="G135" s="3">
        <f>IMAGE("https://images.lululemon.com/is/image/lululemon/1179",1)</f>
        <v/>
      </c>
      <c r="H135" s="3">
        <f>IMAGE("https://images.lululemon.com/is/image/lululemon/68578",1)</f>
        <v/>
      </c>
      <c r="I135" s="3" t="n"/>
      <c r="J135" s="3" t="n"/>
      <c r="K135" s="3" t="n"/>
      <c r="L135" s="3" t="inlineStr">
        <is>
          <t>S, M, L, XL, XXL</t>
        </is>
      </c>
      <c r="M135" s="3" t="n">
        <v>527</v>
      </c>
      <c r="N135" s="3" t="inlineStr">
        <is>
          <t>Designed for cross-sport performance, this versatile jacket has a wrap-around panel of ventilation for maximum comfort as you run and train.</t>
        </is>
      </c>
      <c r="O135" s="3" t="inlineStr">
        <is>
          <t>Pace-Breaker-Jacket</t>
        </is>
      </c>
      <c r="P135" s="3" t="inlineStr">
        <is>
          <t>Yes</t>
        </is>
      </c>
      <c r="Q135" s="3" t="inlineStr">
        <is>
          <t>Pace Breaker Jacket CLBL S</t>
        </is>
      </c>
      <c r="R135" s="3" t="inlineStr">
        <is>
          <t>Black, Steel Blue, Club Blue</t>
        </is>
      </c>
      <c r="S135" s="3" t="inlineStr">
        <is>
          <t>Athletic Jackets</t>
        </is>
      </c>
      <c r="T135" s="3" t="inlineStr">
        <is>
          <t>Men</t>
        </is>
      </c>
    </row>
    <row r="136" ht="80" customHeight="1">
      <c r="A136" s="2">
        <f>IMAGE("https://images.lululemon.com/is/image/lululemon/LU9BZRS_0001_1?wid=320&amp;op_usm=0.8",1)</f>
        <v/>
      </c>
      <c r="B136" s="2" t="inlineStr">
        <is>
          <t>Everywhere Belt Bag 1L *Wunder Puff Shine</t>
        </is>
      </c>
      <c r="C136" s="2" t="inlineStr">
        <is>
          <t>154877945</t>
        </is>
      </c>
      <c r="D136" s="2" t="inlineStr">
        <is>
          <t>$58.00</t>
        </is>
      </c>
      <c r="E136" s="2" t="inlineStr">
        <is>
          <t>$29.00</t>
        </is>
      </c>
      <c r="F136" s="2">
        <f>IMAGE("https://images.lululemon.com/is/image/lululemon/0001",1)</f>
        <v/>
      </c>
      <c r="G136" s="2" t="n"/>
      <c r="H136" s="2" t="n"/>
      <c r="I136" s="2" t="n"/>
      <c r="J136" s="2" t="n"/>
      <c r="K136" s="2" t="n"/>
      <c r="L136" s="2" t="inlineStr">
        <is>
          <t>O/S</t>
        </is>
      </c>
      <c r="M136" s="2" t="n">
        <v>645</v>
      </c>
      <c r="N136" s="2" t="inlineStr">
        <is>
          <t>Inspired by the look of our Wunder Puff collection, this quilted Everywhere Belt Bag has space for your phone, keys, and wallet.</t>
        </is>
      </c>
      <c r="O136" s="2" t="inlineStr">
        <is>
          <t>Everywhere-Belt-Bag-1L-Wunder-Puff-Shine</t>
        </is>
      </c>
      <c r="P136" s="2" t="inlineStr">
        <is>
          <t>Yes</t>
        </is>
      </c>
      <c r="Q136" s="2" t="inlineStr">
        <is>
          <t>Everywhere Belt Bag *Wunder Puff BLK ONE SIZE</t>
        </is>
      </c>
      <c r="R136" s="2" t="inlineStr">
        <is>
          <t>Black</t>
        </is>
      </c>
      <c r="S136" s="2" t="inlineStr">
        <is>
          <t>Belt Bags, Crossbody Bags</t>
        </is>
      </c>
      <c r="T136" s="2" t="inlineStr">
        <is>
          <t>Men</t>
        </is>
      </c>
    </row>
    <row r="137" ht="80" customHeight="1">
      <c r="A137" s="3">
        <f>IMAGE("https://images.lululemon.com/is/image/lululemon/LU9AYAS_038426_1?wid=320&amp;op_usm=0.8",1)</f>
        <v/>
      </c>
      <c r="B137" s="3" t="inlineStr">
        <is>
          <t>The Lightweight Mat 5mm</t>
        </is>
      </c>
      <c r="C137" s="3" t="inlineStr">
        <is>
          <t>155825816</t>
        </is>
      </c>
      <c r="D137" s="3" t="inlineStr">
        <is>
          <t>$84.00</t>
        </is>
      </c>
      <c r="E137" s="3" t="inlineStr">
        <is>
          <t>$42.00</t>
        </is>
      </c>
      <c r="F137" s="3">
        <f>IMAGE("https://images.lululemon.com/is/image/lululemon/38426",1)</f>
        <v/>
      </c>
      <c r="G137" s="3" t="n"/>
      <c r="H137" s="3" t="n"/>
      <c r="I137" s="3" t="n"/>
      <c r="J137" s="3" t="n"/>
      <c r="K137" s="3" t="n"/>
      <c r="L137" s="3" t="inlineStr">
        <is>
          <t>O/S</t>
        </is>
      </c>
      <c r="M137" s="3" t="n">
        <v>63</v>
      </c>
      <c r="N137" s="3" t="inlineStr">
        <is>
          <t>This cushiony, easy-to-clean yoga mat is perfect for low-sweat practices. Pair with The Towel for extra grip when things heat up.</t>
        </is>
      </c>
      <c r="O137" s="3" t="inlineStr">
        <is>
          <t>The-Lightweight-Mat-5mm</t>
        </is>
      </c>
      <c r="P137" s="3" t="inlineStr">
        <is>
          <t>Yes</t>
        </is>
      </c>
      <c r="Q137" s="3" t="inlineStr">
        <is>
          <t>The Lightweight Mat 5mm SOGY ONE SIZE</t>
        </is>
      </c>
      <c r="R137" s="3" t="inlineStr">
        <is>
          <t>Solar Grey</t>
        </is>
      </c>
      <c r="S137" s="3" t="inlineStr"/>
      <c r="T137" s="3" t="inlineStr">
        <is>
          <t>Men</t>
        </is>
      </c>
    </row>
    <row r="138" ht="80" customHeight="1">
      <c r="A138" s="2">
        <f>IMAGE("https://images.lululemon.com/is/image/lululemon/LM3FHKS_4780_1?wid=320&amp;op_usm=0.8",1)</f>
        <v/>
      </c>
      <c r="B138" s="2" t="inlineStr">
        <is>
          <t>Metal Vent Tech Long-Sleeve Shirt</t>
        </is>
      </c>
      <c r="C138" s="2" t="inlineStr">
        <is>
          <t>154842242</t>
        </is>
      </c>
      <c r="D138" s="2" t="inlineStr">
        <is>
          <t>$88.00</t>
        </is>
      </c>
      <c r="E138" s="2" t="inlineStr">
        <is>
          <t>$44.00</t>
        </is>
      </c>
      <c r="F138" s="2">
        <f>IMAGE("https://images.lululemon.com/is/image/lululemon/4780",1)</f>
        <v/>
      </c>
      <c r="G138" s="2">
        <f>IMAGE("https://images.lululemon.com/is/image/lululemon/72659",1)</f>
        <v/>
      </c>
      <c r="H138" s="2" t="n"/>
      <c r="I138" s="2" t="n"/>
      <c r="J138" s="2" t="n"/>
      <c r="K138" s="2" t="n"/>
      <c r="L138" s="2" t="inlineStr">
        <is>
          <t>S, M, L, XL, XXL</t>
        </is>
      </c>
      <c r="M138" s="2" t="n">
        <v>713</v>
      </c>
      <c r="N138" s="2" t="inlineStr">
        <is>
          <t>Your potential—unlocked. The Metal Vent Tech collection uses seamless construction to minimize distractions from chafe and sweat so you can stay laser focused.</t>
        </is>
      </c>
      <c r="O138" s="2" t="inlineStr">
        <is>
          <t>Metal-Vent-Tech-Long-Sleeve-Shirt-3</t>
        </is>
      </c>
      <c r="P138" s="2" t="inlineStr">
        <is>
          <t>Yes</t>
        </is>
      </c>
      <c r="Q138" s="2" t="inlineStr">
        <is>
          <t>Metal Vent Tech Long Sleeve BLK/BLK S</t>
        </is>
      </c>
      <c r="R138" s="2" t="inlineStr">
        <is>
          <t>Black/Black, Fog Green/Pelican</t>
        </is>
      </c>
      <c r="S138" s="2" t="inlineStr"/>
      <c r="T138" s="2" t="inlineStr">
        <is>
          <t>Men</t>
        </is>
      </c>
    </row>
    <row r="139" ht="80" customHeight="1">
      <c r="A139" s="3">
        <f>IMAGE("https://images.lululemon.com/is/image/lululemon/LU9D25S_031078_1?wid=320&amp;op_usm=0.8",1)</f>
        <v/>
      </c>
      <c r="B139" s="3" t="inlineStr">
        <is>
          <t>All Sport Backpack 10L</t>
        </is>
      </c>
      <c r="C139" s="3" t="inlineStr">
        <is>
          <t>157678046</t>
        </is>
      </c>
      <c r="D139" s="3" t="inlineStr">
        <is>
          <t>$98.00</t>
        </is>
      </c>
      <c r="E139" s="3" t="inlineStr">
        <is>
          <t>$49.00</t>
        </is>
      </c>
      <c r="F139" s="3">
        <f>IMAGE("https://images.lululemon.com/is/image/lululemon/31078",1)</f>
        <v/>
      </c>
      <c r="G139" s="3" t="n"/>
      <c r="H139" s="3" t="n"/>
      <c r="I139" s="3" t="n"/>
      <c r="J139" s="3" t="n"/>
      <c r="K139" s="3" t="n"/>
      <c r="L139" s="3" t="inlineStr">
        <is>
          <t>O/S</t>
        </is>
      </c>
      <c r="M139" s="3" t="n">
        <v>130</v>
      </c>
      <c r="N139" s="3" t="inlineStr">
        <is>
          <t>Run, bike, or hike your way into adventure. This lightweight backpack has ample storage for your gear and strategically placed load lifters and compression straps for a snug fit.</t>
        </is>
      </c>
      <c r="O139" s="3" t="inlineStr">
        <is>
          <t>All-Sport-Backpack-10L</t>
        </is>
      </c>
      <c r="P139" s="3" t="inlineStr">
        <is>
          <t>Yes</t>
        </is>
      </c>
      <c r="Q139" s="3" t="inlineStr">
        <is>
          <t>All Sport Backpack 10L ANCH/BLK ONE SIZE</t>
        </is>
      </c>
      <c r="R139" s="3" t="inlineStr">
        <is>
          <t>Anchor/Black</t>
        </is>
      </c>
      <c r="S139" s="3" t="inlineStr">
        <is>
          <t>Backpacks</t>
        </is>
      </c>
      <c r="T139" s="3" t="inlineStr">
        <is>
          <t>Men</t>
        </is>
      </c>
    </row>
    <row r="140" ht="80" customHeight="1">
      <c r="A140" s="2">
        <f>IMAGE("https://images.lululemon.com/is/image/lululemon/LM5B54S_068027_1?wid=320&amp;op_usm=0.8",1)</f>
        <v/>
      </c>
      <c r="B140" s="2" t="inlineStr">
        <is>
          <t>Relaxed-Fit Smooth Twill Track Pant</t>
        </is>
      </c>
      <c r="C140" s="2" t="inlineStr">
        <is>
          <t>154836867</t>
        </is>
      </c>
      <c r="D140" s="2" t="inlineStr">
        <is>
          <t>$128.00</t>
        </is>
      </c>
      <c r="E140" s="2" t="inlineStr">
        <is>
          <t>$64.00</t>
        </is>
      </c>
      <c r="F140" s="2">
        <f>IMAGE("https://images.lululemon.com/is/image/lululemon/68027",1)</f>
        <v/>
      </c>
      <c r="G140" s="2" t="n"/>
      <c r="H140" s="2" t="n"/>
      <c r="I140" s="2" t="n"/>
      <c r="J140" s="2" t="n"/>
      <c r="K140" s="2" t="n"/>
      <c r="L140" s="2" t="inlineStr">
        <is>
          <t>S, M, L, XL, XXL</t>
        </is>
      </c>
      <c r="M140" s="2" t="n">
        <v>437</v>
      </c>
      <c r="N140" s="2" t="inlineStr">
        <is>
          <t>Go beyond the gym. These pants are made from abrasion-resistant fabric to withstand exposure to equipment and the great outdoors.</t>
        </is>
      </c>
      <c r="O140" s="2" t="inlineStr">
        <is>
          <t>Relaxed-Fit-Twill-Track-Pant</t>
        </is>
      </c>
      <c r="P140" s="2" t="inlineStr">
        <is>
          <t>Yes</t>
        </is>
      </c>
      <c r="Q140" s="2" t="inlineStr">
        <is>
          <t>Relaxed-Fit Twill Track Pant GYOS S</t>
        </is>
      </c>
      <c r="R140" s="2" t="inlineStr">
        <is>
          <t>Grey Oasis</t>
        </is>
      </c>
      <c r="S140" s="2" t="inlineStr">
        <is>
          <t>Athletic Pants</t>
        </is>
      </c>
      <c r="T140" s="2" t="inlineStr">
        <is>
          <t>Men</t>
        </is>
      </c>
    </row>
    <row r="141" ht="80" customHeight="1">
      <c r="A141" s="3">
        <f>IMAGE("https://images.lululemon.com/is/image/lululemon/LU9BU3S_0002_1?wid=320&amp;op_usm=0.8",1)</f>
        <v/>
      </c>
      <c r="B141" s="3" t="inlineStr">
        <is>
          <t>Fast and Free Running Hat *WovenAir</t>
        </is>
      </c>
      <c r="C141" s="3" t="inlineStr">
        <is>
          <t>153575604</t>
        </is>
      </c>
      <c r="D141" s="3" t="inlineStr">
        <is>
          <t>$38.00</t>
        </is>
      </c>
      <c r="E141" s="3" t="inlineStr">
        <is>
          <t>$19.00</t>
        </is>
      </c>
      <c r="F141" s="3">
        <f>IMAGE("https://images.lululemon.com/is/image/lululemon/0002",1)</f>
        <v/>
      </c>
      <c r="G141" s="3">
        <f>IMAGE("https://images.lululemon.com/is/image/lululemon/0001",1)</f>
        <v/>
      </c>
      <c r="H141" s="3">
        <f>IMAGE("https://images.lululemon.com/is/image/lululemon/31382",1)</f>
        <v/>
      </c>
      <c r="I141" s="3" t="n"/>
      <c r="J141" s="3" t="n"/>
      <c r="K141" s="3" t="n"/>
      <c r="L141" s="3" t="inlineStr">
        <is>
          <t>S/M, L/XL</t>
        </is>
      </c>
      <c r="M141" s="3" t="n">
        <v>2257</v>
      </c>
      <c r="N141" s="3" t="inlineStr">
        <is>
          <t>Short jogs, five mile sprints, or full-on marathons—whatever distance you're running, this lightweight hat provides shade and comfortable ventilation.</t>
        </is>
      </c>
      <c r="O141" s="3" t="inlineStr">
        <is>
          <t>Fast-and-Free-Running-Hat-WovenAir</t>
        </is>
      </c>
      <c r="P141" s="3" t="inlineStr">
        <is>
          <t>Yes</t>
        </is>
      </c>
      <c r="Q141" s="3" t="inlineStr">
        <is>
          <t>Fast and Free Run Hat *WovenAir™ WHT S/M</t>
        </is>
      </c>
      <c r="R141" s="3" t="inlineStr">
        <is>
          <t>White, Black, True Navy</t>
        </is>
      </c>
      <c r="S141" s="3" t="inlineStr">
        <is>
          <t>Caps</t>
        </is>
      </c>
      <c r="T141" s="3" t="inlineStr">
        <is>
          <t>Men</t>
        </is>
      </c>
    </row>
    <row r="142" ht="80" customHeight="1">
      <c r="A142" s="2">
        <f>IMAGE("https://images.lululemon.com/is/image/lululemon/LM3FYFS_0001_1?wid=320&amp;op_usm=0.8",1)</f>
        <v/>
      </c>
      <c r="B142" s="2" t="inlineStr">
        <is>
          <t>Zeroed In Crinkle Texture Half Zip</t>
        </is>
      </c>
      <c r="C142" s="2" t="inlineStr">
        <is>
          <t>158101041</t>
        </is>
      </c>
      <c r="D142" s="2" t="inlineStr">
        <is>
          <t>$148.00</t>
        </is>
      </c>
      <c r="E142" s="2" t="inlineStr">
        <is>
          <t>$74.00</t>
        </is>
      </c>
      <c r="F142" s="2">
        <f>IMAGE("https://images.lululemon.com/is/image/lululemon/0001",1)</f>
        <v/>
      </c>
      <c r="G142" s="2" t="n"/>
      <c r="H142" s="2" t="n"/>
      <c r="I142" s="2" t="n"/>
      <c r="J142" s="2" t="n"/>
      <c r="K142" s="2" t="n"/>
      <c r="L142" s="2" t="inlineStr">
        <is>
          <t>S, M, L, XL, XXL</t>
        </is>
      </c>
      <c r="M142" s="2" t="n">
        <v>131</v>
      </c>
      <c r="N142" s="2" t="inlineStr">
        <is>
          <t>Work out or hang out. This textured half zip is designed to keep up with every way you like to move.</t>
        </is>
      </c>
      <c r="O142" s="2" t="inlineStr">
        <is>
          <t>Zeroed-In-Crinkle-Texture-Half-Zip</t>
        </is>
      </c>
      <c r="P142" s="2" t="inlineStr">
        <is>
          <t>Yes</t>
        </is>
      </c>
      <c r="Q142" s="2" t="inlineStr">
        <is>
          <t>Zeroed In Crinkle Texture Half Zip BLK S</t>
        </is>
      </c>
      <c r="R142" s="2" t="inlineStr">
        <is>
          <t>Black</t>
        </is>
      </c>
      <c r="S142" s="2" t="inlineStr">
        <is>
          <t>Athletic Jackets, Half Zip Sweatshirts, Quarter Zip Sweatshirts</t>
        </is>
      </c>
      <c r="T142" s="2" t="inlineStr">
        <is>
          <t>Men</t>
        </is>
      </c>
    </row>
    <row r="143" ht="80" customHeight="1">
      <c r="A143" s="3">
        <f>IMAGE("https://images.lululemon.com/is/image/lululemon/LM3FVWS_033454_1?wid=320&amp;op_usm=0.8",1)</f>
        <v/>
      </c>
      <c r="B143" s="3" t="inlineStr">
        <is>
          <t>Steady State Half Zip</t>
        </is>
      </c>
      <c r="C143" s="3" t="inlineStr">
        <is>
          <t>155860667</t>
        </is>
      </c>
      <c r="D143" s="3" t="inlineStr">
        <is>
          <t>$128.00</t>
        </is>
      </c>
      <c r="E143" s="3" t="inlineStr">
        <is>
          <t>$64.00</t>
        </is>
      </c>
      <c r="F143" s="3">
        <f>IMAGE("https://images.lululemon.com/is/image/lululemon/33454",1)</f>
        <v/>
      </c>
      <c r="G143" s="3" t="n"/>
      <c r="H143" s="3" t="n"/>
      <c r="I143" s="3" t="n"/>
      <c r="J143" s="3" t="n"/>
      <c r="K143" s="3" t="n"/>
      <c r="L143" s="3" t="inlineStr">
        <is>
          <t>S, M, L, XL, XXL</t>
        </is>
      </c>
      <c r="M143" s="3" t="n">
        <v>242</v>
      </c>
      <c r="N143" s="3" t="inlineStr">
        <is>
          <t>A reimagined classic. This fleece half zip puts softness first, so you can bring comfort wherever you go.</t>
        </is>
      </c>
      <c r="O143" s="3" t="inlineStr">
        <is>
          <t>Steady-State-Half-Zip</t>
        </is>
      </c>
      <c r="P143" s="3" t="inlineStr">
        <is>
          <t>Yes</t>
        </is>
      </c>
      <c r="Q143" s="3" t="inlineStr">
        <is>
          <t>Steady State Half Zip LTIV S</t>
        </is>
      </c>
      <c r="R143" s="3" t="inlineStr">
        <is>
          <t>Light Ivory</t>
        </is>
      </c>
      <c r="S143" s="3" t="inlineStr">
        <is>
          <t>Half Zip Sweatshirts, Quarter Zip Sweatshirts</t>
        </is>
      </c>
      <c r="T143" s="3" t="inlineStr">
        <is>
          <t>Men</t>
        </is>
      </c>
    </row>
    <row r="144" ht="80" customHeight="1">
      <c r="A144" s="2">
        <f>IMAGE("https://images.lululemon.com/is/image/lululemon/LU9AC4S_073766_1?wid=320&amp;op_usm=0.8",1)</f>
        <v/>
      </c>
      <c r="B144" s="2" t="inlineStr">
        <is>
          <t>Lift and Lengthen Yoga Block</t>
        </is>
      </c>
      <c r="C144" s="2" t="inlineStr">
        <is>
          <t>157793520</t>
        </is>
      </c>
      <c r="D144" s="2" t="inlineStr">
        <is>
          <t>$24.00</t>
        </is>
      </c>
      <c r="E144" s="2" t="inlineStr">
        <is>
          <t>$12.00</t>
        </is>
      </c>
      <c r="F144" s="2">
        <f>IMAGE("https://images.lululemon.com/is/image/lululemon/73766",1)</f>
        <v/>
      </c>
      <c r="G144" s="2">
        <f>IMAGE("https://images.lululemon.com/is/image/lululemon/0023",1)</f>
        <v/>
      </c>
      <c r="H144" s="2" t="n"/>
      <c r="I144" s="2" t="n"/>
      <c r="J144" s="2" t="n"/>
      <c r="K144" s="2" t="n"/>
      <c r="L144" s="2" t="inlineStr">
        <is>
          <t>O/S</t>
        </is>
      </c>
      <c r="M144" s="2" t="n">
        <v>1307</v>
      </c>
      <c r="N144" s="2" t="inlineStr">
        <is>
          <t>Give yourself a little support. From a few extra inches in crescent moon to lifting you in a seated twist, this block has your back.</t>
        </is>
      </c>
      <c r="O144" s="2" t="inlineStr">
        <is>
          <t>Lift-And-Lengthen-Yoga-Block</t>
        </is>
      </c>
      <c r="P144" s="2" t="inlineStr">
        <is>
          <t>Yes</t>
        </is>
      </c>
      <c r="Q144" s="2" t="inlineStr">
        <is>
          <t>Lift And Lengthen Yoga Block RGPL ONE SIZE</t>
        </is>
      </c>
      <c r="R144" s="2" t="inlineStr">
        <is>
          <t>Rainforest Green/Palm Deco/Laurel Green/Light Ivory, Black/White</t>
        </is>
      </c>
      <c r="S144" s="2" t="inlineStr">
        <is>
          <t>Blocks</t>
        </is>
      </c>
      <c r="T144" s="2" t="inlineStr">
        <is>
          <t>Men</t>
        </is>
      </c>
    </row>
    <row r="145" ht="80" customHeight="1">
      <c r="A145" s="3">
        <f>IMAGE("https://images.lululemon.com/is/image/lululemon/LM7BGVS_033454_1?wid=320&amp;op_usm=0.8",1)</f>
        <v/>
      </c>
      <c r="B145" s="3" t="inlineStr">
        <is>
          <t>ABC Classic-Fit Short 9" *WovenAir</t>
        </is>
      </c>
      <c r="C145" s="3" t="inlineStr">
        <is>
          <t>155801986</t>
        </is>
      </c>
      <c r="D145" s="3" t="inlineStr">
        <is>
          <t>$88.00</t>
        </is>
      </c>
      <c r="E145" s="3" t="inlineStr">
        <is>
          <t>$44.00</t>
        </is>
      </c>
      <c r="F145" s="3">
        <f>IMAGE("https://images.lululemon.com/is/image/lululemon/33454",1)</f>
        <v/>
      </c>
      <c r="G145" s="3">
        <f>IMAGE("https://images.lululemon.com/is/image/lululemon/31382",1)</f>
        <v/>
      </c>
      <c r="H145" s="3" t="n"/>
      <c r="I145" s="3" t="n"/>
      <c r="J145" s="3" t="n"/>
      <c r="K145" s="3" t="n"/>
      <c r="L145" s="3" t="inlineStr">
        <is>
          <t>28, 30, 31, 32, 33, 34, 36, 38, 40</t>
        </is>
      </c>
      <c r="M145" s="3" t="n">
        <v>1056</v>
      </c>
      <c r="N145" s="3" t="inlineStr">
        <is>
          <t>Welcome to the all-day comfort club. Streamlined yet technical, these shorts elevate any look.</t>
        </is>
      </c>
      <c r="O145" s="3" t="inlineStr">
        <is>
          <t>ABC-Classic-Fit-Short-9-WovenAir</t>
        </is>
      </c>
      <c r="P145" s="3" t="inlineStr">
        <is>
          <t>Yes</t>
        </is>
      </c>
      <c r="Q145" s="3" t="inlineStr">
        <is>
          <t>ABC Classic-Fit Short 9" *WovenAir™ LTIV 28</t>
        </is>
      </c>
      <c r="R145" s="3" t="inlineStr">
        <is>
          <t>Light Ivory, True Navy</t>
        </is>
      </c>
      <c r="S145" s="3" t="inlineStr">
        <is>
          <t>Chino Shorts</t>
        </is>
      </c>
      <c r="T145" s="3" t="inlineStr">
        <is>
          <t>Men</t>
        </is>
      </c>
    </row>
    <row r="146" ht="80" customHeight="1">
      <c r="A146" s="2">
        <f>IMAGE("https://images.lululemon.com/is/image/lululemon/LM7BSIS_032894_1?wid=320&amp;op_usm=0.8",1)</f>
        <v/>
      </c>
      <c r="B146" s="2" t="inlineStr">
        <is>
          <t>Fast and Free Lined Running Short 5"</t>
        </is>
      </c>
      <c r="C146" s="2" t="inlineStr">
        <is>
          <t>156514750</t>
        </is>
      </c>
      <c r="D146" s="2" t="inlineStr">
        <is>
          <t>$88.00</t>
        </is>
      </c>
      <c r="E146" s="2" t="inlineStr">
        <is>
          <t>$44.00</t>
        </is>
      </c>
      <c r="F146" s="2">
        <f>IMAGE("https://images.lululemon.com/is/image/lululemon/32894",1)</f>
        <v/>
      </c>
      <c r="G146" s="2">
        <f>IMAGE("https://images.lululemon.com/is/image/lululemon/33928",1)</f>
        <v/>
      </c>
      <c r="H146" s="2">
        <f>IMAGE("https://images.lululemon.com/is/image/lululemon/0554",1)</f>
        <v/>
      </c>
      <c r="I146" s="2">
        <f>IMAGE("https://images.lululemon.com/is/image/lululemon/33454",1)</f>
        <v/>
      </c>
      <c r="J146" s="2" t="n"/>
      <c r="K146" s="2" t="n"/>
      <c r="L146" s="2" t="inlineStr">
        <is>
          <t>S, M, L, XL, XXL</t>
        </is>
      </c>
      <c r="M146" s="2" t="n">
        <v>826</v>
      </c>
      <c r="N146" s="2" t="inlineStr">
        <is>
          <t>Max momentum. These tricked-out run shorts have plenty of easy-access storage so you never need to slow down.</t>
        </is>
      </c>
      <c r="O146" s="2" t="inlineStr">
        <is>
          <t>Fast-and-Free-Lined-Running-Short-5</t>
        </is>
      </c>
      <c r="P146" s="2" t="inlineStr">
        <is>
          <t>Yes</t>
        </is>
      </c>
      <c r="Q146" s="2" t="inlineStr">
        <is>
          <t>Fast and Free Running Short 5" *Lined SILD S</t>
        </is>
      </c>
      <c r="R146" s="2" t="inlineStr">
        <is>
          <t>Vapor, Silver Drop, Grape Mist, Light Ivory</t>
        </is>
      </c>
      <c r="S146" s="2" t="inlineStr">
        <is>
          <t>Liner Shorts, Athletic Shorts, Track Shorts</t>
        </is>
      </c>
      <c r="T146" s="2" t="inlineStr">
        <is>
          <t>Men</t>
        </is>
      </c>
    </row>
    <row r="147" ht="80" customHeight="1">
      <c r="A147" s="3">
        <f>IMAGE("https://images.lululemon.com/is/image/lululemon/LM7BPLS_0024_1?wid=320&amp;op_usm=0.8",1)</f>
        <v/>
      </c>
      <c r="B147" s="3" t="inlineStr">
        <is>
          <t>Pace Breaker Reflective Linerless Knit Short 7"</t>
        </is>
      </c>
      <c r="C147" s="3" t="inlineStr">
        <is>
          <t>157684678</t>
        </is>
      </c>
      <c r="D147" s="3" t="inlineStr">
        <is>
          <t>$98.00</t>
        </is>
      </c>
      <c r="E147" s="3" t="inlineStr">
        <is>
          <t>$49.00</t>
        </is>
      </c>
      <c r="F147" s="3">
        <f>IMAGE("https://images.lululemon.com/is/image/lululemon/0024",1)</f>
        <v/>
      </c>
      <c r="G147" s="3" t="n"/>
      <c r="H147" s="3" t="n"/>
      <c r="I147" s="3" t="n"/>
      <c r="J147" s="3" t="n"/>
      <c r="K147" s="3" t="n"/>
      <c r="L147" s="3" t="inlineStr">
        <is>
          <t>S, M, L, XL, XXL</t>
        </is>
      </c>
      <c r="M147" s="3" t="n">
        <v>136</v>
      </c>
      <c r="N147" s="3" t="inlineStr">
        <is>
          <t>Athlete backed, performance driven. This version of our most versatile short features an all-over reflective design effect to help keep you on the radar.</t>
        </is>
      </c>
      <c r="O147" s="3" t="inlineStr">
        <is>
          <t>Pace-Breaker-Reflective-Linerless-Knit-Short-7</t>
        </is>
      </c>
      <c r="P147" s="3" t="inlineStr">
        <is>
          <t>Yes</t>
        </is>
      </c>
      <c r="Q147" s="3" t="inlineStr">
        <is>
          <t>Pace Breaker Reflective Knit Short 7"*LL WHT/BLK S</t>
        </is>
      </c>
      <c r="R147" s="3" t="inlineStr">
        <is>
          <t>White/Black</t>
        </is>
      </c>
      <c r="S147" s="3" t="inlineStr">
        <is>
          <t>Athletic Shorts</t>
        </is>
      </c>
      <c r="T147" s="3" t="inlineStr">
        <is>
          <t>Men</t>
        </is>
      </c>
    </row>
    <row r="148" ht="80" customHeight="1">
      <c r="A148" s="2">
        <f>IMAGE("https://images.lululemon.com/is/image/lululemon/LM5AO1S_033454_1?wid=320&amp;op_usm=0.8",1)</f>
        <v/>
      </c>
      <c r="B148" s="2" t="inlineStr">
        <is>
          <t>ABC Classic-Fit 5 Pocket Pant 32L *Warpstreme</t>
        </is>
      </c>
      <c r="C148" s="2" t="inlineStr">
        <is>
          <t>156483457</t>
        </is>
      </c>
      <c r="D148" s="2" t="inlineStr">
        <is>
          <t>$138.00</t>
        </is>
      </c>
      <c r="E148" s="2" t="inlineStr">
        <is>
          <t>$69.00</t>
        </is>
      </c>
      <c r="F148" s="2">
        <f>IMAGE("https://images.lululemon.com/is/image/lululemon/33454",1)</f>
        <v/>
      </c>
      <c r="G148" s="2">
        <f>IMAGE("https://images.lululemon.com/is/image/lululemon/26865",1)</f>
        <v/>
      </c>
      <c r="H148" s="2" t="n"/>
      <c r="I148" s="2" t="n"/>
      <c r="J148" s="2" t="n"/>
      <c r="K148" s="2" t="n"/>
      <c r="L148" s="2" t="inlineStr">
        <is>
          <t>28, 30, 31, 32, 33, 34, 36, 38, 40</t>
        </is>
      </c>
      <c r="M148" s="2" t="n">
        <v>267</v>
      </c>
      <c r="N148" s="2" t="inlineStr">
        <is>
          <t>The five-pocket jean, reinvented. These classic-fit pants, powered by ABC™ technology, give you freedom of movement and all-day comfort.</t>
        </is>
      </c>
      <c r="O148" s="2" t="inlineStr">
        <is>
          <t>ABC-Pant-Classic-32</t>
        </is>
      </c>
      <c r="P148" s="2" t="inlineStr">
        <is>
          <t>Yes</t>
        </is>
      </c>
      <c r="Q148" s="2" t="inlineStr">
        <is>
          <t>ABC Classic-Fit 5Pkt Pant 32L*Warpstreme LTIV 28</t>
        </is>
      </c>
      <c r="R148" s="2" t="inlineStr">
        <is>
          <t>Light Ivory, Iron Blue</t>
        </is>
      </c>
      <c r="S148" s="2" t="inlineStr">
        <is>
          <t>5 Pocket Pants</t>
        </is>
      </c>
      <c r="T148" s="2" t="inlineStr">
        <is>
          <t>Men</t>
        </is>
      </c>
    </row>
    <row r="149" ht="80" customHeight="1">
      <c r="A149" s="3">
        <f>IMAGE("https://images.lululemon.com/is/image/lululemon/LU9CAMS_031382_1?wid=320&amp;op_usm=0.8",1)</f>
        <v/>
      </c>
      <c r="B149" s="3" t="inlineStr">
        <is>
          <t>Removable Sweatband All-Sport Visor</t>
        </is>
      </c>
      <c r="C149" s="3" t="inlineStr">
        <is>
          <t>150750165</t>
        </is>
      </c>
      <c r="D149" s="3" t="inlineStr">
        <is>
          <t>$38.00</t>
        </is>
      </c>
      <c r="E149" s="3" t="inlineStr">
        <is>
          <t>$19.00</t>
        </is>
      </c>
      <c r="F149" s="3">
        <f>IMAGE("https://images.lululemon.com/is/image/lululemon/31382",1)</f>
        <v/>
      </c>
      <c r="G149" s="3">
        <f>IMAGE("https://images.lululemon.com/is/image/lululemon/0001",1)</f>
        <v/>
      </c>
      <c r="H149" s="3" t="n"/>
      <c r="I149" s="3" t="n"/>
      <c r="J149" s="3" t="n"/>
      <c r="K149" s="3" t="n"/>
      <c r="L149" s="3" t="inlineStr">
        <is>
          <t>L/XL</t>
        </is>
      </c>
      <c r="M149" s="3" t="n">
        <v>181</v>
      </c>
      <c r="N149" s="3" t="inlineStr">
        <is>
          <t>It's easy to stay fresh with this do-it-all visor. Toss the detachable interior sweatband in the laundry so it's ready to go for your next sweat session.</t>
        </is>
      </c>
      <c r="O149" s="3" t="inlineStr">
        <is>
          <t>Removable-SweatbAll-Sport-Visor</t>
        </is>
      </c>
      <c r="P149" s="3" t="inlineStr">
        <is>
          <t>Yes</t>
        </is>
      </c>
      <c r="Q149" s="3" t="inlineStr">
        <is>
          <t>Removable Sweatband All-Sport Visor TRNV L/XL</t>
        </is>
      </c>
      <c r="R149" s="3" t="inlineStr">
        <is>
          <t>True Navy, Black</t>
        </is>
      </c>
      <c r="S149" s="3" t="inlineStr">
        <is>
          <t>Visors</t>
        </is>
      </c>
      <c r="T149" s="3" t="inlineStr">
        <is>
          <t>Men</t>
        </is>
      </c>
    </row>
    <row r="150" ht="80" customHeight="1">
      <c r="A150" s="2">
        <f>IMAGE("https://images.lululemon.com/is/image/lululemon/LM5AY0S_048432_1?wid=320&amp;op_usm=0.8",1)</f>
        <v/>
      </c>
      <c r="B150" s="2" t="inlineStr">
        <is>
          <t>ABC Slim-Fit Trouser 32L *WovenAir</t>
        </is>
      </c>
      <c r="C150" s="2" t="inlineStr">
        <is>
          <t>156508885</t>
        </is>
      </c>
      <c r="D150" s="2" t="inlineStr">
        <is>
          <t>$138.00</t>
        </is>
      </c>
      <c r="E150" s="2" t="inlineStr">
        <is>
          <t>$69.00</t>
        </is>
      </c>
      <c r="F150" s="2">
        <f>IMAGE("https://images.lululemon.com/is/image/lululemon/48432",1)</f>
        <v/>
      </c>
      <c r="G150" s="2" t="n"/>
      <c r="H150" s="2" t="n"/>
      <c r="I150" s="2" t="n"/>
      <c r="J150" s="2" t="n"/>
      <c r="K150" s="2" t="n"/>
      <c r="L150" s="2" t="inlineStr">
        <is>
          <t>28, 30, 32, 33, 34, 36, 38, 40</t>
        </is>
      </c>
      <c r="M150" s="2" t="n">
        <v>204</v>
      </c>
      <c r="N150" s="2" t="inlineStr">
        <is>
          <t>These slim-fit trousers deliver all-day comfort with an elevated look.</t>
        </is>
      </c>
      <c r="O150" s="2" t="inlineStr">
        <is>
          <t>ABC-Slim-Fit-Trouser-32L-WovenAir</t>
        </is>
      </c>
      <c r="P150" s="2" t="inlineStr">
        <is>
          <t>Yes</t>
        </is>
      </c>
      <c r="Q150" s="2" t="inlineStr">
        <is>
          <t>ABC Slim-Fit Trouser 32L *WovenAir™ RWLI 28</t>
        </is>
      </c>
      <c r="R150" s="2" t="inlineStr">
        <is>
          <t>Raw Linen</t>
        </is>
      </c>
      <c r="S150" s="2" t="inlineStr">
        <is>
          <t>Chinos, Dress Pants</t>
        </is>
      </c>
      <c r="T150" s="2" t="inlineStr">
        <is>
          <t>Men</t>
        </is>
      </c>
    </row>
    <row r="151" ht="80" customHeight="1">
      <c r="A151" s="3">
        <f>IMAGE("https://images.lululemon.com/is/image/lululemon/LM5AEGS_048432_1?wid=320&amp;op_usm=0.8",1)</f>
        <v/>
      </c>
      <c r="B151" s="3" t="inlineStr">
        <is>
          <t>License to Train Jogger *Regular</t>
        </is>
      </c>
      <c r="C151" s="3" t="inlineStr">
        <is>
          <t>142203333</t>
        </is>
      </c>
      <c r="D151" s="3" t="inlineStr">
        <is>
          <t>$128.00</t>
        </is>
      </c>
      <c r="E151" s="3" t="inlineStr">
        <is>
          <t>$64.00</t>
        </is>
      </c>
      <c r="F151" s="3">
        <f>IMAGE("https://images.lululemon.com/is/image/lululemon/48432",1)</f>
        <v/>
      </c>
      <c r="G151" s="3" t="n"/>
      <c r="H151" s="3" t="n"/>
      <c r="I151" s="3" t="n"/>
      <c r="J151" s="3" t="n"/>
      <c r="K151" s="3" t="n"/>
      <c r="L151" s="3" t="inlineStr">
        <is>
          <t>S, M, L, XL, XXL</t>
        </is>
      </c>
      <c r="M151" s="3" t="n">
        <v>378</v>
      </c>
      <c r="N151" s="3" t="inlineStr">
        <is>
          <t>Train hard, adventure harder. The abrasion-resistant fabric on these versatile joggers can handle burpees and backpacking.</t>
        </is>
      </c>
      <c r="O151" s="3" t="inlineStr">
        <is>
          <t>License-to-Train-Jogger-Updated</t>
        </is>
      </c>
      <c r="P151" s="3" t="inlineStr">
        <is>
          <t>Yes</t>
        </is>
      </c>
      <c r="Q151" s="3" t="inlineStr">
        <is>
          <t>License to Train Jogger *Regular RWLI S</t>
        </is>
      </c>
      <c r="R151" s="3" t="inlineStr">
        <is>
          <t>Raw Linen</t>
        </is>
      </c>
      <c r="S151" s="3" t="inlineStr">
        <is>
          <t>Athletic Pants</t>
        </is>
      </c>
      <c r="T151" s="3" t="inlineStr">
        <is>
          <t>Men</t>
        </is>
      </c>
    </row>
    <row r="152" ht="80" customHeight="1">
      <c r="A152" s="2">
        <f>IMAGE("https://images.lululemon.com/is/image/lululemon/LM7BM5S_032894_1?wid=320&amp;op_usm=0.8",1)</f>
        <v/>
      </c>
      <c r="B152" s="2" t="inlineStr">
        <is>
          <t>License to Train Linerless Short 7" *Updated</t>
        </is>
      </c>
      <c r="C152" s="2" t="inlineStr">
        <is>
          <t>155701526</t>
        </is>
      </c>
      <c r="D152" s="2" t="inlineStr">
        <is>
          <t>$78.00</t>
        </is>
      </c>
      <c r="E152" s="2" t="inlineStr">
        <is>
          <t>$39.00</t>
        </is>
      </c>
      <c r="F152" s="2">
        <f>IMAGE("https://images.lululemon.com/is/image/lululemon/32894",1)</f>
        <v/>
      </c>
      <c r="G152" s="2">
        <f>IMAGE("https://images.lululemon.com/is/image/lululemon/11297",1)</f>
        <v/>
      </c>
      <c r="H152" s="2" t="n"/>
      <c r="I152" s="2" t="n"/>
      <c r="J152" s="2" t="n"/>
      <c r="K152" s="2" t="n"/>
      <c r="L152" s="2" t="inlineStr">
        <is>
          <t>S, M, L, XL, XXL</t>
        </is>
      </c>
      <c r="M152" s="2" t="n">
        <v>100</v>
      </c>
      <c r="N152" s="2" t="inlineStr">
        <is>
          <t>Train hard—they can handle it. Sleek pockets and a low-profile waistband on these abrasion-resistant shorts creates a streamlined fit for your tough workouts.</t>
        </is>
      </c>
      <c r="O152" s="2" t="inlineStr">
        <is>
          <t>License-to-Train-Linerless-Short-7-Updated</t>
        </is>
      </c>
      <c r="P152" s="2" t="inlineStr">
        <is>
          <t>Yes</t>
        </is>
      </c>
      <c r="Q152" s="2" t="inlineStr">
        <is>
          <t>License to Train Short 7" *LL VPOR S</t>
        </is>
      </c>
      <c r="R152" s="2" t="inlineStr">
        <is>
          <t>Vapor, Cornflower</t>
        </is>
      </c>
      <c r="S152" s="2" t="inlineStr">
        <is>
          <t>Athletic Shorts</t>
        </is>
      </c>
      <c r="T152" s="2" t="inlineStr">
        <is>
          <t>Men</t>
        </is>
      </c>
    </row>
    <row r="153" ht="80" customHeight="1">
      <c r="A153" s="3">
        <f>IMAGE("https://images.lululemon.com/is/image/lululemon/LW9FBXS_0002_1?wid=320&amp;op_usm=0.8",1)</f>
        <v/>
      </c>
      <c r="B153" s="3" t="inlineStr">
        <is>
          <t>Women's Luxtreme Training Headband</t>
        </is>
      </c>
      <c r="C153" s="3" t="inlineStr">
        <is>
          <t>153836035</t>
        </is>
      </c>
      <c r="D153" s="3" t="inlineStr">
        <is>
          <t>$14.00</t>
        </is>
      </c>
      <c r="E153" s="3" t="inlineStr">
        <is>
          <t>$7.00</t>
        </is>
      </c>
      <c r="F153" s="3">
        <f>IMAGE("https://images.lululemon.com/is/image/lululemon/0002",1)</f>
        <v/>
      </c>
      <c r="G153" s="3">
        <f>IMAGE("https://images.lululemon.com/is/image/lululemon/0001",1)</f>
        <v/>
      </c>
      <c r="H153" s="3">
        <f>IMAGE("https://images.lululemon.com/is/image/lululemon/28022",1)</f>
        <v/>
      </c>
      <c r="I153" s="3">
        <f>IMAGE("https://images.lululemon.com/is/image/lululemon/21363",1)</f>
        <v/>
      </c>
      <c r="J153" s="3">
        <f>IMAGE("https://images.lululemon.com/is/image/lululemon/72757",1)</f>
        <v/>
      </c>
      <c r="K153" s="3" t="n"/>
      <c r="L153" s="3" t="inlineStr">
        <is>
          <t>O/S</t>
        </is>
      </c>
      <c r="M153" s="3" t="n">
        <v>4426</v>
      </c>
      <c r="N153" s="3" t="inlineStr">
        <is>
          <t>Keep your hair in place while you work out. This sweat-wicking headband hugs your head in all the right places.</t>
        </is>
      </c>
      <c r="O153" s="3" t="inlineStr">
        <is>
          <t>W-Luxtreme-Training-Headband</t>
        </is>
      </c>
      <c r="P153" s="3" t="inlineStr">
        <is>
          <t>Yes</t>
        </is>
      </c>
      <c r="Q153" s="3" t="inlineStr">
        <is>
          <t>Luxtreme™ Training Headband WHT ONE SIZE</t>
        </is>
      </c>
      <c r="R153" s="3" t="inlineStr">
        <is>
          <t>White, Black, Indochine Blue, Berry Rumble, Oxford Red</t>
        </is>
      </c>
      <c r="S153" s="3" t="inlineStr">
        <is>
          <t>Headbands</t>
        </is>
      </c>
      <c r="T153" s="3" t="inlineStr">
        <is>
          <t>Men</t>
        </is>
      </c>
    </row>
    <row r="154" ht="80" customHeight="1">
      <c r="A154" s="2">
        <f>IMAGE("https://images.lululemon.com/is/image/lululemon/LM4ALTS_062214_1?wid=320&amp;op_usm=0.8",1)</f>
        <v/>
      </c>
      <c r="B154" s="2" t="inlineStr">
        <is>
          <t>Sojourn Windbreaker Jacket</t>
        </is>
      </c>
      <c r="C154" s="2" t="inlineStr">
        <is>
          <t>157683847</t>
        </is>
      </c>
      <c r="D154" s="2" t="inlineStr">
        <is>
          <t>$128.00</t>
        </is>
      </c>
      <c r="E154" s="2" t="inlineStr">
        <is>
          <t>$64.00</t>
        </is>
      </c>
      <c r="F154" s="2">
        <f>IMAGE("https://images.lululemon.com/is/image/lululemon/62214",1)</f>
        <v/>
      </c>
      <c r="G154" s="2" t="n"/>
      <c r="H154" s="2" t="n"/>
      <c r="I154" s="2" t="n"/>
      <c r="J154" s="2" t="n"/>
      <c r="K154" s="2" t="n"/>
      <c r="L154" s="2" t="inlineStr">
        <is>
          <t>S, M, L, XL, XXL</t>
        </is>
      </c>
      <c r="M154" s="2" t="n">
        <v>167</v>
      </c>
      <c r="N154" s="2" t="inlineStr">
        <is>
          <t>Going somewhere? This windbreaker's low-profile design fits seamlessly with whatever you've got planned.</t>
        </is>
      </c>
      <c r="O154" s="2" t="inlineStr">
        <is>
          <t>Sojourn-Windbreaker-Jacket</t>
        </is>
      </c>
      <c r="P154" s="2" t="inlineStr">
        <is>
          <t>Yes</t>
        </is>
      </c>
      <c r="Q154" s="2" t="inlineStr">
        <is>
          <t>Sojourn Windbreaker Jacket BALF S</t>
        </is>
      </c>
      <c r="R154" s="2" t="inlineStr">
        <is>
          <t>Bay Leaf</t>
        </is>
      </c>
      <c r="S154" s="2" t="inlineStr">
        <is>
          <t>Windbreakers</t>
        </is>
      </c>
      <c r="T154" s="2" t="inlineStr">
        <is>
          <t>Men</t>
        </is>
      </c>
    </row>
    <row r="155" ht="80" customHeight="1">
      <c r="A155" s="3">
        <f>IMAGE("https://images.lululemon.com/is/image/lululemon/LM4AMVS_0001_1?wid=320&amp;op_usm=0.8",1)</f>
        <v/>
      </c>
      <c r="B155" s="3" t="inlineStr">
        <is>
          <t>Down for It All Hoodie</t>
        </is>
      </c>
      <c r="C155" s="3" t="inlineStr">
        <is>
          <t>147151538</t>
        </is>
      </c>
      <c r="D155" s="3" t="inlineStr">
        <is>
          <t>$228.00</t>
        </is>
      </c>
      <c r="E155" s="3" t="inlineStr">
        <is>
          <t>$114.00</t>
        </is>
      </c>
      <c r="F155" s="3">
        <f>IMAGE("https://images.lululemon.com/is/image/lululemon/0001",1)</f>
        <v/>
      </c>
      <c r="G155" s="3">
        <f>IMAGE("https://images.lululemon.com/is/image/lululemon/28022",1)</f>
        <v/>
      </c>
      <c r="H155" s="3" t="n"/>
      <c r="I155" s="3" t="n"/>
      <c r="J155" s="3" t="n"/>
      <c r="K155" s="3" t="n"/>
      <c r="L155" s="3" t="inlineStr">
        <is>
          <t>S, M, L, XL, XXL</t>
        </is>
      </c>
      <c r="M155" s="3" t="n">
        <v>221</v>
      </c>
      <c r="N155" s="3" t="inlineStr">
        <is>
          <t>When temperature drops, this water-resistant hoodie keeps up. Lightweight goose down helps keep you warm, while stretchy fabric panels let you move with ease.</t>
        </is>
      </c>
      <c r="O155" s="3" t="inlineStr">
        <is>
          <t>Down-For-It-All-Hoodie</t>
        </is>
      </c>
      <c r="P155" s="3" t="inlineStr">
        <is>
          <t>Yes</t>
        </is>
      </c>
      <c r="Q155" s="3" t="inlineStr">
        <is>
          <t>Down for It All Hoodie BLK S</t>
        </is>
      </c>
      <c r="R155" s="3" t="inlineStr">
        <is>
          <t>Black, Indochine Blue</t>
        </is>
      </c>
      <c r="S155" s="3" t="inlineStr">
        <is>
          <t>Athletic Jackets, Puffer Jackets</t>
        </is>
      </c>
      <c r="T155" s="3" t="inlineStr">
        <is>
          <t>Men</t>
        </is>
      </c>
    </row>
    <row r="156" ht="80" customHeight="1">
      <c r="A156" s="2">
        <f>IMAGE("https://images.lululemon.com/is/image/lululemon/LU9CGNS_0001_1?wid=320&amp;op_usm=0.8",1)</f>
        <v/>
      </c>
      <c r="B156" s="2" t="inlineStr">
        <is>
          <t>Fast and Free Fleece Running Beanie</t>
        </is>
      </c>
      <c r="C156" s="2" t="inlineStr">
        <is>
          <t>154832028</t>
        </is>
      </c>
      <c r="D156" s="2" t="inlineStr">
        <is>
          <t>$48.00</t>
        </is>
      </c>
      <c r="E156" s="2" t="inlineStr">
        <is>
          <t>$24.00</t>
        </is>
      </c>
      <c r="F156" s="2">
        <f>IMAGE("https://images.lululemon.com/is/image/lululemon/0001",1)</f>
        <v/>
      </c>
      <c r="G156" s="2" t="n"/>
      <c r="H156" s="2" t="n"/>
      <c r="I156" s="2" t="n"/>
      <c r="J156" s="2" t="n"/>
      <c r="K156" s="2" t="n"/>
      <c r="L156" s="2" t="inlineStr">
        <is>
          <t>S/M, L/XL</t>
        </is>
      </c>
      <c r="M156" s="2" t="n">
        <v>303</v>
      </c>
      <c r="N156" s="2" t="inlineStr">
        <is>
          <t>Gone in a flash. This warm, double-layered beanie has reflective details to help keep you on the radar during cold-weather runs.</t>
        </is>
      </c>
      <c r="O156" s="2" t="inlineStr">
        <is>
          <t>Fast-and-Free-Fleece-Run-Beanie</t>
        </is>
      </c>
      <c r="P156" s="2" t="inlineStr">
        <is>
          <t>Yes</t>
        </is>
      </c>
      <c r="Q156" s="2" t="inlineStr">
        <is>
          <t>Fast and Free Fleece Run Beanie BLK S/M</t>
        </is>
      </c>
      <c r="R156" s="2" t="inlineStr">
        <is>
          <t>Black</t>
        </is>
      </c>
      <c r="S156" s="2" t="inlineStr">
        <is>
          <t>Beanies</t>
        </is>
      </c>
      <c r="T156" s="2" t="inlineStr">
        <is>
          <t>Men</t>
        </is>
      </c>
    </row>
    <row r="157" ht="80" customHeight="1">
      <c r="A157" s="3">
        <f>IMAGE("https://images.lululemon.com/is/image/lululemon/LM3EXOS_063781_1?wid=320&amp;op_usm=0.8",1)</f>
        <v/>
      </c>
      <c r="B157" s="3" t="inlineStr">
        <is>
          <t>Soft Jersey Pullover Hoodie</t>
        </is>
      </c>
      <c r="C157" s="3" t="inlineStr">
        <is>
          <t>151500199</t>
        </is>
      </c>
      <c r="D157" s="3" t="inlineStr">
        <is>
          <t>$98.00</t>
        </is>
      </c>
      <c r="E157" s="3" t="inlineStr">
        <is>
          <t>$49.00</t>
        </is>
      </c>
      <c r="F157" s="3">
        <f>IMAGE("https://images.lululemon.com/is/image/lululemon/63781",1)</f>
        <v/>
      </c>
      <c r="G157" s="3" t="n"/>
      <c r="H157" s="3" t="n"/>
      <c r="I157" s="3" t="n"/>
      <c r="J157" s="3" t="n"/>
      <c r="K157" s="3" t="n"/>
      <c r="L157" s="3" t="inlineStr">
        <is>
          <t>S, M, L, XL, XXL</t>
        </is>
      </c>
      <c r="M157" s="3" t="n">
        <v>95</v>
      </c>
      <c r="N157" s="3" t="inlineStr">
        <is>
          <t>Rest and reset. This lightweight jersey hoodie has a softly brushed interior that makes downtime irresistible.</t>
        </is>
      </c>
      <c r="O157" s="3" t="inlineStr">
        <is>
          <t>Soft-Jersey-Pullover-Hoodie</t>
        </is>
      </c>
      <c r="P157" s="3" t="inlineStr">
        <is>
          <t>Yes</t>
        </is>
      </c>
      <c r="Q157" s="3" t="inlineStr">
        <is>
          <t>Soft Jersey Pullover Hoodie HVPR/HSVD S</t>
        </is>
      </c>
      <c r="R157" s="3" t="inlineStr">
        <is>
          <t>Heathered Vapor/Heathered Silver Drop</t>
        </is>
      </c>
      <c r="S157" s="3" t="inlineStr">
        <is>
          <t>Hoodies</t>
        </is>
      </c>
      <c r="T157" s="3" t="inlineStr">
        <is>
          <t>Men</t>
        </is>
      </c>
    </row>
    <row r="158" ht="80" customHeight="1">
      <c r="A158" s="2">
        <f>IMAGE("https://images.lululemon.com/is/image/lululemon/LU9BSDS_073013_1?wid=320&amp;op_usm=0.8",1)</f>
        <v/>
      </c>
      <c r="B158" s="2" t="inlineStr">
        <is>
          <t>Daily Multi-Pocket Tote Bag 20L</t>
        </is>
      </c>
      <c r="C158" s="2" t="inlineStr">
        <is>
          <t>158020348</t>
        </is>
      </c>
      <c r="D158" s="2" t="inlineStr">
        <is>
          <t>$68.00</t>
        </is>
      </c>
      <c r="E158" s="2" t="inlineStr">
        <is>
          <t>$34.00</t>
        </is>
      </c>
      <c r="F158" s="2">
        <f>IMAGE("https://images.lululemon.com/is/image/lululemon/73013",1)</f>
        <v/>
      </c>
      <c r="G158" s="2">
        <f>IMAGE("https://images.lululemon.com/is/image/lululemon/73852",1)</f>
        <v/>
      </c>
      <c r="H158" s="2">
        <f>IMAGE("https://images.lululemon.com/is/image/lululemon/70401",1)</f>
        <v/>
      </c>
      <c r="I158" s="2" t="n"/>
      <c r="J158" s="2" t="n"/>
      <c r="K158" s="2" t="n"/>
      <c r="L158" s="2" t="inlineStr">
        <is>
          <t>O/S</t>
        </is>
      </c>
      <c r="M158" s="2" t="n">
        <v>1114</v>
      </c>
      <c r="N158" s="2" t="inlineStr">
        <is>
          <t>From farmers-market scores to picnic essentials, this roomy tote handles it all. Bonus: it stands up on its own to make finding your things a breeze.</t>
        </is>
      </c>
      <c r="O158" s="2" t="inlineStr">
        <is>
          <t>Daily-Multi-Pocket-Tote-Bag-20L</t>
        </is>
      </c>
      <c r="P158" s="2" t="inlineStr">
        <is>
          <t>Yes</t>
        </is>
      </c>
      <c r="Q158" s="2" t="inlineStr">
        <is>
          <t>Daily Multi-Pocket Tote TROS/REDC ONE SIZE</t>
        </is>
      </c>
      <c r="R158" s="2" t="inlineStr">
        <is>
          <t>Tea Rose/Red Clay, Black Plum/Jewelled Magenta, Lavender Frost/Galactic Cobalt</t>
        </is>
      </c>
      <c r="S158" s="2" t="inlineStr">
        <is>
          <t>Totes</t>
        </is>
      </c>
      <c r="T158" s="2" t="inlineStr">
        <is>
          <t>Men</t>
        </is>
      </c>
    </row>
    <row r="159" ht="80" customHeight="1">
      <c r="A159" s="3">
        <f>IMAGE("https://images.lululemon.com/is/image/lululemon/LM9A09S_0001_1?wid=320&amp;op_usm=0.8",1)</f>
        <v/>
      </c>
      <c r="B159" s="3" t="inlineStr">
        <is>
          <t>License to Train Training Gloves</t>
        </is>
      </c>
      <c r="C159" s="3" t="inlineStr">
        <is>
          <t>115650043</t>
        </is>
      </c>
      <c r="D159" s="3" t="inlineStr">
        <is>
          <t>$44.00</t>
        </is>
      </c>
      <c r="E159" s="3" t="inlineStr">
        <is>
          <t>$22.00</t>
        </is>
      </c>
      <c r="F159" s="3">
        <f>IMAGE("https://images.lululemon.com/is/image/lululemon/0001",1)</f>
        <v/>
      </c>
      <c r="G159" s="3" t="n"/>
      <c r="H159" s="3" t="n"/>
      <c r="I159" s="3" t="n"/>
      <c r="J159" s="3" t="n"/>
      <c r="K159" s="3" t="n"/>
      <c r="L159" s="3" t="inlineStr">
        <is>
          <t>S/M, L/XL</t>
        </is>
      </c>
      <c r="M159" s="3" t="n">
        <v>34</v>
      </c>
      <c r="N159" s="3" t="inlineStr">
        <is>
          <t>From deadlifts to pull-ups, these ventilated gloves help protect your hands while you train.</t>
        </is>
      </c>
      <c r="O159" s="3" t="inlineStr">
        <is>
          <t>License-to-Train-Training-Glove</t>
        </is>
      </c>
      <c r="P159" s="3" t="inlineStr">
        <is>
          <t>Yes</t>
        </is>
      </c>
      <c r="Q159" s="3" t="inlineStr">
        <is>
          <t>License to Train Gloves BLK S/M</t>
        </is>
      </c>
      <c r="R159" s="3" t="inlineStr">
        <is>
          <t>Black</t>
        </is>
      </c>
      <c r="S159" s="3" t="inlineStr"/>
      <c r="T159" s="3" t="inlineStr">
        <is>
          <t>Men</t>
        </is>
      </c>
    </row>
    <row r="160" ht="80" customHeight="1">
      <c r="A160" s="2">
        <f>IMAGE("https://images.lululemon.com/is/image/lululemon/LU9CVWS_073767_1?wid=320&amp;op_usm=0.8",1)</f>
        <v/>
      </c>
      <c r="B160" s="2" t="inlineStr">
        <is>
          <t>Insulated Tumbler 40oz *Shine</t>
        </is>
      </c>
      <c r="C160" s="2" t="inlineStr">
        <is>
          <t>157718224</t>
        </is>
      </c>
      <c r="D160" s="2" t="inlineStr">
        <is>
          <t>$58.00</t>
        </is>
      </c>
      <c r="E160" s="2" t="inlineStr">
        <is>
          <t>$29.00</t>
        </is>
      </c>
      <c r="F160" s="2">
        <f>IMAGE("https://images.lululemon.com/is/image/lululemon/73767",1)</f>
        <v/>
      </c>
      <c r="G160" s="2">
        <f>IMAGE("https://images.lululemon.com/is/image/lululemon/73740",1)</f>
        <v/>
      </c>
      <c r="H160" s="2" t="n"/>
      <c r="I160" s="2" t="n"/>
      <c r="J160" s="2" t="n"/>
      <c r="K160" s="2" t="n"/>
      <c r="L160" s="2" t="inlineStr">
        <is>
          <t>O/S</t>
        </is>
      </c>
      <c r="M160" s="2" t="n">
        <v>487</v>
      </c>
      <c r="N160" s="2" t="inlineStr">
        <is>
          <t>Your new hydration bestie. This easy-carry tumbler gives you options: take icy cold sips from the stainless steel straw or swig from the secure lid flap.</t>
        </is>
      </c>
      <c r="O160" s="2" t="inlineStr">
        <is>
          <t>Insulated-Tumbler-40oz-Shine</t>
        </is>
      </c>
      <c r="P160" s="2" t="inlineStr">
        <is>
          <t>Yes</t>
        </is>
      </c>
      <c r="Q160" s="2" t="inlineStr">
        <is>
          <t>Insulated Tumbler 40oz DRGL/SLVR ONE SIZE</t>
        </is>
      </c>
      <c r="R160" s="2" t="inlineStr">
        <is>
          <t>Dark Rose Gold/Silver, Gunmetal/Silver/Black</t>
        </is>
      </c>
      <c r="S160" s="2" t="inlineStr">
        <is>
          <t>Tumblers and Travel Mugs</t>
        </is>
      </c>
      <c r="T160" s="2" t="inlineStr">
        <is>
          <t>Men</t>
        </is>
      </c>
    </row>
    <row r="161" ht="80" customHeight="1">
      <c r="A161" s="3">
        <f>IMAGE("https://images.lululemon.com/is/image/lululemon/LM7BJ0S_0001_1?wid=320&amp;op_usm=0.8",1)</f>
        <v/>
      </c>
      <c r="B161" s="3" t="inlineStr">
        <is>
          <t>Zeroed In Linerless Short 7"</t>
        </is>
      </c>
      <c r="C161" s="3" t="inlineStr">
        <is>
          <t>151651730</t>
        </is>
      </c>
      <c r="D161" s="3" t="inlineStr">
        <is>
          <t>$68.00</t>
        </is>
      </c>
      <c r="E161" s="3" t="inlineStr">
        <is>
          <t>$34.00</t>
        </is>
      </c>
      <c r="F161" s="3">
        <f>IMAGE("https://images.lululemon.com/is/image/lululemon/0001",1)</f>
        <v/>
      </c>
      <c r="G161" s="3">
        <f>IMAGE("https://images.lululemon.com/is/image/lululemon/69709",1)</f>
        <v/>
      </c>
      <c r="H161" s="3">
        <f>IMAGE("https://images.lululemon.com/is/image/lululemon/70108",1)</f>
        <v/>
      </c>
      <c r="I161" s="3">
        <f>IMAGE("https://images.lululemon.com/is/image/lululemon/31382",1)</f>
        <v/>
      </c>
      <c r="J161" s="3" t="n"/>
      <c r="K161" s="3" t="n"/>
      <c r="L161" s="3" t="inlineStr">
        <is>
          <t>S, M, L, XL, XXL</t>
        </is>
      </c>
      <c r="M161" s="3" t="n">
        <v>2360</v>
      </c>
      <c r="N161" s="3" t="inlineStr">
        <is>
          <t>Work out or hang out. These versatile shorts are designed to keep up with every way you like to move.</t>
        </is>
      </c>
      <c r="O161" s="3" t="inlineStr">
        <is>
          <t>Zeroed-In-Linerless-Short-7</t>
        </is>
      </c>
      <c r="P161" s="3" t="inlineStr">
        <is>
          <t>Yes</t>
        </is>
      </c>
      <c r="Q161" s="3" t="inlineStr">
        <is>
          <t>Zeroed In Short 7" *LL BLK S</t>
        </is>
      </c>
      <c r="R161" s="3" t="inlineStr">
        <is>
          <t>Black, Carbon Crunch Vapor Multi, Warm Ash Grey, True Navy</t>
        </is>
      </c>
      <c r="S161" s="3" t="inlineStr">
        <is>
          <t>Athletic Shorts</t>
        </is>
      </c>
      <c r="T161" s="3" t="inlineStr">
        <is>
          <t>Men</t>
        </is>
      </c>
    </row>
    <row r="162" ht="80" customHeight="1">
      <c r="A162" s="2">
        <f>IMAGE("https://images.lululemon.com/is/image/lululemon/LU9CMUS_027401_1?wid=320&amp;op_usm=0.8",1)</f>
        <v/>
      </c>
      <c r="B162" s="2" t="inlineStr">
        <is>
          <t>Back to Life Sport Bottle 24oz Straw Lid *Print</t>
        </is>
      </c>
      <c r="C162" s="2" t="inlineStr">
        <is>
          <t>157768469</t>
        </is>
      </c>
      <c r="D162" s="2" t="inlineStr">
        <is>
          <t>$48.00</t>
        </is>
      </c>
      <c r="E162" s="2" t="inlineStr">
        <is>
          <t>$24.00</t>
        </is>
      </c>
      <c r="F162" s="2">
        <f>IMAGE("https://images.lululemon.com/is/image/lululemon/27401",1)</f>
        <v/>
      </c>
      <c r="G162" s="2" t="n"/>
      <c r="H162" s="2" t="n"/>
      <c r="I162" s="2" t="n"/>
      <c r="J162" s="2" t="n"/>
      <c r="K162" s="2" t="n"/>
      <c r="L162" s="2" t="inlineStr">
        <is>
          <t>O/S</t>
        </is>
      </c>
      <c r="M162" s="2" t="n">
        <v>174</v>
      </c>
      <c r="N162" s="2" t="inlineStr">
        <is>
          <t>Sport mode: activated. This insulated water bottle has a built-in straw lid and a slip-free texture to make one-handed drinking a breeze.</t>
        </is>
      </c>
      <c r="O162" s="2" t="inlineStr">
        <is>
          <t>Back-to-Life-Sport-Bottle-24oz-Straw-Lid-Print</t>
        </is>
      </c>
      <c r="P162" s="2" t="inlineStr">
        <is>
          <t>Yes</t>
        </is>
      </c>
      <c r="Q162" s="2" t="inlineStr">
        <is>
          <t>Back to Life Sport Bottle 24oz*Straw Lid PLCN ONE SIZE</t>
        </is>
      </c>
      <c r="R162" s="2" t="inlineStr">
        <is>
          <t>Pelican</t>
        </is>
      </c>
      <c r="S162" s="2" t="inlineStr"/>
      <c r="T162" s="2" t="inlineStr">
        <is>
          <t>Men</t>
        </is>
      </c>
    </row>
    <row r="163" ht="80" customHeight="1">
      <c r="A163" s="3">
        <f>IMAGE("https://images.lululemon.com/is/image/lululemon/LU9CACS_0001_1?wid=320&amp;op_usm=0.8",1)</f>
        <v/>
      </c>
      <c r="B163" s="3" t="inlineStr">
        <is>
          <t>Slouchy Sling Bag 6L</t>
        </is>
      </c>
      <c r="C163" s="3" t="inlineStr">
        <is>
          <t>153840523</t>
        </is>
      </c>
      <c r="D163" s="3" t="inlineStr">
        <is>
          <t>$68.00</t>
        </is>
      </c>
      <c r="E163" s="3" t="inlineStr">
        <is>
          <t>$34.00</t>
        </is>
      </c>
      <c r="F163" s="3">
        <f>IMAGE("https://images.lululemon.com/is/image/lululemon/0001",1)</f>
        <v/>
      </c>
      <c r="G163" s="3">
        <f>IMAGE("https://images.lululemon.com/is/image/lululemon/42797",1)</f>
        <v/>
      </c>
      <c r="H163" s="3" t="n"/>
      <c r="I163" s="3" t="n"/>
      <c r="J163" s="3" t="n"/>
      <c r="K163" s="3" t="n"/>
      <c r="L163" s="3" t="inlineStr">
        <is>
          <t>O/S</t>
        </is>
      </c>
      <c r="M163" s="3" t="n">
        <v>147</v>
      </c>
      <c r="N163" s="3" t="inlineStr">
        <is>
          <t>No structure, no problem. With a curved silhouette and a surprising amount of space, this slouchy sling tucks close to your frame for comfort and security.</t>
        </is>
      </c>
      <c r="O163" s="3" t="inlineStr">
        <is>
          <t>Slouchy-Sling-Bag-6L</t>
        </is>
      </c>
      <c r="P163" s="3" t="inlineStr">
        <is>
          <t>Yes</t>
        </is>
      </c>
      <c r="Q163" s="3" t="inlineStr">
        <is>
          <t>Slouchy Sling Bag BLK ONE SIZE</t>
        </is>
      </c>
      <c r="R163" s="3" t="inlineStr">
        <is>
          <t>Black, Light Ivory/Gold</t>
        </is>
      </c>
      <c r="S163" s="3" t="inlineStr">
        <is>
          <t>Crossbody Bags, Shoulder Bags</t>
        </is>
      </c>
      <c r="T163" s="3" t="inlineStr">
        <is>
          <t>Men</t>
        </is>
      </c>
    </row>
    <row r="164" ht="80" customHeight="1">
      <c r="A164" s="2">
        <f>IMAGE("https://images.lululemon.com/is/image/lululemon/LU9CPTS_0001_1?wid=320&amp;op_usm=0.8",1)</f>
        <v/>
      </c>
      <c r="B164" s="2" t="inlineStr">
        <is>
          <t>Unisex Power Stride Crew Socks</t>
        </is>
      </c>
      <c r="C164" s="2" t="inlineStr">
        <is>
          <t>156751324</t>
        </is>
      </c>
      <c r="D164" s="2" t="inlineStr">
        <is>
          <t>$18.00</t>
        </is>
      </c>
      <c r="E164" s="2" t="inlineStr">
        <is>
          <t>$9.00</t>
        </is>
      </c>
      <c r="F164" s="2">
        <f>IMAGE("https://images.lululemon.com/is/image/lululemon/0001",1)</f>
        <v/>
      </c>
      <c r="G164" s="2" t="n"/>
      <c r="H164" s="2" t="n"/>
      <c r="I164" s="2" t="n"/>
      <c r="J164" s="2" t="n"/>
      <c r="K164" s="2" t="n"/>
      <c r="L164" s="2" t="inlineStr">
        <is>
          <t>S, M, L, XL</t>
        </is>
      </c>
      <c r="M164" s="2" t="n">
        <v>265</v>
      </c>
      <c r="N164" s="2" t="inlineStr">
        <is>
          <t>Set the groundwork for a strong workout. We updated our versatile performance socks with intentional cushioning and enhanced breathability so you can move more comfortably.</t>
        </is>
      </c>
      <c r="O164" s="2" t="inlineStr">
        <is>
          <t>Unisex-Power-Stride-Crew-Socks</t>
        </is>
      </c>
      <c r="P164" s="2" t="inlineStr">
        <is>
          <t>Yes</t>
        </is>
      </c>
      <c r="Q164" s="2" t="inlineStr">
        <is>
          <t>Power Stride Socks BLK S</t>
        </is>
      </c>
      <c r="R164" s="2" t="inlineStr">
        <is>
          <t>Black</t>
        </is>
      </c>
      <c r="S164" s="2" t="inlineStr">
        <is>
          <t>Crew Socks</t>
        </is>
      </c>
      <c r="T164" s="2" t="inlineStr">
        <is>
          <t>Men</t>
        </is>
      </c>
    </row>
    <row r="165" ht="80" customHeight="1">
      <c r="A165" s="3">
        <f>IMAGE("https://images.lululemon.com/is/image/lululemon/LM7BLXS_0002_1?wid=320&amp;op_usm=0.8",1)</f>
        <v/>
      </c>
      <c r="B165" s="3" t="inlineStr">
        <is>
          <t>Striped Mesh Tennis Short 5"</t>
        </is>
      </c>
      <c r="C165" s="3" t="inlineStr">
        <is>
          <t>155702976</t>
        </is>
      </c>
      <c r="D165" s="3" t="inlineStr">
        <is>
          <t>$78.00</t>
        </is>
      </c>
      <c r="E165" s="3" t="inlineStr">
        <is>
          <t>$39.00</t>
        </is>
      </c>
      <c r="F165" s="3">
        <f>IMAGE("https://images.lululemon.com/is/image/lululemon/0002",1)</f>
        <v/>
      </c>
      <c r="G165" s="3" t="n"/>
      <c r="H165" s="3" t="n"/>
      <c r="I165" s="3" t="n"/>
      <c r="J165" s="3" t="n"/>
      <c r="K165" s="3" t="n"/>
      <c r="L165" s="3" t="inlineStr">
        <is>
          <t>S, M, L, XL, XXL</t>
        </is>
      </c>
      <c r="M165" s="3" t="n">
        <v>103</v>
      </c>
      <c r="N165" s="3" t="inlineStr">
        <is>
          <t>Keep your cool on the court. When racket sport season hits, these breathable striped mesh shorts wick away sweat and dry fast so you can focus on the game, not your gear.</t>
        </is>
      </c>
      <c r="O165" s="3" t="inlineStr">
        <is>
          <t>Striped-Mesh-Tennis-Short-5</t>
        </is>
      </c>
      <c r="P165" s="3" t="inlineStr">
        <is>
          <t>Yes</t>
        </is>
      </c>
      <c r="Q165" s="3" t="inlineStr">
        <is>
          <t>Striped Mesh Tennis Short 5" WHT S</t>
        </is>
      </c>
      <c r="R165" s="3" t="inlineStr">
        <is>
          <t>White</t>
        </is>
      </c>
      <c r="S165" s="3" t="inlineStr">
        <is>
          <t>Athletic Shorts</t>
        </is>
      </c>
      <c r="T165" s="3" t="inlineStr">
        <is>
          <t>Men</t>
        </is>
      </c>
    </row>
    <row r="166" ht="80" customHeight="1">
      <c r="A166" s="2">
        <f>IMAGE("https://images.lululemon.com/is/image/lululemon/LM3FMOS_049106_1?wid=320&amp;op_usm=0.8",1)</f>
        <v/>
      </c>
      <c r="B166" s="2" t="inlineStr">
        <is>
          <t>Steady State Pullover Hoodie</t>
        </is>
      </c>
      <c r="C166" s="2" t="inlineStr">
        <is>
          <t>157716462</t>
        </is>
      </c>
      <c r="D166" s="2" t="inlineStr">
        <is>
          <t>$128.00</t>
        </is>
      </c>
      <c r="E166" s="2" t="inlineStr">
        <is>
          <t>$64.00</t>
        </is>
      </c>
      <c r="F166" s="2">
        <f>IMAGE("https://images.lululemon.com/is/image/lululemon/49106",1)</f>
        <v/>
      </c>
      <c r="G166" s="2">
        <f>IMAGE("https://images.lululemon.com/is/image/lululemon/32507",1)</f>
        <v/>
      </c>
      <c r="H166" s="2" t="n"/>
      <c r="I166" s="2" t="n"/>
      <c r="J166" s="2" t="n"/>
      <c r="K166" s="2" t="n"/>
      <c r="L166" s="2" t="inlineStr">
        <is>
          <t>S, L, XL, XXL, M</t>
        </is>
      </c>
      <c r="M166" s="2" t="n">
        <v>389</v>
      </c>
      <c r="N166" s="2" t="inlineStr">
        <is>
          <t>A reimagined classic. This fleece hoodie puts softness first, so you can bring comfort wherever you go.</t>
        </is>
      </c>
      <c r="O166" s="2" t="inlineStr">
        <is>
          <t>Steady-State-Pullover-Hoodie</t>
        </is>
      </c>
      <c r="P166" s="2" t="inlineStr">
        <is>
          <t>Yes</t>
        </is>
      </c>
      <c r="Q166" s="2" t="inlineStr">
        <is>
          <t>Steady State Pullover Hoodie RNFG S</t>
        </is>
      </c>
      <c r="R166" s="2" t="inlineStr">
        <is>
          <t>Rainforest Green, Serene Blue</t>
        </is>
      </c>
      <c r="S166" s="2" t="inlineStr">
        <is>
          <t>Hoodies</t>
        </is>
      </c>
      <c r="T166" s="2" t="inlineStr">
        <is>
          <t>Men</t>
        </is>
      </c>
    </row>
    <row r="167" ht="80" customHeight="1">
      <c r="A167" s="3">
        <f>IMAGE("https://images.lululemon.com/is/image/lululemon/LM3FGXS_048432_1?wid=320&amp;op_usm=0.8",1)</f>
        <v/>
      </c>
      <c r="B167" s="3" t="inlineStr">
        <is>
          <t>Zeroed In Track Jacket</t>
        </is>
      </c>
      <c r="C167" s="3" t="inlineStr">
        <is>
          <t>153950312</t>
        </is>
      </c>
      <c r="D167" s="3" t="inlineStr">
        <is>
          <t>$138.00</t>
        </is>
      </c>
      <c r="E167" s="3" t="inlineStr">
        <is>
          <t>$69.00</t>
        </is>
      </c>
      <c r="F167" s="3">
        <f>IMAGE("https://images.lululemon.com/is/image/lululemon/48432",1)</f>
        <v/>
      </c>
      <c r="G167" s="3">
        <f>IMAGE("https://images.lululemon.com/is/image/lululemon/30210",1)</f>
        <v/>
      </c>
      <c r="H167" s="3" t="n"/>
      <c r="I167" s="3" t="n"/>
      <c r="J167" s="3" t="n"/>
      <c r="K167" s="3" t="n"/>
      <c r="L167" s="3" t="inlineStr">
        <is>
          <t>S, M, L, XL, XXL</t>
        </is>
      </c>
      <c r="M167" s="3" t="n">
        <v>179</v>
      </c>
      <c r="N167" s="3" t="inlineStr">
        <is>
          <t>Work out or hang out. This versatile track jacket is designed to keep up with every way you like to move.</t>
        </is>
      </c>
      <c r="O167" s="3" t="inlineStr">
        <is>
          <t>Zeroed-In-Track-Jacket</t>
        </is>
      </c>
      <c r="P167" s="3" t="inlineStr">
        <is>
          <t>Yes</t>
        </is>
      </c>
      <c r="Q167" s="3" t="inlineStr">
        <is>
          <t>Zeroed In Track Jacket RWLI S</t>
        </is>
      </c>
      <c r="R167" s="3" t="inlineStr">
        <is>
          <t>Raw Linen, Graphite Grey</t>
        </is>
      </c>
      <c r="S167" s="3" t="inlineStr">
        <is>
          <t>Athletic Jackets, Track Jackets</t>
        </is>
      </c>
      <c r="T167" s="3" t="inlineStr">
        <is>
          <t>Men</t>
        </is>
      </c>
    </row>
    <row r="168" ht="80" customHeight="1">
      <c r="A168" s="2">
        <f>IMAGE("https://images.lululemon.com/is/image/lululemon/LM5BBRS_0001_1?wid=320&amp;op_usm=0.8",1)</f>
        <v/>
      </c>
      <c r="B168" s="2" t="inlineStr">
        <is>
          <t>Steady State Classic-Fit Jogger *Regular</t>
        </is>
      </c>
      <c r="C168" s="2" t="inlineStr">
        <is>
          <t>154650673</t>
        </is>
      </c>
      <c r="D168" s="2" t="inlineStr">
        <is>
          <t>$118.00</t>
        </is>
      </c>
      <c r="E168" s="2" t="inlineStr">
        <is>
          <t>$59.00</t>
        </is>
      </c>
      <c r="F168" s="2">
        <f>IMAGE("https://images.lululemon.com/is/image/lululemon/0001",1)</f>
        <v/>
      </c>
      <c r="G168" s="2" t="n"/>
      <c r="H168" s="2" t="n"/>
      <c r="I168" s="2" t="n"/>
      <c r="J168" s="2" t="n"/>
      <c r="K168" s="2" t="n"/>
      <c r="L168" s="2" t="inlineStr">
        <is>
          <t>S, M, L, XL, XXL</t>
        </is>
      </c>
      <c r="M168" s="2" t="n">
        <v>519</v>
      </c>
      <c r="N168" s="2" t="inlineStr">
        <is>
          <t>A reimagined classic. These fleece joggers put softness first, so you can bring comfort wherever you go.</t>
        </is>
      </c>
      <c r="O168" s="2" t="inlineStr">
        <is>
          <t>Steady-State-Classic-Fit-Jogger</t>
        </is>
      </c>
      <c r="P168" s="2" t="inlineStr">
        <is>
          <t>Yes</t>
        </is>
      </c>
      <c r="Q168" s="2" t="inlineStr">
        <is>
          <t>Steady State Classic-Fit Jogger *Regular BLK S</t>
        </is>
      </c>
      <c r="R168" s="2" t="inlineStr">
        <is>
          <t>Black</t>
        </is>
      </c>
      <c r="S168" s="2" t="inlineStr"/>
      <c r="T168" s="2" t="inlineStr">
        <is>
          <t>Men</t>
        </is>
      </c>
    </row>
    <row r="169" ht="80" customHeight="1">
      <c r="A169" s="3">
        <f>IMAGE("https://images.lululemon.com/is/image/lululemon/LM3FTZS_043801_1?wid=320&amp;op_usm=0.8",1)</f>
        <v/>
      </c>
      <c r="B169" s="3" t="inlineStr">
        <is>
          <t>Reflective Knit Running Half Zip</t>
        </is>
      </c>
      <c r="C169" s="3" t="inlineStr">
        <is>
          <t>157676703</t>
        </is>
      </c>
      <c r="D169" s="3" t="inlineStr">
        <is>
          <t>$148.00</t>
        </is>
      </c>
      <c r="E169" s="3" t="inlineStr">
        <is>
          <t>$74.00</t>
        </is>
      </c>
      <c r="F169" s="3">
        <f>IMAGE("https://images.lululemon.com/is/image/lululemon/43801",1)</f>
        <v/>
      </c>
      <c r="G169" s="3" t="n"/>
      <c r="H169" s="3" t="n"/>
      <c r="I169" s="3" t="n"/>
      <c r="J169" s="3" t="n"/>
      <c r="K169" s="3" t="n"/>
      <c r="L169" s="3" t="inlineStr">
        <is>
          <t>S, M, L, XL, XXL</t>
        </is>
      </c>
      <c r="M169" s="3" t="n">
        <v>290</v>
      </c>
      <c r="N169" s="3" t="inlineStr">
        <is>
          <t>Highlight your stride. Made of four-way stretch, quick-drying fabric with reflective yarns woven throughout, this top helps keep you on the radar.</t>
        </is>
      </c>
      <c r="O169" s="3" t="inlineStr">
        <is>
          <t>Reflective-Knit-Running-Half-Zip</t>
        </is>
      </c>
      <c r="P169" s="3" t="inlineStr">
        <is>
          <t>Yes</t>
        </is>
      </c>
      <c r="Q169" s="3" t="inlineStr">
        <is>
          <t>Reflective Knit Running Half Zip WHT/SILD S</t>
        </is>
      </c>
      <c r="R169" s="3" t="inlineStr">
        <is>
          <t>White/Silver Drop</t>
        </is>
      </c>
      <c r="S169" s="3" t="inlineStr">
        <is>
          <t>Half Zip Sweatshirts, Quarter Zip Sweatshirts</t>
        </is>
      </c>
      <c r="T169" s="3" t="inlineStr">
        <is>
          <t>Men</t>
        </is>
      </c>
    </row>
    <row r="170" ht="80" customHeight="1">
      <c r="A170" s="2">
        <f>IMAGE("https://images.lululemon.com/is/image/lululemon/LM5ARGS_0001_1?wid=320&amp;op_usm=0.8",1)</f>
        <v/>
      </c>
      <c r="B170" s="2" t="inlineStr">
        <is>
          <t>Pace Breaker Pant *Regular</t>
        </is>
      </c>
      <c r="C170" s="2" t="inlineStr">
        <is>
          <t>153105584</t>
        </is>
      </c>
      <c r="D170" s="2" t="inlineStr">
        <is>
          <t>$128.00</t>
        </is>
      </c>
      <c r="E170" s="2" t="inlineStr">
        <is>
          <t>$64.00</t>
        </is>
      </c>
      <c r="F170" s="2">
        <f>IMAGE("https://images.lululemon.com/is/image/lululemon/0001",1)</f>
        <v/>
      </c>
      <c r="G170" s="2">
        <f>IMAGE("https://images.lululemon.com/is/image/lululemon/41179",1)</f>
        <v/>
      </c>
      <c r="H170" s="2" t="n"/>
      <c r="I170" s="2" t="n"/>
      <c r="J170" s="2" t="n"/>
      <c r="K170" s="2" t="n"/>
      <c r="L170" s="2" t="inlineStr">
        <is>
          <t>S, M, L, XL, XXL</t>
        </is>
      </c>
      <c r="M170" s="2" t="n">
        <v>377</v>
      </c>
      <c r="N170" s="2" t="inlineStr">
        <is>
          <t>Give it your all. These versatile pants are designed for maximum comfort and zero distractions as you stretch, sprint, and lift.</t>
        </is>
      </c>
      <c r="O170" s="2" t="inlineStr">
        <is>
          <t>Pace-Breaker-Pant</t>
        </is>
      </c>
      <c r="P170" s="2" t="inlineStr">
        <is>
          <t>Yes</t>
        </is>
      </c>
      <c r="Q170" s="2" t="inlineStr">
        <is>
          <t>Pace Breaker Pant *Regular BLK S</t>
        </is>
      </c>
      <c r="R170" s="2" t="inlineStr">
        <is>
          <t>Black, Sequoia</t>
        </is>
      </c>
      <c r="S170" s="2" t="inlineStr">
        <is>
          <t>Athletic Pants</t>
        </is>
      </c>
      <c r="T170" s="2" t="inlineStr">
        <is>
          <t>Men</t>
        </is>
      </c>
    </row>
    <row r="171" ht="80" customHeight="1">
      <c r="A171" s="3">
        <f>IMAGE("https://images.lululemon.com/is/image/lululemon/LU9AYKS_0001_1?wid=320&amp;op_usm=0.8",1)</f>
        <v/>
      </c>
      <c r="B171" s="3" t="inlineStr">
        <is>
          <t>Fast and Free Running Armband</t>
        </is>
      </c>
      <c r="C171" s="3" t="inlineStr">
        <is>
          <t>144355704</t>
        </is>
      </c>
      <c r="D171" s="3" t="inlineStr">
        <is>
          <t>$38.00</t>
        </is>
      </c>
      <c r="E171" s="3" t="inlineStr">
        <is>
          <t>$19.00</t>
        </is>
      </c>
      <c r="F171" s="3">
        <f>IMAGE("https://images.lululemon.com/is/image/lululemon/0001",1)</f>
        <v/>
      </c>
      <c r="G171" s="3" t="n"/>
      <c r="H171" s="3" t="n"/>
      <c r="I171" s="3" t="n"/>
      <c r="J171" s="3" t="n"/>
      <c r="K171" s="3" t="n"/>
      <c r="L171" s="3" t="inlineStr">
        <is>
          <t>S/M, L/XL</t>
        </is>
      </c>
      <c r="M171" s="3" t="n">
        <v>121</v>
      </c>
      <c r="N171" s="3" t="inlineStr">
        <is>
          <t>Go the distance while staying connected. This low-profile armband is lightweight and breathable, making it perfect for long runs.</t>
        </is>
      </c>
      <c r="O171" s="3" t="inlineStr">
        <is>
          <t>Fast-and-Free-Run-Arm-Band</t>
        </is>
      </c>
      <c r="P171" s="3" t="inlineStr">
        <is>
          <t>Yes</t>
        </is>
      </c>
      <c r="Q171" s="3" t="inlineStr">
        <is>
          <t>Fast and Free Run Armband BLK S/M</t>
        </is>
      </c>
      <c r="R171" s="3" t="inlineStr">
        <is>
          <t>Black</t>
        </is>
      </c>
      <c r="S171" s="3" t="inlineStr"/>
      <c r="T171" s="3" t="inlineStr">
        <is>
          <t>Men</t>
        </is>
      </c>
    </row>
    <row r="172" ht="80" customHeight="1">
      <c r="A172" s="2">
        <f>IMAGE("https://images.lululemon.com/is/image/lululemon/LM3F64S_070561_1?wid=320&amp;op_usm=0.8",1)</f>
        <v/>
      </c>
      <c r="B172" s="2" t="inlineStr">
        <is>
          <t>Metal Vent Tech Half Zip</t>
        </is>
      </c>
      <c r="C172" s="2" t="inlineStr">
        <is>
          <t>155865165</t>
        </is>
      </c>
      <c r="D172" s="2" t="inlineStr">
        <is>
          <t>$118.00</t>
        </is>
      </c>
      <c r="E172" s="2" t="inlineStr">
        <is>
          <t>$59.00</t>
        </is>
      </c>
      <c r="F172" s="2">
        <f>IMAGE("https://images.lululemon.com/is/image/lululemon/70561",1)</f>
        <v/>
      </c>
      <c r="G172" s="2">
        <f>IMAGE("https://images.lululemon.com/is/image/lululemon/70822",1)</f>
        <v/>
      </c>
      <c r="H172" s="2">
        <f>IMAGE("https://images.lululemon.com/is/image/lululemon/70110",1)</f>
        <v/>
      </c>
      <c r="I172" s="2">
        <f>IMAGE("https://images.lululemon.com/is/image/lululemon/71159",1)</f>
        <v/>
      </c>
      <c r="J172" s="2">
        <f>IMAGE("https://images.lululemon.com/is/image/lululemon/4780",1)</f>
        <v/>
      </c>
      <c r="K172" s="2">
        <f>IMAGE("https://images.lululemon.com/is/image/lululemon/72654",1)</f>
        <v/>
      </c>
      <c r="L172" s="2" t="inlineStr">
        <is>
          <t>S, M, L, XL, XXL, 3XL</t>
        </is>
      </c>
      <c r="M172" s="2" t="n">
        <v>2479</v>
      </c>
      <c r="N172" s="2" t="inlineStr">
        <is>
          <t>Your potential—unlocked. The Metal Vent Tech collection uses seamless construction to minimize distractions from chafe and sweat so you can stay laser focused.</t>
        </is>
      </c>
      <c r="O172" s="2" t="inlineStr">
        <is>
          <t>Metal-Vent-Tech-Half-Zip-3</t>
        </is>
      </c>
      <c r="P172" s="2" t="inlineStr">
        <is>
          <t>Yes</t>
        </is>
      </c>
      <c r="Q172" s="2" t="inlineStr">
        <is>
          <t>Metal Vent Tech Half Zip VPOR/SOGY S</t>
        </is>
      </c>
      <c r="R172" s="2" t="inlineStr">
        <is>
          <t>Vapor/Solar Grey, Starch Blue/Pool Party, Warm Ash Grey/Warm Ash Grey, Chalk Blue/Blue Twill, Black/Black, Indochine Blue/Indochine Blue</t>
        </is>
      </c>
      <c r="S172" s="2" t="inlineStr">
        <is>
          <t>Half Zip Sweatshirts, Quarter Zip Sweatshirts</t>
        </is>
      </c>
      <c r="T172" s="2" t="inlineStr">
        <is>
          <t>Men</t>
        </is>
      </c>
    </row>
    <row r="173" ht="80" customHeight="1">
      <c r="A173" s="3">
        <f>IMAGE("https://images.lululemon.com/is/image/lululemon/LM7B86S_0001_1?wid=320&amp;op_usm=0.8",1)</f>
        <v/>
      </c>
      <c r="B173" s="3" t="inlineStr">
        <is>
          <t>Pace Breaker Linerless Short 5"</t>
        </is>
      </c>
      <c r="C173" s="3" t="inlineStr">
        <is>
          <t>147150965</t>
        </is>
      </c>
      <c r="D173" s="3" t="inlineStr">
        <is>
          <t>$68.00</t>
        </is>
      </c>
      <c r="E173" s="3" t="inlineStr">
        <is>
          <t>$34.00</t>
        </is>
      </c>
      <c r="F173" s="3">
        <f>IMAGE("https://images.lululemon.com/is/image/lululemon/0001",1)</f>
        <v/>
      </c>
      <c r="G173" s="3">
        <f>IMAGE("https://images.lululemon.com/is/image/lululemon/73339",1)</f>
        <v/>
      </c>
      <c r="H173" s="3" t="n"/>
      <c r="I173" s="3" t="n"/>
      <c r="J173" s="3" t="n"/>
      <c r="K173" s="3" t="n"/>
      <c r="L173" s="3" t="inlineStr">
        <is>
          <t>S, M, L, XL, XXL</t>
        </is>
      </c>
      <c r="M173" s="3" t="n">
        <v>1796</v>
      </c>
      <c r="N173" s="3" t="inlineStr">
        <is>
          <t>Athlete backed, performance driven. This elevated version of our most versatile short was designed for maximum comfort and zero distractions.</t>
        </is>
      </c>
      <c r="O173" s="3" t="inlineStr">
        <is>
          <t>Pace-Breaker-Linerless-Short-5-Update</t>
        </is>
      </c>
      <c r="P173" s="3" t="inlineStr">
        <is>
          <t>Yes</t>
        </is>
      </c>
      <c r="Q173" s="3" t="inlineStr">
        <is>
          <t>Pace Breaker Short 5" *LL BLK S</t>
        </is>
      </c>
      <c r="R173" s="3" t="inlineStr">
        <is>
          <t>Black, Speckled Heather Plum Multi</t>
        </is>
      </c>
      <c r="S173" s="3" t="inlineStr">
        <is>
          <t>Athletic Shorts, Track Shorts</t>
        </is>
      </c>
      <c r="T173" s="3" t="inlineStr">
        <is>
          <t>Men</t>
        </is>
      </c>
    </row>
    <row r="174" ht="80" customHeight="1">
      <c r="A174" s="2">
        <f>IMAGE("https://images.lululemon.com/is/image/lululemon/LM3FKLS_028022_1?wid=320&amp;op_usm=0.8",1)</f>
        <v/>
      </c>
      <c r="B174" s="2" t="inlineStr">
        <is>
          <t>EasySet Training Short-Sleeve Shirt</t>
        </is>
      </c>
      <c r="C174" s="2" t="inlineStr">
        <is>
          <t>158033615</t>
        </is>
      </c>
      <c r="D174" s="2" t="inlineStr">
        <is>
          <t>$78.00</t>
        </is>
      </c>
      <c r="E174" s="2" t="inlineStr">
        <is>
          <t>$39.00</t>
        </is>
      </c>
      <c r="F174" s="2">
        <f>IMAGE("https://images.lululemon.com/is/image/lululemon/28022",1)</f>
        <v/>
      </c>
      <c r="G174" s="2" t="n"/>
      <c r="H174" s="2" t="n"/>
      <c r="I174" s="2" t="n"/>
      <c r="J174" s="2" t="n"/>
      <c r="K174" s="2" t="n"/>
      <c r="L174" s="2" t="inlineStr">
        <is>
          <t>M, L, XL, XXL</t>
        </is>
      </c>
      <c r="M174" s="2" t="n">
        <v>40</v>
      </c>
      <c r="N174" s="2" t="inlineStr">
        <is>
          <t>Go boldly. This breezy short sleeve is made of a lightweight, naturally breathable fabric to keep air flowing as you power through intense workouts.</t>
        </is>
      </c>
      <c r="O174" s="2" t="inlineStr">
        <is>
          <t>EasySet-Training-Short-Sleeve-Shirt</t>
        </is>
      </c>
      <c r="P174" s="2" t="inlineStr">
        <is>
          <t>Yes</t>
        </is>
      </c>
      <c r="Q174" s="2" t="inlineStr">
        <is>
          <t>EasySet Train Short Sleeve INCB M</t>
        </is>
      </c>
      <c r="R174" s="2" t="inlineStr">
        <is>
          <t>Indochine Blue</t>
        </is>
      </c>
      <c r="S174" s="2" t="inlineStr"/>
      <c r="T174" s="2" t="inlineStr">
        <is>
          <t>Men</t>
        </is>
      </c>
    </row>
    <row r="175" ht="80" customHeight="1">
      <c r="A175" s="3">
        <f>IMAGE("https://images.lululemon.com/is/image/lululemon/LM5AJLS_032476_1?wid=320&amp;op_usm=0.8",1)</f>
        <v/>
      </c>
      <c r="B175" s="3" t="inlineStr">
        <is>
          <t>ABC Jogger *Regular</t>
        </is>
      </c>
      <c r="C175" s="3" t="inlineStr">
        <is>
          <t>156576372</t>
        </is>
      </c>
      <c r="D175" s="3" t="inlineStr">
        <is>
          <t>$128.00</t>
        </is>
      </c>
      <c r="E175" s="3" t="inlineStr">
        <is>
          <t>$64.00</t>
        </is>
      </c>
      <c r="F175" s="3">
        <f>IMAGE("https://images.lululemon.com/is/image/lululemon/32476",1)</f>
        <v/>
      </c>
      <c r="G175" s="3">
        <f>IMAGE("https://images.lululemon.com/is/image/lululemon/0001",1)</f>
        <v/>
      </c>
      <c r="H175" s="3">
        <f>IMAGE("https://images.lululemon.com/is/image/lululemon/31382",1)</f>
        <v/>
      </c>
      <c r="I175" s="3">
        <f>IMAGE("https://images.lululemon.com/is/image/lululemon/38426",1)</f>
        <v/>
      </c>
      <c r="J175" s="3">
        <f>IMAGE("https://images.lululemon.com/is/image/lululemon/70108",1)</f>
        <v/>
      </c>
      <c r="K175" s="3">
        <f>IMAGE("https://images.lululemon.com/is/image/lululemon/45739",1)</f>
        <v/>
      </c>
      <c r="L175" s="3" t="inlineStr">
        <is>
          <t>XS, S, M, L, XL, XXL</t>
        </is>
      </c>
      <c r="M175" s="3" t="n">
        <v>4349</v>
      </c>
      <c r="N175" s="3" t="inlineStr">
        <is>
          <t>These sleek joggers feature our ABC™ technology, making them an obvious choice for recreation or travel.</t>
        </is>
      </c>
      <c r="O175" s="3" t="inlineStr">
        <is>
          <t>Abc-Jogger</t>
        </is>
      </c>
      <c r="P175" s="3" t="inlineStr">
        <is>
          <t>Yes</t>
        </is>
      </c>
      <c r="Q175" s="3" t="inlineStr">
        <is>
          <t>ABC Regular Jogger *Warpstreme™ BLK XS</t>
        </is>
      </c>
      <c r="R175" s="3" t="inlineStr">
        <is>
          <t>Obsidian, Black, True Navy, Solar Grey, Warm Ash Grey, Army Green</t>
        </is>
      </c>
      <c r="S175" s="3" t="inlineStr"/>
      <c r="T175" s="3" t="inlineStr">
        <is>
          <t>Men</t>
        </is>
      </c>
    </row>
    <row r="176" ht="80" customHeight="1">
      <c r="A176" s="2">
        <f>IMAGE("https://images.lululemon.com/is/image/lululemon/LM3FHLS_069063_1?wid=320&amp;op_usm=0.8",1)</f>
        <v/>
      </c>
      <c r="B176" s="2" t="inlineStr">
        <is>
          <t>Metal Vent Tech Polo Shirt</t>
        </is>
      </c>
      <c r="C176" s="2" t="inlineStr">
        <is>
          <t>156496188</t>
        </is>
      </c>
      <c r="D176" s="2" t="inlineStr">
        <is>
          <t>$98.00</t>
        </is>
      </c>
      <c r="E176" s="2" t="inlineStr">
        <is>
          <t>$49.00</t>
        </is>
      </c>
      <c r="F176" s="2">
        <f>IMAGE("https://images.lululemon.com/is/image/lululemon/69063",1)</f>
        <v/>
      </c>
      <c r="G176" s="2">
        <f>IMAGE("https://images.lululemon.com/is/image/lululemon/70561",1)</f>
        <v/>
      </c>
      <c r="H176" s="2" t="n"/>
      <c r="I176" s="2" t="n"/>
      <c r="J176" s="2" t="n"/>
      <c r="K176" s="2" t="n"/>
      <c r="L176" s="2" t="inlineStr">
        <is>
          <t>S, L, XL, XXL, M</t>
        </is>
      </c>
      <c r="M176" s="2" t="n">
        <v>585</v>
      </c>
      <c r="N176" s="2" t="inlineStr">
        <is>
          <t>Classic sportswear, to a tee. Using seamless construction to minimize chafe, this naturally breathable polo fits in at the golf club and the backyard BBQ.</t>
        </is>
      </c>
      <c r="O176" s="2" t="inlineStr">
        <is>
          <t>Metal-Vent-Tech-Polo-Shirt-3</t>
        </is>
      </c>
      <c r="P176" s="2" t="inlineStr">
        <is>
          <t>Yes</t>
        </is>
      </c>
      <c r="Q176" s="2" t="inlineStr">
        <is>
          <t>Metal Vent Tech Polo STRH/TRNV S</t>
        </is>
      </c>
      <c r="R176" s="2" t="inlineStr">
        <is>
          <t>Starch Blue/True Navy, Vapor/Solar Grey</t>
        </is>
      </c>
      <c r="S176" s="2" t="inlineStr"/>
      <c r="T176" s="2" t="inlineStr">
        <is>
          <t>Men</t>
        </is>
      </c>
    </row>
    <row r="177" ht="80" customHeight="1">
      <c r="A177" s="3">
        <f>IMAGE("https://images.lululemon.com/is/image/lululemon/LM5AS5S_0001_1?wid=320&amp;op_usm=0.8",1)</f>
        <v/>
      </c>
      <c r="B177" s="3" t="inlineStr">
        <is>
          <t>Fast and Free Tight 28"</t>
        </is>
      </c>
      <c r="C177" s="3" t="inlineStr">
        <is>
          <t>148306947</t>
        </is>
      </c>
      <c r="D177" s="3" t="inlineStr">
        <is>
          <t>$148.00</t>
        </is>
      </c>
      <c r="E177" s="3" t="inlineStr">
        <is>
          <t>$74.00</t>
        </is>
      </c>
      <c r="F177" s="3">
        <f>IMAGE("https://images.lululemon.com/is/image/lululemon/0001",1)</f>
        <v/>
      </c>
      <c r="G177" s="3" t="n"/>
      <c r="H177" s="3" t="n"/>
      <c r="I177" s="3" t="n"/>
      <c r="J177" s="3" t="n"/>
      <c r="K177" s="3" t="n"/>
      <c r="L177" s="3" t="inlineStr">
        <is>
          <t>S, M, L, XL, XXL</t>
        </is>
      </c>
      <c r="M177" s="3" t="n">
        <v>716</v>
      </c>
      <c r="N177" s="3" t="inlineStr">
        <is>
          <t>100% pure running freedom. The Fast and Free collection, powered by Nulux™ fabric, is about unrestricted movement that lets you go the distance.</t>
        </is>
      </c>
      <c r="O177" s="3" t="inlineStr">
        <is>
          <t>Fast-and-Free-Tight-28</t>
        </is>
      </c>
      <c r="P177" s="3" t="inlineStr">
        <is>
          <t>Yes</t>
        </is>
      </c>
      <c r="Q177" s="3" t="inlineStr">
        <is>
          <t>Fast and Free Tight 28" L *Reflective BLK S</t>
        </is>
      </c>
      <c r="R177" s="3" t="inlineStr">
        <is>
          <t>Black</t>
        </is>
      </c>
      <c r="S177" s="3" t="inlineStr">
        <is>
          <t>Base Layers</t>
        </is>
      </c>
      <c r="T177" s="3" t="inlineStr">
        <is>
          <t>Men</t>
        </is>
      </c>
    </row>
    <row r="178" ht="80" customHeight="1">
      <c r="A178" s="2">
        <f>IMAGE("https://images.lululemon.com/is/image/lululemon/LM3FG2S_0572_1?wid=320&amp;op_usm=0.8",1)</f>
        <v/>
      </c>
      <c r="B178" s="2" t="inlineStr">
        <is>
          <t>Metal Vent Tech Short-Sleeve Shirt</t>
        </is>
      </c>
      <c r="C178" s="2" t="inlineStr">
        <is>
          <t>155275261</t>
        </is>
      </c>
      <c r="D178" s="2" t="inlineStr">
        <is>
          <t>$78.00</t>
        </is>
      </c>
      <c r="E178" s="2" t="inlineStr">
        <is>
          <t>$39.00</t>
        </is>
      </c>
      <c r="F178" s="2">
        <f>IMAGE("https://images.lululemon.com/is/image/lululemon/0572",1)</f>
        <v/>
      </c>
      <c r="G178" s="2">
        <f>IMAGE("https://images.lululemon.com/is/image/lululemon/70561",1)</f>
        <v/>
      </c>
      <c r="H178" s="2">
        <f>IMAGE("https://images.lululemon.com/is/image/lululemon/71154",1)</f>
        <v/>
      </c>
      <c r="I178" s="2">
        <f>IMAGE("https://images.lululemon.com/is/image/lululemon/48532",1)</f>
        <v/>
      </c>
      <c r="J178" s="2">
        <f>IMAGE("https://images.lululemon.com/is/image/lululemon/4780",1)</f>
        <v/>
      </c>
      <c r="K178" s="2">
        <f>IMAGE("https://images.lululemon.com/is/image/lululemon/72659",1)</f>
        <v/>
      </c>
      <c r="L178" s="2" t="inlineStr">
        <is>
          <t>XS, S, M, L, XL, XXL, 3XL</t>
        </is>
      </c>
      <c r="M178" s="2" t="n">
        <v>5173</v>
      </c>
      <c r="N178" s="2" t="inlineStr">
        <is>
          <t>Your potential—unlocked. The Metal Vent Tech collection uses seamless construction to minimize distractions from chafe and sweat so you can stay laser focused.</t>
        </is>
      </c>
      <c r="O178" s="2" t="inlineStr">
        <is>
          <t>Metal-Vent-Tech-Short-Sleeve-Shirt-3</t>
        </is>
      </c>
      <c r="P178" s="2" t="inlineStr">
        <is>
          <t>Yes</t>
        </is>
      </c>
      <c r="Q178" s="2" t="inlineStr">
        <is>
          <t>Metal Vent Tech Short Sleeve BLK/BLK XS</t>
        </is>
      </c>
      <c r="R178" s="2" t="inlineStr">
        <is>
          <t>Slate/White, Vapor/Solar Grey, Bay Leaf/Bay Leaf, Raw Linen/White, Black/Black, Fog Green/Pelican, Jewelled Magenta/Plum, Pelican/Cornflower, Dove Grey/Warm Ash Grey, Grape Mist/Grape Mist</t>
        </is>
      </c>
      <c r="S178" s="2" t="inlineStr"/>
      <c r="T178" s="2" t="inlineStr">
        <is>
          <t>Men</t>
        </is>
      </c>
    </row>
    <row r="179" ht="80" customHeight="1">
      <c r="A179" s="3">
        <f>IMAGE("https://images.lululemon.com/is/image/lululemon/LM3FTDS_0554_1?wid=320&amp;op_usm=0.8",1)</f>
        <v/>
      </c>
      <c r="B179" s="3" t="inlineStr">
        <is>
          <t>Cotton-Blend Waffle Knit Hoodie</t>
        </is>
      </c>
      <c r="C179" s="3" t="inlineStr">
        <is>
          <t>158032025</t>
        </is>
      </c>
      <c r="D179" s="3" t="inlineStr">
        <is>
          <t>$118.00</t>
        </is>
      </c>
      <c r="E179" s="3" t="inlineStr">
        <is>
          <t>$59.00</t>
        </is>
      </c>
      <c r="F179" s="3">
        <f>IMAGE("https://images.lululemon.com/is/image/lululemon/0554",1)</f>
        <v/>
      </c>
      <c r="G179" s="3" t="n"/>
      <c r="H179" s="3" t="n"/>
      <c r="I179" s="3" t="n"/>
      <c r="J179" s="3" t="n"/>
      <c r="K179" s="3" t="n"/>
      <c r="L179" s="3" t="inlineStr">
        <is>
          <t>S, M, L, XL, XXL</t>
        </is>
      </c>
      <c r="M179" s="3" t="n">
        <v>126</v>
      </c>
      <c r="N179" s="3" t="inlineStr">
        <is>
          <t>Low-key timeless. A classic waffle-knit texture gives this cotton-blend hoodie a soft structure that elevates joggers and makes trousers look chill.</t>
        </is>
      </c>
      <c r="O179" s="3" t="inlineStr">
        <is>
          <t>Cotton-Blend-Waffle-Knit-Hoodie</t>
        </is>
      </c>
      <c r="P179" s="3" t="inlineStr">
        <is>
          <t>Yes</t>
        </is>
      </c>
      <c r="Q179" s="3" t="inlineStr">
        <is>
          <t>Cotton-Blend Waffle Knit Hoodie GMST S</t>
        </is>
      </c>
      <c r="R179" s="3" t="inlineStr">
        <is>
          <t>Grape Mist</t>
        </is>
      </c>
      <c r="S179" s="3" t="inlineStr">
        <is>
          <t>Hoodies</t>
        </is>
      </c>
      <c r="T179" s="3" t="inlineStr">
        <is>
          <t>Men</t>
        </is>
      </c>
    </row>
    <row r="180" ht="80" customHeight="1">
      <c r="A180" s="2">
        <f>IMAGE("https://images.lululemon.com/is/image/lululemon/LM5AO4S_0001_1?wid=320&amp;op_usm=0.8",1)</f>
        <v/>
      </c>
      <c r="B180" s="2" t="inlineStr">
        <is>
          <t>ABC Slim-Fit Trouser 32L *Warpstreme</t>
        </is>
      </c>
      <c r="C180" s="2" t="inlineStr">
        <is>
          <t>147151962</t>
        </is>
      </c>
      <c r="D180" s="2" t="inlineStr">
        <is>
          <t>$138.00</t>
        </is>
      </c>
      <c r="E180" s="2" t="inlineStr">
        <is>
          <t>$69.00</t>
        </is>
      </c>
      <c r="F180" s="2">
        <f>IMAGE("https://images.lululemon.com/is/image/lululemon/0001",1)</f>
        <v/>
      </c>
      <c r="G180" s="2">
        <f>IMAGE("https://images.lululemon.com/is/image/lululemon/31382",1)</f>
        <v/>
      </c>
      <c r="H180" s="2">
        <f>IMAGE("https://images.lululemon.com/is/image/lululemon/19222",1)</f>
        <v/>
      </c>
      <c r="I180" s="2" t="n"/>
      <c r="J180" s="2" t="n"/>
      <c r="K180" s="2" t="n"/>
      <c r="L180" s="2" t="inlineStr">
        <is>
          <t>28, 30, 31, 32, 33, 34, 36, 38, 40</t>
        </is>
      </c>
      <c r="M180" s="2" t="n">
        <v>1224</v>
      </c>
      <c r="N180" s="2" t="inlineStr">
        <is>
          <t>These slim-fit trousers deliver all-day comfort with an elevated look.</t>
        </is>
      </c>
      <c r="O180" s="2" t="inlineStr">
        <is>
          <t>ABC-Slim-Trouser-32</t>
        </is>
      </c>
      <c r="P180" s="2" t="inlineStr">
        <is>
          <t>Yes</t>
        </is>
      </c>
      <c r="Q180" s="2" t="inlineStr">
        <is>
          <t>ABC Slim-Fit Trouser 32L *Warpstreme BLK 28</t>
        </is>
      </c>
      <c r="R180" s="2" t="inlineStr">
        <is>
          <t>Black, True Navy, Wacky Khaki</t>
        </is>
      </c>
      <c r="S180" s="2" t="inlineStr">
        <is>
          <t>Dress Pants, Chinos</t>
        </is>
      </c>
      <c r="T180" s="2" t="inlineStr">
        <is>
          <t>Men</t>
        </is>
      </c>
    </row>
    <row r="181" ht="80" customHeight="1">
      <c r="A181" s="3">
        <f>IMAGE("https://images.lululemon.com/is/image/lululemon/LU9DDSS_036168_1?wid=320&amp;op_usm=0.8",1)</f>
        <v/>
      </c>
      <c r="B181" s="3" t="inlineStr">
        <is>
          <t>Warm Revelation Beanie *Wordmark</t>
        </is>
      </c>
      <c r="C181" s="3" t="inlineStr">
        <is>
          <t>157702281</t>
        </is>
      </c>
      <c r="D181" s="3" t="inlineStr">
        <is>
          <t>$48.00</t>
        </is>
      </c>
      <c r="E181" s="3" t="inlineStr">
        <is>
          <t>$24.00</t>
        </is>
      </c>
      <c r="F181" s="3">
        <f>IMAGE("https://images.lululemon.com/is/image/lululemon/36168",1)</f>
        <v/>
      </c>
      <c r="G181" s="3">
        <f>IMAGE("https://images.lululemon.com/is/image/lululemon/73461",1)</f>
        <v/>
      </c>
      <c r="H181" s="3" t="n"/>
      <c r="I181" s="3" t="n"/>
      <c r="J181" s="3" t="n"/>
      <c r="K181" s="3" t="n"/>
      <c r="L181" s="3" t="inlineStr">
        <is>
          <t>O/S</t>
        </is>
      </c>
      <c r="M181" s="3" t="n">
        <v>904</v>
      </c>
      <c r="N181" s="3" t="inlineStr">
        <is>
          <t>Pop on this merino wool-blend beanie when the temperature drops to help keep you cozy on chilly days.</t>
        </is>
      </c>
      <c r="O181" s="3" t="inlineStr">
        <is>
          <t>Warm-Revelation-Beanie-Wordmark</t>
        </is>
      </c>
      <c r="P181" s="3" t="inlineStr">
        <is>
          <t>Yes</t>
        </is>
      </c>
      <c r="Q181" s="3" t="inlineStr">
        <is>
          <t>Warm Revelation Beanie HRLI ONE SIZE</t>
        </is>
      </c>
      <c r="R181" s="3" t="inlineStr">
        <is>
          <t>Heathered Light Ivory, Faint Lavender/Grape Mist</t>
        </is>
      </c>
      <c r="S181" s="3" t="inlineStr">
        <is>
          <t>Beanies</t>
        </is>
      </c>
      <c r="T181" s="3" t="inlineStr">
        <is>
          <t>Men</t>
        </is>
      </c>
    </row>
    <row r="182" ht="80" customHeight="1">
      <c r="A182" s="2">
        <f>IMAGE("https://images.lululemon.com/is/image/lululemon/LM7BHES_0001_1?wid=320&amp;op_usm=0.8",1)</f>
        <v/>
      </c>
      <c r="B182" s="2" t="inlineStr">
        <is>
          <t>ABC Classic-Fit Golf Short 9"</t>
        </is>
      </c>
      <c r="C182" s="2" t="inlineStr">
        <is>
          <t>151554060</t>
        </is>
      </c>
      <c r="D182" s="2" t="inlineStr">
        <is>
          <t>$98.00</t>
        </is>
      </c>
      <c r="E182" s="2" t="inlineStr">
        <is>
          <t>$49.00</t>
        </is>
      </c>
      <c r="F182" s="2">
        <f>IMAGE("https://images.lululemon.com/is/image/lululemon/0001",1)</f>
        <v/>
      </c>
      <c r="G182" s="2">
        <f>IMAGE("https://images.lululemon.com/is/image/lululemon/68578",1)</f>
        <v/>
      </c>
      <c r="H182" s="2" t="n"/>
      <c r="I182" s="2" t="n"/>
      <c r="J182" s="2" t="n"/>
      <c r="K182" s="2" t="n"/>
      <c r="L182" s="2" t="inlineStr">
        <is>
          <t>28, 30, 31, 32, 33, 34, 36, 38, 40</t>
        </is>
      </c>
      <c r="M182" s="2" t="n">
        <v>465</v>
      </c>
      <c r="N182" s="2" t="inlineStr">
        <is>
          <t>From the first tee to the eighteenth green, these stretchy golf shorts will go the distance. Extra pockets store essentials and water-resistant fabric keeps you protected.</t>
        </is>
      </c>
      <c r="O182" s="2" t="inlineStr">
        <is>
          <t>ABC-Classic-Fit-Golf-Short-9</t>
        </is>
      </c>
      <c r="P182" s="2" t="inlineStr">
        <is>
          <t>Yes</t>
        </is>
      </c>
      <c r="Q182" s="2" t="inlineStr">
        <is>
          <t>ABC Classic-Fit Golf Short 9" BLK 28</t>
        </is>
      </c>
      <c r="R182" s="2" t="inlineStr">
        <is>
          <t>Black, Club Blue</t>
        </is>
      </c>
      <c r="S182" s="2" t="inlineStr">
        <is>
          <t>Chino Shorts</t>
        </is>
      </c>
      <c r="T182" s="2" t="inlineStr">
        <is>
          <t>Men</t>
        </is>
      </c>
    </row>
    <row r="183" ht="80" customHeight="1">
      <c r="A183" s="3">
        <f>IMAGE("https://images.lululemon.com/is/image/lululemon/LM3FULS_0001_1?wid=320&amp;op_usm=0.8",1)</f>
        <v/>
      </c>
      <c r="B183" s="3" t="inlineStr">
        <is>
          <t>License to Train Textured Full Zip</t>
        </is>
      </c>
      <c r="C183" s="3" t="inlineStr">
        <is>
          <t>157676562</t>
        </is>
      </c>
      <c r="D183" s="3" t="inlineStr">
        <is>
          <t>$148.00</t>
        </is>
      </c>
      <c r="E183" s="3" t="inlineStr">
        <is>
          <t>$74.00</t>
        </is>
      </c>
      <c r="F183" s="3">
        <f>IMAGE("https://images.lululemon.com/is/image/lululemon/0001",1)</f>
        <v/>
      </c>
      <c r="G183" s="3" t="n"/>
      <c r="H183" s="3" t="n"/>
      <c r="I183" s="3" t="n"/>
      <c r="J183" s="3" t="n"/>
      <c r="K183" s="3" t="n"/>
      <c r="L183" s="3" t="inlineStr">
        <is>
          <t>XL, XXL</t>
        </is>
      </c>
      <c r="M183" s="3" t="n">
        <v>11</v>
      </c>
      <c r="N183" s="3" t="inlineStr">
        <is>
          <t>Feel the gains—not the gear. Made of lightweight, softly textured fabric with lots of stretch, this high-performance hoodie won't cling during warm-ups or tough workouts.</t>
        </is>
      </c>
      <c r="O183" s="3" t="inlineStr">
        <is>
          <t>License-to-Train-Textured-Full-Zip</t>
        </is>
      </c>
      <c r="P183" s="3" t="inlineStr">
        <is>
          <t>Yes</t>
        </is>
      </c>
      <c r="Q183" s="3" t="inlineStr">
        <is>
          <t>License to Train Textured Full Zip BLK XL</t>
        </is>
      </c>
      <c r="R183" s="3" t="inlineStr">
        <is>
          <t>Black</t>
        </is>
      </c>
      <c r="S183" s="3" t="inlineStr">
        <is>
          <t>Zip Up Sweatshirts, Hoodies</t>
        </is>
      </c>
      <c r="T183" s="3" t="inlineStr">
        <is>
          <t>Men</t>
        </is>
      </c>
    </row>
    <row r="184" ht="80" customHeight="1">
      <c r="A184" s="2">
        <f>IMAGE("https://images.lululemon.com/is/image/lululemon/LM3GFFS_0001_1?wid=320&amp;op_usm=0.8",1)</f>
        <v/>
      </c>
      <c r="B184" s="2" t="inlineStr">
        <is>
          <t>Fast and Free Short-Sleeve Shirt</t>
        </is>
      </c>
      <c r="C184" s="2" t="inlineStr">
        <is>
          <t>157718168</t>
        </is>
      </c>
      <c r="D184" s="2" t="inlineStr">
        <is>
          <t>$78.00</t>
        </is>
      </c>
      <c r="E184" s="2" t="inlineStr">
        <is>
          <t>$39.00</t>
        </is>
      </c>
      <c r="F184" s="2">
        <f>IMAGE("https://images.lululemon.com/is/image/lululemon/0001",1)</f>
        <v/>
      </c>
      <c r="G184" s="2">
        <f>IMAGE("https://images.lululemon.com/is/image/lululemon/33928",1)</f>
        <v/>
      </c>
      <c r="H184" s="2" t="n"/>
      <c r="I184" s="2" t="n"/>
      <c r="J184" s="2" t="n"/>
      <c r="K184" s="2" t="n"/>
      <c r="L184" s="2" t="inlineStr">
        <is>
          <t>S, M, L, XL, XXL</t>
        </is>
      </c>
      <c r="M184" s="2" t="n">
        <v>443</v>
      </c>
      <c r="N184" s="2" t="inlineStr">
        <is>
          <t>100% pure running freedom. Made of lightweight, breezy mesh fabric, this top offers all the ventilation you need to go the distance.</t>
        </is>
      </c>
      <c r="O184" s="2" t="inlineStr">
        <is>
          <t>Fast-And-Free-Short-Sleeve</t>
        </is>
      </c>
      <c r="P184" s="2" t="inlineStr">
        <is>
          <t>Yes</t>
        </is>
      </c>
      <c r="Q184" s="2" t="inlineStr">
        <is>
          <t>Fast and Free Short Sleeve BLK S</t>
        </is>
      </c>
      <c r="R184" s="2" t="inlineStr">
        <is>
          <t>Black, Silver Drop</t>
        </is>
      </c>
      <c r="S184" s="2" t="inlineStr"/>
      <c r="T184" s="2" t="inlineStr">
        <is>
          <t>Men</t>
        </is>
      </c>
    </row>
    <row r="185" ht="80" customHeight="1">
      <c r="A185" s="3">
        <f>IMAGE("https://images.lululemon.com/is/image/lululemon/LM5AY7S_0001_1?wid=320&amp;op_usm=0.8",1)</f>
        <v/>
      </c>
      <c r="B185" s="3" t="inlineStr">
        <is>
          <t>Pace Breaker Jogger *Regular</t>
        </is>
      </c>
      <c r="C185" s="3" t="inlineStr">
        <is>
          <t>153844019</t>
        </is>
      </c>
      <c r="D185" s="3" t="inlineStr">
        <is>
          <t>$128.00</t>
        </is>
      </c>
      <c r="E185" s="3" t="inlineStr">
        <is>
          <t>$64.00</t>
        </is>
      </c>
      <c r="F185" s="3">
        <f>IMAGE("https://images.lululemon.com/is/image/lululemon/0001",1)</f>
        <v/>
      </c>
      <c r="G185" s="3">
        <f>IMAGE("https://images.lululemon.com/is/image/lululemon/1179",1)</f>
        <v/>
      </c>
      <c r="H185" s="3" t="n"/>
      <c r="I185" s="3" t="n"/>
      <c r="J185" s="3" t="n"/>
      <c r="K185" s="3" t="n"/>
      <c r="L185" s="3" t="inlineStr">
        <is>
          <t>S, M, L, XL, XXL</t>
        </is>
      </c>
      <c r="M185" s="3" t="n">
        <v>1473</v>
      </c>
      <c r="N185" s="3" t="inlineStr">
        <is>
          <t>Give it your all. These versatile joggers are designed for maximum comfort and zero distractions as you stretch, sprint, and lift.</t>
        </is>
      </c>
      <c r="O185" s="3" t="inlineStr">
        <is>
          <t>Pace-Breaker-Jogger</t>
        </is>
      </c>
      <c r="P185" s="3" t="inlineStr">
        <is>
          <t>Yes</t>
        </is>
      </c>
      <c r="Q185" s="3" t="inlineStr">
        <is>
          <t>Pace Breaker Jogger *Regular BLK S</t>
        </is>
      </c>
      <c r="R185" s="3" t="inlineStr">
        <is>
          <t>Black, Steel Blue</t>
        </is>
      </c>
      <c r="S185" s="3" t="inlineStr">
        <is>
          <t>Athletic Pants</t>
        </is>
      </c>
      <c r="T185" s="3" t="inlineStr">
        <is>
          <t>Men</t>
        </is>
      </c>
    </row>
    <row r="186" ht="80" customHeight="1">
      <c r="A186" s="2">
        <f>IMAGE("https://images.lululemon.com/is/image/lululemon/LM3FLMS_0001_1?wid=320&amp;op_usm=0.8",1)</f>
        <v/>
      </c>
      <c r="B186" s="2" t="inlineStr">
        <is>
          <t>Organic Cotton Classic-Fit Long-Sleeve Shirt</t>
        </is>
      </c>
      <c r="C186" s="2" t="inlineStr">
        <is>
          <t>155701430</t>
        </is>
      </c>
      <c r="D186" s="2" t="inlineStr">
        <is>
          <t>$68.00</t>
        </is>
      </c>
      <c r="E186" s="2" t="inlineStr">
        <is>
          <t>$34.00</t>
        </is>
      </c>
      <c r="F186" s="2">
        <f>IMAGE("https://images.lululemon.com/is/image/lululemon/0001",1)</f>
        <v/>
      </c>
      <c r="G186" s="2" t="n"/>
      <c r="H186" s="2" t="n"/>
      <c r="I186" s="2" t="n"/>
      <c r="J186" s="2" t="n"/>
      <c r="K186" s="2" t="n"/>
      <c r="L186" s="2" t="inlineStr">
        <is>
          <t>S, M, L, XL</t>
        </is>
      </c>
      <c r="M186" s="2" t="n">
        <v>49</v>
      </c>
      <c r="N186" s="2" t="inlineStr">
        <is>
          <t>A mix-and-match mainstay. Made from soft organic cotton, this essential long sleeve pairs well with joggers and trousers alike.</t>
        </is>
      </c>
      <c r="O186" s="2" t="inlineStr">
        <is>
          <t>Organic-Cotton-Classic-Fit-Long-Sleeve-Shirt</t>
        </is>
      </c>
      <c r="P186" s="2" t="inlineStr">
        <is>
          <t>Yes</t>
        </is>
      </c>
      <c r="Q186" s="2" t="inlineStr">
        <is>
          <t>Organic Cotton Classic-Fit Long Sleeve BLK S</t>
        </is>
      </c>
      <c r="R186" s="2" t="inlineStr">
        <is>
          <t>Black</t>
        </is>
      </c>
      <c r="S186" s="2" t="inlineStr"/>
      <c r="T186" s="2" t="inlineStr">
        <is>
          <t>Men</t>
        </is>
      </c>
    </row>
    <row r="187" ht="80" customHeight="1">
      <c r="A187" s="3">
        <f>IMAGE("https://images.lululemon.com/is/image/lululemon/LW9FNCS_3385_1?wid=320&amp;op_usm=0.8",1)</f>
        <v/>
      </c>
      <c r="B187" s="3" t="inlineStr">
        <is>
          <t>On My Level Tote Bag 20L</t>
        </is>
      </c>
      <c r="C187" s="3" t="inlineStr">
        <is>
          <t>155725278</t>
        </is>
      </c>
      <c r="D187" s="3" t="inlineStr">
        <is>
          <t>$128.00</t>
        </is>
      </c>
      <c r="E187" s="3" t="inlineStr">
        <is>
          <t>$64.00</t>
        </is>
      </c>
      <c r="F187" s="3">
        <f>IMAGE("https://images.lululemon.com/is/image/lululemon/3385",1)</f>
        <v/>
      </c>
      <c r="G187" s="3" t="n"/>
      <c r="H187" s="3" t="n"/>
      <c r="I187" s="3" t="n"/>
      <c r="J187" s="3" t="n"/>
      <c r="K187" s="3" t="n"/>
      <c r="L187" s="3" t="inlineStr">
        <is>
          <t>O/S</t>
        </is>
      </c>
      <c r="M187" s="3" t="n">
        <v>20</v>
      </c>
      <c r="N187" s="3" t="inlineStr">
        <is>
          <t>Whether your morning starts with a class or errands, this soft, slouchy tote is always a winner. Wear it over your shoulder, cross-body, or just grab it and go.</t>
        </is>
      </c>
      <c r="O187" s="3" t="inlineStr">
        <is>
          <t>On-My-Level-Tote-Bag-20L</t>
        </is>
      </c>
      <c r="P187" s="3" t="inlineStr">
        <is>
          <t>Yes</t>
        </is>
      </c>
      <c r="Q187" s="3" t="inlineStr">
        <is>
          <t>On My Level Tote BLK/GOLD ONE SIZE</t>
        </is>
      </c>
      <c r="R187" s="3" t="inlineStr">
        <is>
          <t>Black/Gold</t>
        </is>
      </c>
      <c r="S187" s="3" t="inlineStr">
        <is>
          <t>Totes</t>
        </is>
      </c>
      <c r="T187" s="3" t="inlineStr">
        <is>
          <t>Men</t>
        </is>
      </c>
    </row>
    <row r="188" ht="80" customHeight="1">
      <c r="A188" s="2">
        <f>IMAGE("https://images.lululemon.com/is/image/lululemon/LU9BB5S_0024_1?wid=320&amp;op_usm=0.8",1)</f>
        <v/>
      </c>
      <c r="B188" s="2" t="inlineStr">
        <is>
          <t>Removable Sweatband All-Sport Visor *Wordmark</t>
        </is>
      </c>
      <c r="C188" s="2" t="inlineStr">
        <is>
          <t>146956824</t>
        </is>
      </c>
      <c r="D188" s="2" t="inlineStr">
        <is>
          <t>$38.00</t>
        </is>
      </c>
      <c r="E188" s="2" t="inlineStr">
        <is>
          <t>$19.00</t>
        </is>
      </c>
      <c r="F188" s="2">
        <f>IMAGE("https://images.lululemon.com/is/image/lululemon/0024",1)</f>
        <v/>
      </c>
      <c r="G188" s="2" t="n"/>
      <c r="H188" s="2" t="n"/>
      <c r="I188" s="2" t="n"/>
      <c r="J188" s="2" t="n"/>
      <c r="K188" s="2" t="n"/>
      <c r="L188" s="2" t="inlineStr">
        <is>
          <t>L/XL</t>
        </is>
      </c>
      <c r="M188" s="2" t="n">
        <v>95</v>
      </c>
      <c r="N188" s="2" t="inlineStr">
        <is>
          <t>It's easy to stay fresh with this do-it-all visor. Toss the detachable interior sweatband in the laundry so it's ready to go for your next sweat session.</t>
        </is>
      </c>
      <c r="O188" s="2" t="inlineStr">
        <is>
          <t>Removable-SweatbAll-Sport-Visor-Woodmark</t>
        </is>
      </c>
      <c r="P188" s="2" t="inlineStr">
        <is>
          <t>Yes</t>
        </is>
      </c>
      <c r="Q188" s="2" t="inlineStr">
        <is>
          <t>Removable Sweatband All-Sport Visor WHT/BLK L/XL</t>
        </is>
      </c>
      <c r="R188" s="2" t="inlineStr">
        <is>
          <t>White/Black</t>
        </is>
      </c>
      <c r="S188" s="2" t="inlineStr">
        <is>
          <t>Visors</t>
        </is>
      </c>
      <c r="T188" s="2" t="inlineStr">
        <is>
          <t>Men</t>
        </is>
      </c>
    </row>
    <row r="189" ht="80" customHeight="1">
      <c r="A189" s="3">
        <f>IMAGE("https://images.lululemon.com/is/image/lululemon/LU9D55S_027597_1?wid=320&amp;op_usm=0.8",1)</f>
        <v/>
      </c>
      <c r="B189" s="3" t="inlineStr">
        <is>
          <t>Multi-Sport Sun Hat</t>
        </is>
      </c>
      <c r="C189" s="3" t="inlineStr">
        <is>
          <t>156925673</t>
        </is>
      </c>
      <c r="D189" s="3" t="inlineStr">
        <is>
          <t>$68.00</t>
        </is>
      </c>
      <c r="E189" s="3" t="inlineStr">
        <is>
          <t>$34.00</t>
        </is>
      </c>
      <c r="F189" s="3">
        <f>IMAGE("https://images.lululemon.com/is/image/lululemon/27597",1)</f>
        <v/>
      </c>
      <c r="G189" s="3" t="n"/>
      <c r="H189" s="3" t="n"/>
      <c r="I189" s="3" t="n"/>
      <c r="J189" s="3" t="n"/>
      <c r="K189" s="3" t="n"/>
      <c r="L189" s="3" t="inlineStr">
        <is>
          <t>S/M, L/XL</t>
        </is>
      </c>
      <c r="M189" s="3" t="n">
        <v>76</v>
      </c>
      <c r="N189" s="3" t="inlineStr">
        <is>
          <t>Just add sunshine. This lightweight, flexible sun hat is the perfect mix of ventilation and coverage.</t>
        </is>
      </c>
      <c r="O189" s="3" t="inlineStr">
        <is>
          <t>Multi-Sport-Sun-Hat</t>
        </is>
      </c>
      <c r="P189" s="3" t="inlineStr">
        <is>
          <t>Yes</t>
        </is>
      </c>
      <c r="Q189" s="3" t="inlineStr">
        <is>
          <t>Multi-Sport Sun Hat BONE S/M</t>
        </is>
      </c>
      <c r="R189" s="3" t="inlineStr">
        <is>
          <t>Bone</t>
        </is>
      </c>
      <c r="S189" s="3" t="inlineStr"/>
      <c r="T189" s="3" t="inlineStr">
        <is>
          <t>Men</t>
        </is>
      </c>
    </row>
    <row r="190" ht="80" customHeight="1">
      <c r="A190" s="2">
        <f>IMAGE("https://images.lululemon.com/is/image/lululemon/LM3FV4S_038426_1?wid=320&amp;op_usm=0.8",1)</f>
        <v/>
      </c>
      <c r="B190" s="2" t="inlineStr">
        <is>
          <t>Textured Spacer Hoodie</t>
        </is>
      </c>
      <c r="C190" s="2" t="inlineStr">
        <is>
          <t>157701121</t>
        </is>
      </c>
      <c r="D190" s="2" t="inlineStr">
        <is>
          <t>$148.00</t>
        </is>
      </c>
      <c r="E190" s="2" t="inlineStr">
        <is>
          <t>$74.00</t>
        </is>
      </c>
      <c r="F190" s="2">
        <f>IMAGE("https://images.lululemon.com/is/image/lululemon/38426",1)</f>
        <v/>
      </c>
      <c r="G190" s="2">
        <f>IMAGE("https://images.lululemon.com/is/image/lululemon/0001",1)</f>
        <v/>
      </c>
      <c r="H190" s="2">
        <f>IMAGE("https://images.lululemon.com/is/image/lululemon/27401",1)</f>
        <v/>
      </c>
      <c r="I190" s="2">
        <f>IMAGE("https://images.lululemon.com/is/image/lululemon/49106",1)</f>
        <v/>
      </c>
      <c r="J190" s="2">
        <f>IMAGE("https://images.lululemon.com/is/image/lululemon/33454",1)</f>
        <v/>
      </c>
      <c r="K190" s="2" t="n"/>
      <c r="L190" s="2" t="inlineStr">
        <is>
          <t>S, M, L, XL, XXL</t>
        </is>
      </c>
      <c r="M190" s="2" t="n">
        <v>1124</v>
      </c>
      <c r="N190" s="2" t="inlineStr">
        <is>
          <t>Warm up and cool down in comfort. This textured hoodie is made of four-way stretch, quick-drying fabric—making it easy to go from stretch to sweat to street.</t>
        </is>
      </c>
      <c r="O190" s="2" t="inlineStr">
        <is>
          <t>Textured-Spacer-Hoodie</t>
        </is>
      </c>
      <c r="P190" s="2" t="inlineStr">
        <is>
          <t>Yes</t>
        </is>
      </c>
      <c r="Q190" s="2" t="inlineStr">
        <is>
          <t>Textured Spacer Pullover Hoodie SOGY S</t>
        </is>
      </c>
      <c r="R190" s="2" t="inlineStr">
        <is>
          <t>Solar Grey, Black, Pelican, Rainforest Green, Light Ivory</t>
        </is>
      </c>
      <c r="S190" s="2" t="inlineStr">
        <is>
          <t>Hoodies</t>
        </is>
      </c>
      <c r="T190" s="2" t="inlineStr">
        <is>
          <t>Men</t>
        </is>
      </c>
    </row>
    <row r="191" ht="80" customHeight="1">
      <c r="A191" s="3">
        <f>IMAGE("https://images.lululemon.com/is/image/lululemon/LM3FK9S_068578_1?wid=320&amp;op_usm=0.8",1)</f>
        <v/>
      </c>
      <c r="B191" s="3" t="inlineStr">
        <is>
          <t>Windproof Golf Pullover Quarter-Zip Jacket</t>
        </is>
      </c>
      <c r="C191" s="3" t="inlineStr">
        <is>
          <t>156499003</t>
        </is>
      </c>
      <c r="D191" s="3" t="inlineStr">
        <is>
          <t>$198.00</t>
        </is>
      </c>
      <c r="E191" s="3" t="inlineStr">
        <is>
          <t>$99.00</t>
        </is>
      </c>
      <c r="F191" s="3">
        <f>IMAGE("https://images.lululemon.com/is/image/lululemon/68578",1)</f>
        <v/>
      </c>
      <c r="G191" s="3">
        <f>IMAGE("https://images.lululemon.com/is/image/lululemon/0001",1)</f>
        <v/>
      </c>
      <c r="H191" s="3" t="n"/>
      <c r="I191" s="3" t="n"/>
      <c r="J191" s="3" t="n"/>
      <c r="K191" s="3" t="n"/>
      <c r="L191" s="3" t="inlineStr">
        <is>
          <t>S, M, L, XL, XXL</t>
        </is>
      </c>
      <c r="M191" s="3" t="n">
        <v>881</v>
      </c>
      <c r="N191" s="3" t="inlineStr">
        <is>
          <t>Caddy: optional. This clubhouse-ready golf jacket is made from tough, water-repellent fabric that holds up to light rain and your golf bag.</t>
        </is>
      </c>
      <c r="O191" s="3" t="inlineStr">
        <is>
          <t>Windproof-Golf-Pullover-Quarter-Zip-Jacket</t>
        </is>
      </c>
      <c r="P191" s="3" t="inlineStr">
        <is>
          <t>Yes</t>
        </is>
      </c>
      <c r="Q191" s="3" t="inlineStr">
        <is>
          <t>Windproof Golf Pullover Jacket CLBL S</t>
        </is>
      </c>
      <c r="R191" s="3" t="inlineStr">
        <is>
          <t>Club Blue, Black</t>
        </is>
      </c>
      <c r="S191" s="3" t="inlineStr">
        <is>
          <t>Athletic Jackets</t>
        </is>
      </c>
      <c r="T191" s="3" t="inlineStr">
        <is>
          <t>Men</t>
        </is>
      </c>
    </row>
    <row r="192" ht="80" customHeight="1">
      <c r="A192" s="2">
        <f>IMAGE("https://images.lululemon.com/is/image/lululemon/LM7BD6S_025461_1?wid=320&amp;op_usm=0.8",1)</f>
        <v/>
      </c>
      <c r="B192" s="2" t="inlineStr">
        <is>
          <t>Pace Breaker Linerless Short 9"</t>
        </is>
      </c>
      <c r="C192" s="2" t="inlineStr">
        <is>
          <t>156650752</t>
        </is>
      </c>
      <c r="D192" s="2" t="inlineStr">
        <is>
          <t>$68.00</t>
        </is>
      </c>
      <c r="E192" s="2" t="inlineStr">
        <is>
          <t>$34.00</t>
        </is>
      </c>
      <c r="F192" s="2">
        <f>IMAGE("https://images.lululemon.com/is/image/lululemon/25461",1)</f>
        <v/>
      </c>
      <c r="G192" s="2">
        <f>IMAGE("https://images.lululemon.com/is/image/lululemon/72044",1)</f>
        <v/>
      </c>
      <c r="H192" s="2" t="n"/>
      <c r="I192" s="2" t="n"/>
      <c r="J192" s="2" t="n"/>
      <c r="K192" s="2" t="n"/>
      <c r="L192" s="2" t="inlineStr">
        <is>
          <t>S, M, L, XL, XXL</t>
        </is>
      </c>
      <c r="M192" s="2" t="n">
        <v>579</v>
      </c>
      <c r="N192" s="2" t="inlineStr">
        <is>
          <t>Athlete backed, performance driven. This elevated version of our most versatile short was designed for maximum comfort and zero distractions.</t>
        </is>
      </c>
      <c r="O192" s="2" t="inlineStr">
        <is>
          <t>Pace-Breaker-Short-Linerless-Updated</t>
        </is>
      </c>
      <c r="P192" s="2" t="inlineStr">
        <is>
          <t>Yes</t>
        </is>
      </c>
      <c r="Q192" s="2" t="inlineStr">
        <is>
          <t>Pace Breaker Short 9" *LL POOL S</t>
        </is>
      </c>
      <c r="R192" s="2" t="inlineStr">
        <is>
          <t>Pool Party, Speckled Heather Black Multi</t>
        </is>
      </c>
      <c r="S192" s="2" t="inlineStr">
        <is>
          <t>Athletic Shorts</t>
        </is>
      </c>
      <c r="T192" s="2" t="inlineStr">
        <is>
          <t>Men</t>
        </is>
      </c>
    </row>
    <row r="193" ht="80" customHeight="1">
      <c r="A193" s="3">
        <f>IMAGE("https://images.lululemon.com/is/image/lululemon/LM9AMRS_033068_1?wid=320&amp;op_usm=0.8",1)</f>
        <v/>
      </c>
      <c r="B193" s="3" t="inlineStr">
        <is>
          <t>Always In Motion Boxer 5"</t>
        </is>
      </c>
      <c r="C193" s="3" t="inlineStr">
        <is>
          <t>158030185</t>
        </is>
      </c>
      <c r="D193" s="3" t="inlineStr">
        <is>
          <t>$28.00</t>
        </is>
      </c>
      <c r="E193" s="3" t="inlineStr">
        <is>
          <t>$14.00</t>
        </is>
      </c>
      <c r="F193" s="3">
        <f>IMAGE("https://images.lululemon.com/is/image/lululemon/33068",1)</f>
        <v/>
      </c>
      <c r="G193" s="3" t="n"/>
      <c r="H193" s="3" t="n"/>
      <c r="I193" s="3" t="n"/>
      <c r="J193" s="3" t="n"/>
      <c r="K193" s="3" t="n"/>
      <c r="L193" s="3" t="inlineStr">
        <is>
          <t>XXL</t>
        </is>
      </c>
      <c r="M193" s="3" t="n">
        <v>3</v>
      </c>
      <c r="N193" s="3" t="inlineStr">
        <is>
          <t>The good stuff. These boxers feature an ergonomic design and super-soft, quick-drying fabric for total comfort while working out or on the go.</t>
        </is>
      </c>
      <c r="O193" s="3" t="inlineStr">
        <is>
          <t>Aim-Boxer</t>
        </is>
      </c>
      <c r="P193" s="3" t="inlineStr">
        <is>
          <t>Yes</t>
        </is>
      </c>
      <c r="Q193" s="3" t="inlineStr">
        <is>
          <t>AIM Boxer SNBL XXL</t>
        </is>
      </c>
      <c r="R193" s="3" t="inlineStr">
        <is>
          <t>Sinatra Blue</t>
        </is>
      </c>
      <c r="S193" s="3" t="inlineStr">
        <is>
          <t>Boxers</t>
        </is>
      </c>
      <c r="T193" s="3" t="inlineStr">
        <is>
          <t>Men</t>
        </is>
      </c>
    </row>
    <row r="194" ht="80" customHeight="1">
      <c r="A194" s="2">
        <f>IMAGE("https://images.lululemon.com/is/image/lululemon/LU9BOTS_0023_1?wid=320&amp;op_usm=0.8",1)</f>
        <v/>
      </c>
      <c r="B194" s="2" t="inlineStr">
        <is>
          <t>Classic Ball Cap *Wordmark</t>
        </is>
      </c>
      <c r="C194" s="2" t="inlineStr">
        <is>
          <t>155801250</t>
        </is>
      </c>
      <c r="D194" s="2" t="inlineStr">
        <is>
          <t>$38.00</t>
        </is>
      </c>
      <c r="E194" s="2" t="inlineStr">
        <is>
          <t>$19.00</t>
        </is>
      </c>
      <c r="F194" s="2">
        <f>IMAGE("https://images.lululemon.com/is/image/lululemon/0023",1)</f>
        <v/>
      </c>
      <c r="G194" s="2">
        <f>IMAGE("https://images.lululemon.com/is/image/lululemon/0024",1)</f>
        <v/>
      </c>
      <c r="H194" s="2">
        <f>IMAGE("https://images.lululemon.com/is/image/lululemon/69040",1)</f>
        <v/>
      </c>
      <c r="I194" s="2" t="n"/>
      <c r="J194" s="2" t="n"/>
      <c r="K194" s="2" t="n"/>
      <c r="L194" s="2" t="inlineStr">
        <is>
          <t>S/M, L/XL</t>
        </is>
      </c>
      <c r="M194" s="2" t="n">
        <v>413</v>
      </c>
      <c r="N194" s="2" t="inlineStr">
        <is>
          <t>Anywhere, anytime. This soft, lightweight cap is a year-round favourite for days on the go.</t>
        </is>
      </c>
      <c r="O194" s="2" t="inlineStr">
        <is>
          <t>Ball-Cap-Wordmark</t>
        </is>
      </c>
      <c r="P194" s="2" t="inlineStr">
        <is>
          <t>Yes</t>
        </is>
      </c>
      <c r="Q194" s="2" t="inlineStr">
        <is>
          <t>Unisex Classic Ball Cap MIBR S/M</t>
        </is>
      </c>
      <c r="R194" s="2" t="inlineStr">
        <is>
          <t>Black/White, White/Black, Mint Breeze</t>
        </is>
      </c>
      <c r="S194" s="2" t="inlineStr">
        <is>
          <t>Caps</t>
        </is>
      </c>
      <c r="T194" s="2" t="inlineStr">
        <is>
          <t>Men</t>
        </is>
      </c>
    </row>
    <row r="195" ht="80" customHeight="1">
      <c r="A195" s="3">
        <f>IMAGE("https://images.lululemon.com/is/image/lululemon/LM3EJXS_0001_1?wid=320&amp;op_usm=0.8",1)</f>
        <v/>
      </c>
      <c r="B195" s="3" t="inlineStr">
        <is>
          <t>License to Train Long-Sleeve Shirt</t>
        </is>
      </c>
      <c r="C195" s="3" t="inlineStr">
        <is>
          <t>148227347</t>
        </is>
      </c>
      <c r="D195" s="3" t="inlineStr">
        <is>
          <t>$88.00</t>
        </is>
      </c>
      <c r="E195" s="3" t="inlineStr">
        <is>
          <t>$44.00</t>
        </is>
      </c>
      <c r="F195" s="3">
        <f>IMAGE("https://images.lululemon.com/is/image/lululemon/0001",1)</f>
        <v/>
      </c>
      <c r="G195" s="3">
        <f>IMAGE("https://images.lululemon.com/is/image/lululemon/32894",1)</f>
        <v/>
      </c>
      <c r="H195" s="3">
        <f>IMAGE("https://images.lululemon.com/is/image/lululemon/8395",1)</f>
        <v/>
      </c>
      <c r="I195" s="3">
        <f>IMAGE("https://images.lululemon.com/is/image/lululemon/28396",1)</f>
        <v/>
      </c>
      <c r="J195" s="3" t="n"/>
      <c r="K195" s="3" t="n"/>
      <c r="L195" s="3" t="inlineStr">
        <is>
          <t>S, M, L, XL, XXL</t>
        </is>
      </c>
      <c r="M195" s="3" t="n">
        <v>2067</v>
      </c>
      <c r="N195" s="3" t="inlineStr">
        <is>
          <t>All bets on sweat. Powered by anti-stink technology, this training top won't cling to sweaty skin so you can stay comfortable and focused.</t>
        </is>
      </c>
      <c r="O195" s="3" t="inlineStr">
        <is>
          <t>License-to-Train-Long-Sleeve-Shirt</t>
        </is>
      </c>
      <c r="P195" s="3" t="inlineStr">
        <is>
          <t>Yes</t>
        </is>
      </c>
      <c r="Q195" s="3" t="inlineStr">
        <is>
          <t>License to Train Long Sleeve BLK S</t>
        </is>
      </c>
      <c r="R195" s="3" t="inlineStr">
        <is>
          <t>Black, Vapor, Heathered Vapor, Heathered Indochine Blue</t>
        </is>
      </c>
      <c r="S195" s="3" t="inlineStr"/>
      <c r="T195" s="3" t="inlineStr">
        <is>
          <t>Men</t>
        </is>
      </c>
    </row>
    <row r="196" ht="80" customHeight="1">
      <c r="A196" s="2">
        <f>IMAGE("https://images.lululemon.com/is/image/lululemon/LU9AY4S_072619_1?wid=320&amp;op_usm=0.8",1)</f>
        <v/>
      </c>
      <c r="B196" s="2" t="inlineStr">
        <is>
          <t>The Towel</t>
        </is>
      </c>
      <c r="C196" s="2" t="inlineStr">
        <is>
          <t>157793522</t>
        </is>
      </c>
      <c r="D196" s="2" t="inlineStr">
        <is>
          <t>$42.00</t>
        </is>
      </c>
      <c r="E196" s="2" t="inlineStr">
        <is>
          <t>$21.00</t>
        </is>
      </c>
      <c r="F196" s="2">
        <f>IMAGE("https://images.lululemon.com/is/image/lululemon/72619",1)</f>
        <v/>
      </c>
      <c r="G196" s="2" t="n"/>
      <c r="H196" s="2" t="n"/>
      <c r="I196" s="2" t="n"/>
      <c r="J196" s="2" t="n"/>
      <c r="K196" s="2" t="n"/>
      <c r="L196" s="2" t="inlineStr">
        <is>
          <t>O/S</t>
        </is>
      </c>
      <c r="M196" s="2" t="n">
        <v>182</v>
      </c>
      <c r="N196" s="2" t="inlineStr">
        <is>
          <t>Whether it's soaking up sweat during hot yoga classes or drying off post-shower, this absorbent microfibre towel handles it all.</t>
        </is>
      </c>
      <c r="O196" s="2" t="inlineStr">
        <is>
          <t>The-Towel</t>
        </is>
      </c>
      <c r="P196" s="2" t="inlineStr">
        <is>
          <t>Yes</t>
        </is>
      </c>
      <c r="Q196" s="2" t="inlineStr">
        <is>
          <t>The Towel MHGM ONE SIZE</t>
        </is>
      </c>
      <c r="R196" s="2" t="inlineStr">
        <is>
          <t>Meadow Haze Grey Multi</t>
        </is>
      </c>
      <c r="S196" s="2" t="inlineStr">
        <is>
          <t>Towels</t>
        </is>
      </c>
      <c r="T196" s="2" t="inlineStr">
        <is>
          <t>Men</t>
        </is>
      </c>
    </row>
    <row r="197" ht="80" customHeight="1">
      <c r="A197" s="3">
        <f>IMAGE("https://images.lululemon.com/is/image/lululemon/LM3GGIS_072761_1?wid=320&amp;op_usm=0.8",1)</f>
        <v/>
      </c>
      <c r="B197" s="3" t="inlineStr">
        <is>
          <t>Heavyweight Soft Jersey Half Zip</t>
        </is>
      </c>
      <c r="C197" s="3" t="inlineStr">
        <is>
          <t>158101871</t>
        </is>
      </c>
      <c r="D197" s="3" t="inlineStr">
        <is>
          <t>$128.00</t>
        </is>
      </c>
      <c r="E197" s="3" t="inlineStr">
        <is>
          <t>$64.00</t>
        </is>
      </c>
      <c r="F197" s="3">
        <f>IMAGE("https://images.lululemon.com/is/image/lululemon/72761",1)</f>
        <v/>
      </c>
      <c r="G197" s="3" t="n"/>
      <c r="H197" s="3" t="n"/>
      <c r="I197" s="3" t="n"/>
      <c r="J197" s="3" t="n"/>
      <c r="K197" s="3" t="n"/>
      <c r="L197" s="3" t="inlineStr">
        <is>
          <t>S, M, L, XL, XXL</t>
        </is>
      </c>
      <c r="M197" s="3" t="n">
        <v>318</v>
      </c>
      <c r="N197" s="3" t="inlineStr">
        <is>
          <t>Laid back, levelled up. Made of weighty, blanket-soft jersey fabric with a brushed interior, this half zip provides the elevated downtime you deserve.</t>
        </is>
      </c>
      <c r="O197" s="3" t="inlineStr">
        <is>
          <t>Heavyweight-Soft-Jersey-Half-Zip</t>
        </is>
      </c>
      <c r="P197" s="3" t="inlineStr">
        <is>
          <t>Yes</t>
        </is>
      </c>
      <c r="Q197" s="3" t="inlineStr">
        <is>
          <t>Heavy Soft Jersey Half Zip WALC S</t>
        </is>
      </c>
      <c r="R197" s="3" t="inlineStr">
        <is>
          <t>Walnut Crunch</t>
        </is>
      </c>
      <c r="S197" s="3" t="inlineStr">
        <is>
          <t>Half Zip Sweatshirts, Quarter Zip Sweatshirts</t>
        </is>
      </c>
      <c r="T197" s="3" t="inlineStr">
        <is>
          <t>Men</t>
        </is>
      </c>
    </row>
    <row r="198" ht="80" customHeight="1">
      <c r="A198" s="2">
        <f>IMAGE("https://images.lululemon.com/is/image/lululemon/LU9ALBS_0001_1?wid=320&amp;op_usm=0.8",1)</f>
        <v/>
      </c>
      <c r="B198" s="2" t="inlineStr">
        <is>
          <t>Back to Life Sport Bottle 32oz</t>
        </is>
      </c>
      <c r="C198" s="2" t="inlineStr">
        <is>
          <t>124875044</t>
        </is>
      </c>
      <c r="D198" s="2" t="inlineStr">
        <is>
          <t>$54.00</t>
        </is>
      </c>
      <c r="E198" s="2" t="inlineStr">
        <is>
          <t>$27.00</t>
        </is>
      </c>
      <c r="F198" s="2">
        <f>IMAGE("https://images.lululemon.com/is/image/lululemon/0001",1)</f>
        <v/>
      </c>
      <c r="G198" s="2" t="n"/>
      <c r="H198" s="2" t="n"/>
      <c r="I198" s="2" t="n"/>
      <c r="J198" s="2" t="n"/>
      <c r="K198" s="2" t="n"/>
      <c r="L198" s="2" t="inlineStr">
        <is>
          <t>O/S</t>
        </is>
      </c>
      <c r="M198" s="2" t="n">
        <v>1716</v>
      </c>
      <c r="N198" s="2" t="inlineStr">
        <is>
          <t>This insulated water bottle features a leak-proof lid and slip-free texture, so no matter how adventurous the adventure gets, your drink is safe.</t>
        </is>
      </c>
      <c r="O198" s="2" t="inlineStr">
        <is>
          <t>Back-to-Life-Sport-Bottle-32oz</t>
        </is>
      </c>
      <c r="P198" s="2" t="inlineStr">
        <is>
          <t>Yes</t>
        </is>
      </c>
      <c r="Q198" s="2" t="inlineStr">
        <is>
          <t>Back to Life Sport Bottle 32oz BLK ONE SIZE</t>
        </is>
      </c>
      <c r="R198" s="2" t="inlineStr">
        <is>
          <t>Black</t>
        </is>
      </c>
      <c r="S198" s="2" t="inlineStr"/>
      <c r="T198" s="2" t="inlineStr">
        <is>
          <t>Men</t>
        </is>
      </c>
    </row>
    <row r="199" ht="80" customHeight="1">
      <c r="A199" s="3">
        <f>IMAGE("https://images.lululemon.com/is/image/lululemon/LM3EJSS_0001_1?wid=320&amp;op_usm=0.8",1)</f>
        <v/>
      </c>
      <c r="B199" s="3" t="inlineStr">
        <is>
          <t>License to Train Hoodie</t>
        </is>
      </c>
      <c r="C199" s="3" t="inlineStr">
        <is>
          <t>147002413</t>
        </is>
      </c>
      <c r="D199" s="3" t="inlineStr">
        <is>
          <t>$118.00</t>
        </is>
      </c>
      <c r="E199" s="3" t="inlineStr">
        <is>
          <t>$59.00</t>
        </is>
      </c>
      <c r="F199" s="3">
        <f>IMAGE("https://images.lululemon.com/is/image/lululemon/0001",1)</f>
        <v/>
      </c>
      <c r="G199" s="3">
        <f>IMAGE("https://images.lululemon.com/is/image/lululemon/31382",1)</f>
        <v/>
      </c>
      <c r="H199" s="3">
        <f>IMAGE("https://images.lululemon.com/is/image/lululemon/71150",1)</f>
        <v/>
      </c>
      <c r="I199" s="3">
        <f>IMAGE("https://images.lululemon.com/is/image/lululemon/8395",1)</f>
        <v/>
      </c>
      <c r="J199" s="3">
        <f>IMAGE("https://images.lululemon.com/is/image/lululemon/28396",1)</f>
        <v/>
      </c>
      <c r="K199" s="3">
        <f>IMAGE("https://images.lululemon.com/is/image/lululemon/71148",1)</f>
        <v/>
      </c>
      <c r="L199" s="3" t="inlineStr">
        <is>
          <t>XS, S, M, L, XL, XXL, 3XL</t>
        </is>
      </c>
      <c r="M199" s="3" t="n">
        <v>3030</v>
      </c>
      <c r="N199" s="3" t="inlineStr">
        <is>
          <t>All bets on sweat. Powered by anti-stink technology, this training top won't cling to sweaty skin so you can stay comfortable and focused.</t>
        </is>
      </c>
      <c r="O199" s="3" t="inlineStr">
        <is>
          <t>License-To-Train-Hoodie-LS</t>
        </is>
      </c>
      <c r="P199" s="3" t="inlineStr">
        <is>
          <t>Yes</t>
        </is>
      </c>
      <c r="Q199" s="3" t="inlineStr">
        <is>
          <t>License to Train Hoodie BLK XS</t>
        </is>
      </c>
      <c r="R199" s="3" t="inlineStr">
        <is>
          <t>Black, True Navy, Blue Twill, Heathered Vapor, Heathered Indochine Blue, Olive Brown</t>
        </is>
      </c>
      <c r="S199" s="3" t="inlineStr">
        <is>
          <t>Hoodies</t>
        </is>
      </c>
      <c r="T199" s="3" t="inlineStr">
        <is>
          <t>Men</t>
        </is>
      </c>
    </row>
    <row r="200" ht="80" customHeight="1">
      <c r="A200" s="2">
        <f>IMAGE("https://images.lululemon.com/is/image/lululemon/LU9CU5S_031382_1?wid=320&amp;op_usm=0.8",1)</f>
        <v/>
      </c>
      <c r="B200" s="2" t="inlineStr">
        <is>
          <t>Easy Clip Nano Golf Pouch</t>
        </is>
      </c>
      <c r="C200" s="2" t="inlineStr">
        <is>
          <t>156484978</t>
        </is>
      </c>
      <c r="D200" s="2" t="inlineStr">
        <is>
          <t>$34.00</t>
        </is>
      </c>
      <c r="E200" s="2" t="inlineStr">
        <is>
          <t>$17.00</t>
        </is>
      </c>
      <c r="F200" s="2">
        <f>IMAGE("https://images.lululemon.com/is/image/lululemon/31382",1)</f>
        <v/>
      </c>
      <c r="G200" s="2">
        <f>IMAGE("https://images.lululemon.com/is/image/lululemon/0001",1)</f>
        <v/>
      </c>
      <c r="H200" s="2" t="n"/>
      <c r="I200" s="2" t="n"/>
      <c r="J200" s="2" t="n"/>
      <c r="K200" s="2" t="n"/>
      <c r="L200" s="2" t="inlineStr">
        <is>
          <t>O/S</t>
        </is>
      </c>
      <c r="M200" s="2" t="n">
        <v>46</v>
      </c>
      <c r="N200" s="2" t="inlineStr">
        <is>
          <t>Fore! This pouch clips onto  your golf bag to keep extra  balls and tees conveniently  close when your shot goes out  of bounds.</t>
        </is>
      </c>
      <c r="O200" s="2" t="inlineStr">
        <is>
          <t>Easy-Clip-Nano-Golf-Pouch</t>
        </is>
      </c>
      <c r="P200" s="2" t="inlineStr">
        <is>
          <t>Yes</t>
        </is>
      </c>
      <c r="Q200" s="2" t="inlineStr">
        <is>
          <t>Easy Clip Nano Golf Pouch TRNV ONE SIZE</t>
        </is>
      </c>
      <c r="R200" s="2" t="inlineStr">
        <is>
          <t>True Navy, Black</t>
        </is>
      </c>
      <c r="S200" s="2" t="inlineStr">
        <is>
          <t>Wallets and Pouches, Bag Accessories</t>
        </is>
      </c>
      <c r="T200" s="2" t="inlineStr">
        <is>
          <t>Men</t>
        </is>
      </c>
    </row>
    <row r="201" ht="80" customHeight="1">
      <c r="A201" s="3">
        <f>IMAGE("https://images.lululemon.com/is/image/lululemon/LM3GC8S_0002_1?wid=320&amp;op_usm=0.8",1)</f>
        <v/>
      </c>
      <c r="B201" s="3" t="inlineStr">
        <is>
          <t>UV-Protective Slim-Fit Zipped Golf Polo Shirt</t>
        </is>
      </c>
      <c r="C201" s="3" t="inlineStr">
        <is>
          <t>158096528</t>
        </is>
      </c>
      <c r="D201" s="3" t="inlineStr">
        <is>
          <t>$98.00</t>
        </is>
      </c>
      <c r="E201" s="3" t="inlineStr">
        <is>
          <t>$49.00</t>
        </is>
      </c>
      <c r="F201" s="3">
        <f>IMAGE("https://images.lululemon.com/is/image/lululemon/0002",1)</f>
        <v/>
      </c>
      <c r="G201" s="3" t="n"/>
      <c r="H201" s="3" t="n"/>
      <c r="I201" s="3" t="n"/>
      <c r="J201" s="3" t="n"/>
      <c r="K201" s="3" t="n"/>
      <c r="L201" s="3" t="inlineStr">
        <is>
          <t>S, M, L, XL, XXL</t>
        </is>
      </c>
      <c r="M201" s="3" t="n">
        <v>442</v>
      </c>
      <c r="N201" s="3" t="inlineStr">
        <is>
          <t>Stretch for your swing. Cut from four-way stretch fabric, this sweat-wicking golf polo offers unrestricted movement whether you're teeing off, chipping in, or hanging out.</t>
        </is>
      </c>
      <c r="O201" s="3" t="inlineStr">
        <is>
          <t>UV-Protective-Slim-Fit-Zipped-Golf-Polo-Shirt</t>
        </is>
      </c>
      <c r="P201" s="3" t="inlineStr">
        <is>
          <t>Yes</t>
        </is>
      </c>
      <c r="Q201" s="3" t="inlineStr">
        <is>
          <t>UV-Protective Zipped Golf Polo WHT S</t>
        </is>
      </c>
      <c r="R201" s="3" t="inlineStr">
        <is>
          <t>White</t>
        </is>
      </c>
      <c r="S201" s="3" t="inlineStr"/>
      <c r="T201" s="3" t="inlineStr">
        <is>
          <t>Men</t>
        </is>
      </c>
    </row>
    <row r="202" ht="80" customHeight="1">
      <c r="A202" s="2">
        <f>IMAGE("https://images.lululemon.com/is/image/lululemon/LM3CZOS_0001_1?wid=320&amp;op_usm=0.8",1)</f>
        <v/>
      </c>
      <c r="B202" s="2" t="inlineStr">
        <is>
          <t>Sojourn Jacket</t>
        </is>
      </c>
      <c r="C202" s="2" t="inlineStr">
        <is>
          <t>136275265</t>
        </is>
      </c>
      <c r="D202" s="2" t="inlineStr">
        <is>
          <t>$148.00</t>
        </is>
      </c>
      <c r="E202" s="2" t="inlineStr">
        <is>
          <t>$74.00</t>
        </is>
      </c>
      <c r="F202" s="2">
        <f>IMAGE("https://images.lululemon.com/is/image/lululemon/0001",1)</f>
        <v/>
      </c>
      <c r="G202" s="2">
        <f>IMAGE("https://images.lululemon.com/is/image/lululemon/31382",1)</f>
        <v/>
      </c>
      <c r="H202" s="2" t="n"/>
      <c r="I202" s="2" t="n"/>
      <c r="J202" s="2" t="n"/>
      <c r="K202" s="2" t="n"/>
      <c r="L202" s="2" t="inlineStr">
        <is>
          <t>S, M, L, XL, XXL</t>
        </is>
      </c>
      <c r="M202" s="2" t="n">
        <v>262</v>
      </c>
      <c r="N202" s="2" t="inlineStr">
        <is>
          <t>Going somewhere? This sleek track jacket was designed with plenty of secure pockets so you can take the essentials with you (and maybe a little more).</t>
        </is>
      </c>
      <c r="O202" s="2" t="inlineStr">
        <is>
          <t>Sojourn-Jacket</t>
        </is>
      </c>
      <c r="P202" s="2" t="inlineStr">
        <is>
          <t>Yes</t>
        </is>
      </c>
      <c r="Q202" s="2" t="inlineStr">
        <is>
          <t>Sojourn Jacket TRNV S</t>
        </is>
      </c>
      <c r="R202" s="2" t="inlineStr">
        <is>
          <t>Black, True Navy</t>
        </is>
      </c>
      <c r="S202" s="2" t="inlineStr">
        <is>
          <t>Athletic Jackets</t>
        </is>
      </c>
      <c r="T202" s="2" t="inlineStr">
        <is>
          <t>Men</t>
        </is>
      </c>
    </row>
    <row r="203" ht="80" customHeight="1">
      <c r="A203" s="3">
        <f>IMAGE("https://images.lululemon.com/is/image/lululemon/LM3ES3S_063781_1?wid=320&amp;op_usm=0.8",1)</f>
        <v/>
      </c>
      <c r="B203" s="3" t="inlineStr">
        <is>
          <t>Soft Jersey Short-Sleeve Shirt</t>
        </is>
      </c>
      <c r="C203" s="3" t="inlineStr">
        <is>
          <t>148229196</t>
        </is>
      </c>
      <c r="D203" s="3" t="inlineStr">
        <is>
          <t>$58.00</t>
        </is>
      </c>
      <c r="E203" s="3" t="inlineStr">
        <is>
          <t>$29.00</t>
        </is>
      </c>
      <c r="F203" s="3">
        <f>IMAGE("https://images.lululemon.com/is/image/lululemon/63781",1)</f>
        <v/>
      </c>
      <c r="G203" s="3">
        <f>IMAGE("https://images.lululemon.com/is/image/lululemon/0002",1)</f>
        <v/>
      </c>
      <c r="H203" s="3">
        <f>IMAGE("https://images.lululemon.com/is/image/lululemon/63787",1)</f>
        <v/>
      </c>
      <c r="I203" s="3" t="n"/>
      <c r="J203" s="3" t="n"/>
      <c r="K203" s="3" t="n"/>
      <c r="L203" s="3" t="inlineStr">
        <is>
          <t>S, M, L, XL, XXL</t>
        </is>
      </c>
      <c r="M203" s="3" t="n">
        <v>720</v>
      </c>
      <c r="N203" s="3" t="inlineStr">
        <is>
          <t>Rest and reset. This lightweight jersey top has a softly brushed interior that makes downtime irresistible.</t>
        </is>
      </c>
      <c r="O203" s="3" t="inlineStr">
        <is>
          <t>Soft-Jersey-Short-Sleeve-Shirt</t>
        </is>
      </c>
      <c r="P203" s="3" t="inlineStr">
        <is>
          <t>Yes</t>
        </is>
      </c>
      <c r="Q203" s="3" t="inlineStr">
        <is>
          <t>Soft Jersey Short Sleeve HVPR/HSVD S</t>
        </is>
      </c>
      <c r="R203" s="3" t="inlineStr">
        <is>
          <t>Heathered Vapor/Heathered Silver Drop, White, Atmospheric Purple</t>
        </is>
      </c>
      <c r="S203" s="3" t="inlineStr"/>
      <c r="T203" s="3" t="inlineStr">
        <is>
          <t>Men</t>
        </is>
      </c>
    </row>
    <row r="204" ht="80" customHeight="1">
      <c r="A204" s="2">
        <f>IMAGE("https://images.lululemon.com/is/image/lululemon/LM3F45S_0001_1?wid=320&amp;op_usm=0.8",1)</f>
        <v/>
      </c>
      <c r="B204" s="2" t="inlineStr">
        <is>
          <t>Soft Jersey Half Zip</t>
        </is>
      </c>
      <c r="C204" s="2" t="inlineStr">
        <is>
          <t>148229492</t>
        </is>
      </c>
      <c r="D204" s="2" t="inlineStr">
        <is>
          <t>$98.00</t>
        </is>
      </c>
      <c r="E204" s="2" t="inlineStr">
        <is>
          <t>$49.00</t>
        </is>
      </c>
      <c r="F204" s="2">
        <f>IMAGE("https://images.lululemon.com/is/image/lululemon/0001",1)</f>
        <v/>
      </c>
      <c r="G204" s="2">
        <f>IMAGE("https://images.lululemon.com/is/image/lululemon/63781",1)</f>
        <v/>
      </c>
      <c r="H204" s="2">
        <f>IMAGE("https://images.lululemon.com/is/image/lululemon/49106",1)</f>
        <v/>
      </c>
      <c r="I204" s="2">
        <f>IMAGE("https://images.lululemon.com/is/image/lululemon/72145",1)</f>
        <v/>
      </c>
      <c r="J204" s="2">
        <f>IMAGE("https://images.lululemon.com/is/image/lululemon/64587",1)</f>
        <v/>
      </c>
      <c r="K204" s="2">
        <f>IMAGE("https://images.lululemon.com/is/image/lululemon/72148",1)</f>
        <v/>
      </c>
      <c r="L204" s="2" t="inlineStr">
        <is>
          <t>S, M, L, XL, XXL, 3XL</t>
        </is>
      </c>
      <c r="M204" s="2" t="n">
        <v>3989</v>
      </c>
      <c r="N204" s="2" t="inlineStr">
        <is>
          <t>Rest and reset. This lightweight jersey half zip has a softly brushed interior that makes downtime irresistible.</t>
        </is>
      </c>
      <c r="O204" s="2" t="inlineStr">
        <is>
          <t>Soft-Jersey-Half-Zip</t>
        </is>
      </c>
      <c r="P204" s="2" t="inlineStr">
        <is>
          <t>Yes</t>
        </is>
      </c>
      <c r="Q204" s="2" t="inlineStr">
        <is>
          <t>Soft Jersey Half Zip BLK S</t>
        </is>
      </c>
      <c r="R204" s="2" t="inlineStr">
        <is>
          <t>Black, Heathered Vapor/Heathered Silver Drop, Rainforest Green, Heathered Blue Twill/Heathered Dove Grey, Heathered Black/Heathered Graphite Grey, Heathered Palm Deco/Heathered Bay Leaf, Heathered True Navy/Heathered Club Blue, Dove Grey</t>
        </is>
      </c>
      <c r="S204" s="2" t="inlineStr">
        <is>
          <t>Half Zip Sweatshirts, Quarter Zip Sweatshirts</t>
        </is>
      </c>
      <c r="T204" s="2" t="inlineStr">
        <is>
          <t>Men</t>
        </is>
      </c>
    </row>
    <row r="205" ht="80" customHeight="1">
      <c r="A205" s="3">
        <f>IMAGE("https://images.lululemon.com/is/image/lululemon/LU9BSJS_072760_1?wid=320&amp;op_usm=0.8",1)</f>
        <v/>
      </c>
      <c r="B205" s="3" t="inlineStr">
        <is>
          <t>Curved Crossbody Bag 3L</t>
        </is>
      </c>
      <c r="C205" s="3" t="inlineStr">
        <is>
          <t>158029888</t>
        </is>
      </c>
      <c r="D205" s="3" t="inlineStr">
        <is>
          <t>$78.00</t>
        </is>
      </c>
      <c r="E205" s="3" t="inlineStr">
        <is>
          <t>$39.00</t>
        </is>
      </c>
      <c r="F205" s="3">
        <f>IMAGE("https://images.lululemon.com/is/image/lululemon/72760",1)</f>
        <v/>
      </c>
      <c r="G205" s="3">
        <f>IMAGE("https://images.lululemon.com/is/image/lululemon/21363",1)</f>
        <v/>
      </c>
      <c r="H205" s="3" t="n"/>
      <c r="I205" s="3" t="n"/>
      <c r="J205" s="3" t="n"/>
      <c r="K205" s="3" t="n"/>
      <c r="L205" s="3" t="inlineStr">
        <is>
          <t>O/S</t>
        </is>
      </c>
      <c r="M205" s="3" t="n">
        <v>1184</v>
      </c>
      <c r="N205" s="3" t="inlineStr">
        <is>
          <t>Look at you, all hands-free and hydrated. This cross-body's unique design lets you stow your water bottle in a hidden drop-down pocket.</t>
        </is>
      </c>
      <c r="O205" s="3" t="inlineStr">
        <is>
          <t>Curved-Crossbody-Bag-3L</t>
        </is>
      </c>
      <c r="P205" s="3" t="inlineStr">
        <is>
          <t>Yes</t>
        </is>
      </c>
      <c r="Q205" s="3" t="inlineStr">
        <is>
          <t>Curved Crossbody Bag ONGE ONE SIZE</t>
        </is>
      </c>
      <c r="R205" s="3" t="inlineStr">
        <is>
          <t>Onyx Grey, Berry Rumble</t>
        </is>
      </c>
      <c r="S205" s="3" t="inlineStr">
        <is>
          <t>Crossbody Bags</t>
        </is>
      </c>
      <c r="T205" s="3" t="inlineStr">
        <is>
          <t>Men</t>
        </is>
      </c>
    </row>
    <row r="206" ht="80" customHeight="1">
      <c r="A206" s="2">
        <f>IMAGE("https://images.lululemon.com/is/image/lululemon/LM3FYES_039270_1?wid=320&amp;op_usm=0.8",1)</f>
        <v/>
      </c>
      <c r="B206" s="2" t="inlineStr">
        <is>
          <t>3D Waffle-Knit Jacquard Vest</t>
        </is>
      </c>
      <c r="C206" s="2" t="inlineStr">
        <is>
          <t>158028827</t>
        </is>
      </c>
      <c r="D206" s="2" t="inlineStr">
        <is>
          <t>$128.00</t>
        </is>
      </c>
      <c r="E206" s="2" t="inlineStr">
        <is>
          <t>$64.00</t>
        </is>
      </c>
      <c r="F206" s="2">
        <f>IMAGE("https://images.lululemon.com/is/image/lululemon/39270",1)</f>
        <v/>
      </c>
      <c r="G206" s="2" t="n"/>
      <c r="H206" s="2" t="n"/>
      <c r="I206" s="2" t="n"/>
      <c r="J206" s="2" t="n"/>
      <c r="K206" s="2" t="n"/>
      <c r="L206" s="2" t="inlineStr">
        <is>
          <t>S, M, L, XL, XXL</t>
        </is>
      </c>
      <c r="M206" s="2" t="n">
        <v>172</v>
      </c>
      <c r="N206" s="2" t="inlineStr">
        <is>
          <t>For running a 5k or just to the store, this snap-front vest features a casual neckline and softly textured fabric for breathable, versatile comfort.</t>
        </is>
      </c>
      <c r="O206" s="2" t="inlineStr">
        <is>
          <t>3D-Waffle-Knit-Jacquard-Vest</t>
        </is>
      </c>
      <c r="P206" s="2" t="inlineStr">
        <is>
          <t>Yes</t>
        </is>
      </c>
      <c r="Q206" s="2" t="inlineStr">
        <is>
          <t>3D Waffle Jacquard Vest SOGY/SOGY S</t>
        </is>
      </c>
      <c r="R206" s="2" t="inlineStr">
        <is>
          <t>Solar Grey/Solar Grey</t>
        </is>
      </c>
      <c r="S206" s="2" t="inlineStr">
        <is>
          <t>Vests, Athletic Jackets</t>
        </is>
      </c>
      <c r="T206" s="2" t="inlineStr">
        <is>
          <t>Men</t>
        </is>
      </c>
    </row>
    <row r="207" ht="80" customHeight="1">
      <c r="A207" s="3">
        <f>IMAGE("https://images.lululemon.com/is/image/lululemon/LM3FFZS_068027_1?wid=320&amp;op_usm=0.8",1)</f>
        <v/>
      </c>
      <c r="B207" s="3" t="inlineStr">
        <is>
          <t>Relaxed-Fit Smooth Twill Track Jacket</t>
        </is>
      </c>
      <c r="C207" s="3" t="inlineStr">
        <is>
          <t>154886392</t>
        </is>
      </c>
      <c r="D207" s="3" t="inlineStr">
        <is>
          <t>$148.00</t>
        </is>
      </c>
      <c r="E207" s="3" t="inlineStr">
        <is>
          <t>$74.00</t>
        </is>
      </c>
      <c r="F207" s="3">
        <f>IMAGE("https://images.lululemon.com/is/image/lululemon/68027",1)</f>
        <v/>
      </c>
      <c r="G207" s="3" t="n"/>
      <c r="H207" s="3" t="n"/>
      <c r="I207" s="3" t="n"/>
      <c r="J207" s="3" t="n"/>
      <c r="K207" s="3" t="n"/>
      <c r="L207" s="3" t="inlineStr">
        <is>
          <t>S, M, L, XL, XXL</t>
        </is>
      </c>
      <c r="M207" s="3" t="n">
        <v>703</v>
      </c>
      <c r="N207" s="3" t="inlineStr">
        <is>
          <t>Go beyond the gym. This jacket is made from abrasion-resistant fabric to withstand exposure to equipment and the great outdoors.</t>
        </is>
      </c>
      <c r="O207" s="3" t="inlineStr">
        <is>
          <t>Relaxed-Fit-Smooth-Twill-Track-Jacket</t>
        </is>
      </c>
      <c r="P207" s="3" t="inlineStr">
        <is>
          <t>Yes</t>
        </is>
      </c>
      <c r="Q207" s="3" t="inlineStr">
        <is>
          <t>Relaxed-Fit Twill Track Jacket GYOS S</t>
        </is>
      </c>
      <c r="R207" s="3" t="inlineStr">
        <is>
          <t>Grey Oasis</t>
        </is>
      </c>
      <c r="S207" s="3" t="inlineStr">
        <is>
          <t>Athletic Jackets, Track Jackets</t>
        </is>
      </c>
      <c r="T207" s="3" t="inlineStr">
        <is>
          <t>Men</t>
        </is>
      </c>
    </row>
    <row r="208" ht="80" customHeight="1">
      <c r="A208" s="2">
        <f>IMAGE("https://images.lululemon.com/is/image/lululemon/LM7BPSS_033928_1?wid=320&amp;op_usm=0.8",1)</f>
        <v/>
      </c>
      <c r="B208" s="2" t="inlineStr">
        <is>
          <t>Zeroed In Linerless Crinkle Texture Short 5"</t>
        </is>
      </c>
      <c r="C208" s="2" t="inlineStr">
        <is>
          <t>158100758</t>
        </is>
      </c>
      <c r="D208" s="2" t="inlineStr">
        <is>
          <t>$78.00</t>
        </is>
      </c>
      <c r="E208" s="2" t="inlineStr">
        <is>
          <t>$39.00</t>
        </is>
      </c>
      <c r="F208" s="2">
        <f>IMAGE("https://images.lululemon.com/is/image/lululemon/33928",1)</f>
        <v/>
      </c>
      <c r="G208" s="2">
        <f>IMAGE("https://images.lululemon.com/is/image/lululemon/0001",1)</f>
        <v/>
      </c>
      <c r="H208" s="2" t="n"/>
      <c r="I208" s="2" t="n"/>
      <c r="J208" s="2" t="n"/>
      <c r="K208" s="2" t="n"/>
      <c r="L208" s="2" t="inlineStr">
        <is>
          <t>S, M, L, XL, XXL</t>
        </is>
      </c>
      <c r="M208" s="2" t="n">
        <v>176</v>
      </c>
      <c r="N208" s="2" t="inlineStr">
        <is>
          <t>Work out or hang out. These versatile shorts are designed to keep up with every way you like to move.</t>
        </is>
      </c>
      <c r="O208" s="2" t="inlineStr">
        <is>
          <t>Zeroed-In-Linerless-Crinkle-Texture-Short-5</t>
        </is>
      </c>
      <c r="P208" s="2" t="inlineStr">
        <is>
          <t>Yes</t>
        </is>
      </c>
      <c r="Q208" s="2" t="inlineStr">
        <is>
          <t>Zeroed In Crinkle Texture Short 5" *LL SILD S</t>
        </is>
      </c>
      <c r="R208" s="2" t="inlineStr">
        <is>
          <t>Silver Drop, Black</t>
        </is>
      </c>
      <c r="S208" s="2" t="inlineStr"/>
      <c r="T208" s="2" t="inlineStr">
        <is>
          <t>Men</t>
        </is>
      </c>
    </row>
    <row r="209" ht="80" customHeight="1">
      <c r="A209" s="3">
        <f>IMAGE("https://images.lululemon.com/is/image/lululemon/LM7BMHS_031382_1?wid=320&amp;op_usm=0.8",1)</f>
        <v/>
      </c>
      <c r="B209" s="3" t="inlineStr">
        <is>
          <t>ABC Classic-Fit Short 7" *Warpstreme</t>
        </is>
      </c>
      <c r="C209" s="3" t="inlineStr">
        <is>
          <t>151850215</t>
        </is>
      </c>
      <c r="D209" s="3" t="inlineStr">
        <is>
          <t>$88.00</t>
        </is>
      </c>
      <c r="E209" s="3" t="inlineStr">
        <is>
          <t>$44.00</t>
        </is>
      </c>
      <c r="F209" s="3">
        <f>IMAGE("https://images.lululemon.com/is/image/lululemon/31382",1)</f>
        <v/>
      </c>
      <c r="G209" s="3">
        <f>IMAGE("https://images.lululemon.com/is/image/lululemon/0001",1)</f>
        <v/>
      </c>
      <c r="H209" s="3" t="n"/>
      <c r="I209" s="3" t="n"/>
      <c r="J209" s="3" t="n"/>
      <c r="K209" s="3" t="n"/>
      <c r="L209" s="3" t="inlineStr">
        <is>
          <t>32, 33, 34, 36, 38, 40</t>
        </is>
      </c>
      <c r="M209" s="3" t="n">
        <v>957</v>
      </c>
      <c r="N209" s="3" t="inlineStr">
        <is>
          <t>Welcome to the all-day comfort club. Streamlined yet technical, these shorts elevate any look.</t>
        </is>
      </c>
      <c r="O209" s="3" t="inlineStr">
        <is>
          <t>ABC-Short-Classic-7</t>
        </is>
      </c>
      <c r="P209" s="3" t="inlineStr">
        <is>
          <t>Yes</t>
        </is>
      </c>
      <c r="Q209" s="3" t="inlineStr">
        <is>
          <t>ABC Classic-Fit Short 7" *Warpstreme TRNV 32</t>
        </is>
      </c>
      <c r="R209" s="3" t="inlineStr">
        <is>
          <t>True Navy, Black</t>
        </is>
      </c>
      <c r="S209" s="3" t="inlineStr">
        <is>
          <t>Chino Shorts</t>
        </is>
      </c>
      <c r="T209" s="3" t="inlineStr">
        <is>
          <t>Men</t>
        </is>
      </c>
    </row>
    <row r="210" ht="80" customHeight="1">
      <c r="A210" s="2">
        <f>IMAGE("https://images.lululemon.com/is/image/lululemon/LU9BW1S_0001_1?wid=320&amp;op_usm=0.8",1)</f>
        <v/>
      </c>
      <c r="B210" s="2" t="inlineStr">
        <is>
          <t>Close-Fit Wool-Blend Ribbed Knit Beanie</t>
        </is>
      </c>
      <c r="C210" s="2" t="inlineStr">
        <is>
          <t>153826998</t>
        </is>
      </c>
      <c r="D210" s="2" t="inlineStr">
        <is>
          <t>$48.00</t>
        </is>
      </c>
      <c r="E210" s="2" t="inlineStr">
        <is>
          <t>$24.00</t>
        </is>
      </c>
      <c r="F210" s="2">
        <f>IMAGE("https://images.lululemon.com/is/image/lululemon/0001",1)</f>
        <v/>
      </c>
      <c r="G210" s="2" t="n"/>
      <c r="H210" s="2" t="n"/>
      <c r="I210" s="2" t="n"/>
      <c r="J210" s="2" t="n"/>
      <c r="K210" s="2" t="n"/>
      <c r="L210" s="2" t="inlineStr">
        <is>
          <t>O/S</t>
        </is>
      </c>
      <c r="M210" s="2" t="n">
        <v>380</v>
      </c>
      <c r="N210" s="2" t="inlineStr">
        <is>
          <t>Keep the cozy close. This lightweight, soft beanie is strategically knit to maintain a close fit, keeping things toasty up top.</t>
        </is>
      </c>
      <c r="O210" s="2" t="inlineStr">
        <is>
          <t>Close-Wool-Blend-Ribbed-Knit-Beanie</t>
        </is>
      </c>
      <c r="P210" s="2" t="inlineStr">
        <is>
          <t>Yes</t>
        </is>
      </c>
      <c r="Q210" s="2" t="inlineStr">
        <is>
          <t>Close-Fit Wool-Blend Ribbed Knit Beanie BLK ONE SIZE</t>
        </is>
      </c>
      <c r="R210" s="2" t="inlineStr">
        <is>
          <t>Black</t>
        </is>
      </c>
      <c r="S210" s="2" t="inlineStr">
        <is>
          <t>Beanies</t>
        </is>
      </c>
      <c r="T210" s="2" t="inlineStr">
        <is>
          <t>Men</t>
        </is>
      </c>
    </row>
    <row r="211" ht="80" customHeight="1">
      <c r="A211" s="3">
        <f>IMAGE("https://images.lululemon.com/is/image/lululemon/LU9BYLS_069147_1?wid=320&amp;op_usm=0.8",1)</f>
        <v/>
      </c>
      <c r="B211" s="3" t="inlineStr">
        <is>
          <t>Back to Life Sport Bottle 24oz *Straw Lid</t>
        </is>
      </c>
      <c r="C211" s="3" t="inlineStr">
        <is>
          <t>157718272</t>
        </is>
      </c>
      <c r="D211" s="3" t="inlineStr">
        <is>
          <t>$44.00</t>
        </is>
      </c>
      <c r="E211" s="3" t="inlineStr">
        <is>
          <t>$22.00</t>
        </is>
      </c>
      <c r="F211" s="3">
        <f>IMAGE("https://images.lululemon.com/is/image/lululemon/69147",1)</f>
        <v/>
      </c>
      <c r="G211" s="3">
        <f>IMAGE("https://images.lululemon.com/is/image/lululemon/74492",1)</f>
        <v/>
      </c>
      <c r="H211" s="3">
        <f>IMAGE("https://images.lululemon.com/is/image/lululemon/0002",1)</f>
        <v/>
      </c>
      <c r="I211" s="3" t="n"/>
      <c r="J211" s="3" t="n"/>
      <c r="K211" s="3" t="n"/>
      <c r="L211" s="3" t="inlineStr">
        <is>
          <t>O/S</t>
        </is>
      </c>
      <c r="M211" s="3" t="n">
        <v>220</v>
      </c>
      <c r="N211" s="3" t="inlineStr">
        <is>
          <t>Sport mode: activated. This insulated water bottle has a built-in straw lid and a slip-free texture to make one-handed drinking a breeze.</t>
        </is>
      </c>
      <c r="O211" s="3" t="inlineStr">
        <is>
          <t>Bck-to-Life-Sprt-Bttle-24oz-Straw-Lid</t>
        </is>
      </c>
      <c r="P211" s="3" t="inlineStr">
        <is>
          <t>Yes</t>
        </is>
      </c>
      <c r="Q211" s="3" t="inlineStr">
        <is>
          <t>Back to Life Sport Bottle 24oz*Straw Lid BLK/VIOI/DKLV ONE SIZE</t>
        </is>
      </c>
      <c r="R211" s="3" t="inlineStr">
        <is>
          <t>Black/Violet Indigo/Dusky Lavender, White/Dove Grey/Pelican, White</t>
        </is>
      </c>
      <c r="S211" s="3" t="inlineStr"/>
      <c r="T211" s="3" t="inlineStr">
        <is>
          <t>Men</t>
        </is>
      </c>
    </row>
    <row r="212" ht="80" customHeight="1">
      <c r="A212" s="2">
        <f>IMAGE("https://images.lululemon.com/is/image/lululemon/LW9FM7S_0002_1?wid=320&amp;op_usm=0.8",1)</f>
        <v/>
      </c>
      <c r="B212" s="2" t="inlineStr">
        <is>
          <t>Women's Fast Paced Wide Band Running Visor</t>
        </is>
      </c>
      <c r="C212" s="2" t="inlineStr">
        <is>
          <t>150750152</t>
        </is>
      </c>
      <c r="D212" s="2" t="inlineStr">
        <is>
          <t>$28.00</t>
        </is>
      </c>
      <c r="E212" s="2" t="inlineStr">
        <is>
          <t>$14.00</t>
        </is>
      </c>
      <c r="F212" s="2">
        <f>IMAGE("https://images.lululemon.com/is/image/lululemon/0002",1)</f>
        <v/>
      </c>
      <c r="G212" s="2" t="n"/>
      <c r="H212" s="2" t="n"/>
      <c r="I212" s="2" t="n"/>
      <c r="J212" s="2" t="n"/>
      <c r="K212" s="2" t="n"/>
      <c r="L212" s="2" t="inlineStr">
        <is>
          <t>O/S</t>
        </is>
      </c>
      <c r="M212" s="2" t="n">
        <v>716</v>
      </c>
      <c r="N212" s="2" t="inlineStr">
        <is>
          <t>Feel the wind, not the rays. We added height to the front band of this visor for extra coverage on your forehead. The ultimate run-in-the-sun solution just levelled up.</t>
        </is>
      </c>
      <c r="O212" s="2" t="inlineStr">
        <is>
          <t>W-Fast-Paced-Wide-Band-Running-Visor</t>
        </is>
      </c>
      <c r="P212" s="2" t="inlineStr">
        <is>
          <t>Yes</t>
        </is>
      </c>
      <c r="Q212" s="2" t="inlineStr">
        <is>
          <t>Fast Paced Wide Band Run Visor WHT ONE SIZE</t>
        </is>
      </c>
      <c r="R212" s="2" t="inlineStr">
        <is>
          <t>White</t>
        </is>
      </c>
      <c r="S212" s="2" t="inlineStr">
        <is>
          <t>Visors</t>
        </is>
      </c>
      <c r="T212" s="2" t="inlineStr">
        <is>
          <t>Men</t>
        </is>
      </c>
    </row>
    <row r="213" ht="80" customHeight="1">
      <c r="A213" s="3">
        <f>IMAGE("https://images.lululemon.com/is/image/lululemon/LU9DO5S_0002_1?wid=320&amp;op_usm=0.8",1)</f>
        <v/>
      </c>
      <c r="B213" s="3" t="inlineStr">
        <is>
          <t>Unisex Daily Essential Crew Socks</t>
        </is>
      </c>
      <c r="C213" s="3" t="inlineStr">
        <is>
          <t>157768511</t>
        </is>
      </c>
      <c r="D213" s="3" t="inlineStr">
        <is>
          <t>$14.00</t>
        </is>
      </c>
      <c r="E213" s="3" t="inlineStr">
        <is>
          <t>$7.00</t>
        </is>
      </c>
      <c r="F213" s="3">
        <f>IMAGE("https://images.lululemon.com/is/image/lululemon/0002",1)</f>
        <v/>
      </c>
      <c r="G213" s="3" t="n"/>
      <c r="H213" s="3" t="n"/>
      <c r="I213" s="3" t="n"/>
      <c r="J213" s="3" t="n"/>
      <c r="K213" s="3" t="n"/>
      <c r="L213" s="3" t="inlineStr">
        <is>
          <t>S, M, L, XL</t>
        </is>
      </c>
      <c r="M213" s="3" t="n">
        <v>183</v>
      </c>
      <c r="N213" s="3" t="inlineStr">
        <is>
          <t>Top drawer comfort. These soft cotton socks combine integrated arch support and plush cushioning.</t>
        </is>
      </c>
      <c r="O213" s="3" t="inlineStr">
        <is>
          <t>Unisex-Daily-Essential-Crew-Socks</t>
        </is>
      </c>
      <c r="P213" s="3" t="inlineStr">
        <is>
          <t>Yes</t>
        </is>
      </c>
      <c r="Q213" s="3" t="inlineStr">
        <is>
          <t>Daily Essential Socks WHT S</t>
        </is>
      </c>
      <c r="R213" s="3" t="inlineStr">
        <is>
          <t>White</t>
        </is>
      </c>
      <c r="S213" s="3" t="inlineStr">
        <is>
          <t>Crew Socks</t>
        </is>
      </c>
      <c r="T213" s="3" t="inlineStr">
        <is>
          <t>Men</t>
        </is>
      </c>
    </row>
    <row r="214" ht="80" customHeight="1">
      <c r="A214" s="2">
        <f>IMAGE("https://images.lululemon.com/is/image/lululemon/LM7B92S_8650_1?wid=320&amp;op_usm=0.8",1)</f>
        <v/>
      </c>
      <c r="B214" s="2" t="inlineStr">
        <is>
          <t>Textured Double-Knit Cotton Short 7"</t>
        </is>
      </c>
      <c r="C214" s="2" t="inlineStr">
        <is>
          <t>148302460</t>
        </is>
      </c>
      <c r="D214" s="2" t="inlineStr">
        <is>
          <t>$78.00</t>
        </is>
      </c>
      <c r="E214" s="2" t="inlineStr">
        <is>
          <t>$39.00</t>
        </is>
      </c>
      <c r="F214" s="2">
        <f>IMAGE("https://images.lululemon.com/is/image/lululemon/8650",1)</f>
        <v/>
      </c>
      <c r="G214" s="2" t="n"/>
      <c r="H214" s="2" t="n"/>
      <c r="I214" s="2" t="n"/>
      <c r="J214" s="2" t="n"/>
      <c r="K214" s="2" t="n"/>
      <c r="L214" s="2" t="inlineStr">
        <is>
          <t>S, M, L, XL, XXL</t>
        </is>
      </c>
      <c r="M214" s="2" t="n">
        <v>112</v>
      </c>
      <c r="N214" s="2" t="inlineStr">
        <is>
          <t>Whether it's go time or chill time, these naturally breathable shorts feature stretchy, textured fabric that moves with you.</t>
        </is>
      </c>
      <c r="O214" s="2" t="inlineStr">
        <is>
          <t>Textured-Double-Knit-Cotton-Short-7</t>
        </is>
      </c>
      <c r="P214" s="2" t="inlineStr">
        <is>
          <t>Yes</t>
        </is>
      </c>
      <c r="Q214" s="2" t="inlineStr">
        <is>
          <t>Textured Double-Knit Cotton Short 7" HBLK/BLK S</t>
        </is>
      </c>
      <c r="R214" s="2" t="inlineStr">
        <is>
          <t>Heathered Black/Black</t>
        </is>
      </c>
      <c r="S214" s="2" t="inlineStr">
        <is>
          <t>Sweat Shorts</t>
        </is>
      </c>
      <c r="T214" s="2" t="inlineStr">
        <is>
          <t>Men</t>
        </is>
      </c>
    </row>
    <row r="215" ht="80" customHeight="1">
      <c r="A215" s="3">
        <f>IMAGE("https://images.lululemon.com/is/image/lululemon/LM3EX7S_0001_1?wid=320&amp;op_usm=0.8",1)</f>
        <v/>
      </c>
      <c r="B215" s="3" t="inlineStr">
        <is>
          <t>Waffle-Knit Half Zip</t>
        </is>
      </c>
      <c r="C215" s="3" t="inlineStr">
        <is>
          <t>149503444</t>
        </is>
      </c>
      <c r="D215" s="3" t="inlineStr">
        <is>
          <t>$128.00</t>
        </is>
      </c>
      <c r="E215" s="3" t="inlineStr">
        <is>
          <t>$64.00</t>
        </is>
      </c>
      <c r="F215" s="3">
        <f>IMAGE("https://images.lululemon.com/is/image/lululemon/0001",1)</f>
        <v/>
      </c>
      <c r="G215" s="3" t="n"/>
      <c r="H215" s="3" t="n"/>
      <c r="I215" s="3" t="n"/>
      <c r="J215" s="3" t="n"/>
      <c r="K215" s="3" t="n"/>
      <c r="L215" s="3" t="inlineStr">
        <is>
          <t>S, M, L, XL, XXL</t>
        </is>
      </c>
      <c r="M215" s="3" t="n">
        <v>205</v>
      </c>
      <c r="N215" s="3" t="inlineStr">
        <is>
          <t>Cold-weather convert. This sweat-wicking thermal layer helps lock in heat to keep you running when the temperature drops.</t>
        </is>
      </c>
      <c r="O215" s="3" t="inlineStr">
        <is>
          <t>Waffle-Knit-Half-Zip</t>
        </is>
      </c>
      <c r="P215" s="3" t="inlineStr">
        <is>
          <t>Yes</t>
        </is>
      </c>
      <c r="Q215" s="3" t="inlineStr">
        <is>
          <t>Waffle-Knit Half Zip BLK S</t>
        </is>
      </c>
      <c r="R215" s="3" t="inlineStr">
        <is>
          <t>Black</t>
        </is>
      </c>
      <c r="S215" s="3" t="inlineStr">
        <is>
          <t>Half Zip Sweatshirts, Quarter Zip Sweatshirts</t>
        </is>
      </c>
      <c r="T215" s="3" t="inlineStr">
        <is>
          <t>Men</t>
        </is>
      </c>
    </row>
    <row r="216" ht="80" customHeight="1">
      <c r="A216" s="2">
        <f>IMAGE("https://images.lululemon.com/is/image/lululemon/LM7BJ1S_0001_1?wid=320&amp;op_usm=0.8",1)</f>
        <v/>
      </c>
      <c r="B216" s="2" t="inlineStr">
        <is>
          <t>Zeroed In Linerless Short 9"</t>
        </is>
      </c>
      <c r="C216" s="2" t="inlineStr">
        <is>
          <t>153159461</t>
        </is>
      </c>
      <c r="D216" s="2" t="inlineStr">
        <is>
          <t>$68.00</t>
        </is>
      </c>
      <c r="E216" s="2" t="inlineStr">
        <is>
          <t>$34.00</t>
        </is>
      </c>
      <c r="F216" s="2">
        <f>IMAGE("https://images.lululemon.com/is/image/lululemon/0001",1)</f>
        <v/>
      </c>
      <c r="G216" s="2" t="n"/>
      <c r="H216" s="2" t="n"/>
      <c r="I216" s="2" t="n"/>
      <c r="J216" s="2" t="n"/>
      <c r="K216" s="2" t="n"/>
      <c r="L216" s="2" t="inlineStr">
        <is>
          <t>S, M, L, XL, XXL</t>
        </is>
      </c>
      <c r="M216" s="2" t="n">
        <v>497</v>
      </c>
      <c r="N216" s="2" t="inlineStr">
        <is>
          <t>Work out or hang out. These versatile shorts are designed to keep up with every way you like to move.</t>
        </is>
      </c>
      <c r="O216" s="2" t="inlineStr">
        <is>
          <t>Zeroed-In-Linerless-Short-9</t>
        </is>
      </c>
      <c r="P216" s="2" t="inlineStr">
        <is>
          <t>Yes</t>
        </is>
      </c>
      <c r="Q216" s="2" t="inlineStr">
        <is>
          <t>Zeroed In Short 9" *LL BLK S</t>
        </is>
      </c>
      <c r="R216" s="2" t="inlineStr">
        <is>
          <t>Black</t>
        </is>
      </c>
      <c r="S216" s="2" t="inlineStr">
        <is>
          <t>Athletic Shorts</t>
        </is>
      </c>
      <c r="T216" s="2" t="inlineStr">
        <is>
          <t>Men</t>
        </is>
      </c>
    </row>
    <row r="217" ht="80" customHeight="1">
      <c r="A217" s="3">
        <f>IMAGE("https://images.lululemon.com/is/image/lululemon/LM3FQQS_0002_1?wid=320&amp;op_usm=0.8",1)</f>
        <v/>
      </c>
      <c r="B217" s="3" t="inlineStr">
        <is>
          <t>Organic Cotton Classic-Fit T-Shirt</t>
        </is>
      </c>
      <c r="C217" s="3" t="inlineStr">
        <is>
          <t>155751604</t>
        </is>
      </c>
      <c r="D217" s="3" t="inlineStr">
        <is>
          <t>$58.00</t>
        </is>
      </c>
      <c r="E217" s="3" t="inlineStr">
        <is>
          <t>$29.00</t>
        </is>
      </c>
      <c r="F217" s="3">
        <f>IMAGE("https://images.lululemon.com/is/image/lululemon/0002",1)</f>
        <v/>
      </c>
      <c r="G217" s="3">
        <f>IMAGE("https://images.lululemon.com/is/image/lululemon/68578",1)</f>
        <v/>
      </c>
      <c r="H217" s="3">
        <f>IMAGE("https://images.lululemon.com/is/image/lululemon/36865",1)</f>
        <v/>
      </c>
      <c r="I217" s="3">
        <f>IMAGE("https://images.lululemon.com/is/image/lululemon/28022",1)</f>
        <v/>
      </c>
      <c r="J217" s="3" t="n"/>
      <c r="K217" s="3" t="n"/>
      <c r="L217" s="3" t="inlineStr">
        <is>
          <t>S, M, L, XL, XXL</t>
        </is>
      </c>
      <c r="M217" s="3" t="n">
        <v>1141</v>
      </c>
      <c r="N217" s="3" t="inlineStr">
        <is>
          <t>A mix-and-match mainstay. Made from soft organic cotton, this classic tee pairs well with joggers and trousers alike.</t>
        </is>
      </c>
      <c r="O217" s="3" t="inlineStr">
        <is>
          <t>Organic-Cotton-Classic-Fit-T-Shirt</t>
        </is>
      </c>
      <c r="P217" s="3" t="inlineStr">
        <is>
          <t>Yes</t>
        </is>
      </c>
      <c r="Q217" s="3" t="inlineStr">
        <is>
          <t>Organic Cotton Classic-Fit T-Shirt WHT S</t>
        </is>
      </c>
      <c r="R217" s="3" t="inlineStr">
        <is>
          <t>White, Club Blue, Dove Grey, Indochine Blue</t>
        </is>
      </c>
      <c r="S217" s="3" t="inlineStr"/>
      <c r="T217" s="3" t="inlineStr">
        <is>
          <t>Men</t>
        </is>
      </c>
    </row>
    <row r="218" ht="80" customHeight="1">
      <c r="A218" s="2">
        <f>IMAGE("https://images.lululemon.com/is/image/lululemon/LW9FXRS_070108_1?wid=320&amp;op_usm=0.8",1)</f>
        <v/>
      </c>
      <c r="B218" s="2" t="inlineStr">
        <is>
          <t>Quilty Pleasures Tote Bag *Medium 12L</t>
        </is>
      </c>
      <c r="C218" s="2" t="inlineStr">
        <is>
          <t>157686546</t>
        </is>
      </c>
      <c r="D218" s="2" t="inlineStr">
        <is>
          <t>$148.00</t>
        </is>
      </c>
      <c r="E218" s="2" t="inlineStr">
        <is>
          <t>$74.00</t>
        </is>
      </c>
      <c r="F218" s="2">
        <f>IMAGE("https://images.lululemon.com/is/image/lululemon/70108",1)</f>
        <v/>
      </c>
      <c r="G218" s="2">
        <f>IMAGE("https://images.lululemon.com/is/image/lululemon/0001",1)</f>
        <v/>
      </c>
      <c r="H218" s="2" t="n"/>
      <c r="I218" s="2" t="n"/>
      <c r="J218" s="2" t="n"/>
      <c r="K218" s="2" t="n"/>
      <c r="L218" s="2" t="inlineStr">
        <is>
          <t>O/S</t>
        </is>
      </c>
      <c r="M218" s="2" t="n">
        <v>403</v>
      </c>
      <c r="N218" s="2" t="inlineStr">
        <is>
          <t>Softly does it. Daily essentials find a cushioned landing in this quilted tote that's stamped all over with our wordmark design.</t>
        </is>
      </c>
      <c r="O218" s="2" t="inlineStr">
        <is>
          <t>Quilty-Pleasures-Tote-Bag-Medium-12L</t>
        </is>
      </c>
      <c r="P218" s="2" t="inlineStr">
        <is>
          <t>Yes</t>
        </is>
      </c>
      <c r="Q218" s="2" t="inlineStr">
        <is>
          <t>Quilty Pleasures Tote Medium WSHG ONE SIZE</t>
        </is>
      </c>
      <c r="R218" s="2" t="inlineStr">
        <is>
          <t>Warm Ash Grey, Black</t>
        </is>
      </c>
      <c r="S218" s="2" t="inlineStr">
        <is>
          <t>Totes</t>
        </is>
      </c>
      <c r="T218" s="2" t="inlineStr">
        <is>
          <t>Men</t>
        </is>
      </c>
    </row>
    <row r="219" ht="80" customHeight="1">
      <c r="A219" s="3">
        <f>IMAGE("https://images.lululemon.com/is/image/lululemon/LM3EZMS_033496_1?wid=320&amp;op_usm=0.8",1)</f>
        <v/>
      </c>
      <c r="B219" s="3" t="inlineStr">
        <is>
          <t>Heavyweight Cotton T-Shirt</t>
        </is>
      </c>
      <c r="C219" s="3" t="inlineStr">
        <is>
          <t>151626856</t>
        </is>
      </c>
      <c r="D219" s="3" t="inlineStr">
        <is>
          <t>$48.00</t>
        </is>
      </c>
      <c r="E219" s="3" t="inlineStr">
        <is>
          <t>$24.00</t>
        </is>
      </c>
      <c r="F219" s="3">
        <f>IMAGE("https://images.lululemon.com/is/image/lululemon/33496",1)</f>
        <v/>
      </c>
      <c r="G219" s="3" t="n"/>
      <c r="H219" s="3" t="n"/>
      <c r="I219" s="3" t="n"/>
      <c r="J219" s="3" t="n"/>
      <c r="K219" s="3" t="n"/>
      <c r="L219" s="3" t="inlineStr">
        <is>
          <t>S, M, L, XL, XXL</t>
        </is>
      </c>
      <c r="M219" s="3" t="n">
        <v>56</v>
      </c>
      <c r="N219" s="3" t="inlineStr">
        <is>
          <t>One in every colour, please. This long sleeve pairs a just-right classic fit with a naturally breathable cotton fabric that's brushed for a touch of softness.</t>
        </is>
      </c>
      <c r="O219" s="3" t="inlineStr">
        <is>
          <t>Heavyweight-Cotton-T-Shirt-W</t>
        </is>
      </c>
      <c r="P219" s="3" t="inlineStr">
        <is>
          <t>Yes</t>
        </is>
      </c>
      <c r="Q219" s="3" t="inlineStr">
        <is>
          <t>Heavyweight Cotton T-Shirt ORFH S</t>
        </is>
      </c>
      <c r="R219" s="3" t="inlineStr">
        <is>
          <t>Orange Flash</t>
        </is>
      </c>
      <c r="S219" s="3" t="inlineStr"/>
      <c r="T219" s="3" t="inlineStr">
        <is>
          <t>Men</t>
        </is>
      </c>
    </row>
    <row r="220" ht="80" customHeight="1">
      <c r="A220" s="2">
        <f>IMAGE("https://images.lululemon.com/is/image/lululemon/LU9BXQS_0001_1?wid=320&amp;op_usm=0.8",1)</f>
        <v/>
      </c>
      <c r="B220" s="2" t="inlineStr">
        <is>
          <t>Everywhere Belt Bag 1L Clear *Logo</t>
        </is>
      </c>
      <c r="C220" s="2" t="inlineStr">
        <is>
          <t>153107559</t>
        </is>
      </c>
      <c r="D220" s="2" t="inlineStr">
        <is>
          <t>$38.00</t>
        </is>
      </c>
      <c r="E220" s="2" t="inlineStr">
        <is>
          <t>$19.00</t>
        </is>
      </c>
      <c r="F220" s="2">
        <f>IMAGE("https://images.lululemon.com/is/image/lululemon/0001",1)</f>
        <v/>
      </c>
      <c r="G220" s="2" t="n"/>
      <c r="H220" s="2" t="n"/>
      <c r="I220" s="2" t="n"/>
      <c r="J220" s="2" t="n"/>
      <c r="K220" s="2" t="n"/>
      <c r="L220" s="2" t="inlineStr">
        <is>
          <t>O/S</t>
        </is>
      </c>
      <c r="M220" s="2" t="n">
        <v>3690</v>
      </c>
      <c r="N220" s="2" t="inlineStr">
        <is>
          <t>Stadium ready. Whether you're heading to a concert or a game, this clear version of our Everywhere Belt Bag keeps belongings visible so lineups are a breeze.</t>
        </is>
      </c>
      <c r="O220" s="2" t="inlineStr">
        <is>
          <t>Everywhere-Belt-Bag-1L-Clear-Logo</t>
        </is>
      </c>
      <c r="P220" s="2" t="inlineStr">
        <is>
          <t>Yes</t>
        </is>
      </c>
      <c r="Q220" s="2" t="inlineStr">
        <is>
          <t>Everywhere Belt Bag *Clear BLK ONE SIZE</t>
        </is>
      </c>
      <c r="R220" s="2" t="inlineStr">
        <is>
          <t>Black</t>
        </is>
      </c>
      <c r="S220" s="2" t="inlineStr">
        <is>
          <t>Belt Bags, Crossbody Bags</t>
        </is>
      </c>
      <c r="T220" s="2" t="inlineStr">
        <is>
          <t>Men</t>
        </is>
      </c>
    </row>
    <row r="221" ht="80" customHeight="1">
      <c r="A221" s="3">
        <f>IMAGE("https://images.lululemon.com/is/image/lululemon/LM3FK8S_068578_1?wid=320&amp;op_usm=0.8",1)</f>
        <v/>
      </c>
      <c r="B221" s="3" t="inlineStr">
        <is>
          <t>Windproof Full-Zip Golf Vest</t>
        </is>
      </c>
      <c r="C221" s="3" t="inlineStr">
        <is>
          <t>156498864</t>
        </is>
      </c>
      <c r="D221" s="3" t="inlineStr">
        <is>
          <t>$128.00</t>
        </is>
      </c>
      <c r="E221" s="3" t="inlineStr">
        <is>
          <t>$64.00</t>
        </is>
      </c>
      <c r="F221" s="3">
        <f>IMAGE("https://images.lululemon.com/is/image/lululemon/68578",1)</f>
        <v/>
      </c>
      <c r="G221" s="3">
        <f>IMAGE("https://images.lululemon.com/is/image/lululemon/0001",1)</f>
        <v/>
      </c>
      <c r="H221" s="3" t="n"/>
      <c r="I221" s="3" t="n"/>
      <c r="J221" s="3" t="n"/>
      <c r="K221" s="3" t="n"/>
      <c r="L221" s="3" t="inlineStr">
        <is>
          <t>S, M, L, XL, XXL</t>
        </is>
      </c>
      <c r="M221" s="3" t="n">
        <v>762</v>
      </c>
      <c r="N221" s="3" t="inlineStr">
        <is>
          <t>Layer on this golf vest when the clouds roll in. The water-repellent, abrasion-resistant fabric holds up to light showers and bag straps.</t>
        </is>
      </c>
      <c r="O221" s="3" t="inlineStr">
        <is>
          <t>Windproof-Full-Zip-Golf-Vest</t>
        </is>
      </c>
      <c r="P221" s="3" t="inlineStr">
        <is>
          <t>Yes</t>
        </is>
      </c>
      <c r="Q221" s="3" t="inlineStr">
        <is>
          <t>Windproof Full-Zip Golf Vest CLBL S</t>
        </is>
      </c>
      <c r="R221" s="3" t="inlineStr">
        <is>
          <t>Club Blue, Black</t>
        </is>
      </c>
      <c r="S221" s="3" t="inlineStr">
        <is>
          <t>Vests</t>
        </is>
      </c>
      <c r="T221" s="3" t="inlineStr">
        <is>
          <t>Men</t>
        </is>
      </c>
    </row>
    <row r="222" ht="80" customHeight="1">
      <c r="A222" s="2">
        <f>IMAGE("https://images.lululemon.com/is/image/lululemon/LM7BHDS_0001_1?wid=320&amp;op_usm=0.8",1)</f>
        <v/>
      </c>
      <c r="B222" s="2" t="inlineStr">
        <is>
          <t>ABC Classic-Fit Golf Short 7"</t>
        </is>
      </c>
      <c r="C222" s="2" t="inlineStr">
        <is>
          <t>151556143</t>
        </is>
      </c>
      <c r="D222" s="2" t="inlineStr">
        <is>
          <t>$98.00</t>
        </is>
      </c>
      <c r="E222" s="2" t="inlineStr">
        <is>
          <t>$49.00</t>
        </is>
      </c>
      <c r="F222" s="2">
        <f>IMAGE("https://images.lululemon.com/is/image/lululemon/0001",1)</f>
        <v/>
      </c>
      <c r="G222" s="2">
        <f>IMAGE("https://images.lululemon.com/is/image/lululemon/70144",1)</f>
        <v/>
      </c>
      <c r="H222" s="2">
        <f>IMAGE("https://images.lululemon.com/is/image/lululemon/68578",1)</f>
        <v/>
      </c>
      <c r="I222" s="2" t="n"/>
      <c r="J222" s="2" t="n"/>
      <c r="K222" s="2" t="n"/>
      <c r="L222" s="2" t="inlineStr">
        <is>
          <t>28, 30, 31, 32, 33, 34, 36, 38, 40</t>
        </is>
      </c>
      <c r="M222" s="2" t="n">
        <v>813</v>
      </c>
      <c r="N222" s="2" t="inlineStr">
        <is>
          <t>From the first tee to the eighteenth green, these stretchy golf shorts will go the distance. Extra pockets store essentials and water-resistant fabric keeps you protected.</t>
        </is>
      </c>
      <c r="O222" s="2" t="inlineStr">
        <is>
          <t>ABC-Classic-Fit-Golf-Short-7</t>
        </is>
      </c>
      <c r="P222" s="2" t="inlineStr">
        <is>
          <t>Yes</t>
        </is>
      </c>
      <c r="Q222" s="2" t="inlineStr">
        <is>
          <t>ABC Classic-Fit Golf Short 7" BLK 28</t>
        </is>
      </c>
      <c r="R222" s="2" t="inlineStr">
        <is>
          <t>Black, Fog Green, Club Blue</t>
        </is>
      </c>
      <c r="S222" s="2" t="inlineStr">
        <is>
          <t>Chino Shorts</t>
        </is>
      </c>
      <c r="T222" s="2" t="inlineStr">
        <is>
          <t>Men</t>
        </is>
      </c>
    </row>
    <row r="223" ht="80" customHeight="1">
      <c r="A223" s="3">
        <f>IMAGE("https://images.lululemon.com/is/image/lululemon/LU9AQAS_0001_1?wid=320&amp;op_usm=0.8",1)</f>
        <v/>
      </c>
      <c r="B223" s="3" t="inlineStr">
        <is>
          <t>Workout Sliders *Set of 2</t>
        </is>
      </c>
      <c r="C223" s="3" t="inlineStr">
        <is>
          <t>142975048</t>
        </is>
      </c>
      <c r="D223" s="3" t="inlineStr">
        <is>
          <t>$28.00</t>
        </is>
      </c>
      <c r="E223" s="3" t="inlineStr">
        <is>
          <t>$14.00</t>
        </is>
      </c>
      <c r="F223" s="3">
        <f>IMAGE("https://images.lululemon.com/is/image/lululemon/0001",1)</f>
        <v/>
      </c>
      <c r="G223" s="3" t="n"/>
      <c r="H223" s="3" t="n"/>
      <c r="I223" s="3" t="n"/>
      <c r="J223" s="3" t="n"/>
      <c r="K223" s="3" t="n"/>
      <c r="L223" s="3" t="inlineStr">
        <is>
          <t>O/S</t>
        </is>
      </c>
      <c r="M223" s="3" t="n">
        <v>759</v>
      </c>
      <c r="N223" s="3" t="inlineStr">
        <is>
          <t>Glide past your limits. These versatile sliding discs are double-sided for core and stability work on any surface.</t>
        </is>
      </c>
      <c r="O223" s="3" t="inlineStr">
        <is>
          <t>Workout-Sliders-Set-of-2</t>
        </is>
      </c>
      <c r="P223" s="3" t="inlineStr">
        <is>
          <t>Yes</t>
        </is>
      </c>
      <c r="Q223" s="3" t="inlineStr">
        <is>
          <t>Workout Sliders BLK ONE SIZE</t>
        </is>
      </c>
      <c r="R223" s="3" t="inlineStr">
        <is>
          <t>Black</t>
        </is>
      </c>
      <c r="S223" s="3" t="inlineStr">
        <is>
          <t>Sliders</t>
        </is>
      </c>
      <c r="T223" s="3" t="inlineStr">
        <is>
          <t>Men</t>
        </is>
      </c>
    </row>
    <row r="224" ht="80" customHeight="1">
      <c r="A224" s="2">
        <f>IMAGE("https://images.lululemon.com/is/image/lululemon/LM7BCBS_0001_1?wid=320&amp;op_usm=0.8",1)</f>
        <v/>
      </c>
      <c r="B224" s="2" t="inlineStr">
        <is>
          <t>Pace Breaker Lined Short 7"</t>
        </is>
      </c>
      <c r="C224" s="2" t="inlineStr">
        <is>
          <t>145375636</t>
        </is>
      </c>
      <c r="D224" s="2" t="inlineStr">
        <is>
          <t>$78.00</t>
        </is>
      </c>
      <c r="E224" s="2" t="inlineStr">
        <is>
          <t>$39.00</t>
        </is>
      </c>
      <c r="F224" s="2">
        <f>IMAGE("https://images.lululemon.com/is/image/lululemon/0001",1)</f>
        <v/>
      </c>
      <c r="G224" s="2">
        <f>IMAGE("https://images.lululemon.com/is/image/lululemon/60311",1)</f>
        <v/>
      </c>
      <c r="H224" s="2">
        <f>IMAGE("https://images.lululemon.com/is/image/lululemon/28022",1)</f>
        <v/>
      </c>
      <c r="I224" s="2">
        <f>IMAGE("https://images.lululemon.com/is/image/lululemon/72044",1)</f>
        <v/>
      </c>
      <c r="J224" s="2">
        <f>IMAGE("https://images.lululemon.com/is/image/lululemon/0554",1)</f>
        <v/>
      </c>
      <c r="K224" s="2" t="n"/>
      <c r="L224" s="2" t="inlineStr">
        <is>
          <t>XS, S, M, L, XL, XXL</t>
        </is>
      </c>
      <c r="M224" s="2" t="n">
        <v>2109</v>
      </c>
      <c r="N224" s="2" t="inlineStr">
        <is>
          <t>Athlete backed, performance driven. This elevated version of our most versatile short was designed for maximum comfort and zero distractions.</t>
        </is>
      </c>
      <c r="O224" s="2" t="inlineStr">
        <is>
          <t>Pace-Breaker-Short-NF-7-Lined-Update</t>
        </is>
      </c>
      <c r="P224" s="2" t="inlineStr">
        <is>
          <t>Yes</t>
        </is>
      </c>
      <c r="Q224" s="2" t="inlineStr">
        <is>
          <t>Pace Breaker Short 7" *Lined BLK XS</t>
        </is>
      </c>
      <c r="R224" s="2" t="inlineStr">
        <is>
          <t>Black, Dare Devil, Indochine Blue, Speckled Heather Black Multi, Grape Mist</t>
        </is>
      </c>
      <c r="S224" s="2" t="inlineStr">
        <is>
          <t>Athletic Shorts, Liner Shorts</t>
        </is>
      </c>
      <c r="T224" s="2" t="inlineStr">
        <is>
          <t>Men</t>
        </is>
      </c>
    </row>
    <row r="225" ht="80" customHeight="1">
      <c r="A225" s="3">
        <f>IMAGE("https://images.lululemon.com/is/image/lululemon/LM9AS7S_0001_1?wid=320&amp;op_usm=0.8",1)</f>
        <v/>
      </c>
      <c r="B225" s="3" t="inlineStr">
        <is>
          <t>Men's Days Shade Ball Cap</t>
        </is>
      </c>
      <c r="C225" s="3" t="inlineStr">
        <is>
          <t>146403931</t>
        </is>
      </c>
      <c r="D225" s="3" t="inlineStr">
        <is>
          <t>$38.00</t>
        </is>
      </c>
      <c r="E225" s="3" t="inlineStr">
        <is>
          <t>$19.00</t>
        </is>
      </c>
      <c r="F225" s="3">
        <f>IMAGE("https://images.lululemon.com/is/image/lululemon/0001",1)</f>
        <v/>
      </c>
      <c r="G225" s="3" t="n"/>
      <c r="H225" s="3" t="n"/>
      <c r="I225" s="3" t="n"/>
      <c r="J225" s="3" t="n"/>
      <c r="K225" s="3" t="n"/>
      <c r="L225" s="3" t="inlineStr">
        <is>
          <t>O/S</t>
        </is>
      </c>
      <c r="M225" s="3" t="n">
        <v>19</v>
      </c>
      <c r="N225" s="3" t="inlineStr">
        <is>
          <t>Keep it casual in this classic, VersaTwill™ ball cap.</t>
        </is>
      </c>
      <c r="O225" s="3" t="inlineStr">
        <is>
          <t>Days-Shade-Ball-Cap</t>
        </is>
      </c>
      <c r="P225" s="3" t="inlineStr">
        <is>
          <t>Yes</t>
        </is>
      </c>
      <c r="Q225" s="3" t="inlineStr">
        <is>
          <t>Days Shade Ball Cap BLK ONE SIZE</t>
        </is>
      </c>
      <c r="R225" s="3" t="inlineStr">
        <is>
          <t>Black</t>
        </is>
      </c>
      <c r="S225" s="3" t="inlineStr">
        <is>
          <t>Caps</t>
        </is>
      </c>
      <c r="T225" s="3" t="inlineStr">
        <is>
          <t>Men</t>
        </is>
      </c>
    </row>
    <row r="226" ht="80" customHeight="1">
      <c r="A226" s="2">
        <f>IMAGE("https://images.lululemon.com/is/image/lululemon/LM4AVAS_0001_1?wid=320&amp;op_usm=0.8",1)</f>
        <v/>
      </c>
      <c r="B226" s="2" t="inlineStr">
        <is>
          <t>Featherweight 900-Down-Fill Quilted Hooded Jacket</t>
        </is>
      </c>
      <c r="C226" s="2" t="inlineStr">
        <is>
          <t>158101285</t>
        </is>
      </c>
      <c r="D226" s="2" t="inlineStr">
        <is>
          <t>$298.00</t>
        </is>
      </c>
      <c r="E226" s="2" t="inlineStr">
        <is>
          <t>$149.00</t>
        </is>
      </c>
      <c r="F226" s="2">
        <f>IMAGE("https://images.lululemon.com/is/image/lululemon/0001",1)</f>
        <v/>
      </c>
      <c r="G226" s="2">
        <f>IMAGE("https://images.lululemon.com/is/image/lululemon/70144",1)</f>
        <v/>
      </c>
      <c r="H226" s="2" t="n"/>
      <c r="I226" s="2" t="n"/>
      <c r="J226" s="2" t="n"/>
      <c r="K226" s="2" t="n"/>
      <c r="L226" s="2" t="inlineStr">
        <is>
          <t>S, M, L, XL, XXL</t>
        </is>
      </c>
      <c r="M226" s="2" t="n">
        <v>293</v>
      </c>
      <c r="N226" s="2" t="inlineStr">
        <is>
          <t>Featherweight champ. Delivering mid-level warmth with a feather-light feel, this packable jacket is insulated with premium 900-fill-power down—layer it under a shell or over cozy sweaters when the cold sets in.</t>
        </is>
      </c>
      <c r="O226" s="2" t="inlineStr">
        <is>
          <t>Featherweight-900-Down-Fill-Quilted-Hooded-Jacket</t>
        </is>
      </c>
      <c r="P226" s="2" t="inlineStr">
        <is>
          <t>Yes</t>
        </is>
      </c>
      <c r="Q226" s="2" t="inlineStr">
        <is>
          <t>Featherweight Down Quilted Hooded Jacket BLK S</t>
        </is>
      </c>
      <c r="R226" s="2" t="inlineStr">
        <is>
          <t>Black, Fog Green</t>
        </is>
      </c>
      <c r="S226" s="2" t="inlineStr">
        <is>
          <t>Hoodies, Puffer Jackets</t>
        </is>
      </c>
      <c r="T226" s="2" t="inlineStr">
        <is>
          <t>Men</t>
        </is>
      </c>
    </row>
    <row r="227" ht="80" customHeight="1">
      <c r="A227" s="3">
        <f>IMAGE("https://images.lululemon.com/is/image/lululemon/LM5BHYS_068578_1?wid=320&amp;op_usm=0.8",1)</f>
        <v/>
      </c>
      <c r="B227" s="3" t="inlineStr">
        <is>
          <t>ABC Slim-Fit Fixed-Waist Jogger *Regular</t>
        </is>
      </c>
      <c r="C227" s="3" t="inlineStr">
        <is>
          <t>158021921</t>
        </is>
      </c>
      <c r="D227" s="3" t="inlineStr">
        <is>
          <t>$148.00</t>
        </is>
      </c>
      <c r="E227" s="3" t="inlineStr">
        <is>
          <t>$74.00</t>
        </is>
      </c>
      <c r="F227" s="3">
        <f>IMAGE("https://images.lululemon.com/is/image/lululemon/68578",1)</f>
        <v/>
      </c>
      <c r="G227" s="3">
        <f>IMAGE("https://images.lululemon.com/is/image/lululemon/0001",1)</f>
        <v/>
      </c>
      <c r="H227" s="3" t="n"/>
      <c r="I227" s="3" t="n"/>
      <c r="J227" s="3" t="n"/>
      <c r="K227" s="3" t="n"/>
      <c r="L227" s="3" t="inlineStr">
        <is>
          <t>28, 30, 31, 32, 33, 34, 36, 38, 40</t>
        </is>
      </c>
      <c r="M227" s="3" t="n">
        <v>648</v>
      </c>
      <c r="N227" s="3" t="inlineStr">
        <is>
          <t>Majorly comfortable. Made from stretch fabric with a ventilated gusset for added airflow, these smart fixed-waist golf joggers feel as good as they look.</t>
        </is>
      </c>
      <c r="O227" s="3" t="inlineStr">
        <is>
          <t>ABC-Slim-Fit-Fixed-Waist-Jogger-Regular</t>
        </is>
      </c>
      <c r="P227" s="3" t="inlineStr">
        <is>
          <t>Yes</t>
        </is>
      </c>
      <c r="Q227" s="3" t="inlineStr">
        <is>
          <t>ABC Slim-Fit Fixed-Waist Jogger *Regular BLK 28</t>
        </is>
      </c>
      <c r="R227" s="3" t="inlineStr">
        <is>
          <t>Club Blue, Black</t>
        </is>
      </c>
      <c r="S227" s="3" t="inlineStr"/>
      <c r="T227" s="3" t="inlineStr">
        <is>
          <t>Men</t>
        </is>
      </c>
    </row>
    <row r="228" ht="80" customHeight="1">
      <c r="A228" s="2">
        <f>IMAGE("https://images.lululemon.com/is/image/lululemon/LU9BRKS_049106_1?wid=320&amp;op_usm=0.8",1)</f>
        <v/>
      </c>
      <c r="B228" s="2" t="inlineStr">
        <is>
          <t>3-in-1 Gym Duffle Bag 30L</t>
        </is>
      </c>
      <c r="C228" s="2" t="inlineStr">
        <is>
          <t>155725295</t>
        </is>
      </c>
      <c r="D228" s="2" t="inlineStr">
        <is>
          <t>$158.00</t>
        </is>
      </c>
      <c r="E228" s="2" t="inlineStr">
        <is>
          <t>$79.00</t>
        </is>
      </c>
      <c r="F228" s="2">
        <f>IMAGE("https://images.lululemon.com/is/image/lululemon/49106",1)</f>
        <v/>
      </c>
      <c r="G228" s="2" t="n"/>
      <c r="H228" s="2" t="n"/>
      <c r="I228" s="2" t="n"/>
      <c r="J228" s="2" t="n"/>
      <c r="K228" s="2" t="n"/>
      <c r="L228" s="2" t="inlineStr">
        <is>
          <t>O/S</t>
        </is>
      </c>
      <c r="M228" s="2" t="n">
        <v>79</v>
      </c>
      <c r="N228" s="2" t="inlineStr">
        <is>
          <t>Taking multi-use to the next level. Pack this duffle with sweat essentials and use the removable shoulder strap to carry your yoga mat or as a stretching strap.</t>
        </is>
      </c>
      <c r="O228" s="2" t="inlineStr">
        <is>
          <t>Gym-Duffle-Bag-30L</t>
        </is>
      </c>
      <c r="P228" s="2" t="inlineStr">
        <is>
          <t>Yes</t>
        </is>
      </c>
      <c r="Q228" s="2" t="inlineStr">
        <is>
          <t>Gym Duffle Bag RNFG ONE SIZE</t>
        </is>
      </c>
      <c r="R228" s="2" t="inlineStr">
        <is>
          <t>Rainforest Green</t>
        </is>
      </c>
      <c r="S228" s="2" t="inlineStr">
        <is>
          <t>Duffle Bags</t>
        </is>
      </c>
      <c r="T228" s="2" t="inlineStr">
        <is>
          <t>Men</t>
        </is>
      </c>
    </row>
    <row r="229" ht="80" customHeight="1">
      <c r="A229" s="3">
        <f>IMAGE("https://images.lululemon.com/is/image/lululemon/LM5AZSS_0001_1?wid=320&amp;op_usm=0.8",1)</f>
        <v/>
      </c>
      <c r="B229" s="3" t="inlineStr">
        <is>
          <t>Zeroed In Slim-Fit Pant *Regular</t>
        </is>
      </c>
      <c r="C229" s="3" t="inlineStr">
        <is>
          <t>153845323</t>
        </is>
      </c>
      <c r="D229" s="3" t="inlineStr">
        <is>
          <t>$118.00</t>
        </is>
      </c>
      <c r="E229" s="3" t="inlineStr">
        <is>
          <t>$59.00</t>
        </is>
      </c>
      <c r="F229" s="3">
        <f>IMAGE("https://images.lululemon.com/is/image/lululemon/0001",1)</f>
        <v/>
      </c>
      <c r="G229" s="3" t="n"/>
      <c r="H229" s="3" t="n"/>
      <c r="I229" s="3" t="n"/>
      <c r="J229" s="3" t="n"/>
      <c r="K229" s="3" t="n"/>
      <c r="L229" s="3" t="inlineStr">
        <is>
          <t>S, M, L, XL, XXL</t>
        </is>
      </c>
      <c r="M229" s="3" t="n">
        <v>308</v>
      </c>
      <c r="N229" s="3" t="inlineStr">
        <is>
          <t>Work out or hang out. These versatile pants are designed to keep up with every way you like to move.</t>
        </is>
      </c>
      <c r="O229" s="3" t="inlineStr">
        <is>
          <t>Zeroed-In-Slim-Fit-Pant</t>
        </is>
      </c>
      <c r="P229" s="3" t="inlineStr">
        <is>
          <t>Yes</t>
        </is>
      </c>
      <c r="Q229" s="3" t="inlineStr">
        <is>
          <t>Zeroed In Slim-Fit Pant *Regular BLK S</t>
        </is>
      </c>
      <c r="R229" s="3" t="inlineStr">
        <is>
          <t>Black</t>
        </is>
      </c>
      <c r="S229" s="3" t="inlineStr">
        <is>
          <t>Athletic Pants</t>
        </is>
      </c>
      <c r="T229" s="3" t="inlineStr">
        <is>
          <t>Men</t>
        </is>
      </c>
    </row>
    <row r="230" ht="80" customHeight="1">
      <c r="A230" s="2">
        <f>IMAGE("https://images.lululemon.com/is/image/lululemon/LU9CJ7S_0001_1?wid=320&amp;op_usm=0.8",1)</f>
        <v/>
      </c>
      <c r="B230" s="2" t="inlineStr">
        <is>
          <t>The Mat 5mm *Made With FSC™ Certified Rubber</t>
        </is>
      </c>
      <c r="C230" s="2" t="inlineStr">
        <is>
          <t>153151858</t>
        </is>
      </c>
      <c r="D230" s="2" t="inlineStr">
        <is>
          <t>$118.00</t>
        </is>
      </c>
      <c r="E230" s="2" t="inlineStr">
        <is>
          <t>$59.00</t>
        </is>
      </c>
      <c r="F230" s="2">
        <f>IMAGE("https://images.lululemon.com/is/image/lululemon/0001",1)</f>
        <v/>
      </c>
      <c r="G230" s="2">
        <f>IMAGE("https://images.lululemon.com/is/image/lululemon/69286",1)</f>
        <v/>
      </c>
      <c r="H230" s="2">
        <f>IMAGE("https://images.lululemon.com/is/image/lululemon/69285",1)</f>
        <v/>
      </c>
      <c r="I230" s="2">
        <f>IMAGE("https://images.lululemon.com/is/image/lululemon/73781",1)</f>
        <v/>
      </c>
      <c r="J230" s="2" t="n"/>
      <c r="K230" s="2" t="n"/>
      <c r="L230" s="2" t="inlineStr">
        <is>
          <t>O/S</t>
        </is>
      </c>
      <c r="M230" s="2" t="n">
        <v>3361</v>
      </c>
      <c r="N230" s="2" t="inlineStr">
        <is>
          <t>This mat features a natural rubber base with a little extra cushion to give your body more depth while your mind goes deep.</t>
        </is>
      </c>
      <c r="O230" s="2" t="inlineStr">
        <is>
          <t>The-Mat-5mm</t>
        </is>
      </c>
      <c r="P230" s="2" t="inlineStr">
        <is>
          <t>Yes</t>
        </is>
      </c>
      <c r="Q230" s="2" t="inlineStr">
        <is>
          <t>The Mat 5mm BLK ONE SIZE</t>
        </is>
      </c>
      <c r="R230" s="2" t="inlineStr">
        <is>
          <t>Black, Pink Haze/Deco Pink/Pink Organza/Cherry Lemonade/Deco Pink, Chambray/Washed Denim/Starch Blue/White/Chambray, Sweet Velvet/Plum/Faint Lavender/White/Sweet Velvet</t>
        </is>
      </c>
      <c r="S230" s="2" t="inlineStr"/>
      <c r="T230" s="2" t="inlineStr">
        <is>
          <t>Men</t>
        </is>
      </c>
    </row>
    <row r="231" ht="80" customHeight="1">
      <c r="A231" s="3">
        <f>IMAGE("https://images.lululemon.com/is/image/lululemon/LM5AQLT_032476_1?wid=320&amp;op_usm=0.8",1)</f>
        <v/>
      </c>
      <c r="B231" s="3" t="inlineStr">
        <is>
          <t>ABC Jogger Warpstreme *Tall</t>
        </is>
      </c>
      <c r="C231" s="3" t="inlineStr">
        <is>
          <t>146375324</t>
        </is>
      </c>
      <c r="D231" s="3" t="inlineStr">
        <is>
          <t>$128.00</t>
        </is>
      </c>
      <c r="E231" s="3" t="inlineStr">
        <is>
          <t>$64.00</t>
        </is>
      </c>
      <c r="F231" s="3">
        <f>IMAGE("https://images.lululemon.com/is/image/lululemon/32476",1)</f>
        <v/>
      </c>
      <c r="G231" s="3">
        <f>IMAGE("https://images.lululemon.com/is/image/lululemon/31382",1)</f>
        <v/>
      </c>
      <c r="H231" s="3">
        <f>IMAGE("https://images.lululemon.com/is/image/lululemon/33928",1)</f>
        <v/>
      </c>
      <c r="I231" s="3">
        <f>IMAGE("https://images.lululemon.com/is/image/lululemon/0001",1)</f>
        <v/>
      </c>
      <c r="J231" s="3" t="n"/>
      <c r="K231" s="3" t="n"/>
      <c r="L231" s="3" t="inlineStr">
        <is>
          <t>S, M, L, XL, XXL</t>
        </is>
      </c>
      <c r="M231" s="3" t="n">
        <v>1240</v>
      </c>
      <c r="N231" s="3" t="inlineStr">
        <is>
          <t>These sleek joggers feature our ABC™ technology, making them an obvious choice for recreation or travel.</t>
        </is>
      </c>
      <c r="O231" s="3" t="inlineStr">
        <is>
          <t>ABC-Jogger-Tall</t>
        </is>
      </c>
      <c r="P231" s="3" t="inlineStr">
        <is>
          <t>Yes</t>
        </is>
      </c>
      <c r="Q231" s="3" t="inlineStr">
        <is>
          <t>ABC Jogger *Tall OBSI S</t>
        </is>
      </c>
      <c r="R231" s="3" t="inlineStr">
        <is>
          <t>Obsidian, True Navy, Silver Drop, Black</t>
        </is>
      </c>
      <c r="S231" s="3" t="inlineStr"/>
      <c r="T231" s="3" t="inlineStr">
        <is>
          <t>Men</t>
        </is>
      </c>
    </row>
    <row r="232" ht="80" customHeight="1">
      <c r="A232" s="2">
        <f>IMAGE("https://images.lululemon.com/is/image/lululemon/LM5AR3S_0001_1?wid=320&amp;op_usm=0.8",1)</f>
        <v/>
      </c>
      <c r="B232" s="2" t="inlineStr">
        <is>
          <t>ABC Classic-Fit Trouser 34L *Warpstreme</t>
        </is>
      </c>
      <c r="C232" s="2" t="inlineStr">
        <is>
          <t>147155000</t>
        </is>
      </c>
      <c r="D232" s="2" t="inlineStr">
        <is>
          <t>$138.00</t>
        </is>
      </c>
      <c r="E232" s="2" t="inlineStr">
        <is>
          <t>$69.00</t>
        </is>
      </c>
      <c r="F232" s="2">
        <f>IMAGE("https://images.lululemon.com/is/image/lululemon/0001",1)</f>
        <v/>
      </c>
      <c r="G232" s="2">
        <f>IMAGE("https://images.lululemon.com/is/image/lululemon/31382",1)</f>
        <v/>
      </c>
      <c r="H232" s="2">
        <f>IMAGE("https://images.lululemon.com/is/image/lululemon/33928",1)</f>
        <v/>
      </c>
      <c r="I232" s="2">
        <f>IMAGE("https://images.lululemon.com/is/image/lululemon/19222",1)</f>
        <v/>
      </c>
      <c r="J232" s="2" t="n"/>
      <c r="K232" s="2" t="n"/>
      <c r="L232" s="2" t="inlineStr">
        <is>
          <t>28, 30, 31, 32, 33, 34, 36, 38, 40</t>
        </is>
      </c>
      <c r="M232" s="2" t="n">
        <v>771</v>
      </c>
      <c r="N232" s="2" t="inlineStr">
        <is>
          <t>These classic-fit trousers deliver all-day comfort with an elevated look.</t>
        </is>
      </c>
      <c r="O232" s="2" t="inlineStr">
        <is>
          <t>ABC-Classic-Fit-Trouser-34-Warpstreme</t>
        </is>
      </c>
      <c r="P232" s="2" t="inlineStr">
        <is>
          <t>Yes</t>
        </is>
      </c>
      <c r="Q232" s="2" t="inlineStr">
        <is>
          <t>ABC Classic-Fit Trouser 34L *Warpstreme BLK 28</t>
        </is>
      </c>
      <c r="R232" s="2" t="inlineStr">
        <is>
          <t>Black, True Navy, Silver Drop, Wacky Khaki</t>
        </is>
      </c>
      <c r="S232" s="2" t="inlineStr">
        <is>
          <t>Dress Pants, Chinos</t>
        </is>
      </c>
      <c r="T232" s="2" t="inlineStr">
        <is>
          <t>Men</t>
        </is>
      </c>
    </row>
    <row r="233" ht="80" customHeight="1">
      <c r="A233" s="3">
        <f>IMAGE("https://images.lululemon.com/is/image/lululemon/LM3EX8S_032665_1?wid=320&amp;op_usm=0.8",1)</f>
        <v/>
      </c>
      <c r="B233" s="3" t="inlineStr">
        <is>
          <t>Textured Spacer Kangaroo Hoodie</t>
        </is>
      </c>
      <c r="C233" s="3" t="inlineStr">
        <is>
          <t>154885083</t>
        </is>
      </c>
      <c r="D233" s="3" t="inlineStr">
        <is>
          <t>$148.00</t>
        </is>
      </c>
      <c r="E233" s="3" t="inlineStr">
        <is>
          <t>$74.00</t>
        </is>
      </c>
      <c r="F233" s="3">
        <f>IMAGE("https://images.lululemon.com/is/image/lululemon/32665",1)</f>
        <v/>
      </c>
      <c r="G233" s="3" t="n"/>
      <c r="H233" s="3" t="n"/>
      <c r="I233" s="3" t="n"/>
      <c r="J233" s="3" t="n"/>
      <c r="K233" s="3" t="n"/>
      <c r="L233" s="3" t="inlineStr">
        <is>
          <t>S, M, XL</t>
        </is>
      </c>
      <c r="M233" s="3" t="n">
        <v>80</v>
      </c>
      <c r="N233" s="3" t="inlineStr">
        <is>
          <t>Technical comfort at its finest. This hoodie uses spacer construction to create a warm, lofty fabric that feels soft and has a slightly structured look.</t>
        </is>
      </c>
      <c r="O233" s="3" t="inlineStr">
        <is>
          <t>Textured-Spacer-Kangaroo-Hoodie</t>
        </is>
      </c>
      <c r="P233" s="3" t="inlineStr">
        <is>
          <t>Yes</t>
        </is>
      </c>
      <c r="Q233" s="3" t="inlineStr">
        <is>
          <t>Textured Spacer Pullover Hoodie BKNT S</t>
        </is>
      </c>
      <c r="R233" s="3" t="inlineStr">
        <is>
          <t>Black Night</t>
        </is>
      </c>
      <c r="S233" s="3" t="inlineStr">
        <is>
          <t>Hoodies</t>
        </is>
      </c>
      <c r="T233" s="3" t="inlineStr">
        <is>
          <t>Men</t>
        </is>
      </c>
    </row>
    <row r="234" ht="80" customHeight="1">
      <c r="A234" s="2">
        <f>IMAGE("https://images.lululemon.com/is/image/lululemon/LU9CEIS_071534_1?wid=320&amp;op_usm=0.8",1)</f>
        <v/>
      </c>
      <c r="B234" s="2" t="inlineStr">
        <is>
          <t>Racket Bag 19L</t>
        </is>
      </c>
      <c r="C234" s="2" t="inlineStr">
        <is>
          <t>158029922</t>
        </is>
      </c>
      <c r="D234" s="2" t="inlineStr">
        <is>
          <t>$168.00</t>
        </is>
      </c>
      <c r="E234" s="2" t="inlineStr">
        <is>
          <t>$84.00</t>
        </is>
      </c>
      <c r="F234" s="2">
        <f>IMAGE("https://images.lululemon.com/is/image/lululemon/71534",1)</f>
        <v/>
      </c>
      <c r="G234" s="2">
        <f>IMAGE("https://images.lululemon.com/is/image/lululemon/73959",1)</f>
        <v/>
      </c>
      <c r="H234" s="2">
        <f>IMAGE("https://images.lululemon.com/is/image/lululemon/11185",1)</f>
        <v/>
      </c>
      <c r="I234" s="2" t="n"/>
      <c r="J234" s="2" t="n"/>
      <c r="K234" s="2" t="n"/>
      <c r="L234" s="2" t="inlineStr">
        <is>
          <t>O/S</t>
        </is>
      </c>
      <c r="M234" s="2" t="n">
        <v>1258</v>
      </c>
      <c r="N234" s="2" t="inlineStr">
        <is>
          <t>This convertible backpack has room for snacks, shoes, and a change of clothes, while the detachable racket holder adjusts to fit two tennis, badminton, or pickleball rackets.</t>
        </is>
      </c>
      <c r="O234" s="2" t="inlineStr">
        <is>
          <t>Racket-Bag-19L</t>
        </is>
      </c>
      <c r="P234" s="2" t="inlineStr">
        <is>
          <t>Yes</t>
        </is>
      </c>
      <c r="Q234" s="2" t="inlineStr">
        <is>
          <t>Racket Bag CLBL/BLK ONE SIZE</t>
        </is>
      </c>
      <c r="R234" s="2" t="inlineStr">
        <is>
          <t>Club Blue/Black, Natural/Rockwood, Natural/Black</t>
        </is>
      </c>
      <c r="S234" s="2" t="inlineStr">
        <is>
          <t>Backpacks</t>
        </is>
      </c>
      <c r="T234" s="2" t="inlineStr">
        <is>
          <t>Men</t>
        </is>
      </c>
    </row>
    <row r="235" ht="80" customHeight="1">
      <c r="A235" s="3">
        <f>IMAGE("https://images.lululemon.com/is/image/lululemon/LM5BBXS_0001_1?wid=320&amp;op_usm=0.8",1)</f>
        <v/>
      </c>
      <c r="B235" s="3" t="inlineStr">
        <is>
          <t>Soft Jersey Jogger *Regular</t>
        </is>
      </c>
      <c r="C235" s="3" t="inlineStr">
        <is>
          <t>153832293</t>
        </is>
      </c>
      <c r="D235" s="3" t="inlineStr">
        <is>
          <t>$98.00</t>
        </is>
      </c>
      <c r="E235" s="3" t="inlineStr">
        <is>
          <t>$49.00</t>
        </is>
      </c>
      <c r="F235" s="3">
        <f>IMAGE("https://images.lululemon.com/is/image/lululemon/0001",1)</f>
        <v/>
      </c>
      <c r="G235" s="3" t="n"/>
      <c r="H235" s="3" t="n"/>
      <c r="I235" s="3" t="n"/>
      <c r="J235" s="3" t="n"/>
      <c r="K235" s="3" t="n"/>
      <c r="L235" s="3" t="inlineStr">
        <is>
          <t>S, M, L, XL, XXL</t>
        </is>
      </c>
      <c r="M235" s="3" t="n">
        <v>206</v>
      </c>
      <c r="N235" s="3" t="inlineStr">
        <is>
          <t>Rest and reset. These lightweight joggers have a softly brushed interior that makes downtime irresistible.</t>
        </is>
      </c>
      <c r="O235" s="3" t="inlineStr">
        <is>
          <t>Soft-Jersey-Jogger</t>
        </is>
      </c>
      <c r="P235" s="3" t="inlineStr">
        <is>
          <t>Yes</t>
        </is>
      </c>
      <c r="Q235" s="3" t="inlineStr">
        <is>
          <t>Soft Jersey Jogger *Regular BLK S</t>
        </is>
      </c>
      <c r="R235" s="3" t="inlineStr">
        <is>
          <t>Black</t>
        </is>
      </c>
      <c r="S235" s="3" t="inlineStr"/>
      <c r="T235" s="3" t="inlineStr">
        <is>
          <t>Men</t>
        </is>
      </c>
    </row>
    <row r="236" ht="80" customHeight="1">
      <c r="A236" s="2">
        <f>IMAGE("https://images.lululemon.com/is/image/lululemon/LU9CM5S_043646_1?wid=320&amp;op_usm=0.8",1)</f>
        <v/>
      </c>
      <c r="B236" s="2" t="inlineStr">
        <is>
          <t>Double-Zip Backpack 22L *Tech Canvas</t>
        </is>
      </c>
      <c r="C236" s="2" t="inlineStr">
        <is>
          <t>158020669</t>
        </is>
      </c>
      <c r="D236" s="2" t="inlineStr">
        <is>
          <t>$128.00</t>
        </is>
      </c>
      <c r="E236" s="2" t="inlineStr">
        <is>
          <t>$64.00</t>
        </is>
      </c>
      <c r="F236" s="2">
        <f>IMAGE("https://images.lululemon.com/is/image/lululemon/43646",1)</f>
        <v/>
      </c>
      <c r="G236" s="2" t="n"/>
      <c r="H236" s="2" t="n"/>
      <c r="I236" s="2" t="n"/>
      <c r="J236" s="2" t="n"/>
      <c r="K236" s="2" t="n"/>
      <c r="L236" s="2" t="inlineStr">
        <is>
          <t>O/S</t>
        </is>
      </c>
      <c r="M236" s="2" t="n">
        <v>111</v>
      </c>
      <c r="N236" s="2" t="inlineStr">
        <is>
          <t>Laptop, lunch, and gear—bring it all. This backpack has zippered pockets inside and out to keep your phone, chargers, and other essentials organized and easy to access.</t>
        </is>
      </c>
      <c r="O236" s="2" t="inlineStr">
        <is>
          <t>Double-Zip-Backpack-22L-Tech-Canvas</t>
        </is>
      </c>
      <c r="P236" s="2" t="inlineStr">
        <is>
          <t>Yes</t>
        </is>
      </c>
      <c r="Q236" s="2" t="inlineStr">
        <is>
          <t>Double-Zip Backpack *Tech Canvas BLK/GGRE ONE SIZE</t>
        </is>
      </c>
      <c r="R236" s="2" t="inlineStr">
        <is>
          <t>Black/Graphite Grey</t>
        </is>
      </c>
      <c r="S236" s="2" t="inlineStr">
        <is>
          <t>Backpacks</t>
        </is>
      </c>
      <c r="T236" s="2" t="inlineStr">
        <is>
          <t>Men</t>
        </is>
      </c>
    </row>
    <row r="237" ht="80" customHeight="1">
      <c r="A237" s="3">
        <f>IMAGE("https://images.lululemon.com/is/image/lululemon/LM5AWTS_031382_1?wid=320&amp;op_usm=0.8",1)</f>
        <v/>
      </c>
      <c r="B237" s="3" t="inlineStr">
        <is>
          <t>ABC Classic-Fit Golf Trouser 32L</t>
        </is>
      </c>
      <c r="C237" s="3" t="inlineStr">
        <is>
          <t>153101475</t>
        </is>
      </c>
      <c r="D237" s="3" t="inlineStr">
        <is>
          <t>$148.00</t>
        </is>
      </c>
      <c r="E237" s="3" t="inlineStr">
        <is>
          <t>$74.00</t>
        </is>
      </c>
      <c r="F237" s="3">
        <f>IMAGE("https://images.lululemon.com/is/image/lululemon/31382",1)</f>
        <v/>
      </c>
      <c r="G237" s="3" t="n"/>
      <c r="H237" s="3" t="n"/>
      <c r="I237" s="3" t="n"/>
      <c r="J237" s="3" t="n"/>
      <c r="K237" s="3" t="n"/>
      <c r="L237" s="3" t="inlineStr">
        <is>
          <t>28, 30, 31, 32, 33, 34, 36, 38, 40</t>
        </is>
      </c>
      <c r="M237" s="3" t="n">
        <v>320</v>
      </c>
      <c r="N237" s="3" t="inlineStr">
        <is>
          <t>From first swing to the final round, these golf pants are at the top of their game. Integrated ventilation and stretch fabric deliver comfort that lasts on and off the course.</t>
        </is>
      </c>
      <c r="O237" s="3" t="inlineStr">
        <is>
          <t>ABC-Classic-Fit-Golf-Trouser-32L</t>
        </is>
      </c>
      <c r="P237" s="3" t="inlineStr">
        <is>
          <t>Yes</t>
        </is>
      </c>
      <c r="Q237" s="3" t="inlineStr">
        <is>
          <t>ABC Classic-Fit Golf Trouser 32L TRNV 28</t>
        </is>
      </c>
      <c r="R237" s="3" t="inlineStr">
        <is>
          <t>True Navy</t>
        </is>
      </c>
      <c r="S237" s="3" t="inlineStr">
        <is>
          <t>Chinos</t>
        </is>
      </c>
      <c r="T237" s="3" t="inlineStr">
        <is>
          <t>Men</t>
        </is>
      </c>
    </row>
    <row r="238" ht="80" customHeight="1">
      <c r="A238" s="2">
        <f>IMAGE("https://images.lululemon.com/is/image/lululemon/LM3GGDS_0001_1?wid=320&amp;op_usm=0.8",1)</f>
        <v/>
      </c>
      <c r="B238" s="2" t="inlineStr">
        <is>
          <t>Water-Repellent Quarter-Zip Golf Shell</t>
        </is>
      </c>
      <c r="C238" s="2" t="inlineStr">
        <is>
          <t>158096566</t>
        </is>
      </c>
      <c r="D238" s="2" t="inlineStr">
        <is>
          <t>$198.00</t>
        </is>
      </c>
      <c r="E238" s="2" t="inlineStr">
        <is>
          <t>$99.00</t>
        </is>
      </c>
      <c r="F238" s="2">
        <f>IMAGE("https://images.lululemon.com/is/image/lululemon/0001",1)</f>
        <v/>
      </c>
      <c r="G238" s="2">
        <f>IMAGE("https://images.lululemon.com/is/image/lululemon/68684",1)</f>
        <v/>
      </c>
      <c r="H238" s="2" t="n"/>
      <c r="I238" s="2" t="n"/>
      <c r="J238" s="2" t="n"/>
      <c r="K238" s="2" t="n"/>
      <c r="L238" s="2" t="inlineStr">
        <is>
          <t>S, M, L, XL, XXL</t>
        </is>
      </c>
      <c r="M238" s="2" t="n">
        <v>383</v>
      </c>
      <c r="N238" s="2" t="inlineStr">
        <is>
          <t>Stay in play. Lightly insulated at the front and back for added warmth, this water-repellent golf shell helps keep you dry and cozy during misty morning rounds.</t>
        </is>
      </c>
      <c r="O238" s="2" t="inlineStr">
        <is>
          <t>Water-Repellent-Quarter-Zip-Golf-Shell</t>
        </is>
      </c>
      <c r="P238" s="2" t="inlineStr">
        <is>
          <t>Yes</t>
        </is>
      </c>
      <c r="Q238" s="2" t="inlineStr">
        <is>
          <t>Water-Repellent 1/4 Zip Golf Shell BLK S</t>
        </is>
      </c>
      <c r="R238" s="2" t="inlineStr">
        <is>
          <t>Black, Sheer Oak</t>
        </is>
      </c>
      <c r="S238" s="2" t="inlineStr"/>
      <c r="T238" s="2" t="inlineStr">
        <is>
          <t>Men</t>
        </is>
      </c>
    </row>
    <row r="239" ht="80" customHeight="1">
      <c r="A239" s="3">
        <f>IMAGE("https://images.lululemon.com/is/image/lululemon/LM7BLQS_063787_1?wid=320&amp;op_usm=0.8",1)</f>
        <v/>
      </c>
      <c r="B239" s="3" t="inlineStr">
        <is>
          <t>Mile Maker Ripstop Linerless Short 6"</t>
        </is>
      </c>
      <c r="C239" s="3" t="inlineStr">
        <is>
          <t>158027381</t>
        </is>
      </c>
      <c r="D239" s="3" t="inlineStr">
        <is>
          <t>$68.00</t>
        </is>
      </c>
      <c r="E239" s="3" t="inlineStr">
        <is>
          <t>$34.00</t>
        </is>
      </c>
      <c r="F239" s="3">
        <f>IMAGE("https://images.lululemon.com/is/image/lululemon/63787",1)</f>
        <v/>
      </c>
      <c r="G239" s="3" t="n"/>
      <c r="H239" s="3" t="n"/>
      <c r="I239" s="3" t="n"/>
      <c r="J239" s="3" t="n"/>
      <c r="K239" s="3" t="n"/>
      <c r="L239" s="3" t="inlineStr">
        <is>
          <t>S, M, L, XL, XXL</t>
        </is>
      </c>
      <c r="M239" s="3" t="n">
        <v>371</v>
      </c>
      <c r="N239" s="3" t="inlineStr">
        <is>
          <t>Whether you're a seasoned runner or new to the crew, these lightweight, quick-drying shorts keep you comfortable from warm-up stretches to post-run hangs.</t>
        </is>
      </c>
      <c r="O239" s="3" t="inlineStr">
        <is>
          <t>Mile-Maker-Ripstop-Linerless-Short-6</t>
        </is>
      </c>
      <c r="P239" s="3" t="inlineStr">
        <is>
          <t>Yes</t>
        </is>
      </c>
      <c r="Q239" s="3" t="inlineStr">
        <is>
          <t>Mile Maker Ripstop Short 6'' *LL ARPR S</t>
        </is>
      </c>
      <c r="R239" s="3" t="inlineStr">
        <is>
          <t>ATMOSPHERIC PURPLE</t>
        </is>
      </c>
      <c r="S239" s="3" t="inlineStr">
        <is>
          <t>Athletic Shorts</t>
        </is>
      </c>
      <c r="T239" s="3" t="inlineStr">
        <is>
          <t>Men</t>
        </is>
      </c>
    </row>
    <row r="240" ht="80" customHeight="1">
      <c r="A240" s="2">
        <f>IMAGE("https://images.lululemon.com/is/image/lululemon/LM4AW8S_0001_1?wid=320&amp;op_usm=0.8",1)</f>
        <v/>
      </c>
      <c r="B240" s="2" t="inlineStr">
        <is>
          <t>Men's Featherweight 900-Down-Fill Quilted Vest</t>
        </is>
      </c>
      <c r="C240" s="2" t="inlineStr">
        <is>
          <t>158101611</t>
        </is>
      </c>
      <c r="D240" s="2" t="inlineStr">
        <is>
          <t>$248.00</t>
        </is>
      </c>
      <c r="E240" s="2" t="inlineStr">
        <is>
          <t>$124.00</t>
        </is>
      </c>
      <c r="F240" s="2">
        <f>IMAGE("https://images.lululemon.com/is/image/lululemon/0001",1)</f>
        <v/>
      </c>
      <c r="G240" s="2" t="n"/>
      <c r="H240" s="2" t="n"/>
      <c r="I240" s="2" t="n"/>
      <c r="J240" s="2" t="n"/>
      <c r="K240" s="2" t="n"/>
      <c r="L240" s="2" t="inlineStr">
        <is>
          <t>S, M, L, XL, XXL</t>
        </is>
      </c>
      <c r="M240" s="2" t="n">
        <v>227</v>
      </c>
      <c r="N240" s="2" t="inlineStr">
        <is>
          <t>Seasonless. Filled with premium 900-fill-power down, this packable vest delivers light warmth that feels practically weightless—layer it under a shell or over cozy sweaters when the chill sets in.​</t>
        </is>
      </c>
      <c r="O240" s="2" t="inlineStr">
        <is>
          <t>M-Featherweight-900-Down-Fill-Quilted-Vest</t>
        </is>
      </c>
      <c r="P240" s="2" t="inlineStr">
        <is>
          <t>Yes</t>
        </is>
      </c>
      <c r="Q240" s="2" t="inlineStr">
        <is>
          <t>Featherweight Down Quilted Vest BLK S</t>
        </is>
      </c>
      <c r="R240" s="2" t="inlineStr">
        <is>
          <t>Black</t>
        </is>
      </c>
      <c r="S240" s="2" t="inlineStr">
        <is>
          <t>Puffer Jackets, Vests</t>
        </is>
      </c>
      <c r="T240" s="2" t="inlineStr">
        <is>
          <t>Men</t>
        </is>
      </c>
    </row>
    <row r="241" ht="80" customHeight="1">
      <c r="A241" s="3">
        <f>IMAGE("https://images.lululemon.com/is/image/lululemon/LU9B35S_0001_1?wid=320&amp;op_usm=0.8",1)</f>
        <v/>
      </c>
      <c r="B241" s="3" t="inlineStr">
        <is>
          <t>Fast and Free Running Belt</t>
        </is>
      </c>
      <c r="C241" s="3" t="inlineStr">
        <is>
          <t>155702492</t>
        </is>
      </c>
      <c r="D241" s="3" t="inlineStr">
        <is>
          <t>$44.00</t>
        </is>
      </c>
      <c r="E241" s="3" t="inlineStr">
        <is>
          <t>$22.00</t>
        </is>
      </c>
      <c r="F241" s="3">
        <f>IMAGE("https://images.lululemon.com/is/image/lululemon/0001",1)</f>
        <v/>
      </c>
      <c r="G241" s="3">
        <f>IMAGE("https://images.lululemon.com/is/image/lululemon/14336",1)</f>
        <v/>
      </c>
      <c r="H241" s="3" t="n"/>
      <c r="I241" s="3" t="n"/>
      <c r="J241" s="3" t="n"/>
      <c r="K241" s="3" t="n"/>
      <c r="L241" s="3" t="inlineStr">
        <is>
          <t>XS/S, S/M, L/XL</t>
        </is>
      </c>
      <c r="M241" s="3" t="n">
        <v>300</v>
      </c>
      <c r="N241" s="3" t="inlineStr">
        <is>
          <t>Free your mind—and your hands. This sleek, distraction-free run belt is lightweight and adjustable with just enough space for run essentials.</t>
        </is>
      </c>
      <c r="O241" s="3" t="inlineStr">
        <is>
          <t>Fast-and-Free-Run-Belt</t>
        </is>
      </c>
      <c r="P241" s="3" t="inlineStr">
        <is>
          <t>Yes</t>
        </is>
      </c>
      <c r="Q241" s="3" t="inlineStr">
        <is>
          <t>Fast and Free Run Belt BLK XS/S</t>
        </is>
      </c>
      <c r="R241" s="3" t="inlineStr">
        <is>
          <t>Black, Jewelled Magenta</t>
        </is>
      </c>
      <c r="S241" s="3" t="inlineStr">
        <is>
          <t>Belt Bags</t>
        </is>
      </c>
      <c r="T241" s="3" t="inlineStr">
        <is>
          <t>Men</t>
        </is>
      </c>
    </row>
    <row r="242" ht="80" customHeight="1">
      <c r="A242" s="2">
        <f>IMAGE("https://images.lululemon.com/is/image/lululemon/LW9FH8S_043639_1?wid=320&amp;op_usm=0.8",1)</f>
        <v/>
      </c>
      <c r="B242" s="2" t="inlineStr">
        <is>
          <t>Women's Fast and Free Rulu Running Gloves</t>
        </is>
      </c>
      <c r="C242" s="2" t="inlineStr">
        <is>
          <t>154525166</t>
        </is>
      </c>
      <c r="D242" s="2" t="inlineStr">
        <is>
          <t>$52.00</t>
        </is>
      </c>
      <c r="E242" s="2" t="inlineStr">
        <is>
          <t>$26.00</t>
        </is>
      </c>
      <c r="F242" s="2">
        <f>IMAGE("https://images.lululemon.com/is/image/lululemon/43639",1)</f>
        <v/>
      </c>
      <c r="G242" s="2" t="n"/>
      <c r="H242" s="2" t="n"/>
      <c r="I242" s="2" t="n"/>
      <c r="J242" s="2" t="n"/>
      <c r="K242" s="2" t="n"/>
      <c r="L242" s="2" t="inlineStr">
        <is>
          <t>M</t>
        </is>
      </c>
      <c r="M242" s="2" t="n">
        <v>39</v>
      </c>
      <c r="N242" s="2" t="inlineStr">
        <is>
          <t>Brisk, frosty, crisp—anyway you say it, these tech-friendly, fleece-insulated run gloves stop the chill in its tracks.</t>
        </is>
      </c>
      <c r="O242" s="2" t="inlineStr">
        <is>
          <t>W-Fast-and-Free-Rulu-Run-Gloves</t>
        </is>
      </c>
      <c r="P242" s="2" t="inlineStr">
        <is>
          <t>Yes</t>
        </is>
      </c>
      <c r="Q242" s="2" t="inlineStr">
        <is>
          <t>Fast and Free Rulu™ Run Gloves W HTGR M</t>
        </is>
      </c>
      <c r="R242" s="2" t="inlineStr">
        <is>
          <t>Heathered Graphite Grey</t>
        </is>
      </c>
      <c r="S242" s="2" t="inlineStr"/>
      <c r="T242" s="2" t="inlineStr">
        <is>
          <t>Men</t>
        </is>
      </c>
    </row>
    <row r="243" ht="80" customHeight="1">
      <c r="A243" s="3">
        <f>IMAGE("https://images.lululemon.com/is/image/lululemon/LW3EPFS_0001_1?wid=320&amp;op_usm=0.8",1)</f>
        <v/>
      </c>
      <c r="B243" s="3" t="inlineStr">
        <is>
          <t>Love Crewneck T-Shirt</t>
        </is>
      </c>
      <c r="C243" s="3" t="inlineStr">
        <is>
          <t>142176489</t>
        </is>
      </c>
      <c r="D243" s="3" t="inlineStr">
        <is>
          <t>$48.00</t>
        </is>
      </c>
      <c r="E243" s="3" t="inlineStr">
        <is>
          <t>$24.00</t>
        </is>
      </c>
      <c r="F243" s="3">
        <f>IMAGE("https://images.lululemon.com/is/image/lululemon/0001",1)</f>
        <v/>
      </c>
      <c r="G243" s="3">
        <f>IMAGE("https://images.lululemon.com/is/image/lululemon/31382",1)</f>
        <v/>
      </c>
      <c r="H243" s="3">
        <f>IMAGE("https://images.lululemon.com/is/image/lululemon/0002",1)</f>
        <v/>
      </c>
      <c r="I243" s="3" t="n"/>
      <c r="J243" s="3" t="n"/>
      <c r="K243" s="3" t="n"/>
      <c r="L243" s="3" t="inlineStr">
        <is>
          <t>0, 4, 6, 8, 10, 12, 2, 14</t>
        </is>
      </c>
      <c r="M243" s="3" t="n">
        <v>650</v>
      </c>
      <c r="N243" s="3" t="inlineStr">
        <is>
          <t>Lots of reasons to love this tee. Soft cotton fabric, a hint of stretch, and a just-right curved hem that pairs perfectly with leggings.</t>
        </is>
      </c>
      <c r="O243" s="3" t="inlineStr">
        <is>
          <t>Love-Crew</t>
        </is>
      </c>
      <c r="P243" s="3" t="inlineStr">
        <is>
          <t>Yes</t>
        </is>
      </c>
      <c r="Q243" s="3" t="inlineStr">
        <is>
          <t>Love Crew TRNV 0</t>
        </is>
      </c>
      <c r="R243" s="3" t="inlineStr">
        <is>
          <t>Black, True Navy, White</t>
        </is>
      </c>
      <c r="S243" s="3" t="inlineStr"/>
      <c r="T243" s="3" t="inlineStr">
        <is>
          <t>Men</t>
        </is>
      </c>
    </row>
    <row r="244" ht="80" customHeight="1">
      <c r="A244" s="2">
        <f>IMAGE("https://images.lululemon.com/is/image/lululemon/LM7BPKS_071177_1?wid=320&amp;op_usm=0.8",1)</f>
        <v/>
      </c>
      <c r="B244" s="2" t="inlineStr">
        <is>
          <t>Mile Maker Ripstop Lined Short 4"</t>
        </is>
      </c>
      <c r="C244" s="2" t="inlineStr">
        <is>
          <t>157717666</t>
        </is>
      </c>
      <c r="D244" s="2" t="inlineStr">
        <is>
          <t>$78.00</t>
        </is>
      </c>
      <c r="E244" s="2" t="inlineStr">
        <is>
          <t>$39.00</t>
        </is>
      </c>
      <c r="F244" s="2">
        <f>IMAGE("https://images.lululemon.com/is/image/lululemon/71177",1)</f>
        <v/>
      </c>
      <c r="G244" s="2" t="n"/>
      <c r="H244" s="2" t="n"/>
      <c r="I244" s="2" t="n"/>
      <c r="J244" s="2" t="n"/>
      <c r="K244" s="2" t="n"/>
      <c r="L244" s="2" t="inlineStr">
        <is>
          <t>S, M, L, XL, XXL</t>
        </is>
      </c>
      <c r="M244" s="2" t="n">
        <v>126</v>
      </c>
      <c r="N244" s="2" t="inlineStr">
        <is>
          <t>Whether you're a seasoned runner or new to the crew, these lined, quick-drying shorts keep you comfortable from warm-up stretches to post-run hangs.</t>
        </is>
      </c>
      <c r="O244" s="2" t="inlineStr">
        <is>
          <t>Mile-Maker-Ripstop-Lined-Short-4</t>
        </is>
      </c>
      <c r="P244" s="2" t="inlineStr">
        <is>
          <t>Yes</t>
        </is>
      </c>
      <c r="Q244" s="2" t="inlineStr">
        <is>
          <t>Mile Maker Ripstop Short 4" *Lined SNOR S</t>
        </is>
      </c>
      <c r="R244" s="2" t="inlineStr">
        <is>
          <t>Sunburst Orange</t>
        </is>
      </c>
      <c r="S244" s="2" t="inlineStr">
        <is>
          <t>Liner Shorts, Athletic Shorts</t>
        </is>
      </c>
      <c r="T244" s="2" t="inlineStr">
        <is>
          <t>Men</t>
        </is>
      </c>
    </row>
    <row r="245" ht="80" customHeight="1">
      <c r="A245" s="3">
        <f>IMAGE("https://images.lululemon.com/is/image/lululemon/LM3FDVS_0001_1?wid=320&amp;op_usm=0.8",1)</f>
        <v/>
      </c>
      <c r="B245" s="3" t="inlineStr">
        <is>
          <t>Smooth Spacer Classic-Fit Pullover Hoodie</t>
        </is>
      </c>
      <c r="C245" s="3" t="inlineStr">
        <is>
          <t>151655228</t>
        </is>
      </c>
      <c r="D245" s="3" t="inlineStr">
        <is>
          <t>$138.00</t>
        </is>
      </c>
      <c r="E245" s="3" t="inlineStr">
        <is>
          <t>$69.00</t>
        </is>
      </c>
      <c r="F245" s="3">
        <f>IMAGE("https://images.lululemon.com/is/image/lululemon/0001",1)</f>
        <v/>
      </c>
      <c r="G245" s="3">
        <f>IMAGE("https://images.lululemon.com/is/image/lululemon/32493",1)</f>
        <v/>
      </c>
      <c r="H245" s="3">
        <f>IMAGE("https://images.lululemon.com/is/image/lululemon/70108",1)</f>
        <v/>
      </c>
      <c r="I245" s="3">
        <f>IMAGE("https://images.lululemon.com/is/image/lululemon/41179",1)</f>
        <v/>
      </c>
      <c r="J245" s="3">
        <f>IMAGE("https://images.lululemon.com/is/image/lululemon/62214",1)</f>
        <v/>
      </c>
      <c r="K245" s="3">
        <f>IMAGE("https://images.lululemon.com/is/image/lululemon/71148",1)</f>
        <v/>
      </c>
      <c r="L245" s="3" t="inlineStr">
        <is>
          <t>S, M, L, XL, XXL</t>
        </is>
      </c>
      <c r="M245" s="3" t="n">
        <v>1217</v>
      </c>
      <c r="N245" s="3" t="inlineStr">
        <is>
          <t>Instant recovery mode. Fast-drying fabric on this hoodie is soft on the outside and sleek next to skin for that perfect cool-down feeling.</t>
        </is>
      </c>
      <c r="O245" s="3" t="inlineStr">
        <is>
          <t>Smooth-Spacer-Classic-Pullover-Hoodie</t>
        </is>
      </c>
      <c r="P245" s="3" t="inlineStr">
        <is>
          <t>Yes</t>
        </is>
      </c>
      <c r="Q245" s="3" t="inlineStr">
        <is>
          <t>Smooth Spacer Pullover Hoodie BLK S</t>
        </is>
      </c>
      <c r="R245" s="3" t="inlineStr">
        <is>
          <t>Black, Heathered Core Ultra Light Grey, Warm Ash Grey, Sequoia, Bay Leaf, Olive Brown</t>
        </is>
      </c>
      <c r="S245" s="3" t="inlineStr">
        <is>
          <t>Hoodies</t>
        </is>
      </c>
      <c r="T245" s="3" t="inlineStr">
        <is>
          <t>Men</t>
        </is>
      </c>
    </row>
    <row r="246" ht="80" customHeight="1">
      <c r="A246" s="2">
        <f>IMAGE("https://images.lululemon.com/is/image/lululemon/LM7BI5S_073737_1?wid=320&amp;op_usm=0.8",1)</f>
        <v/>
      </c>
      <c r="B246" s="2" t="inlineStr">
        <is>
          <t>Pace Breaker Linerless Short 7" *Iridescent</t>
        </is>
      </c>
      <c r="C246" s="2" t="inlineStr">
        <is>
          <t>158101108</t>
        </is>
      </c>
      <c r="D246" s="2" t="inlineStr">
        <is>
          <t>$88.00</t>
        </is>
      </c>
      <c r="E246" s="2" t="inlineStr">
        <is>
          <t>$44.00</t>
        </is>
      </c>
      <c r="F246" s="2">
        <f>IMAGE("https://images.lululemon.com/is/image/lululemon/73737",1)</f>
        <v/>
      </c>
      <c r="G246" s="2" t="n"/>
      <c r="H246" s="2" t="n"/>
      <c r="I246" s="2" t="n"/>
      <c r="J246" s="2" t="n"/>
      <c r="K246" s="2" t="n"/>
      <c r="L246" s="2" t="inlineStr">
        <is>
          <t>S, M, L, XL, XXL</t>
        </is>
      </c>
      <c r="M246" s="2" t="n">
        <v>306</v>
      </c>
      <c r="N246" s="2" t="inlineStr">
        <is>
          <t>Athlete backed, performance driven. This elevated version of our most versatile short was designed for maximum comfort and zero distractions.</t>
        </is>
      </c>
      <c r="O246" s="2" t="inlineStr">
        <is>
          <t>Pace-Breaker-LL-Short-7-Iridescent</t>
        </is>
      </c>
      <c r="P246" s="2" t="inlineStr">
        <is>
          <t>Yes</t>
        </is>
      </c>
      <c r="Q246" s="2" t="inlineStr">
        <is>
          <t>Pace Breaker Short 7" LL *Iridescent REDC/FNTN S</t>
        </is>
      </c>
      <c r="R246" s="2" t="inlineStr">
        <is>
          <t>Red Clay/Fountain</t>
        </is>
      </c>
      <c r="S246" s="2" t="inlineStr">
        <is>
          <t>Athletic Shorts</t>
        </is>
      </c>
      <c r="T246" s="2" t="inlineStr">
        <is>
          <t>Men</t>
        </is>
      </c>
    </row>
    <row r="247" ht="80" customHeight="1">
      <c r="A247" s="3">
        <f>IMAGE("https://images.lululemon.com/is/image/lululemon/LM4ARUS_038990_1?wid=320&amp;op_usm=0.8",1)</f>
        <v/>
      </c>
      <c r="B247" s="3" t="inlineStr">
        <is>
          <t>Pace Breaker Ripstop Jacket</t>
        </is>
      </c>
      <c r="C247" s="3" t="inlineStr">
        <is>
          <t>155826634</t>
        </is>
      </c>
      <c r="D247" s="3" t="inlineStr">
        <is>
          <t>$188.00</t>
        </is>
      </c>
      <c r="E247" s="3" t="inlineStr">
        <is>
          <t>$94.00</t>
        </is>
      </c>
      <c r="F247" s="3">
        <f>IMAGE("https://images.lululemon.com/is/image/lululemon/38990",1)</f>
        <v/>
      </c>
      <c r="G247" s="3" t="n"/>
      <c r="H247" s="3" t="n"/>
      <c r="I247" s="3" t="n"/>
      <c r="J247" s="3" t="n"/>
      <c r="K247" s="3" t="n"/>
      <c r="L247" s="3" t="inlineStr">
        <is>
          <t>S, M, L, XL, XXL</t>
        </is>
      </c>
      <c r="M247" s="3" t="n">
        <v>1203</v>
      </c>
      <c r="N247" s="3" t="inlineStr">
        <is>
          <t>Designed for cross-sport performance, this versatile jacket has a wrap-around panel of ventilation for maximum comfort as you run and train.</t>
        </is>
      </c>
      <c r="O247" s="3" t="inlineStr">
        <is>
          <t>Pace-Breaker-Ripstop-Jacket</t>
        </is>
      </c>
      <c r="P247" s="3" t="inlineStr">
        <is>
          <t>Yes</t>
        </is>
      </c>
      <c r="Q247" s="3" t="inlineStr">
        <is>
          <t>Pace Breaker Ripstop Jacket SOGY/WHT S</t>
        </is>
      </c>
      <c r="R247" s="3" t="inlineStr">
        <is>
          <t>Solar Grey/White</t>
        </is>
      </c>
      <c r="S247" s="3" t="inlineStr">
        <is>
          <t>Athletic Jackets</t>
        </is>
      </c>
      <c r="T247" s="3" t="inlineStr">
        <is>
          <t>Men</t>
        </is>
      </c>
    </row>
    <row r="248" ht="80" customHeight="1">
      <c r="A248" s="2">
        <f>IMAGE("https://images.lululemon.com/is/image/lululemon/LU9C94S_036168_1?wid=320&amp;op_usm=0.8",1)</f>
        <v/>
      </c>
      <c r="B248" s="2" t="inlineStr">
        <is>
          <t>Warm Revelation Gloves</t>
        </is>
      </c>
      <c r="C248" s="2" t="inlineStr">
        <is>
          <t>157703621</t>
        </is>
      </c>
      <c r="D248" s="2" t="inlineStr">
        <is>
          <t>$52.00</t>
        </is>
      </c>
      <c r="E248" s="2" t="inlineStr">
        <is>
          <t>$26.00</t>
        </is>
      </c>
      <c r="F248" s="2">
        <f>IMAGE("https://images.lululemon.com/is/image/lululemon/36168",1)</f>
        <v/>
      </c>
      <c r="G248" s="2" t="n"/>
      <c r="H248" s="2" t="n"/>
      <c r="I248" s="2" t="n"/>
      <c r="J248" s="2" t="n"/>
      <c r="K248" s="2" t="n"/>
      <c r="L248" s="2" t="inlineStr">
        <is>
          <t>S, M, L, XL</t>
        </is>
      </c>
      <c r="M248" s="2" t="n">
        <v>42</v>
      </c>
      <c r="N248" s="2" t="inlineStr">
        <is>
          <t>Pop on these merino wool-blend gloves when the temperature drops to help keep you cozy on chilly days.</t>
        </is>
      </c>
      <c r="O248" s="2" t="inlineStr">
        <is>
          <t>Warm-Revelation-Gloves-Updated</t>
        </is>
      </c>
      <c r="P248" s="2" t="inlineStr">
        <is>
          <t>Yes</t>
        </is>
      </c>
      <c r="Q248" s="2" t="inlineStr">
        <is>
          <t>Warm Revelation Gloves HRLI S</t>
        </is>
      </c>
      <c r="R248" s="2" t="inlineStr">
        <is>
          <t>Heathered Light Ivory</t>
        </is>
      </c>
      <c r="S248" s="2" t="inlineStr"/>
      <c r="T248" s="2" t="inlineStr">
        <is>
          <t>Men</t>
        </is>
      </c>
    </row>
    <row r="249" ht="80" customHeight="1">
      <c r="A249" s="3">
        <f>IMAGE("https://images.lululemon.com/is/image/lululemon/LM3FK6S_037080_1?wid=320&amp;op_usm=0.8",1)</f>
        <v/>
      </c>
      <c r="B249" s="3" t="inlineStr">
        <is>
          <t>Logo Sport Polo Short Sleeve *Updated Fit</t>
        </is>
      </c>
      <c r="C249" s="3" t="inlineStr">
        <is>
          <t>156489741</t>
        </is>
      </c>
      <c r="D249" s="3" t="inlineStr">
        <is>
          <t>$98.00</t>
        </is>
      </c>
      <c r="E249" s="3" t="inlineStr">
        <is>
          <t>$49.00</t>
        </is>
      </c>
      <c r="F249" s="3">
        <f>IMAGE("https://images.lululemon.com/is/image/lululemon/37080",1)</f>
        <v/>
      </c>
      <c r="G249" s="3">
        <f>IMAGE("https://images.lululemon.com/is/image/lululemon/72038",1)</f>
        <v/>
      </c>
      <c r="H249" s="3">
        <f>IMAGE("https://images.lululemon.com/is/image/lululemon/72040",1)</f>
        <v/>
      </c>
      <c r="I249" s="3">
        <f>IMAGE("https://images.lululemon.com/is/image/lululemon/0001",1)</f>
        <v/>
      </c>
      <c r="J249" s="3">
        <f>IMAGE("https://images.lululemon.com/is/image/lululemon/1966",1)</f>
        <v/>
      </c>
      <c r="K249" s="3">
        <f>IMAGE("https://images.lululemon.com/is/image/lululemon/73667",1)</f>
        <v/>
      </c>
      <c r="L249" s="3" t="inlineStr">
        <is>
          <t>S, M, L, XL, XXL</t>
        </is>
      </c>
      <c r="M249" s="3" t="n">
        <v>2399</v>
      </c>
      <c r="N249" s="3" t="inlineStr">
        <is>
          <t>“Out of Office” vibes, in a polo. Minimally seamed, anti-stink fabric can handle a full day’s adventure.</t>
        </is>
      </c>
      <c r="O249" s="3" t="inlineStr">
        <is>
          <t>Logo-Sport-Polo-Short-Sleeve-Updated-Fit</t>
        </is>
      </c>
      <c r="P249" s="3" t="inlineStr">
        <is>
          <t>Yes</t>
        </is>
      </c>
      <c r="Q249" s="3" t="inlineStr">
        <is>
          <t>Logo Sport Polo Short Sleeve HPKH S</t>
        </is>
      </c>
      <c r="R249" s="3" t="inlineStr">
        <is>
          <t>Heathered Pink Haze, Net Link Club Blue Multi, Net Link Rainforest Green Multi, Black, Heathered Black, Perth Blossom Blue Multi, Pelican</t>
        </is>
      </c>
      <c r="S249" s="3" t="inlineStr"/>
      <c r="T249" s="3" t="inlineStr">
        <is>
          <t>Men</t>
        </is>
      </c>
    </row>
    <row r="250" ht="80" customHeight="1">
      <c r="A250" s="2">
        <f>IMAGE("https://images.lululemon.com/is/image/lululemon/LU9BQPS_0001_1?wid=320&amp;op_usm=0.8",1)</f>
        <v/>
      </c>
      <c r="B250" s="2" t="inlineStr">
        <is>
          <t>Back to Life Sport Bottle 18oz *Straw Lid</t>
        </is>
      </c>
      <c r="C250" s="2" t="inlineStr">
        <is>
          <t>147150092</t>
        </is>
      </c>
      <c r="D250" s="2" t="inlineStr">
        <is>
          <t>$38.00</t>
        </is>
      </c>
      <c r="E250" s="2" t="inlineStr">
        <is>
          <t>$19.00</t>
        </is>
      </c>
      <c r="F250" s="2">
        <f>IMAGE("https://images.lululemon.com/is/image/lululemon/0001",1)</f>
        <v/>
      </c>
      <c r="G250" s="2" t="n"/>
      <c r="H250" s="2" t="n"/>
      <c r="I250" s="2" t="n"/>
      <c r="J250" s="2" t="n"/>
      <c r="K250" s="2" t="n"/>
      <c r="L250" s="2" t="inlineStr">
        <is>
          <t>O/S</t>
        </is>
      </c>
      <c r="M250" s="2" t="n">
        <v>225</v>
      </c>
      <c r="N250" s="2" t="inlineStr">
        <is>
          <t>Sport mode: activated. This insulated water bottle has a built-in straw lid and a slip-free texture to make one-handed drinking a breeze.</t>
        </is>
      </c>
      <c r="O250" s="2" t="inlineStr">
        <is>
          <t>Bck-to-Life-Sprt-Bttle-18oz-Straw-Lid</t>
        </is>
      </c>
      <c r="P250" s="2" t="inlineStr">
        <is>
          <t>Yes</t>
        </is>
      </c>
      <c r="Q250" s="2" t="inlineStr">
        <is>
          <t>Back to Life Sport Bottle 18oz*Straw Lid BLK ONE SIZE</t>
        </is>
      </c>
      <c r="R250" s="2" t="inlineStr">
        <is>
          <t>Black</t>
        </is>
      </c>
      <c r="S250" s="2" t="inlineStr"/>
      <c r="T250" s="2" t="inlineStr">
        <is>
          <t>Men</t>
        </is>
      </c>
    </row>
    <row r="251" ht="80" customHeight="1">
      <c r="A251" s="3">
        <f>IMAGE("https://images.lululemon.com/is/image/lululemon/LM3EOZS_8650_1?wid=320&amp;op_usm=0.8",1)</f>
        <v/>
      </c>
      <c r="B251" s="3" t="inlineStr">
        <is>
          <t>Textured Double-Knit Cotton Hoodie</t>
        </is>
      </c>
      <c r="C251" s="3" t="inlineStr">
        <is>
          <t>148300782</t>
        </is>
      </c>
      <c r="D251" s="3" t="inlineStr">
        <is>
          <t>$148.00</t>
        </is>
      </c>
      <c r="E251" s="3" t="inlineStr">
        <is>
          <t>$74.00</t>
        </is>
      </c>
      <c r="F251" s="3">
        <f>IMAGE("https://images.lululemon.com/is/image/lululemon/8650",1)</f>
        <v/>
      </c>
      <c r="G251" s="3" t="n"/>
      <c r="H251" s="3" t="n"/>
      <c r="I251" s="3" t="n"/>
      <c r="J251" s="3" t="n"/>
      <c r="K251" s="3" t="n"/>
      <c r="L251" s="3" t="inlineStr">
        <is>
          <t>M, XL, XXL</t>
        </is>
      </c>
      <c r="M251" s="3" t="n">
        <v>97</v>
      </c>
      <c r="N251" s="3" t="inlineStr">
        <is>
          <t>The real MVP of your sweats drawer. This textured, cotton-blend hoodie takes top marks for comfortable versatility.</t>
        </is>
      </c>
      <c r="O251" s="3" t="inlineStr">
        <is>
          <t>Textured-Double-Knit-Cotton-Hoodie</t>
        </is>
      </c>
      <c r="P251" s="3" t="inlineStr">
        <is>
          <t>Yes</t>
        </is>
      </c>
      <c r="Q251" s="3" t="inlineStr">
        <is>
          <t>Textured Double-Knit Cotton Hoodie HBLK/BLK M</t>
        </is>
      </c>
      <c r="R251" s="3" t="inlineStr">
        <is>
          <t>Heathered Black/Black</t>
        </is>
      </c>
      <c r="S251" s="3" t="inlineStr">
        <is>
          <t>Hoodies</t>
        </is>
      </c>
      <c r="T251" s="3" t="inlineStr">
        <is>
          <t>Men</t>
        </is>
      </c>
    </row>
    <row r="252" ht="80" customHeight="1">
      <c r="A252" s="2">
        <f>IMAGE("https://images.lululemon.com/is/image/lululemon/LU9CLXS_0001_1?wid=320&amp;op_usm=0.8",1)</f>
        <v/>
      </c>
      <c r="B252" s="2" t="inlineStr">
        <is>
          <t>License to Train Wide Headband</t>
        </is>
      </c>
      <c r="C252" s="2" t="inlineStr">
        <is>
          <t>153835510</t>
        </is>
      </c>
      <c r="D252" s="2" t="inlineStr">
        <is>
          <t>$18.00</t>
        </is>
      </c>
      <c r="E252" s="2" t="inlineStr">
        <is>
          <t>$9.00</t>
        </is>
      </c>
      <c r="F252" s="2">
        <f>IMAGE("https://images.lululemon.com/is/image/lululemon/0001",1)</f>
        <v/>
      </c>
      <c r="G252" s="2" t="n"/>
      <c r="H252" s="2" t="n"/>
      <c r="I252" s="2" t="n"/>
      <c r="J252" s="2" t="n"/>
      <c r="K252" s="2" t="n"/>
      <c r="L252" s="2" t="inlineStr">
        <is>
          <t>O/S</t>
        </is>
      </c>
      <c r="M252" s="2" t="n">
        <v>409</v>
      </c>
      <c r="N252" s="2" t="inlineStr">
        <is>
          <t>High performance means no distractions. Keep your hair off your face, sweat out of your eyes, and the focus on your workout with this wide headband.</t>
        </is>
      </c>
      <c r="O252" s="2" t="inlineStr">
        <is>
          <t>License-to-Train-Wide-Headband</t>
        </is>
      </c>
      <c r="P252" s="2" t="inlineStr">
        <is>
          <t>Yes</t>
        </is>
      </c>
      <c r="Q252" s="2" t="inlineStr">
        <is>
          <t>License To Train Wide Headband BLK ONE SIZE</t>
        </is>
      </c>
      <c r="R252" s="2" t="inlineStr">
        <is>
          <t>Black</t>
        </is>
      </c>
      <c r="S252" s="2" t="inlineStr">
        <is>
          <t>Headbands</t>
        </is>
      </c>
      <c r="T252" s="2" t="inlineStr">
        <is>
          <t>Men</t>
        </is>
      </c>
    </row>
    <row r="253" ht="80" customHeight="1">
      <c r="A253" s="3">
        <f>IMAGE("https://images.lululemon.com/is/image/lululemon/LM3FRKS_071291_1?wid=320&amp;op_usm=0.8",1)</f>
        <v/>
      </c>
      <c r="B253" s="3" t="inlineStr">
        <is>
          <t>Cotton Pique Short-Sleeve Polo Shirt</t>
        </is>
      </c>
      <c r="C253" s="3" t="inlineStr">
        <is>
          <t>157682661</t>
        </is>
      </c>
      <c r="D253" s="3" t="inlineStr">
        <is>
          <t>$98.00</t>
        </is>
      </c>
      <c r="E253" s="3" t="inlineStr">
        <is>
          <t>$49.00</t>
        </is>
      </c>
      <c r="F253" s="3">
        <f>IMAGE("https://images.lululemon.com/is/image/lululemon/71291",1)</f>
        <v/>
      </c>
      <c r="G253" s="3">
        <f>IMAGE("https://images.lululemon.com/is/image/lululemon/71290",1)</f>
        <v/>
      </c>
      <c r="H253" s="3" t="n"/>
      <c r="I253" s="3" t="n"/>
      <c r="J253" s="3" t="n"/>
      <c r="K253" s="3" t="n"/>
      <c r="L253" s="3" t="inlineStr">
        <is>
          <t>S, M, L, XL, XXL</t>
        </is>
      </c>
      <c r="M253" s="3" t="n">
        <v>507</v>
      </c>
      <c r="N253" s="3" t="inlineStr">
        <is>
          <t>Make it look easy. This short-sleeve polo is always dressed to impress thanks to cotton-blend fabric that has a sophisticated structure and texture.</t>
        </is>
      </c>
      <c r="O253" s="3" t="inlineStr">
        <is>
          <t>Cotton-Pique-Short-Sleeve-Polo-Shirt</t>
        </is>
      </c>
      <c r="P253" s="3" t="inlineStr">
        <is>
          <t>Yes</t>
        </is>
      </c>
      <c r="Q253" s="3" t="inlineStr">
        <is>
          <t>Cotton Pique Short-Sleeve Polo DWWD S</t>
        </is>
      </c>
      <c r="R253" s="3" t="inlineStr">
        <is>
          <t>Dilute Wash Washed Denim, Dilute Wash Nightmoth</t>
        </is>
      </c>
      <c r="S253" s="3" t="inlineStr"/>
      <c r="T253" s="3" t="inlineStr">
        <is>
          <t>Men</t>
        </is>
      </c>
    </row>
    <row r="254" ht="80" customHeight="1">
      <c r="A254" s="2">
        <f>IMAGE("https://images.lululemon.com/is/image/lululemon/LM3FTXS_041179_1?wid=320&amp;op_usm=0.8",1)</f>
        <v/>
      </c>
      <c r="B254" s="2" t="inlineStr">
        <is>
          <t>Grid Fleece Full-Zip Jacket</t>
        </is>
      </c>
      <c r="C254" s="2" t="inlineStr">
        <is>
          <t>157712471</t>
        </is>
      </c>
      <c r="D254" s="2" t="inlineStr">
        <is>
          <t>$148.00</t>
        </is>
      </c>
      <c r="E254" s="2" t="inlineStr">
        <is>
          <t>$74.00</t>
        </is>
      </c>
      <c r="F254" s="2">
        <f>IMAGE("https://images.lululemon.com/is/image/lululemon/41179",1)</f>
        <v/>
      </c>
      <c r="G254" s="2" t="n"/>
      <c r="H254" s="2" t="n"/>
      <c r="I254" s="2" t="n"/>
      <c r="J254" s="2" t="n"/>
      <c r="K254" s="2" t="n"/>
      <c r="L254" s="2" t="inlineStr">
        <is>
          <t>S, M, L, XL, XXL</t>
        </is>
      </c>
      <c r="M254" s="2" t="n">
        <v>223</v>
      </c>
      <c r="N254" s="2" t="inlineStr">
        <is>
          <t>Cold-weather run specialist. This water-repellent layer has a grid-fleece interior that provides lightweight warmth without weighing you down.</t>
        </is>
      </c>
      <c r="O254" s="2" t="inlineStr">
        <is>
          <t>Grid-Fleece-Full-Zip-Jacket</t>
        </is>
      </c>
      <c r="P254" s="2" t="inlineStr">
        <is>
          <t>Yes</t>
        </is>
      </c>
      <c r="Q254" s="2" t="inlineStr">
        <is>
          <t>Grid Fleece Full-Zip Jacket SQUO S</t>
        </is>
      </c>
      <c r="R254" s="2" t="inlineStr">
        <is>
          <t>Sequoia</t>
        </is>
      </c>
      <c r="S254" s="2" t="inlineStr">
        <is>
          <t>Athletic Jackets</t>
        </is>
      </c>
      <c r="T254" s="2" t="inlineStr">
        <is>
          <t>Men</t>
        </is>
      </c>
    </row>
    <row r="255" ht="80" customHeight="1">
      <c r="A255" s="3">
        <f>IMAGE("https://images.lululemon.com/is/image/lululemon/LM7B87S_0001_1?wid=320&amp;op_usm=0.8",1)</f>
        <v/>
      </c>
      <c r="B255" s="3" t="inlineStr">
        <is>
          <t>Pace Breaker Lined Short 9"</t>
        </is>
      </c>
      <c r="C255" s="3" t="inlineStr">
        <is>
          <t>147033350</t>
        </is>
      </c>
      <c r="D255" s="3" t="inlineStr">
        <is>
          <t>$78.00</t>
        </is>
      </c>
      <c r="E255" s="3" t="inlineStr">
        <is>
          <t>$39.00</t>
        </is>
      </c>
      <c r="F255" s="3">
        <f>IMAGE("https://images.lululemon.com/is/image/lululemon/0001",1)</f>
        <v/>
      </c>
      <c r="G255" s="3" t="n"/>
      <c r="H255" s="3" t="n"/>
      <c r="I255" s="3" t="n"/>
      <c r="J255" s="3" t="n"/>
      <c r="K255" s="3" t="n"/>
      <c r="L255" s="3" t="inlineStr">
        <is>
          <t>S, M, L, XL, XXL</t>
        </is>
      </c>
      <c r="M255" s="3" t="n">
        <v>660</v>
      </c>
      <c r="N255" s="3" t="inlineStr">
        <is>
          <t>Athlete backed, performance driven. This elevated version of our most versatile short was designed for maximum comfort and zero distractions.</t>
        </is>
      </c>
      <c r="O255" s="3" t="inlineStr">
        <is>
          <t>Pace-Breaker-Lined-9-Updated</t>
        </is>
      </c>
      <c r="P255" s="3" t="inlineStr">
        <is>
          <t>Yes</t>
        </is>
      </c>
      <c r="Q255" s="3" t="inlineStr">
        <is>
          <t>Pace Breaker Short 9" *Lined BLK S</t>
        </is>
      </c>
      <c r="R255" s="3" t="inlineStr">
        <is>
          <t>Black</t>
        </is>
      </c>
      <c r="S255" s="3" t="inlineStr">
        <is>
          <t>Athletic Shorts, Liner Shorts</t>
        </is>
      </c>
      <c r="T255" s="3" t="inlineStr">
        <is>
          <t>Men</t>
        </is>
      </c>
    </row>
    <row r="256" ht="80" customHeight="1">
      <c r="A256" s="2">
        <f>IMAGE("https://images.lululemon.com/is/image/lululemon/LM5AQYS_031382_1?wid=320&amp;op_usm=0.8",1)</f>
        <v/>
      </c>
      <c r="B256" s="2" t="inlineStr">
        <is>
          <t>ABC Slim-Fit Trouser 30L *Warpstreme</t>
        </is>
      </c>
      <c r="C256" s="2" t="inlineStr">
        <is>
          <t>147153042</t>
        </is>
      </c>
      <c r="D256" s="2" t="inlineStr">
        <is>
          <t>$138.00</t>
        </is>
      </c>
      <c r="E256" s="2" t="inlineStr">
        <is>
          <t>$69.00</t>
        </is>
      </c>
      <c r="F256" s="2">
        <f>IMAGE("https://images.lululemon.com/is/image/lululemon/31382",1)</f>
        <v/>
      </c>
      <c r="G256" s="2">
        <f>IMAGE("https://images.lululemon.com/is/image/lululemon/32476",1)</f>
        <v/>
      </c>
      <c r="H256" s="2" t="n"/>
      <c r="I256" s="2" t="n"/>
      <c r="J256" s="2" t="n"/>
      <c r="K256" s="2" t="n"/>
      <c r="L256" s="2" t="inlineStr">
        <is>
          <t>32, 34, 36, 38, 40</t>
        </is>
      </c>
      <c r="M256" s="2" t="n">
        <v>216</v>
      </c>
      <c r="N256" s="2" t="inlineStr">
        <is>
          <t>These slim-fit trousers deliver all-day comfort with an elevated look.</t>
        </is>
      </c>
      <c r="O256" s="2" t="inlineStr">
        <is>
          <t>ABC-Slim-Trouser-30</t>
        </is>
      </c>
      <c r="P256" s="2" t="inlineStr">
        <is>
          <t>Yes</t>
        </is>
      </c>
      <c r="Q256" s="2" t="inlineStr">
        <is>
          <t>ABC Slim-Fit Trouser 30L *Warpstreme OBSI 32</t>
        </is>
      </c>
      <c r="R256" s="2" t="inlineStr">
        <is>
          <t>True Navy, Obsidian</t>
        </is>
      </c>
      <c r="S256" s="2" t="inlineStr">
        <is>
          <t>Dress Pants, Chinos</t>
        </is>
      </c>
      <c r="T256" s="2" t="inlineStr">
        <is>
          <t>Men</t>
        </is>
      </c>
    </row>
    <row r="257" ht="80" customHeight="1">
      <c r="A257" s="3">
        <f>IMAGE("https://images.lululemon.com/is/image/lululemon/LM5AO5S_032476_1?wid=320&amp;op_usm=0.8",1)</f>
        <v/>
      </c>
      <c r="B257" s="3" t="inlineStr">
        <is>
          <t>ABC Classic-Fit Trouser 32L *Warpstreme</t>
        </is>
      </c>
      <c r="C257" s="3" t="inlineStr">
        <is>
          <t>147152220</t>
        </is>
      </c>
      <c r="D257" s="3" t="inlineStr">
        <is>
          <t>$138.00</t>
        </is>
      </c>
      <c r="E257" s="3" t="inlineStr">
        <is>
          <t>$69.00</t>
        </is>
      </c>
      <c r="F257" s="3">
        <f>IMAGE("https://images.lululemon.com/is/image/lululemon/32476",1)</f>
        <v/>
      </c>
      <c r="G257" s="3">
        <f>IMAGE("https://images.lululemon.com/is/image/lululemon/31382",1)</f>
        <v/>
      </c>
      <c r="H257" s="3">
        <f>IMAGE("https://images.lululemon.com/is/image/lululemon/33928",1)</f>
        <v/>
      </c>
      <c r="I257" s="3">
        <f>IMAGE("https://images.lululemon.com/is/image/lululemon/33123",1)</f>
        <v/>
      </c>
      <c r="J257" s="3">
        <f>IMAGE("https://images.lululemon.com/is/image/lululemon/19222",1)</f>
        <v/>
      </c>
      <c r="K257" s="3">
        <f>IMAGE("https://images.lululemon.com/is/image/lululemon/45739",1)</f>
        <v/>
      </c>
      <c r="L257" s="3" t="inlineStr">
        <is>
          <t>28, 30, 31, 32, 33, 34, 36, 38, 40</t>
        </is>
      </c>
      <c r="M257" s="3" t="n">
        <v>3719</v>
      </c>
      <c r="N257" s="3" t="inlineStr">
        <is>
          <t>These classic-fit trousers deliver all-day comfort with an elevated look.</t>
        </is>
      </c>
      <c r="O257" s="3" t="inlineStr">
        <is>
          <t>ABC-Classic-Fit-Trouser-32-Warpstreme</t>
        </is>
      </c>
      <c r="P257" s="3" t="inlineStr">
        <is>
          <t>Yes</t>
        </is>
      </c>
      <c r="Q257" s="3" t="inlineStr">
        <is>
          <t>ABC Classic-Fit Trouser 32L *Warpstreme TRNV 28</t>
        </is>
      </c>
      <c r="R257" s="3" t="inlineStr">
        <is>
          <t>Obsidian, True Navy, Silver Drop, Oil Grey, Wacky Khaki, Army Green, Solar Grey, Iron Blue</t>
        </is>
      </c>
      <c r="S257" s="3" t="inlineStr">
        <is>
          <t>Dress Pants, Chinos</t>
        </is>
      </c>
      <c r="T257" s="3" t="inlineStr">
        <is>
          <t>Men</t>
        </is>
      </c>
    </row>
    <row r="258" ht="80" customHeight="1">
      <c r="A258" s="2">
        <f>IMAGE("https://images.lululemon.com/is/image/lululemon/LM3FTVS_070108_1?wid=320&amp;op_usm=0.8",1)</f>
        <v/>
      </c>
      <c r="B258" s="2" t="inlineStr">
        <is>
          <t>Rulu Fleece Crewneck Long-Sleeve Shirt</t>
        </is>
      </c>
      <c r="C258" s="2" t="inlineStr">
        <is>
          <t>157700849</t>
        </is>
      </c>
      <c r="D258" s="2" t="inlineStr">
        <is>
          <t>$98.00</t>
        </is>
      </c>
      <c r="E258" s="2" t="inlineStr">
        <is>
          <t>$49.00</t>
        </is>
      </c>
      <c r="F258" s="2">
        <f>IMAGE("https://images.lululemon.com/is/image/lululemon/70108",1)</f>
        <v/>
      </c>
      <c r="G258" s="2" t="n"/>
      <c r="H258" s="2" t="n"/>
      <c r="I258" s="2" t="n"/>
      <c r="J258" s="2" t="n"/>
      <c r="K258" s="2" t="n"/>
      <c r="L258" s="2" t="inlineStr">
        <is>
          <t>S, M, L, XL, XXL</t>
        </is>
      </c>
      <c r="M258" s="2" t="n">
        <v>138</v>
      </c>
      <c r="N258" s="2" t="inlineStr">
        <is>
          <t>Make cold days count. Warm Rulu™ fleece fabric on this versatile layer keeps the chills out so you can run, play, and stay out longer.</t>
        </is>
      </c>
      <c r="O258" s="2" t="inlineStr">
        <is>
          <t>Rulu-Fleece-Crewneck-Long-Sleeve-Shirt</t>
        </is>
      </c>
      <c r="P258" s="2" t="inlineStr">
        <is>
          <t>Yes</t>
        </is>
      </c>
      <c r="Q258" s="2" t="inlineStr">
        <is>
          <t>Rulu Fleece Crewneck Long Sleeve WSHG S</t>
        </is>
      </c>
      <c r="R258" s="2" t="inlineStr">
        <is>
          <t>Warm Ash Grey</t>
        </is>
      </c>
      <c r="S258" s="2" t="inlineStr"/>
      <c r="T258" s="2" t="inlineStr">
        <is>
          <t>Men</t>
        </is>
      </c>
    </row>
    <row r="259" ht="80" customHeight="1">
      <c r="A259" s="3">
        <f>IMAGE("https://images.lululemon.com/is/image/lululemon/LM5B18S_0001_1?wid=320&amp;op_usm=0.8",1)</f>
        <v/>
      </c>
      <c r="B259" s="3" t="inlineStr">
        <is>
          <t>Smooth Spacer Jogger *Regular</t>
        </is>
      </c>
      <c r="C259" s="3" t="inlineStr">
        <is>
          <t>157704672</t>
        </is>
      </c>
      <c r="D259" s="3" t="inlineStr">
        <is>
          <t>$138.00</t>
        </is>
      </c>
      <c r="E259" s="3" t="inlineStr">
        <is>
          <t>$69.00</t>
        </is>
      </c>
      <c r="F259" s="3">
        <f>IMAGE("https://images.lululemon.com/is/image/lululemon/0001",1)</f>
        <v/>
      </c>
      <c r="G259" s="3">
        <f>IMAGE("https://images.lululemon.com/is/image/lululemon/71148",1)</f>
        <v/>
      </c>
      <c r="H259" s="3">
        <f>IMAGE("https://images.lululemon.com/is/image/lululemon/1179",1)</f>
        <v/>
      </c>
      <c r="I259" s="3" t="n"/>
      <c r="J259" s="3" t="n"/>
      <c r="K259" s="3" t="n"/>
      <c r="L259" s="3" t="inlineStr">
        <is>
          <t>S, M, L, XL, XXL, 3XL</t>
        </is>
      </c>
      <c r="M259" s="3" t="n">
        <v>634</v>
      </c>
      <c r="N259" s="3" t="inlineStr">
        <is>
          <t>Instant recovery mode. Fast-drying fabric on these joggers is soft on the outside and sleek next to skin for that perfect cool-down feeling.</t>
        </is>
      </c>
      <c r="O259" s="3" t="inlineStr">
        <is>
          <t>Smooth-Spacer-Jogger</t>
        </is>
      </c>
      <c r="P259" s="3" t="inlineStr">
        <is>
          <t>Yes</t>
        </is>
      </c>
      <c r="Q259" s="3" t="inlineStr">
        <is>
          <t>Smooth Spacer Jogger *Regular OVBR S</t>
        </is>
      </c>
      <c r="R259" s="3" t="inlineStr">
        <is>
          <t>Black, Olive Brown, Steel Blue</t>
        </is>
      </c>
      <c r="S259" s="3" t="inlineStr"/>
      <c r="T259" s="3" t="inlineStr">
        <is>
          <t>Men</t>
        </is>
      </c>
    </row>
    <row r="260" ht="80" customHeight="1">
      <c r="A260" s="2">
        <f>IMAGE("https://images.lululemon.com/is/image/lululemon/LM3EX9S_035955_1?wid=320&amp;op_usm=0.8",1)</f>
        <v/>
      </c>
      <c r="B260" s="2" t="inlineStr">
        <is>
          <t>Textured Spacer Anorak</t>
        </is>
      </c>
      <c r="C260" s="2" t="inlineStr">
        <is>
          <t>154884416</t>
        </is>
      </c>
      <c r="D260" s="2" t="inlineStr">
        <is>
          <t>$148.00</t>
        </is>
      </c>
      <c r="E260" s="2" t="inlineStr">
        <is>
          <t>$74.00</t>
        </is>
      </c>
      <c r="F260" s="2">
        <f>IMAGE("https://images.lululemon.com/is/image/lululemon/35955",1)</f>
        <v/>
      </c>
      <c r="G260" s="2" t="n"/>
      <c r="H260" s="2" t="n"/>
      <c r="I260" s="2" t="n"/>
      <c r="J260" s="2" t="n"/>
      <c r="K260" s="2" t="n"/>
      <c r="L260" s="2" t="inlineStr">
        <is>
          <t>S, M, L, XL</t>
        </is>
      </c>
      <c r="M260" s="2" t="n">
        <v>45</v>
      </c>
      <c r="N260" s="2" t="inlineStr">
        <is>
          <t>Technical comfort at its finest. This anorak uses spacer construction to create a warm, lofty fabric that feels soft and has a slightly structured look.</t>
        </is>
      </c>
      <c r="O260" s="2" t="inlineStr">
        <is>
          <t>Textured-Spacer-Anorak</t>
        </is>
      </c>
      <c r="P260" s="2" t="inlineStr">
        <is>
          <t>Yes</t>
        </is>
      </c>
      <c r="Q260" s="2" t="inlineStr">
        <is>
          <t>Textured Spacer Anorak NOMD S</t>
        </is>
      </c>
      <c r="R260" s="2" t="inlineStr">
        <is>
          <t>Nomad</t>
        </is>
      </c>
      <c r="S260" s="2" t="inlineStr"/>
      <c r="T260" s="2" t="inlineStr">
        <is>
          <t>Men</t>
        </is>
      </c>
    </row>
    <row r="261" ht="80" customHeight="1">
      <c r="A261" s="3">
        <f>IMAGE("https://images.lululemon.com/is/image/lululemon/LU9DO6S_0002_1?wid=320&amp;op_usm=0.8",1)</f>
        <v/>
      </c>
      <c r="B261" s="3" t="inlineStr">
        <is>
          <t>Unisex Daily Essential Quarter Socks</t>
        </is>
      </c>
      <c r="C261" s="3" t="inlineStr">
        <is>
          <t>157768510</t>
        </is>
      </c>
      <c r="D261" s="3" t="inlineStr">
        <is>
          <t>$14.00</t>
        </is>
      </c>
      <c r="E261" s="3" t="inlineStr">
        <is>
          <t>$7.00</t>
        </is>
      </c>
      <c r="F261" s="3">
        <f>IMAGE("https://images.lululemon.com/is/image/lululemon/0002",1)</f>
        <v/>
      </c>
      <c r="G261" s="3">
        <f>IMAGE("https://images.lululemon.com/is/image/lululemon/0001",1)</f>
        <v/>
      </c>
      <c r="H261" s="3" t="n"/>
      <c r="I261" s="3" t="n"/>
      <c r="J261" s="3" t="n"/>
      <c r="K261" s="3" t="n"/>
      <c r="L261" s="3" t="inlineStr">
        <is>
          <t>S, M, L, XL</t>
        </is>
      </c>
      <c r="M261" s="3" t="n">
        <v>416</v>
      </c>
      <c r="N261" s="3" t="inlineStr">
        <is>
          <t>Top drawer comfort. These soft cotton socks combine integrated arch support and plush cushioning.</t>
        </is>
      </c>
      <c r="O261" s="3" t="inlineStr">
        <is>
          <t>Unisex-Daily-Essential-Quarter-Socks</t>
        </is>
      </c>
      <c r="P261" s="3" t="inlineStr">
        <is>
          <t>Yes</t>
        </is>
      </c>
      <c r="Q261" s="3" t="inlineStr">
        <is>
          <t>Daily Essential Socks WHT S</t>
        </is>
      </c>
      <c r="R261" s="3" t="inlineStr">
        <is>
          <t>White, Black</t>
        </is>
      </c>
      <c r="S261" s="3" t="inlineStr">
        <is>
          <t>Quarter Socks</t>
        </is>
      </c>
      <c r="T261" s="3" t="inlineStr">
        <is>
          <t>Men</t>
        </is>
      </c>
    </row>
    <row r="262" ht="80" customHeight="1">
      <c r="A262" s="2">
        <f>IMAGE("https://images.lululemon.com/is/image/lululemon/LM4AIHS_031382_1?wid=320&amp;op_usm=0.8",1)</f>
        <v/>
      </c>
      <c r="B262" s="2" t="inlineStr">
        <is>
          <t>Wunder Puff 600-Down-Fill Vest</t>
        </is>
      </c>
      <c r="C262" s="2" t="inlineStr">
        <is>
          <t>147155582</t>
        </is>
      </c>
      <c r="D262" s="2" t="inlineStr">
        <is>
          <t>$268.00</t>
        </is>
      </c>
      <c r="E262" s="2" t="inlineStr">
        <is>
          <t>$134.00</t>
        </is>
      </c>
      <c r="F262" s="2">
        <f>IMAGE("https://images.lululemon.com/is/image/lululemon/31382",1)</f>
        <v/>
      </c>
      <c r="G262" s="2" t="n"/>
      <c r="H262" s="2" t="n"/>
      <c r="I262" s="2" t="n"/>
      <c r="J262" s="2" t="n"/>
      <c r="K262" s="2" t="n"/>
      <c r="L262" s="2" t="inlineStr">
        <is>
          <t>S, M, L, XL, XXL</t>
        </is>
      </c>
      <c r="M262" s="2" t="n">
        <v>56</v>
      </c>
      <c r="N262" s="2" t="inlineStr">
        <is>
          <t>Peak cold-weather comfort has arrived. Take winter by storm in this wonderfully warm puffer vest that is insulated with plush channels of 600-fill-power down.</t>
        </is>
      </c>
      <c r="O262" s="2" t="inlineStr">
        <is>
          <t>Wunder-Puff-Vest</t>
        </is>
      </c>
      <c r="P262" s="2" t="inlineStr">
        <is>
          <t>Yes</t>
        </is>
      </c>
      <c r="Q262" s="2" t="inlineStr">
        <is>
          <t>Wunder Puff Vest TRNV S</t>
        </is>
      </c>
      <c r="R262" s="2" t="inlineStr">
        <is>
          <t>True Navy</t>
        </is>
      </c>
      <c r="S262" s="2" t="inlineStr">
        <is>
          <t>Vests, Puffer Jackets</t>
        </is>
      </c>
      <c r="T262" s="2" t="inlineStr">
        <is>
          <t>Men</t>
        </is>
      </c>
    </row>
    <row r="263" ht="80" customHeight="1">
      <c r="A263" s="3">
        <f>IMAGE("https://images.lululemon.com/is/image/lululemon/LM3GFIS_033928_1?wid=320&amp;op_usm=0.8",1)</f>
        <v/>
      </c>
      <c r="B263" s="3" t="inlineStr">
        <is>
          <t>Mile Maker Mesh Short-Sleeve T-Shirt</t>
        </is>
      </c>
      <c r="C263" s="3" t="inlineStr">
        <is>
          <t>157701360</t>
        </is>
      </c>
      <c r="D263" s="3" t="inlineStr">
        <is>
          <t>$58.00</t>
        </is>
      </c>
      <c r="E263" s="3" t="inlineStr">
        <is>
          <t>$29.00</t>
        </is>
      </c>
      <c r="F263" s="3">
        <f>IMAGE("https://images.lululemon.com/is/image/lululemon/33928",1)</f>
        <v/>
      </c>
      <c r="G263" s="3">
        <f>IMAGE("https://images.lululemon.com/is/image/lululemon/0001",1)</f>
        <v/>
      </c>
      <c r="H263" s="3" t="n"/>
      <c r="I263" s="3" t="n"/>
      <c r="J263" s="3" t="n"/>
      <c r="K263" s="3" t="n"/>
      <c r="L263" s="3" t="inlineStr">
        <is>
          <t>S, M, L, XL, XXL</t>
        </is>
      </c>
      <c r="M263" s="3" t="n">
        <v>753</v>
      </c>
      <c r="N263" s="3" t="inlineStr">
        <is>
          <t>Take flight. This featherlight, breezy mesh running top is made with lyocell fibres to add a natural softness to your long-distance run sessions.</t>
        </is>
      </c>
      <c r="O263" s="3" t="inlineStr">
        <is>
          <t>Mile-Maker-Mesh-Short-Sleeve-T-Shirt</t>
        </is>
      </c>
      <c r="P263" s="3" t="inlineStr">
        <is>
          <t>Yes</t>
        </is>
      </c>
      <c r="Q263" s="3" t="inlineStr">
        <is>
          <t>Mile Maker Mesh Short Sleeve SILD S</t>
        </is>
      </c>
      <c r="R263" s="3" t="inlineStr">
        <is>
          <t>Silver Drop, Black</t>
        </is>
      </c>
      <c r="S263" s="3" t="inlineStr"/>
      <c r="T263" s="3" t="inlineStr">
        <is>
          <t>Men</t>
        </is>
      </c>
    </row>
    <row r="264" ht="80" customHeight="1">
      <c r="A264" s="2">
        <f>IMAGE("https://images.lululemon.com/is/image/lululemon/LM7BJSS_0001_1?wid=320&amp;op_usm=0.8",1)</f>
        <v/>
      </c>
      <c r="B264" s="2" t="inlineStr">
        <is>
          <t>Zeroed In Linerless Short 5"</t>
        </is>
      </c>
      <c r="C264" s="2" t="inlineStr">
        <is>
          <t>151652037</t>
        </is>
      </c>
      <c r="D264" s="2" t="inlineStr">
        <is>
          <t>$68.00</t>
        </is>
      </c>
      <c r="E264" s="2" t="inlineStr">
        <is>
          <t>$34.00</t>
        </is>
      </c>
      <c r="F264" s="2">
        <f>IMAGE("https://images.lululemon.com/is/image/lululemon/0001",1)</f>
        <v/>
      </c>
      <c r="G264" s="2">
        <f>IMAGE("https://images.lululemon.com/is/image/lululemon/31382",1)</f>
        <v/>
      </c>
      <c r="H264" s="2">
        <f>IMAGE("https://images.lululemon.com/is/image/lululemon/69709",1)</f>
        <v/>
      </c>
      <c r="I264" s="2" t="n"/>
      <c r="J264" s="2" t="n"/>
      <c r="K264" s="2" t="n"/>
      <c r="L264" s="2" t="inlineStr">
        <is>
          <t>S, M, L, XL, XXL</t>
        </is>
      </c>
      <c r="M264" s="2" t="n">
        <v>635</v>
      </c>
      <c r="N264" s="2" t="inlineStr">
        <is>
          <t>Work out or hang out. These versatile shorts are designed to keep up with every way you like to move.</t>
        </is>
      </c>
      <c r="O264" s="2" t="inlineStr">
        <is>
          <t>Zeroed-In-Linerless-Short-5</t>
        </is>
      </c>
      <c r="P264" s="2" t="inlineStr">
        <is>
          <t>Yes</t>
        </is>
      </c>
      <c r="Q264" s="2" t="inlineStr">
        <is>
          <t>Zeroed In Short 5" *LL TRNV S</t>
        </is>
      </c>
      <c r="R264" s="2" t="inlineStr">
        <is>
          <t>Black, True Navy, Carbon Crunch Vapor Multi</t>
        </is>
      </c>
      <c r="S264" s="2" t="inlineStr">
        <is>
          <t>Athletic Shorts, Track Shorts</t>
        </is>
      </c>
      <c r="T264" s="2" t="inlineStr">
        <is>
          <t>Men</t>
        </is>
      </c>
    </row>
    <row r="265" ht="80" customHeight="1">
      <c r="A265" s="3">
        <f>IMAGE("https://images.lululemon.com/is/image/lululemon/LU9C80S_0001_1?wid=320&amp;op_usm=0.8",1)</f>
        <v/>
      </c>
      <c r="B265" s="3" t="inlineStr">
        <is>
          <t>Everywhere Crossbody Bag 2L *Metal Hardware</t>
        </is>
      </c>
      <c r="C265" s="3" t="inlineStr">
        <is>
          <t>153829113</t>
        </is>
      </c>
      <c r="D265" s="3" t="inlineStr">
        <is>
          <t>$78.00</t>
        </is>
      </c>
      <c r="E265" s="3" t="inlineStr">
        <is>
          <t>$39.00</t>
        </is>
      </c>
      <c r="F265" s="3">
        <f>IMAGE("https://images.lululemon.com/is/image/lululemon/0001",1)</f>
        <v/>
      </c>
      <c r="G265" s="3">
        <f>IMAGE("https://images.lululemon.com/is/image/lululemon/73255",1)</f>
        <v/>
      </c>
      <c r="H265" s="3" t="n"/>
      <c r="I265" s="3" t="n"/>
      <c r="J265" s="3" t="n"/>
      <c r="K265" s="3" t="n"/>
      <c r="L265" s="3" t="inlineStr">
        <is>
          <t>O/S</t>
        </is>
      </c>
      <c r="M265" s="3" t="n">
        <v>1282</v>
      </c>
      <c r="N265" s="3" t="inlineStr">
        <is>
          <t>Bringing you more of what you love. The Everywhere Crossbody comes equipped with strategically placed pockets inside and out and a removable strap to customize your look.</t>
        </is>
      </c>
      <c r="O265" s="3" t="inlineStr">
        <is>
          <t>Everywhere-Crossbody-Bag-2L-Metal-Hardware</t>
        </is>
      </c>
      <c r="P265" s="3" t="inlineStr">
        <is>
          <t>Yes</t>
        </is>
      </c>
      <c r="Q265" s="3" t="inlineStr">
        <is>
          <t>Everywhere Crossbody Bag *Metal Hardware BLK ONE SIZE</t>
        </is>
      </c>
      <c r="R265" s="3" t="inlineStr">
        <is>
          <t>Black, Berry Rumble/Gold</t>
        </is>
      </c>
      <c r="S265" s="3" t="inlineStr">
        <is>
          <t>Crossbody Bags</t>
        </is>
      </c>
      <c r="T265" s="3" t="inlineStr">
        <is>
          <t>Men</t>
        </is>
      </c>
    </row>
    <row r="266" ht="80" customHeight="1">
      <c r="A266" s="2">
        <f>IMAGE("https://images.lululemon.com/is/image/lululemon/LM5BGES_0001_1?wid=320&amp;op_usm=0.8",1)</f>
        <v/>
      </c>
      <c r="B266" s="2" t="inlineStr">
        <is>
          <t>Soft Jersey Classic-Fit Pant *Regular</t>
        </is>
      </c>
      <c r="C266" s="2" t="inlineStr">
        <is>
          <t>155864278</t>
        </is>
      </c>
      <c r="D266" s="2" t="inlineStr">
        <is>
          <t>$98.00</t>
        </is>
      </c>
      <c r="E266" s="2" t="inlineStr">
        <is>
          <t>$49.00</t>
        </is>
      </c>
      <c r="F266" s="2">
        <f>IMAGE("https://images.lululemon.com/is/image/lululemon/0001",1)</f>
        <v/>
      </c>
      <c r="G266" s="2" t="n"/>
      <c r="H266" s="2" t="n"/>
      <c r="I266" s="2" t="n"/>
      <c r="J266" s="2" t="n"/>
      <c r="K266" s="2" t="n"/>
      <c r="L266" s="2" t="inlineStr">
        <is>
          <t>S, M, L, XL, XXL</t>
        </is>
      </c>
      <c r="M266" s="2" t="n">
        <v>38</v>
      </c>
      <c r="N266" s="2" t="inlineStr">
        <is>
          <t>Rest and reset. These lightweight pants have a softly brushed interior that makes downtime irresistible.</t>
        </is>
      </c>
      <c r="O266" s="2" t="inlineStr">
        <is>
          <t>Soft-Jersey-Classic-Fit-Pant-Regular</t>
        </is>
      </c>
      <c r="P266" s="2" t="inlineStr">
        <is>
          <t>Yes</t>
        </is>
      </c>
      <c r="Q266" s="2" t="inlineStr">
        <is>
          <t>Soft Jersey Classic-Fit Pant *Regular BLK S</t>
        </is>
      </c>
      <c r="R266" s="2" t="inlineStr">
        <is>
          <t>Black</t>
        </is>
      </c>
      <c r="S266" s="2" t="inlineStr"/>
      <c r="T266" s="2" t="inlineStr">
        <is>
          <t>Men</t>
        </is>
      </c>
    </row>
    <row r="267" ht="80" customHeight="1">
      <c r="A267" s="3">
        <f>IMAGE("https://images.lululemon.com/is/image/lululemon/LW4BWRS_0001_1?wid=320&amp;op_usm=0.8",1)</f>
        <v/>
      </c>
      <c r="B267" s="3" t="inlineStr">
        <is>
          <t>Women's Wunder Puff 600-Down-Fill Jacket</t>
        </is>
      </c>
      <c r="C267" s="3" t="inlineStr">
        <is>
          <t>142875201</t>
        </is>
      </c>
      <c r="D267" s="3" t="inlineStr">
        <is>
          <t>$348.00</t>
        </is>
      </c>
      <c r="E267" s="3" t="inlineStr">
        <is>
          <t>$174.00</t>
        </is>
      </c>
      <c r="F267" s="3">
        <f>IMAGE("https://images.lululemon.com/is/image/lululemon/0001",1)</f>
        <v/>
      </c>
      <c r="G267" s="3" t="n"/>
      <c r="H267" s="3" t="n"/>
      <c r="I267" s="3" t="n"/>
      <c r="J267" s="3" t="n"/>
      <c r="K267" s="3" t="n"/>
      <c r="L267" s="3" t="inlineStr">
        <is>
          <t>2, 4, 6, 8, 10, 12, 14</t>
        </is>
      </c>
      <c r="M267" s="3" t="n">
        <v>408</v>
      </c>
      <c r="N267" s="3" t="inlineStr">
        <is>
          <t>This wonderfully warm down puffer has a cinchable waist and hem that lets you customize the shape and keep out cold drafts.</t>
        </is>
      </c>
      <c r="O267" s="3" t="inlineStr">
        <is>
          <t>Wunder-Puff-Jacket</t>
        </is>
      </c>
      <c r="P267" s="3" t="inlineStr">
        <is>
          <t>Yes</t>
        </is>
      </c>
      <c r="Q267" s="3" t="inlineStr">
        <is>
          <t>Wunder Puff Jacket BLK 2</t>
        </is>
      </c>
      <c r="R267" s="3" t="inlineStr">
        <is>
          <t>Black</t>
        </is>
      </c>
      <c r="S267" s="3" t="inlineStr">
        <is>
          <t>Puffer Jackets</t>
        </is>
      </c>
      <c r="T267" s="3" t="inlineStr">
        <is>
          <t>Women</t>
        </is>
      </c>
    </row>
    <row r="268" ht="80" customHeight="1">
      <c r="A268" s="2">
        <f>IMAGE("https://images.lululemon.com/is/image/lululemon/LU9CIAS_035486_1?wid=320&amp;op_usm=0.8",1)</f>
        <v/>
      </c>
      <c r="B268" s="2" t="inlineStr">
        <is>
          <t>Insulated Mug 20oz</t>
        </is>
      </c>
      <c r="C268" s="2" t="inlineStr">
        <is>
          <t>156751580</t>
        </is>
      </c>
      <c r="D268" s="2" t="inlineStr">
        <is>
          <t>$38.00</t>
        </is>
      </c>
      <c r="E268" s="2" t="inlineStr">
        <is>
          <t>$19.00</t>
        </is>
      </c>
      <c r="F268" s="2">
        <f>IMAGE("https://images.lululemon.com/is/image/lululemon/35486",1)</f>
        <v/>
      </c>
      <c r="G268" s="2">
        <f>IMAGE("https://images.lululemon.com/is/image/lululemon/28022",1)</f>
        <v/>
      </c>
      <c r="H268" s="2" t="n"/>
      <c r="I268" s="2" t="n"/>
      <c r="J268" s="2" t="n"/>
      <c r="K268" s="2" t="n"/>
      <c r="L268" s="2" t="inlineStr">
        <is>
          <t>O/S</t>
        </is>
      </c>
      <c r="M268" s="2" t="n">
        <v>687</v>
      </c>
      <c r="N268" s="2" t="inlineStr">
        <is>
          <t>Sip, sip, hooray. This insulated mug has a leak-proof lid and a double-walled design that will keep your drink ice cold or perfectly hot.</t>
        </is>
      </c>
      <c r="O268" s="2" t="inlineStr">
        <is>
          <t>Insulated-Mug-20oz</t>
        </is>
      </c>
      <c r="P268" s="2" t="inlineStr">
        <is>
          <t>Yes</t>
        </is>
      </c>
      <c r="Q268" s="2" t="inlineStr">
        <is>
          <t>Insulated Mug 20oz BLLP ONE SIZE</t>
        </is>
      </c>
      <c r="R268" s="2" t="inlineStr">
        <is>
          <t>Blissful Pink, Indochine Blue</t>
        </is>
      </c>
      <c r="S268" s="2" t="inlineStr">
        <is>
          <t>Tumblers and Travel Mugs</t>
        </is>
      </c>
      <c r="T268" s="2" t="inlineStr">
        <is>
          <t>Women</t>
        </is>
      </c>
    </row>
    <row r="269" ht="80" customHeight="1">
      <c r="A269" s="3">
        <f>IMAGE("https://images.lululemon.com/is/image/lululemon/LW2DQ0S_062214_1?wid=320&amp;op_usm=0.8",1)</f>
        <v/>
      </c>
      <c r="B269" s="3" t="inlineStr">
        <is>
          <t>Wunder Train Strappy Racer Bra *Light Support, A/B Cup</t>
        </is>
      </c>
      <c r="C269" s="3" t="inlineStr">
        <is>
          <t>157708688</t>
        </is>
      </c>
      <c r="D269" s="3" t="inlineStr">
        <is>
          <t>$58.00</t>
        </is>
      </c>
      <c r="E269" s="3" t="inlineStr">
        <is>
          <t>$29.00</t>
        </is>
      </c>
      <c r="F269" s="3">
        <f>IMAGE("https://images.lululemon.com/is/image/lululemon/62214",1)</f>
        <v/>
      </c>
      <c r="G269" s="3">
        <f>IMAGE("https://images.lululemon.com/is/image/lululemon/71177",1)</f>
        <v/>
      </c>
      <c r="H269" s="3">
        <f>IMAGE("https://images.lululemon.com/is/image/lululemon/71293",1)</f>
        <v/>
      </c>
      <c r="I269" s="3" t="n"/>
      <c r="J269" s="3" t="n"/>
      <c r="K269" s="3" t="n"/>
      <c r="L269" s="3" t="inlineStr">
        <is>
          <t>2, 8, 10, 12, 4, 6</t>
        </is>
      </c>
      <c r="M269" s="3" t="n">
        <v>233</v>
      </c>
      <c r="N269" s="3" t="inlineStr">
        <is>
          <t>Focus on every push, press, and hold. This narrow-strap bra is intentionally designed with a light feel that lets you stay hyper-mindful.</t>
        </is>
      </c>
      <c r="O269" s="3" t="inlineStr">
        <is>
          <t>Wunder-Train-Strappy-Race-Bra-Light-AB</t>
        </is>
      </c>
      <c r="P269" s="3" t="inlineStr">
        <is>
          <t>Yes</t>
        </is>
      </c>
      <c r="Q269" s="3" t="inlineStr">
        <is>
          <t>Wunder Train Strappy Racer Bra A/B BALF 2</t>
        </is>
      </c>
      <c r="R269" s="3" t="inlineStr">
        <is>
          <t>Bay Leaf, Sunburst Orange, Thawed Camo Black Multi</t>
        </is>
      </c>
      <c r="S269" s="3" t="inlineStr">
        <is>
          <t>Racerback Bras, Bralettes, Strappy Bras</t>
        </is>
      </c>
      <c r="T269" s="3" t="inlineStr">
        <is>
          <t>Women</t>
        </is>
      </c>
    </row>
    <row r="270" ht="80" customHeight="1">
      <c r="A270" s="2">
        <f>IMAGE("https://images.lululemon.com/is/image/lululemon/LW1DSPS_0002_1?wid=320&amp;op_usm=0.8",1)</f>
        <v/>
      </c>
      <c r="B270" s="2" t="inlineStr">
        <is>
          <t>lululemon Align™ Waist-Length Racerback Tank Top</t>
        </is>
      </c>
      <c r="C270" s="2" t="inlineStr">
        <is>
          <t>157678698</t>
        </is>
      </c>
      <c r="D270" s="2" t="inlineStr">
        <is>
          <t>$58.00</t>
        </is>
      </c>
      <c r="E270" s="2" t="inlineStr">
        <is>
          <t>$29.00</t>
        </is>
      </c>
      <c r="F270" s="2">
        <f>IMAGE("https://images.lululemon.com/is/image/lululemon/0002",1)</f>
        <v/>
      </c>
      <c r="G270" s="2">
        <f>IMAGE("https://images.lululemon.com/is/image/lululemon/49106",1)</f>
        <v/>
      </c>
      <c r="H270" s="2">
        <f>IMAGE("https://images.lululemon.com/is/image/lululemon/34697",1)</f>
        <v/>
      </c>
      <c r="I270" s="2">
        <f>IMAGE("https://images.lululemon.com/is/image/lululemon/33190",1)</f>
        <v/>
      </c>
      <c r="J270" s="2">
        <f>IMAGE("https://images.lululemon.com/is/image/lululemon/21363",1)</f>
        <v/>
      </c>
      <c r="K270" s="2" t="n"/>
      <c r="L270" s="2" t="inlineStr">
        <is>
          <t>2, 4, 6, 8, 10, 12, 14</t>
        </is>
      </c>
      <c r="M270" s="2" t="n">
        <v>1129</v>
      </c>
      <c r="N270" s="2" t="inlineStr">
        <is>
          <t>When feeling nothing is everything. The lululemon Align™ collection is so weightless and buttery soft, all you feel is your practice.</t>
        </is>
      </c>
      <c r="O270" s="2" t="inlineStr">
        <is>
          <t>Align-WaistLength-Racerback-Tank</t>
        </is>
      </c>
      <c r="P270" s="2" t="inlineStr">
        <is>
          <t>Yes</t>
        </is>
      </c>
      <c r="Q270" s="2" t="inlineStr">
        <is>
          <t>lululemon Align™ Waist-Length Racerback RNFG 2</t>
        </is>
      </c>
      <c r="R270" s="2" t="inlineStr">
        <is>
          <t>White, Rainforest Green, Black Plum, Brilliant Blue, Berry Rumble</t>
        </is>
      </c>
      <c r="S270" s="2" t="inlineStr"/>
      <c r="T270" s="2" t="inlineStr">
        <is>
          <t>Women</t>
        </is>
      </c>
    </row>
    <row r="271" ht="80" customHeight="1">
      <c r="A271" s="3">
        <f>IMAGE("https://images.lululemon.com/is/image/lululemon/LW5IEQS_072615_1?wid=320&amp;op_usm=0.8",1)</f>
        <v/>
      </c>
      <c r="B271" s="3" t="inlineStr">
        <is>
          <t>lululemon Align™ High-Rise Pant 28" *Flocked</t>
        </is>
      </c>
      <c r="C271" s="3" t="inlineStr">
        <is>
          <t>158119802</t>
        </is>
      </c>
      <c r="D271" s="3" t="inlineStr">
        <is>
          <t>$98.00</t>
        </is>
      </c>
      <c r="E271" s="3" t="inlineStr">
        <is>
          <t>$49.00</t>
        </is>
      </c>
      <c r="F271" s="3">
        <f>IMAGE("https://images.lululemon.com/is/image/lululemon/72615",1)</f>
        <v/>
      </c>
      <c r="G271" s="3" t="n"/>
      <c r="H271" s="3" t="n"/>
      <c r="I271" s="3" t="n"/>
      <c r="J271" s="3" t="n"/>
      <c r="K271" s="3" t="n"/>
      <c r="L271" s="3" t="inlineStr">
        <is>
          <t>2, 4, 6, 8, 10, 12</t>
        </is>
      </c>
      <c r="M271" s="3" t="n">
        <v>223</v>
      </c>
      <c r="N271" s="3" t="inlineStr">
        <is>
          <t>When feeling nothing is everything. The lululemon Align™ collection is so weightless and buttery soft, all you feel is your practice. This version features velvety flocked details.</t>
        </is>
      </c>
      <c r="O271" s="3" t="inlineStr">
        <is>
          <t>lululemon-Align-High-Rise-Pant-28-Flocked</t>
        </is>
      </c>
      <c r="P271" s="3" t="inlineStr">
        <is>
          <t>Yes</t>
        </is>
      </c>
      <c r="Q271" s="3" t="inlineStr">
        <is>
          <t>lululemon Align™ HR Pant 28" *Flock POFB 2</t>
        </is>
      </c>
      <c r="R271" s="3" t="inlineStr">
        <is>
          <t>Polka Flock Black</t>
        </is>
      </c>
      <c r="S271" s="3" t="inlineStr"/>
      <c r="T271" s="3" t="inlineStr">
        <is>
          <t>Women</t>
        </is>
      </c>
    </row>
    <row r="272" ht="80" customHeight="1">
      <c r="A272" s="2">
        <f>IMAGE("https://images.lululemon.com/is/image/lululemon/LW8AQ1S_0001_1?wid=320&amp;op_usm=0.8",1)</f>
        <v/>
      </c>
      <c r="B272" s="2" t="inlineStr">
        <is>
          <t>lululemon Align™ High-Rise Skirt *Long</t>
        </is>
      </c>
      <c r="C272" s="2" t="inlineStr">
        <is>
          <t>156482883</t>
        </is>
      </c>
      <c r="D272" s="2" t="inlineStr">
        <is>
          <t>$78.00</t>
        </is>
      </c>
      <c r="E272" s="2" t="inlineStr">
        <is>
          <t>$39.00</t>
        </is>
      </c>
      <c r="F272" s="2">
        <f>IMAGE("https://images.lululemon.com/is/image/lululemon/0001",1)</f>
        <v/>
      </c>
      <c r="G272" s="2">
        <f>IMAGE("https://images.lululemon.com/is/image/lululemon/0002",1)</f>
        <v/>
      </c>
      <c r="H272" s="2">
        <f>IMAGE("https://images.lululemon.com/is/image/lululemon/35487",1)</f>
        <v/>
      </c>
      <c r="I272" s="2">
        <f>IMAGE("https://images.lululemon.com/is/image/lululemon/34697",1)</f>
        <v/>
      </c>
      <c r="J272" s="2">
        <f>IMAGE("https://images.lululemon.com/is/image/lululemon/33190",1)</f>
        <v/>
      </c>
      <c r="K272" s="2" t="n"/>
      <c r="L272" s="2" t="inlineStr">
        <is>
          <t>2, 4, 6, 8, 10, 12</t>
        </is>
      </c>
      <c r="M272" s="2" t="n">
        <v>7793</v>
      </c>
      <c r="N272" s="2" t="inlineStr">
        <is>
          <t>Get the buttery-softness of lululemon Align™ in this skirt that has a built-in shorts liner.</t>
        </is>
      </c>
      <c r="O272" s="2" t="inlineStr">
        <is>
          <t>lululemon-Align-High-Rise-Skirt-Long</t>
        </is>
      </c>
      <c r="P272" s="2" t="inlineStr">
        <is>
          <t>Yes</t>
        </is>
      </c>
      <c r="Q272" s="2" t="inlineStr">
        <is>
          <t>lululemon Align™ HR Skirt *Long BLK 2</t>
        </is>
      </c>
      <c r="R272" s="2" t="inlineStr">
        <is>
          <t>Black, White, Palm Deco, Black Plum, Brilliant Blue</t>
        </is>
      </c>
      <c r="S272" s="2" t="inlineStr">
        <is>
          <t>Skorts</t>
        </is>
      </c>
      <c r="T272" s="2" t="inlineStr">
        <is>
          <t>Women</t>
        </is>
      </c>
    </row>
    <row r="273" ht="80" customHeight="1">
      <c r="A273" s="3">
        <f>IMAGE("https://images.lululemon.com/is/image/lululemon/LU9AY5S_072992_1?wid=320&amp;op_usm=0.8",1)</f>
        <v/>
      </c>
      <c r="B273" s="3" t="inlineStr">
        <is>
          <t>The (Small) Towel</t>
        </is>
      </c>
      <c r="C273" s="3" t="inlineStr">
        <is>
          <t>157743699</t>
        </is>
      </c>
      <c r="D273" s="3" t="inlineStr">
        <is>
          <t>$22.00</t>
        </is>
      </c>
      <c r="E273" s="3" t="inlineStr">
        <is>
          <t>$11.00</t>
        </is>
      </c>
      <c r="F273" s="3">
        <f>IMAGE("https://images.lululemon.com/is/image/lululemon/72992",1)</f>
        <v/>
      </c>
      <c r="G273" s="3" t="n"/>
      <c r="H273" s="3" t="n"/>
      <c r="I273" s="3" t="n"/>
      <c r="J273" s="3" t="n"/>
      <c r="K273" s="3" t="n"/>
      <c r="L273" s="3" t="inlineStr">
        <is>
          <t>O/S</t>
        </is>
      </c>
      <c r="M273" s="3" t="n">
        <v>170</v>
      </c>
      <c r="N273" s="3" t="inlineStr">
        <is>
          <t>This absorbent microfibre towel likes hot yoga, indoor cycling classes, and the gym. Sounds like you've got a lot in common!</t>
        </is>
      </c>
      <c r="O273" s="3" t="inlineStr">
        <is>
          <t>The-Small-Towel</t>
        </is>
      </c>
      <c r="P273" s="3" t="inlineStr">
        <is>
          <t>Yes</t>
        </is>
      </c>
      <c r="Q273" s="3" t="inlineStr">
        <is>
          <t>The (Small) Towel MHMG ONE SIZE</t>
        </is>
      </c>
      <c r="R273" s="3" t="inlineStr">
        <is>
          <t>Meadow Haze Mini Grey Multi</t>
        </is>
      </c>
      <c r="S273" s="3" t="inlineStr">
        <is>
          <t>Towels</t>
        </is>
      </c>
      <c r="T273" s="3" t="inlineStr">
        <is>
          <t>Women</t>
        </is>
      </c>
    </row>
    <row r="274" ht="80" customHeight="1">
      <c r="A274" s="2">
        <f>IMAGE("https://images.lululemon.com/is/image/lululemon/LW9FOPS_0001_1?wid=320&amp;op_usm=0.8",1)</f>
        <v/>
      </c>
      <c r="B274" s="2" t="inlineStr">
        <is>
          <t>Women's Fast and Free Fleece Running Gloves</t>
        </is>
      </c>
      <c r="C274" s="2" t="inlineStr">
        <is>
          <t>154525191</t>
        </is>
      </c>
      <c r="D274" s="2" t="inlineStr">
        <is>
          <t>$42.00</t>
        </is>
      </c>
      <c r="E274" s="2" t="inlineStr">
        <is>
          <t>$21.00</t>
        </is>
      </c>
      <c r="F274" s="2">
        <f>IMAGE("https://images.lululemon.com/is/image/lululemon/0001",1)</f>
        <v/>
      </c>
      <c r="G274" s="2" t="n"/>
      <c r="H274" s="2" t="n"/>
      <c r="I274" s="2" t="n"/>
      <c r="J274" s="2" t="n"/>
      <c r="K274" s="2" t="n"/>
      <c r="L274" s="2" t="inlineStr">
        <is>
          <t>XS, S, M, L</t>
        </is>
      </c>
      <c r="M274" s="2" t="n">
        <v>355</v>
      </c>
      <c r="N274" s="2" t="inlineStr">
        <is>
          <t>Cold hands can take your run off-track. Keep them warm while you clock miles in these fleece gloves made with screen-friendly technology.</t>
        </is>
      </c>
      <c r="O274" s="2" t="inlineStr">
        <is>
          <t>W-Fast-and-Free-Fleece-Run-Gloves</t>
        </is>
      </c>
      <c r="P274" s="2" t="inlineStr">
        <is>
          <t>Yes</t>
        </is>
      </c>
      <c r="Q274" s="2" t="inlineStr">
        <is>
          <t>Fast and Free Fleece Run Gloves W BLK XS</t>
        </is>
      </c>
      <c r="R274" s="2" t="inlineStr">
        <is>
          <t>Black</t>
        </is>
      </c>
      <c r="S274" s="2" t="inlineStr"/>
      <c r="T274" s="2" t="inlineStr">
        <is>
          <t>Women</t>
        </is>
      </c>
    </row>
    <row r="275" ht="80" customHeight="1">
      <c r="A275" s="3">
        <f>IMAGE("https://images.lululemon.com/is/image/lululemon/LU9B94S_065048_1?wid=320&amp;op_usm=0.8",1)</f>
        <v/>
      </c>
      <c r="B275" s="3" t="inlineStr">
        <is>
          <t>The Foldable Mat 6.5mm</t>
        </is>
      </c>
      <c r="C275" s="3" t="inlineStr">
        <is>
          <t>150350151</t>
        </is>
      </c>
      <c r="D275" s="3" t="inlineStr">
        <is>
          <t>$118.00</t>
        </is>
      </c>
      <c r="E275" s="3" t="inlineStr">
        <is>
          <t>$59.00</t>
        </is>
      </c>
      <c r="F275" s="3">
        <f>IMAGE("https://images.lululemon.com/is/image/lululemon/65048",1)</f>
        <v/>
      </c>
      <c r="G275" s="3" t="n"/>
      <c r="H275" s="3" t="n"/>
      <c r="I275" s="3" t="n"/>
      <c r="J275" s="3" t="n"/>
      <c r="K275" s="3" t="n"/>
      <c r="L275" s="3" t="inlineStr">
        <is>
          <t>O/S</t>
        </is>
      </c>
      <c r="M275" s="3" t="n">
        <v>311</v>
      </c>
      <c r="N275" s="3" t="inlineStr">
        <is>
          <t>Take your practice to new heights. This yoga mat stacks up (or folds down) for a fully personalized practice.</t>
        </is>
      </c>
      <c r="O275" s="3" t="inlineStr">
        <is>
          <t>The-Foldable-Mat</t>
        </is>
      </c>
      <c r="P275" s="3" t="inlineStr">
        <is>
          <t>Yes</t>
        </is>
      </c>
      <c r="Q275" s="3" t="inlineStr">
        <is>
          <t>The Foldable Mat 6.5mm TVSG/BLK ONE SIZE</t>
        </is>
      </c>
      <c r="R275" s="3" t="inlineStr">
        <is>
          <t>Traverse Grey/Black</t>
        </is>
      </c>
      <c r="S275" s="3" t="inlineStr"/>
      <c r="T275" s="3" t="inlineStr">
        <is>
          <t>Women</t>
        </is>
      </c>
    </row>
    <row r="276" ht="80" customHeight="1">
      <c r="A276" s="2">
        <f>IMAGE("https://images.lululemon.com/is/image/lululemon/LW7CPPS_0001_1?wid=320&amp;op_usm=0.8",1)</f>
        <v/>
      </c>
      <c r="B276" s="2" t="inlineStr">
        <is>
          <t>Fast and Free High-Rise Short 6" *5 Pocket</t>
        </is>
      </c>
      <c r="C276" s="2" t="inlineStr">
        <is>
          <t>146955074</t>
        </is>
      </c>
      <c r="D276" s="2" t="inlineStr">
        <is>
          <t>$78.00</t>
        </is>
      </c>
      <c r="E276" s="2" t="inlineStr">
        <is>
          <t>$39.00</t>
        </is>
      </c>
      <c r="F276" s="2">
        <f>IMAGE("https://images.lululemon.com/is/image/lululemon/0001",1)</f>
        <v/>
      </c>
      <c r="G276" s="2">
        <f>IMAGE("https://images.lululemon.com/is/image/lululemon/31382",1)</f>
        <v/>
      </c>
      <c r="H276" s="2">
        <f>IMAGE("https://images.lululemon.com/is/image/lululemon/28022",1)</f>
        <v/>
      </c>
      <c r="I276" s="2">
        <f>IMAGE("https://images.lululemon.com/is/image/lululemon/63787",1)</f>
        <v/>
      </c>
      <c r="J276" s="2" t="n"/>
      <c r="K276" s="2" t="n"/>
      <c r="L276" s="2" t="inlineStr">
        <is>
          <t>2, 4, 6, 8, 10, 12, 14</t>
        </is>
      </c>
      <c r="M276" s="2" t="n">
        <v>1507</v>
      </c>
      <c r="N276" s="2" t="inlineStr">
        <is>
          <t>Set your run free. This five-pocket version of our Fast and Free short has seam-free inner thighs and a streamlined waistband to maximize that smooth, weightless feeling.</t>
        </is>
      </c>
      <c r="O276" s="2" t="inlineStr">
        <is>
          <t>Fast-And-Free-HR-Short-6-Inches-5-Pocket</t>
        </is>
      </c>
      <c r="P276" s="2" t="inlineStr">
        <is>
          <t>Yes</t>
        </is>
      </c>
      <c r="Q276" s="2" t="inlineStr">
        <is>
          <t>Fast and Free HR Short 6" *Pockets BLK 2</t>
        </is>
      </c>
      <c r="R276" s="2" t="inlineStr">
        <is>
          <t>Black, True Navy, Indochine Blue, ATMOSPHERIC PURPLE</t>
        </is>
      </c>
      <c r="S276" s="2" t="inlineStr">
        <is>
          <t>Athletic Shorts, Biker Shorts</t>
        </is>
      </c>
      <c r="T276" s="2" t="inlineStr">
        <is>
          <t>Women</t>
        </is>
      </c>
    </row>
    <row r="277" ht="80" customHeight="1">
      <c r="A277" s="3">
        <f>IMAGE("https://images.lululemon.com/is/image/lululemon/LW3HFRS_034697_1?wid=320&amp;op_usm=0.8",1)</f>
        <v/>
      </c>
      <c r="B277" s="3" t="inlineStr">
        <is>
          <t>Waffle-Knit Funnel-Neck Long-Sleeve Shirt</t>
        </is>
      </c>
      <c r="C277" s="3" t="inlineStr">
        <is>
          <t>158118759</t>
        </is>
      </c>
      <c r="D277" s="3" t="inlineStr">
        <is>
          <t>$128.00</t>
        </is>
      </c>
      <c r="E277" s="3" t="inlineStr">
        <is>
          <t>$64.00</t>
        </is>
      </c>
      <c r="F277" s="3">
        <f>IMAGE("https://images.lululemon.com/is/image/lululemon/34697",1)</f>
        <v/>
      </c>
      <c r="G277" s="3" t="n"/>
      <c r="H277" s="3" t="n"/>
      <c r="I277" s="3" t="n"/>
      <c r="J277" s="3" t="n"/>
      <c r="K277" s="3" t="n"/>
      <c r="L277" s="3" t="inlineStr">
        <is>
          <t>2, 4, 8, 10, 12</t>
        </is>
      </c>
      <c r="M277" s="3" t="n">
        <v>89</v>
      </c>
      <c r="N277" s="3" t="inlineStr">
        <is>
          <t>Cold-weather convert. This sweat-wicking thermal layer helps lock in heat to keep you running when the temperature drops.</t>
        </is>
      </c>
      <c r="O277" s="3" t="inlineStr">
        <is>
          <t>Waffle-Knit-Funnel-Neck-LS-Shirt</t>
        </is>
      </c>
      <c r="P277" s="3" t="inlineStr">
        <is>
          <t>Yes</t>
        </is>
      </c>
      <c r="Q277" s="3" t="inlineStr">
        <is>
          <t>Waffle-Knit Funnel-Neck Long Sleeve BLPM 2</t>
        </is>
      </c>
      <c r="R277" s="3" t="inlineStr">
        <is>
          <t>Black Plum</t>
        </is>
      </c>
      <c r="S277" s="3" t="inlineStr">
        <is>
          <t>Turtlenecks</t>
        </is>
      </c>
      <c r="T277" s="3" t="inlineStr">
        <is>
          <t>Women</t>
        </is>
      </c>
    </row>
    <row r="278" ht="80" customHeight="1">
      <c r="A278" s="2">
        <f>IMAGE("https://images.lululemon.com/is/image/lululemon/LW4BOVS_0001_1?wid=320&amp;op_usm=0.8",1)</f>
        <v/>
      </c>
      <c r="B278" s="2" t="inlineStr">
        <is>
          <t>Pack It Down Jacket</t>
        </is>
      </c>
      <c r="C278" s="2" t="inlineStr">
        <is>
          <t>132325606</t>
        </is>
      </c>
      <c r="D278" s="2" t="inlineStr">
        <is>
          <t>$268.00</t>
        </is>
      </c>
      <c r="E278" s="2" t="inlineStr">
        <is>
          <t>$134.00</t>
        </is>
      </c>
      <c r="F278" s="2">
        <f>IMAGE("https://images.lululemon.com/is/image/lululemon/0001",1)</f>
        <v/>
      </c>
      <c r="G278" s="2">
        <f>IMAGE("https://images.lululemon.com/is/image/lululemon/31382",1)</f>
        <v/>
      </c>
      <c r="H278" s="2">
        <f>IMAGE("https://images.lululemon.com/is/image/lululemon/71148",1)</f>
        <v/>
      </c>
      <c r="I278" s="2" t="n"/>
      <c r="J278" s="2" t="n"/>
      <c r="K278" s="2" t="n"/>
      <c r="L278" s="2" t="inlineStr">
        <is>
          <t>0, 2, 4, 6, 8, 10, 12</t>
        </is>
      </c>
      <c r="M278" s="2" t="n">
        <v>1419</v>
      </c>
      <c r="N278" s="2" t="inlineStr">
        <is>
          <t>Layering season is here. Wear this packable, travel-friendly down jacket on its own or under a shell for added warmth.</t>
        </is>
      </c>
      <c r="O278" s="2" t="inlineStr">
        <is>
          <t>Pack-It-Down-Jacket</t>
        </is>
      </c>
      <c r="P278" s="2" t="inlineStr">
        <is>
          <t>Yes</t>
        </is>
      </c>
      <c r="Q278" s="2" t="inlineStr">
        <is>
          <t>Pack It Down Jacket BLK 0</t>
        </is>
      </c>
      <c r="R278" s="2" t="inlineStr">
        <is>
          <t>Black, True Navy, Olive Brown</t>
        </is>
      </c>
      <c r="S278" s="2" t="inlineStr">
        <is>
          <t>Puffer Jackets</t>
        </is>
      </c>
      <c r="T278" s="2" t="inlineStr">
        <is>
          <t>Women</t>
        </is>
      </c>
    </row>
    <row r="279" ht="80" customHeight="1">
      <c r="A279" s="3">
        <f>IMAGE("https://images.lululemon.com/is/image/lululemon/LW3HT0S_4780_1?wid=320&amp;op_usm=0.8",1)</f>
        <v/>
      </c>
      <c r="B279" s="3" t="inlineStr">
        <is>
          <t>Swiftly Tech Long-Sleeve Shirt 2.0 *Hip Length</t>
        </is>
      </c>
      <c r="C279" s="3" t="inlineStr">
        <is>
          <t>117150037</t>
        </is>
      </c>
      <c r="D279" s="3" t="inlineStr">
        <is>
          <t>$78.00</t>
        </is>
      </c>
      <c r="E279" s="3" t="inlineStr">
        <is>
          <t>$39.00</t>
        </is>
      </c>
      <c r="F279" s="3">
        <f>IMAGE("https://images.lululemon.com/is/image/lululemon/4780",1)</f>
        <v/>
      </c>
      <c r="G279" s="3">
        <f>IMAGE("https://images.lululemon.com/is/image/lululemon/12826",1)</f>
        <v/>
      </c>
      <c r="H279" s="3">
        <f>IMAGE("https://images.lululemon.com/is/image/lululemon/0572",1)</f>
        <v/>
      </c>
      <c r="I279" s="3">
        <f>IMAGE("https://images.lululemon.com/is/image/lululemon/49910",1)</f>
        <v/>
      </c>
      <c r="J279" s="3" t="n"/>
      <c r="K279" s="3" t="n"/>
      <c r="L279" s="3" t="inlineStr">
        <is>
          <t>0, 2, 4, 6, 8, 10, 12, 14, 16, 18, 20</t>
        </is>
      </c>
      <c r="M279" s="3" t="n">
        <v>8639</v>
      </c>
      <c r="N279" s="3" t="inlineStr">
        <is>
          <t>Go ahead, get sweaty. The Swiftly collection is all about high-performing fabric that seamlessly adapts to you and your workout.</t>
        </is>
      </c>
      <c r="O279" s="3" t="inlineStr">
        <is>
          <t>Swiftly-Tech-LS-2</t>
        </is>
      </c>
      <c r="P279" s="3" t="inlineStr">
        <is>
          <t>Yes</t>
        </is>
      </c>
      <c r="Q279" s="3" t="inlineStr">
        <is>
          <t>Swiftly Tech Long Sleeve 2.0 WHWH 0</t>
        </is>
      </c>
      <c r="R279" s="3" t="inlineStr">
        <is>
          <t>Black/Black, White/White, Slate/White, Rainforest Green/Rainforest Green</t>
        </is>
      </c>
      <c r="S279" s="3" t="inlineStr"/>
      <c r="T279" s="3" t="inlineStr">
        <is>
          <t>Women</t>
        </is>
      </c>
    </row>
    <row r="280" ht="80" customHeight="1">
      <c r="A280" s="2">
        <f>IMAGE("https://images.lululemon.com/is/image/lululemon/LW3GH4S_4780_1?wid=320&amp;op_usm=0.8",1)</f>
        <v/>
      </c>
      <c r="B280" s="2" t="inlineStr">
        <is>
          <t>Swiftly Tech Cropped Long-Sleeve Shirt 2.0</t>
        </is>
      </c>
      <c r="C280" s="2" t="inlineStr">
        <is>
          <t>146056178</t>
        </is>
      </c>
      <c r="D280" s="2" t="inlineStr">
        <is>
          <t>$78.00</t>
        </is>
      </c>
      <c r="E280" s="2" t="inlineStr">
        <is>
          <t>$39.00</t>
        </is>
      </c>
      <c r="F280" s="2">
        <f>IMAGE("https://images.lululemon.com/is/image/lululemon/4780",1)</f>
        <v/>
      </c>
      <c r="G280" s="2" t="n"/>
      <c r="H280" s="2" t="n"/>
      <c r="I280" s="2" t="n"/>
      <c r="J280" s="2" t="n"/>
      <c r="K280" s="2" t="n"/>
      <c r="L280" s="2" t="inlineStr">
        <is>
          <t>6, 8, 10, 12</t>
        </is>
      </c>
      <c r="M280" s="2" t="n">
        <v>465</v>
      </c>
      <c r="N280" s="2" t="inlineStr">
        <is>
          <t>Go ahead, get sweaty. The Swiftly collection is all about high-performing fabric that seamlessly adapts to you and your workout.</t>
        </is>
      </c>
      <c r="O280" s="2" t="inlineStr">
        <is>
          <t>Swiftly-Tech-Cropped-Long-Sleeve-Shirt-2</t>
        </is>
      </c>
      <c r="P280" s="2" t="inlineStr">
        <is>
          <t>Yes</t>
        </is>
      </c>
      <c r="Q280" s="2" t="inlineStr">
        <is>
          <t>Swiftly Tech Cropped Long Sleeve 2.0 BLK/BLK 6</t>
        </is>
      </c>
      <c r="R280" s="2" t="inlineStr">
        <is>
          <t>Black/Black</t>
        </is>
      </c>
      <c r="S280" s="2" t="inlineStr"/>
      <c r="T280" s="2" t="inlineStr">
        <is>
          <t>Women</t>
        </is>
      </c>
    </row>
    <row r="281" ht="80" customHeight="1">
      <c r="A281" s="3">
        <f>IMAGE("https://images.lululemon.com/is/image/lululemon/LU9BE3S_0001_1?wid=320&amp;op_usm=0.8",1)</f>
        <v/>
      </c>
      <c r="B281" s="3" t="inlineStr">
        <is>
          <t>Everywhere Belt Bag 1L *Clear</t>
        </is>
      </c>
      <c r="C281" s="3" t="inlineStr">
        <is>
          <t>147475064</t>
        </is>
      </c>
      <c r="D281" s="3" t="inlineStr">
        <is>
          <t>$38.00</t>
        </is>
      </c>
      <c r="E281" s="3" t="inlineStr">
        <is>
          <t>$19.00</t>
        </is>
      </c>
      <c r="F281" s="3">
        <f>IMAGE("https://images.lululemon.com/is/image/lululemon/0001",1)</f>
        <v/>
      </c>
      <c r="G281" s="3" t="n"/>
      <c r="H281" s="3" t="n"/>
      <c r="I281" s="3" t="n"/>
      <c r="J281" s="3" t="n"/>
      <c r="K281" s="3" t="n"/>
      <c r="L281" s="3" t="inlineStr">
        <is>
          <t>O/S</t>
        </is>
      </c>
      <c r="M281" s="3" t="n">
        <v>420</v>
      </c>
      <c r="N281" s="3" t="inlineStr">
        <is>
          <t>Stadium ready. Whether you're heading to a concert or cheering on your home team, this transparent belt bag keeps your belongings visible so lineups are a breeze.</t>
        </is>
      </c>
      <c r="O281" s="3" t="inlineStr">
        <is>
          <t>Clear-Belt-Bag-Logo-1L</t>
        </is>
      </c>
      <c r="P281" s="3" t="inlineStr">
        <is>
          <t>Yes</t>
        </is>
      </c>
      <c r="Q281" s="3" t="inlineStr">
        <is>
          <t>Everywhere Belt Bag *Clear BLK ONE SIZE</t>
        </is>
      </c>
      <c r="R281" s="3" t="inlineStr">
        <is>
          <t>Black</t>
        </is>
      </c>
      <c r="S281" s="3" t="inlineStr">
        <is>
          <t>Belt Bags, Crossbody Bags</t>
        </is>
      </c>
      <c r="T281" s="3" t="inlineStr">
        <is>
          <t>Women</t>
        </is>
      </c>
    </row>
    <row r="282" ht="80" customHeight="1">
      <c r="A282" s="2">
        <f>IMAGE("https://images.lululemon.com/is/image/lululemon/LW9DAYS_0001_1?wid=320&amp;op_usm=0.8",1)</f>
        <v/>
      </c>
      <c r="B282" s="2" t="inlineStr">
        <is>
          <t>InvisiWear Mid-Rise Bikini Underwear</t>
        </is>
      </c>
      <c r="C282" s="2" t="inlineStr">
        <is>
          <t>131275095</t>
        </is>
      </c>
      <c r="D282" s="2" t="inlineStr">
        <is>
          <t>$18.00</t>
        </is>
      </c>
      <c r="E282" s="2" t="inlineStr">
        <is>
          <t>$9.00</t>
        </is>
      </c>
      <c r="F282" s="2">
        <f>IMAGE("https://images.lululemon.com/is/image/lululemon/0001",1)</f>
        <v/>
      </c>
      <c r="G282" s="2" t="n"/>
      <c r="H282" s="2" t="n"/>
      <c r="I282" s="2" t="n"/>
      <c r="J282" s="2" t="n"/>
      <c r="K282" s="2" t="n"/>
      <c r="L282" s="2" t="inlineStr">
        <is>
          <t>XS, S, M, L, XL</t>
        </is>
      </c>
      <c r="M282" s="2" t="n">
        <v>126</v>
      </c>
      <c r="N282" s="2" t="inlineStr">
        <is>
          <t>Nothing to see here. Virtually undetectable underneath your leggings, these smooth underwear have a comfortable fit that doesn't slip or slide.</t>
        </is>
      </c>
      <c r="O282" s="2" t="inlineStr">
        <is>
          <t>InvisiWear-Mid-Rise-Bikini-Underwear</t>
        </is>
      </c>
      <c r="P282" s="2" t="inlineStr">
        <is>
          <t>Yes</t>
        </is>
      </c>
      <c r="Q282" s="2" t="inlineStr">
        <is>
          <t>InvisiWear Mid-Rise Bikini BLK XS</t>
        </is>
      </c>
      <c r="R282" s="2" t="inlineStr">
        <is>
          <t>Black</t>
        </is>
      </c>
      <c r="S282" s="2" t="inlineStr">
        <is>
          <t>Bikini Underwear</t>
        </is>
      </c>
      <c r="T282" s="2" t="inlineStr">
        <is>
          <t>Women</t>
        </is>
      </c>
    </row>
    <row r="283" ht="80" customHeight="1">
      <c r="A283" s="3">
        <f>IMAGE("https://images.lululemon.com/is/image/lululemon/LW9FM3S_073560_1?wid=320&amp;op_usm=0.8",1)</f>
        <v/>
      </c>
      <c r="B283" s="3" t="inlineStr">
        <is>
          <t>Extra Large Claw Hair Clip</t>
        </is>
      </c>
      <c r="C283" s="3" t="inlineStr">
        <is>
          <t>158023068</t>
        </is>
      </c>
      <c r="D283" s="3" t="inlineStr">
        <is>
          <t>$26.00</t>
        </is>
      </c>
      <c r="E283" s="3" t="inlineStr">
        <is>
          <t>$13.00</t>
        </is>
      </c>
      <c r="F283" s="3">
        <f>IMAGE("https://images.lululemon.com/is/image/lululemon/73560",1)</f>
        <v/>
      </c>
      <c r="G283" s="3">
        <f>IMAGE("https://images.lululemon.com/is/image/lululemon/65675",1)</f>
        <v/>
      </c>
      <c r="H283" s="3">
        <f>IMAGE("https://images.lululemon.com/is/image/lululemon/73561",1)</f>
        <v/>
      </c>
      <c r="I283" s="3" t="n"/>
      <c r="J283" s="3" t="n"/>
      <c r="K283" s="3" t="n"/>
      <c r="L283" s="3" t="inlineStr">
        <is>
          <t>O/S</t>
        </is>
      </c>
      <c r="M283" s="3" t="n">
        <v>1714</v>
      </c>
      <c r="N283" s="3" t="inlineStr">
        <is>
          <t>Wavy, textured, curly, or straight—whatever kind of hair you've got, this extra large clip will keep it together.</t>
        </is>
      </c>
      <c r="O283" s="3" t="inlineStr">
        <is>
          <t>Extra-Large-Claw-Hair-Clip</t>
        </is>
      </c>
      <c r="P283" s="3" t="inlineStr">
        <is>
          <t>Yes</t>
        </is>
      </c>
      <c r="Q283" s="3" t="inlineStr">
        <is>
          <t>Extra Large Claw Hair Clip 8RRP ONE SIZE</t>
        </is>
      </c>
      <c r="R283" s="3" t="inlineStr">
        <is>
          <t>Berry Rumble/Racer Pink, French Press/Burnt Caramel, Cornflower/Blissful Pink</t>
        </is>
      </c>
      <c r="S283" s="3" t="inlineStr">
        <is>
          <t>Hair Clips</t>
        </is>
      </c>
      <c r="T283" s="3" t="inlineStr">
        <is>
          <t>Women</t>
        </is>
      </c>
    </row>
    <row r="284" ht="80" customHeight="1">
      <c r="A284" s="2">
        <f>IMAGE("https://images.lululemon.com/is/image/lululemon/LW3JE9S_033547_1?wid=320&amp;op_usm=0.8",1)</f>
        <v/>
      </c>
      <c r="B284" s="2" t="inlineStr">
        <is>
          <t>Swiftly Relaxed Long-Sleeve Shirt *Updated Fit</t>
        </is>
      </c>
      <c r="C284" s="2" t="inlineStr">
        <is>
          <t>158119165</t>
        </is>
      </c>
      <c r="D284" s="2" t="inlineStr">
        <is>
          <t>$78.00</t>
        </is>
      </c>
      <c r="E284" s="2" t="inlineStr">
        <is>
          <t>$39.00</t>
        </is>
      </c>
      <c r="F284" s="2">
        <f>IMAGE("https://images.lululemon.com/is/image/lululemon/33547",1)</f>
        <v/>
      </c>
      <c r="G284" s="2" t="n"/>
      <c r="H284" s="2" t="n"/>
      <c r="I284" s="2" t="n"/>
      <c r="J284" s="2" t="n"/>
      <c r="K284" s="2" t="n"/>
      <c r="L284" s="2" t="inlineStr">
        <is>
          <t>2, 4, 6, 8, 10, 12</t>
        </is>
      </c>
      <c r="M284" s="2" t="n">
        <v>768</v>
      </c>
      <c r="N284" s="2" t="inlineStr">
        <is>
          <t>Go ahead, get sweaty. The Swiftly Relaxed collection is all about high performing-fabric that seamlessly adapts to you and your workout. An updated fit gives you slightly more room to move.</t>
        </is>
      </c>
      <c r="O284" s="2" t="inlineStr">
        <is>
          <t>Swiftly-Relaxed-Long-Sleeve-Shirt-Updated-Fit</t>
        </is>
      </c>
      <c r="P284" s="2" t="inlineStr">
        <is>
          <t>Yes</t>
        </is>
      </c>
      <c r="Q284" s="2" t="inlineStr">
        <is>
          <t>Swiftly Relaxed Long Sleeve BRBU/BRBU 2</t>
        </is>
      </c>
      <c r="R284" s="2" t="inlineStr">
        <is>
          <t>Brilliant Blue/Brilliant Blue</t>
        </is>
      </c>
      <c r="S284" s="2" t="inlineStr"/>
      <c r="T284" s="2" t="inlineStr">
        <is>
          <t>Women</t>
        </is>
      </c>
    </row>
    <row r="285" ht="80" customHeight="1">
      <c r="A285" s="3">
        <f>IMAGE("https://images.lululemon.com/is/image/lululemon/LU9CLAS_0024_1?wid=320&amp;op_usm=0.8",1)</f>
        <v/>
      </c>
      <c r="B285" s="3" t="inlineStr">
        <is>
          <t>Unisex Daily Essential Crew Socks *Stripe</t>
        </is>
      </c>
      <c r="C285" s="3" t="inlineStr">
        <is>
          <t>155775205</t>
        </is>
      </c>
      <c r="D285" s="3" t="inlineStr">
        <is>
          <t>$14.00</t>
        </is>
      </c>
      <c r="E285" s="3" t="inlineStr">
        <is>
          <t>$7.00</t>
        </is>
      </c>
      <c r="F285" s="3">
        <f>IMAGE("https://images.lululemon.com/is/image/lululemon/0024",1)</f>
        <v/>
      </c>
      <c r="G285" s="3">
        <f>IMAGE("https://images.lululemon.com/is/image/lululemon/69946",1)</f>
        <v/>
      </c>
      <c r="H285" s="3">
        <f>IMAGE("https://images.lululemon.com/is/image/lululemon/74939",1)</f>
        <v/>
      </c>
      <c r="I285" s="3" t="n"/>
      <c r="J285" s="3" t="n"/>
      <c r="K285" s="3" t="n"/>
      <c r="L285" s="3" t="inlineStr">
        <is>
          <t>S, M, L, XL</t>
        </is>
      </c>
      <c r="M285" s="3" t="n">
        <v>1221</v>
      </c>
      <c r="N285" s="3" t="inlineStr">
        <is>
          <t>Top drawer comfort. These soft cotton socks combine integrated arch support and plush cushioning.</t>
        </is>
      </c>
      <c r="O285" s="3" t="inlineStr">
        <is>
          <t>Unisex-Daily-Essential-Crew-Socks-Stripe</t>
        </is>
      </c>
      <c r="P285" s="3" t="inlineStr">
        <is>
          <t>Yes</t>
        </is>
      </c>
      <c r="Q285" s="3" t="inlineStr">
        <is>
          <t>Daily Essential Socks WHT/BLK S</t>
        </is>
      </c>
      <c r="R285" s="3" t="inlineStr">
        <is>
          <t>White/Black, White/Rainforest Green, White/Riverside</t>
        </is>
      </c>
      <c r="S285" s="3" t="inlineStr">
        <is>
          <t>Crew Socks</t>
        </is>
      </c>
      <c r="T285" s="3" t="inlineStr">
        <is>
          <t>Women</t>
        </is>
      </c>
    </row>
    <row r="286" ht="80" customHeight="1">
      <c r="A286" s="2">
        <f>IMAGE("https://images.lululemon.com/is/image/lululemon/LW3JLMS_073582_1?wid=320&amp;op_usm=0.8",1)</f>
        <v/>
      </c>
      <c r="B286" s="2" t="inlineStr">
        <is>
          <t>Court Rival Track Jacket *Tennis Club</t>
        </is>
      </c>
      <c r="C286" s="2" t="inlineStr">
        <is>
          <t>158102154</t>
        </is>
      </c>
      <c r="D286" s="2" t="inlineStr">
        <is>
          <t>$128.00</t>
        </is>
      </c>
      <c r="E286" s="2" t="inlineStr">
        <is>
          <t>$64.00</t>
        </is>
      </c>
      <c r="F286" s="2">
        <f>IMAGE("https://images.lululemon.com/is/image/lululemon/73582",1)</f>
        <v/>
      </c>
      <c r="G286" s="2" t="n"/>
      <c r="H286" s="2" t="n"/>
      <c r="I286" s="2" t="n"/>
      <c r="J286" s="2" t="n"/>
      <c r="K286" s="2" t="n"/>
      <c r="L286" s="2" t="inlineStr">
        <is>
          <t>2, 4, 6, 8, 10, 12</t>
        </is>
      </c>
      <c r="M286" s="2" t="n">
        <v>214</v>
      </c>
      <c r="N286" s="2" t="inlineStr">
        <is>
          <t>Keep your warm-up look on (match) point in this vintage-inspired jacket. Piping details land the look while lightweight, quick-drying fabric keeps you comfortable after your match.</t>
        </is>
      </c>
      <c r="O286" s="2" t="inlineStr">
        <is>
          <t>Court-Rival-Track-Jacket-Tennis-Club</t>
        </is>
      </c>
      <c r="P286" s="2" t="inlineStr">
        <is>
          <t>Yes</t>
        </is>
      </c>
      <c r="Q286" s="2" t="inlineStr">
        <is>
          <t>Court Rival Track Jacket *Tennis Club IVYG/WHT 2</t>
        </is>
      </c>
      <c r="R286" s="2" t="inlineStr">
        <is>
          <t>Ivy Grove/White</t>
        </is>
      </c>
      <c r="S286" s="2" t="inlineStr">
        <is>
          <t>Track Jackets</t>
        </is>
      </c>
      <c r="T286" s="2" t="inlineStr">
        <is>
          <t>Women</t>
        </is>
      </c>
    </row>
    <row r="287" ht="80" customHeight="1">
      <c r="A287" s="3">
        <f>IMAGE("https://images.lululemon.com/is/image/lululemon/LW5HWVS_071188_1?wid=320&amp;op_usm=0.8",1)</f>
        <v/>
      </c>
      <c r="B287" s="3" t="inlineStr">
        <is>
          <t>Fast and Free High-Rise 1-Pocket Tight 25" *Evolve</t>
        </is>
      </c>
      <c r="C287" s="3" t="inlineStr">
        <is>
          <t>157716923</t>
        </is>
      </c>
      <c r="D287" s="3" t="inlineStr">
        <is>
          <t>$108.00</t>
        </is>
      </c>
      <c r="E287" s="3" t="inlineStr">
        <is>
          <t>$54.00</t>
        </is>
      </c>
      <c r="F287" s="3">
        <f>IMAGE("https://images.lululemon.com/is/image/lululemon/71188",1)</f>
        <v/>
      </c>
      <c r="G287" s="3" t="n"/>
      <c r="H287" s="3" t="n"/>
      <c r="I287" s="3" t="n"/>
      <c r="J287" s="3" t="n"/>
      <c r="K287" s="3" t="n"/>
      <c r="L287" s="3" t="inlineStr">
        <is>
          <t>2, 6, 10</t>
        </is>
      </c>
      <c r="M287" s="3" t="n">
        <v>166</v>
      </c>
      <c r="N287" s="3" t="inlineStr">
        <is>
          <t>Mind over miles. This evolved version of our Fast and Free tight features a single back zippered pocket and streamlined design lines for a distraction-free run.</t>
        </is>
      </c>
      <c r="O287" s="3" t="inlineStr">
        <is>
          <t>Fast-and-Free-High-Rise-1-Pocket-Tight-25-Evolve</t>
        </is>
      </c>
      <c r="P287" s="3" t="inlineStr">
        <is>
          <t>Yes</t>
        </is>
      </c>
      <c r="Q287" s="3" t="inlineStr">
        <is>
          <t>Fast and Free HR Tight 25" 1 Pkt *Evolve DSBU 2</t>
        </is>
      </c>
      <c r="R287" s="3" t="inlineStr">
        <is>
          <t>Deep Sea Blue</t>
        </is>
      </c>
      <c r="S287" s="3" t="inlineStr">
        <is>
          <t>Athletic Pants</t>
        </is>
      </c>
      <c r="T287" s="3" t="inlineStr">
        <is>
          <t>Women</t>
        </is>
      </c>
    </row>
    <row r="288" ht="80" customHeight="1">
      <c r="A288" s="2">
        <f>IMAGE("https://images.lululemon.com/is/image/lululemon/LU9CPQS_0001_1?wid=320&amp;op_usm=0.8",1)</f>
        <v/>
      </c>
      <c r="B288" s="2" t="inlineStr">
        <is>
          <t>Unisex Power Stride Tab Socks</t>
        </is>
      </c>
      <c r="C288" s="2" t="inlineStr">
        <is>
          <t>156701189</t>
        </is>
      </c>
      <c r="D288" s="2" t="inlineStr">
        <is>
          <t>$14.00</t>
        </is>
      </c>
      <c r="E288" s="2" t="inlineStr">
        <is>
          <t>$7.00</t>
        </is>
      </c>
      <c r="F288" s="2">
        <f>IMAGE("https://images.lululemon.com/is/image/lululemon/0001",1)</f>
        <v/>
      </c>
      <c r="G288" s="2" t="n"/>
      <c r="H288" s="2" t="n"/>
      <c r="I288" s="2" t="n"/>
      <c r="J288" s="2" t="n"/>
      <c r="K288" s="2" t="n"/>
      <c r="L288" s="2" t="inlineStr">
        <is>
          <t>S, M, L, XL</t>
        </is>
      </c>
      <c r="M288" s="2" t="n">
        <v>636</v>
      </c>
      <c r="N288" s="2" t="inlineStr">
        <is>
          <t>Set the groundwork for a strong workout. We updated our versatile performance socks with intentional cushioning and enhanced breathability so you can move more comfortably.</t>
        </is>
      </c>
      <c r="O288" s="2" t="inlineStr">
        <is>
          <t>Unisex-Power-Stride-Tab-Socks</t>
        </is>
      </c>
      <c r="P288" s="2" t="inlineStr">
        <is>
          <t>Yes</t>
        </is>
      </c>
      <c r="Q288" s="2" t="inlineStr">
        <is>
          <t>Power Stride Socks BLK S</t>
        </is>
      </c>
      <c r="R288" s="2" t="inlineStr">
        <is>
          <t>Black</t>
        </is>
      </c>
      <c r="S288" s="2" t="inlineStr">
        <is>
          <t>Ankle Socks</t>
        </is>
      </c>
      <c r="T288" s="2" t="inlineStr">
        <is>
          <t>Women</t>
        </is>
      </c>
    </row>
    <row r="289" ht="80" customHeight="1">
      <c r="A289" s="3">
        <f>IMAGE("https://images.lululemon.com/is/image/lululemon/LW5GV7S_0001_1?wid=320&amp;op_usm=0.8",1)</f>
        <v/>
      </c>
      <c r="B289" s="3" t="inlineStr">
        <is>
          <t>Scuba Mid-Rise Wide-Leg Pant *Regular</t>
        </is>
      </c>
      <c r="C289" s="3" t="inlineStr">
        <is>
          <t>155701770</t>
        </is>
      </c>
      <c r="D289" s="3" t="inlineStr">
        <is>
          <t>$118.00</t>
        </is>
      </c>
      <c r="E289" s="3" t="inlineStr">
        <is>
          <t>$59.00</t>
        </is>
      </c>
      <c r="F289" s="3">
        <f>IMAGE("https://images.lululemon.com/is/image/lululemon/0001",1)</f>
        <v/>
      </c>
      <c r="G289" s="3" t="n"/>
      <c r="H289" s="3" t="n"/>
      <c r="I289" s="3" t="n"/>
      <c r="J289" s="3" t="n"/>
      <c r="K289" s="3" t="n"/>
      <c r="L289" s="3" t="inlineStr">
        <is>
          <t>XL</t>
        </is>
      </c>
      <c r="M289" s="3" t="n">
        <v>22</v>
      </c>
      <c r="N289" s="3" t="inlineStr">
        <is>
          <t>Serious about softness. These sweatpants are all about fleecy fabric and pair perfectly with our Scuba sweatshirts.</t>
        </is>
      </c>
      <c r="O289" s="3" t="inlineStr">
        <is>
          <t>Scuba-MR-Wide-Leg-Pant-Regular</t>
        </is>
      </c>
      <c r="P289" s="3" t="inlineStr">
        <is>
          <t>Yes</t>
        </is>
      </c>
      <c r="Q289" s="3" t="inlineStr">
        <is>
          <t>Scuba Mid-Rise Wide-Leg Pant *Regular BLK XL</t>
        </is>
      </c>
      <c r="R289" s="3" t="inlineStr">
        <is>
          <t>Black</t>
        </is>
      </c>
      <c r="S289" s="3" t="inlineStr"/>
      <c r="T289" s="3" t="inlineStr">
        <is>
          <t>Women</t>
        </is>
      </c>
    </row>
    <row r="290" ht="80" customHeight="1">
      <c r="A290" s="2">
        <f>IMAGE("https://images.lululemon.com/is/image/lululemon/LW4CEGS_033454_1?wid=320&amp;op_usm=0.8",1)</f>
        <v/>
      </c>
      <c r="B290" s="2" t="inlineStr">
        <is>
          <t>Women's Cross Chill Performance Jacket</t>
        </is>
      </c>
      <c r="C290" s="2" t="inlineStr">
        <is>
          <t>155865585</t>
        </is>
      </c>
      <c r="D290" s="2" t="inlineStr">
        <is>
          <t>$228.00</t>
        </is>
      </c>
      <c r="E290" s="2" t="inlineStr">
        <is>
          <t>$114.00</t>
        </is>
      </c>
      <c r="F290" s="2">
        <f>IMAGE("https://images.lululemon.com/is/image/lululemon/33454",1)</f>
        <v/>
      </c>
      <c r="G290" s="2" t="n"/>
      <c r="H290" s="2" t="n"/>
      <c r="I290" s="2" t="n"/>
      <c r="J290" s="2" t="n"/>
      <c r="K290" s="2" t="n"/>
      <c r="L290" s="2" t="inlineStr">
        <is>
          <t>XXS, XS, S, M, L, XL</t>
        </is>
      </c>
      <c r="M290" s="2" t="n">
        <v>315</v>
      </c>
      <c r="N290" s="2" t="inlineStr">
        <is>
          <t>Cold-weather runs call for next-level comfort. This jacket is made from waterproof fabric to keep your core protected from rain and snow with a plush, fleecy interior.</t>
        </is>
      </c>
      <c r="O290" s="2" t="inlineStr">
        <is>
          <t>W-Cross-Chill-Performance-Jacket</t>
        </is>
      </c>
      <c r="P290" s="2" t="inlineStr">
        <is>
          <t>Yes</t>
        </is>
      </c>
      <c r="Q290" s="2" t="inlineStr">
        <is>
          <t>Cross Chill Performance Jacket LTIV XXS</t>
        </is>
      </c>
      <c r="R290" s="2" t="inlineStr">
        <is>
          <t>Light Ivory</t>
        </is>
      </c>
      <c r="S290" s="2" t="inlineStr">
        <is>
          <t>Athletic Jackets, Rain Jackets</t>
        </is>
      </c>
      <c r="T290" s="2" t="inlineStr">
        <is>
          <t>Women</t>
        </is>
      </c>
    </row>
    <row r="291" ht="80" customHeight="1">
      <c r="A291" s="3">
        <f>IMAGE("https://images.lululemon.com/is/image/lululemon/LU9ALIS_0001_1?wid=320&amp;op_usm=0.8",1)</f>
        <v/>
      </c>
      <c r="B291" s="3" t="inlineStr">
        <is>
          <t>Resistance Band Set</t>
        </is>
      </c>
      <c r="C291" s="3" t="inlineStr">
        <is>
          <t>142350264</t>
        </is>
      </c>
      <c r="D291" s="3" t="inlineStr">
        <is>
          <t>$58.00</t>
        </is>
      </c>
      <c r="E291" s="3" t="inlineStr">
        <is>
          <t>$29.00</t>
        </is>
      </c>
      <c r="F291" s="3">
        <f>IMAGE("https://images.lululemon.com/is/image/lululemon/0001",1)</f>
        <v/>
      </c>
      <c r="G291" s="3" t="n"/>
      <c r="H291" s="3" t="n"/>
      <c r="I291" s="3" t="n"/>
      <c r="J291" s="3" t="n"/>
      <c r="K291" s="3" t="n"/>
      <c r="L291" s="3" t="inlineStr">
        <is>
          <t>O/S</t>
        </is>
      </c>
      <c r="M291" s="3" t="n">
        <v>298</v>
      </c>
      <c r="N291" s="3" t="inlineStr">
        <is>
          <t>Push, pull, strengthen, and tone—this resistance band set can handle it all. Switch between low, medium, and high resistance levels for a customized workout.</t>
        </is>
      </c>
      <c r="O291" s="3" t="inlineStr">
        <is>
          <t>Resistance-Bands-3-Pack</t>
        </is>
      </c>
      <c r="P291" s="3" t="inlineStr">
        <is>
          <t>Yes</t>
        </is>
      </c>
      <c r="Q291" s="3" t="inlineStr">
        <is>
          <t>Resistance Band Set BLK ONE SIZE</t>
        </is>
      </c>
      <c r="R291" s="3" t="inlineStr">
        <is>
          <t>Black</t>
        </is>
      </c>
      <c r="S291" s="3" t="inlineStr">
        <is>
          <t>Resistance Bands</t>
        </is>
      </c>
      <c r="T291" s="3" t="inlineStr">
        <is>
          <t>Women</t>
        </is>
      </c>
    </row>
    <row r="292" ht="80" customHeight="1">
      <c r="A292" s="2">
        <f>IMAGE("https://images.lululemon.com/is/image/lululemon/LU9BUMS_031382_1?wid=320&amp;op_usm=0.8",1)</f>
        <v/>
      </c>
      <c r="B292" s="2" t="inlineStr">
        <is>
          <t>Classic Ball Cap</t>
        </is>
      </c>
      <c r="C292" s="2" t="inlineStr">
        <is>
          <t>153836695</t>
        </is>
      </c>
      <c r="D292" s="2" t="inlineStr">
        <is>
          <t>$38.00</t>
        </is>
      </c>
      <c r="E292" s="2" t="inlineStr">
        <is>
          <t>$19.00</t>
        </is>
      </c>
      <c r="F292" s="2">
        <f>IMAGE("https://images.lululemon.com/is/image/lululemon/31382",1)</f>
        <v/>
      </c>
      <c r="G292" s="2">
        <f>IMAGE("https://images.lululemon.com/is/image/lululemon/0002",1)</f>
        <v/>
      </c>
      <c r="H292" s="2">
        <f>IMAGE("https://images.lululemon.com/is/image/lululemon/0001",1)</f>
        <v/>
      </c>
      <c r="I292" s="2">
        <f>IMAGE("https://images.lululemon.com/is/image/lululemon/33454",1)</f>
        <v/>
      </c>
      <c r="J292" s="2" t="n"/>
      <c r="K292" s="2" t="n"/>
      <c r="L292" s="2" t="inlineStr">
        <is>
          <t>S/M, L/XL</t>
        </is>
      </c>
      <c r="M292" s="2" t="n">
        <v>3712</v>
      </c>
      <c r="N292" s="2" t="inlineStr">
        <is>
          <t>Anywhere, anytime. This soft, lightweight cap is a year-round favourite for days on the go.</t>
        </is>
      </c>
      <c r="O292" s="2" t="inlineStr">
        <is>
          <t>Soft-Cap</t>
        </is>
      </c>
      <c r="P292" s="2" t="inlineStr">
        <is>
          <t>Yes</t>
        </is>
      </c>
      <c r="Q292" s="2" t="inlineStr">
        <is>
          <t>Unisex Classic Ball Cap TRNV S/M</t>
        </is>
      </c>
      <c r="R292" s="2" t="inlineStr">
        <is>
          <t>True Navy, White, Black, Light Ivory</t>
        </is>
      </c>
      <c r="S292" s="2" t="inlineStr">
        <is>
          <t>Caps</t>
        </is>
      </c>
      <c r="T292" s="2" t="inlineStr">
        <is>
          <t>Women</t>
        </is>
      </c>
    </row>
    <row r="293" ht="80" customHeight="1">
      <c r="A293" s="3">
        <f>IMAGE("https://images.lululemon.com/is/image/lululemon/LU9CMAS_071473_1?wid=320&amp;op_usm=0.8",1)</f>
        <v/>
      </c>
      <c r="B293" s="3" t="inlineStr">
        <is>
          <t>Everywhere Backpack 22L</t>
        </is>
      </c>
      <c r="C293" s="3" t="inlineStr">
        <is>
          <t>156527940</t>
        </is>
      </c>
      <c r="D293" s="3" t="inlineStr">
        <is>
          <t>$78.00</t>
        </is>
      </c>
      <c r="E293" s="3" t="inlineStr">
        <is>
          <t>$39.00</t>
        </is>
      </c>
      <c r="F293" s="3">
        <f>IMAGE("https://images.lululemon.com/is/image/lululemon/71473",1)</f>
        <v/>
      </c>
      <c r="G293" s="3">
        <f>IMAGE("https://images.lululemon.com/is/image/lululemon/31382",1)</f>
        <v/>
      </c>
      <c r="H293" s="3">
        <f>IMAGE("https://images.lululemon.com/is/image/lululemon/43646",1)</f>
        <v/>
      </c>
      <c r="I293" s="3" t="n"/>
      <c r="J293" s="3" t="n"/>
      <c r="K293" s="3" t="n"/>
      <c r="L293" s="3" t="inlineStr">
        <is>
          <t>O/S</t>
        </is>
      </c>
      <c r="M293" s="3" t="n">
        <v>9167</v>
      </c>
      <c r="N293" s="3" t="inlineStr">
        <is>
          <t>Not your average backpack. With an internal laptop sleeve and side water bottle pockets, this one ticks the boxes for school, work, and travel.</t>
        </is>
      </c>
      <c r="O293" s="3" t="inlineStr">
        <is>
          <t>Everywhere-Backpack-22L</t>
        </is>
      </c>
      <c r="P293" s="3" t="inlineStr">
        <is>
          <t>Yes</t>
        </is>
      </c>
      <c r="Q293" s="3" t="inlineStr">
        <is>
          <t>Everywhere Backpack VPOR/SHOK ONE SIZE</t>
        </is>
      </c>
      <c r="R293" s="3" t="inlineStr">
        <is>
          <t>Vapor/Sheer Oak, True Navy, Black/Graphite Grey</t>
        </is>
      </c>
      <c r="S293" s="3" t="inlineStr">
        <is>
          <t>Backpacks</t>
        </is>
      </c>
      <c r="T293" s="3" t="inlineStr">
        <is>
          <t>Women</t>
        </is>
      </c>
    </row>
    <row r="294" ht="80" customHeight="1">
      <c r="A294" s="2">
        <f>IMAGE("https://images.lululemon.com/is/image/lululemon/LW1FBTS_068839_1?wid=320&amp;op_usm=0.8",1)</f>
        <v/>
      </c>
      <c r="B294" s="2" t="inlineStr">
        <is>
          <t>Asymmetrical Strap Cropped Tank Top *Medium Support, B/C Cup</t>
        </is>
      </c>
      <c r="C294" s="2" t="inlineStr">
        <is>
          <t>155801479</t>
        </is>
      </c>
      <c r="D294" s="2" t="inlineStr">
        <is>
          <t>$68.00</t>
        </is>
      </c>
      <c r="E294" s="2" t="inlineStr">
        <is>
          <t>$34.00</t>
        </is>
      </c>
      <c r="F294" s="2">
        <f>IMAGE("https://images.lululemon.com/is/image/lululemon/68839",1)</f>
        <v/>
      </c>
      <c r="G294" s="2" t="n"/>
      <c r="H294" s="2" t="n"/>
      <c r="I294" s="2" t="n"/>
      <c r="J294" s="2" t="n"/>
      <c r="K294" s="2" t="n"/>
      <c r="L294" s="2" t="inlineStr">
        <is>
          <t>M, L, XL</t>
        </is>
      </c>
      <c r="M294" s="2" t="n">
        <v>228</v>
      </c>
      <c r="N294" s="2" t="inlineStr">
        <is>
          <t>Support for your swing. This  cropped tank has a built-in  shelf bra and a tight fit that  sits close to the body and  stays in place when you reach,  stretch, or lunge.</t>
        </is>
      </c>
      <c r="O294" s="2" t="inlineStr">
        <is>
          <t>Asymmetrical-Strap-Cropped-Tank-Med-Support-BC-Cup</t>
        </is>
      </c>
      <c r="P294" s="2" t="inlineStr">
        <is>
          <t>Yes</t>
        </is>
      </c>
      <c r="Q294" s="2" t="inlineStr">
        <is>
          <t>Asymmetrical Strap Cropped Tank STRH M</t>
        </is>
      </c>
      <c r="R294" s="2" t="inlineStr">
        <is>
          <t>Starch Blue</t>
        </is>
      </c>
      <c r="S294" s="2" t="inlineStr"/>
      <c r="T294" s="2" t="inlineStr">
        <is>
          <t>Women</t>
        </is>
      </c>
    </row>
    <row r="295" ht="80" customHeight="1">
      <c r="A295" s="3">
        <f>IMAGE("https://images.lululemon.com/is/image/lululemon/LW3IMNS_0002_1?wid=320&amp;op_usm=0.8",1)</f>
        <v/>
      </c>
      <c r="B295" s="3" t="inlineStr">
        <is>
          <t>It's Rulu Half-Zip *Updated</t>
        </is>
      </c>
      <c r="C295" s="3" t="inlineStr">
        <is>
          <t>154881888</t>
        </is>
      </c>
      <c r="D295" s="3" t="inlineStr">
        <is>
          <t>$98.00</t>
        </is>
      </c>
      <c r="E295" s="3" t="inlineStr">
        <is>
          <t>$49.00</t>
        </is>
      </c>
      <c r="F295" s="3">
        <f>IMAGE("https://images.lululemon.com/is/image/lululemon/0002",1)</f>
        <v/>
      </c>
      <c r="G295" s="3">
        <f>IMAGE("https://images.lululemon.com/is/image/lululemon/0001",1)</f>
        <v/>
      </c>
      <c r="H295" s="3" t="n"/>
      <c r="I295" s="3" t="n"/>
      <c r="J295" s="3" t="n"/>
      <c r="K295" s="3" t="n"/>
      <c r="L295" s="3" t="inlineStr">
        <is>
          <t>XXS, XS, S, M, L, XL</t>
        </is>
      </c>
      <c r="M295" s="3" t="n">
        <v>950</v>
      </c>
      <c r="N295" s="3" t="inlineStr">
        <is>
          <t>Warm up to cold-weather workouts. This soft half zip wicks away sweat so you can stay comfortable when the temperature drops.</t>
        </is>
      </c>
      <c r="O295" s="3" t="inlineStr">
        <is>
          <t>Its-Rulu-Half-Zip-Updated</t>
        </is>
      </c>
      <c r="P295" s="3" t="inlineStr">
        <is>
          <t>Yes</t>
        </is>
      </c>
      <c r="Q295" s="3" t="inlineStr">
        <is>
          <t>It's Rulu Half Zip BLK XXS</t>
        </is>
      </c>
      <c r="R295" s="3" t="inlineStr">
        <is>
          <t>White, Black</t>
        </is>
      </c>
      <c r="S295" s="3" t="inlineStr">
        <is>
          <t>Half Zip Sweatshirts, Base Layers</t>
        </is>
      </c>
      <c r="T295" s="3" t="inlineStr">
        <is>
          <t>Women</t>
        </is>
      </c>
    </row>
    <row r="296" ht="80" customHeight="1">
      <c r="A296" s="2">
        <f>IMAGE("https://images.lululemon.com/is/image/lululemon/LW3JMAS_4780_1?wid=320&amp;op_usm=0.8",1)</f>
        <v/>
      </c>
      <c r="B296" s="2" t="inlineStr">
        <is>
          <t>Softy Suedey Relaxed Short-Sleeve Shirt</t>
        </is>
      </c>
      <c r="C296" s="2" t="inlineStr">
        <is>
          <t>158032147</t>
        </is>
      </c>
      <c r="D296" s="2" t="inlineStr">
        <is>
          <t>$58.00</t>
        </is>
      </c>
      <c r="E296" s="2" t="inlineStr">
        <is>
          <t>$29.00</t>
        </is>
      </c>
      <c r="F296" s="2">
        <f>IMAGE("https://images.lululemon.com/is/image/lululemon/4780",1)</f>
        <v/>
      </c>
      <c r="G296" s="2" t="n"/>
      <c r="H296" s="2" t="n"/>
      <c r="I296" s="2" t="n"/>
      <c r="J296" s="2" t="n"/>
      <c r="K296" s="2" t="n"/>
      <c r="L296" s="2" t="inlineStr">
        <is>
          <t>XS, S, M, L, XL</t>
        </is>
      </c>
      <c r="M296" s="2" t="n">
        <v>132</v>
      </c>
      <c r="N296" s="2" t="inlineStr">
        <is>
          <t>Calling in cozy. This relaxed t-shirt is made from sueded performance fabric to deliver an incredibly soft texture.</t>
        </is>
      </c>
      <c r="O296" s="2" t="inlineStr">
        <is>
          <t>Softy-Suedey-Relaxed-Short-Sleeve-Shirt</t>
        </is>
      </c>
      <c r="P296" s="2" t="inlineStr">
        <is>
          <t>Yes</t>
        </is>
      </c>
      <c r="Q296" s="2" t="inlineStr">
        <is>
          <t>Softy Suedey Relaxed Short Sleeve BLK/BLK XS</t>
        </is>
      </c>
      <c r="R296" s="2" t="inlineStr">
        <is>
          <t>Black/Black</t>
        </is>
      </c>
      <c r="S296" s="2" t="inlineStr"/>
      <c r="T296" s="2" t="inlineStr">
        <is>
          <t>Women</t>
        </is>
      </c>
    </row>
    <row r="297" ht="80" customHeight="1">
      <c r="A297" s="3">
        <f>IMAGE("https://images.lululemon.com/is/image/lululemon/LW1EM6S_4780_1?wid=320&amp;op_usm=0.8",1)</f>
        <v/>
      </c>
      <c r="B297" s="3" t="inlineStr">
        <is>
          <t>Swiftly Tech Racerback Tank Top 2.0 *Waist Length</t>
        </is>
      </c>
      <c r="C297" s="3" t="inlineStr">
        <is>
          <t>124975232</t>
        </is>
      </c>
      <c r="D297" s="3" t="inlineStr">
        <is>
          <t>$58.00</t>
        </is>
      </c>
      <c r="E297" s="3" t="inlineStr">
        <is>
          <t>$29.00</t>
        </is>
      </c>
      <c r="F297" s="3">
        <f>IMAGE("https://images.lululemon.com/is/image/lululemon/4780",1)</f>
        <v/>
      </c>
      <c r="G297" s="3">
        <f>IMAGE("https://images.lululemon.com/is/image/lululemon/12826",1)</f>
        <v/>
      </c>
      <c r="H297" s="3">
        <f>IMAGE("https://images.lululemon.com/is/image/lululemon/39159",1)</f>
        <v/>
      </c>
      <c r="I297" s="3">
        <f>IMAGE("https://images.lululemon.com/is/image/lululemon/21861",1)</f>
        <v/>
      </c>
      <c r="J297" s="3">
        <f>IMAGE("https://images.lululemon.com/is/image/lululemon/33547",1)</f>
        <v/>
      </c>
      <c r="K297" s="3">
        <f>IMAGE("https://images.lululemon.com/is/image/lululemon/73074",1)</f>
        <v/>
      </c>
      <c r="L297" s="3" t="inlineStr">
        <is>
          <t>2, 4, 6, 8, 10, 12, 14, 16</t>
        </is>
      </c>
      <c r="M297" s="3" t="n">
        <v>5004</v>
      </c>
      <c r="N297" s="3" t="inlineStr">
        <is>
          <t>Go ahead, get sweaty. The Swiftly collection is all about high-performing fabric that seamlessly adapts to you and your workout.</t>
        </is>
      </c>
      <c r="O297" s="3" t="inlineStr">
        <is>
          <t>Swiftly-Tech-RB-2-Race</t>
        </is>
      </c>
      <c r="P297" s="3" t="inlineStr">
        <is>
          <t>Yes</t>
        </is>
      </c>
      <c r="Q297" s="3" t="inlineStr">
        <is>
          <t>Swiftly Tech Scoopneck Tank 2.0 *Race BLK/BLK 2</t>
        </is>
      </c>
      <c r="R297" s="3" t="inlineStr">
        <is>
          <t>Black/Black, White/White, Calypso Pink/Calypso Pink, Berry Rumble/Berry Rumble, Brilliant Blue/Brilliant Blue, Riverside/Riverside</t>
        </is>
      </c>
      <c r="S297" s="3" t="inlineStr"/>
      <c r="T297" s="3" t="inlineStr">
        <is>
          <t>Women</t>
        </is>
      </c>
    </row>
    <row r="298">
      <c r="A298" s="2" t="n"/>
      <c r="B298" s="2" t="inlineStr">
        <is>
          <t>Adapted State Thermal High-Rise Jogger</t>
        </is>
      </c>
      <c r="C298" s="2" t="inlineStr">
        <is>
          <t>158118940</t>
        </is>
      </c>
      <c r="D298" s="2" t="inlineStr">
        <is>
          <t>$148.00</t>
        </is>
      </c>
      <c r="E298" s="2" t="inlineStr">
        <is>
          <t>$74.00</t>
        </is>
      </c>
      <c r="F298" s="2" t="n"/>
      <c r="G298" s="2" t="n"/>
      <c r="H298" s="2" t="n"/>
      <c r="I298" s="2" t="n"/>
      <c r="J298" s="2" t="n"/>
      <c r="K298" s="2" t="n"/>
      <c r="L298" s="2" t="inlineStr">
        <is>
          <t>2</t>
        </is>
      </c>
      <c r="M298" s="2" t="n">
        <v>0</v>
      </c>
      <c r="N298" s="2" t="inlineStr">
        <is>
          <t>Think fast, stay warm. Made from technical thermal fabric, this version of our Adapted State jogger makes quick transitions cozier in cold weather.</t>
        </is>
      </c>
      <c r="O298" s="2" t="inlineStr">
        <is>
          <t>Adapted-State-Thermal-High-Rise-Jogger</t>
        </is>
      </c>
      <c r="P298" s="2" t="inlineStr">
        <is>
          <t>Yes</t>
        </is>
      </c>
      <c r="Q298" s="2" t="inlineStr">
        <is>
          <t>Adapted State Thermal HR Jogger BLK 2</t>
        </is>
      </c>
      <c r="R298" s="2" t="inlineStr">
        <is>
          <t>BLK - Black</t>
        </is>
      </c>
      <c r="S298" s="2" t="inlineStr">
        <is>
          <t>Athletic Pants</t>
        </is>
      </c>
      <c r="T298" s="2" t="inlineStr">
        <is>
          <t>Women</t>
        </is>
      </c>
    </row>
    <row r="299" ht="80" customHeight="1">
      <c r="A299" s="3">
        <f>IMAGE("https://images.lululemon.com/is/image/lululemon/LW4CA7S_0001_1?wid=320&amp;op_usm=0.8",1)</f>
        <v/>
      </c>
      <c r="B299" s="3" t="inlineStr">
        <is>
          <t>Women's Down for It All Jacket</t>
        </is>
      </c>
      <c r="C299" s="3" t="inlineStr">
        <is>
          <t>147175856</t>
        </is>
      </c>
      <c r="D299" s="3" t="inlineStr">
        <is>
          <t>$228.00</t>
        </is>
      </c>
      <c r="E299" s="3" t="inlineStr">
        <is>
          <t>$114.00</t>
        </is>
      </c>
      <c r="F299" s="3">
        <f>IMAGE("https://images.lululemon.com/is/image/lululemon/0001",1)</f>
        <v/>
      </c>
      <c r="G299" s="3">
        <f>IMAGE("https://images.lululemon.com/is/image/lululemon/36303",1)</f>
        <v/>
      </c>
      <c r="H299" s="3" t="n"/>
      <c r="I299" s="3" t="n"/>
      <c r="J299" s="3" t="n"/>
      <c r="K299" s="3" t="n"/>
      <c r="L299" s="3" t="inlineStr">
        <is>
          <t>2, 4, 6, 8, 10, 12, 14, 16, 18, 20</t>
        </is>
      </c>
      <c r="M299" s="3" t="n">
        <v>682</v>
      </c>
      <c r="N299" s="3" t="inlineStr">
        <is>
          <t>This jacket is fully loaded for running in cold weather. Zoned insulation holds warmth where you need it and stretchy fleece keeps you moving freely.</t>
        </is>
      </c>
      <c r="O299" s="3" t="inlineStr">
        <is>
          <t>Down-For-It-All-Hooded-Jacket</t>
        </is>
      </c>
      <c r="P299" s="3" t="inlineStr">
        <is>
          <t>Yes</t>
        </is>
      </c>
      <c r="Q299" s="3" t="inlineStr">
        <is>
          <t>Down for It All Jacket BLK 2</t>
        </is>
      </c>
      <c r="R299" s="3" t="inlineStr">
        <is>
          <t>Black, Jade Grey</t>
        </is>
      </c>
      <c r="S299" s="3" t="inlineStr">
        <is>
          <t>Athletic Jackets, Puffer Jackets</t>
        </is>
      </c>
      <c r="T299" s="3" t="inlineStr">
        <is>
          <t>Women</t>
        </is>
      </c>
    </row>
    <row r="300" ht="80" customHeight="1">
      <c r="A300" s="2">
        <f>IMAGE("https://images.lululemon.com/is/image/lululemon/LW3HM8S_033454_1?wid=320&amp;op_usm=0.8",1)</f>
        <v/>
      </c>
      <c r="B300" s="2" t="inlineStr">
        <is>
          <t>Softstreme Full-Zip Hoodie</t>
        </is>
      </c>
      <c r="C300" s="2" t="inlineStr">
        <is>
          <t>155853723</t>
        </is>
      </c>
      <c r="D300" s="2" t="inlineStr">
        <is>
          <t>$148.00</t>
        </is>
      </c>
      <c r="E300" s="2" t="inlineStr">
        <is>
          <t>$74.00</t>
        </is>
      </c>
      <c r="F300" s="2">
        <f>IMAGE("https://images.lululemon.com/is/image/lululemon/33454",1)</f>
        <v/>
      </c>
      <c r="G300" s="2">
        <f>IMAGE("https://images.lululemon.com/is/image/lululemon/20392",1)</f>
        <v/>
      </c>
      <c r="H300" s="2">
        <f>IMAGE("https://images.lululemon.com/is/image/lululemon/35487",1)</f>
        <v/>
      </c>
      <c r="I300" s="2">
        <f>IMAGE("https://images.lululemon.com/is/image/lululemon/71169",1)</f>
        <v/>
      </c>
      <c r="J300" s="2" t="n"/>
      <c r="K300" s="2" t="n"/>
      <c r="L300" s="2" t="inlineStr">
        <is>
          <t>2, 4, 6, 8, 10, 12, 14</t>
        </is>
      </c>
      <c r="M300" s="2" t="n">
        <v>5135</v>
      </c>
      <c r="N300" s="2" t="inlineStr">
        <is>
          <t>Lend some luxe to your weekend look. Feel-it-to-believe it Softstreme™ fabric brings slinky softness to this hoodie while the gathered bubble hem adds a playful pop of volume.</t>
        </is>
      </c>
      <c r="O300" s="2" t="inlineStr">
        <is>
          <t>Softstreme-Full-Zip-Hoodie</t>
        </is>
      </c>
      <c r="P300" s="2" t="inlineStr">
        <is>
          <t>Yes</t>
        </is>
      </c>
      <c r="Q300" s="2" t="inlineStr">
        <is>
          <t>Softstreme™ Full-Zip Hoodie LTIV 2</t>
        </is>
      </c>
      <c r="R300" s="2" t="inlineStr">
        <is>
          <t>Light Ivory, Mink Berry, Palm Deco, Red Clay</t>
        </is>
      </c>
      <c r="S300" s="2" t="inlineStr">
        <is>
          <t>Hoodies, Zip Up Sweatshirts</t>
        </is>
      </c>
      <c r="T300" s="2" t="inlineStr">
        <is>
          <t>Women</t>
        </is>
      </c>
    </row>
    <row r="301" ht="80" customHeight="1">
      <c r="A301" s="3">
        <f>IMAGE("https://images.lululemon.com/is/image/lululemon/LW1FGVS_0001_1?wid=320&amp;op_usm=0.8",1)</f>
        <v/>
      </c>
      <c r="B301" s="3" t="inlineStr">
        <is>
          <t>Sculpt Cropped Cross-Vent Tank Top</t>
        </is>
      </c>
      <c r="C301" s="3" t="inlineStr">
        <is>
          <t>157706868</t>
        </is>
      </c>
      <c r="D301" s="3" t="inlineStr">
        <is>
          <t>$58.00</t>
        </is>
      </c>
      <c r="E301" s="3" t="inlineStr">
        <is>
          <t>$29.00</t>
        </is>
      </c>
      <c r="F301" s="3">
        <f>IMAGE("https://images.lululemon.com/is/image/lululemon/0001",1)</f>
        <v/>
      </c>
      <c r="G301" s="3">
        <f>IMAGE("https://images.lululemon.com/is/image/lululemon/35486",1)</f>
        <v/>
      </c>
      <c r="H301" s="3">
        <f>IMAGE("https://images.lululemon.com/is/image/lululemon/35487",1)</f>
        <v/>
      </c>
      <c r="I301" s="3" t="n"/>
      <c r="J301" s="3" t="n"/>
      <c r="K301" s="3" t="n"/>
      <c r="L301" s="3" t="inlineStr">
        <is>
          <t>2, 4, 6, 8, 10, 12</t>
        </is>
      </c>
      <c r="M301" s="3" t="n">
        <v>864</v>
      </c>
      <c r="N301" s="3" t="inlineStr">
        <is>
          <t>Sprints anyone? This version of our Sculpt tank has mesh overlays and back cutouts for enhanced breathability in sweaty situations.</t>
        </is>
      </c>
      <c r="O301" s="3" t="inlineStr">
        <is>
          <t>Sculpt-Cropped-Cross-Vent-Tank-Top</t>
        </is>
      </c>
      <c r="P301" s="3" t="inlineStr">
        <is>
          <t>Yes</t>
        </is>
      </c>
      <c r="Q301" s="3" t="inlineStr">
        <is>
          <t>Sculpt Cropped Cross-Vent Tank BLK 2</t>
        </is>
      </c>
      <c r="R301" s="3" t="inlineStr">
        <is>
          <t>Black, Blissful Pink, Palm Deco</t>
        </is>
      </c>
      <c r="S301" s="3" t="inlineStr"/>
      <c r="T301" s="3" t="inlineStr">
        <is>
          <t>Women</t>
        </is>
      </c>
    </row>
    <row r="302" ht="80" customHeight="1">
      <c r="A302" s="2">
        <f>IMAGE("https://images.lululemon.com/is/image/lululemon/LW7AYYR_031382_1?wid=320&amp;op_usm=0.8",1)</f>
        <v/>
      </c>
      <c r="B302" s="2" t="inlineStr">
        <is>
          <t>Hotty Hot High-Rise Lined Short 2.5"</t>
        </is>
      </c>
      <c r="C302" s="2" t="inlineStr">
        <is>
          <t>132275364</t>
        </is>
      </c>
      <c r="D302" s="2" t="inlineStr">
        <is>
          <t>$68.00</t>
        </is>
      </c>
      <c r="E302" s="2" t="inlineStr">
        <is>
          <t>$34.00</t>
        </is>
      </c>
      <c r="F302" s="2">
        <f>IMAGE("https://images.lululemon.com/is/image/lululemon/31382",1)</f>
        <v/>
      </c>
      <c r="G302" s="2">
        <f>IMAGE("https://images.lululemon.com/is/image/lululemon/0001",1)</f>
        <v/>
      </c>
      <c r="H302" s="2">
        <f>IMAGE("https://images.lululemon.com/is/image/lululemon/0002",1)</f>
        <v/>
      </c>
      <c r="I302" s="2">
        <f>IMAGE("https://images.lululemon.com/is/image/lululemon/11297",1)</f>
        <v/>
      </c>
      <c r="J302" s="2" t="n"/>
      <c r="K302" s="2" t="n"/>
      <c r="L302" s="2" t="inlineStr">
        <is>
          <t>2, 4, 6, 8, 10, 12, 14, 16, 18, 20</t>
        </is>
      </c>
      <c r="M302" s="2" t="n">
        <v>6964</v>
      </c>
      <c r="N302" s="2" t="inlineStr">
        <is>
          <t>Max out that stride. We designed these run shorts with a little extra room so you can move freely.</t>
        </is>
      </c>
      <c r="O302" s="2" t="inlineStr">
        <is>
          <t>Hotty-Hot-Short-HR</t>
        </is>
      </c>
      <c r="P302" s="2" t="inlineStr">
        <is>
          <t>Yes</t>
        </is>
      </c>
      <c r="Q302" s="2" t="inlineStr">
        <is>
          <t>Hotty Hot HR Short 2.5" *Lined TRNV 2</t>
        </is>
      </c>
      <c r="R302" s="2" t="inlineStr">
        <is>
          <t>True Navy, Black, White, Cornflower</t>
        </is>
      </c>
      <c r="S302" s="2" t="inlineStr">
        <is>
          <t>Athletic Shorts, Liner Shorts, Track Shorts</t>
        </is>
      </c>
      <c r="T302" s="2" t="inlineStr">
        <is>
          <t>Women</t>
        </is>
      </c>
    </row>
    <row r="303" ht="80" customHeight="1">
      <c r="A303" s="3">
        <f>IMAGE("https://images.lululemon.com/is/image/lululemon/LW5HAOR_0001_1?wid=320&amp;op_usm=0.8",1)</f>
        <v/>
      </c>
      <c r="B303" s="3" t="inlineStr">
        <is>
          <t>Groove Nulu High-Rise Flared Pant *Regular</t>
        </is>
      </c>
      <c r="C303" s="3" t="inlineStr">
        <is>
          <t>155700541</t>
        </is>
      </c>
      <c r="D303" s="3" t="inlineStr">
        <is>
          <t>$118.00</t>
        </is>
      </c>
      <c r="E303" s="3" t="inlineStr">
        <is>
          <t>$59.00</t>
        </is>
      </c>
      <c r="F303" s="3">
        <f>IMAGE("https://images.lululemon.com/is/image/lululemon/0001",1)</f>
        <v/>
      </c>
      <c r="G303" s="3">
        <f>IMAGE("https://images.lululemon.com/is/image/lululemon/34697",1)</f>
        <v/>
      </c>
      <c r="H303" s="3" t="n"/>
      <c r="I303" s="3" t="n"/>
      <c r="J303" s="3" t="n"/>
      <c r="K303" s="3" t="n"/>
      <c r="L303" s="3" t="inlineStr">
        <is>
          <t>2, 4, 6, 8, 10, 12</t>
        </is>
      </c>
      <c r="M303" s="3" t="n">
        <v>246</v>
      </c>
      <c r="N303" s="3" t="inlineStr">
        <is>
          <t>Flowin' and groovin'. This version of our versatile buttery-soft yoga flares has a super-lightweight waistband inspired by our iconic Groove pant.</t>
        </is>
      </c>
      <c r="O303" s="3" t="inlineStr">
        <is>
          <t>Groove-Nulu-High-Rise-Flared-Pant-Regular</t>
        </is>
      </c>
      <c r="P303" s="3" t="inlineStr">
        <is>
          <t>Yes</t>
        </is>
      </c>
      <c r="Q303" s="3" t="inlineStr">
        <is>
          <t>Groove Nulu™ HR Flared Pant *Regular BLK 2</t>
        </is>
      </c>
      <c r="R303" s="3" t="inlineStr">
        <is>
          <t>Black, Black Plum</t>
        </is>
      </c>
      <c r="S303" s="3" t="inlineStr"/>
      <c r="T303" s="3" t="inlineStr">
        <is>
          <t>Women</t>
        </is>
      </c>
    </row>
    <row r="304" ht="80" customHeight="1">
      <c r="A304" s="2">
        <f>IMAGE("https://images.lululemon.com/is/image/lululemon/LU9AI6S_0001_1?wid=320&amp;op_usm=0.8",1)</f>
        <v/>
      </c>
      <c r="B304" s="2" t="inlineStr">
        <is>
          <t>Loop It Up Mat Strap</t>
        </is>
      </c>
      <c r="C304" s="2" t="inlineStr">
        <is>
          <t>123000131</t>
        </is>
      </c>
      <c r="D304" s="2" t="inlineStr">
        <is>
          <t>$24.00</t>
        </is>
      </c>
      <c r="E304" s="2" t="inlineStr">
        <is>
          <t>$12.00</t>
        </is>
      </c>
      <c r="F304" s="2">
        <f>IMAGE("https://images.lululemon.com/is/image/lululemon/0001",1)</f>
        <v/>
      </c>
      <c r="G304" s="2" t="n"/>
      <c r="H304" s="2" t="n"/>
      <c r="I304" s="2" t="n"/>
      <c r="J304" s="2" t="n"/>
      <c r="K304" s="2" t="n"/>
      <c r="L304" s="2" t="inlineStr">
        <is>
          <t>O/S</t>
        </is>
      </c>
      <c r="M304" s="2" t="n">
        <v>526</v>
      </c>
      <c r="N304" s="2" t="inlineStr">
        <is>
          <t>A no-fuss mat strap perfect for carrying, well, your mat. It doubles as a strap to help you stretch. How about that?</t>
        </is>
      </c>
      <c r="O304" s="2" t="inlineStr">
        <is>
          <t>Loop-It-Up-Mat-Strap-Cotton</t>
        </is>
      </c>
      <c r="P304" s="2" t="inlineStr">
        <is>
          <t>Yes</t>
        </is>
      </c>
      <c r="Q304" s="2" t="inlineStr">
        <is>
          <t>Loop It Up Mat Strap BLK ONE SIZE</t>
        </is>
      </c>
      <c r="R304" s="2" t="inlineStr">
        <is>
          <t>Black</t>
        </is>
      </c>
      <c r="S304" s="2" t="inlineStr">
        <is>
          <t>Mat Straps</t>
        </is>
      </c>
      <c r="T304" s="2" t="inlineStr">
        <is>
          <t>Women</t>
        </is>
      </c>
    </row>
    <row r="305" ht="80" customHeight="1">
      <c r="A305" s="3">
        <f>IMAGE("https://images.lululemon.com/is/image/lululemon/LW3HYAS_0001_1?wid=320&amp;op_usm=0.8",1)</f>
        <v/>
      </c>
      <c r="B305" s="3" t="inlineStr">
        <is>
          <t>It's Rulu Cropped Half Zip *Updated</t>
        </is>
      </c>
      <c r="C305" s="3" t="inlineStr">
        <is>
          <t>154831994</t>
        </is>
      </c>
      <c r="D305" s="3" t="inlineStr">
        <is>
          <t>$98.00</t>
        </is>
      </c>
      <c r="E305" s="3" t="inlineStr">
        <is>
          <t>$49.00</t>
        </is>
      </c>
      <c r="F305" s="3">
        <f>IMAGE("https://images.lululemon.com/is/image/lululemon/0001",1)</f>
        <v/>
      </c>
      <c r="G305" s="3">
        <f>IMAGE("https://images.lululemon.com/is/image/lululemon/0002",1)</f>
        <v/>
      </c>
      <c r="H305" s="3">
        <f>IMAGE("https://images.lululemon.com/is/image/lululemon/70108",1)</f>
        <v/>
      </c>
      <c r="I305" s="3">
        <f>IMAGE("https://images.lululemon.com/is/image/lululemon/28022",1)</f>
        <v/>
      </c>
      <c r="J305" s="3" t="n"/>
      <c r="K305" s="3" t="n"/>
      <c r="L305" s="3" t="inlineStr">
        <is>
          <t>XXS, XS, S, M, L, XL</t>
        </is>
      </c>
      <c r="M305" s="3" t="n">
        <v>1289</v>
      </c>
      <c r="N305" s="3" t="inlineStr">
        <is>
          <t>Warm up to cold-weather workouts. This soft half zip wicks away sweat so you can stay comfortable when the temperature drops.</t>
        </is>
      </c>
      <c r="O305" s="3" t="inlineStr">
        <is>
          <t>Its-Rulu-Cropped-Half-Zip-Updated</t>
        </is>
      </c>
      <c r="P305" s="3" t="inlineStr">
        <is>
          <t>Yes</t>
        </is>
      </c>
      <c r="Q305" s="3" t="inlineStr">
        <is>
          <t>It's Rulu Cropped Half Zip BLK XXS</t>
        </is>
      </c>
      <c r="R305" s="3" t="inlineStr">
        <is>
          <t>Black, White, Warm Ash Grey, Indochine Blue</t>
        </is>
      </c>
      <c r="S305" s="3" t="inlineStr">
        <is>
          <t>Half Zip Sweatshirts, Base Layers, Quarter Zip Sweatshirts</t>
        </is>
      </c>
      <c r="T305" s="3" t="inlineStr">
        <is>
          <t>Women</t>
        </is>
      </c>
    </row>
    <row r="306" ht="80" customHeight="1">
      <c r="A306" s="2">
        <f>IMAGE("https://images.lululemon.com/is/image/lululemon/LU9AZ3S_0002_1?wid=320&amp;op_usm=0.8",1)</f>
        <v/>
      </c>
      <c r="B306" s="2" t="inlineStr">
        <is>
          <t>Everywhere Belt Bag 1L</t>
        </is>
      </c>
      <c r="C306" s="2" t="inlineStr">
        <is>
          <t>143483266</t>
        </is>
      </c>
      <c r="D306" s="2" t="inlineStr">
        <is>
          <t>$38.00</t>
        </is>
      </c>
      <c r="E306" s="2" t="inlineStr">
        <is>
          <t>$19.00</t>
        </is>
      </c>
      <c r="F306" s="2">
        <f>IMAGE("https://images.lululemon.com/is/image/lululemon/0002",1)</f>
        <v/>
      </c>
      <c r="G306" s="2">
        <f>IMAGE("https://images.lululemon.com/is/image/lululemon/31382",1)</f>
        <v/>
      </c>
      <c r="H306" s="2">
        <f>IMAGE("https://images.lululemon.com/is/image/lululemon/4780",1)</f>
        <v/>
      </c>
      <c r="I306" s="2">
        <f>IMAGE("https://images.lululemon.com/is/image/lululemon/62220",1)</f>
        <v/>
      </c>
      <c r="J306" s="2">
        <f>IMAGE("https://images.lululemon.com/is/image/lululemon/25461",1)</f>
        <v/>
      </c>
      <c r="K306" s="2">
        <f>IMAGE("https://images.lululemon.com/is/image/lululemon/62468",1)</f>
        <v/>
      </c>
      <c r="L306" s="2" t="inlineStr">
        <is>
          <t>O/S</t>
        </is>
      </c>
      <c r="M306" s="2" t="n">
        <v>17813</v>
      </c>
      <c r="N306" s="2" t="inlineStr">
        <is>
          <t>Phone, keys, wallet. Keep them close in this versatile belt bag that helps you get out the door and on to your next adventure.</t>
        </is>
      </c>
      <c r="O306" s="2" t="inlineStr">
        <is>
          <t>Everywhere-Belt-Bag</t>
        </is>
      </c>
      <c r="P306" s="2" t="inlineStr">
        <is>
          <t>Yes</t>
        </is>
      </c>
      <c r="Q306" s="2" t="inlineStr">
        <is>
          <t>Everywhere Belt Bag WHT ONE SIZE</t>
        </is>
      </c>
      <c r="R306" s="2" t="inlineStr">
        <is>
          <t>White, True Navy, Black/Black, Raspberry coulis, Pool Party, Raceway Green, Light Ivory, Serene Blue, Bay Leaf, Lululemon Red, Rainforest Green, Berry Rumble, Warm Ash Grey</t>
        </is>
      </c>
      <c r="S306" s="2" t="inlineStr">
        <is>
          <t>Belt Bags, Crossbody Bags</t>
        </is>
      </c>
      <c r="T306" s="2" t="inlineStr">
        <is>
          <t>Women</t>
        </is>
      </c>
    </row>
    <row r="307" ht="80" customHeight="1">
      <c r="A307" s="3">
        <f>IMAGE("https://images.lululemon.com/is/image/lululemon/LW3JCKS_0001_1?wid=320&amp;op_usm=0.8",1)</f>
        <v/>
      </c>
      <c r="B307" s="3" t="inlineStr">
        <is>
          <t>Define Track Jacket *Luon</t>
        </is>
      </c>
      <c r="C307" s="3" t="inlineStr">
        <is>
          <t>157678568</t>
        </is>
      </c>
      <c r="D307" s="3" t="inlineStr">
        <is>
          <t>$138.00</t>
        </is>
      </c>
      <c r="E307" s="3" t="inlineStr">
        <is>
          <t>$69.00</t>
        </is>
      </c>
      <c r="F307" s="3">
        <f>IMAGE("https://images.lululemon.com/is/image/lululemon/0001",1)</f>
        <v/>
      </c>
      <c r="G307" s="3" t="n"/>
      <c r="H307" s="3" t="n"/>
      <c r="I307" s="3" t="n"/>
      <c r="J307" s="3" t="n"/>
      <c r="K307" s="3" t="n"/>
      <c r="L307" s="3" t="inlineStr">
        <is>
          <t>0, 2, 4, 6, 8, 10</t>
        </is>
      </c>
      <c r="M307" s="3" t="n">
        <v>302</v>
      </c>
      <c r="N307" s="3" t="inlineStr">
        <is>
          <t>Track suiting, redefined. Iconic seam lines and a classic fit make this jacket a natural extension of our Define Collection.</t>
        </is>
      </c>
      <c r="O307" s="3" t="inlineStr">
        <is>
          <t>Define-Track-Jacket-Luon</t>
        </is>
      </c>
      <c r="P307" s="3" t="inlineStr">
        <is>
          <t>Yes</t>
        </is>
      </c>
      <c r="Q307" s="3" t="inlineStr">
        <is>
          <t>Define Track Jacket *Luon™ BLK 0</t>
        </is>
      </c>
      <c r="R307" s="3" t="inlineStr">
        <is>
          <t>Black</t>
        </is>
      </c>
      <c r="S307" s="3" t="inlineStr">
        <is>
          <t>Athletic Jackets, Zip Up Sweatshirts, Track Jackets</t>
        </is>
      </c>
      <c r="T307" s="3" t="inlineStr">
        <is>
          <t>Women</t>
        </is>
      </c>
    </row>
    <row r="308" ht="80" customHeight="1">
      <c r="A308" s="2">
        <f>IMAGE("https://images.lululemon.com/is/image/lululemon/LW1ETYS_032664_1?wid=320&amp;op_usm=0.8",1)</f>
        <v/>
      </c>
      <c r="B308" s="2" t="inlineStr">
        <is>
          <t>Swiftly Tech Racerback Tank Top 2.0 *Hip Length</t>
        </is>
      </c>
      <c r="C308" s="2" t="inlineStr">
        <is>
          <t>117225913</t>
        </is>
      </c>
      <c r="D308" s="2" t="inlineStr">
        <is>
          <t>$39.00</t>
        </is>
      </c>
      <c r="E308" s="2" t="inlineStr">
        <is>
          <t>$19.50</t>
        </is>
      </c>
      <c r="F308" s="2">
        <f>IMAGE("https://images.lululemon.com/is/image/lululemon/32664",1)</f>
        <v/>
      </c>
      <c r="G308" s="2">
        <f>IMAGE("https://images.lululemon.com/is/image/lululemon/0572",1)</f>
        <v/>
      </c>
      <c r="H308" s="2">
        <f>IMAGE("https://images.lululemon.com/is/image/lululemon/4780",1)</f>
        <v/>
      </c>
      <c r="I308" s="2">
        <f>IMAGE("https://images.lululemon.com/is/image/lululemon/12826",1)</f>
        <v/>
      </c>
      <c r="J308" s="2">
        <f>IMAGE("https://images.lululemon.com/is/image/lululemon/71174",1)</f>
        <v/>
      </c>
      <c r="K308" s="2" t="n"/>
      <c r="L308" s="2" t="inlineStr">
        <is>
          <t>0, 2, 4, 6, 8, 10, 12, 14, 16, 18, 20</t>
        </is>
      </c>
      <c r="M308" s="2" t="n">
        <v>8715</v>
      </c>
      <c r="N308" s="2" t="inlineStr">
        <is>
          <t>Go ahead, get sweaty. The Swiftly collection is all about high-performing fabric that seamlessly adapts to you and your workout.</t>
        </is>
      </c>
      <c r="O308" s="2" t="inlineStr">
        <is>
          <t>Swiftly-Tech-Racerback-2</t>
        </is>
      </c>
      <c r="P308" s="2" t="inlineStr">
        <is>
          <t>Yes</t>
        </is>
      </c>
      <c r="Q308" s="2" t="inlineStr">
        <is>
          <t>Swiftly Tech Scoopneck Tank 2.0 SLTE/WHT 0</t>
        </is>
      </c>
      <c r="R308" s="2" t="inlineStr">
        <is>
          <t>True Navy/True Navy, Slate/White, Black/Black, White/White, Pink Frosting/Pink Frosting</t>
        </is>
      </c>
      <c r="S308" s="2" t="inlineStr"/>
      <c r="T308" s="2" t="inlineStr">
        <is>
          <t>Women</t>
        </is>
      </c>
    </row>
    <row r="309" ht="80" customHeight="1">
      <c r="A309" s="3">
        <f>IMAGE("https://images.lululemon.com/is/image/lululemon/LW2AUYS_0001_1?wid=320&amp;op_usm=0.8",1)</f>
        <v/>
      </c>
      <c r="B309" s="3" t="inlineStr">
        <is>
          <t>lululemon Energy Longline Bra *Medium Support, B–D Cups</t>
        </is>
      </c>
      <c r="C309" s="3" t="inlineStr">
        <is>
          <t>153026996</t>
        </is>
      </c>
      <c r="D309" s="3" t="inlineStr">
        <is>
          <t>$68.00</t>
        </is>
      </c>
      <c r="E309" s="3" t="inlineStr">
        <is>
          <t>$34.00</t>
        </is>
      </c>
      <c r="F309" s="3">
        <f>IMAGE("https://images.lululemon.com/is/image/lululemon/0001",1)</f>
        <v/>
      </c>
      <c r="G309" s="3" t="n"/>
      <c r="H309" s="3" t="n"/>
      <c r="I309" s="3" t="n"/>
      <c r="J309" s="3" t="n"/>
      <c r="K309" s="3" t="n"/>
      <c r="L309" s="3" t="inlineStr">
        <is>
          <t>2, 4, 6, 8</t>
        </is>
      </c>
      <c r="M309" s="3" t="n">
        <v>1596</v>
      </c>
      <c r="N309" s="3" t="inlineStr">
        <is>
          <t>Voted most likely to be worn multiple times a week. This all-sport bra is a favourite for comfort and versatility.</t>
        </is>
      </c>
      <c r="O309" s="3" t="inlineStr">
        <is>
          <t>Energy-Bra-Long-Line</t>
        </is>
      </c>
      <c r="P309" s="3" t="inlineStr">
        <is>
          <t>Yes</t>
        </is>
      </c>
      <c r="Q309" s="3" t="inlineStr">
        <is>
          <t>lululemon Energy Longline Bra BLK 2</t>
        </is>
      </c>
      <c r="R309" s="3" t="inlineStr">
        <is>
          <t>Black</t>
        </is>
      </c>
      <c r="S309" s="3" t="inlineStr">
        <is>
          <t>Strappy Bras, Longline Bras, Racerback Bras</t>
        </is>
      </c>
      <c r="T309" s="3" t="inlineStr">
        <is>
          <t>Women</t>
        </is>
      </c>
    </row>
    <row r="310" ht="80" customHeight="1">
      <c r="A310" s="2">
        <f>IMAGE("https://images.lululemon.com/is/image/lululemon/LW1EWXS_041850_1?wid=320&amp;op_usm=0.8",1)</f>
        <v/>
      </c>
      <c r="B310" s="2" t="inlineStr">
        <is>
          <t>Softy Suedey Crewneck Cropped Tank Top</t>
        </is>
      </c>
      <c r="C310" s="2" t="inlineStr">
        <is>
          <t>157717663</t>
        </is>
      </c>
      <c r="D310" s="2" t="inlineStr">
        <is>
          <t>$58.00</t>
        </is>
      </c>
      <c r="E310" s="2" t="inlineStr">
        <is>
          <t>$29.00</t>
        </is>
      </c>
      <c r="F310" s="2">
        <f>IMAGE("https://images.lululemon.com/is/image/lululemon/41850",1)</f>
        <v/>
      </c>
      <c r="G310" s="2">
        <f>IMAGE("https://images.lululemon.com/is/image/lululemon/4780",1)</f>
        <v/>
      </c>
      <c r="H310" s="2" t="n"/>
      <c r="I310" s="2" t="n"/>
      <c r="J310" s="2" t="n"/>
      <c r="K310" s="2" t="n"/>
      <c r="L310" s="2" t="inlineStr">
        <is>
          <t>2, 4, 6, 8, 10, 12</t>
        </is>
      </c>
      <c r="M310" s="2" t="n">
        <v>266</v>
      </c>
      <c r="N310" s="2" t="inlineStr">
        <is>
          <t>Calling in cozy. This tank top is made from a sueded performance fabric that's warm and comforting when it's chilly out.</t>
        </is>
      </c>
      <c r="O310" s="2" t="inlineStr">
        <is>
          <t>Softy-Suedey-Crewneck-Cropped-Tank-Top</t>
        </is>
      </c>
      <c r="P310" s="2" t="inlineStr">
        <is>
          <t>Yes</t>
        </is>
      </c>
      <c r="Q310" s="2" t="inlineStr">
        <is>
          <t>Softy Suedey Crewneck Cropped Tank 12GI 2</t>
        </is>
      </c>
      <c r="R310" s="2" t="inlineStr">
        <is>
          <t>Palm Deco/Palm Deco, Black/Black</t>
        </is>
      </c>
      <c r="S310" s="2" t="inlineStr"/>
      <c r="T310" s="2" t="inlineStr">
        <is>
          <t>Women</t>
        </is>
      </c>
    </row>
    <row r="311" ht="80" customHeight="1">
      <c r="A311" s="3">
        <f>IMAGE("https://images.lululemon.com/is/image/lululemon/LU9CRIS_0001_1?wid=320&amp;op_usm=0.8",1)</f>
        <v/>
      </c>
      <c r="B311" s="3" t="inlineStr">
        <is>
          <t>Warm Revelation Beanie</t>
        </is>
      </c>
      <c r="C311" s="3" t="inlineStr">
        <is>
          <t>157702454</t>
        </is>
      </c>
      <c r="D311" s="3" t="inlineStr">
        <is>
          <t>$48.00</t>
        </is>
      </c>
      <c r="E311" s="3" t="inlineStr">
        <is>
          <t>$24.00</t>
        </is>
      </c>
      <c r="F311" s="3">
        <f>IMAGE("https://images.lululemon.com/is/image/lululemon/0001",1)</f>
        <v/>
      </c>
      <c r="G311" s="3">
        <f>IMAGE("https://images.lululemon.com/is/image/lululemon/28022",1)</f>
        <v/>
      </c>
      <c r="H311" s="3">
        <f>IMAGE("https://images.lululemon.com/is/image/lululemon/70144",1)</f>
        <v/>
      </c>
      <c r="I311" s="3" t="n"/>
      <c r="J311" s="3" t="n"/>
      <c r="K311" s="3" t="n"/>
      <c r="L311" s="3" t="inlineStr">
        <is>
          <t>O/S</t>
        </is>
      </c>
      <c r="M311" s="3" t="n">
        <v>993</v>
      </c>
      <c r="N311" s="3" t="inlineStr">
        <is>
          <t>Pop on this merino wool-blend beanie when the temperature drops to help keep you cozy on chilly days.</t>
        </is>
      </c>
      <c r="O311" s="3" t="inlineStr">
        <is>
          <t>Warm-Revelation-Beanie</t>
        </is>
      </c>
      <c r="P311" s="3" t="inlineStr">
        <is>
          <t>Yes</t>
        </is>
      </c>
      <c r="Q311" s="3" t="inlineStr">
        <is>
          <t>Warm Revelation Beanie BLK ONE SIZE</t>
        </is>
      </c>
      <c r="R311" s="3" t="inlineStr">
        <is>
          <t>Black, Indochine Blue, Fog Green</t>
        </is>
      </c>
      <c r="S311" s="3" t="inlineStr">
        <is>
          <t>Beanies</t>
        </is>
      </c>
      <c r="T311" s="3" t="inlineStr">
        <is>
          <t>Women</t>
        </is>
      </c>
    </row>
    <row r="312" ht="80" customHeight="1">
      <c r="A312" s="2">
        <f>IMAGE("https://images.lululemon.com/is/image/lululemon/LW1FSCS_069502_1?wid=320&amp;op_usm=0.8",1)</f>
        <v/>
      </c>
      <c r="B312" s="2" t="inlineStr">
        <is>
          <t>Scoop-Neck Cutout Tennis Tank Top *Medium Support, B/C Cup</t>
        </is>
      </c>
      <c r="C312" s="2" t="inlineStr">
        <is>
          <t>157706905</t>
        </is>
      </c>
      <c r="D312" s="2" t="inlineStr">
        <is>
          <t>$68.00</t>
        </is>
      </c>
      <c r="E312" s="2" t="inlineStr">
        <is>
          <t>$34.00</t>
        </is>
      </c>
      <c r="F312" s="2">
        <f>IMAGE("https://images.lululemon.com/is/image/lululemon/69502",1)</f>
        <v/>
      </c>
      <c r="G312" s="2" t="n"/>
      <c r="H312" s="2" t="n"/>
      <c r="I312" s="2" t="n"/>
      <c r="J312" s="2" t="n"/>
      <c r="K312" s="2" t="n"/>
      <c r="L312" s="2" t="inlineStr">
        <is>
          <t>XS, S, M, L, XL</t>
        </is>
      </c>
      <c r="M312" s="2" t="n">
        <v>216</v>
      </c>
      <c r="N312" s="2" t="inlineStr">
        <is>
          <t>Advantage: this supportive tennis tank. It's made from stretchy, sweat-wicking fabric and features an open back that encourages airflow and extra style points.</t>
        </is>
      </c>
      <c r="O312" s="2" t="inlineStr">
        <is>
          <t>Scoop-Neck-Cutout-Tennis-Tank-Top-Medium-Supp-BC</t>
        </is>
      </c>
      <c r="P312" s="2" t="inlineStr">
        <is>
          <t>Yes</t>
        </is>
      </c>
      <c r="Q312" s="2" t="inlineStr">
        <is>
          <t>Scoop-Neck Cutout Tennis Tank WHT/CLBL XS</t>
        </is>
      </c>
      <c r="R312" s="2" t="inlineStr">
        <is>
          <t>White/Club Blue</t>
        </is>
      </c>
      <c r="S312" s="2" t="inlineStr"/>
      <c r="T312" s="2" t="inlineStr">
        <is>
          <t>Women</t>
        </is>
      </c>
    </row>
    <row r="313" ht="80" customHeight="1">
      <c r="A313" s="3">
        <f>IMAGE("https://images.lululemon.com/is/image/lululemon/LW3JA7S_0001_1?wid=320&amp;op_usm=0.8",1)</f>
        <v/>
      </c>
      <c r="B313" s="3" t="inlineStr">
        <is>
          <t>Hold Tight Straight Hem Cropped T-Shirt</t>
        </is>
      </c>
      <c r="C313" s="3" t="inlineStr">
        <is>
          <t>157688004</t>
        </is>
      </c>
      <c r="D313" s="3" t="inlineStr">
        <is>
          <t>$58.00</t>
        </is>
      </c>
      <c r="E313" s="3" t="inlineStr">
        <is>
          <t>$29.00</t>
        </is>
      </c>
      <c r="F313" s="3">
        <f>IMAGE("https://images.lululemon.com/is/image/lululemon/0001",1)</f>
        <v/>
      </c>
      <c r="G313" s="3" t="n"/>
      <c r="H313" s="3" t="n"/>
      <c r="I313" s="3" t="n"/>
      <c r="J313" s="3" t="n"/>
      <c r="K313" s="3" t="n"/>
      <c r="L313" s="3" t="inlineStr">
        <is>
          <t>2, 4, 6, 8, 10, 12</t>
        </is>
      </c>
      <c r="M313" s="3" t="n">
        <v>247</v>
      </c>
      <c r="N313" s="3" t="inlineStr">
        <is>
          <t>This lightweight everyday top has just the right softness, just the right stretch, and a snug fit that feels like a second skin.</t>
        </is>
      </c>
      <c r="O313" s="3" t="inlineStr">
        <is>
          <t>Hold-Tight-Straight-Hem-Cropped-T-Shirt</t>
        </is>
      </c>
      <c r="P313" s="3" t="inlineStr">
        <is>
          <t>Yes</t>
        </is>
      </c>
      <c r="Q313" s="3" t="inlineStr">
        <is>
          <t>Hold Tight Straight-Hem Cropped T-Shirt BLK 2</t>
        </is>
      </c>
      <c r="R313" s="3" t="inlineStr">
        <is>
          <t>Black</t>
        </is>
      </c>
      <c r="S313" s="3" t="inlineStr"/>
      <c r="T313" s="3" t="inlineStr">
        <is>
          <t>Women</t>
        </is>
      </c>
    </row>
    <row r="314" ht="80" customHeight="1">
      <c r="A314" s="2">
        <f>IMAGE("https://images.lululemon.com/is/image/lululemon/LW3JO3S_031382_1?wid=320&amp;op_usm=0.8",1)</f>
        <v/>
      </c>
      <c r="B314" s="2" t="inlineStr">
        <is>
          <t>Softstreme Half-Zip *Long</t>
        </is>
      </c>
      <c r="C314" s="2" t="inlineStr">
        <is>
          <t>158095450</t>
        </is>
      </c>
      <c r="D314" s="2" t="inlineStr">
        <is>
          <t>$138.00</t>
        </is>
      </c>
      <c r="E314" s="2" t="inlineStr">
        <is>
          <t>$69.00</t>
        </is>
      </c>
      <c r="F314" s="2">
        <f>IMAGE("https://images.lululemon.com/is/image/lululemon/31382",1)</f>
        <v/>
      </c>
      <c r="G314" s="2" t="n"/>
      <c r="H314" s="2" t="n"/>
      <c r="I314" s="2" t="n"/>
      <c r="J314" s="2" t="n"/>
      <c r="K314" s="2" t="n"/>
      <c r="L314" s="2" t="inlineStr">
        <is>
          <t>XS, S, M, L, XL</t>
        </is>
      </c>
      <c r="M314" s="2" t="n">
        <v>571</v>
      </c>
      <c r="N314" s="2" t="inlineStr">
        <is>
          <t>Transition from workout class to coffee shop in comfort. This oversized half zip is a little longer in the back for coverage and has a cinchable hem to adjust the look and length.</t>
        </is>
      </c>
      <c r="O314" s="2" t="inlineStr">
        <is>
          <t>Softstreme-Half-Zip-Hoodie</t>
        </is>
      </c>
      <c r="P314" s="2" t="inlineStr">
        <is>
          <t>Yes</t>
        </is>
      </c>
      <c r="Q314" s="2" t="inlineStr">
        <is>
          <t>Softstreme™ Long Half Zip TRNV XS</t>
        </is>
      </c>
      <c r="R314" s="2" t="inlineStr">
        <is>
          <t>True Navy</t>
        </is>
      </c>
      <c r="S314" s="2" t="inlineStr">
        <is>
          <t>Half Zip Sweatshirts, Quarter Zip Sweatshirts</t>
        </is>
      </c>
      <c r="T314" s="2" t="inlineStr">
        <is>
          <t>Women</t>
        </is>
      </c>
    </row>
    <row r="315" ht="80" customHeight="1">
      <c r="A315" s="3">
        <f>IMAGE("https://images.lululemon.com/is/image/lululemon/LW2EJ3S_019295_1?wid=320&amp;op_usm=0.8",1)</f>
        <v/>
      </c>
      <c r="B315" s="3" t="inlineStr">
        <is>
          <t>Flow Y Mid-Support Bra Logo *B/C Cup</t>
        </is>
      </c>
      <c r="C315" s="3" t="inlineStr">
        <is>
          <t>157680995</t>
        </is>
      </c>
      <c r="D315" s="3" t="inlineStr">
        <is>
          <t>$58.00</t>
        </is>
      </c>
      <c r="E315" s="3" t="inlineStr">
        <is>
          <t>$29.00</t>
        </is>
      </c>
      <c r="F315" s="3">
        <f>IMAGE("https://images.lululemon.com/is/image/lululemon/19295",1)</f>
        <v/>
      </c>
      <c r="G315" s="3" t="n"/>
      <c r="H315" s="3" t="n"/>
      <c r="I315" s="3" t="n"/>
      <c r="J315" s="3" t="n"/>
      <c r="K315" s="3" t="n"/>
      <c r="L315" s="3" t="inlineStr">
        <is>
          <t>2</t>
        </is>
      </c>
      <c r="M315" s="3" t="n">
        <v>4</v>
      </c>
      <c r="N315" s="3" t="inlineStr">
        <is>
          <t>Delicate details, powerful performance. Inspired by the look of our fan-favourite Flow Y bra, we designed this sports bra with supportive construction for dynamic movement.</t>
        </is>
      </c>
      <c r="O315" s="3" t="inlineStr">
        <is>
          <t>Flow-Y-Mid-Support-Bra-Logo-BC-Cup</t>
        </is>
      </c>
      <c r="P315" s="3" t="inlineStr">
        <is>
          <t>Yes</t>
        </is>
      </c>
      <c r="Q315" s="3" t="inlineStr">
        <is>
          <t>Flow Y Mid-Support Bra *Logo LURD 2</t>
        </is>
      </c>
      <c r="R315" s="3" t="inlineStr">
        <is>
          <t>Lululemon Red</t>
        </is>
      </c>
      <c r="S315" s="3" t="inlineStr">
        <is>
          <t>Racerback Bras</t>
        </is>
      </c>
      <c r="T315" s="3" t="inlineStr">
        <is>
          <t>Women</t>
        </is>
      </c>
    </row>
    <row r="316" ht="80" customHeight="1">
      <c r="A316" s="2">
        <f>IMAGE("https://images.lululemon.com/is/image/lululemon/LW6CP2S_031382_1?wid=320&amp;op_usm=0.8",1)</f>
        <v/>
      </c>
      <c r="B316" s="2" t="inlineStr">
        <is>
          <t>Fast and Free High-Rise Crop 19" *5 Pocket</t>
        </is>
      </c>
      <c r="C316" s="2" t="inlineStr">
        <is>
          <t>151675289</t>
        </is>
      </c>
      <c r="D316" s="2" t="inlineStr">
        <is>
          <t>$118.00</t>
        </is>
      </c>
      <c r="E316" s="2" t="inlineStr">
        <is>
          <t>$59.00</t>
        </is>
      </c>
      <c r="F316" s="2">
        <f>IMAGE("https://images.lululemon.com/is/image/lululemon/31382",1)</f>
        <v/>
      </c>
      <c r="G316" s="2">
        <f>IMAGE("https://images.lululemon.com/is/image/lululemon/0001",1)</f>
        <v/>
      </c>
      <c r="H316" s="2" t="n"/>
      <c r="I316" s="2" t="n"/>
      <c r="J316" s="2" t="n"/>
      <c r="K316" s="2" t="n"/>
      <c r="L316" s="2" t="inlineStr">
        <is>
          <t>2, 4, 6, 8, 10, 12</t>
        </is>
      </c>
      <c r="M316" s="2" t="n">
        <v>970</v>
      </c>
      <c r="N316" s="2" t="inlineStr">
        <is>
          <t>Set your run free. This five-pocket version of our Fast and Free crop has seam-free inner thighs and a streamlined waistband to maximize that smooth, weightless feeling.</t>
        </is>
      </c>
      <c r="O316" s="2" t="inlineStr">
        <is>
          <t>Nulux-5-Pckt-Reflective-HR-Run-Crop-19</t>
        </is>
      </c>
      <c r="P316" s="2" t="inlineStr">
        <is>
          <t>Yes</t>
        </is>
      </c>
      <c r="Q316" s="2" t="inlineStr">
        <is>
          <t>Fast and Free HR Crop 19" *Pockets TRNV 2</t>
        </is>
      </c>
      <c r="R316" s="2" t="inlineStr">
        <is>
          <t>True Navy, Black</t>
        </is>
      </c>
      <c r="S316" s="2" t="inlineStr"/>
      <c r="T316" s="2" t="inlineStr">
        <is>
          <t>Women</t>
        </is>
      </c>
    </row>
    <row r="317" ht="80" customHeight="1">
      <c r="A317" s="3">
        <f>IMAGE("https://images.lululemon.com/is/image/lululemon/LW5HVSS_033454_1?wid=320&amp;op_usm=0.8",1)</f>
        <v/>
      </c>
      <c r="B317" s="3" t="inlineStr">
        <is>
          <t>Softstreme Classic-Fit High-Rise Jogger</t>
        </is>
      </c>
      <c r="C317" s="3" t="inlineStr">
        <is>
          <t>157684123</t>
        </is>
      </c>
      <c r="D317" s="3" t="inlineStr">
        <is>
          <t>$128.00</t>
        </is>
      </c>
      <c r="E317" s="3" t="inlineStr">
        <is>
          <t>$64.00</t>
        </is>
      </c>
      <c r="F317" s="3">
        <f>IMAGE("https://images.lululemon.com/is/image/lululemon/33454",1)</f>
        <v/>
      </c>
      <c r="G317" s="3">
        <f>IMAGE("https://images.lululemon.com/is/image/lululemon/0001",1)</f>
        <v/>
      </c>
      <c r="H317" s="3" t="n"/>
      <c r="I317" s="3" t="n"/>
      <c r="J317" s="3" t="n"/>
      <c r="K317" s="3" t="n"/>
      <c r="L317" s="3" t="inlineStr">
        <is>
          <t>XS, S, M, L, XL</t>
        </is>
      </c>
      <c r="M317" s="3" t="n">
        <v>728</v>
      </c>
      <c r="N317" s="3" t="inlineStr">
        <is>
          <t>Tailored look, lounge feel. These peach-fuzz soft joggers bring pajama-level comfort while front and back pintucks make them easy to dress up.</t>
        </is>
      </c>
      <c r="O317" s="3" t="inlineStr">
        <is>
          <t>Softstreme-Classic-Fit-High-Rise-Jogger</t>
        </is>
      </c>
      <c r="P317" s="3" t="inlineStr">
        <is>
          <t>Yes</t>
        </is>
      </c>
      <c r="Q317" s="3" t="inlineStr">
        <is>
          <t>Softstreme™ Classic-Fit High-Rise Jogger LTIV XS</t>
        </is>
      </c>
      <c r="R317" s="3" t="inlineStr">
        <is>
          <t>Light Ivory, Black</t>
        </is>
      </c>
      <c r="S317" s="3" t="inlineStr"/>
      <c r="T317" s="3" t="inlineStr">
        <is>
          <t>Women</t>
        </is>
      </c>
    </row>
    <row r="318" ht="80" customHeight="1">
      <c r="A318" s="2">
        <f>IMAGE("https://images.lululemon.com/is/image/lululemon/LW3JCVS_043639_1?wid=320&amp;op_usm=0.8",1)</f>
        <v/>
      </c>
      <c r="B318" s="2" t="inlineStr">
        <is>
          <t>Scuba Oversized Full-Zip Hoodie *Waffle</t>
        </is>
      </c>
      <c r="C318" s="2" t="inlineStr">
        <is>
          <t>157689027</t>
        </is>
      </c>
      <c r="D318" s="2" t="inlineStr">
        <is>
          <t>$148.00</t>
        </is>
      </c>
      <c r="E318" s="2" t="inlineStr">
        <is>
          <t>$74.00</t>
        </is>
      </c>
      <c r="F318" s="2">
        <f>IMAGE("https://images.lululemon.com/is/image/lululemon/43639",1)</f>
        <v/>
      </c>
      <c r="G318" s="2">
        <f>IMAGE("https://images.lululemon.com/is/image/lululemon/36168",1)</f>
        <v/>
      </c>
      <c r="H318" s="2" t="n"/>
      <c r="I318" s="2" t="n"/>
      <c r="J318" s="2" t="n"/>
      <c r="K318" s="2" t="n"/>
      <c r="L318" s="2" t="inlineStr">
        <is>
          <t>XS/S, M/L, XL/XXL</t>
        </is>
      </c>
      <c r="M318" s="2" t="n">
        <v>1676</v>
      </c>
      <c r="N318" s="2" t="inlineStr">
        <is>
          <t>Our signature hoodie with a textured twist. A rich, waffle-knit fabric adds depth and softness to your downtime.</t>
        </is>
      </c>
      <c r="O318" s="2" t="inlineStr">
        <is>
          <t>Scuba-Oversized-Full-Zip-Hoodie-Waffle</t>
        </is>
      </c>
      <c r="P318" s="2" t="inlineStr">
        <is>
          <t>Yes</t>
        </is>
      </c>
      <c r="Q318" s="2" t="inlineStr">
        <is>
          <t>Scuba Oversized Full-Zip Hoodie *Waffle HTGR XS/S</t>
        </is>
      </c>
      <c r="R318" s="2" t="inlineStr">
        <is>
          <t>Heathered Graphite Grey, Heathered Light Ivory</t>
        </is>
      </c>
      <c r="S318" s="2" t="inlineStr">
        <is>
          <t>Hoodies, Zip Up Sweatshirts</t>
        </is>
      </c>
      <c r="T318" s="2" t="inlineStr">
        <is>
          <t>Women</t>
        </is>
      </c>
    </row>
    <row r="319" ht="80" customHeight="1">
      <c r="A319" s="3">
        <f>IMAGE("https://images.lululemon.com/is/image/lululemon/LW3FUPS_4780_1?wid=320&amp;op_usm=0.8",1)</f>
        <v/>
      </c>
      <c r="B319" s="3" t="inlineStr">
        <is>
          <t>Swiftly Relaxed Long-Sleeve Shirt *Hip Length</t>
        </is>
      </c>
      <c r="C319" s="3" t="inlineStr">
        <is>
          <t>139525695</t>
        </is>
      </c>
      <c r="D319" s="3" t="inlineStr">
        <is>
          <t>$78.00</t>
        </is>
      </c>
      <c r="E319" s="3" t="inlineStr">
        <is>
          <t>$39.00</t>
        </is>
      </c>
      <c r="F319" s="3">
        <f>IMAGE("https://images.lululemon.com/is/image/lululemon/4780",1)</f>
        <v/>
      </c>
      <c r="G319" s="3" t="n"/>
      <c r="H319" s="3" t="n"/>
      <c r="I319" s="3" t="n"/>
      <c r="J319" s="3" t="n"/>
      <c r="K319" s="3" t="n"/>
      <c r="L319" s="3" t="inlineStr">
        <is>
          <t>14</t>
        </is>
      </c>
      <c r="M319" s="3" t="n">
        <v>2</v>
      </c>
      <c r="N319" s="3" t="inlineStr">
        <is>
          <t>Go ahead, get sweaty. The Swiftly Relaxed collection, powered by seamless construction, is the ultimate gear for running and training.</t>
        </is>
      </c>
      <c r="O319" s="3" t="inlineStr">
        <is>
          <t>Swiftly-Tech-LS-Breeze</t>
        </is>
      </c>
      <c r="P319" s="3" t="inlineStr">
        <is>
          <t>Yes</t>
        </is>
      </c>
      <c r="Q319" s="3" t="inlineStr">
        <is>
          <t>Swiftly Relaxed Long Sleeve BLK/BLK 14</t>
        </is>
      </c>
      <c r="R319" s="3" t="inlineStr">
        <is>
          <t>Black/Black</t>
        </is>
      </c>
      <c r="S319" s="3" t="inlineStr"/>
      <c r="T319" s="3" t="inlineStr">
        <is>
          <t>Women</t>
        </is>
      </c>
    </row>
    <row r="320" ht="80" customHeight="1">
      <c r="A320" s="2">
        <f>IMAGE("https://images.lululemon.com/is/image/lululemon/LW3IO6S_021363_1?wid=320&amp;op_usm=0.8",1)</f>
        <v/>
      </c>
      <c r="B320" s="2" t="inlineStr">
        <is>
          <t>It's Rulu Ribbed Cropped Half Zip *Updated</t>
        </is>
      </c>
      <c r="C320" s="2" t="inlineStr">
        <is>
          <t>158024319</t>
        </is>
      </c>
      <c r="D320" s="2" t="inlineStr">
        <is>
          <t>$98.00</t>
        </is>
      </c>
      <c r="E320" s="2" t="inlineStr">
        <is>
          <t>$49.00</t>
        </is>
      </c>
      <c r="F320" s="2">
        <f>IMAGE("https://images.lululemon.com/is/image/lululemon/21363",1)</f>
        <v/>
      </c>
      <c r="G320" s="2" t="n"/>
      <c r="H320" s="2" t="n"/>
      <c r="I320" s="2" t="n"/>
      <c r="J320" s="2" t="n"/>
      <c r="K320" s="2" t="n"/>
      <c r="L320" s="2" t="inlineStr">
        <is>
          <t>XS, S, M, L, XL</t>
        </is>
      </c>
      <c r="M320" s="2" t="n">
        <v>317</v>
      </c>
      <c r="N320" s="2" t="inlineStr">
        <is>
          <t>Warm up to cold-weather workouts. This soft half zip wicks away sweat so you can stay comfortable when the temperature drops.</t>
        </is>
      </c>
      <c r="O320" s="2" t="inlineStr">
        <is>
          <t>Its-Rulu-Ribbed-Cropped-Half-Zip-Updated</t>
        </is>
      </c>
      <c r="P320" s="2" t="inlineStr">
        <is>
          <t>Yes</t>
        </is>
      </c>
      <c r="Q320" s="2" t="inlineStr">
        <is>
          <t>It's Rulu Ribbed Cropped Half Zip BRML XS</t>
        </is>
      </c>
      <c r="R320" s="2" t="inlineStr">
        <is>
          <t>Berry Rumble</t>
        </is>
      </c>
      <c r="S320" s="2" t="inlineStr">
        <is>
          <t>Half Zip Sweatshirts, Base Layers, Quarter Zip Sweatshirts</t>
        </is>
      </c>
      <c r="T320" s="2" t="inlineStr">
        <is>
          <t>Women</t>
        </is>
      </c>
    </row>
    <row r="321" ht="80" customHeight="1">
      <c r="A321" s="3">
        <f>IMAGE("https://images.lululemon.com/is/image/lululemon/LW1FOYS_073823_1?wid=320&amp;op_usm=0.8",1)</f>
        <v/>
      </c>
      <c r="B321" s="3" t="inlineStr">
        <is>
          <t>Swiftly Tech Cropped Round-Neck Racerback Tank Top 2.0 *Sparkle</t>
        </is>
      </c>
      <c r="C321" s="3" t="inlineStr">
        <is>
          <t>157718220</t>
        </is>
      </c>
      <c r="D321" s="3" t="inlineStr">
        <is>
          <t>$68.00</t>
        </is>
      </c>
      <c r="E321" s="3" t="inlineStr">
        <is>
          <t>$34.00</t>
        </is>
      </c>
      <c r="F321" s="3">
        <f>IMAGE("https://images.lululemon.com/is/image/lululemon/73823",1)</f>
        <v/>
      </c>
      <c r="G321" s="3" t="n"/>
      <c r="H321" s="3" t="n"/>
      <c r="I321" s="3" t="n"/>
      <c r="J321" s="3" t="n"/>
      <c r="K321" s="3" t="n"/>
      <c r="L321" s="3" t="inlineStr">
        <is>
          <t>4, 6, 8, 10</t>
        </is>
      </c>
      <c r="M321" s="3" t="n">
        <v>111</v>
      </c>
      <c r="N321" s="3" t="inlineStr">
        <is>
          <t>Go ahead, get glowing. This version of our high-performing Swiftly top features colourful metallic yarns that complement your post-workout glow.</t>
        </is>
      </c>
      <c r="O321" s="3" t="inlineStr">
        <is>
          <t>Swiftly-Crop-Round-Neck-Racerback-Tank-Sparkle</t>
        </is>
      </c>
      <c r="P321" s="3" t="inlineStr">
        <is>
          <t>Yes</t>
        </is>
      </c>
      <c r="Q321" s="3" t="inlineStr">
        <is>
          <t>Swiftly Tech Crop Rndnck RB 2.0 *Sparkle BLK/RLUX 4</t>
        </is>
      </c>
      <c r="R321" s="3" t="inlineStr">
        <is>
          <t>Black/Rainbow Lurex</t>
        </is>
      </c>
      <c r="S321" s="3" t="inlineStr"/>
      <c r="T321" s="3" t="inlineStr">
        <is>
          <t>Women</t>
        </is>
      </c>
    </row>
    <row r="322" ht="80" customHeight="1">
      <c r="A322" s="2">
        <f>IMAGE("https://images.lululemon.com/is/image/lululemon/LW3ESQS_032493_1?wid=320&amp;op_usm=0.8",1)</f>
        <v/>
      </c>
      <c r="B322" s="2" t="inlineStr">
        <is>
          <t>Scuba Oversized Full-Zip Hoodie</t>
        </is>
      </c>
      <c r="C322" s="2" t="inlineStr">
        <is>
          <t>153106022</t>
        </is>
      </c>
      <c r="D322" s="2" t="inlineStr">
        <is>
          <t>$138.00</t>
        </is>
      </c>
      <c r="E322" s="2" t="inlineStr">
        <is>
          <t>$69.00</t>
        </is>
      </c>
      <c r="F322" s="2">
        <f>IMAGE("https://images.lululemon.com/is/image/lululemon/32493",1)</f>
        <v/>
      </c>
      <c r="G322" s="2">
        <f>IMAGE("https://images.lululemon.com/is/image/lululemon/31382",1)</f>
        <v/>
      </c>
      <c r="H322" s="2">
        <f>IMAGE("https://images.lululemon.com/is/image/lululemon/0001",1)</f>
        <v/>
      </c>
      <c r="I322" s="2">
        <f>IMAGE("https://images.lululemon.com/is/image/lululemon/3385",1)</f>
        <v/>
      </c>
      <c r="J322" s="2">
        <f>IMAGE("https://images.lululemon.com/is/image/lululemon/71676",1)</f>
        <v/>
      </c>
      <c r="K322" s="2">
        <f>IMAGE("https://images.lululemon.com/is/image/lululemon/32507",1)</f>
        <v/>
      </c>
      <c r="L322" s="2" t="inlineStr">
        <is>
          <t>XS/S, M/L, XL/XXL</t>
        </is>
      </c>
      <c r="M322" s="2" t="n">
        <v>3314</v>
      </c>
      <c r="N322" s="2" t="inlineStr">
        <is>
          <t>Serious about softness. This hoodie is all about fleecy fabric and a cozy oversized fit that pairs perfectly with our Scuba sweatpants.</t>
        </is>
      </c>
      <c r="O322" s="2" t="inlineStr">
        <is>
          <t>Scuba-Oversized-Full-Zip</t>
        </is>
      </c>
      <c r="P322" s="2" t="inlineStr">
        <is>
          <t>Yes</t>
        </is>
      </c>
      <c r="Q322" s="2" t="inlineStr">
        <is>
          <t>Scuba Oversized Full-Zip Hoodie HCUG XS/S</t>
        </is>
      </c>
      <c r="R322" s="2" t="inlineStr">
        <is>
          <t>Heathered Core Ultra Light Grey, True Navy, Black, Black/Gold, Bay Leaf/Gold, Serene Blue</t>
        </is>
      </c>
      <c r="S322" s="2" t="inlineStr">
        <is>
          <t>Hoodies, Zip Up Sweatshirts</t>
        </is>
      </c>
      <c r="T322" s="2" t="inlineStr">
        <is>
          <t>Women</t>
        </is>
      </c>
    </row>
    <row r="323" ht="80" customHeight="1">
      <c r="A323" s="3">
        <f>IMAGE("https://images.lululemon.com/is/image/lululemon/LW2EI6S_028022_1?wid=320&amp;op_usm=0.8",1)</f>
        <v/>
      </c>
      <c r="B323" s="3" t="inlineStr">
        <is>
          <t>Flow Y Bra Light Support, A/B Cup *Evolve</t>
        </is>
      </c>
      <c r="C323" s="3" t="inlineStr">
        <is>
          <t>158022371</t>
        </is>
      </c>
      <c r="D323" s="3" t="inlineStr">
        <is>
          <t>$48.00</t>
        </is>
      </c>
      <c r="E323" s="3" t="inlineStr">
        <is>
          <t>$24.00</t>
        </is>
      </c>
      <c r="F323" s="3">
        <f>IMAGE("https://images.lululemon.com/is/image/lululemon/28022",1)</f>
        <v/>
      </c>
      <c r="G323" s="3" t="n"/>
      <c r="H323" s="3" t="n"/>
      <c r="I323" s="3" t="n"/>
      <c r="J323" s="3" t="n"/>
      <c r="K323" s="3" t="n"/>
      <c r="L323" s="3" t="inlineStr">
        <is>
          <t>XS, S, M, L, XL</t>
        </is>
      </c>
      <c r="M323" s="3" t="n">
        <v>195</v>
      </c>
      <c r="N323" s="3" t="inlineStr">
        <is>
          <t>Soft support, refined design. Minimal seams and our famously soft Nulu™ fabric create a lightweight bra that delivers optimal comfort with a minimalist look.</t>
        </is>
      </c>
      <c r="O323" s="3" t="inlineStr">
        <is>
          <t>Flow-Y-Bra-Light-Support-AB-Cup-Evolve</t>
        </is>
      </c>
      <c r="P323" s="3" t="inlineStr">
        <is>
          <t>Yes</t>
        </is>
      </c>
      <c r="Q323" s="3" t="inlineStr">
        <is>
          <t>Flow Y Bra A/B *Evolve INCB XS</t>
        </is>
      </c>
      <c r="R323" s="3" t="inlineStr">
        <is>
          <t>Indochine Blue</t>
        </is>
      </c>
      <c r="S323" s="3" t="inlineStr">
        <is>
          <t>Racerback Bras, Bralettes</t>
        </is>
      </c>
      <c r="T323" s="3" t="inlineStr">
        <is>
          <t>Women</t>
        </is>
      </c>
    </row>
    <row r="324" ht="80" customHeight="1">
      <c r="A324" s="2">
        <f>IMAGE("https://images.lululemon.com/is/image/lululemon/LU9BK9S_069510_1?wid=320&amp;op_usm=0.8",1)</f>
        <v/>
      </c>
      <c r="B324" s="2" t="inlineStr">
        <is>
          <t>Daily Multi-Pocket Canvas Tote Bag 20L *Logo</t>
        </is>
      </c>
      <c r="C324" s="2" t="inlineStr">
        <is>
          <t>155779488</t>
        </is>
      </c>
      <c r="D324" s="2" t="inlineStr">
        <is>
          <t>$68.00</t>
        </is>
      </c>
      <c r="E324" s="2" t="inlineStr">
        <is>
          <t>$34.00</t>
        </is>
      </c>
      <c r="F324" s="2">
        <f>IMAGE("https://images.lululemon.com/is/image/lululemon/69510",1)</f>
        <v/>
      </c>
      <c r="G324" s="2" t="n"/>
      <c r="H324" s="2" t="n"/>
      <c r="I324" s="2" t="n"/>
      <c r="J324" s="2" t="n"/>
      <c r="K324" s="2" t="n"/>
      <c r="L324" s="2" t="inlineStr">
        <is>
          <t>O/S</t>
        </is>
      </c>
      <c r="M324" s="2" t="n">
        <v>156</v>
      </c>
      <c r="N324" s="2" t="inlineStr">
        <is>
          <t>From farmers-market finds to picnic essentials, this roomy canvas tote handles it all. Plenty of pockets and a large opening make finding your things a breeze.</t>
        </is>
      </c>
      <c r="O324" s="2" t="inlineStr">
        <is>
          <t>Dly-Mlti-Pckt-Cnvs-Tote-Bag-20L-Logo</t>
        </is>
      </c>
      <c r="P324" s="2" t="inlineStr">
        <is>
          <t>Yes</t>
        </is>
      </c>
      <c r="Q324" s="2" t="inlineStr">
        <is>
          <t>Daily Multi-Pocket Tote *Canvas TRNV/STRH ONE SIZE</t>
        </is>
      </c>
      <c r="R324" s="2" t="inlineStr">
        <is>
          <t>True Navy/Starch Blue</t>
        </is>
      </c>
      <c r="S324" s="2" t="inlineStr">
        <is>
          <t>Totes</t>
        </is>
      </c>
      <c r="T324" s="2" t="inlineStr">
        <is>
          <t>Women</t>
        </is>
      </c>
    </row>
    <row r="325" ht="80" customHeight="1">
      <c r="A325" s="3">
        <f>IMAGE("https://images.lululemon.com/is/image/lululemon/LU9BZRS_0001_1?wid=320&amp;op_usm=0.8",1)</f>
        <v/>
      </c>
      <c r="B325" s="3" t="inlineStr">
        <is>
          <t>Everywhere Belt Bag 1L *Wunder Puff Shine</t>
        </is>
      </c>
      <c r="C325" s="3" t="inlineStr">
        <is>
          <t>154877945</t>
        </is>
      </c>
      <c r="D325" s="3" t="inlineStr">
        <is>
          <t>$58.00</t>
        </is>
      </c>
      <c r="E325" s="3" t="inlineStr">
        <is>
          <t>$29.00</t>
        </is>
      </c>
      <c r="F325" s="3">
        <f>IMAGE("https://images.lululemon.com/is/image/lululemon/0001",1)</f>
        <v/>
      </c>
      <c r="G325" s="3" t="n"/>
      <c r="H325" s="3" t="n"/>
      <c r="I325" s="3" t="n"/>
      <c r="J325" s="3" t="n"/>
      <c r="K325" s="3" t="n"/>
      <c r="L325" s="3" t="inlineStr">
        <is>
          <t>O/S</t>
        </is>
      </c>
      <c r="M325" s="3" t="n">
        <v>645</v>
      </c>
      <c r="N325" s="3" t="inlineStr">
        <is>
          <t>Inspired by the look of our Wunder Puff collection, this quilted Everywhere Belt Bag has space for your phone, keys, and wallet.</t>
        </is>
      </c>
      <c r="O325" s="3" t="inlineStr">
        <is>
          <t>Everywhere-Belt-Bag-1L-Wunder-Puff-Shine</t>
        </is>
      </c>
      <c r="P325" s="3" t="inlineStr">
        <is>
          <t>Yes</t>
        </is>
      </c>
      <c r="Q325" s="3" t="inlineStr">
        <is>
          <t>Everywhere Belt Bag *Wunder Puff BLK ONE SIZE</t>
        </is>
      </c>
      <c r="R325" s="3" t="inlineStr">
        <is>
          <t>Black</t>
        </is>
      </c>
      <c r="S325" s="3" t="inlineStr">
        <is>
          <t>Belt Bags, Crossbody Bags</t>
        </is>
      </c>
      <c r="T325" s="3" t="inlineStr">
        <is>
          <t>Women</t>
        </is>
      </c>
    </row>
    <row r="326" ht="80" customHeight="1">
      <c r="A326" s="2">
        <f>IMAGE("https://images.lululemon.com/is/image/lululemon/LU9AYAS_038426_1?wid=320&amp;op_usm=0.8",1)</f>
        <v/>
      </c>
      <c r="B326" s="2" t="inlineStr">
        <is>
          <t>The Lightweight Mat 5mm</t>
        </is>
      </c>
      <c r="C326" s="2" t="inlineStr">
        <is>
          <t>155825816</t>
        </is>
      </c>
      <c r="D326" s="2" t="inlineStr">
        <is>
          <t>$84.00</t>
        </is>
      </c>
      <c r="E326" s="2" t="inlineStr">
        <is>
          <t>$42.00</t>
        </is>
      </c>
      <c r="F326" s="2">
        <f>IMAGE("https://images.lululemon.com/is/image/lululemon/38426",1)</f>
        <v/>
      </c>
      <c r="G326" s="2" t="n"/>
      <c r="H326" s="2" t="n"/>
      <c r="I326" s="2" t="n"/>
      <c r="J326" s="2" t="n"/>
      <c r="K326" s="2" t="n"/>
      <c r="L326" s="2" t="inlineStr">
        <is>
          <t>O/S</t>
        </is>
      </c>
      <c r="M326" s="2" t="n">
        <v>63</v>
      </c>
      <c r="N326" s="2" t="inlineStr">
        <is>
          <t>This cushiony, easy-to-clean yoga mat is perfect for low-sweat practices. Pair with The Towel for extra grip when things heat up.</t>
        </is>
      </c>
      <c r="O326" s="2" t="inlineStr">
        <is>
          <t>The-Lightweight-Mat-5mm</t>
        </is>
      </c>
      <c r="P326" s="2" t="inlineStr">
        <is>
          <t>Yes</t>
        </is>
      </c>
      <c r="Q326" s="2" t="inlineStr">
        <is>
          <t>The Lightweight Mat 5mm SOGY ONE SIZE</t>
        </is>
      </c>
      <c r="R326" s="2" t="inlineStr">
        <is>
          <t>Solar Grey</t>
        </is>
      </c>
      <c r="S326" s="2" t="inlineStr"/>
      <c r="T326" s="2" t="inlineStr">
        <is>
          <t>Women</t>
        </is>
      </c>
    </row>
    <row r="327" ht="80" customHeight="1">
      <c r="A327" s="3">
        <f>IMAGE("https://images.lululemon.com/is/image/lululemon/LW7BESS_0001_1?wid=320&amp;op_usm=0.8",1)</f>
        <v/>
      </c>
      <c r="B327" s="3" t="inlineStr">
        <is>
          <t>Wunder Train High-Rise Short 6"</t>
        </is>
      </c>
      <c r="C327" s="3" t="inlineStr">
        <is>
          <t>114801907</t>
        </is>
      </c>
      <c r="D327" s="3" t="inlineStr">
        <is>
          <t>$64.00</t>
        </is>
      </c>
      <c r="E327" s="3" t="inlineStr">
        <is>
          <t>$32.00</t>
        </is>
      </c>
      <c r="F327" s="3">
        <f>IMAGE("https://images.lululemon.com/is/image/lululemon/0001",1)</f>
        <v/>
      </c>
      <c r="G327" s="3" t="n"/>
      <c r="H327" s="3" t="n"/>
      <c r="I327" s="3" t="n"/>
      <c r="J327" s="3" t="n"/>
      <c r="K327" s="3" t="n"/>
      <c r="L327" s="3" t="inlineStr">
        <is>
          <t>2, 4, 6, 8, 10, 12, 14, 16</t>
        </is>
      </c>
      <c r="M327" s="3" t="n">
        <v>2623</v>
      </c>
      <c r="N327" s="3" t="inlineStr">
        <is>
          <t>Train hard, not hot. Made from Everlux™, the Wunder Train collection is highly breathable and quickly wicks sweat so you feel less sweaty during (and after) your workout.</t>
        </is>
      </c>
      <c r="O327" s="3" t="inlineStr">
        <is>
          <t>Wunder-Train-HR-Short-6</t>
        </is>
      </c>
      <c r="P327" s="3" t="inlineStr">
        <is>
          <t>Yes</t>
        </is>
      </c>
      <c r="Q327" s="3" t="inlineStr">
        <is>
          <t>Wunder Train HR Short 6" BLK 2</t>
        </is>
      </c>
      <c r="R327" s="3" t="inlineStr">
        <is>
          <t>Black</t>
        </is>
      </c>
      <c r="S327" s="3" t="inlineStr">
        <is>
          <t>Athletic Shorts, Biker Shorts</t>
        </is>
      </c>
      <c r="T327" s="3" t="inlineStr">
        <is>
          <t>Women</t>
        </is>
      </c>
    </row>
    <row r="328" ht="80" customHeight="1">
      <c r="A328" s="2">
        <f>IMAGE("https://images.lululemon.com/is/image/lululemon/LU9D25S_031078_1?wid=320&amp;op_usm=0.8",1)</f>
        <v/>
      </c>
      <c r="B328" s="2" t="inlineStr">
        <is>
          <t>All Sport Backpack 10L</t>
        </is>
      </c>
      <c r="C328" s="2" t="inlineStr">
        <is>
          <t>157678046</t>
        </is>
      </c>
      <c r="D328" s="2" t="inlineStr">
        <is>
          <t>$98.00</t>
        </is>
      </c>
      <c r="E328" s="2" t="inlineStr">
        <is>
          <t>$49.00</t>
        </is>
      </c>
      <c r="F328" s="2">
        <f>IMAGE("https://images.lululemon.com/is/image/lululemon/31078",1)</f>
        <v/>
      </c>
      <c r="G328" s="2" t="n"/>
      <c r="H328" s="2" t="n"/>
      <c r="I328" s="2" t="n"/>
      <c r="J328" s="2" t="n"/>
      <c r="K328" s="2" t="n"/>
      <c r="L328" s="2" t="inlineStr">
        <is>
          <t>O/S</t>
        </is>
      </c>
      <c r="M328" s="2" t="n">
        <v>130</v>
      </c>
      <c r="N328" s="2" t="inlineStr">
        <is>
          <t>Run, bike, or hike your way into adventure. This lightweight backpack has ample storage for your gear and strategically placed load lifters and compression straps for a snug fit.</t>
        </is>
      </c>
      <c r="O328" s="2" t="inlineStr">
        <is>
          <t>All-Sport-Backpack-10L</t>
        </is>
      </c>
      <c r="P328" s="2" t="inlineStr">
        <is>
          <t>Yes</t>
        </is>
      </c>
      <c r="Q328" s="2" t="inlineStr">
        <is>
          <t>All Sport Backpack 10L ANCH/BLK ONE SIZE</t>
        </is>
      </c>
      <c r="R328" s="2" t="inlineStr">
        <is>
          <t>Anchor/Black</t>
        </is>
      </c>
      <c r="S328" s="2" t="inlineStr">
        <is>
          <t>Backpacks</t>
        </is>
      </c>
      <c r="T328" s="2" t="inlineStr">
        <is>
          <t>Women</t>
        </is>
      </c>
    </row>
    <row r="329" ht="80" customHeight="1">
      <c r="A329" s="3">
        <f>IMAGE("https://images.lululemon.com/is/image/lululemon/LW5FLKS_028022_1?wid=320&amp;op_usm=0.8",1)</f>
        <v/>
      </c>
      <c r="B329" s="3" t="inlineStr">
        <is>
          <t>Cold Weather High-Rise Running Jogger *Full Length</t>
        </is>
      </c>
      <c r="C329" s="3" t="inlineStr">
        <is>
          <t>158095789</t>
        </is>
      </c>
      <c r="D329" s="3" t="inlineStr">
        <is>
          <t>$198.00</t>
        </is>
      </c>
      <c r="E329" s="3" t="inlineStr">
        <is>
          <t>$99.00</t>
        </is>
      </c>
      <c r="F329" s="3">
        <f>IMAGE("https://images.lululemon.com/is/image/lululemon/28022",1)</f>
        <v/>
      </c>
      <c r="G329" s="3" t="n"/>
      <c r="H329" s="3" t="n"/>
      <c r="I329" s="3" t="n"/>
      <c r="J329" s="3" t="n"/>
      <c r="K329" s="3" t="n"/>
      <c r="L329" s="3" t="inlineStr">
        <is>
          <t>2, 4, 6, 8, 10, 12</t>
        </is>
      </c>
      <c r="M329" s="3" t="n">
        <v>394</v>
      </c>
      <c r="N329" s="3" t="inlineStr">
        <is>
          <t>Bring the warmth to cold-weather runs. These joggers are made from warm technical fleece and have weather-repellent panels to shield you from the elements.</t>
        </is>
      </c>
      <c r="O329" s="3" t="inlineStr">
        <is>
          <t>Cold-Weather-HR-Run-Jogger-Full</t>
        </is>
      </c>
      <c r="P329" s="3" t="inlineStr">
        <is>
          <t>Yes</t>
        </is>
      </c>
      <c r="Q329" s="3" t="inlineStr">
        <is>
          <t>Cold Weather HR Running Jogger INCB 2</t>
        </is>
      </c>
      <c r="R329" s="3" t="inlineStr">
        <is>
          <t>Indochine Blue</t>
        </is>
      </c>
      <c r="S329" s="3" t="inlineStr"/>
      <c r="T329" s="3" t="inlineStr">
        <is>
          <t>Women</t>
        </is>
      </c>
    </row>
    <row r="330" ht="80" customHeight="1">
      <c r="A330" s="2">
        <f>IMAGE("https://images.lululemon.com/is/image/lululemon/LW3ID8S_031382_1?wid=320&amp;op_usm=0.8",1)</f>
        <v/>
      </c>
      <c r="B330" s="2" t="inlineStr">
        <is>
          <t>Define Jacket *Nulu</t>
        </is>
      </c>
      <c r="C330" s="2" t="inlineStr">
        <is>
          <t>154826259</t>
        </is>
      </c>
      <c r="D330" s="2" t="inlineStr">
        <is>
          <t>$128.00</t>
        </is>
      </c>
      <c r="E330" s="2" t="inlineStr">
        <is>
          <t>$64.00</t>
        </is>
      </c>
      <c r="F330" s="2">
        <f>IMAGE("https://images.lululemon.com/is/image/lululemon/31382",1)</f>
        <v/>
      </c>
      <c r="G330" s="2">
        <f>IMAGE("https://images.lululemon.com/is/image/lululemon/0002",1)</f>
        <v/>
      </c>
      <c r="H330" s="2">
        <f>IMAGE("https://images.lululemon.com/is/image/lululemon/0001",1)</f>
        <v/>
      </c>
      <c r="I330" s="2">
        <f>IMAGE("https://images.lululemon.com/is/image/lululemon/71906",1)</f>
        <v/>
      </c>
      <c r="J330" s="2">
        <f>IMAGE("https://images.lululemon.com/is/image/lululemon/0554",1)</f>
        <v/>
      </c>
      <c r="K330" s="2">
        <f>IMAGE("https://images.lululemon.com/is/image/lululemon/74900",1)</f>
        <v/>
      </c>
      <c r="L330" s="2" t="inlineStr">
        <is>
          <t>0, 2, 4, 6, 8, 10, 12, 14</t>
        </is>
      </c>
      <c r="M330" s="2" t="n">
        <v>12475</v>
      </c>
      <c r="N330" s="2" t="inlineStr">
        <is>
          <t>Up for adventure and ready for downtime. Our fan-favourite Define Jacket has a feel-good fit that can do it all.</t>
        </is>
      </c>
      <c r="O330" s="2" t="inlineStr">
        <is>
          <t>Define-Jacket-Nulu</t>
        </is>
      </c>
      <c r="P330" s="2" t="inlineStr">
        <is>
          <t>Yes</t>
        </is>
      </c>
      <c r="Q330" s="2" t="inlineStr">
        <is>
          <t>Define Jacket *Nulu™ BLK 0</t>
        </is>
      </c>
      <c r="R330" s="2" t="inlineStr">
        <is>
          <t>True Navy, White, Black, Light Ivory/Gold/Gold, Grape Mist, Indochine Blue/Gold/Gold, Ashen Rose/Rose Gold/Rose Gold, Berry Rumble, Brilliant Blue, Dove Grey</t>
        </is>
      </c>
      <c r="S330" s="2" t="inlineStr">
        <is>
          <t>Athletic Jackets, Zip Up Sweatshirts</t>
        </is>
      </c>
      <c r="T330" s="2" t="inlineStr">
        <is>
          <t>Women</t>
        </is>
      </c>
    </row>
    <row r="331" ht="80" customHeight="1">
      <c r="A331" s="3">
        <f>IMAGE("https://images.lululemon.com/is/image/lululemon/LU9BU3S_0002_1?wid=320&amp;op_usm=0.8",1)</f>
        <v/>
      </c>
      <c r="B331" s="3" t="inlineStr">
        <is>
          <t>Fast and Free Running Hat *WovenAir</t>
        </is>
      </c>
      <c r="C331" s="3" t="inlineStr">
        <is>
          <t>153575604</t>
        </is>
      </c>
      <c r="D331" s="3" t="inlineStr">
        <is>
          <t>$38.00</t>
        </is>
      </c>
      <c r="E331" s="3" t="inlineStr">
        <is>
          <t>$19.00</t>
        </is>
      </c>
      <c r="F331" s="3">
        <f>IMAGE("https://images.lululemon.com/is/image/lululemon/0002",1)</f>
        <v/>
      </c>
      <c r="G331" s="3">
        <f>IMAGE("https://images.lululemon.com/is/image/lululemon/0001",1)</f>
        <v/>
      </c>
      <c r="H331" s="3">
        <f>IMAGE("https://images.lululemon.com/is/image/lululemon/31382",1)</f>
        <v/>
      </c>
      <c r="I331" s="3" t="n"/>
      <c r="J331" s="3" t="n"/>
      <c r="K331" s="3" t="n"/>
      <c r="L331" s="3" t="inlineStr">
        <is>
          <t>S/M, L/XL</t>
        </is>
      </c>
      <c r="M331" s="3" t="n">
        <v>2257</v>
      </c>
      <c r="N331" s="3" t="inlineStr">
        <is>
          <t>Short jogs, five mile sprints, or full-on marathons—whatever distance you're running, this lightweight hat provides shade and comfortable ventilation.</t>
        </is>
      </c>
      <c r="O331" s="3" t="inlineStr">
        <is>
          <t>Fast-and-Free-Running-Hat-WovenAir</t>
        </is>
      </c>
      <c r="P331" s="3" t="inlineStr">
        <is>
          <t>Yes</t>
        </is>
      </c>
      <c r="Q331" s="3" t="inlineStr">
        <is>
          <t>Fast and Free Run Hat *WovenAir™ WHT S/M</t>
        </is>
      </c>
      <c r="R331" s="3" t="inlineStr">
        <is>
          <t>White, Black, True Navy</t>
        </is>
      </c>
      <c r="S331" s="3" t="inlineStr">
        <is>
          <t>Caps</t>
        </is>
      </c>
      <c r="T331" s="3" t="inlineStr">
        <is>
          <t>Women</t>
        </is>
      </c>
    </row>
    <row r="332" ht="80" customHeight="1">
      <c r="A332" s="2">
        <f>IMAGE("https://images.lululemon.com/is/image/lululemon/LW2EG5S_0001_1?wid=320&amp;op_usm=0.8",1)</f>
        <v/>
      </c>
      <c r="B332" s="2" t="inlineStr">
        <is>
          <t>FlexyFlex Strappy Yoga Bra *Light Support, A-C Cups</t>
        </is>
      </c>
      <c r="C332" s="2" t="inlineStr">
        <is>
          <t>156501157</t>
        </is>
      </c>
      <c r="D332" s="2" t="inlineStr">
        <is>
          <t>$58.00</t>
        </is>
      </c>
      <c r="E332" s="2" t="inlineStr">
        <is>
          <t>$29.00</t>
        </is>
      </c>
      <c r="F332" s="2">
        <f>IMAGE("https://images.lululemon.com/is/image/lululemon/0001",1)</f>
        <v/>
      </c>
      <c r="G332" s="2">
        <f>IMAGE("https://images.lululemon.com/is/image/lululemon/63787",1)</f>
        <v/>
      </c>
      <c r="H332" s="2">
        <f>IMAGE("https://images.lululemon.com/is/image/lululemon/33190",1)</f>
        <v/>
      </c>
      <c r="I332" s="2">
        <f>IMAGE("https://images.lululemon.com/is/image/lululemon/72760",1)</f>
        <v/>
      </c>
      <c r="J332" s="2">
        <f>IMAGE("https://images.lululemon.com/is/image/lululemon/45797",1)</f>
        <v/>
      </c>
      <c r="K332" s="2" t="n"/>
      <c r="L332" s="2" t="inlineStr">
        <is>
          <t>XXS/XS, S/M, L/XL</t>
        </is>
      </c>
      <c r="M332" s="2" t="n">
        <v>922</v>
      </c>
      <c r="N332" s="2" t="inlineStr">
        <is>
          <t>Flows through your practice, fluctuates with your cycle. We designed this yoga bra in super-soft, high-stretch fabric for a luxurious feel and a fit that's always comfortable.</t>
        </is>
      </c>
      <c r="O332" s="2" t="inlineStr">
        <is>
          <t>FlexyFlex-Strappy-Yoga-Bra-Light-AC-Cups</t>
        </is>
      </c>
      <c r="P332" s="2" t="inlineStr">
        <is>
          <t>Yes</t>
        </is>
      </c>
      <c r="Q332" s="2" t="inlineStr">
        <is>
          <t>FlexyFlex Strappy Yoga Bra A-C BLK XXS/XS</t>
        </is>
      </c>
      <c r="R332" s="2" t="inlineStr">
        <is>
          <t>Black, ATMOSPHERIC PURPLE, Brilliant Blue, Onyx Grey, Ashen Rose</t>
        </is>
      </c>
      <c r="S332" s="2" t="inlineStr">
        <is>
          <t>Strappy Bras, Bralettes</t>
        </is>
      </c>
      <c r="T332" s="2" t="inlineStr">
        <is>
          <t>Women</t>
        </is>
      </c>
    </row>
    <row r="333" ht="80" customHeight="1">
      <c r="A333" s="3">
        <f>IMAGE("https://images.lululemon.com/is/image/lululemon/LW5HGFR_0001_1?wid=320&amp;op_usm=0.8",1)</f>
        <v/>
      </c>
      <c r="B333" s="3" t="inlineStr">
        <is>
          <t>lululemon Align™ High-Rise Jogger *Regular</t>
        </is>
      </c>
      <c r="C333" s="3" t="inlineStr">
        <is>
          <t>157704492</t>
        </is>
      </c>
      <c r="D333" s="3" t="inlineStr">
        <is>
          <t>$118.00</t>
        </is>
      </c>
      <c r="E333" s="3" t="inlineStr">
        <is>
          <t>$59.00</t>
        </is>
      </c>
      <c r="F333" s="3">
        <f>IMAGE("https://images.lululemon.com/is/image/lululemon/0001",1)</f>
        <v/>
      </c>
      <c r="G333" s="3">
        <f>IMAGE("https://images.lululemon.com/is/image/lululemon/41179",1)</f>
        <v/>
      </c>
      <c r="H333" s="3">
        <f>IMAGE("https://images.lululemon.com/is/image/lululemon/33190",1)</f>
        <v/>
      </c>
      <c r="I333" s="3" t="n"/>
      <c r="J333" s="3" t="n"/>
      <c r="K333" s="3" t="n"/>
      <c r="L333" s="3" t="inlineStr">
        <is>
          <t>2, 4, 6, 10, 8, 12, 14</t>
        </is>
      </c>
      <c r="M333" s="3" t="n">
        <v>2075</v>
      </c>
      <c r="N333" s="3" t="inlineStr">
        <is>
          <t>When feeling nothing is everything. We updated our buttery-soft lululemon Align™ joggers to give you that classic jogger look with a roomier fit, shorter cuffs, and discreet hand pockets.</t>
        </is>
      </c>
      <c r="O333" s="3" t="inlineStr">
        <is>
          <t>lululemon-Align-High-Rise-Jogger-Regular</t>
        </is>
      </c>
      <c r="P333" s="3" t="inlineStr">
        <is>
          <t>Yes</t>
        </is>
      </c>
      <c r="Q333" s="3" t="inlineStr">
        <is>
          <t>lululemon Align™ HR Jogger *Regular SQUO 2</t>
        </is>
      </c>
      <c r="R333" s="3" t="inlineStr">
        <is>
          <t>Black, Sequoia, Brilliant Blue</t>
        </is>
      </c>
      <c r="S333" s="3" t="inlineStr"/>
      <c r="T333" s="3" t="inlineStr">
        <is>
          <t>Women</t>
        </is>
      </c>
    </row>
    <row r="334" ht="80" customHeight="1">
      <c r="A334" s="2">
        <f>IMAGE("https://images.lululemon.com/is/image/lululemon/LU9AC4S_073766_1?wid=320&amp;op_usm=0.8",1)</f>
        <v/>
      </c>
      <c r="B334" s="2" t="inlineStr">
        <is>
          <t>Lift and Lengthen Yoga Block</t>
        </is>
      </c>
      <c r="C334" s="2" t="inlineStr">
        <is>
          <t>157793520</t>
        </is>
      </c>
      <c r="D334" s="2" t="inlineStr">
        <is>
          <t>$24.00</t>
        </is>
      </c>
      <c r="E334" s="2" t="inlineStr">
        <is>
          <t>$12.00</t>
        </is>
      </c>
      <c r="F334" s="2">
        <f>IMAGE("https://images.lululemon.com/is/image/lululemon/73766",1)</f>
        <v/>
      </c>
      <c r="G334" s="2">
        <f>IMAGE("https://images.lululemon.com/is/image/lululemon/0023",1)</f>
        <v/>
      </c>
      <c r="H334" s="2" t="n"/>
      <c r="I334" s="2" t="n"/>
      <c r="J334" s="2" t="n"/>
      <c r="K334" s="2" t="n"/>
      <c r="L334" s="2" t="inlineStr">
        <is>
          <t>O/S</t>
        </is>
      </c>
      <c r="M334" s="2" t="n">
        <v>1307</v>
      </c>
      <c r="N334" s="2" t="inlineStr">
        <is>
          <t>Give yourself a little support. From a few extra inches in crescent moon to lifting you in a seated twist, this block has your back.</t>
        </is>
      </c>
      <c r="O334" s="2" t="inlineStr">
        <is>
          <t>Lift-And-Lengthen-Yoga-Block</t>
        </is>
      </c>
      <c r="P334" s="2" t="inlineStr">
        <is>
          <t>Yes</t>
        </is>
      </c>
      <c r="Q334" s="2" t="inlineStr">
        <is>
          <t>Lift And Lengthen Yoga Block RGPL ONE SIZE</t>
        </is>
      </c>
      <c r="R334" s="2" t="inlineStr">
        <is>
          <t>Rainforest Green/Palm Deco/Laurel Green/Light Ivory, Black/White</t>
        </is>
      </c>
      <c r="S334" s="2" t="inlineStr">
        <is>
          <t>Blocks</t>
        </is>
      </c>
      <c r="T334" s="2" t="inlineStr">
        <is>
          <t>Women</t>
        </is>
      </c>
    </row>
    <row r="335" ht="80" customHeight="1">
      <c r="A335" s="3">
        <f>IMAGE("https://images.lululemon.com/is/image/lululemon/LW7DD9S_068898_1?wid=320&amp;op_usm=0.8",1)</f>
        <v/>
      </c>
      <c r="B335" s="3" t="inlineStr">
        <is>
          <t>Court Rival High-Rise Short 3"</t>
        </is>
      </c>
      <c r="C335" s="3" t="inlineStr">
        <is>
          <t>156493544</t>
        </is>
      </c>
      <c r="D335" s="3" t="inlineStr">
        <is>
          <t>$78.00</t>
        </is>
      </c>
      <c r="E335" s="3" t="inlineStr">
        <is>
          <t>$39.00</t>
        </is>
      </c>
      <c r="F335" s="3">
        <f>IMAGE("https://images.lululemon.com/is/image/lululemon/68898",1)</f>
        <v/>
      </c>
      <c r="G335" s="3">
        <f>IMAGE("https://images.lululemon.com/is/image/lululemon/0023",1)</f>
        <v/>
      </c>
      <c r="H335" s="3" t="n"/>
      <c r="I335" s="3" t="n"/>
      <c r="J335" s="3" t="n"/>
      <c r="K335" s="3" t="n"/>
      <c r="L335" s="3" t="inlineStr">
        <is>
          <t>2, 4, 6, 8, 10, 12</t>
        </is>
      </c>
      <c r="M335" s="3" t="n">
        <v>461</v>
      </c>
      <c r="N335" s="3" t="inlineStr">
        <is>
          <t>Channel that champ energy in these lightweight tennis shorts. A breathable built-in short liner offers extra coverage so you can move freely.</t>
        </is>
      </c>
      <c r="O335" s="3" t="inlineStr">
        <is>
          <t>Court-Rival-High-Rise-Short-3</t>
        </is>
      </c>
      <c r="P335" s="3" t="inlineStr">
        <is>
          <t>Yes</t>
        </is>
      </c>
      <c r="Q335" s="3" t="inlineStr">
        <is>
          <t>Court Rival High-Rise Short 3" CLBL/WHT 2</t>
        </is>
      </c>
      <c r="R335" s="3" t="inlineStr">
        <is>
          <t>Club Blue/White, Black/White</t>
        </is>
      </c>
      <c r="S335" s="3" t="inlineStr">
        <is>
          <t>Athletic Shorts, Liner Shorts</t>
        </is>
      </c>
      <c r="T335" s="3" t="inlineStr">
        <is>
          <t>Women</t>
        </is>
      </c>
    </row>
    <row r="336" ht="80" customHeight="1">
      <c r="A336" s="2">
        <f>IMAGE("https://images.lululemon.com/is/image/lululemon/LW2DINS_031382_1?wid=320&amp;op_usm=0.8",1)</f>
        <v/>
      </c>
      <c r="B336" s="2" t="inlineStr">
        <is>
          <t>Run Times Bra *High Support, B–G Cups</t>
        </is>
      </c>
      <c r="C336" s="2" t="inlineStr">
        <is>
          <t>151501290</t>
        </is>
      </c>
      <c r="D336" s="2" t="inlineStr">
        <is>
          <t>$68.00</t>
        </is>
      </c>
      <c r="E336" s="2" t="inlineStr">
        <is>
          <t>$34.00</t>
        </is>
      </c>
      <c r="F336" s="2">
        <f>IMAGE("https://images.lululemon.com/is/image/lululemon/31382",1)</f>
        <v/>
      </c>
      <c r="G336" s="2" t="n"/>
      <c r="H336" s="2" t="n"/>
      <c r="I336" s="2" t="n"/>
      <c r="J336" s="2" t="n"/>
      <c r="K336" s="2" t="n"/>
      <c r="L336" s="2" t="inlineStr">
        <is>
          <t>34C, 34D, 34DD, 36D, 36DD, 38D, 38DD</t>
        </is>
      </c>
      <c r="M336" s="2" t="n">
        <v>203</v>
      </c>
      <c r="N336" s="2" t="inlineStr">
        <is>
          <t>Keep your mind on your stride in this sleek bra that gives you support, separation, and coverage, with perforated panelling for airflow.</t>
        </is>
      </c>
      <c r="O336" s="2" t="inlineStr">
        <is>
          <t>Run-Times-Bra</t>
        </is>
      </c>
      <c r="P336" s="2" t="inlineStr">
        <is>
          <t>Yes</t>
        </is>
      </c>
      <c r="Q336" s="2" t="inlineStr">
        <is>
          <t>Run Times Bra TRNV 34C</t>
        </is>
      </c>
      <c r="R336" s="2" t="inlineStr">
        <is>
          <t>True Navy</t>
        </is>
      </c>
      <c r="S336" s="2" t="inlineStr">
        <is>
          <t>Longline Bras</t>
        </is>
      </c>
      <c r="T336" s="2" t="inlineStr">
        <is>
          <t>Women</t>
        </is>
      </c>
    </row>
    <row r="337" ht="80" customHeight="1">
      <c r="A337" s="3">
        <f>IMAGE("https://images.lululemon.com/is/image/lululemon/LW7DEXS_0001_1?wid=320&amp;op_usm=0.8",1)</f>
        <v/>
      </c>
      <c r="B337" s="3" t="inlineStr">
        <is>
          <t>Wunder Train High-Rise Short 4"</t>
        </is>
      </c>
      <c r="C337" s="3" t="inlineStr">
        <is>
          <t>153075516</t>
        </is>
      </c>
      <c r="D337" s="3" t="inlineStr">
        <is>
          <t>$64.00</t>
        </is>
      </c>
      <c r="E337" s="3" t="inlineStr">
        <is>
          <t>$32.00</t>
        </is>
      </c>
      <c r="F337" s="3">
        <f>IMAGE("https://images.lululemon.com/is/image/lululemon/0001",1)</f>
        <v/>
      </c>
      <c r="G337" s="3" t="n"/>
      <c r="H337" s="3" t="n"/>
      <c r="I337" s="3" t="n"/>
      <c r="J337" s="3" t="n"/>
      <c r="K337" s="3" t="n"/>
      <c r="L337" s="3" t="inlineStr">
        <is>
          <t>2, 6, 8, 10, 12</t>
        </is>
      </c>
      <c r="M337" s="3" t="n">
        <v>82</v>
      </c>
      <c r="N337" s="3" t="inlineStr">
        <is>
          <t>Train hard, not hot. Powered by Everlux™, the Wunder Train collection is highly breathable and quickly wicks sweat so you feel less sweaty during (and after) your workout.</t>
        </is>
      </c>
      <c r="O337" s="3" t="inlineStr">
        <is>
          <t>Wunder-Train-HighRise-Short-4</t>
        </is>
      </c>
      <c r="P337" s="3" t="inlineStr">
        <is>
          <t>Yes</t>
        </is>
      </c>
      <c r="Q337" s="3" t="inlineStr">
        <is>
          <t>Wunder Train HR Short 4" BLK 2</t>
        </is>
      </c>
      <c r="R337" s="3" t="inlineStr">
        <is>
          <t>Black</t>
        </is>
      </c>
      <c r="S337" s="3" t="inlineStr">
        <is>
          <t>Athletic Shorts, Biker Shorts</t>
        </is>
      </c>
      <c r="T337" s="3" t="inlineStr">
        <is>
          <t>Women</t>
        </is>
      </c>
    </row>
    <row r="338" ht="80" customHeight="1">
      <c r="A338" s="2">
        <f>IMAGE("https://images.lululemon.com/is/image/lululemon/LW5GR0S_043646_1?wid=320&amp;op_usm=0.8",1)</f>
        <v/>
      </c>
      <c r="B338" s="2" t="inlineStr">
        <is>
          <t>Get Low High-Rise Training Tight 25"</t>
        </is>
      </c>
      <c r="C338" s="2" t="inlineStr">
        <is>
          <t>157712571</t>
        </is>
      </c>
      <c r="D338" s="2" t="inlineStr">
        <is>
          <t>$108.00</t>
        </is>
      </c>
      <c r="E338" s="2" t="inlineStr">
        <is>
          <t>$54.00</t>
        </is>
      </c>
      <c r="F338" s="2">
        <f>IMAGE("https://images.lululemon.com/is/image/lululemon/43646",1)</f>
        <v/>
      </c>
      <c r="G338" s="2" t="n"/>
      <c r="H338" s="2" t="n"/>
      <c r="I338" s="2" t="n"/>
      <c r="J338" s="2" t="n"/>
      <c r="K338" s="2" t="n"/>
      <c r="L338" s="2" t="inlineStr">
        <is>
          <t>2, 4, 6, 8, 10, 12</t>
        </is>
      </c>
      <c r="M338" s="2" t="n">
        <v>350</v>
      </c>
      <c r="N338" s="2" t="inlineStr">
        <is>
          <t>You put in the work—here's the gear to match. These seamless tights offer a hugged feel and a defined look to your quads and glutes through every supercharged movement.</t>
        </is>
      </c>
      <c r="O338" s="2" t="inlineStr">
        <is>
          <t>Get-Low-High-Rise-Training-Tight-25</t>
        </is>
      </c>
      <c r="P338" s="2" t="inlineStr">
        <is>
          <t>Yes</t>
        </is>
      </c>
      <c r="Q338" s="2" t="inlineStr">
        <is>
          <t>Get Low HR Training Tight 25" BLK/GGRE 2</t>
        </is>
      </c>
      <c r="R338" s="2" t="inlineStr">
        <is>
          <t>Black/Graphite Grey</t>
        </is>
      </c>
      <c r="S338" s="2" t="inlineStr">
        <is>
          <t>Athletic Pants</t>
        </is>
      </c>
      <c r="T338" s="2" t="inlineStr">
        <is>
          <t>Women</t>
        </is>
      </c>
    </row>
    <row r="339" ht="80" customHeight="1">
      <c r="A339" s="3">
        <f>IMAGE("https://images.lululemon.com/is/image/lululemon/LU9CAMS_031382_1?wid=320&amp;op_usm=0.8",1)</f>
        <v/>
      </c>
      <c r="B339" s="3" t="inlineStr">
        <is>
          <t>Removable Sweatband All-Sport Visor</t>
        </is>
      </c>
      <c r="C339" s="3" t="inlineStr">
        <is>
          <t>150750165</t>
        </is>
      </c>
      <c r="D339" s="3" t="inlineStr">
        <is>
          <t>$38.00</t>
        </is>
      </c>
      <c r="E339" s="3" t="inlineStr">
        <is>
          <t>$19.00</t>
        </is>
      </c>
      <c r="F339" s="3">
        <f>IMAGE("https://images.lululemon.com/is/image/lululemon/31382",1)</f>
        <v/>
      </c>
      <c r="G339" s="3">
        <f>IMAGE("https://images.lululemon.com/is/image/lululemon/0001",1)</f>
        <v/>
      </c>
      <c r="H339" s="3" t="n"/>
      <c r="I339" s="3" t="n"/>
      <c r="J339" s="3" t="n"/>
      <c r="K339" s="3" t="n"/>
      <c r="L339" s="3" t="inlineStr">
        <is>
          <t>L/XL</t>
        </is>
      </c>
      <c r="M339" s="3" t="n">
        <v>181</v>
      </c>
      <c r="N339" s="3" t="inlineStr">
        <is>
          <t>It's easy to stay fresh with this do-it-all visor. Toss the detachable interior sweatband in the laundry so it's ready to go for your next sweat session.</t>
        </is>
      </c>
      <c r="O339" s="3" t="inlineStr">
        <is>
          <t>Removable-SweatbAll-Sport-Visor</t>
        </is>
      </c>
      <c r="P339" s="3" t="inlineStr">
        <is>
          <t>Yes</t>
        </is>
      </c>
      <c r="Q339" s="3" t="inlineStr">
        <is>
          <t>Removable Sweatband All-Sport Visor TRNV L/XL</t>
        </is>
      </c>
      <c r="R339" s="3" t="inlineStr">
        <is>
          <t>True Navy, Black</t>
        </is>
      </c>
      <c r="S339" s="3" t="inlineStr">
        <is>
          <t>Visors</t>
        </is>
      </c>
      <c r="T339" s="3" t="inlineStr">
        <is>
          <t>Women</t>
        </is>
      </c>
    </row>
    <row r="340" ht="80" customHeight="1">
      <c r="A340" s="2">
        <f>IMAGE("https://images.lululemon.com/is/image/lululemon/LW2326S_0001_1?wid=320&amp;op_usm=0.8",1)</f>
        <v/>
      </c>
      <c r="B340" s="2" t="inlineStr">
        <is>
          <t>lululemon Energy Bra *Medium Support, B–D Cups</t>
        </is>
      </c>
      <c r="C340" s="2" t="inlineStr">
        <is>
          <t>151626263</t>
        </is>
      </c>
      <c r="D340" s="2" t="inlineStr">
        <is>
          <t>$58.00</t>
        </is>
      </c>
      <c r="E340" s="2" t="inlineStr">
        <is>
          <t>$29.00</t>
        </is>
      </c>
      <c r="F340" s="2">
        <f>IMAGE("https://images.lululemon.com/is/image/lululemon/0001",1)</f>
        <v/>
      </c>
      <c r="G340" s="2">
        <f>IMAGE("https://images.lululemon.com/is/image/lululemon/0002",1)</f>
        <v/>
      </c>
      <c r="H340" s="2">
        <f>IMAGE("https://images.lululemon.com/is/image/lululemon/32507",1)</f>
        <v/>
      </c>
      <c r="I340" s="2">
        <f>IMAGE("https://images.lululemon.com/is/image/lululemon/71150",1)</f>
        <v/>
      </c>
      <c r="J340" s="2">
        <f>IMAGE("https://images.lululemon.com/is/image/lululemon/19295",1)</f>
        <v/>
      </c>
      <c r="K340" s="2">
        <f>IMAGE("https://images.lululemon.com/is/image/lululemon/71152",1)</f>
        <v/>
      </c>
      <c r="L340" s="2" t="inlineStr">
        <is>
          <t>2, 4, 6, 8, 10, 12, 14</t>
        </is>
      </c>
      <c r="M340" s="2" t="n">
        <v>3463</v>
      </c>
      <c r="N340" s="2" t="inlineStr">
        <is>
          <t>Voted most likely to be worn multiple times a week. This all-sport bra is a favourite for comfort and versatility.</t>
        </is>
      </c>
      <c r="O340" s="2" t="inlineStr">
        <is>
          <t>Energy-Bra-32925</t>
        </is>
      </c>
      <c r="P340" s="2" t="inlineStr">
        <is>
          <t>Yes</t>
        </is>
      </c>
      <c r="Q340" s="2" t="inlineStr">
        <is>
          <t>lululemon Energy Bra BLK 2</t>
        </is>
      </c>
      <c r="R340" s="2" t="inlineStr">
        <is>
          <t>Black, White, Serene Blue, Blue Twill, Lululemon Red, Pink Frosting</t>
        </is>
      </c>
      <c r="S340" s="2" t="inlineStr">
        <is>
          <t>Strappy Bras, Racerback Bras</t>
        </is>
      </c>
      <c r="T340" s="2" t="inlineStr">
        <is>
          <t>Women</t>
        </is>
      </c>
    </row>
    <row r="341" ht="80" customHeight="1">
      <c r="A341" s="3">
        <f>IMAGE("https://images.lululemon.com/is/image/lululemon/LW5FFFS_0001_1?wid=320&amp;op_usm=0.8",1)</f>
        <v/>
      </c>
      <c r="B341" s="3" t="inlineStr">
        <is>
          <t>Wunder Train High-Rise Tight with Pockets 28"</t>
        </is>
      </c>
      <c r="C341" s="3" t="inlineStr">
        <is>
          <t>149508145</t>
        </is>
      </c>
      <c r="D341" s="3" t="inlineStr">
        <is>
          <t>$128.00</t>
        </is>
      </c>
      <c r="E341" s="3" t="inlineStr">
        <is>
          <t>$64.00</t>
        </is>
      </c>
      <c r="F341" s="3">
        <f>IMAGE("https://images.lululemon.com/is/image/lululemon/0001",1)</f>
        <v/>
      </c>
      <c r="G341" s="3" t="n"/>
      <c r="H341" s="3" t="n"/>
      <c r="I341" s="3" t="n"/>
      <c r="J341" s="3" t="n"/>
      <c r="K341" s="3" t="n"/>
      <c r="L341" s="3" t="inlineStr">
        <is>
          <t>2, 4, 6, 8</t>
        </is>
      </c>
      <c r="M341" s="3" t="n">
        <v>155</v>
      </c>
      <c r="N341" s="3" t="inlineStr">
        <is>
          <t>Train hard, not hot. Made from Everlux™ fabric, this pocketed version of our Wunder Train collection lets you get sweaty, stay focused, and keep workout essentials close.</t>
        </is>
      </c>
      <c r="O341" s="3" t="inlineStr">
        <is>
          <t>Wunder-Train-HR-Tight-Pockets-28</t>
        </is>
      </c>
      <c r="P341" s="3" t="inlineStr">
        <is>
          <t>Yes</t>
        </is>
      </c>
      <c r="Q341" s="3" t="inlineStr">
        <is>
          <t>Wunder Train HR Tight 28" *Pockets BLK 2</t>
        </is>
      </c>
      <c r="R341" s="3" t="inlineStr">
        <is>
          <t>Black</t>
        </is>
      </c>
      <c r="S341" s="3" t="inlineStr"/>
      <c r="T341" s="3" t="inlineStr">
        <is>
          <t>Women</t>
        </is>
      </c>
    </row>
    <row r="342" ht="80" customHeight="1">
      <c r="A342" s="2">
        <f>IMAGE("https://images.lululemon.com/is/image/lululemon/LW9FBXS_0002_1?wid=320&amp;op_usm=0.8",1)</f>
        <v/>
      </c>
      <c r="B342" s="2" t="inlineStr">
        <is>
          <t>Women's Luxtreme Training Headband</t>
        </is>
      </c>
      <c r="C342" s="2" t="inlineStr">
        <is>
          <t>153836035</t>
        </is>
      </c>
      <c r="D342" s="2" t="inlineStr">
        <is>
          <t>$14.00</t>
        </is>
      </c>
      <c r="E342" s="2" t="inlineStr">
        <is>
          <t>$7.00</t>
        </is>
      </c>
      <c r="F342" s="2">
        <f>IMAGE("https://images.lululemon.com/is/image/lululemon/0002",1)</f>
        <v/>
      </c>
      <c r="G342" s="2">
        <f>IMAGE("https://images.lululemon.com/is/image/lululemon/0001",1)</f>
        <v/>
      </c>
      <c r="H342" s="2">
        <f>IMAGE("https://images.lululemon.com/is/image/lululemon/28022",1)</f>
        <v/>
      </c>
      <c r="I342" s="2">
        <f>IMAGE("https://images.lululemon.com/is/image/lululemon/21363",1)</f>
        <v/>
      </c>
      <c r="J342" s="2">
        <f>IMAGE("https://images.lululemon.com/is/image/lululemon/72757",1)</f>
        <v/>
      </c>
      <c r="K342" s="2" t="n"/>
      <c r="L342" s="2" t="inlineStr">
        <is>
          <t>O/S</t>
        </is>
      </c>
      <c r="M342" s="2" t="n">
        <v>4426</v>
      </c>
      <c r="N342" s="2" t="inlineStr">
        <is>
          <t>Keep your hair in place while you work out. This sweat-wicking headband hugs your head in all the right places.</t>
        </is>
      </c>
      <c r="O342" s="2" t="inlineStr">
        <is>
          <t>W-Luxtreme-Training-Headband</t>
        </is>
      </c>
      <c r="P342" s="2" t="inlineStr">
        <is>
          <t>Yes</t>
        </is>
      </c>
      <c r="Q342" s="2" t="inlineStr">
        <is>
          <t>Luxtreme™ Training Headband WHT ONE SIZE</t>
        </is>
      </c>
      <c r="R342" s="2" t="inlineStr">
        <is>
          <t>White, Black, Indochine Blue, Berry Rumble, Oxford Red</t>
        </is>
      </c>
      <c r="S342" s="2" t="inlineStr">
        <is>
          <t>Headbands</t>
        </is>
      </c>
      <c r="T342" s="2" t="inlineStr">
        <is>
          <t>Women</t>
        </is>
      </c>
    </row>
    <row r="343" ht="80" customHeight="1">
      <c r="A343" s="3">
        <f>IMAGE("https://images.lululemon.com/is/image/lululemon/LU9CGNS_0001_1?wid=320&amp;op_usm=0.8",1)</f>
        <v/>
      </c>
      <c r="B343" s="3" t="inlineStr">
        <is>
          <t>Fast and Free Fleece Running Beanie</t>
        </is>
      </c>
      <c r="C343" s="3" t="inlineStr">
        <is>
          <t>154832028</t>
        </is>
      </c>
      <c r="D343" s="3" t="inlineStr">
        <is>
          <t>$48.00</t>
        </is>
      </c>
      <c r="E343" s="3" t="inlineStr">
        <is>
          <t>$24.00</t>
        </is>
      </c>
      <c r="F343" s="3">
        <f>IMAGE("https://images.lululemon.com/is/image/lululemon/0001",1)</f>
        <v/>
      </c>
      <c r="G343" s="3" t="n"/>
      <c r="H343" s="3" t="n"/>
      <c r="I343" s="3" t="n"/>
      <c r="J343" s="3" t="n"/>
      <c r="K343" s="3" t="n"/>
      <c r="L343" s="3" t="inlineStr">
        <is>
          <t>S/M, L/XL</t>
        </is>
      </c>
      <c r="M343" s="3" t="n">
        <v>303</v>
      </c>
      <c r="N343" s="3" t="inlineStr">
        <is>
          <t>Gone in a flash. This warm, double-layered beanie has reflective details to help keep you on the radar during cold-weather runs.</t>
        </is>
      </c>
      <c r="O343" s="3" t="inlineStr">
        <is>
          <t>Fast-and-Free-Fleece-Run-Beanie</t>
        </is>
      </c>
      <c r="P343" s="3" t="inlineStr">
        <is>
          <t>Yes</t>
        </is>
      </c>
      <c r="Q343" s="3" t="inlineStr">
        <is>
          <t>Fast and Free Fleece Run Beanie BLK S/M</t>
        </is>
      </c>
      <c r="R343" s="3" t="inlineStr">
        <is>
          <t>Black</t>
        </is>
      </c>
      <c r="S343" s="3" t="inlineStr">
        <is>
          <t>Beanies</t>
        </is>
      </c>
      <c r="T343" s="3" t="inlineStr">
        <is>
          <t>Women</t>
        </is>
      </c>
    </row>
    <row r="344" ht="80" customHeight="1">
      <c r="A344" s="2">
        <f>IMAGE("https://images.lululemon.com/is/image/lululemon/LU9BSDS_073013_1?wid=320&amp;op_usm=0.8",1)</f>
        <v/>
      </c>
      <c r="B344" s="2" t="inlineStr">
        <is>
          <t>Daily Multi-Pocket Tote Bag 20L</t>
        </is>
      </c>
      <c r="C344" s="2" t="inlineStr">
        <is>
          <t>158020348</t>
        </is>
      </c>
      <c r="D344" s="2" t="inlineStr">
        <is>
          <t>$68.00</t>
        </is>
      </c>
      <c r="E344" s="2" t="inlineStr">
        <is>
          <t>$34.00</t>
        </is>
      </c>
      <c r="F344" s="2">
        <f>IMAGE("https://images.lululemon.com/is/image/lululemon/73013",1)</f>
        <v/>
      </c>
      <c r="G344" s="2">
        <f>IMAGE("https://images.lululemon.com/is/image/lululemon/73852",1)</f>
        <v/>
      </c>
      <c r="H344" s="2">
        <f>IMAGE("https://images.lululemon.com/is/image/lululemon/70401",1)</f>
        <v/>
      </c>
      <c r="I344" s="2" t="n"/>
      <c r="J344" s="2" t="n"/>
      <c r="K344" s="2" t="n"/>
      <c r="L344" s="2" t="inlineStr">
        <is>
          <t>O/S</t>
        </is>
      </c>
      <c r="M344" s="2" t="n">
        <v>1114</v>
      </c>
      <c r="N344" s="2" t="inlineStr">
        <is>
          <t>From farmers-market scores to picnic essentials, this roomy tote handles it all. Bonus: it stands up on its own to make finding your things a breeze.</t>
        </is>
      </c>
      <c r="O344" s="2" t="inlineStr">
        <is>
          <t>Daily-Multi-Pocket-Tote-Bag-20L</t>
        </is>
      </c>
      <c r="P344" s="2" t="inlineStr">
        <is>
          <t>Yes</t>
        </is>
      </c>
      <c r="Q344" s="2" t="inlineStr">
        <is>
          <t>Daily Multi-Pocket Tote TROS/REDC ONE SIZE</t>
        </is>
      </c>
      <c r="R344" s="2" t="inlineStr">
        <is>
          <t>Tea Rose/Red Clay, Black Plum/Jewelled Magenta, Lavender Frost/Galactic Cobalt</t>
        </is>
      </c>
      <c r="S344" s="2" t="inlineStr">
        <is>
          <t>Totes</t>
        </is>
      </c>
      <c r="T344" s="2" t="inlineStr">
        <is>
          <t>Women</t>
        </is>
      </c>
    </row>
    <row r="345" ht="80" customHeight="1">
      <c r="A345" s="3">
        <f>IMAGE("https://images.lululemon.com/is/image/lululemon/LW3JBIS_0001_1?wid=320&amp;op_usm=0.8",1)</f>
        <v/>
      </c>
      <c r="B345" s="3" t="inlineStr">
        <is>
          <t>Wunder Train Full-Zip Jacket</t>
        </is>
      </c>
      <c r="C345" s="3" t="inlineStr">
        <is>
          <t>157680180</t>
        </is>
      </c>
      <c r="D345" s="3" t="inlineStr">
        <is>
          <t>$128.00</t>
        </is>
      </c>
      <c r="E345" s="3" t="inlineStr">
        <is>
          <t>$64.00</t>
        </is>
      </c>
      <c r="F345" s="3">
        <f>IMAGE("https://images.lululemon.com/is/image/lululemon/0001",1)</f>
        <v/>
      </c>
      <c r="G345" s="3" t="n"/>
      <c r="H345" s="3" t="n"/>
      <c r="I345" s="3" t="n"/>
      <c r="J345" s="3" t="n"/>
      <c r="K345" s="3" t="n"/>
      <c r="L345" s="3" t="inlineStr">
        <is>
          <t>2, 4, 6, 8, 10, 12</t>
        </is>
      </c>
      <c r="M345" s="3" t="n">
        <v>628</v>
      </c>
      <c r="N345" s="3" t="inlineStr">
        <is>
          <t>Train hard, not hot. This hooded jacket is made from ultra-breathable, fast-drying Everlux™ fabric for unrivaled performance through every step and rep.</t>
        </is>
      </c>
      <c r="O345" s="3" t="inlineStr">
        <is>
          <t>Wunder-Train-Full-Zip-Jacket</t>
        </is>
      </c>
      <c r="P345" s="3" t="inlineStr">
        <is>
          <t>Yes</t>
        </is>
      </c>
      <c r="Q345" s="3" t="inlineStr">
        <is>
          <t>Wunder Train Full-Zip Jacket BLK 2</t>
        </is>
      </c>
      <c r="R345" s="3" t="inlineStr">
        <is>
          <t>Black</t>
        </is>
      </c>
      <c r="S345" s="3" t="inlineStr">
        <is>
          <t>Zip Up Sweatshirts</t>
        </is>
      </c>
      <c r="T345" s="3" t="inlineStr">
        <is>
          <t>Women</t>
        </is>
      </c>
    </row>
    <row r="346" ht="80" customHeight="1">
      <c r="A346" s="2">
        <f>IMAGE("https://images.lululemon.com/is/image/lululemon/LW5FLOS_031382_1?wid=320&amp;op_usm=0.8",1)</f>
        <v/>
      </c>
      <c r="B346" s="2" t="inlineStr">
        <is>
          <t>Fast and Free High-Rise Tight 28" *5 Pocket</t>
        </is>
      </c>
      <c r="C346" s="2" t="inlineStr">
        <is>
          <t>146082348</t>
        </is>
      </c>
      <c r="D346" s="2" t="inlineStr">
        <is>
          <t>$128.00</t>
        </is>
      </c>
      <c r="E346" s="2" t="inlineStr">
        <is>
          <t>$64.00</t>
        </is>
      </c>
      <c r="F346" s="2">
        <f>IMAGE("https://images.lululemon.com/is/image/lululemon/31382",1)</f>
        <v/>
      </c>
      <c r="G346" s="2" t="n"/>
      <c r="H346" s="2" t="n"/>
      <c r="I346" s="2" t="n"/>
      <c r="J346" s="2" t="n"/>
      <c r="K346" s="2" t="n"/>
      <c r="L346" s="2" t="inlineStr">
        <is>
          <t>2, 4, 8, 12, 14</t>
        </is>
      </c>
      <c r="M346" s="2" t="n">
        <v>77</v>
      </c>
      <c r="N346" s="2" t="inlineStr">
        <is>
          <t>Set your run free. This five-pocket version of our Fast and Free tight has seam-free inner thighs and a streamlined waistband to maximize that smooth, weightless feeling.</t>
        </is>
      </c>
      <c r="O346" s="2" t="inlineStr">
        <is>
          <t>Nulux-5-Pocket-HR-Running-Tight-28</t>
        </is>
      </c>
      <c r="P346" s="2" t="inlineStr">
        <is>
          <t>Yes</t>
        </is>
      </c>
      <c r="Q346" s="2" t="inlineStr">
        <is>
          <t>Fast and Free HR Tight 28" *Pockets TRNV 2</t>
        </is>
      </c>
      <c r="R346" s="2" t="inlineStr">
        <is>
          <t>True Navy</t>
        </is>
      </c>
      <c r="S346" s="2" t="inlineStr">
        <is>
          <t>5 Pocket Pants, Athletic Pants</t>
        </is>
      </c>
      <c r="T346" s="2" t="inlineStr">
        <is>
          <t>Women</t>
        </is>
      </c>
    </row>
    <row r="347" ht="80" customHeight="1">
      <c r="A347" s="3">
        <f>IMAGE("https://images.lululemon.com/is/image/lululemon/LW7DPAS_0001_1?wid=320&amp;op_usm=0.8",1)</f>
        <v/>
      </c>
      <c r="B347" s="3" t="inlineStr">
        <is>
          <t>Stretch Twill Golf Short 5"</t>
        </is>
      </c>
      <c r="C347" s="3" t="inlineStr">
        <is>
          <t>158026090</t>
        </is>
      </c>
      <c r="D347" s="3" t="inlineStr">
        <is>
          <t>$98.00</t>
        </is>
      </c>
      <c r="E347" s="3" t="inlineStr">
        <is>
          <t>$49.00</t>
        </is>
      </c>
      <c r="F347" s="3">
        <f>IMAGE("https://images.lululemon.com/is/image/lululemon/0001",1)</f>
        <v/>
      </c>
      <c r="G347" s="3">
        <f>IMAGE("https://images.lululemon.com/is/image/lululemon/43731",1)</f>
        <v/>
      </c>
      <c r="H347" s="3">
        <f>IMAGE("https://images.lululemon.com/is/image/lululemon/31382",1)</f>
        <v/>
      </c>
      <c r="I347" s="3">
        <f>IMAGE("https://images.lululemon.com/is/image/lululemon/68684",1)</f>
        <v/>
      </c>
      <c r="J347" s="3">
        <f>IMAGE("https://images.lululemon.com/is/image/lululemon/68578",1)</f>
        <v/>
      </c>
      <c r="K347" s="3" t="n"/>
      <c r="L347" s="3" t="inlineStr">
        <is>
          <t>22, 23, 24, 25, 26, 27, 28, 29, 30, 31, 32, 33</t>
        </is>
      </c>
      <c r="M347" s="3" t="n">
        <v>2447</v>
      </c>
      <c r="N347" s="3" t="inlineStr">
        <is>
          <t>Stretch for your swing. These stretch twill golf shorts are designed to give you full freedom of movement. The fly front keeps them looking smart, too.</t>
        </is>
      </c>
      <c r="O347" s="3" t="inlineStr">
        <is>
          <t>Stretch-Twill-Golf-Short-5</t>
        </is>
      </c>
      <c r="P347" s="3" t="inlineStr">
        <is>
          <t>Yes</t>
        </is>
      </c>
      <c r="Q347" s="3" t="inlineStr">
        <is>
          <t>Stretch Twill Golf Short 5" CLBL 22</t>
        </is>
      </c>
      <c r="R347" s="3" t="inlineStr">
        <is>
          <t>Black, Trench, True Navy, Sheer Oak, Club Blue</t>
        </is>
      </c>
      <c r="S347" s="3" t="inlineStr">
        <is>
          <t>Athletic Shorts</t>
        </is>
      </c>
      <c r="T347" s="3" t="inlineStr">
        <is>
          <t>Women</t>
        </is>
      </c>
    </row>
    <row r="348" ht="80" customHeight="1">
      <c r="A348" s="2">
        <f>IMAGE("https://images.lululemon.com/is/image/lululemon/LW3DUTS_031382_1?wid=320&amp;op_usm=0.8",1)</f>
        <v/>
      </c>
      <c r="B348" s="2" t="inlineStr">
        <is>
          <t>Perfectly Oversized Crew</t>
        </is>
      </c>
      <c r="C348" s="2" t="inlineStr">
        <is>
          <t>123028949</t>
        </is>
      </c>
      <c r="D348" s="2" t="inlineStr">
        <is>
          <t>$108.00</t>
        </is>
      </c>
      <c r="E348" s="2" t="inlineStr">
        <is>
          <t>$54.00</t>
        </is>
      </c>
      <c r="F348" s="2">
        <f>IMAGE("https://images.lululemon.com/is/image/lululemon/31382",1)</f>
        <v/>
      </c>
      <c r="G348" s="2" t="n"/>
      <c r="H348" s="2" t="n"/>
      <c r="I348" s="2" t="n"/>
      <c r="J348" s="2" t="n"/>
      <c r="K348" s="2" t="n"/>
      <c r="L348" s="2" t="inlineStr">
        <is>
          <t>10, 12, 14</t>
        </is>
      </c>
      <c r="M348" s="2" t="n">
        <v>250</v>
      </c>
      <c r="N348" s="2" t="inlineStr">
        <is>
          <t>Nothing but love for this roomy, perfectly oversized sweatshirt. Toss it on after your workout for that time-to-relax fit.</t>
        </is>
      </c>
      <c r="O348" s="2" t="inlineStr">
        <is>
          <t>Perfectly-Oversized-Crew</t>
        </is>
      </c>
      <c r="P348" s="2" t="inlineStr">
        <is>
          <t>Yes</t>
        </is>
      </c>
      <c r="Q348" s="2" t="inlineStr">
        <is>
          <t>Perfectly Oversized Crew TRNV 10</t>
        </is>
      </c>
      <c r="R348" s="2" t="inlineStr">
        <is>
          <t>True Navy</t>
        </is>
      </c>
      <c r="S348" s="2" t="inlineStr">
        <is>
          <t>Crewneck Sweatshirts</t>
        </is>
      </c>
      <c r="T348" s="2" t="inlineStr">
        <is>
          <t>Women</t>
        </is>
      </c>
    </row>
    <row r="349" ht="80" customHeight="1">
      <c r="A349" s="3">
        <f>IMAGE("https://images.lululemon.com/is/image/lululemon/LU9CVWS_073767_1?wid=320&amp;op_usm=0.8",1)</f>
        <v/>
      </c>
      <c r="B349" s="3" t="inlineStr">
        <is>
          <t>Insulated Tumbler 40oz *Shine</t>
        </is>
      </c>
      <c r="C349" s="3" t="inlineStr">
        <is>
          <t>157718224</t>
        </is>
      </c>
      <c r="D349" s="3" t="inlineStr">
        <is>
          <t>$58.00</t>
        </is>
      </c>
      <c r="E349" s="3" t="inlineStr">
        <is>
          <t>$29.00</t>
        </is>
      </c>
      <c r="F349" s="3">
        <f>IMAGE("https://images.lululemon.com/is/image/lululemon/73767",1)</f>
        <v/>
      </c>
      <c r="G349" s="3">
        <f>IMAGE("https://images.lululemon.com/is/image/lululemon/73740",1)</f>
        <v/>
      </c>
      <c r="H349" s="3" t="n"/>
      <c r="I349" s="3" t="n"/>
      <c r="J349" s="3" t="n"/>
      <c r="K349" s="3" t="n"/>
      <c r="L349" s="3" t="inlineStr">
        <is>
          <t>O/S</t>
        </is>
      </c>
      <c r="M349" s="3" t="n">
        <v>487</v>
      </c>
      <c r="N349" s="3" t="inlineStr">
        <is>
          <t>Your new hydration bestie. This easy-carry tumbler gives you options: take icy cold sips from the stainless steel straw or swig from the secure lid flap.</t>
        </is>
      </c>
      <c r="O349" s="3" t="inlineStr">
        <is>
          <t>Insulated-Tumbler-40oz-Shine</t>
        </is>
      </c>
      <c r="P349" s="3" t="inlineStr">
        <is>
          <t>Yes</t>
        </is>
      </c>
      <c r="Q349" s="3" t="inlineStr">
        <is>
          <t>Insulated Tumbler 40oz DRGL/SLVR ONE SIZE</t>
        </is>
      </c>
      <c r="R349" s="3" t="inlineStr">
        <is>
          <t>Dark Rose Gold/Silver, Gunmetal/Silver/Black</t>
        </is>
      </c>
      <c r="S349" s="3" t="inlineStr">
        <is>
          <t>Tumblers and Travel Mugs</t>
        </is>
      </c>
      <c r="T349" s="3" t="inlineStr">
        <is>
          <t>Women</t>
        </is>
      </c>
    </row>
    <row r="350" ht="80" customHeight="1">
      <c r="A350" s="2">
        <f>IMAGE("https://images.lululemon.com/is/image/lululemon/LW5HBCS_0001_1?wid=320&amp;op_usm=0.8",1)</f>
        <v/>
      </c>
      <c r="B350" s="2" t="inlineStr">
        <is>
          <t>Daydrift High-Rise Jogger *Regular</t>
        </is>
      </c>
      <c r="C350" s="2" t="inlineStr">
        <is>
          <t>156491565</t>
        </is>
      </c>
      <c r="D350" s="2" t="inlineStr">
        <is>
          <t>$148.00</t>
        </is>
      </c>
      <c r="E350" s="2" t="inlineStr">
        <is>
          <t>$74.00</t>
        </is>
      </c>
      <c r="F350" s="2">
        <f>IMAGE("https://images.lululemon.com/is/image/lululemon/0001",1)</f>
        <v/>
      </c>
      <c r="G350" s="2" t="n"/>
      <c r="H350" s="2" t="n"/>
      <c r="I350" s="2" t="n"/>
      <c r="J350" s="2" t="n"/>
      <c r="K350" s="2" t="n"/>
      <c r="L350" s="2" t="inlineStr">
        <is>
          <t>XS, S, M, L, XL</t>
        </is>
      </c>
      <c r="M350" s="2" t="n">
        <v>215</v>
      </c>
      <c r="N350" s="2" t="inlineStr">
        <is>
          <t>Technical meets tailored. These pull-on joggers feature classic design touches and use four-way stretch Luxtreme™ fabric for a powerfully sleek look and feel.</t>
        </is>
      </c>
      <c r="O350" s="2" t="inlineStr">
        <is>
          <t>Daydrift-High-Rise-Jogger-Regular</t>
        </is>
      </c>
      <c r="P350" s="2" t="inlineStr">
        <is>
          <t>Yes</t>
        </is>
      </c>
      <c r="Q350" s="2" t="inlineStr">
        <is>
          <t>Daydrift™ HR Jogger *Regular BLK XS</t>
        </is>
      </c>
      <c r="R350" s="2" t="inlineStr">
        <is>
          <t>Black</t>
        </is>
      </c>
      <c r="S350" s="2" t="inlineStr"/>
      <c r="T350" s="2" t="inlineStr">
        <is>
          <t>Women</t>
        </is>
      </c>
    </row>
    <row r="351" ht="80" customHeight="1">
      <c r="A351" s="3">
        <f>IMAGE("https://images.lululemon.com/is/image/lululemon/LW7CNIS_071168_1?wid=320&amp;op_usm=0.8",1)</f>
        <v/>
      </c>
      <c r="B351" s="3" t="inlineStr">
        <is>
          <t>Fast and Free High-Rise Short 8" *5 Pocket</t>
        </is>
      </c>
      <c r="C351" s="3" t="inlineStr">
        <is>
          <t>158018674</t>
        </is>
      </c>
      <c r="D351" s="3" t="inlineStr">
        <is>
          <t>$78.00</t>
        </is>
      </c>
      <c r="E351" s="3" t="inlineStr">
        <is>
          <t>$39.00</t>
        </is>
      </c>
      <c r="F351" s="3">
        <f>IMAGE("https://images.lululemon.com/is/image/lululemon/71168",1)</f>
        <v/>
      </c>
      <c r="G351" s="3" t="n"/>
      <c r="H351" s="3" t="n"/>
      <c r="I351" s="3" t="n"/>
      <c r="J351" s="3" t="n"/>
      <c r="K351" s="3" t="n"/>
      <c r="L351" s="3" t="inlineStr">
        <is>
          <t>2, 4, 6, 8, 10, 12</t>
        </is>
      </c>
      <c r="M351" s="3" t="n">
        <v>169</v>
      </c>
      <c r="N351" s="3" t="inlineStr">
        <is>
          <t>Set your run free. This five-pocket version of our Fast and Free short has seam-free inner thighs and a streamlined waistband to maximize that smooth, weightless feeling.</t>
        </is>
      </c>
      <c r="O351" s="3" t="inlineStr">
        <is>
          <t>Nulux-5-Pocket-High-Rise-Running-Short-8</t>
        </is>
      </c>
      <c r="P351" s="3" t="inlineStr">
        <is>
          <t>Yes</t>
        </is>
      </c>
      <c r="Q351" s="3" t="inlineStr">
        <is>
          <t>Fast and Free HR Short 8" *Pockets NIGH 2</t>
        </is>
      </c>
      <c r="R351" s="3" t="inlineStr">
        <is>
          <t>Nightmoth</t>
        </is>
      </c>
      <c r="S351" s="3" t="inlineStr">
        <is>
          <t>Biker Shorts, Athletic Shorts</t>
        </is>
      </c>
      <c r="T351" s="3" t="inlineStr">
        <is>
          <t>Women</t>
        </is>
      </c>
    </row>
    <row r="352" ht="80" customHeight="1">
      <c r="A352" s="2">
        <f>IMAGE("https://images.lululemon.com/is/image/lululemon/LW7DITS_069299_1?wid=320&amp;op_usm=0.8",1)</f>
        <v/>
      </c>
      <c r="B352" s="2" t="inlineStr">
        <is>
          <t>Velvet Terry Slim-Fit High-Rise Short 2"</t>
        </is>
      </c>
      <c r="C352" s="2" t="inlineStr">
        <is>
          <t>157682657</t>
        </is>
      </c>
      <c r="D352" s="2" t="inlineStr">
        <is>
          <t>$78.00</t>
        </is>
      </c>
      <c r="E352" s="2" t="inlineStr">
        <is>
          <t>$39.00</t>
        </is>
      </c>
      <c r="F352" s="2">
        <f>IMAGE("https://images.lululemon.com/is/image/lululemon/69299",1)</f>
        <v/>
      </c>
      <c r="G352" s="2" t="n"/>
      <c r="H352" s="2" t="n"/>
      <c r="I352" s="2" t="n"/>
      <c r="J352" s="2" t="n"/>
      <c r="K352" s="2" t="n"/>
      <c r="L352" s="2" t="inlineStr">
        <is>
          <t>XS, S, M, L, XL</t>
        </is>
      </c>
      <c r="M352" s="2" t="n">
        <v>131</v>
      </c>
      <c r="N352" s="2" t="inlineStr">
        <is>
          <t>Stay cozy and comfy on the  court (or couch) in these  velvet terry shorts. Team them  with the matching polo for a  coordinated warm-up look.</t>
        </is>
      </c>
      <c r="O352" s="2" t="inlineStr">
        <is>
          <t>Velvet-Terry-Slim-Fit-High-Rise-Short-2</t>
        </is>
      </c>
      <c r="P352" s="2" t="inlineStr">
        <is>
          <t>Yes</t>
        </is>
      </c>
      <c r="Q352" s="2" t="inlineStr">
        <is>
          <t>Velvet Terry Slim-Fit HR Short 2" CLBL/CLBL XS</t>
        </is>
      </c>
      <c r="R352" s="2" t="inlineStr">
        <is>
          <t>Club Blue/Club Blue</t>
        </is>
      </c>
      <c r="S352" s="2" t="inlineStr">
        <is>
          <t>Athletic Shorts, Sweat Shorts</t>
        </is>
      </c>
      <c r="T352" s="2" t="inlineStr">
        <is>
          <t>Women</t>
        </is>
      </c>
    </row>
    <row r="353" ht="80" customHeight="1">
      <c r="A353" s="3">
        <f>IMAGE("https://images.lululemon.com/is/image/lululemon/LW1FQ4S_0001_1?wid=320&amp;op_usm=0.8",1)</f>
        <v/>
      </c>
      <c r="B353" s="3" t="inlineStr">
        <is>
          <t>Wunder Train Racerback Tank Top *Medium Support, B/C Cup</t>
        </is>
      </c>
      <c r="C353" s="3" t="inlineStr">
        <is>
          <t>158019702</t>
        </is>
      </c>
      <c r="D353" s="3" t="inlineStr">
        <is>
          <t>$68.00</t>
        </is>
      </c>
      <c r="E353" s="3" t="inlineStr">
        <is>
          <t>$34.00</t>
        </is>
      </c>
      <c r="F353" s="3">
        <f>IMAGE("https://images.lululemon.com/is/image/lululemon/0001",1)</f>
        <v/>
      </c>
      <c r="G353" s="3">
        <f>IMAGE("https://images.lululemon.com/is/image/lululemon/32650",1)</f>
        <v/>
      </c>
      <c r="H353" s="3" t="n"/>
      <c r="I353" s="3" t="n"/>
      <c r="J353" s="3" t="n"/>
      <c r="K353" s="3" t="n"/>
      <c r="L353" s="3" t="inlineStr">
        <is>
          <t>2, 4, 6, 8, 10, 12</t>
        </is>
      </c>
      <c r="M353" s="3" t="n">
        <v>479</v>
      </c>
      <c r="N353" s="3" t="inlineStr">
        <is>
          <t>Cut from highly breathable Everlux™ fabric, this tank features a narrow racerback for freedom of movement and sleek coverage across the chest, neckline, and front armholes.</t>
        </is>
      </c>
      <c r="O353" s="3" t="inlineStr">
        <is>
          <t>Wunder-Train-Racerback-Tank-Top-Medium-Support-BC</t>
        </is>
      </c>
      <c r="P353" s="3" t="inlineStr">
        <is>
          <t>Yes</t>
        </is>
      </c>
      <c r="Q353" s="3" t="inlineStr">
        <is>
          <t>Wunder Train Racerback Tank FTLV 2</t>
        </is>
      </c>
      <c r="R353" s="3" t="inlineStr">
        <is>
          <t>Black, Faint Lavender</t>
        </is>
      </c>
      <c r="S353" s="3" t="inlineStr"/>
      <c r="T353" s="3" t="inlineStr">
        <is>
          <t>Women</t>
        </is>
      </c>
    </row>
    <row r="354" ht="80" customHeight="1">
      <c r="A354" s="2">
        <f>IMAGE("https://images.lululemon.com/is/image/lululemon/LW3IG8S_032493_1?wid=320&amp;op_usm=0.8",1)</f>
        <v/>
      </c>
      <c r="B354" s="2" t="inlineStr">
        <is>
          <t>Scuba Oversized Funnel-Neck Half Zip *Long</t>
        </is>
      </c>
      <c r="C354" s="2" t="inlineStr">
        <is>
          <t>154834894</t>
        </is>
      </c>
      <c r="D354" s="2" t="inlineStr">
        <is>
          <t>$128.00</t>
        </is>
      </c>
      <c r="E354" s="2" t="inlineStr">
        <is>
          <t>$64.00</t>
        </is>
      </c>
      <c r="F354" s="2">
        <f>IMAGE("https://images.lululemon.com/is/image/lululemon/32493",1)</f>
        <v/>
      </c>
      <c r="G354" s="2">
        <f>IMAGE("https://images.lululemon.com/is/image/lululemon/42737",1)</f>
        <v/>
      </c>
      <c r="H354" s="2">
        <f>IMAGE("https://images.lululemon.com/is/image/lululemon/0001",1)</f>
        <v/>
      </c>
      <c r="I354" s="2">
        <f>IMAGE("https://images.lululemon.com/is/image/lululemon/70135",1)</f>
        <v/>
      </c>
      <c r="J354" s="2">
        <f>IMAGE("https://images.lululemon.com/is/image/lululemon/42797",1)</f>
        <v/>
      </c>
      <c r="K354" s="2">
        <f>IMAGE("https://images.lululemon.com/is/image/lululemon/32507",1)</f>
        <v/>
      </c>
      <c r="L354" s="2" t="inlineStr">
        <is>
          <t>XS/S, M/L, XL/XXL</t>
        </is>
      </c>
      <c r="M354" s="2" t="n">
        <v>12367</v>
      </c>
      <c r="N354" s="2" t="inlineStr">
        <is>
          <t>Serious about softness. This funnel-neck half zip is all about fleecy fabric and sinking in to a cozy oversized fit.</t>
        </is>
      </c>
      <c r="O354" s="2" t="inlineStr">
        <is>
          <t>Scuba-Oversized-Funnel-Neck-Long</t>
        </is>
      </c>
      <c r="P354" s="2" t="inlineStr">
        <is>
          <t>Yes</t>
        </is>
      </c>
      <c r="Q354" s="2" t="inlineStr">
        <is>
          <t>Scuba Oversized Funnel Neck Half Zip HCUG XS/S</t>
        </is>
      </c>
      <c r="R354" s="2" t="inlineStr">
        <is>
          <t>Heathered Core Ultra Light Grey, Heathered Light Ivory/Gold, Black, Washed Blue, Light Ivory/Gold, Serene Blue, Nightmoth, Blue Twill, Blissful Pink/Gold, Rainforest Green, Black/Gold, Riverside/Mirror Silver</t>
        </is>
      </c>
      <c r="S354" s="2" t="inlineStr">
        <is>
          <t>Half Zip Sweatshirts, Quarter Zip Sweatshirts</t>
        </is>
      </c>
      <c r="T354" s="2" t="inlineStr">
        <is>
          <t>Women</t>
        </is>
      </c>
    </row>
    <row r="355" ht="80" customHeight="1">
      <c r="A355" s="3">
        <f>IMAGE("https://images.lululemon.com/is/image/lululemon/LU9CMUS_027401_1?wid=320&amp;op_usm=0.8",1)</f>
        <v/>
      </c>
      <c r="B355" s="3" t="inlineStr">
        <is>
          <t>Back to Life Sport Bottle 24oz Straw Lid *Print</t>
        </is>
      </c>
      <c r="C355" s="3" t="inlineStr">
        <is>
          <t>157768469</t>
        </is>
      </c>
      <c r="D355" s="3" t="inlineStr">
        <is>
          <t>$48.00</t>
        </is>
      </c>
      <c r="E355" s="3" t="inlineStr">
        <is>
          <t>$24.00</t>
        </is>
      </c>
      <c r="F355" s="3">
        <f>IMAGE("https://images.lululemon.com/is/image/lululemon/27401",1)</f>
        <v/>
      </c>
      <c r="G355" s="3" t="n"/>
      <c r="H355" s="3" t="n"/>
      <c r="I355" s="3" t="n"/>
      <c r="J355" s="3" t="n"/>
      <c r="K355" s="3" t="n"/>
      <c r="L355" s="3" t="inlineStr">
        <is>
          <t>O/S</t>
        </is>
      </c>
      <c r="M355" s="3" t="n">
        <v>174</v>
      </c>
      <c r="N355" s="3" t="inlineStr">
        <is>
          <t>Sport mode: activated. This insulated water bottle has a built-in straw lid and a slip-free texture to make one-handed drinking a breeze.</t>
        </is>
      </c>
      <c r="O355" s="3" t="inlineStr">
        <is>
          <t>Back-to-Life-Sport-Bottle-24oz-Straw-Lid-Print</t>
        </is>
      </c>
      <c r="P355" s="3" t="inlineStr">
        <is>
          <t>Yes</t>
        </is>
      </c>
      <c r="Q355" s="3" t="inlineStr">
        <is>
          <t>Back to Life Sport Bottle 24oz*Straw Lid PLCN ONE SIZE</t>
        </is>
      </c>
      <c r="R355" s="3" t="inlineStr">
        <is>
          <t>Pelican</t>
        </is>
      </c>
      <c r="S355" s="3" t="inlineStr"/>
      <c r="T355" s="3" t="inlineStr">
        <is>
          <t>Women</t>
        </is>
      </c>
    </row>
    <row r="356" ht="80" customHeight="1">
      <c r="A356" s="2">
        <f>IMAGE("https://images.lululemon.com/is/image/lululemon/LU9CACS_0001_1?wid=320&amp;op_usm=0.8",1)</f>
        <v/>
      </c>
      <c r="B356" s="2" t="inlineStr">
        <is>
          <t>Slouchy Sling Bag 6L</t>
        </is>
      </c>
      <c r="C356" s="2" t="inlineStr">
        <is>
          <t>153840523</t>
        </is>
      </c>
      <c r="D356" s="2" t="inlineStr">
        <is>
          <t>$68.00</t>
        </is>
      </c>
      <c r="E356" s="2" t="inlineStr">
        <is>
          <t>$34.00</t>
        </is>
      </c>
      <c r="F356" s="2">
        <f>IMAGE("https://images.lululemon.com/is/image/lululemon/0001",1)</f>
        <v/>
      </c>
      <c r="G356" s="2">
        <f>IMAGE("https://images.lululemon.com/is/image/lululemon/42797",1)</f>
        <v/>
      </c>
      <c r="H356" s="2" t="n"/>
      <c r="I356" s="2" t="n"/>
      <c r="J356" s="2" t="n"/>
      <c r="K356" s="2" t="n"/>
      <c r="L356" s="2" t="inlineStr">
        <is>
          <t>O/S</t>
        </is>
      </c>
      <c r="M356" s="2" t="n">
        <v>147</v>
      </c>
      <c r="N356" s="2" t="inlineStr">
        <is>
          <t>No structure, no problem. With a curved silhouette and a surprising amount of space, this slouchy sling tucks close to your frame for comfort and security.</t>
        </is>
      </c>
      <c r="O356" s="2" t="inlineStr">
        <is>
          <t>Slouchy-Sling-Bag-6L</t>
        </is>
      </c>
      <c r="P356" s="2" t="inlineStr">
        <is>
          <t>Yes</t>
        </is>
      </c>
      <c r="Q356" s="2" t="inlineStr">
        <is>
          <t>Slouchy Sling Bag BLK ONE SIZE</t>
        </is>
      </c>
      <c r="R356" s="2" t="inlineStr">
        <is>
          <t>Black, Light Ivory/Gold</t>
        </is>
      </c>
      <c r="S356" s="2" t="inlineStr">
        <is>
          <t>Crossbody Bags, Shoulder Bags</t>
        </is>
      </c>
      <c r="T356" s="2" t="inlineStr">
        <is>
          <t>Women</t>
        </is>
      </c>
    </row>
    <row r="357" ht="80" customHeight="1">
      <c r="A357" s="3">
        <f>IMAGE("https://images.lululemon.com/is/image/lululemon/LU9CPTS_0001_1?wid=320&amp;op_usm=0.8",1)</f>
        <v/>
      </c>
      <c r="B357" s="3" t="inlineStr">
        <is>
          <t>Unisex Power Stride Crew Socks</t>
        </is>
      </c>
      <c r="C357" s="3" t="inlineStr">
        <is>
          <t>156751324</t>
        </is>
      </c>
      <c r="D357" s="3" t="inlineStr">
        <is>
          <t>$18.00</t>
        </is>
      </c>
      <c r="E357" s="3" t="inlineStr">
        <is>
          <t>$9.00</t>
        </is>
      </c>
      <c r="F357" s="3">
        <f>IMAGE("https://images.lululemon.com/is/image/lululemon/0001",1)</f>
        <v/>
      </c>
      <c r="G357" s="3" t="n"/>
      <c r="H357" s="3" t="n"/>
      <c r="I357" s="3" t="n"/>
      <c r="J357" s="3" t="n"/>
      <c r="K357" s="3" t="n"/>
      <c r="L357" s="3" t="inlineStr">
        <is>
          <t>S, M, L, XL</t>
        </is>
      </c>
      <c r="M357" s="3" t="n">
        <v>265</v>
      </c>
      <c r="N357" s="3" t="inlineStr">
        <is>
          <t>Set the groundwork for a strong workout. We updated our versatile performance socks with intentional cushioning and enhanced breathability so you can move more comfortably.</t>
        </is>
      </c>
      <c r="O357" s="3" t="inlineStr">
        <is>
          <t>Unisex-Power-Stride-Crew-Socks</t>
        </is>
      </c>
      <c r="P357" s="3" t="inlineStr">
        <is>
          <t>Yes</t>
        </is>
      </c>
      <c r="Q357" s="3" t="inlineStr">
        <is>
          <t>Power Stride Socks BLK S</t>
        </is>
      </c>
      <c r="R357" s="3" t="inlineStr">
        <is>
          <t>Black</t>
        </is>
      </c>
      <c r="S357" s="3" t="inlineStr">
        <is>
          <t>Crew Socks</t>
        </is>
      </c>
      <c r="T357" s="3" t="inlineStr">
        <is>
          <t>Women</t>
        </is>
      </c>
    </row>
    <row r="358" ht="80" customHeight="1">
      <c r="A358" s="2">
        <f>IMAGE("https://images.lululemon.com/is/image/lululemon/LW7DDJS_0001_1?wid=320&amp;op_usm=0.8",1)</f>
        <v/>
      </c>
      <c r="B358" s="2" t="inlineStr">
        <is>
          <t>Softstreme High-Rise Short 4"</t>
        </is>
      </c>
      <c r="C358" s="2" t="inlineStr">
        <is>
          <t>153845871</t>
        </is>
      </c>
      <c r="D358" s="2" t="inlineStr">
        <is>
          <t>$78.00</t>
        </is>
      </c>
      <c r="E358" s="2" t="inlineStr">
        <is>
          <t>$39.00</t>
        </is>
      </c>
      <c r="F358" s="2">
        <f>IMAGE("https://images.lululemon.com/is/image/lululemon/0001",1)</f>
        <v/>
      </c>
      <c r="G358" s="2">
        <f>IMAGE("https://images.lululemon.com/is/image/lululemon/68684",1)</f>
        <v/>
      </c>
      <c r="H358" s="2">
        <f>IMAGE("https://images.lululemon.com/is/image/lululemon/33454",1)</f>
        <v/>
      </c>
      <c r="I358" s="2">
        <f>IMAGE("https://images.lululemon.com/is/image/lululemon/0554",1)</f>
        <v/>
      </c>
      <c r="J358" s="2" t="n"/>
      <c r="K358" s="2" t="n"/>
      <c r="L358" s="2" t="inlineStr">
        <is>
          <t>2, 4, 6, 8, 10, 12, XS, S, M, L, XL</t>
        </is>
      </c>
      <c r="M358" s="2" t="n">
        <v>935</v>
      </c>
      <c r="N358" s="2" t="inlineStr">
        <is>
          <t>Feel it to believe it. These shorts have a peach-fuzz touch that's impossible to resist. Dress them up or down and enjoy the softness all day.</t>
        </is>
      </c>
      <c r="O358" s="2" t="inlineStr">
        <is>
          <t>Softstreme-HR-Short-4</t>
        </is>
      </c>
      <c r="P358" s="2" t="inlineStr">
        <is>
          <t>Yes</t>
        </is>
      </c>
      <c r="Q358" s="2" t="inlineStr">
        <is>
          <t>Softstreme High-Rise Short 4" BLK 2</t>
        </is>
      </c>
      <c r="R358" s="2" t="inlineStr">
        <is>
          <t>Black, Sheer Oak, Light Ivory, Grape Mist</t>
        </is>
      </c>
      <c r="S358" s="2" t="inlineStr">
        <is>
          <t>Sweat Shorts</t>
        </is>
      </c>
      <c r="T358" s="2" t="inlineStr">
        <is>
          <t>Women</t>
        </is>
      </c>
    </row>
    <row r="359" ht="80" customHeight="1">
      <c r="A359" s="3">
        <f>IMAGE("https://images.lululemon.com/is/image/lululemon/LW1EU8S_025461_1?wid=320&amp;op_usm=0.8",1)</f>
        <v/>
      </c>
      <c r="B359" s="3" t="inlineStr">
        <is>
          <t>lululemon Align™ Cami Strap Dress</t>
        </is>
      </c>
      <c r="C359" s="3" t="inlineStr">
        <is>
          <t>156509060</t>
        </is>
      </c>
      <c r="D359" s="3" t="inlineStr">
        <is>
          <t>$148.00</t>
        </is>
      </c>
      <c r="E359" s="3" t="inlineStr">
        <is>
          <t>$74.00</t>
        </is>
      </c>
      <c r="F359" s="3">
        <f>IMAGE("https://images.lululemon.com/is/image/lululemon/25461",1)</f>
        <v/>
      </c>
      <c r="G359" s="3">
        <f>IMAGE("https://images.lululemon.com/is/image/lululemon/70105",1)</f>
        <v/>
      </c>
      <c r="H359" s="3" t="n"/>
      <c r="I359" s="3" t="n"/>
      <c r="J359" s="3" t="n"/>
      <c r="K359" s="3" t="n"/>
      <c r="L359" s="3" t="inlineStr">
        <is>
          <t>2, 4, 6, 8, 10, 12</t>
        </is>
      </c>
      <c r="M359" s="3" t="n">
        <v>1583</v>
      </c>
      <c r="N359" s="3" t="inlineStr">
        <is>
          <t>Get the buttery softness of lululemon Align™ in a dress. Powered by Nulu™ fabric and made with a built-in shorts liner, your poses and postures have never felt this free.</t>
        </is>
      </c>
      <c r="O359" s="3" t="inlineStr">
        <is>
          <t>Align-Cami-Strap-Dress</t>
        </is>
      </c>
      <c r="P359" s="3" t="inlineStr">
        <is>
          <t>Yes</t>
        </is>
      </c>
      <c r="Q359" s="3" t="inlineStr">
        <is>
          <t>lululemon Align™ Cami Strap Dress PNKO 2</t>
        </is>
      </c>
      <c r="R359" s="3" t="inlineStr">
        <is>
          <t>Pool Party, Pink Organza</t>
        </is>
      </c>
      <c r="S359" s="3" t="inlineStr">
        <is>
          <t>Bodycon Dresses</t>
        </is>
      </c>
      <c r="T359" s="3" t="inlineStr">
        <is>
          <t>Women</t>
        </is>
      </c>
    </row>
    <row r="360" ht="80" customHeight="1">
      <c r="A360" s="2">
        <f>IMAGE("https://images.lululemon.com/is/image/lululemon/LW2ESGS_0002_1?wid=320&amp;op_usm=0.8",1)</f>
        <v/>
      </c>
      <c r="B360" s="2" t="inlineStr">
        <is>
          <t>Wunder Train Strappy Wrapped Bra *Light Support, A/B Cup</t>
        </is>
      </c>
      <c r="C360" s="2" t="inlineStr">
        <is>
          <t>157708598</t>
        </is>
      </c>
      <c r="D360" s="2" t="inlineStr">
        <is>
          <t>$58.00</t>
        </is>
      </c>
      <c r="E360" s="2" t="inlineStr">
        <is>
          <t>$29.00</t>
        </is>
      </c>
      <c r="F360" s="2">
        <f>IMAGE("https://images.lululemon.com/is/image/lululemon/0002",1)</f>
        <v/>
      </c>
      <c r="G360" s="2">
        <f>IMAGE("https://images.lululemon.com/is/image/lululemon/70108",1)</f>
        <v/>
      </c>
      <c r="H360" s="2" t="n"/>
      <c r="I360" s="2" t="n"/>
      <c r="J360" s="2" t="n"/>
      <c r="K360" s="2" t="n"/>
      <c r="L360" s="2" t="inlineStr">
        <is>
          <t>2, 4, 8, 10, 6</t>
        </is>
      </c>
      <c r="M360" s="2" t="n">
        <v>127</v>
      </c>
      <c r="N360" s="2" t="inlineStr">
        <is>
          <t>This longline edition of our narrow-strap sports bra gives you the same lightweight feel with a crossover underband detail.</t>
        </is>
      </c>
      <c r="O360" s="2" t="inlineStr">
        <is>
          <t>Wunder-Train-Strappy-Wrapped-Bra-Light-Support-AB</t>
        </is>
      </c>
      <c r="P360" s="2" t="inlineStr">
        <is>
          <t>Yes</t>
        </is>
      </c>
      <c r="Q360" s="2" t="inlineStr">
        <is>
          <t>Wunder Train Strappy Wrapped Bra A/B WHT 2</t>
        </is>
      </c>
      <c r="R360" s="2" t="inlineStr">
        <is>
          <t>White, Warm Ash Grey</t>
        </is>
      </c>
      <c r="S360" s="2" t="inlineStr">
        <is>
          <t>Strappy Bras, Longline Bras, Bralettes</t>
        </is>
      </c>
      <c r="T360" s="2" t="inlineStr">
        <is>
          <t>Women</t>
        </is>
      </c>
    </row>
    <row r="361" ht="80" customHeight="1">
      <c r="A361" s="3">
        <f>IMAGE("https://images.lululemon.com/is/image/lululemon/LW3HQUS_0001_1?wid=320&amp;op_usm=0.8",1)</f>
        <v/>
      </c>
      <c r="B361" s="3" t="inlineStr">
        <is>
          <t>Jersey Training Short-Sleeve Shirt</t>
        </is>
      </c>
      <c r="C361" s="3" t="inlineStr">
        <is>
          <t>153826083</t>
        </is>
      </c>
      <c r="D361" s="3" t="inlineStr">
        <is>
          <t>$58.00</t>
        </is>
      </c>
      <c r="E361" s="3" t="inlineStr">
        <is>
          <t>$29.00</t>
        </is>
      </c>
      <c r="F361" s="3">
        <f>IMAGE("https://images.lululemon.com/is/image/lululemon/0001",1)</f>
        <v/>
      </c>
      <c r="G361" s="3">
        <f>IMAGE("https://images.lululemon.com/is/image/lululemon/0002",1)</f>
        <v/>
      </c>
      <c r="H361" s="3">
        <f>IMAGE("https://images.lululemon.com/is/image/lululemon/71150",1)</f>
        <v/>
      </c>
      <c r="I361" s="3">
        <f>IMAGE("https://images.lululemon.com/is/image/lululemon/33190",1)</f>
        <v/>
      </c>
      <c r="J361" s="3">
        <f>IMAGE("https://images.lululemon.com/is/image/lululemon/49106",1)</f>
        <v/>
      </c>
      <c r="K361" s="3" t="n"/>
      <c r="L361" s="3" t="inlineStr">
        <is>
          <t>2, 4, 6, 8, 10, 12</t>
        </is>
      </c>
      <c r="M361" s="3" t="n">
        <v>1145</v>
      </c>
      <c r="N361" s="3" t="inlineStr">
        <is>
          <t>It's giving versatility. This training shirt combines technical performance with the ultra-soft feel of your favourite lounge top.</t>
        </is>
      </c>
      <c r="O361" s="3" t="inlineStr">
        <is>
          <t>Jersey-Training-SS-Shirt</t>
        </is>
      </c>
      <c r="P361" s="3" t="inlineStr">
        <is>
          <t>Yes</t>
        </is>
      </c>
      <c r="Q361" s="3" t="inlineStr">
        <is>
          <t>Jersey Training Short Sleeve WHT 2</t>
        </is>
      </c>
      <c r="R361" s="3" t="inlineStr">
        <is>
          <t>Black, White, Blue Twill, Brilliant Blue, Rainforest Green</t>
        </is>
      </c>
      <c r="S361" s="3" t="inlineStr"/>
      <c r="T361" s="3" t="inlineStr">
        <is>
          <t>Women</t>
        </is>
      </c>
    </row>
    <row r="362" ht="80" customHeight="1">
      <c r="A362" s="2">
        <f>IMAGE("https://images.lululemon.com/is/image/lululemon/LW2731S_0002_1?wid=320&amp;op_usm=0.8",1)</f>
        <v/>
      </c>
      <c r="B362" s="2" t="inlineStr">
        <is>
          <t>Free to Be Bra - Wild *Light Support, A/B Cup</t>
        </is>
      </c>
      <c r="C362" s="2" t="inlineStr">
        <is>
          <t>3598591</t>
        </is>
      </c>
      <c r="D362" s="2" t="inlineStr">
        <is>
          <t>$48.00</t>
        </is>
      </c>
      <c r="E362" s="2" t="inlineStr">
        <is>
          <t>$24.00</t>
        </is>
      </c>
      <c r="F362" s="2">
        <f>IMAGE("https://images.lululemon.com/is/image/lululemon/0002",1)</f>
        <v/>
      </c>
      <c r="G362" s="2" t="n"/>
      <c r="H362" s="2" t="n"/>
      <c r="I362" s="2" t="n"/>
      <c r="J362" s="2" t="n"/>
      <c r="K362" s="2" t="n"/>
      <c r="L362" s="2" t="inlineStr">
        <is>
          <t>8, 10, 12</t>
        </is>
      </c>
      <c r="M362" s="2" t="n">
        <v>105</v>
      </c>
      <c r="N362" s="2" t="inlineStr">
        <is>
          <t>Meet you at yoga? This strappy open-back bra is ready for all the ways you move, stretch, and open.</t>
        </is>
      </c>
      <c r="O362" s="2" t="inlineStr">
        <is>
          <t>Free-To-Be-Bra-Wild</t>
        </is>
      </c>
      <c r="P362" s="2" t="inlineStr">
        <is>
          <t>Yes</t>
        </is>
      </c>
      <c r="Q362" s="2" t="inlineStr">
        <is>
          <t>Free to Be Bra *Wild WHT 8</t>
        </is>
      </c>
      <c r="R362" s="2" t="inlineStr">
        <is>
          <t>White</t>
        </is>
      </c>
      <c r="S362" s="2" t="inlineStr">
        <is>
          <t>Strappy Bras, Bralettes</t>
        </is>
      </c>
      <c r="T362" s="2" t="inlineStr">
        <is>
          <t>Women</t>
        </is>
      </c>
    </row>
    <row r="363" ht="80" customHeight="1">
      <c r="A363" s="3">
        <f>IMAGE("https://images.lululemon.com/is/image/lululemon/LU9AYKS_0001_1?wid=320&amp;op_usm=0.8",1)</f>
        <v/>
      </c>
      <c r="B363" s="3" t="inlineStr">
        <is>
          <t>Fast and Free Running Armband</t>
        </is>
      </c>
      <c r="C363" s="3" t="inlineStr">
        <is>
          <t>144355704</t>
        </is>
      </c>
      <c r="D363" s="3" t="inlineStr">
        <is>
          <t>$38.00</t>
        </is>
      </c>
      <c r="E363" s="3" t="inlineStr">
        <is>
          <t>$19.00</t>
        </is>
      </c>
      <c r="F363" s="3">
        <f>IMAGE("https://images.lululemon.com/is/image/lululemon/0001",1)</f>
        <v/>
      </c>
      <c r="G363" s="3" t="n"/>
      <c r="H363" s="3" t="n"/>
      <c r="I363" s="3" t="n"/>
      <c r="J363" s="3" t="n"/>
      <c r="K363" s="3" t="n"/>
      <c r="L363" s="3" t="inlineStr">
        <is>
          <t>S/M, L/XL</t>
        </is>
      </c>
      <c r="M363" s="3" t="n">
        <v>121</v>
      </c>
      <c r="N363" s="3" t="inlineStr">
        <is>
          <t>Go the distance while staying connected. This low-profile armband is lightweight and breathable, making it perfect for long runs.</t>
        </is>
      </c>
      <c r="O363" s="3" t="inlineStr">
        <is>
          <t>Fast-and-Free-Run-Arm-Band</t>
        </is>
      </c>
      <c r="P363" s="3" t="inlineStr">
        <is>
          <t>Yes</t>
        </is>
      </c>
      <c r="Q363" s="3" t="inlineStr">
        <is>
          <t>Fast and Free Run Armband BLK S/M</t>
        </is>
      </c>
      <c r="R363" s="3" t="inlineStr">
        <is>
          <t>Black</t>
        </is>
      </c>
      <c r="S363" s="3" t="inlineStr"/>
      <c r="T363" s="3" t="inlineStr">
        <is>
          <t>Women</t>
        </is>
      </c>
    </row>
    <row r="364" ht="80" customHeight="1">
      <c r="A364" s="2">
        <f>IMAGE("https://images.lululemon.com/is/image/lululemon/LW7DDRS_0001_1?wid=320&amp;op_usm=0.8",1)</f>
        <v/>
      </c>
      <c r="B364" s="2" t="inlineStr">
        <is>
          <t>Fast and Free High-Rise Classic-Fit Split Short 3"</t>
        </is>
      </c>
      <c r="C364" s="2" t="inlineStr">
        <is>
          <t>155703139</t>
        </is>
      </c>
      <c r="D364" s="2" t="inlineStr">
        <is>
          <t>$78.00</t>
        </is>
      </c>
      <c r="E364" s="2" t="inlineStr">
        <is>
          <t>$39.00</t>
        </is>
      </c>
      <c r="F364" s="2">
        <f>IMAGE("https://images.lululemon.com/is/image/lululemon/0001",1)</f>
        <v/>
      </c>
      <c r="G364" s="2">
        <f>IMAGE("https://images.lululemon.com/is/image/lululemon/49106",1)</f>
        <v/>
      </c>
      <c r="H364" s="2">
        <f>IMAGE("https://images.lululemon.com/is/image/lululemon/31382",1)</f>
        <v/>
      </c>
      <c r="I364" s="2">
        <f>IMAGE("https://images.lululemon.com/is/image/lululemon/33190",1)</f>
        <v/>
      </c>
      <c r="J364" s="2" t="n"/>
      <c r="K364" s="2" t="n"/>
      <c r="L364" s="2" t="inlineStr">
        <is>
          <t>XXXS, XXS, XS, S, M, L, XL</t>
        </is>
      </c>
      <c r="M364" s="2" t="n">
        <v>4015</v>
      </c>
      <c r="N364" s="2" t="inlineStr">
        <is>
          <t>100% pure running freedom. These shorts pair lightweight performance fabric with streamlined waistband storage to keep you feeling fast and free.</t>
        </is>
      </c>
      <c r="O364" s="2" t="inlineStr">
        <is>
          <t>Fast-and-Free-High-Rise-Classic-Fit-Split-Short-3</t>
        </is>
      </c>
      <c r="P364" s="2" t="inlineStr">
        <is>
          <t>Yes</t>
        </is>
      </c>
      <c r="Q364" s="2" t="inlineStr">
        <is>
          <t>Fast and Free High-Rise Split Short 3" BLK XXXS</t>
        </is>
      </c>
      <c r="R364" s="2" t="inlineStr">
        <is>
          <t>Black, Rainforest Green, True Navy, Brilliant Blue</t>
        </is>
      </c>
      <c r="S364" s="2" t="inlineStr">
        <is>
          <t>Athletic Shorts, Liner Shorts, Track Shorts</t>
        </is>
      </c>
      <c r="T364" s="2" t="inlineStr">
        <is>
          <t>Women</t>
        </is>
      </c>
    </row>
    <row r="365" ht="80" customHeight="1">
      <c r="A365" s="3">
        <f>IMAGE("https://images.lululemon.com/is/image/lululemon/LW3IGAS_020392_1?wid=320&amp;op_usm=0.8",1)</f>
        <v/>
      </c>
      <c r="B365" s="3" t="inlineStr">
        <is>
          <t>Hold Tight Straight-Hem Cropped T-Shirt</t>
        </is>
      </c>
      <c r="C365" s="3" t="inlineStr">
        <is>
          <t>157687372</t>
        </is>
      </c>
      <c r="D365" s="3" t="inlineStr">
        <is>
          <t>$58.00</t>
        </is>
      </c>
      <c r="E365" s="3" t="inlineStr">
        <is>
          <t>$29.00</t>
        </is>
      </c>
      <c r="F365" s="3">
        <f>IMAGE("https://images.lululemon.com/is/image/lululemon/20392",1)</f>
        <v/>
      </c>
      <c r="G365" s="3" t="n"/>
      <c r="H365" s="3" t="n"/>
      <c r="I365" s="3" t="n"/>
      <c r="J365" s="3" t="n"/>
      <c r="K365" s="3" t="n"/>
      <c r="L365" s="3" t="inlineStr">
        <is>
          <t>2, 4, 6, 8, 10, 12</t>
        </is>
      </c>
      <c r="M365" s="3" t="n">
        <v>382</v>
      </c>
      <c r="N365" s="3" t="inlineStr">
        <is>
          <t>Super soft and loves to layer. This lightweight cropped t-shirt delivers just-right stretch and a second-skin fit that wears well on its own or under a hoodie or a button up.</t>
        </is>
      </c>
      <c r="O365" s="3" t="inlineStr">
        <is>
          <t>Hold-Tight-Straight-Hem-Cropped-T</t>
        </is>
      </c>
      <c r="P365" s="3" t="inlineStr">
        <is>
          <t>Yes</t>
        </is>
      </c>
      <c r="Q365" s="3" t="inlineStr">
        <is>
          <t>Hold Tight Straight Hem Cropped T-Shirt MINK 2</t>
        </is>
      </c>
      <c r="R365" s="3" t="inlineStr">
        <is>
          <t>Mink Berry</t>
        </is>
      </c>
      <c r="S365" s="3" t="inlineStr"/>
      <c r="T365" s="3" t="inlineStr">
        <is>
          <t>Women</t>
        </is>
      </c>
    </row>
    <row r="366" ht="80" customHeight="1">
      <c r="A366" s="2">
        <f>IMAGE("https://images.lululemon.com/is/image/lululemon/LW3DZBS_4780_1?wid=320&amp;op_usm=0.8",1)</f>
        <v/>
      </c>
      <c r="B366" s="2" t="inlineStr">
        <is>
          <t>Swiftly Tech Short-Sleeve Shirt 2.0 *Waist Length</t>
        </is>
      </c>
      <c r="C366" s="2" t="inlineStr">
        <is>
          <t>157715378</t>
        </is>
      </c>
      <c r="D366" s="2" t="inlineStr">
        <is>
          <t>$68.00</t>
        </is>
      </c>
      <c r="E366" s="2" t="inlineStr">
        <is>
          <t>$34.00</t>
        </is>
      </c>
      <c r="F366" s="2">
        <f>IMAGE("https://images.lululemon.com/is/image/lululemon/4780",1)</f>
        <v/>
      </c>
      <c r="G366" s="2">
        <f>IMAGE("https://images.lululemon.com/is/image/lululemon/12826",1)</f>
        <v/>
      </c>
      <c r="H366" s="2">
        <f>IMAGE("https://images.lululemon.com/is/image/lululemon/71154",1)</f>
        <v/>
      </c>
      <c r="I366" s="2">
        <f>IMAGE("https://images.lululemon.com/is/image/lululemon/36949",1)</f>
        <v/>
      </c>
      <c r="J366" s="2">
        <f>IMAGE("https://images.lululemon.com/is/image/lululemon/72600",1)</f>
        <v/>
      </c>
      <c r="K366" s="2">
        <f>IMAGE("https://images.lululemon.com/is/image/lululemon/21861",1)</f>
        <v/>
      </c>
      <c r="L366" s="2" t="inlineStr">
        <is>
          <t>0, 2, 4, 6, 8, 10, 12, 14, 16, 18</t>
        </is>
      </c>
      <c r="M366" s="2" t="n">
        <v>4881</v>
      </c>
      <c r="N366" s="2" t="inlineStr">
        <is>
          <t>Go ahead, get sweaty. The Swiftly collection is all about high-performing fabric that seamlessly adapts to you and your workout.</t>
        </is>
      </c>
      <c r="O366" s="2" t="inlineStr">
        <is>
          <t>Swiftly-Tech-Short-Sleeve-2-Race</t>
        </is>
      </c>
      <c r="P366" s="2" t="inlineStr">
        <is>
          <t>Yes</t>
        </is>
      </c>
      <c r="Q366" s="2" t="inlineStr">
        <is>
          <t>Swiftly Tech Short Sleeve 2.0 *Race BALF/BALF 0</t>
        </is>
      </c>
      <c r="R366" s="2" t="inlineStr">
        <is>
          <t>Black/Black, White/White, Bay Leaf/Bay Leaf, Serene Blue/Serene Blue, Grape Mist/ATMOSPHERIC PURPLE, Berry Rumble/Berry Rumble, Indochine Blue/Indochine Blue</t>
        </is>
      </c>
      <c r="S366" s="2" t="inlineStr"/>
      <c r="T366" s="2" t="inlineStr">
        <is>
          <t>Women</t>
        </is>
      </c>
    </row>
    <row r="367" ht="80" customHeight="1">
      <c r="A367" s="3">
        <f>IMAGE("https://images.lululemon.com/is/image/lululemon/LW5HFES_072338_1?wid=320&amp;op_usm=0.8",1)</f>
        <v/>
      </c>
      <c r="B367" s="3" t="inlineStr">
        <is>
          <t>lululemon Align™ High-Rise Pant 25" *Jacquard</t>
        </is>
      </c>
      <c r="C367" s="3" t="inlineStr">
        <is>
          <t>157685176</t>
        </is>
      </c>
      <c r="D367" s="3" t="inlineStr">
        <is>
          <t>$98.00</t>
        </is>
      </c>
      <c r="E367" s="3" t="inlineStr">
        <is>
          <t>$49.00</t>
        </is>
      </c>
      <c r="F367" s="3">
        <f>IMAGE("https://images.lululemon.com/is/image/lululemon/72338",1)</f>
        <v/>
      </c>
      <c r="G367" s="3" t="n"/>
      <c r="H367" s="3" t="n"/>
      <c r="I367" s="3" t="n"/>
      <c r="J367" s="3" t="n"/>
      <c r="K367" s="3" t="n"/>
      <c r="L367" s="3" t="inlineStr">
        <is>
          <t>2, 4, 6, 8, 10, 12</t>
        </is>
      </c>
      <c r="M367" s="3" t="n">
        <v>338</v>
      </c>
      <c r="N367" s="3" t="inlineStr">
        <is>
          <t>When feeling nothing is everything. The lululemon Align™ collection is so weightless and buttery soft, all you feel is your practice.</t>
        </is>
      </c>
      <c r="O367" s="3" t="inlineStr">
        <is>
          <t>lululemon-Align-High-Rise-Pant-25-Jacquard</t>
        </is>
      </c>
      <c r="P367" s="3" t="inlineStr">
        <is>
          <t>Yes</t>
        </is>
      </c>
      <c r="Q367" s="3" t="inlineStr">
        <is>
          <t>lululemon Align™ HR Pant 25" *Jacquard SHJS 2</t>
        </is>
      </c>
      <c r="R367" s="3" t="inlineStr">
        <is>
          <t>Square Heart Jacquard Java Sequoia</t>
        </is>
      </c>
      <c r="S367" s="3" t="inlineStr"/>
      <c r="T367" s="3" t="inlineStr">
        <is>
          <t>Women</t>
        </is>
      </c>
    </row>
    <row r="368" ht="80" customHeight="1">
      <c r="A368" s="2">
        <f>IMAGE("https://images.lululemon.com/is/image/lululemon/LW3JKQS_0001_1?wid=320&amp;op_usm=0.8",1)</f>
        <v/>
      </c>
      <c r="B368" s="2" t="inlineStr">
        <is>
          <t>Brushed Softstreme Funnel Neck</t>
        </is>
      </c>
      <c r="C368" s="2" t="inlineStr">
        <is>
          <t>158030608</t>
        </is>
      </c>
      <c r="D368" s="2" t="inlineStr">
        <is>
          <t>$128.00</t>
        </is>
      </c>
      <c r="E368" s="2" t="inlineStr">
        <is>
          <t>$64.00</t>
        </is>
      </c>
      <c r="F368" s="2">
        <f>IMAGE("https://images.lululemon.com/is/image/lululemon/0001",1)</f>
        <v/>
      </c>
      <c r="G368" s="2">
        <f>IMAGE("https://images.lululemon.com/is/image/lululemon/33454",1)</f>
        <v/>
      </c>
      <c r="H368" s="2" t="n"/>
      <c r="I368" s="2" t="n"/>
      <c r="J368" s="2" t="n"/>
      <c r="K368" s="2" t="n"/>
      <c r="L368" s="2" t="inlineStr">
        <is>
          <t>XS, S, M, L, XL</t>
        </is>
      </c>
      <c r="M368" s="2" t="n">
        <v>5479</v>
      </c>
      <c r="N368" s="2" t="inlineStr">
        <is>
          <t>Just peachy. With a brushed interior, this Softstreme™ funnel neck is the layer you'll want to wear with everything.</t>
        </is>
      </c>
      <c r="O368" s="2" t="inlineStr">
        <is>
          <t>Brushed-Softstreme-Funnel-Neck</t>
        </is>
      </c>
      <c r="P368" s="2" t="inlineStr">
        <is>
          <t>Yes</t>
        </is>
      </c>
      <c r="Q368" s="2" t="inlineStr">
        <is>
          <t>Brushed Softstreme Funnel Neck BLK XS</t>
        </is>
      </c>
      <c r="R368" s="2" t="inlineStr">
        <is>
          <t>Black, Light Ivory</t>
        </is>
      </c>
      <c r="S368" s="2" t="inlineStr">
        <is>
          <t>Pullover Sweaters</t>
        </is>
      </c>
      <c r="T368" s="2" t="inlineStr">
        <is>
          <t>Women</t>
        </is>
      </c>
    </row>
    <row r="369" ht="80" customHeight="1">
      <c r="A369" s="3">
        <f>IMAGE("https://images.lululemon.com/is/image/lululemon/LW4CMES_0001_1?wid=320&amp;op_usm=0.8",1)</f>
        <v/>
      </c>
      <c r="B369" s="3" t="inlineStr">
        <is>
          <t>Insulated Back-Vent Running Jacket</t>
        </is>
      </c>
      <c r="C369" s="3" t="inlineStr">
        <is>
          <t>158119789</t>
        </is>
      </c>
      <c r="D369" s="3" t="inlineStr">
        <is>
          <t>$198.00</t>
        </is>
      </c>
      <c r="E369" s="3" t="inlineStr">
        <is>
          <t>$99.00</t>
        </is>
      </c>
      <c r="F369" s="3">
        <f>IMAGE("https://images.lululemon.com/is/image/lululemon/0001",1)</f>
        <v/>
      </c>
      <c r="G369" s="3" t="n"/>
      <c r="H369" s="3" t="n"/>
      <c r="I369" s="3" t="n"/>
      <c r="J369" s="3" t="n"/>
      <c r="K369" s="3" t="n"/>
      <c r="L369" s="3" t="inlineStr">
        <is>
          <t>XXS, XS, S, M, L, XL</t>
        </is>
      </c>
      <c r="M369" s="3" t="n">
        <v>271</v>
      </c>
      <c r="N369" s="3" t="inlineStr">
        <is>
          <t>When your pace is as brisk as the weather. This running jacket combines lightweight insulation with integrated ventilation for warmth without overheating.</t>
        </is>
      </c>
      <c r="O369" s="3" t="inlineStr">
        <is>
          <t>Insulated-Back-Vent-Running-Jacket</t>
        </is>
      </c>
      <c r="P369" s="3" t="inlineStr">
        <is>
          <t>Yes</t>
        </is>
      </c>
      <c r="Q369" s="3" t="inlineStr">
        <is>
          <t>Insulated Back-Vent Running Jacket BLK XXS</t>
        </is>
      </c>
      <c r="R369" s="3" t="inlineStr">
        <is>
          <t>Black</t>
        </is>
      </c>
      <c r="S369" s="3" t="inlineStr">
        <is>
          <t>Athletic Jackets</t>
        </is>
      </c>
      <c r="T369" s="3" t="inlineStr">
        <is>
          <t>Women</t>
        </is>
      </c>
    </row>
    <row r="370" ht="80" customHeight="1">
      <c r="A370" s="2">
        <f>IMAGE("https://images.lululemon.com/is/image/lululemon/LW8ALXS_0002_1?wid=320&amp;op_usm=0.8",1)</f>
        <v/>
      </c>
      <c r="B370" s="2" t="inlineStr">
        <is>
          <t>High-Rise Pleated Tennis Skirt</t>
        </is>
      </c>
      <c r="C370" s="2" t="inlineStr">
        <is>
          <t>153100917</t>
        </is>
      </c>
      <c r="D370" s="2" t="inlineStr">
        <is>
          <t>$68.00</t>
        </is>
      </c>
      <c r="E370" s="2" t="inlineStr">
        <is>
          <t>$34.00</t>
        </is>
      </c>
      <c r="F370" s="2">
        <f>IMAGE("https://images.lululemon.com/is/image/lululemon/0002",1)</f>
        <v/>
      </c>
      <c r="G370" s="2">
        <f>IMAGE("https://images.lululemon.com/is/image/lululemon/0001",1)</f>
        <v/>
      </c>
      <c r="H370" s="2">
        <f>IMAGE("https://images.lululemon.com/is/image/lululemon/68839",1)</f>
        <v/>
      </c>
      <c r="I370" s="2" t="n"/>
      <c r="J370" s="2" t="n"/>
      <c r="K370" s="2" t="n"/>
      <c r="L370" s="2" t="inlineStr">
        <is>
          <t>2, 4, 6, 10, 8, 12</t>
        </is>
      </c>
      <c r="M370" s="2" t="n">
        <v>1232</v>
      </c>
      <c r="N370" s="2" t="inlineStr">
        <is>
          <t>Game on. The lightweight, quick-drying fabric on this pleated tennis skirt will keep you cool and comfortable from first serve to match point.</t>
        </is>
      </c>
      <c r="O370" s="2" t="inlineStr">
        <is>
          <t>High-Rise-Pleated-Tennis-Skirt</t>
        </is>
      </c>
      <c r="P370" s="2" t="inlineStr">
        <is>
          <t>Yes</t>
        </is>
      </c>
      <c r="Q370" s="2" t="inlineStr">
        <is>
          <t>High-Rise Pleated Tennis Skirt BLK 2</t>
        </is>
      </c>
      <c r="R370" s="2" t="inlineStr">
        <is>
          <t>White, Black, Starch Blue</t>
        </is>
      </c>
      <c r="S370" s="2" t="inlineStr">
        <is>
          <t>Skorts, Athletic Skirts</t>
        </is>
      </c>
      <c r="T370" s="2" t="inlineStr">
        <is>
          <t>Women</t>
        </is>
      </c>
    </row>
    <row r="371" ht="80" customHeight="1">
      <c r="A371" s="3">
        <f>IMAGE("https://images.lululemon.com/is/image/lululemon/LW5HMSS_068215_1?wid=320&amp;op_usm=0.8",1)</f>
        <v/>
      </c>
      <c r="B371" s="3" t="inlineStr">
        <is>
          <t>Softy Suedey Cross-Waist Tight 25"</t>
        </is>
      </c>
      <c r="C371" s="3" t="inlineStr">
        <is>
          <t>158027946</t>
        </is>
      </c>
      <c r="D371" s="3" t="inlineStr">
        <is>
          <t>$108.00</t>
        </is>
      </c>
      <c r="E371" s="3" t="inlineStr">
        <is>
          <t>$54.00</t>
        </is>
      </c>
      <c r="F371" s="3">
        <f>IMAGE("https://images.lululemon.com/is/image/lululemon/68215",1)</f>
        <v/>
      </c>
      <c r="G371" s="3">
        <f>IMAGE("https://images.lululemon.com/is/image/lululemon/71595",1)</f>
        <v/>
      </c>
      <c r="H371" s="3" t="n"/>
      <c r="I371" s="3" t="n"/>
      <c r="J371" s="3" t="n"/>
      <c r="K371" s="3" t="n"/>
      <c r="L371" s="3" t="inlineStr">
        <is>
          <t>2, 4, 6, 8, 10, 12, 14</t>
        </is>
      </c>
      <c r="M371" s="3" t="n">
        <v>416</v>
      </c>
      <c r="N371" s="3" t="inlineStr">
        <is>
          <t>Calling in cozy. These tights with a crossover waist are made from sueded performance fabric to deliver a soft, warm texture that's comforting when it's chilly out.</t>
        </is>
      </c>
      <c r="O371" s="3" t="inlineStr">
        <is>
          <t>Softy-Suedey-Cross-Waist-Tight-25</t>
        </is>
      </c>
      <c r="P371" s="3" t="inlineStr">
        <is>
          <t>Yes</t>
        </is>
      </c>
      <c r="Q371" s="3" t="inlineStr">
        <is>
          <t>Softy Suedey Cross-Waist Tight 25" CMON/WHT 2</t>
        </is>
      </c>
      <c r="R371" s="3" t="inlineStr">
        <is>
          <t>Crescent Moon/White, Fog Green/White</t>
        </is>
      </c>
      <c r="S371" s="3" t="inlineStr"/>
      <c r="T371" s="3" t="inlineStr">
        <is>
          <t>Women</t>
        </is>
      </c>
    </row>
    <row r="372" ht="80" customHeight="1">
      <c r="A372" s="2">
        <f>IMAGE("https://images.lululemon.com/is/image/lululemon/LU9DDSS_036168_1?wid=320&amp;op_usm=0.8",1)</f>
        <v/>
      </c>
      <c r="B372" s="2" t="inlineStr">
        <is>
          <t>Warm Revelation Beanie *Wordmark</t>
        </is>
      </c>
      <c r="C372" s="2" t="inlineStr">
        <is>
          <t>157702281</t>
        </is>
      </c>
      <c r="D372" s="2" t="inlineStr">
        <is>
          <t>$48.00</t>
        </is>
      </c>
      <c r="E372" s="2" t="inlineStr">
        <is>
          <t>$24.00</t>
        </is>
      </c>
      <c r="F372" s="2">
        <f>IMAGE("https://images.lululemon.com/is/image/lululemon/36168",1)</f>
        <v/>
      </c>
      <c r="G372" s="2">
        <f>IMAGE("https://images.lululemon.com/is/image/lululemon/73461",1)</f>
        <v/>
      </c>
      <c r="H372" s="2" t="n"/>
      <c r="I372" s="2" t="n"/>
      <c r="J372" s="2" t="n"/>
      <c r="K372" s="2" t="n"/>
      <c r="L372" s="2" t="inlineStr">
        <is>
          <t>O/S</t>
        </is>
      </c>
      <c r="M372" s="2" t="n">
        <v>904</v>
      </c>
      <c r="N372" s="2" t="inlineStr">
        <is>
          <t>Pop on this merino wool-blend beanie when the temperature drops to help keep you cozy on chilly days.</t>
        </is>
      </c>
      <c r="O372" s="2" t="inlineStr">
        <is>
          <t>Warm-Revelation-Beanie-Wordmark</t>
        </is>
      </c>
      <c r="P372" s="2" t="inlineStr">
        <is>
          <t>Yes</t>
        </is>
      </c>
      <c r="Q372" s="2" t="inlineStr">
        <is>
          <t>Warm Revelation Beanie HRLI ONE SIZE</t>
        </is>
      </c>
      <c r="R372" s="2" t="inlineStr">
        <is>
          <t>Heathered Light Ivory, Faint Lavender/Grape Mist</t>
        </is>
      </c>
      <c r="S372" s="2" t="inlineStr">
        <is>
          <t>Beanies</t>
        </is>
      </c>
      <c r="T372" s="2" t="inlineStr">
        <is>
          <t>Women</t>
        </is>
      </c>
    </row>
    <row r="373" ht="80" customHeight="1">
      <c r="A373" s="3">
        <f>IMAGE("https://images.lululemon.com/is/image/lululemon/LW8AQJS_031382_1?wid=320&amp;op_usm=0.8",1)</f>
        <v/>
      </c>
      <c r="B373" s="3" t="inlineStr">
        <is>
          <t>Lightweight High-Rise Tennis Skirt</t>
        </is>
      </c>
      <c r="C373" s="3" t="inlineStr">
        <is>
          <t>149451816</t>
        </is>
      </c>
      <c r="D373" s="3" t="inlineStr">
        <is>
          <t>$78.00</t>
        </is>
      </c>
      <c r="E373" s="3" t="inlineStr">
        <is>
          <t>$39.00</t>
        </is>
      </c>
      <c r="F373" s="3">
        <f>IMAGE("https://images.lululemon.com/is/image/lululemon/31382",1)</f>
        <v/>
      </c>
      <c r="G373" s="3">
        <f>IMAGE("https://images.lululemon.com/is/image/lululemon/0002",1)</f>
        <v/>
      </c>
      <c r="H373" s="3">
        <f>IMAGE("https://images.lululemon.com/is/image/lululemon/0001",1)</f>
        <v/>
      </c>
      <c r="I373" s="3">
        <f>IMAGE("https://images.lululemon.com/is/image/lululemon/68578",1)</f>
        <v/>
      </c>
      <c r="J373" s="3">
        <f>IMAGE("https://images.lululemon.com/is/image/lululemon/27401",1)</f>
        <v/>
      </c>
      <c r="K373" s="3" t="n"/>
      <c r="L373" s="3" t="inlineStr">
        <is>
          <t>2, 4, 6, 8, 10, 12, 14</t>
        </is>
      </c>
      <c r="M373" s="3" t="n">
        <v>8395</v>
      </c>
      <c r="N373" s="3" t="inlineStr">
        <is>
          <t>Made to move. This lightweight tennis skirt features quick-drying Swift fabric and built-in shorts to match your momentum on and off the court.</t>
        </is>
      </c>
      <c r="O373" s="3" t="inlineStr">
        <is>
          <t>Lightweight-High-Rise-Tennis-Skirt</t>
        </is>
      </c>
      <c r="P373" s="3" t="inlineStr">
        <is>
          <t>Yes</t>
        </is>
      </c>
      <c r="Q373" s="3" t="inlineStr">
        <is>
          <t>Lightweight High-Rise Tennis Skirt TRNV 2</t>
        </is>
      </c>
      <c r="R373" s="3" t="inlineStr">
        <is>
          <t>True Navy, White, Black, Club Blue, Pelican</t>
        </is>
      </c>
      <c r="S373" s="3" t="inlineStr">
        <is>
          <t>Skorts, Athletic Skirts</t>
        </is>
      </c>
      <c r="T373" s="3" t="inlineStr">
        <is>
          <t>Women</t>
        </is>
      </c>
    </row>
    <row r="374" ht="80" customHeight="1">
      <c r="A374" s="2">
        <f>IMAGE("https://images.lululemon.com/is/image/lululemon/LW2E01S_0001_1?wid=320&amp;op_usm=0.8",1)</f>
        <v/>
      </c>
      <c r="B374" s="2" t="inlineStr">
        <is>
          <t>lululemon Go Further Bra with Support Code Technology *High Impact, C/D Cup</t>
        </is>
      </c>
      <c r="C374" s="2" t="inlineStr">
        <is>
          <t>153825647</t>
        </is>
      </c>
      <c r="D374" s="2" t="inlineStr">
        <is>
          <t>$98.00</t>
        </is>
      </c>
      <c r="E374" s="2" t="inlineStr">
        <is>
          <t>$49.00</t>
        </is>
      </c>
      <c r="F374" s="2">
        <f>IMAGE("https://images.lululemon.com/is/image/lululemon/0001",1)</f>
        <v/>
      </c>
      <c r="G374" s="2" t="n"/>
      <c r="H374" s="2" t="n"/>
      <c r="I374" s="2" t="n"/>
      <c r="J374" s="2" t="n"/>
      <c r="K374" s="2" t="n"/>
      <c r="L374" s="2" t="inlineStr">
        <is>
          <t>XS, S, M, L, XL</t>
        </is>
      </c>
      <c r="M374" s="2" t="n">
        <v>221</v>
      </c>
      <c r="N374" s="2" t="inlineStr">
        <is>
          <t>Motion-activated support. Designed to offer lightweight comfort while you run, this bra's high-impact support kicks in as your pace quickens.</t>
        </is>
      </c>
      <c r="O374" s="2" t="inlineStr">
        <is>
          <t>Go-Further-Bra-Support-Code-High-Impact-CD-Cup</t>
        </is>
      </c>
      <c r="P374" s="2" t="inlineStr">
        <is>
          <t>Yes</t>
        </is>
      </c>
      <c r="Q374" s="2" t="inlineStr">
        <is>
          <t>lululemon Go Further Bra w Support Code Technology High Impact C/D BLK XS</t>
        </is>
      </c>
      <c r="R374" s="2" t="inlineStr">
        <is>
          <t>Black</t>
        </is>
      </c>
      <c r="S374" s="2" t="inlineStr">
        <is>
          <t>Racerback Bras, Longline Bras</t>
        </is>
      </c>
      <c r="T374" s="2" t="inlineStr">
        <is>
          <t>Women</t>
        </is>
      </c>
    </row>
    <row r="375" ht="80" customHeight="1">
      <c r="A375" s="3">
        <f>IMAGE("https://images.lululemon.com/is/image/lululemon/LW5DJ0S_0001_1?wid=320&amp;op_usm=0.8",1)</f>
        <v/>
      </c>
      <c r="B375" s="3" t="inlineStr">
        <is>
          <t>Wunder Train High-Rise Tight 28"</t>
        </is>
      </c>
      <c r="C375" s="3" t="inlineStr">
        <is>
          <t>127600048</t>
        </is>
      </c>
      <c r="D375" s="3" t="inlineStr">
        <is>
          <t>$98.00</t>
        </is>
      </c>
      <c r="E375" s="3" t="inlineStr">
        <is>
          <t>$49.00</t>
        </is>
      </c>
      <c r="F375" s="3">
        <f>IMAGE("https://images.lululemon.com/is/image/lululemon/0001",1)</f>
        <v/>
      </c>
      <c r="G375" s="3">
        <f>IMAGE("https://images.lululemon.com/is/image/lululemon/31382",1)</f>
        <v/>
      </c>
      <c r="H375" s="3">
        <f>IMAGE("https://images.lululemon.com/is/image/lululemon/62214",1)</f>
        <v/>
      </c>
      <c r="I375" s="3">
        <f>IMAGE("https://images.lululemon.com/is/image/lululemon/70282",1)</f>
        <v/>
      </c>
      <c r="J375" s="3">
        <f>IMAGE("https://images.lululemon.com/is/image/lululemon/34697",1)</f>
        <v/>
      </c>
      <c r="K375" s="3">
        <f>IMAGE("https://images.lululemon.com/is/image/lululemon/0554",1)</f>
        <v/>
      </c>
      <c r="L375" s="3" t="inlineStr">
        <is>
          <t>0, 2, 4, 6, 8, 10, 12, 14, 16, 18, 20</t>
        </is>
      </c>
      <c r="M375" s="3" t="n">
        <v>2498</v>
      </c>
      <c r="N375" s="3" t="inlineStr">
        <is>
          <t>Train hard, not hot. Made from Everlux™, the Wunder Train collection is highly breathable and quickly wicks sweat so you feel less sweaty during (and after) your workout.</t>
        </is>
      </c>
      <c r="O375" s="3" t="inlineStr">
        <is>
          <t>Wunder-Train-HR-Tight-28</t>
        </is>
      </c>
      <c r="P375" s="3" t="inlineStr">
        <is>
          <t>Yes</t>
        </is>
      </c>
      <c r="Q375" s="3" t="inlineStr">
        <is>
          <t>Wunder Train HR Tight 28" BLK 0</t>
        </is>
      </c>
      <c r="R375" s="3" t="inlineStr">
        <is>
          <t>Black, True Navy, Bay Leaf, Midnight Haze Black Multi, Black Plum, Grape Mist</t>
        </is>
      </c>
      <c r="S375" s="3" t="inlineStr"/>
      <c r="T375" s="3" t="inlineStr">
        <is>
          <t>Women</t>
        </is>
      </c>
    </row>
    <row r="376" ht="80" customHeight="1">
      <c r="A376" s="2">
        <f>IMAGE("https://images.lululemon.com/is/image/lululemon/LW6BGLS_032507_1?wid=320&amp;op_usm=0.8",1)</f>
        <v/>
      </c>
      <c r="B376" s="2" t="inlineStr">
        <is>
          <t>lululemon Align™ High-Rise Crop 23"</t>
        </is>
      </c>
      <c r="C376" s="2" t="inlineStr">
        <is>
          <t>157709796</t>
        </is>
      </c>
      <c r="D376" s="2" t="inlineStr">
        <is>
          <t>$98.00</t>
        </is>
      </c>
      <c r="E376" s="2" t="inlineStr">
        <is>
          <t>$49.00</t>
        </is>
      </c>
      <c r="F376" s="2">
        <f>IMAGE("https://images.lululemon.com/is/image/lululemon/32507",1)</f>
        <v/>
      </c>
      <c r="G376" s="2" t="n"/>
      <c r="H376" s="2" t="n"/>
      <c r="I376" s="2" t="n"/>
      <c r="J376" s="2" t="n"/>
      <c r="K376" s="2" t="n"/>
      <c r="L376" s="2" t="inlineStr">
        <is>
          <t>2, 4, 6, 8, 12</t>
        </is>
      </c>
      <c r="M376" s="2" t="n">
        <v>19</v>
      </c>
      <c r="N376" s="2" t="inlineStr">
        <is>
          <t>When feeling nothing is everything. The lululemon Align™ collection is so weightless and buttery soft, all you feel is your practice.</t>
        </is>
      </c>
      <c r="O376" s="2" t="inlineStr">
        <is>
          <t>Align-Crop-23</t>
        </is>
      </c>
      <c r="P376" s="2" t="inlineStr">
        <is>
          <t>Yes</t>
        </is>
      </c>
      <c r="Q376" s="2" t="inlineStr">
        <is>
          <t>lululemon Align™ High-Rise Crop 23" SRNB 2</t>
        </is>
      </c>
      <c r="R376" s="2" t="inlineStr">
        <is>
          <t>Serene Blue</t>
        </is>
      </c>
      <c r="S376" s="2" t="inlineStr"/>
      <c r="T376" s="2" t="inlineStr">
        <is>
          <t>Women</t>
        </is>
      </c>
    </row>
    <row r="377" ht="80" customHeight="1">
      <c r="A377" s="3">
        <f>IMAGE("https://images.lululemon.com/is/image/lululemon/LW8A78R_0001_1?wid=320&amp;op_usm=0.8",1)</f>
        <v/>
      </c>
      <c r="B377" s="3" t="inlineStr">
        <is>
          <t>Pace Rival Mid-Rise Skirt</t>
        </is>
      </c>
      <c r="C377" s="3" t="inlineStr">
        <is>
          <t>104458118</t>
        </is>
      </c>
      <c r="D377" s="3" t="inlineStr">
        <is>
          <t>$78.00</t>
        </is>
      </c>
      <c r="E377" s="3" t="inlineStr">
        <is>
          <t>$39.00</t>
        </is>
      </c>
      <c r="F377" s="3">
        <f>IMAGE("https://images.lululemon.com/is/image/lululemon/0001",1)</f>
        <v/>
      </c>
      <c r="G377" s="3" t="n"/>
      <c r="H377" s="3" t="n"/>
      <c r="I377" s="3" t="n"/>
      <c r="J377" s="3" t="n"/>
      <c r="K377" s="3" t="n"/>
      <c r="L377" s="3" t="inlineStr">
        <is>
          <t>4, 6, 8, 10, 12, 14</t>
        </is>
      </c>
      <c r="M377" s="3" t="n">
        <v>2875</v>
      </c>
      <c r="N377" s="3" t="inlineStr">
        <is>
          <t>Pockets in your skirt, that's a yes. From tennis to trail running, drop-in pockets let you keep essentials close.</t>
        </is>
      </c>
      <c r="O377" s="3" t="inlineStr">
        <is>
          <t>Pace-Rival-Skirt</t>
        </is>
      </c>
      <c r="P377" s="3" t="inlineStr">
        <is>
          <t>Yes</t>
        </is>
      </c>
      <c r="Q377" s="3" t="inlineStr">
        <is>
          <t>Pace Rival MR Skirt BLK 4</t>
        </is>
      </c>
      <c r="R377" s="3" t="inlineStr">
        <is>
          <t>Black</t>
        </is>
      </c>
      <c r="S377" s="3" t="inlineStr">
        <is>
          <t>Athletic Skirts, Skorts</t>
        </is>
      </c>
      <c r="T377" s="3" t="inlineStr">
        <is>
          <t>Women</t>
        </is>
      </c>
    </row>
    <row r="378" ht="80" customHeight="1">
      <c r="A378" s="2">
        <f>IMAGE("https://images.lululemon.com/is/image/lululemon/LW5GY8S_032493_1?wid=320&amp;op_usm=0.8",1)</f>
        <v/>
      </c>
      <c r="B378" s="2" t="inlineStr">
        <is>
          <t>Scuba Mid-Rise Oversized Jogger *Tall</t>
        </is>
      </c>
      <c r="C378" s="2" t="inlineStr">
        <is>
          <t>154884467</t>
        </is>
      </c>
      <c r="D378" s="2" t="inlineStr">
        <is>
          <t>$118.00</t>
        </is>
      </c>
      <c r="E378" s="2" t="inlineStr">
        <is>
          <t>$59.00</t>
        </is>
      </c>
      <c r="F378" s="2">
        <f>IMAGE("https://images.lululemon.com/is/image/lululemon/32493",1)</f>
        <v/>
      </c>
      <c r="G378" s="2" t="n"/>
      <c r="H378" s="2" t="n"/>
      <c r="I378" s="2" t="n"/>
      <c r="J378" s="2" t="n"/>
      <c r="K378" s="2" t="n"/>
      <c r="L378" s="2" t="inlineStr">
        <is>
          <t>XS, S, M, L, XL</t>
        </is>
      </c>
      <c r="M378" s="2" t="n">
        <v>1627</v>
      </c>
      <c r="N378" s="2" t="inlineStr">
        <is>
          <t>Serious about softness. These Scuba sweatpants are all about fleecy fabric and sinking in to a slouchy oversized fit.</t>
        </is>
      </c>
      <c r="O378" s="2" t="inlineStr">
        <is>
          <t>Scuba-MR-Oversized-Jogger-Tall</t>
        </is>
      </c>
      <c r="P378" s="2" t="inlineStr">
        <is>
          <t>Yes</t>
        </is>
      </c>
      <c r="Q378" s="2" t="inlineStr">
        <is>
          <t>Scuba MR Oversized Jogger *Tall HCUG XS</t>
        </is>
      </c>
      <c r="R378" s="2" t="inlineStr">
        <is>
          <t>Heathered Core Ultra Light Grey</t>
        </is>
      </c>
      <c r="S378" s="2" t="inlineStr"/>
      <c r="T378" s="2" t="inlineStr">
        <is>
          <t>Women</t>
        </is>
      </c>
    </row>
    <row r="379" ht="80" customHeight="1">
      <c r="A379" s="3">
        <f>IMAGE("https://images.lululemon.com/is/image/lululemon/LW3IVSS_028022_1?wid=320&amp;op_usm=0.8",1)</f>
        <v/>
      </c>
      <c r="B379" s="3" t="inlineStr">
        <is>
          <t>Cold Weather Running Half Zip</t>
        </is>
      </c>
      <c r="C379" s="3" t="inlineStr">
        <is>
          <t>154886041</t>
        </is>
      </c>
      <c r="D379" s="3" t="inlineStr">
        <is>
          <t>$148.00</t>
        </is>
      </c>
      <c r="E379" s="3" t="inlineStr">
        <is>
          <t>$74.00</t>
        </is>
      </c>
      <c r="F379" s="3">
        <f>IMAGE("https://images.lululemon.com/is/image/lululemon/28022",1)</f>
        <v/>
      </c>
      <c r="G379" s="3">
        <f>IMAGE("https://images.lululemon.com/is/image/lululemon/0001",1)</f>
        <v/>
      </c>
      <c r="H379" s="3" t="n"/>
      <c r="I379" s="3" t="n"/>
      <c r="J379" s="3" t="n"/>
      <c r="K379" s="3" t="n"/>
      <c r="L379" s="3" t="inlineStr">
        <is>
          <t>2, 4, 6, 8, 10, 12</t>
        </is>
      </c>
      <c r="M379" s="3" t="n">
        <v>571</v>
      </c>
      <c r="N379" s="3" t="inlineStr">
        <is>
          <t>Bring the warmth to cold-weather runs. This jacket protects you where it counts with a water-repellent, windproof chest panel.</t>
        </is>
      </c>
      <c r="O379" s="3" t="inlineStr">
        <is>
          <t>Cold-Weather-Running-Half-Zip</t>
        </is>
      </c>
      <c r="P379" s="3" t="inlineStr">
        <is>
          <t>Yes</t>
        </is>
      </c>
      <c r="Q379" s="3" t="inlineStr">
        <is>
          <t>Cold Weather Running Half Zip BLK 2</t>
        </is>
      </c>
      <c r="R379" s="3" t="inlineStr">
        <is>
          <t>Indochine Blue, Black</t>
        </is>
      </c>
      <c r="S379" s="3" t="inlineStr">
        <is>
          <t>Half Zip Sweatshirts, Quarter Zip Sweatshirts</t>
        </is>
      </c>
      <c r="T379" s="3" t="inlineStr">
        <is>
          <t>Women</t>
        </is>
      </c>
    </row>
    <row r="380" ht="80" customHeight="1">
      <c r="A380" s="2">
        <f>IMAGE("https://images.lululemon.com/is/image/lululemon/LW3JE8S_0572_1?wid=320&amp;op_usm=0.8",1)</f>
        <v/>
      </c>
      <c r="B380" s="2" t="inlineStr">
        <is>
          <t>Swiftly Relaxed Short-Sleeve Shirt Hip Length *Updated Fit</t>
        </is>
      </c>
      <c r="C380" s="2" t="inlineStr">
        <is>
          <t>157713398</t>
        </is>
      </c>
      <c r="D380" s="2" t="inlineStr">
        <is>
          <t>$68.00</t>
        </is>
      </c>
      <c r="E380" s="2" t="inlineStr">
        <is>
          <t>$34.00</t>
        </is>
      </c>
      <c r="F380" s="2">
        <f>IMAGE("https://images.lululemon.com/is/image/lululemon/0572",1)</f>
        <v/>
      </c>
      <c r="G380" s="2">
        <f>IMAGE("https://images.lululemon.com/is/image/lululemon/43279",1)</f>
        <v/>
      </c>
      <c r="H380" s="2" t="n"/>
      <c r="I380" s="2" t="n"/>
      <c r="J380" s="2" t="n"/>
      <c r="K380" s="2" t="n"/>
      <c r="L380" s="2" t="inlineStr">
        <is>
          <t>2, 4, 6, 8, 10, 12</t>
        </is>
      </c>
      <c r="M380" s="2" t="n">
        <v>850</v>
      </c>
      <c r="N380" s="2" t="inlineStr">
        <is>
          <t>Go ahead, get sweaty. The Swiftly Relaxed collection is all about high performing-fabric that seamlessly adapts to you and your workout. An updated fit gives you slightly more room to move.</t>
        </is>
      </c>
      <c r="O380" s="2" t="inlineStr">
        <is>
          <t>Swiftly-Relaxed-Short-Sleeve-Hip-Length-Updated</t>
        </is>
      </c>
      <c r="P380" s="2" t="inlineStr">
        <is>
          <t>Yes</t>
        </is>
      </c>
      <c r="Q380" s="2" t="inlineStr">
        <is>
          <t>Swiftly Relaxed Short Sleeve SLTE/WHT 2</t>
        </is>
      </c>
      <c r="R380" s="2" t="inlineStr">
        <is>
          <t>Slate/White, Nightmoth/Nightmoth</t>
        </is>
      </c>
      <c r="S380" s="2" t="inlineStr"/>
      <c r="T380" s="2" t="inlineStr">
        <is>
          <t>Women</t>
        </is>
      </c>
    </row>
    <row r="381" ht="80" customHeight="1">
      <c r="A381" s="3">
        <f>IMAGE("https://images.lululemon.com/is/image/lululemon/LW3IDXS_033454_1?wid=320&amp;op_usm=0.8",1)</f>
        <v/>
      </c>
      <c r="B381" s="3" t="inlineStr">
        <is>
          <t>Brushed Softstreme Half Zip</t>
        </is>
      </c>
      <c r="C381" s="3" t="inlineStr">
        <is>
          <t>156501758</t>
        </is>
      </c>
      <c r="D381" s="3" t="inlineStr">
        <is>
          <t>$138.00</t>
        </is>
      </c>
      <c r="E381" s="3" t="inlineStr">
        <is>
          <t>$69.00</t>
        </is>
      </c>
      <c r="F381" s="3">
        <f>IMAGE("https://images.lululemon.com/is/image/lululemon/33454",1)</f>
        <v/>
      </c>
      <c r="G381" s="3">
        <f>IMAGE("https://images.lululemon.com/is/image/lululemon/32507",1)</f>
        <v/>
      </c>
      <c r="H381" s="3" t="n"/>
      <c r="I381" s="3" t="n"/>
      <c r="J381" s="3" t="n"/>
      <c r="K381" s="3" t="n"/>
      <c r="L381" s="3" t="inlineStr">
        <is>
          <t>2, 4, 6, 8, 10, 12</t>
        </is>
      </c>
      <c r="M381" s="3" t="n">
        <v>1628</v>
      </c>
      <c r="N381" s="3" t="inlineStr">
        <is>
          <t>Peak comfort, peak softness, peak casual. With a brushed interior, this Softstreme™ half zip is the kind of layer you'll want to wear with everything.</t>
        </is>
      </c>
      <c r="O381" s="3" t="inlineStr">
        <is>
          <t>Brushed-Softstreme-Half-Zip</t>
        </is>
      </c>
      <c r="P381" s="3" t="inlineStr">
        <is>
          <t>Yes</t>
        </is>
      </c>
      <c r="Q381" s="3" t="inlineStr">
        <is>
          <t>Brushed Softstreme™ Half Zip LTIV 2</t>
        </is>
      </c>
      <c r="R381" s="3" t="inlineStr">
        <is>
          <t>Light Ivory, Serene Blue</t>
        </is>
      </c>
      <c r="S381" s="3" t="inlineStr">
        <is>
          <t>Half Zip Sweatshirts, Quarter Zip Sweatshirts</t>
        </is>
      </c>
      <c r="T381" s="3" t="inlineStr">
        <is>
          <t>Women</t>
        </is>
      </c>
    </row>
    <row r="382" ht="80" customHeight="1">
      <c r="A382" s="2">
        <f>IMAGE("https://images.lululemon.com/is/image/lululemon/LW1FENS_063787_1?wid=320&amp;op_usm=0.8",1)</f>
        <v/>
      </c>
      <c r="B382" s="2" t="inlineStr">
        <is>
          <t>lululemon Align™ Dress *Updated Sleek Liner</t>
        </is>
      </c>
      <c r="C382" s="2" t="inlineStr">
        <is>
          <t>158023348</t>
        </is>
      </c>
      <c r="D382" s="2" t="inlineStr">
        <is>
          <t>$148.00</t>
        </is>
      </c>
      <c r="E382" s="2" t="inlineStr">
        <is>
          <t>$74.00</t>
        </is>
      </c>
      <c r="F382" s="2">
        <f>IMAGE("https://images.lululemon.com/is/image/lululemon/63787",1)</f>
        <v/>
      </c>
      <c r="G382" s="2" t="n"/>
      <c r="H382" s="2" t="n"/>
      <c r="I382" s="2" t="n"/>
      <c r="J382" s="2" t="n"/>
      <c r="K382" s="2" t="n"/>
      <c r="L382" s="2" t="inlineStr">
        <is>
          <t>2, 4, 6, 8, 10, 12</t>
        </is>
      </c>
      <c r="M382" s="2" t="n">
        <v>269</v>
      </c>
      <c r="N382" s="2" t="inlineStr">
        <is>
          <t>When feeling nothing is everything. This dress gives you the buttery softness of lululemon Align™ with a sleek lining that has a built-in shelf bra and shorts liner.</t>
        </is>
      </c>
      <c r="O382" s="2" t="inlineStr">
        <is>
          <t>lululemon-Align-Dress-Updated-Sleek-Liner</t>
        </is>
      </c>
      <c r="P382" s="2" t="inlineStr">
        <is>
          <t>Yes</t>
        </is>
      </c>
      <c r="Q382" s="2" t="inlineStr">
        <is>
          <t>lululemon Align™ Dress *Sleek Liner ARPR 2</t>
        </is>
      </c>
      <c r="R382" s="2" t="inlineStr">
        <is>
          <t>ATMOSPHERIC PURPLE</t>
        </is>
      </c>
      <c r="S382" s="2" t="inlineStr">
        <is>
          <t>Bodycon Dresses</t>
        </is>
      </c>
      <c r="T382" s="2" t="inlineStr">
        <is>
          <t>Women</t>
        </is>
      </c>
    </row>
    <row r="383" ht="80" customHeight="1">
      <c r="A383" s="3">
        <f>IMAGE("https://images.lululemon.com/is/image/lululemon/LW9GBRS_041431_1?wid=320&amp;op_usm=0.8",1)</f>
        <v/>
      </c>
      <c r="B383" s="3" t="inlineStr">
        <is>
          <t>Jumbo Claw Clip</t>
        </is>
      </c>
      <c r="C383" s="3" t="inlineStr">
        <is>
          <t>156525972</t>
        </is>
      </c>
      <c r="D383" s="3" t="inlineStr">
        <is>
          <t>$28.00</t>
        </is>
      </c>
      <c r="E383" s="3" t="inlineStr">
        <is>
          <t>$14.00</t>
        </is>
      </c>
      <c r="F383" s="3">
        <f>IMAGE("https://images.lululemon.com/is/image/lululemon/41431",1)</f>
        <v/>
      </c>
      <c r="G383" s="3" t="n"/>
      <c r="H383" s="3" t="n"/>
      <c r="I383" s="3" t="n"/>
      <c r="J383" s="3" t="n"/>
      <c r="K383" s="3" t="n"/>
      <c r="L383" s="3" t="inlineStr">
        <is>
          <t>O/S</t>
        </is>
      </c>
      <c r="M383" s="3" t="n">
        <v>212</v>
      </c>
      <c r="N383" s="3" t="inlineStr">
        <is>
          <t>Lots of hold for lots of hair. This jumbo hair clip has extra long prongs to keep thick, voluminous hair in place.</t>
        </is>
      </c>
      <c r="O383" s="3" t="inlineStr">
        <is>
          <t>Jumbo-Claw-Clip</t>
        </is>
      </c>
      <c r="P383" s="3" t="inlineStr">
        <is>
          <t>Yes</t>
        </is>
      </c>
      <c r="Q383" s="3" t="inlineStr">
        <is>
          <t>Jumbo Claw Clip LTIV/BLK ONE SIZE</t>
        </is>
      </c>
      <c r="R383" s="3" t="inlineStr">
        <is>
          <t>Light Ivory/Black</t>
        </is>
      </c>
      <c r="S383" s="3" t="inlineStr">
        <is>
          <t>Hair Clips</t>
        </is>
      </c>
      <c r="T383" s="3" t="inlineStr">
        <is>
          <t>Women</t>
        </is>
      </c>
    </row>
    <row r="384" ht="80" customHeight="1">
      <c r="A384" s="2">
        <f>IMAGE("https://images.lululemon.com/is/image/lululemon/LW2E57S_0002_1?wid=320&amp;op_usm=0.8",1)</f>
        <v/>
      </c>
      <c r="B384" s="2" t="inlineStr">
        <is>
          <t>Bend This Scoop and Square Bra *Light Support, A-C Cups</t>
        </is>
      </c>
      <c r="C384" s="2" t="inlineStr">
        <is>
          <t>153025347</t>
        </is>
      </c>
      <c r="D384" s="2" t="inlineStr">
        <is>
          <t>$48.00</t>
        </is>
      </c>
      <c r="E384" s="2" t="inlineStr">
        <is>
          <t>$24.00</t>
        </is>
      </c>
      <c r="F384" s="2">
        <f>IMAGE("https://images.lululemon.com/is/image/lululemon/0002",1)</f>
        <v/>
      </c>
      <c r="G384" s="2">
        <f>IMAGE("https://images.lululemon.com/is/image/lululemon/68605",1)</f>
        <v/>
      </c>
      <c r="H384" s="2" t="n"/>
      <c r="I384" s="2" t="n"/>
      <c r="J384" s="2" t="n"/>
      <c r="K384" s="2" t="n"/>
      <c r="L384" s="2" t="inlineStr">
        <is>
          <t>XXS/XS</t>
        </is>
      </c>
      <c r="M384" s="2" t="n">
        <v>18</v>
      </c>
      <c r="N384" s="2" t="inlineStr">
        <is>
          <t>Two classic necklines, one incredible bra. We designed this bra with super-stretchy, soft fabrics to give you a flexible fit for every phase of your cycle. Flip it back to front.</t>
        </is>
      </c>
      <c r="O384" s="2" t="inlineStr">
        <is>
          <t>Bend-This-Scoop-Square-Bra-A-C-Cups</t>
        </is>
      </c>
      <c r="P384" s="2" t="inlineStr">
        <is>
          <t>Yes</t>
        </is>
      </c>
      <c r="Q384" s="2" t="inlineStr">
        <is>
          <t>Bend This Scoop and Square Bra WHT XXS/XS</t>
        </is>
      </c>
      <c r="R384" s="2" t="inlineStr">
        <is>
          <t>White, Passionate</t>
        </is>
      </c>
      <c r="S384" s="2" t="inlineStr">
        <is>
          <t>Longline Bras, Bralettes</t>
        </is>
      </c>
      <c r="T384" s="2" t="inlineStr">
        <is>
          <t>Women</t>
        </is>
      </c>
    </row>
    <row r="385" ht="80" customHeight="1">
      <c r="A385" s="3">
        <f>IMAGE("https://images.lululemon.com/is/image/lululemon/LW1DUDS_0002_1?wid=320&amp;op_usm=0.8",1)</f>
        <v/>
      </c>
      <c r="B385" s="3" t="inlineStr">
        <is>
          <t>lululemon Align™ Tank Top *Light Support, A/B Cup</t>
        </is>
      </c>
      <c r="C385" s="3" t="inlineStr">
        <is>
          <t>143501188</t>
        </is>
      </c>
      <c r="D385" s="3" t="inlineStr">
        <is>
          <t>$68.00</t>
        </is>
      </c>
      <c r="E385" s="3" t="inlineStr">
        <is>
          <t>$34.00</t>
        </is>
      </c>
      <c r="F385" s="3">
        <f>IMAGE("https://images.lululemon.com/is/image/lululemon/0002",1)</f>
        <v/>
      </c>
      <c r="G385" s="3">
        <f>IMAGE("https://images.lululemon.com/is/image/lululemon/0001",1)</f>
        <v/>
      </c>
      <c r="H385" s="3">
        <f>IMAGE("https://images.lululemon.com/is/image/lululemon/31382",1)</f>
        <v/>
      </c>
      <c r="I385" s="3">
        <f>IMAGE("https://images.lululemon.com/is/image/lululemon/35487",1)</f>
        <v/>
      </c>
      <c r="J385" s="3">
        <f>IMAGE("https://images.lululemon.com/is/image/lululemon/71195",1)</f>
        <v/>
      </c>
      <c r="K385" s="3">
        <f>IMAGE("https://images.lululemon.com/is/image/lululemon/28022",1)</f>
        <v/>
      </c>
      <c r="L385" s="3" t="inlineStr">
        <is>
          <t>0, 2, 4, 8, 12, 14, 16, 18, 20, 6, 10</t>
        </is>
      </c>
      <c r="M385" s="3" t="n">
        <v>7003</v>
      </c>
      <c r="N385" s="3" t="inlineStr">
        <is>
          <t>When feeling nothing is everything. The lululemon Align™ collection is so weightless and buttery soft, all you feel is your practice.</t>
        </is>
      </c>
      <c r="O385" s="3" t="inlineStr">
        <is>
          <t>Align-Tank</t>
        </is>
      </c>
      <c r="P385" s="3" t="inlineStr">
        <is>
          <t>Yes</t>
        </is>
      </c>
      <c r="Q385" s="3" t="inlineStr">
        <is>
          <t>lululemon Align™ Tank WHT 0</t>
        </is>
      </c>
      <c r="R385" s="3" t="inlineStr">
        <is>
          <t>White, Black, True Navy, Palm Deco, Rockwood, Indochine Blue</t>
        </is>
      </c>
      <c r="S385" s="3" t="inlineStr"/>
      <c r="T385" s="3" t="inlineStr">
        <is>
          <t>Women</t>
        </is>
      </c>
    </row>
    <row r="386" ht="80" customHeight="1">
      <c r="A386" s="2">
        <f>IMAGE("https://images.lululemon.com/is/image/lululemon/LW4BWQS_0001_1?wid=320&amp;op_usm=0.8",1)</f>
        <v/>
      </c>
      <c r="B386" s="2" t="inlineStr">
        <is>
          <t>Wunder Puff 600-Down-Fill Cropped Vest</t>
        </is>
      </c>
      <c r="C386" s="2" t="inlineStr">
        <is>
          <t>142875198</t>
        </is>
      </c>
      <c r="D386" s="2" t="inlineStr">
        <is>
          <t>$268.00</t>
        </is>
      </c>
      <c r="E386" s="2" t="inlineStr">
        <is>
          <t>$134.00</t>
        </is>
      </c>
      <c r="F386" s="2">
        <f>IMAGE("https://images.lululemon.com/is/image/lululemon/0001",1)</f>
        <v/>
      </c>
      <c r="G386" s="2">
        <f>IMAGE("https://images.lululemon.com/is/image/lululemon/70753",1)</f>
        <v/>
      </c>
      <c r="H386" s="2">
        <f>IMAGE("https://images.lululemon.com/is/image/lululemon/33454",1)</f>
        <v/>
      </c>
      <c r="I386" s="2">
        <f>IMAGE("https://images.lululemon.com/is/image/lululemon/0554",1)</f>
        <v/>
      </c>
      <c r="J386" s="2" t="n"/>
      <c r="K386" s="2" t="n"/>
      <c r="L386" s="2" t="inlineStr">
        <is>
          <t>2, 4, 6, 8, 10, 12, 14</t>
        </is>
      </c>
      <c r="M386" s="2" t="n">
        <v>1374</v>
      </c>
      <c r="N386" s="2" t="inlineStr">
        <is>
          <t>This wonderfully warm down vest has a cinchable hem that lets you customize the shape and keep out cold drafts.</t>
        </is>
      </c>
      <c r="O386" s="2" t="inlineStr">
        <is>
          <t>Wunder-Puff-Crop-Vest</t>
        </is>
      </c>
      <c r="P386" s="2" t="inlineStr">
        <is>
          <t>Yes</t>
        </is>
      </c>
      <c r="Q386" s="2" t="inlineStr">
        <is>
          <t>Wunder Puff Cropped Vest BLK 2</t>
        </is>
      </c>
      <c r="R386" s="2" t="inlineStr">
        <is>
          <t>Black, Rainforest Green/Green Dream, Light Ivory, Grape Mist</t>
        </is>
      </c>
      <c r="S386" s="2" t="inlineStr">
        <is>
          <t>Puffer Jackets, Vests</t>
        </is>
      </c>
      <c r="T386" s="2" t="inlineStr">
        <is>
          <t>Women</t>
        </is>
      </c>
    </row>
    <row r="387" ht="80" customHeight="1">
      <c r="A387" s="3">
        <f>IMAGE("https://images.lululemon.com/is/image/lululemon/LW2DTIS_0641_1?wid=320&amp;op_usm=0.8",1)</f>
        <v/>
      </c>
      <c r="B387" s="3" t="inlineStr">
        <is>
          <t>lululemon Align™ V-Neck Bra *Light Support, A/B Cup</t>
        </is>
      </c>
      <c r="C387" s="3" t="inlineStr">
        <is>
          <t>156526179</t>
        </is>
      </c>
      <c r="D387" s="3" t="inlineStr">
        <is>
          <t>$58.00</t>
        </is>
      </c>
      <c r="E387" s="3" t="inlineStr">
        <is>
          <t>$29.00</t>
        </is>
      </c>
      <c r="F387" s="3">
        <f>IMAGE("https://images.lululemon.com/is/image/lululemon/0641",1)</f>
        <v/>
      </c>
      <c r="G387" s="3" t="n"/>
      <c r="H387" s="3" t="n"/>
      <c r="I387" s="3" t="n"/>
      <c r="J387" s="3" t="n"/>
      <c r="K387" s="3" t="n"/>
      <c r="L387" s="3" t="inlineStr">
        <is>
          <t>2, 4, 6, 8, 10, 12</t>
        </is>
      </c>
      <c r="M387" s="3" t="n">
        <v>260</v>
      </c>
      <c r="N387" s="3" t="inlineStr">
        <is>
          <t>Feels (almost) as good as savasana. This v-neck version of our lululemon Align™ yoga bra wraps you in buttery softness.</t>
        </is>
      </c>
      <c r="O387" s="3" t="inlineStr">
        <is>
          <t>Align-V-Neck-Bra-AB-Cup</t>
        </is>
      </c>
      <c r="P387" s="3" t="inlineStr">
        <is>
          <t>Yes</t>
        </is>
      </c>
      <c r="Q387" s="3" t="inlineStr">
        <is>
          <t>lululemon Align™ V-Neck Bra A/B LFRS 2</t>
        </is>
      </c>
      <c r="R387" s="3" t="inlineStr">
        <is>
          <t>Lavender Frost</t>
        </is>
      </c>
      <c r="S387" s="3" t="inlineStr">
        <is>
          <t>Longline Bras, Bralettes</t>
        </is>
      </c>
      <c r="T387" s="3" t="inlineStr">
        <is>
          <t>Women</t>
        </is>
      </c>
    </row>
    <row r="388" ht="80" customHeight="1">
      <c r="A388" s="2">
        <f>IMAGE("https://images.lululemon.com/is/image/lululemon/LW4CGVS_0001_1?wid=320&amp;op_usm=0.8",1)</f>
        <v/>
      </c>
      <c r="B388" s="2" t="inlineStr">
        <is>
          <t>Scuba Full-Zip Hoodie</t>
        </is>
      </c>
      <c r="C388" s="2" t="inlineStr">
        <is>
          <t>3821693</t>
        </is>
      </c>
      <c r="D388" s="2" t="inlineStr">
        <is>
          <t>$138.00</t>
        </is>
      </c>
      <c r="E388" s="2" t="inlineStr">
        <is>
          <t>$69.00</t>
        </is>
      </c>
      <c r="F388" s="2">
        <f>IMAGE("https://images.lululemon.com/is/image/lululemon/0001",1)</f>
        <v/>
      </c>
      <c r="G388" s="2">
        <f>IMAGE("https://images.lululemon.com/is/image/lululemon/38337",1)</f>
        <v/>
      </c>
      <c r="H388" s="2">
        <f>IMAGE("https://images.lululemon.com/is/image/lululemon/35487",1)</f>
        <v/>
      </c>
      <c r="I388" s="2">
        <f>IMAGE("https://images.lululemon.com/is/image/lululemon/0554",1)</f>
        <v/>
      </c>
      <c r="J388" s="2" t="n"/>
      <c r="K388" s="2" t="n"/>
      <c r="L388" s="2" t="inlineStr">
        <is>
          <t>0, 2, 4, 6, 8, 10, 12, 16, 18, 20, 14</t>
        </is>
      </c>
      <c r="M388" s="2" t="n">
        <v>4511</v>
      </c>
      <c r="N388" s="2" t="inlineStr">
        <is>
          <t>Serious about softness. Our signature hoodie is all about fleecy fabric and pairs perfectly with our Scuba sweatpants.</t>
        </is>
      </c>
      <c r="O388" s="2" t="inlineStr">
        <is>
          <t>Scuba-Hoodie-IV</t>
        </is>
      </c>
      <c r="P388" s="2" t="inlineStr">
        <is>
          <t>Yes</t>
        </is>
      </c>
      <c r="Q388" s="2" t="inlineStr">
        <is>
          <t>Scuba Full-Zip Hoodie BLK 0</t>
        </is>
      </c>
      <c r="R388" s="2" t="inlineStr">
        <is>
          <t>Black, Calypso Pink, Palm Deco, Grape Mist</t>
        </is>
      </c>
      <c r="S388" s="2" t="inlineStr">
        <is>
          <t>Hoodies, Zip Up Sweatshirts</t>
        </is>
      </c>
      <c r="T388" s="2" t="inlineStr">
        <is>
          <t>Women</t>
        </is>
      </c>
    </row>
    <row r="389" ht="80" customHeight="1">
      <c r="A389" s="3">
        <f>IMAGE("https://images.lululemon.com/is/image/lululemon/LW7DDWS_043646_1?wid=320&amp;op_usm=0.8",1)</f>
        <v/>
      </c>
      <c r="B389" s="3" t="inlineStr">
        <is>
          <t>Get Low High-Rise Training Short 5"</t>
        </is>
      </c>
      <c r="C389" s="3" t="inlineStr">
        <is>
          <t>157675696</t>
        </is>
      </c>
      <c r="D389" s="3" t="inlineStr">
        <is>
          <t>$74.00</t>
        </is>
      </c>
      <c r="E389" s="3" t="inlineStr">
        <is>
          <t>$37.00</t>
        </is>
      </c>
      <c r="F389" s="3">
        <f>IMAGE("https://images.lululemon.com/is/image/lululemon/43646",1)</f>
        <v/>
      </c>
      <c r="G389" s="3">
        <f>IMAGE("https://images.lululemon.com/is/image/lululemon/71320",1)</f>
        <v/>
      </c>
      <c r="H389" s="3" t="n"/>
      <c r="I389" s="3" t="n"/>
      <c r="J389" s="3" t="n"/>
      <c r="K389" s="3" t="n"/>
      <c r="L389" s="3" t="inlineStr">
        <is>
          <t>2, 4, 6, 8, 10, 12</t>
        </is>
      </c>
      <c r="M389" s="3" t="n">
        <v>1012</v>
      </c>
      <c r="N389" s="3" t="inlineStr">
        <is>
          <t>You put in the work—here's the gear to match. These seamless shorts offer a hugged feel and a defined look to your quads and glutes through every supercharged movement.</t>
        </is>
      </c>
      <c r="O389" s="3" t="inlineStr">
        <is>
          <t>Get-Low-High-Rise-Training-Short-5</t>
        </is>
      </c>
      <c r="P389" s="3" t="inlineStr">
        <is>
          <t>Yes</t>
        </is>
      </c>
      <c r="Q389" s="3" t="inlineStr">
        <is>
          <t>Get Low HR Training Short 5" BLK/GGRE 2</t>
        </is>
      </c>
      <c r="R389" s="3" t="inlineStr">
        <is>
          <t>Black/Graphite Grey, Sequoia/Twig</t>
        </is>
      </c>
      <c r="S389" s="3" t="inlineStr">
        <is>
          <t>Biker Shorts</t>
        </is>
      </c>
      <c r="T389" s="3" t="inlineStr">
        <is>
          <t>Women</t>
        </is>
      </c>
    </row>
    <row r="390" ht="80" customHeight="1">
      <c r="A390" s="2">
        <f>IMAGE("https://images.lululemon.com/is/image/lululemon/LW3IFSS_068365_1?wid=320&amp;op_usm=0.8",1)</f>
        <v/>
      </c>
      <c r="B390" s="2" t="inlineStr">
        <is>
          <t>Scuba Oversized Funnel-Neck Half Zip</t>
        </is>
      </c>
      <c r="C390" s="2" t="inlineStr">
        <is>
          <t>155867909</t>
        </is>
      </c>
      <c r="D390" s="2" t="inlineStr">
        <is>
          <t>$128.00</t>
        </is>
      </c>
      <c r="E390" s="2" t="inlineStr">
        <is>
          <t>$64.00</t>
        </is>
      </c>
      <c r="F390" s="2">
        <f>IMAGE("https://images.lululemon.com/is/image/lululemon/68365",1)</f>
        <v/>
      </c>
      <c r="G390" s="2" t="n"/>
      <c r="H390" s="2" t="n"/>
      <c r="I390" s="2" t="n"/>
      <c r="J390" s="2" t="n"/>
      <c r="K390" s="2" t="n"/>
      <c r="L390" s="2" t="inlineStr">
        <is>
          <t>M/L, XL/XXL</t>
        </is>
      </c>
      <c r="M390" s="2" t="n">
        <v>53</v>
      </c>
      <c r="N390" s="2" t="inlineStr">
        <is>
          <t>Serious about softness. This funnel-neck sweatshirt is all about fleecy fabric and pairs perfectly with our Scuba sweatpants.</t>
        </is>
      </c>
      <c r="O390" s="2" t="inlineStr">
        <is>
          <t>Scuba-Oversized-Funnel-Neck-Shirt</t>
        </is>
      </c>
      <c r="P390" s="2" t="inlineStr">
        <is>
          <t>Yes</t>
        </is>
      </c>
      <c r="Q390" s="2" t="inlineStr">
        <is>
          <t>Scuba Oversized Funnel Neck PRDC M/L</t>
        </is>
      </c>
      <c r="R390" s="2" t="inlineStr">
        <is>
          <t>Proud Cloud</t>
        </is>
      </c>
      <c r="S390" s="2" t="inlineStr">
        <is>
          <t>Half Zip Sweatshirts, Quarter Zip Sweatshirts</t>
        </is>
      </c>
      <c r="T390" s="2" t="inlineStr">
        <is>
          <t>Women</t>
        </is>
      </c>
    </row>
    <row r="391" ht="80" customHeight="1">
      <c r="A391" s="3">
        <f>IMAGE("https://images.lululemon.com/is/image/lululemon/LW9FJZS_0001_1?wid=320&amp;op_usm=0.8",1)</f>
        <v/>
      </c>
      <c r="B391" s="3" t="inlineStr">
        <is>
          <t>Women's Fast and Free Insulated Running Gloves</t>
        </is>
      </c>
      <c r="C391" s="3" t="inlineStr">
        <is>
          <t>154900977</t>
        </is>
      </c>
      <c r="D391" s="3" t="inlineStr">
        <is>
          <t>$58.00</t>
        </is>
      </c>
      <c r="E391" s="3" t="inlineStr">
        <is>
          <t>$29.00</t>
        </is>
      </c>
      <c r="F391" s="3">
        <f>IMAGE("https://images.lululemon.com/is/image/lululemon/0001",1)</f>
        <v/>
      </c>
      <c r="G391" s="3" t="n"/>
      <c r="H391" s="3" t="n"/>
      <c r="I391" s="3" t="n"/>
      <c r="J391" s="3" t="n"/>
      <c r="K391" s="3" t="n"/>
      <c r="L391" s="3" t="inlineStr">
        <is>
          <t>XS, S, M, L</t>
        </is>
      </c>
      <c r="M391" s="3" t="n">
        <v>339</v>
      </c>
      <c r="N391" s="3" t="inlineStr">
        <is>
          <t>Cold run, warm hands. These mid-weight gloves have a packable water-repellent hood and tech-friendly fingers.</t>
        </is>
      </c>
      <c r="O391" s="3" t="inlineStr">
        <is>
          <t>W-Fast-and-Free-Insulated-Running-Gloves</t>
        </is>
      </c>
      <c r="P391" s="3" t="inlineStr">
        <is>
          <t>Yes</t>
        </is>
      </c>
      <c r="Q391" s="3" t="inlineStr">
        <is>
          <t>Fast and Free Insulated Run Gloves W BLK XS</t>
        </is>
      </c>
      <c r="R391" s="3" t="inlineStr">
        <is>
          <t>Black</t>
        </is>
      </c>
      <c r="S391" s="3" t="inlineStr"/>
      <c r="T391" s="3" t="inlineStr">
        <is>
          <t>Women</t>
        </is>
      </c>
    </row>
    <row r="392" ht="80" customHeight="1">
      <c r="A392" s="2">
        <f>IMAGE("https://images.lululemon.com/is/image/lululemon/LW9FNCS_3385_1?wid=320&amp;op_usm=0.8",1)</f>
        <v/>
      </c>
      <c r="B392" s="2" t="inlineStr">
        <is>
          <t>On My Level Tote Bag 20L</t>
        </is>
      </c>
      <c r="C392" s="2" t="inlineStr">
        <is>
          <t>155725278</t>
        </is>
      </c>
      <c r="D392" s="2" t="inlineStr">
        <is>
          <t>$128.00</t>
        </is>
      </c>
      <c r="E392" s="2" t="inlineStr">
        <is>
          <t>$64.00</t>
        </is>
      </c>
      <c r="F392" s="2">
        <f>IMAGE("https://images.lululemon.com/is/image/lululemon/3385",1)</f>
        <v/>
      </c>
      <c r="G392" s="2" t="n"/>
      <c r="H392" s="2" t="n"/>
      <c r="I392" s="2" t="n"/>
      <c r="J392" s="2" t="n"/>
      <c r="K392" s="2" t="n"/>
      <c r="L392" s="2" t="inlineStr">
        <is>
          <t>O/S</t>
        </is>
      </c>
      <c r="M392" s="2" t="n">
        <v>20</v>
      </c>
      <c r="N392" s="2" t="inlineStr">
        <is>
          <t>Whether your morning starts with a class or errands, this soft, slouchy tote is always a winner. Wear it over your shoulder, cross-body, or just grab it and go.</t>
        </is>
      </c>
      <c r="O392" s="2" t="inlineStr">
        <is>
          <t>On-My-Level-Tote-Bag-20L</t>
        </is>
      </c>
      <c r="P392" s="2" t="inlineStr">
        <is>
          <t>Yes</t>
        </is>
      </c>
      <c r="Q392" s="2" t="inlineStr">
        <is>
          <t>On My Level Tote BLK/GOLD ONE SIZE</t>
        </is>
      </c>
      <c r="R392" s="2" t="inlineStr">
        <is>
          <t>Black/Gold</t>
        </is>
      </c>
      <c r="S392" s="2" t="inlineStr">
        <is>
          <t>Totes</t>
        </is>
      </c>
      <c r="T392" s="2" t="inlineStr">
        <is>
          <t>Women</t>
        </is>
      </c>
    </row>
    <row r="393" ht="80" customHeight="1">
      <c r="A393" s="3">
        <f>IMAGE("https://images.lululemon.com/is/image/lululemon/LW3JCTS_032493_1?wid=320&amp;op_usm=0.8",1)</f>
        <v/>
      </c>
      <c r="B393" s="3" t="inlineStr">
        <is>
          <t>Scuba Cropped Funnel-Neck Half Zip *Waffle</t>
        </is>
      </c>
      <c r="C393" s="3" t="inlineStr">
        <is>
          <t>157688952</t>
        </is>
      </c>
      <c r="D393" s="3" t="inlineStr">
        <is>
          <t>$138.00</t>
        </is>
      </c>
      <c r="E393" s="3" t="inlineStr">
        <is>
          <t>$69.00</t>
        </is>
      </c>
      <c r="F393" s="3">
        <f>IMAGE("https://images.lululemon.com/is/image/lululemon/32493",1)</f>
        <v/>
      </c>
      <c r="G393" s="3">
        <f>IMAGE("https://images.lululemon.com/is/image/lululemon/20436",1)</f>
        <v/>
      </c>
      <c r="H393" s="3">
        <f>IMAGE("https://images.lululemon.com/is/image/lululemon/36168",1)</f>
        <v/>
      </c>
      <c r="I393" s="3">
        <f>IMAGE("https://images.lululemon.com/is/image/lululemon/42362",1)</f>
        <v/>
      </c>
      <c r="J393" s="3">
        <f>IMAGE("https://images.lululemon.com/is/image/lululemon/70297",1)</f>
        <v/>
      </c>
      <c r="K393" s="3" t="n"/>
      <c r="L393" s="3" t="inlineStr">
        <is>
          <t>XS, S, M, L, XL</t>
        </is>
      </c>
      <c r="M393" s="3" t="n">
        <v>5751</v>
      </c>
      <c r="N393" s="3" t="inlineStr">
        <is>
          <t>Our signature funnel-neck sweatshirt with a textured twist. A rich, waffle-knit fabric adds depth and softness to your downtime.</t>
        </is>
      </c>
      <c r="O393" s="3" t="inlineStr">
        <is>
          <t>Scuba-Cropped-Funnel-Neck-Half-Zip-Waffle</t>
        </is>
      </c>
      <c r="P393" s="3" t="inlineStr">
        <is>
          <t>Yes</t>
        </is>
      </c>
      <c r="Q393" s="3" t="inlineStr">
        <is>
          <t>Scuba Cropped 1/2 Zip Funnel Neck*Waffle HRLI XS</t>
        </is>
      </c>
      <c r="R393" s="3" t="inlineStr">
        <is>
          <t>Heathered Core Ultra Light Grey, Heathered Mink Berry, Heathered Light Ivory, Heathered Faint Lavender, Heathered Fog Green</t>
        </is>
      </c>
      <c r="S393" s="3" t="inlineStr">
        <is>
          <t>Half Zip Sweatshirts, Quarter Zip Sweatshirts</t>
        </is>
      </c>
      <c r="T393" s="3" t="inlineStr">
        <is>
          <t>Women</t>
        </is>
      </c>
    </row>
    <row r="394" ht="80" customHeight="1">
      <c r="A394" s="2">
        <f>IMAGE("https://images.lululemon.com/is/image/lululemon/LW2ELOS_049106_1?wid=320&amp;op_usm=0.8",1)</f>
        <v/>
      </c>
      <c r="B394" s="2" t="inlineStr">
        <is>
          <t>Satin Spaghetti-Strap Yoga Bra *Light Support, A/B Cup</t>
        </is>
      </c>
      <c r="C394" s="2" t="inlineStr">
        <is>
          <t>157708509</t>
        </is>
      </c>
      <c r="D394" s="2" t="inlineStr">
        <is>
          <t>$64.00</t>
        </is>
      </c>
      <c r="E394" s="2" t="inlineStr">
        <is>
          <t>$32.00</t>
        </is>
      </c>
      <c r="F394" s="2">
        <f>IMAGE("https://images.lululemon.com/is/image/lululemon/49106",1)</f>
        <v/>
      </c>
      <c r="G394" s="2" t="n"/>
      <c r="H394" s="2" t="n"/>
      <c r="I394" s="2" t="n"/>
      <c r="J394" s="2" t="n"/>
      <c r="K394" s="2" t="n"/>
      <c r="L394" s="2" t="inlineStr">
        <is>
          <t>2, 4, 6, 8, 10, 12</t>
        </is>
      </c>
      <c r="M394" s="2" t="n">
        <v>207</v>
      </c>
      <c r="N394" s="2" t="inlineStr">
        <is>
          <t>Shine your heart forward. Made from satiny fabric with an ultra-soft interior, this bra gives you just-right support through every bend, twist, and hold.</t>
        </is>
      </c>
      <c r="O394" s="2" t="inlineStr">
        <is>
          <t>Satin-Spaghetti-Strap-Yoga-Bra-Light-Support-AB</t>
        </is>
      </c>
      <c r="P394" s="2" t="inlineStr">
        <is>
          <t>Yes</t>
        </is>
      </c>
      <c r="Q394" s="2" t="inlineStr">
        <is>
          <t>Satin Spaghetti-Strap Yoga Bra A/B RNFG 2</t>
        </is>
      </c>
      <c r="R394" s="2" t="inlineStr">
        <is>
          <t>Rainforest Green</t>
        </is>
      </c>
      <c r="S394" s="2" t="inlineStr">
        <is>
          <t>Bralettes</t>
        </is>
      </c>
      <c r="T394" s="2" t="inlineStr">
        <is>
          <t>Women</t>
        </is>
      </c>
    </row>
    <row r="395" ht="80" customHeight="1">
      <c r="A395" s="3">
        <f>IMAGE("https://images.lululemon.com/is/image/lululemon/LW2EDRS_063787_1?wid=320&amp;op_usm=0.8",1)</f>
        <v/>
      </c>
      <c r="B395" s="3" t="inlineStr">
        <is>
          <t>lululemon Energy Longline Bra Medium Support, B-D Cups *Evolve</t>
        </is>
      </c>
      <c r="C395" s="3" t="inlineStr">
        <is>
          <t>158100802</t>
        </is>
      </c>
      <c r="D395" s="3" t="inlineStr">
        <is>
          <t>$68.00</t>
        </is>
      </c>
      <c r="E395" s="3" t="inlineStr">
        <is>
          <t>$34.00</t>
        </is>
      </c>
      <c r="F395" s="3">
        <f>IMAGE("https://images.lululemon.com/is/image/lululemon/63787",1)</f>
        <v/>
      </c>
      <c r="G395" s="3" t="n"/>
      <c r="H395" s="3" t="n"/>
      <c r="I395" s="3" t="n"/>
      <c r="J395" s="3" t="n"/>
      <c r="K395" s="3" t="n"/>
      <c r="L395" s="3" t="inlineStr">
        <is>
          <t>XS, S, M, L, XL</t>
        </is>
      </c>
      <c r="M395" s="3" t="n">
        <v>137</v>
      </c>
      <c r="N395" s="3" t="inlineStr">
        <is>
          <t>Your built-in support system. This versatile sports bra has a strappy back design and a comfortably supportive fit for all the ways you love to move.</t>
        </is>
      </c>
      <c r="O395" s="3" t="inlineStr">
        <is>
          <t>Energy-Longline-Bra-Medium-Support-BD-Cup-Evolve</t>
        </is>
      </c>
      <c r="P395" s="3" t="inlineStr">
        <is>
          <t>Yes</t>
        </is>
      </c>
      <c r="Q395" s="3" t="inlineStr">
        <is>
          <t>lululemon Energy Longline Bra *Evolve ARPR XS</t>
        </is>
      </c>
      <c r="R395" s="3" t="inlineStr">
        <is>
          <t>Atmospheric Purple</t>
        </is>
      </c>
      <c r="S395" s="3" t="inlineStr">
        <is>
          <t>Strappy Bras, Longline Bras</t>
        </is>
      </c>
      <c r="T395" s="3" t="inlineStr">
        <is>
          <t>Women</t>
        </is>
      </c>
    </row>
    <row r="396" ht="80" customHeight="1">
      <c r="A396" s="2">
        <f>IMAGE("https://images.lululemon.com/is/image/lululemon/LU9BB5S_0024_1?wid=320&amp;op_usm=0.8",1)</f>
        <v/>
      </c>
      <c r="B396" s="2" t="inlineStr">
        <is>
          <t>Removable Sweatband All-Sport Visor *Wordmark</t>
        </is>
      </c>
      <c r="C396" s="2" t="inlineStr">
        <is>
          <t>146956824</t>
        </is>
      </c>
      <c r="D396" s="2" t="inlineStr">
        <is>
          <t>$38.00</t>
        </is>
      </c>
      <c r="E396" s="2" t="inlineStr">
        <is>
          <t>$19.00</t>
        </is>
      </c>
      <c r="F396" s="2">
        <f>IMAGE("https://images.lululemon.com/is/image/lululemon/0024",1)</f>
        <v/>
      </c>
      <c r="G396" s="2" t="n"/>
      <c r="H396" s="2" t="n"/>
      <c r="I396" s="2" t="n"/>
      <c r="J396" s="2" t="n"/>
      <c r="K396" s="2" t="n"/>
      <c r="L396" s="2" t="inlineStr">
        <is>
          <t>L/XL</t>
        </is>
      </c>
      <c r="M396" s="2" t="n">
        <v>95</v>
      </c>
      <c r="N396" s="2" t="inlineStr">
        <is>
          <t>It's easy to stay fresh with this do-it-all visor. Toss the detachable interior sweatband in the laundry so it's ready to go for your next sweat session.</t>
        </is>
      </c>
      <c r="O396" s="2" t="inlineStr">
        <is>
          <t>Removable-SweatbAll-Sport-Visor-Woodmark</t>
        </is>
      </c>
      <c r="P396" s="2" t="inlineStr">
        <is>
          <t>Yes</t>
        </is>
      </c>
      <c r="Q396" s="2" t="inlineStr">
        <is>
          <t>Removable Sweatband All-Sport Visor WHT/BLK L/XL</t>
        </is>
      </c>
      <c r="R396" s="2" t="inlineStr">
        <is>
          <t>White/Black</t>
        </is>
      </c>
      <c r="S396" s="2" t="inlineStr">
        <is>
          <t>Visors</t>
        </is>
      </c>
      <c r="T396" s="2" t="inlineStr">
        <is>
          <t>Women</t>
        </is>
      </c>
    </row>
    <row r="397" ht="80" customHeight="1">
      <c r="A397" s="3">
        <f>IMAGE("https://images.lululemon.com/is/image/lululemon/LU9D55S_027597_1?wid=320&amp;op_usm=0.8",1)</f>
        <v/>
      </c>
      <c r="B397" s="3" t="inlineStr">
        <is>
          <t>Multi-Sport Sun Hat</t>
        </is>
      </c>
      <c r="C397" s="3" t="inlineStr">
        <is>
          <t>156925673</t>
        </is>
      </c>
      <c r="D397" s="3" t="inlineStr">
        <is>
          <t>$68.00</t>
        </is>
      </c>
      <c r="E397" s="3" t="inlineStr">
        <is>
          <t>$34.00</t>
        </is>
      </c>
      <c r="F397" s="3">
        <f>IMAGE("https://images.lululemon.com/is/image/lululemon/27597",1)</f>
        <v/>
      </c>
      <c r="G397" s="3" t="n"/>
      <c r="H397" s="3" t="n"/>
      <c r="I397" s="3" t="n"/>
      <c r="J397" s="3" t="n"/>
      <c r="K397" s="3" t="n"/>
      <c r="L397" s="3" t="inlineStr">
        <is>
          <t>S/M, L/XL</t>
        </is>
      </c>
      <c r="M397" s="3" t="n">
        <v>76</v>
      </c>
      <c r="N397" s="3" t="inlineStr">
        <is>
          <t>Just add sunshine. This lightweight, flexible sun hat is the perfect mix of ventilation and coverage.</t>
        </is>
      </c>
      <c r="O397" s="3" t="inlineStr">
        <is>
          <t>Multi-Sport-Sun-Hat</t>
        </is>
      </c>
      <c r="P397" s="3" t="inlineStr">
        <is>
          <t>Yes</t>
        </is>
      </c>
      <c r="Q397" s="3" t="inlineStr">
        <is>
          <t>Multi-Sport Sun Hat BONE S/M</t>
        </is>
      </c>
      <c r="R397" s="3" t="inlineStr">
        <is>
          <t>Bone</t>
        </is>
      </c>
      <c r="S397" s="3" t="inlineStr"/>
      <c r="T397" s="3" t="inlineStr">
        <is>
          <t>Women</t>
        </is>
      </c>
    </row>
    <row r="398">
      <c r="A398" s="2" t="n"/>
      <c r="B398" s="2" t="inlineStr">
        <is>
          <t>Swiftly Tech Cropped Short-Sleeve Shirt 2.0</t>
        </is>
      </c>
      <c r="C398" s="2" t="inlineStr">
        <is>
          <t>155850483</t>
        </is>
      </c>
      <c r="D398" s="2" t="inlineStr">
        <is>
          <t>$68.00</t>
        </is>
      </c>
      <c r="E398" s="2" t="inlineStr">
        <is>
          <t>$34.00</t>
        </is>
      </c>
      <c r="F398" s="2">
        <f>IMAGE("https://images.lululemon.com/is/image/lululemon/69102",1)</f>
        <v/>
      </c>
      <c r="G398" s="2" t="n"/>
      <c r="H398" s="2" t="n"/>
      <c r="I398" s="2" t="n"/>
      <c r="J398" s="2" t="n"/>
      <c r="K398" s="2" t="n"/>
      <c r="L398" s="2" t="inlineStr">
        <is>
          <t>2, 4, 6, 8, 10, 12</t>
        </is>
      </c>
      <c r="M398" s="2" t="n">
        <v>340</v>
      </c>
      <c r="N398" s="2" t="inlineStr">
        <is>
          <t>Go ahead, get sweaty. The Swiftly collection is all about high-performing fabric that seamlessly adapts to you and your workout.</t>
        </is>
      </c>
      <c r="O398" s="2" t="inlineStr">
        <is>
          <t>Swiftly-Tech-Cropped-SS-Shirt-2</t>
        </is>
      </c>
      <c r="P398" s="2" t="inlineStr">
        <is>
          <t>Yes</t>
        </is>
      </c>
      <c r="Q398" s="2" t="inlineStr">
        <is>
          <t>Swiftly Tech Cropped Short Sleeve 2.0 MIBR/MIBR 2</t>
        </is>
      </c>
      <c r="R398" s="2" t="inlineStr">
        <is>
          <t>Mint Breeze/Mint Breeze</t>
        </is>
      </c>
      <c r="S398" s="2" t="inlineStr"/>
      <c r="T398" s="2" t="inlineStr">
        <is>
          <t>Women</t>
        </is>
      </c>
    </row>
    <row r="399" ht="80" customHeight="1">
      <c r="A399" s="3">
        <f>IMAGE("https://images.lululemon.com/is/image/lululemon/LW3JFUS_0002_1?wid=320&amp;op_usm=0.8",1)</f>
        <v/>
      </c>
      <c r="B399" s="3" t="inlineStr">
        <is>
          <t>Sculpt Short-Sleeve Shirt</t>
        </is>
      </c>
      <c r="C399" s="3" t="inlineStr">
        <is>
          <t>155869591</t>
        </is>
      </c>
      <c r="D399" s="3" t="inlineStr">
        <is>
          <t>$68.00</t>
        </is>
      </c>
      <c r="E399" s="3" t="inlineStr">
        <is>
          <t>$34.00</t>
        </is>
      </c>
      <c r="F399" s="3">
        <f>IMAGE("https://images.lululemon.com/is/image/lululemon/0002",1)</f>
        <v/>
      </c>
      <c r="G399" s="3" t="n"/>
      <c r="H399" s="3" t="n"/>
      <c r="I399" s="3" t="n"/>
      <c r="J399" s="3" t="n"/>
      <c r="K399" s="3" t="n"/>
      <c r="L399" s="3" t="inlineStr">
        <is>
          <t>2, 4, 6, 8, 10</t>
        </is>
      </c>
      <c r="M399" s="3" t="n">
        <v>177</v>
      </c>
      <c r="N399" s="3" t="inlineStr">
        <is>
          <t>Sprints anyone? This lightweight tee has mesh fabric panels for breathability in sweaty situations.</t>
        </is>
      </c>
      <c r="O399" s="3" t="inlineStr">
        <is>
          <t>Sculpt-Short-Sleeve-Shirt</t>
        </is>
      </c>
      <c r="P399" s="3" t="inlineStr">
        <is>
          <t>Yes</t>
        </is>
      </c>
      <c r="Q399" s="3" t="inlineStr">
        <is>
          <t>Sculpt Short Sleeve WHT 2</t>
        </is>
      </c>
      <c r="R399" s="3" t="inlineStr">
        <is>
          <t>White</t>
        </is>
      </c>
      <c r="S399" s="3" t="inlineStr"/>
      <c r="T399" s="3" t="inlineStr">
        <is>
          <t>Women</t>
        </is>
      </c>
    </row>
    <row r="400" ht="80" customHeight="1">
      <c r="A400" s="2">
        <f>IMAGE("https://images.lululemon.com/is/image/lululemon/LW3HO9S_0023_1?wid=320&amp;op_usm=0.8",1)</f>
        <v/>
      </c>
      <c r="B400" s="2" t="inlineStr">
        <is>
          <t>License to Train Lightweight Jacket</t>
        </is>
      </c>
      <c r="C400" s="2" t="inlineStr">
        <is>
          <t>155782885</t>
        </is>
      </c>
      <c r="D400" s="2" t="inlineStr">
        <is>
          <t>$148.00</t>
        </is>
      </c>
      <c r="E400" s="2" t="inlineStr">
        <is>
          <t>$74.00</t>
        </is>
      </c>
      <c r="F400" s="2">
        <f>IMAGE("https://images.lululemon.com/is/image/lululemon/0023",1)</f>
        <v/>
      </c>
      <c r="G400" s="2" t="n"/>
      <c r="H400" s="2" t="n"/>
      <c r="I400" s="2" t="n"/>
      <c r="J400" s="2" t="n"/>
      <c r="K400" s="2" t="n"/>
      <c r="L400" s="2" t="inlineStr">
        <is>
          <t>2, 4, 6, 8, 10</t>
        </is>
      </c>
      <c r="M400" s="2" t="n">
        <v>53</v>
      </c>
      <c r="N400" s="2" t="inlineStr">
        <is>
          <t>That nostalgic tracksuit look, elevated with functional details. This lightweight jacket's made with crinkle-textured fabric, a roomy fit, and a cinchable hem to adjust the shape.</t>
        </is>
      </c>
      <c r="O400" s="2" t="inlineStr">
        <is>
          <t>License-to-Train-Lightweight-Jacket</t>
        </is>
      </c>
      <c r="P400" s="2" t="inlineStr">
        <is>
          <t>Yes</t>
        </is>
      </c>
      <c r="Q400" s="2" t="inlineStr">
        <is>
          <t>License to Train Lightweight Jacket BLK/WHT 2</t>
        </is>
      </c>
      <c r="R400" s="2" t="inlineStr">
        <is>
          <t>Black/White</t>
        </is>
      </c>
      <c r="S400" s="2" t="inlineStr">
        <is>
          <t>Athletic Jackets</t>
        </is>
      </c>
      <c r="T400" s="2" t="inlineStr">
        <is>
          <t>Women</t>
        </is>
      </c>
    </row>
    <row r="401" ht="80" customHeight="1">
      <c r="A401" s="3">
        <f>IMAGE("https://images.lululemon.com/is/image/lululemon/LW7DK4S_070209_1?wid=320&amp;op_usm=0.8",1)</f>
        <v/>
      </c>
      <c r="B401" s="3" t="inlineStr">
        <is>
          <t>Swiftly Mid-Rise Short 3"</t>
        </is>
      </c>
      <c r="C401" s="3" t="inlineStr">
        <is>
          <t>156498421</t>
        </is>
      </c>
      <c r="D401" s="3" t="inlineStr">
        <is>
          <t>$68.00</t>
        </is>
      </c>
      <c r="E401" s="3" t="inlineStr">
        <is>
          <t>$34.00</t>
        </is>
      </c>
      <c r="F401" s="3">
        <f>IMAGE("https://images.lululemon.com/is/image/lululemon/70209",1)</f>
        <v/>
      </c>
      <c r="G401" s="3">
        <f>IMAGE("https://images.lululemon.com/is/image/lululemon/70835",1)</f>
        <v/>
      </c>
      <c r="H401" s="3" t="n"/>
      <c r="I401" s="3" t="n"/>
      <c r="J401" s="3" t="n"/>
      <c r="K401" s="3" t="n"/>
      <c r="L401" s="3" t="inlineStr">
        <is>
          <t>2, 4, 6, 8, 10, 12</t>
        </is>
      </c>
      <c r="M401" s="3" t="n">
        <v>217</v>
      </c>
      <c r="N401" s="3" t="inlineStr">
        <is>
          <t>All in a day's workout. Designed for daily training, these shorts are all about high-performing fabric and a streamlined cut that seamlessly adapt to your stride.</t>
        </is>
      </c>
      <c r="O401" s="3" t="inlineStr">
        <is>
          <t>Swiftly-Mid-Rise-Short-3</t>
        </is>
      </c>
      <c r="P401" s="3" t="inlineStr">
        <is>
          <t>Yes</t>
        </is>
      </c>
      <c r="Q401" s="3" t="inlineStr">
        <is>
          <t>Swiftly Mid-Rise Short 3" LFRS/LFRS 2</t>
        </is>
      </c>
      <c r="R401" s="3" t="inlineStr">
        <is>
          <t>Pool Party/Pool Party, Lavender Frost/Lavender Frost</t>
        </is>
      </c>
      <c r="S401" s="3" t="inlineStr">
        <is>
          <t>Athletic Shorts, Liner Shorts</t>
        </is>
      </c>
      <c r="T401" s="3" t="inlineStr">
        <is>
          <t>Women</t>
        </is>
      </c>
    </row>
    <row r="402" ht="80" customHeight="1">
      <c r="A402" s="2">
        <f>IMAGE("https://images.lululemon.com/is/image/lululemon/LW5FLJS_0001_1?wid=320&amp;op_usm=0.8",1)</f>
        <v/>
      </c>
      <c r="B402" s="2" t="inlineStr">
        <is>
          <t>Cold Weather High-Rise Running Tight 28"</t>
        </is>
      </c>
      <c r="C402" s="2" t="inlineStr">
        <is>
          <t>149451598</t>
        </is>
      </c>
      <c r="D402" s="2" t="inlineStr">
        <is>
          <t>$198.00</t>
        </is>
      </c>
      <c r="E402" s="2" t="inlineStr">
        <is>
          <t>$99.00</t>
        </is>
      </c>
      <c r="F402" s="2">
        <f>IMAGE("https://images.lululemon.com/is/image/lululemon/0001",1)</f>
        <v/>
      </c>
      <c r="G402" s="2">
        <f>IMAGE("https://images.lululemon.com/is/image/lululemon/28022",1)</f>
        <v/>
      </c>
      <c r="H402" s="2" t="n"/>
      <c r="I402" s="2" t="n"/>
      <c r="J402" s="2" t="n"/>
      <c r="K402" s="2" t="n"/>
      <c r="L402" s="2" t="inlineStr">
        <is>
          <t>2, 4, 6, 8, 10, 12</t>
        </is>
      </c>
      <c r="M402" s="2" t="n">
        <v>636</v>
      </c>
      <c r="N402" s="2" t="inlineStr">
        <is>
          <t>Bring the warmth to cold-weather runs. These tights are made from warm technical fleece and have weather-repellent panels to shield you from the elements.</t>
        </is>
      </c>
      <c r="O402" s="2" t="inlineStr">
        <is>
          <t>Cold-Weather-HR-Running-Tight-28</t>
        </is>
      </c>
      <c r="P402" s="2" t="inlineStr">
        <is>
          <t>Yes</t>
        </is>
      </c>
      <c r="Q402" s="2" t="inlineStr">
        <is>
          <t>Cold Weather HR Running Tight 28" BLK 2</t>
        </is>
      </c>
      <c r="R402" s="2" t="inlineStr">
        <is>
          <t>Black, Indochine Blue</t>
        </is>
      </c>
      <c r="S402" s="2" t="inlineStr">
        <is>
          <t>Athletic Pants</t>
        </is>
      </c>
      <c r="T402" s="2" t="inlineStr">
        <is>
          <t>Women</t>
        </is>
      </c>
    </row>
    <row r="403" ht="80" customHeight="1">
      <c r="A403" s="3">
        <f>IMAGE("https://images.lululemon.com/is/image/lululemon/LU9BOTS_0023_1?wid=320&amp;op_usm=0.8",1)</f>
        <v/>
      </c>
      <c r="B403" s="3" t="inlineStr">
        <is>
          <t>Classic Ball Cap *Wordmark</t>
        </is>
      </c>
      <c r="C403" s="3" t="inlineStr">
        <is>
          <t>155801250</t>
        </is>
      </c>
      <c r="D403" s="3" t="inlineStr">
        <is>
          <t>$38.00</t>
        </is>
      </c>
      <c r="E403" s="3" t="inlineStr">
        <is>
          <t>$19.00</t>
        </is>
      </c>
      <c r="F403" s="3">
        <f>IMAGE("https://images.lululemon.com/is/image/lululemon/0023",1)</f>
        <v/>
      </c>
      <c r="G403" s="3">
        <f>IMAGE("https://images.lululemon.com/is/image/lululemon/0024",1)</f>
        <v/>
      </c>
      <c r="H403" s="3">
        <f>IMAGE("https://images.lululemon.com/is/image/lululemon/69040",1)</f>
        <v/>
      </c>
      <c r="I403" s="3" t="n"/>
      <c r="J403" s="3" t="n"/>
      <c r="K403" s="3" t="n"/>
      <c r="L403" s="3" t="inlineStr">
        <is>
          <t>S/M, L/XL</t>
        </is>
      </c>
      <c r="M403" s="3" t="n">
        <v>413</v>
      </c>
      <c r="N403" s="3" t="inlineStr">
        <is>
          <t>Anywhere, anytime. This soft, lightweight cap is a year-round favourite for days on the go.</t>
        </is>
      </c>
      <c r="O403" s="3" t="inlineStr">
        <is>
          <t>Ball-Cap-Wordmark</t>
        </is>
      </c>
      <c r="P403" s="3" t="inlineStr">
        <is>
          <t>Yes</t>
        </is>
      </c>
      <c r="Q403" s="3" t="inlineStr">
        <is>
          <t>Unisex Classic Ball Cap MIBR S/M</t>
        </is>
      </c>
      <c r="R403" s="3" t="inlineStr">
        <is>
          <t>Black/White, White/Black, Mint Breeze</t>
        </is>
      </c>
      <c r="S403" s="3" t="inlineStr">
        <is>
          <t>Caps</t>
        </is>
      </c>
      <c r="T403" s="3" t="inlineStr">
        <is>
          <t>Women</t>
        </is>
      </c>
    </row>
    <row r="404" ht="80" customHeight="1">
      <c r="A404" s="2">
        <f>IMAGE("https://images.lululemon.com/is/image/lululemon/LW7DSDS_072615_1?wid=320&amp;op_usm=0.8",1)</f>
        <v/>
      </c>
      <c r="B404" s="2" t="inlineStr">
        <is>
          <t>lululemon Align™ High-Rise Short 6" *Flocked</t>
        </is>
      </c>
      <c r="C404" s="2" t="inlineStr">
        <is>
          <t>158026432</t>
        </is>
      </c>
      <c r="D404" s="2" t="inlineStr">
        <is>
          <t>$64.00</t>
        </is>
      </c>
      <c r="E404" s="2" t="inlineStr">
        <is>
          <t>$32.00</t>
        </is>
      </c>
      <c r="F404" s="2">
        <f>IMAGE("https://images.lululemon.com/is/image/lululemon/72615",1)</f>
        <v/>
      </c>
      <c r="G404" s="2" t="n"/>
      <c r="H404" s="2" t="n"/>
      <c r="I404" s="2" t="n"/>
      <c r="J404" s="2" t="n"/>
      <c r="K404" s="2" t="n"/>
      <c r="L404" s="2" t="inlineStr">
        <is>
          <t>10, 12</t>
        </is>
      </c>
      <c r="M404" s="2" t="n">
        <v>5</v>
      </c>
      <c r="N404" s="2" t="inlineStr">
        <is>
          <t>When feeling nothing is everything. The lululemon Align™ collection is so weightless and buttery soft, all you feel is your practice. This version features velvety flocked details.</t>
        </is>
      </c>
      <c r="O404" s="2" t="inlineStr">
        <is>
          <t>lululemon-Align-High-Rise-Short-6-Flocked</t>
        </is>
      </c>
      <c r="P404" s="2" t="inlineStr">
        <is>
          <t>Yes</t>
        </is>
      </c>
      <c r="Q404" s="2" t="inlineStr">
        <is>
          <t>lululemon Align™ HR Short 6" *Flock POFB 10</t>
        </is>
      </c>
      <c r="R404" s="2" t="inlineStr">
        <is>
          <t>Polka Flock Black</t>
        </is>
      </c>
      <c r="S404" s="2" t="inlineStr"/>
      <c r="T404" s="2" t="inlineStr">
        <is>
          <t>Women</t>
        </is>
      </c>
    </row>
    <row r="405" ht="80" customHeight="1">
      <c r="A405" s="3">
        <f>IMAGE("https://images.lululemon.com/is/image/lululemon/LW8AQNT_0002_1?wid=320&amp;op_usm=0.8",1)</f>
        <v/>
      </c>
      <c r="B405" s="3" t="inlineStr">
        <is>
          <t>High-Rise Pleated Tennis Skirt *Long</t>
        </is>
      </c>
      <c r="C405" s="3" t="inlineStr">
        <is>
          <t>157678412</t>
        </is>
      </c>
      <c r="D405" s="3" t="inlineStr">
        <is>
          <t>$88.00</t>
        </is>
      </c>
      <c r="E405" s="3" t="inlineStr">
        <is>
          <t>$44.00</t>
        </is>
      </c>
      <c r="F405" s="3">
        <f>IMAGE("https://images.lululemon.com/is/image/lululemon/0002",1)</f>
        <v/>
      </c>
      <c r="G405" s="3">
        <f>IMAGE("https://images.lululemon.com/is/image/lululemon/31382",1)</f>
        <v/>
      </c>
      <c r="H405" s="3">
        <f>IMAGE("https://images.lululemon.com/is/image/lululemon/68578",1)</f>
        <v/>
      </c>
      <c r="I405" s="3" t="n"/>
      <c r="J405" s="3" t="n"/>
      <c r="K405" s="3" t="n"/>
      <c r="L405" s="3" t="inlineStr">
        <is>
          <t>0, 2, 4, 6, 8, 10, 12</t>
        </is>
      </c>
      <c r="M405" s="3" t="n">
        <v>2580</v>
      </c>
      <c r="N405" s="3" t="inlineStr">
        <is>
          <t>Game on. The lightweight, quick-drying fabric on this pleated tennis skirt will keep you cool and comfortable from first serve to match point.</t>
        </is>
      </c>
      <c r="O405" s="3" t="inlineStr">
        <is>
          <t>High-Rise-Pleated-Tennis-Skirt-Long</t>
        </is>
      </c>
      <c r="P405" s="3" t="inlineStr">
        <is>
          <t>Yes</t>
        </is>
      </c>
      <c r="Q405" s="3" t="inlineStr">
        <is>
          <t>High-Rise Pleated Tennis Skirt *Long WHT 0</t>
        </is>
      </c>
      <c r="R405" s="3" t="inlineStr">
        <is>
          <t>White, True Navy, Club Blue</t>
        </is>
      </c>
      <c r="S405" s="3" t="inlineStr">
        <is>
          <t>Skorts, Athletic Skirts</t>
        </is>
      </c>
      <c r="T405" s="3" t="inlineStr">
        <is>
          <t>Women</t>
        </is>
      </c>
    </row>
    <row r="406" ht="80" customHeight="1">
      <c r="A406" s="2">
        <f>IMAGE("https://images.lululemon.com/is/image/lululemon/LW2DS6S_0001_1?wid=320&amp;op_usm=0.8",1)</f>
        <v/>
      </c>
      <c r="B406" s="2" t="inlineStr">
        <is>
          <t>Ultralu Square-Neck Workout Bra *Medium Support, D/DD Cup</t>
        </is>
      </c>
      <c r="C406" s="2" t="inlineStr">
        <is>
          <t>153026251</t>
        </is>
      </c>
      <c r="D406" s="2" t="inlineStr">
        <is>
          <t>$68.00</t>
        </is>
      </c>
      <c r="E406" s="2" t="inlineStr">
        <is>
          <t>$34.00</t>
        </is>
      </c>
      <c r="F406" s="2">
        <f>IMAGE("https://images.lululemon.com/is/image/lululemon/0001",1)</f>
        <v/>
      </c>
      <c r="G406" s="2" t="n"/>
      <c r="H406" s="2" t="n"/>
      <c r="I406" s="2" t="n"/>
      <c r="J406" s="2" t="n"/>
      <c r="K406" s="2" t="n"/>
      <c r="L406" s="2" t="inlineStr">
        <is>
          <t>2, 4, 6, 8, 10</t>
        </is>
      </c>
      <c r="M406" s="2" t="n">
        <v>119</v>
      </c>
      <c r="N406" s="2" t="inlineStr">
        <is>
          <t>Secure support for training sessions. This sports bra has a held-in feel, minimal seams, and smooth Ultralu™ fabric that moulds to your body.</t>
        </is>
      </c>
      <c r="O406" s="2" t="inlineStr">
        <is>
          <t>Ultralu-Square-Neck-Workout-Bra-Med-DDD</t>
        </is>
      </c>
      <c r="P406" s="2" t="inlineStr">
        <is>
          <t>Yes</t>
        </is>
      </c>
      <c r="Q406" s="2" t="inlineStr">
        <is>
          <t>Ultralu™ Square-Neck Workout Bra D/DD BLK 2</t>
        </is>
      </c>
      <c r="R406" s="2" t="inlineStr">
        <is>
          <t>Black</t>
        </is>
      </c>
      <c r="S406" s="2" t="inlineStr">
        <is>
          <t>Racerback Bras</t>
        </is>
      </c>
      <c r="T406" s="2" t="inlineStr">
        <is>
          <t>Women</t>
        </is>
      </c>
    </row>
    <row r="407" ht="80" customHeight="1">
      <c r="A407" s="3">
        <f>IMAGE("https://images.lululemon.com/is/image/lululemon/LW4BSRS_0001_1?wid=320&amp;op_usm=0.8",1)</f>
        <v/>
      </c>
      <c r="B407" s="3" t="inlineStr">
        <is>
          <t>Mist Over Windbreaker</t>
        </is>
      </c>
      <c r="C407" s="3" t="inlineStr">
        <is>
          <t>140275387</t>
        </is>
      </c>
      <c r="D407" s="3" t="inlineStr">
        <is>
          <t>$128.00</t>
        </is>
      </c>
      <c r="E407" s="3" t="inlineStr">
        <is>
          <t>$64.00</t>
        </is>
      </c>
      <c r="F407" s="3">
        <f>IMAGE("https://images.lululemon.com/is/image/lululemon/0001",1)</f>
        <v/>
      </c>
      <c r="G407" s="3" t="n"/>
      <c r="H407" s="3" t="n"/>
      <c r="I407" s="3" t="n"/>
      <c r="J407" s="3" t="n"/>
      <c r="K407" s="3" t="n"/>
      <c r="L407" s="3" t="inlineStr">
        <is>
          <t>2, 4, 6</t>
        </is>
      </c>
      <c r="M407" s="3" t="n">
        <v>51</v>
      </c>
      <c r="N407" s="3" t="inlineStr">
        <is>
          <t>Run or hike, rain or shine. This stretchy, water-repellent jacket packs into its own pocket so you can keep it on hand for when the weather changes.</t>
        </is>
      </c>
      <c r="O407" s="3" t="inlineStr">
        <is>
          <t>Mist-Over-Windbreaker</t>
        </is>
      </c>
      <c r="P407" s="3" t="inlineStr">
        <is>
          <t>Yes</t>
        </is>
      </c>
      <c r="Q407" s="3" t="inlineStr">
        <is>
          <t>Mist Over Windbreaker BLK 2</t>
        </is>
      </c>
      <c r="R407" s="3" t="inlineStr">
        <is>
          <t>Black</t>
        </is>
      </c>
      <c r="S407" s="3" t="inlineStr">
        <is>
          <t>Athletic Jackets, Windbreakers</t>
        </is>
      </c>
      <c r="T407" s="3" t="inlineStr">
        <is>
          <t>Women</t>
        </is>
      </c>
    </row>
    <row r="408" ht="80" customHeight="1">
      <c r="A408" s="2">
        <f>IMAGE("https://images.lululemon.com/is/image/lululemon/LU9AY4S_072619_1?wid=320&amp;op_usm=0.8",1)</f>
        <v/>
      </c>
      <c r="B408" s="2" t="inlineStr">
        <is>
          <t>The Towel</t>
        </is>
      </c>
      <c r="C408" s="2" t="inlineStr">
        <is>
          <t>157793522</t>
        </is>
      </c>
      <c r="D408" s="2" t="inlineStr">
        <is>
          <t>$42.00</t>
        </is>
      </c>
      <c r="E408" s="2" t="inlineStr">
        <is>
          <t>$21.00</t>
        </is>
      </c>
      <c r="F408" s="2">
        <f>IMAGE("https://images.lululemon.com/is/image/lululemon/72619",1)</f>
        <v/>
      </c>
      <c r="G408" s="2" t="n"/>
      <c r="H408" s="2" t="n"/>
      <c r="I408" s="2" t="n"/>
      <c r="J408" s="2" t="n"/>
      <c r="K408" s="2" t="n"/>
      <c r="L408" s="2" t="inlineStr">
        <is>
          <t>O/S</t>
        </is>
      </c>
      <c r="M408" s="2" t="n">
        <v>182</v>
      </c>
      <c r="N408" s="2" t="inlineStr">
        <is>
          <t>Whether it's soaking up sweat during hot yoga classes or drying off post-shower, this absorbent microfibre towel handles it all.</t>
        </is>
      </c>
      <c r="O408" s="2" t="inlineStr">
        <is>
          <t>The-Towel</t>
        </is>
      </c>
      <c r="P408" s="2" t="inlineStr">
        <is>
          <t>Yes</t>
        </is>
      </c>
      <c r="Q408" s="2" t="inlineStr">
        <is>
          <t>The Towel MHGM ONE SIZE</t>
        </is>
      </c>
      <c r="R408" s="2" t="inlineStr">
        <is>
          <t>Meadow Haze Grey Multi</t>
        </is>
      </c>
      <c r="S408" s="2" t="inlineStr">
        <is>
          <t>Towels</t>
        </is>
      </c>
      <c r="T408" s="2" t="inlineStr">
        <is>
          <t>Women</t>
        </is>
      </c>
    </row>
    <row r="409" ht="80" customHeight="1">
      <c r="A409" s="3">
        <f>IMAGE("https://images.lululemon.com/is/image/lululemon/LU9ALBS_0001_1?wid=320&amp;op_usm=0.8",1)</f>
        <v/>
      </c>
      <c r="B409" s="3" t="inlineStr">
        <is>
          <t>Back to Life Sport Bottle 32oz</t>
        </is>
      </c>
      <c r="C409" s="3" t="inlineStr">
        <is>
          <t>124875044</t>
        </is>
      </c>
      <c r="D409" s="3" t="inlineStr">
        <is>
          <t>$54.00</t>
        </is>
      </c>
      <c r="E409" s="3" t="inlineStr">
        <is>
          <t>$27.00</t>
        </is>
      </c>
      <c r="F409" s="3">
        <f>IMAGE("https://images.lululemon.com/is/image/lululemon/0001",1)</f>
        <v/>
      </c>
      <c r="G409" s="3" t="n"/>
      <c r="H409" s="3" t="n"/>
      <c r="I409" s="3" t="n"/>
      <c r="J409" s="3" t="n"/>
      <c r="K409" s="3" t="n"/>
      <c r="L409" s="3" t="inlineStr">
        <is>
          <t>O/S</t>
        </is>
      </c>
      <c r="M409" s="3" t="n">
        <v>1716</v>
      </c>
      <c r="N409" s="3" t="inlineStr">
        <is>
          <t>This insulated water bottle features a leak-proof lid and slip-free texture, so no matter how adventurous the adventure gets, your drink is safe.</t>
        </is>
      </c>
      <c r="O409" s="3" t="inlineStr">
        <is>
          <t>Back-to-Life-Sport-Bottle-32oz</t>
        </is>
      </c>
      <c r="P409" s="3" t="inlineStr">
        <is>
          <t>Yes</t>
        </is>
      </c>
      <c r="Q409" s="3" t="inlineStr">
        <is>
          <t>Back to Life Sport Bottle 32oz BLK ONE SIZE</t>
        </is>
      </c>
      <c r="R409" s="3" t="inlineStr">
        <is>
          <t>Black</t>
        </is>
      </c>
      <c r="S409" s="3" t="inlineStr"/>
      <c r="T409" s="3" t="inlineStr">
        <is>
          <t>Women</t>
        </is>
      </c>
    </row>
    <row r="410" ht="80" customHeight="1">
      <c r="A410" s="2">
        <f>IMAGE("https://images.lululemon.com/is/image/lululemon/LU9CU5S_031382_1?wid=320&amp;op_usm=0.8",1)</f>
        <v/>
      </c>
      <c r="B410" s="2" t="inlineStr">
        <is>
          <t>Easy Clip Nano Golf Pouch</t>
        </is>
      </c>
      <c r="C410" s="2" t="inlineStr">
        <is>
          <t>156484978</t>
        </is>
      </c>
      <c r="D410" s="2" t="inlineStr">
        <is>
          <t>$34.00</t>
        </is>
      </c>
      <c r="E410" s="2" t="inlineStr">
        <is>
          <t>$17.00</t>
        </is>
      </c>
      <c r="F410" s="2">
        <f>IMAGE("https://images.lululemon.com/is/image/lululemon/31382",1)</f>
        <v/>
      </c>
      <c r="G410" s="2">
        <f>IMAGE("https://images.lululemon.com/is/image/lululemon/0001",1)</f>
        <v/>
      </c>
      <c r="H410" s="2" t="n"/>
      <c r="I410" s="2" t="n"/>
      <c r="J410" s="2" t="n"/>
      <c r="K410" s="2" t="n"/>
      <c r="L410" s="2" t="inlineStr">
        <is>
          <t>O/S</t>
        </is>
      </c>
      <c r="M410" s="2" t="n">
        <v>46</v>
      </c>
      <c r="N410" s="2" t="inlineStr">
        <is>
          <t>Fore! This pouch clips onto  your golf bag to keep extra  balls and tees conveniently  close when your shot goes out  of bounds.</t>
        </is>
      </c>
      <c r="O410" s="2" t="inlineStr">
        <is>
          <t>Easy-Clip-Nano-Golf-Pouch</t>
        </is>
      </c>
      <c r="P410" s="2" t="inlineStr">
        <is>
          <t>Yes</t>
        </is>
      </c>
      <c r="Q410" s="2" t="inlineStr">
        <is>
          <t>Easy Clip Nano Golf Pouch TRNV ONE SIZE</t>
        </is>
      </c>
      <c r="R410" s="2" t="inlineStr">
        <is>
          <t>True Navy, Black</t>
        </is>
      </c>
      <c r="S410" s="2" t="inlineStr">
        <is>
          <t>Wallets and Pouches, Bag Accessories</t>
        </is>
      </c>
      <c r="T410" s="2" t="inlineStr">
        <is>
          <t>Women</t>
        </is>
      </c>
    </row>
    <row r="411" ht="80" customHeight="1">
      <c r="A411" s="3">
        <f>IMAGE("https://images.lululemon.com/is/image/lululemon/LW3DFNS_0572_1?wid=320&amp;op_usm=0.8",1)</f>
        <v/>
      </c>
      <c r="B411" s="3" t="inlineStr">
        <is>
          <t>Swiftly Tech Short-Sleeve Shirt 2.0 *Hip Length</t>
        </is>
      </c>
      <c r="C411" s="3" t="inlineStr">
        <is>
          <t>117125041</t>
        </is>
      </c>
      <c r="D411" s="3" t="inlineStr">
        <is>
          <t>$68.00</t>
        </is>
      </c>
      <c r="E411" s="3" t="inlineStr">
        <is>
          <t>$34.00</t>
        </is>
      </c>
      <c r="F411" s="3">
        <f>IMAGE("https://images.lululemon.com/is/image/lululemon/0572",1)</f>
        <v/>
      </c>
      <c r="G411" s="3">
        <f>IMAGE("https://images.lululemon.com/is/image/lululemon/4780",1)</f>
        <v/>
      </c>
      <c r="H411" s="3">
        <f>IMAGE("https://images.lululemon.com/is/image/lululemon/12826",1)</f>
        <v/>
      </c>
      <c r="I411" s="3">
        <f>IMAGE("https://images.lululemon.com/is/image/lululemon/32664",1)</f>
        <v/>
      </c>
      <c r="J411" s="3">
        <f>IMAGE("https://images.lululemon.com/is/image/lululemon/35647",1)</f>
        <v/>
      </c>
      <c r="K411" s="3">
        <f>IMAGE("https://images.lululemon.com/is/image/lululemon/68368",1)</f>
        <v/>
      </c>
      <c r="L411" s="3" t="inlineStr">
        <is>
          <t>0, 2, 4, 6, 8, 10, 12, 14, 16, 18, 20</t>
        </is>
      </c>
      <c r="M411" s="3" t="n">
        <v>14154</v>
      </c>
      <c r="N411" s="3" t="inlineStr">
        <is>
          <t>Go ahead, get sweaty. The Swiftly collection is all about high-performing fabric that seamlessly adapts to you and your workout.</t>
        </is>
      </c>
      <c r="O411" s="3" t="inlineStr">
        <is>
          <t>Swiftly-Tech-SS-2</t>
        </is>
      </c>
      <c r="P411" s="3" t="inlineStr">
        <is>
          <t>Yes</t>
        </is>
      </c>
      <c r="Q411" s="3" t="inlineStr">
        <is>
          <t>Swiftly Tech Short Sleeve 2.0 WHWH 0</t>
        </is>
      </c>
      <c r="R411" s="3" t="inlineStr">
        <is>
          <t>Slate/White, Black/Black, White/White, True Navy/True Navy, Blissful Pink/Blissful Pink, Proud Cloud/Proud Cloud, Black Plum/Black Plum</t>
        </is>
      </c>
      <c r="S411" s="3" t="inlineStr"/>
      <c r="T411" s="3" t="inlineStr">
        <is>
          <t>Women</t>
        </is>
      </c>
    </row>
    <row r="412" ht="80" customHeight="1">
      <c r="A412" s="2">
        <f>IMAGE("https://images.lululemon.com/is/image/lululemon/LW5CVMS_031382_1?wid=320&amp;op_usm=0.8",1)</f>
        <v/>
      </c>
      <c r="B412" s="2" t="inlineStr">
        <is>
          <t>Adapted State High-Rise Jogger *Regular</t>
        </is>
      </c>
      <c r="C412" s="2" t="inlineStr">
        <is>
          <t>125026704</t>
        </is>
      </c>
      <c r="D412" s="2" t="inlineStr">
        <is>
          <t>$128.00</t>
        </is>
      </c>
      <c r="E412" s="2" t="inlineStr">
        <is>
          <t>$64.00</t>
        </is>
      </c>
      <c r="F412" s="2">
        <f>IMAGE("https://images.lululemon.com/is/image/lululemon/31382",1)</f>
        <v/>
      </c>
      <c r="G412" s="2">
        <f>IMAGE("https://images.lululemon.com/is/image/lululemon/0001",1)</f>
        <v/>
      </c>
      <c r="H412" s="2">
        <f>IMAGE("https://images.lululemon.com/is/image/lululemon/35487",1)</f>
        <v/>
      </c>
      <c r="I412" s="2">
        <f>IMAGE("https://images.lululemon.com/is/image/lululemon/41179",1)</f>
        <v/>
      </c>
      <c r="J412" s="2">
        <f>IMAGE("https://images.lululemon.com/is/image/lululemon/0554",1)</f>
        <v/>
      </c>
      <c r="K412" s="2" t="n"/>
      <c r="L412" s="2" t="inlineStr">
        <is>
          <t>2, 4, 6, 8, 10, 12, 14, 16</t>
        </is>
      </c>
      <c r="M412" s="2" t="n">
        <v>4138</v>
      </c>
      <c r="N412" s="2" t="inlineStr">
        <is>
          <t>Think fast. The Adapted State joggers are all about quick transitions with fast-drying fabric and zippered cuffs that let you switch between activities (and outfits) effortlessly.</t>
        </is>
      </c>
      <c r="O412" s="2" t="inlineStr">
        <is>
          <t>Adapted-State-Jogger</t>
        </is>
      </c>
      <c r="P412" s="2" t="inlineStr">
        <is>
          <t>Yes</t>
        </is>
      </c>
      <c r="Q412" s="2" t="inlineStr">
        <is>
          <t>Adapted State HR Jogger *Regular BLK 2</t>
        </is>
      </c>
      <c r="R412" s="2" t="inlineStr">
        <is>
          <t>True Navy, Black, Palm Deco, Sequoia, Grape Mist</t>
        </is>
      </c>
      <c r="S412" s="2" t="inlineStr"/>
      <c r="T412" s="2" t="inlineStr">
        <is>
          <t>Women</t>
        </is>
      </c>
    </row>
    <row r="413" ht="80" customHeight="1">
      <c r="A413" s="3">
        <f>IMAGE("https://images.lululemon.com/is/image/lululemon/LW9FOBS_076320_1?wid=320&amp;op_usm=0.8",1)</f>
        <v/>
      </c>
      <c r="B413" s="3" t="inlineStr">
        <is>
          <t>Uplifting Scrunchies Satin *3 Pack</t>
        </is>
      </c>
      <c r="C413" s="3" t="inlineStr">
        <is>
          <t>158343717</t>
        </is>
      </c>
      <c r="D413" s="3" t="inlineStr">
        <is>
          <t>$24.00</t>
        </is>
      </c>
      <c r="E413" s="3" t="inlineStr">
        <is>
          <t>$12.00</t>
        </is>
      </c>
      <c r="F413" s="3">
        <f>IMAGE("https://images.lululemon.com/is/image/lululemon/76320",1)</f>
        <v/>
      </c>
      <c r="G413" s="3" t="n"/>
      <c r="H413" s="3" t="n"/>
      <c r="I413" s="3" t="n"/>
      <c r="J413" s="3" t="n"/>
      <c r="K413" s="3" t="n"/>
      <c r="L413" s="3" t="inlineStr">
        <is>
          <t>O/S</t>
        </is>
      </c>
      <c r="M413" s="3" t="n">
        <v>327</v>
      </c>
      <c r="N413" s="3" t="inlineStr">
        <is>
          <t>It's scrunch time. These fan favourite scrunchies keep your hair tied tight, stretch after stretch.</t>
        </is>
      </c>
      <c r="O413" s="3" t="inlineStr">
        <is>
          <t>Uplifting-Scrunchies-Satin-3Pack</t>
        </is>
      </c>
      <c r="P413" s="3" t="inlineStr">
        <is>
          <t>Yes</t>
        </is>
      </c>
      <c r="Q413" s="3" t="inlineStr">
        <is>
          <t>Uplifting Scrunchies *3 Pack BLK/OVBR/CMBN ONE SIZE</t>
        </is>
      </c>
      <c r="R413" s="3" t="inlineStr">
        <is>
          <t>Black/Olive Brown/Camel Brown</t>
        </is>
      </c>
      <c r="S413" s="3" t="inlineStr">
        <is>
          <t>Scrunchies</t>
        </is>
      </c>
      <c r="T413" s="3" t="inlineStr">
        <is>
          <t>Women</t>
        </is>
      </c>
    </row>
    <row r="414" ht="80" customHeight="1">
      <c r="A414" s="2">
        <f>IMAGE("https://images.lululemon.com/is/image/lululemon/LW5GQAS_033454_1?wid=320&amp;op_usm=0.8",1)</f>
        <v/>
      </c>
      <c r="B414" s="2" t="inlineStr">
        <is>
          <t>Softstreme Pintuck Mid-Rise Pant *Regular</t>
        </is>
      </c>
      <c r="C414" s="2" t="inlineStr">
        <is>
          <t>157716756</t>
        </is>
      </c>
      <c r="D414" s="2" t="inlineStr">
        <is>
          <t>$128.00</t>
        </is>
      </c>
      <c r="E414" s="2" t="inlineStr">
        <is>
          <t>$64.00</t>
        </is>
      </c>
      <c r="F414" s="2">
        <f>IMAGE("https://images.lululemon.com/is/image/lululemon/33454",1)</f>
        <v/>
      </c>
      <c r="G414" s="2">
        <f>IMAGE("https://images.lululemon.com/is/image/lululemon/35487",1)</f>
        <v/>
      </c>
      <c r="H414" s="2">
        <f>IMAGE("https://images.lululemon.com/is/image/lululemon/41179",1)</f>
        <v/>
      </c>
      <c r="I414" s="2" t="n"/>
      <c r="J414" s="2" t="n"/>
      <c r="K414" s="2" t="n"/>
      <c r="L414" s="2" t="inlineStr">
        <is>
          <t>XS, S, M, L, XL</t>
        </is>
      </c>
      <c r="M414" s="2" t="n">
        <v>350</v>
      </c>
      <c r="N414" s="2" t="inlineStr">
        <is>
          <t>Tailored look, lounge feel. These peach-fuzz soft, trouser-inspired pants bring pajama-level comfort to work days and travel days.</t>
        </is>
      </c>
      <c r="O414" s="2" t="inlineStr">
        <is>
          <t>Softstreme-Pintuck-MR-Pant-Regular</t>
        </is>
      </c>
      <c r="P414" s="2" t="inlineStr">
        <is>
          <t>Yes</t>
        </is>
      </c>
      <c r="Q414" s="2" t="inlineStr">
        <is>
          <t>Softstreme™ Pintuck Mid-Rise Pant *Reg LTIV XS</t>
        </is>
      </c>
      <c r="R414" s="2" t="inlineStr">
        <is>
          <t>Light Ivory, Palm Deco, Sequoia</t>
        </is>
      </c>
      <c r="S414" s="2" t="inlineStr"/>
      <c r="T414" s="2" t="inlineStr">
        <is>
          <t>Women</t>
        </is>
      </c>
    </row>
    <row r="415" ht="80" customHeight="1">
      <c r="A415" s="3">
        <f>IMAGE("https://images.lululemon.com/is/image/lululemon/LW4CLBS_0001_1?wid=320&amp;op_usm=0.8",1)</f>
        <v/>
      </c>
      <c r="B415" s="3" t="inlineStr">
        <is>
          <t>Women’s InsulEight Cold-Weather Run Shell</t>
        </is>
      </c>
      <c r="C415" s="3" t="inlineStr">
        <is>
          <t>157688187</t>
        </is>
      </c>
      <c r="D415" s="3" t="inlineStr">
        <is>
          <t>$188.00</t>
        </is>
      </c>
      <c r="E415" s="3" t="inlineStr">
        <is>
          <t>$94.00</t>
        </is>
      </c>
      <c r="F415" s="3">
        <f>IMAGE("https://images.lululemon.com/is/image/lululemon/0001",1)</f>
        <v/>
      </c>
      <c r="G415" s="3" t="n"/>
      <c r="H415" s="3" t="n"/>
      <c r="I415" s="3" t="n"/>
      <c r="J415" s="3" t="n"/>
      <c r="K415" s="3" t="n"/>
      <c r="L415" s="3" t="inlineStr">
        <is>
          <t>XXS, XS, S, M, L, XL</t>
        </is>
      </c>
      <c r="M415" s="3" t="n">
        <v>170</v>
      </c>
      <c r="N415" s="3" t="inlineStr">
        <is>
          <t>Further, faster, warmer. Take the chill out of cold-weather runs in this lightweight jacket that's body-mapped to retain heat without adding weight to your stride.</t>
        </is>
      </c>
      <c r="O415" s="3" t="inlineStr">
        <is>
          <t>Womens-InsulEight-Cold-Weather-Run-Shell</t>
        </is>
      </c>
      <c r="P415" s="3" t="inlineStr">
        <is>
          <t>Yes</t>
        </is>
      </c>
      <c r="Q415" s="3" t="inlineStr">
        <is>
          <t>W's InsulEight Cold-Weather Run Shell BLK XXS</t>
        </is>
      </c>
      <c r="R415" s="3" t="inlineStr">
        <is>
          <t>Black</t>
        </is>
      </c>
      <c r="S415" s="3" t="inlineStr">
        <is>
          <t>Rain Jackets, Athletic Jackets</t>
        </is>
      </c>
      <c r="T415" s="3" t="inlineStr">
        <is>
          <t>Women</t>
        </is>
      </c>
    </row>
    <row r="416" ht="80" customHeight="1">
      <c r="A416" s="2">
        <f>IMAGE("https://images.lululemon.com/is/image/lululemon/LW1FAMS_043646_1?wid=320&amp;op_usm=0.8",1)</f>
        <v/>
      </c>
      <c r="B416" s="2" t="inlineStr">
        <is>
          <t>Get Low Crossback Training Tank Top *Light Support, B/C Cup</t>
        </is>
      </c>
      <c r="C416" s="2" t="inlineStr">
        <is>
          <t>156751345</t>
        </is>
      </c>
      <c r="D416" s="2" t="inlineStr">
        <is>
          <t>$68.00</t>
        </is>
      </c>
      <c r="E416" s="2" t="inlineStr">
        <is>
          <t>$34.00</t>
        </is>
      </c>
      <c r="F416" s="2">
        <f>IMAGE("https://images.lululemon.com/is/image/lululemon/43646",1)</f>
        <v/>
      </c>
      <c r="G416" s="2">
        <f>IMAGE("https://images.lululemon.com/is/image/lululemon/71320",1)</f>
        <v/>
      </c>
      <c r="H416" s="2" t="n"/>
      <c r="I416" s="2" t="n"/>
      <c r="J416" s="2" t="n"/>
      <c r="K416" s="2" t="n"/>
      <c r="L416" s="2" t="inlineStr">
        <is>
          <t>XS, M, L, XL, S</t>
        </is>
      </c>
      <c r="M416" s="2" t="n">
        <v>238</v>
      </c>
      <c r="N416" s="2" t="inlineStr">
        <is>
          <t>You put in the work—here's the gear to match. This seamlessly knit tank offers a sculpted look and targeted support for confidence through every push and pull.</t>
        </is>
      </c>
      <c r="O416" s="2" t="inlineStr">
        <is>
          <t>Get-Low-Crossback-Training-Tank-Top-LS-BC-Cup</t>
        </is>
      </c>
      <c r="P416" s="2" t="inlineStr">
        <is>
          <t>Yes</t>
        </is>
      </c>
      <c r="Q416" s="2" t="inlineStr">
        <is>
          <t>Get Low Crossback Training Tank SQUO/TWIG XS</t>
        </is>
      </c>
      <c r="R416" s="2" t="inlineStr">
        <is>
          <t>Black/Graphite Grey, Sequoia/Twig</t>
        </is>
      </c>
      <c r="S416" s="2" t="inlineStr"/>
      <c r="T416" s="2" t="inlineStr">
        <is>
          <t>Women</t>
        </is>
      </c>
    </row>
    <row r="417" ht="80" customHeight="1">
      <c r="A417" s="3">
        <f>IMAGE("https://images.lululemon.com/is/image/lululemon/LW3IR9S_069299_1?wid=320&amp;op_usm=0.8",1)</f>
        <v/>
      </c>
      <c r="B417" s="3" t="inlineStr">
        <is>
          <t>Court Rival Tennis Track Jacket</t>
        </is>
      </c>
      <c r="C417" s="3" t="inlineStr">
        <is>
          <t>157708526</t>
        </is>
      </c>
      <c r="D417" s="3" t="inlineStr">
        <is>
          <t>$128.00</t>
        </is>
      </c>
      <c r="E417" s="3" t="inlineStr">
        <is>
          <t>$64.00</t>
        </is>
      </c>
      <c r="F417" s="3">
        <f>IMAGE("https://images.lululemon.com/is/image/lululemon/69299",1)</f>
        <v/>
      </c>
      <c r="G417" s="3">
        <f>IMAGE("https://images.lululemon.com/is/image/lululemon/69502",1)</f>
        <v/>
      </c>
      <c r="H417" s="3">
        <f>IMAGE("https://images.lululemon.com/is/image/lululemon/68898",1)</f>
        <v/>
      </c>
      <c r="I417" s="3" t="n"/>
      <c r="J417" s="3" t="n"/>
      <c r="K417" s="3" t="n"/>
      <c r="L417" s="3" t="inlineStr">
        <is>
          <t>2, 4, 8, 10, 12, 6</t>
        </is>
      </c>
      <c r="M417" s="3" t="n">
        <v>888</v>
      </c>
      <c r="N417" s="3" t="inlineStr">
        <is>
          <t>Keep your warm-up look on (match) point in this vintage-inspired jacket. Piping details, ribbed cuffs, and lightweight, quick-drying fabric make it a key courtside companion.</t>
        </is>
      </c>
      <c r="O417" s="3" t="inlineStr">
        <is>
          <t>Court-Rival-Tennis-Track-Jacket</t>
        </is>
      </c>
      <c r="P417" s="3" t="inlineStr">
        <is>
          <t>Yes</t>
        </is>
      </c>
      <c r="Q417" s="3" t="inlineStr">
        <is>
          <t>Court Rival Tennis Track Jacket WHT/CLBL 2</t>
        </is>
      </c>
      <c r="R417" s="3" t="inlineStr">
        <is>
          <t>Club Blue/Club Blue, White/Club Blue, Club Blue/White</t>
        </is>
      </c>
      <c r="S417" s="3" t="inlineStr">
        <is>
          <t>Athletic Jackets, Track Jackets</t>
        </is>
      </c>
      <c r="T417" s="3" t="inlineStr">
        <is>
          <t>Women</t>
        </is>
      </c>
    </row>
    <row r="418" ht="80" customHeight="1">
      <c r="A418" s="2">
        <f>IMAGE("https://images.lululemon.com/is/image/lululemon/LU9BSJS_072760_1?wid=320&amp;op_usm=0.8",1)</f>
        <v/>
      </c>
      <c r="B418" s="2" t="inlineStr">
        <is>
          <t>Curved Crossbody Bag 3L</t>
        </is>
      </c>
      <c r="C418" s="2" t="inlineStr">
        <is>
          <t>158029888</t>
        </is>
      </c>
      <c r="D418" s="2" t="inlineStr">
        <is>
          <t>$78.00</t>
        </is>
      </c>
      <c r="E418" s="2" t="inlineStr">
        <is>
          <t>$39.00</t>
        </is>
      </c>
      <c r="F418" s="2">
        <f>IMAGE("https://images.lululemon.com/is/image/lululemon/72760",1)</f>
        <v/>
      </c>
      <c r="G418" s="2">
        <f>IMAGE("https://images.lululemon.com/is/image/lululemon/21363",1)</f>
        <v/>
      </c>
      <c r="H418" s="2" t="n"/>
      <c r="I418" s="2" t="n"/>
      <c r="J418" s="2" t="n"/>
      <c r="K418" s="2" t="n"/>
      <c r="L418" s="2" t="inlineStr">
        <is>
          <t>O/S</t>
        </is>
      </c>
      <c r="M418" s="2" t="n">
        <v>1184</v>
      </c>
      <c r="N418" s="2" t="inlineStr">
        <is>
          <t>Look at you, all hands-free and hydrated. This cross-body's unique design lets you stow your water bottle in a hidden drop-down pocket.</t>
        </is>
      </c>
      <c r="O418" s="2" t="inlineStr">
        <is>
          <t>Curved-Crossbody-Bag-3L</t>
        </is>
      </c>
      <c r="P418" s="2" t="inlineStr">
        <is>
          <t>Yes</t>
        </is>
      </c>
      <c r="Q418" s="2" t="inlineStr">
        <is>
          <t>Curved Crossbody Bag ONGE ONE SIZE</t>
        </is>
      </c>
      <c r="R418" s="2" t="inlineStr">
        <is>
          <t>Onyx Grey, Berry Rumble</t>
        </is>
      </c>
      <c r="S418" s="2" t="inlineStr">
        <is>
          <t>Crossbody Bags</t>
        </is>
      </c>
      <c r="T418" s="2" t="inlineStr">
        <is>
          <t>Women</t>
        </is>
      </c>
    </row>
    <row r="419" ht="80" customHeight="1">
      <c r="A419" s="3">
        <f>IMAGE("https://images.lululemon.com/is/image/lululemon/LW9GCYS_074104_1?wid=320&amp;op_usm=0.8",1)</f>
        <v/>
      </c>
      <c r="B419" s="3" t="inlineStr">
        <is>
          <t>Dual Pouch Wristlet *Plush Fleece</t>
        </is>
      </c>
      <c r="C419" s="3" t="inlineStr">
        <is>
          <t>158098791</t>
        </is>
      </c>
      <c r="D419" s="3" t="inlineStr">
        <is>
          <t>$58.00</t>
        </is>
      </c>
      <c r="E419" s="3" t="inlineStr">
        <is>
          <t>$29.00</t>
        </is>
      </c>
      <c r="F419" s="3">
        <f>IMAGE("https://images.lululemon.com/is/image/lululemon/74104",1)</f>
        <v/>
      </c>
      <c r="G419" s="3" t="n"/>
      <c r="H419" s="3" t="n"/>
      <c r="I419" s="3" t="n"/>
      <c r="J419" s="3" t="n"/>
      <c r="K419" s="3" t="n"/>
      <c r="L419" s="3" t="inlineStr">
        <is>
          <t>O/S</t>
        </is>
      </c>
      <c r="M419" s="3" t="n">
        <v>608</v>
      </c>
      <c r="N419" s="3" t="inlineStr">
        <is>
          <t>Ready to go with the flick of a wrist. This wristlet comes with two zippered pouches to keep small items in place while you're on the move.</t>
        </is>
      </c>
      <c r="O419" s="3" t="inlineStr">
        <is>
          <t>Dual-Pouch-Wristlet-Plush-Fleece</t>
        </is>
      </c>
      <c r="P419" s="3" t="inlineStr">
        <is>
          <t>Yes</t>
        </is>
      </c>
      <c r="Q419" s="3" t="inlineStr">
        <is>
          <t>Dual Pouch Wristlet *Plush Fleece BLPM/GOLD ONE SIZE</t>
        </is>
      </c>
      <c r="R419" s="3" t="inlineStr">
        <is>
          <t>Black Plum/Gold</t>
        </is>
      </c>
      <c r="S419" s="3" t="inlineStr">
        <is>
          <t>Wallets and Pouches, Keychains, Bag Accessories</t>
        </is>
      </c>
      <c r="T419" s="3" t="inlineStr">
        <is>
          <t>Women</t>
        </is>
      </c>
    </row>
    <row r="420" ht="80" customHeight="1">
      <c r="A420" s="2">
        <f>IMAGE("https://images.lululemon.com/is/image/lululemon/LW5ENPS_036865_1?wid=320&amp;op_usm=0.8",1)</f>
        <v/>
      </c>
      <c r="B420" s="2" t="inlineStr">
        <is>
          <t>Dance Studio Mid-Rise Jogger *Full Length</t>
        </is>
      </c>
      <c r="C420" s="2" t="inlineStr">
        <is>
          <t>158030027</t>
        </is>
      </c>
      <c r="D420" s="2" t="inlineStr">
        <is>
          <t>$118.00</t>
        </is>
      </c>
      <c r="E420" s="2" t="inlineStr">
        <is>
          <t>$59.00</t>
        </is>
      </c>
      <c r="F420" s="2">
        <f>IMAGE("https://images.lululemon.com/is/image/lululemon/36865",1)</f>
        <v/>
      </c>
      <c r="G420" s="2" t="n"/>
      <c r="H420" s="2" t="n"/>
      <c r="I420" s="2" t="n"/>
      <c r="J420" s="2" t="n"/>
      <c r="K420" s="2" t="n"/>
      <c r="L420" s="2" t="inlineStr">
        <is>
          <t>2, 4, 6, 8, 10, 12</t>
        </is>
      </c>
      <c r="M420" s="2" t="n">
        <v>172</v>
      </c>
      <c r="N420" s="2" t="inlineStr">
        <is>
          <t>Easy, comfortable, and never clingy, these joggers are in our after-practice hall of fame.</t>
        </is>
      </c>
      <c r="O420" s="2" t="inlineStr">
        <is>
          <t>Dance-Studio-Jogger-29</t>
        </is>
      </c>
      <c r="P420" s="2" t="inlineStr">
        <is>
          <t>Yes</t>
        </is>
      </c>
      <c r="Q420" s="2" t="inlineStr">
        <is>
          <t>Dance Studio Mid-Rise Jogger *Lined DVGY 2</t>
        </is>
      </c>
      <c r="R420" s="2" t="inlineStr">
        <is>
          <t>Dove Grey</t>
        </is>
      </c>
      <c r="S420" s="2" t="inlineStr"/>
      <c r="T420" s="2" t="inlineStr">
        <is>
          <t>Women</t>
        </is>
      </c>
    </row>
    <row r="421" ht="80" customHeight="1">
      <c r="A421" s="3">
        <f>IMAGE("https://images.lululemon.com/is/image/lululemon/LW3JSFS_0002_1?wid=320&amp;op_usm=0.8",1)</f>
        <v/>
      </c>
      <c r="B421" s="3" t="inlineStr">
        <is>
          <t>All Yours Organic Cotton Crewneck T-Shirt</t>
        </is>
      </c>
      <c r="C421" s="3" t="inlineStr">
        <is>
          <t>156486633</t>
        </is>
      </c>
      <c r="D421" s="3" t="inlineStr">
        <is>
          <t>$48.00</t>
        </is>
      </c>
      <c r="E421" s="3" t="inlineStr">
        <is>
          <t>$24.00</t>
        </is>
      </c>
      <c r="F421" s="3">
        <f>IMAGE("https://images.lululemon.com/is/image/lululemon/0002",1)</f>
        <v/>
      </c>
      <c r="G421" s="3">
        <f>IMAGE("https://images.lululemon.com/is/image/lululemon/33454",1)</f>
        <v/>
      </c>
      <c r="H421" s="3" t="n"/>
      <c r="I421" s="3" t="n"/>
      <c r="J421" s="3" t="n"/>
      <c r="K421" s="3" t="n"/>
      <c r="L421" s="3" t="inlineStr">
        <is>
          <t>XS, S, M, L, XL</t>
        </is>
      </c>
      <c r="M421" s="3" t="n">
        <v>81</v>
      </c>
      <c r="N421" s="3" t="inlineStr">
        <is>
          <t>The All Yours collection is made from soft, comfortable fabrics and easy-to-wear silhouettes that feel amazing and go with just about everything.</t>
        </is>
      </c>
      <c r="O421" s="3" t="inlineStr">
        <is>
          <t>All-Yours-Organic-Cotton-Crewneck-T-Shirt</t>
        </is>
      </c>
      <c r="P421" s="3" t="inlineStr">
        <is>
          <t>Yes</t>
        </is>
      </c>
      <c r="Q421" s="3" t="inlineStr">
        <is>
          <t>All Yours Organic Cotton T-Shirt WHT XS</t>
        </is>
      </c>
      <c r="R421" s="3" t="inlineStr">
        <is>
          <t>White, Light Ivory</t>
        </is>
      </c>
      <c r="S421" s="3" t="inlineStr"/>
      <c r="T421" s="3" t="inlineStr">
        <is>
          <t>Women</t>
        </is>
      </c>
    </row>
    <row r="422" ht="80" customHeight="1">
      <c r="A422" s="2">
        <f>IMAGE("https://images.lululemon.com/is/image/lululemon/LW5ENOR_0001_1?wid=320&amp;op_usm=0.8",1)</f>
        <v/>
      </c>
      <c r="B422" s="2" t="inlineStr">
        <is>
          <t>Dance Studio Mid-Rise Pant *Regular</t>
        </is>
      </c>
      <c r="C422" s="2" t="inlineStr">
        <is>
          <t>144350164</t>
        </is>
      </c>
      <c r="D422" s="2" t="inlineStr">
        <is>
          <t>$128.00</t>
        </is>
      </c>
      <c r="E422" s="2" t="inlineStr">
        <is>
          <t>$64.00</t>
        </is>
      </c>
      <c r="F422" s="2">
        <f>IMAGE("https://images.lululemon.com/is/image/lululemon/0001",1)</f>
        <v/>
      </c>
      <c r="G422" s="2">
        <f>IMAGE("https://images.lululemon.com/is/image/lululemon/70135",1)</f>
        <v/>
      </c>
      <c r="H422" s="2">
        <f>IMAGE("https://images.lululemon.com/is/image/lululemon/70108",1)</f>
        <v/>
      </c>
      <c r="I422" s="2" t="n"/>
      <c r="J422" s="2" t="n"/>
      <c r="K422" s="2" t="n"/>
      <c r="L422" s="2" t="inlineStr">
        <is>
          <t>2, 4, 6, 8, 10, 12</t>
        </is>
      </c>
      <c r="M422" s="2" t="n">
        <v>3642</v>
      </c>
      <c r="N422" s="2" t="inlineStr">
        <is>
          <t>Easy, comfortable, and never clingy, these pants are in our after-practice hall of fame.</t>
        </is>
      </c>
      <c r="O422" s="2" t="inlineStr">
        <is>
          <t>Dance-Studio-Pant-MR-Reg</t>
        </is>
      </c>
      <c r="P422" s="2" t="inlineStr">
        <is>
          <t>Yes</t>
        </is>
      </c>
      <c r="Q422" s="2" t="inlineStr">
        <is>
          <t>Dance Studio Mid-Rise Pant *Regular BLK 2</t>
        </is>
      </c>
      <c r="R422" s="2" t="inlineStr">
        <is>
          <t>Black, Washed Blue, Warm Ash Grey</t>
        </is>
      </c>
      <c r="S422" s="2" t="inlineStr"/>
      <c r="T422" s="2" t="inlineStr">
        <is>
          <t>Women</t>
        </is>
      </c>
    </row>
    <row r="423" ht="80" customHeight="1">
      <c r="A423" s="3">
        <f>IMAGE("https://images.lululemon.com/is/image/lululemon/LW3JEDS_032493_1?wid=320&amp;op_usm=0.8",1)</f>
        <v/>
      </c>
      <c r="B423" s="3" t="inlineStr">
        <is>
          <t>Scuba Oversized Long Crewneck</t>
        </is>
      </c>
      <c r="C423" s="3" t="inlineStr">
        <is>
          <t>155853672</t>
        </is>
      </c>
      <c r="D423" s="3" t="inlineStr">
        <is>
          <t>$118.00</t>
        </is>
      </c>
      <c r="E423" s="3" t="inlineStr">
        <is>
          <t>$59.00</t>
        </is>
      </c>
      <c r="F423" s="3">
        <f>IMAGE("https://images.lululemon.com/is/image/lululemon/32493",1)</f>
        <v/>
      </c>
      <c r="G423" s="3" t="n"/>
      <c r="H423" s="3" t="n"/>
      <c r="I423" s="3" t="n"/>
      <c r="J423" s="3" t="n"/>
      <c r="K423" s="3" t="n"/>
      <c r="L423" s="3" t="inlineStr">
        <is>
          <t>XS/S, M/L, XL/XXL</t>
        </is>
      </c>
      <c r="M423" s="3" t="n">
        <v>608</v>
      </c>
      <c r="N423" s="3" t="inlineStr">
        <is>
          <t>Serious about softness. Made from our fleecy Scuba fabric, this crewneck tunic makes cool days cozy. Pair it with some leggings for a comfy, put-together look.</t>
        </is>
      </c>
      <c r="O423" s="3" t="inlineStr">
        <is>
          <t>Scuba-Oversized-Long-Crewneck</t>
        </is>
      </c>
      <c r="P423" s="3" t="inlineStr">
        <is>
          <t>Yes</t>
        </is>
      </c>
      <c r="Q423" s="3" t="inlineStr">
        <is>
          <t>Scuba Oversized Long Crewneck HCUG XS/S</t>
        </is>
      </c>
      <c r="R423" s="3" t="inlineStr">
        <is>
          <t>Heathered Core Ultra Light Grey</t>
        </is>
      </c>
      <c r="S423" s="3" t="inlineStr">
        <is>
          <t>Crewneck Sweatshirts</t>
        </is>
      </c>
      <c r="T423" s="3" t="inlineStr">
        <is>
          <t>Women</t>
        </is>
      </c>
    </row>
    <row r="424" ht="80" customHeight="1">
      <c r="A424" s="2">
        <f>IMAGE("https://images.lululemon.com/is/image/lululemon/LW9FHKS_073564_1?wid=320&amp;op_usm=0.8",1)</f>
        <v/>
      </c>
      <c r="B424" s="2" t="inlineStr">
        <is>
          <t>Medium Claw Hair Clip</t>
        </is>
      </c>
      <c r="C424" s="2" t="inlineStr">
        <is>
          <t>158022935</t>
        </is>
      </c>
      <c r="D424" s="2" t="inlineStr">
        <is>
          <t>$18.00</t>
        </is>
      </c>
      <c r="E424" s="2" t="inlineStr">
        <is>
          <t>$9.00</t>
        </is>
      </c>
      <c r="F424" s="2">
        <f>IMAGE("https://images.lululemon.com/is/image/lululemon/73564",1)</f>
        <v/>
      </c>
      <c r="G424" s="2">
        <f>IMAGE("https://images.lululemon.com/is/image/lululemon/65675",1)</f>
        <v/>
      </c>
      <c r="H424" s="2" t="n"/>
      <c r="I424" s="2" t="n"/>
      <c r="J424" s="2" t="n"/>
      <c r="K424" s="2" t="n"/>
      <c r="L424" s="2" t="inlineStr">
        <is>
          <t>O/S</t>
        </is>
      </c>
      <c r="M424" s="2" t="n">
        <v>635</v>
      </c>
      <c r="N424" s="2" t="inlineStr">
        <is>
          <t>Wavy, textured, curly, or straight—whatever kind of hair you've got, this clip will keep it together.</t>
        </is>
      </c>
      <c r="O424" s="2" t="inlineStr">
        <is>
          <t>Medium-Claw-Hair-Clip</t>
        </is>
      </c>
      <c r="P424" s="2" t="inlineStr">
        <is>
          <t>Yes</t>
        </is>
      </c>
      <c r="Q424" s="2" t="inlineStr">
        <is>
          <t>Medium Claw Hair Clip JWMG/ROWD ONE SIZE</t>
        </is>
      </c>
      <c r="R424" s="2" t="inlineStr">
        <is>
          <t>Jewelled Magenta/Rockwood, French Press/Burnt Caramel</t>
        </is>
      </c>
      <c r="S424" s="2" t="inlineStr">
        <is>
          <t>Hair Clips</t>
        </is>
      </c>
      <c r="T424" s="2" t="inlineStr">
        <is>
          <t>Women</t>
        </is>
      </c>
    </row>
    <row r="425" ht="80" customHeight="1">
      <c r="A425" s="3">
        <f>IMAGE("https://images.lululemon.com/is/image/lululemon/LW1FU2S_0001_1?wid=320&amp;op_usm=0.8",1)</f>
        <v/>
      </c>
      <c r="B425" s="3" t="inlineStr">
        <is>
          <t>lululemon Align™ Twist-Strap Cropped Tank Top *Light Support, B/C Cup</t>
        </is>
      </c>
      <c r="C425" s="3" t="inlineStr">
        <is>
          <t>158035748</t>
        </is>
      </c>
      <c r="D425" s="3" t="inlineStr">
        <is>
          <t>$68.00</t>
        </is>
      </c>
      <c r="E425" s="3" t="inlineStr">
        <is>
          <t>$34.00</t>
        </is>
      </c>
      <c r="F425" s="3">
        <f>IMAGE("https://images.lululemon.com/is/image/lululemon/0001",1)</f>
        <v/>
      </c>
      <c r="G425" s="3">
        <f>IMAGE("https://images.lululemon.com/is/image/lululemon/0554",1)</f>
        <v/>
      </c>
      <c r="H425" s="3" t="n"/>
      <c r="I425" s="3" t="n"/>
      <c r="J425" s="3" t="n"/>
      <c r="K425" s="3" t="n"/>
      <c r="L425" s="3" t="inlineStr">
        <is>
          <t>XS, S, M, L, XL</t>
        </is>
      </c>
      <c r="M425" s="3" t="n">
        <v>243</v>
      </c>
      <c r="N425" s="3" t="inlineStr">
        <is>
          <t>When feeling nothing is everything. This version of our buttery-soft lululemon Align™ tank has twisted straps and a back keyhole.</t>
        </is>
      </c>
      <c r="O425" s="3" t="inlineStr">
        <is>
          <t>lululemon-Align-Twist-Strap-Cropped-Tank-Top-LS-BC</t>
        </is>
      </c>
      <c r="P425" s="3" t="inlineStr">
        <is>
          <t>Yes</t>
        </is>
      </c>
      <c r="Q425" s="3" t="inlineStr">
        <is>
          <t>lululemon Align™ Twist-Strap Crop Tank BLK XS</t>
        </is>
      </c>
      <c r="R425" s="3" t="inlineStr">
        <is>
          <t>Black, Grape Mist</t>
        </is>
      </c>
      <c r="S425" s="3" t="inlineStr"/>
      <c r="T425" s="3" t="inlineStr">
        <is>
          <t>Women</t>
        </is>
      </c>
    </row>
    <row r="426" ht="80" customHeight="1">
      <c r="A426" s="2">
        <f>IMAGE("https://images.lululemon.com/is/image/lululemon/LW2E45S_072761_1?wid=320&amp;op_usm=0.8",1)</f>
        <v/>
      </c>
      <c r="B426" s="2" t="inlineStr">
        <is>
          <t>lululemon Glow Up™ Bra *Medium Support, B/C Cup</t>
        </is>
      </c>
      <c r="C426" s="2" t="inlineStr">
        <is>
          <t>158094194</t>
        </is>
      </c>
      <c r="D426" s="2" t="inlineStr">
        <is>
          <t>$68.00</t>
        </is>
      </c>
      <c r="E426" s="2" t="inlineStr">
        <is>
          <t>$34.00</t>
        </is>
      </c>
      <c r="F426" s="2">
        <f>IMAGE("https://images.lululemon.com/is/image/lululemon/72761",1)</f>
        <v/>
      </c>
      <c r="G426" s="2">
        <f>IMAGE("https://images.lululemon.com/is/image/lululemon/45797",1)</f>
        <v/>
      </c>
      <c r="H426" s="2" t="n"/>
      <c r="I426" s="2" t="n"/>
      <c r="J426" s="2" t="n"/>
      <c r="K426" s="2" t="n"/>
      <c r="L426" s="2" t="inlineStr">
        <is>
          <t>XS, S, M, L, XL</t>
        </is>
      </c>
      <c r="M426" s="2" t="n">
        <v>604</v>
      </c>
      <c r="N426" s="2" t="inlineStr">
        <is>
          <t>Confident in every way, shape, and form. We designed this sports bra to give you a supportive fit with a smooth, sleek look.</t>
        </is>
      </c>
      <c r="O426" s="2" t="inlineStr">
        <is>
          <t>lululemon-Glow-Up-Bra-Light-Medium-BC-Cup</t>
        </is>
      </c>
      <c r="P426" s="2" t="inlineStr">
        <is>
          <t>Yes</t>
        </is>
      </c>
      <c r="Q426" s="2" t="inlineStr">
        <is>
          <t>Glow Up Bra WALC XS</t>
        </is>
      </c>
      <c r="R426" s="2" t="inlineStr">
        <is>
          <t>Walnut Crunch, Ashen Rose</t>
        </is>
      </c>
      <c r="S426" s="2" t="inlineStr">
        <is>
          <t>Bralettes</t>
        </is>
      </c>
      <c r="T426" s="2" t="inlineStr">
        <is>
          <t>Women</t>
        </is>
      </c>
    </row>
    <row r="427" ht="80" customHeight="1">
      <c r="A427" s="3">
        <f>IMAGE("https://images.lululemon.com/is/image/lululemon/LW2EKXS_4780_1?wid=320&amp;op_usm=0.8",1)</f>
        <v/>
      </c>
      <c r="B427" s="3" t="inlineStr">
        <is>
          <t>Softy Suedey Wrap-Front Bra *Light Support, B/C Cup</t>
        </is>
      </c>
      <c r="C427" s="3" t="inlineStr">
        <is>
          <t>158019889</t>
        </is>
      </c>
      <c r="D427" s="3" t="inlineStr">
        <is>
          <t>$48.00</t>
        </is>
      </c>
      <c r="E427" s="3" t="inlineStr">
        <is>
          <t>$24.00</t>
        </is>
      </c>
      <c r="F427" s="3">
        <f>IMAGE("https://images.lululemon.com/is/image/lululemon/4780",1)</f>
        <v/>
      </c>
      <c r="G427" s="3">
        <f>IMAGE("https://images.lululemon.com/is/image/lululemon/71595",1)</f>
        <v/>
      </c>
      <c r="H427" s="3" t="n"/>
      <c r="I427" s="3" t="n"/>
      <c r="J427" s="3" t="n"/>
      <c r="K427" s="3" t="n"/>
      <c r="L427" s="3" t="inlineStr">
        <is>
          <t>XS, S, M, L, XL</t>
        </is>
      </c>
      <c r="M427" s="3" t="n">
        <v>218</v>
      </c>
      <c r="N427" s="3" t="inlineStr">
        <is>
          <t>Cross over to the soft side. This yoga bra has a front crossover design and adjustable straps.</t>
        </is>
      </c>
      <c r="O427" s="3" t="inlineStr">
        <is>
          <t>Softy-Suedey-Wrap-Front-Bra-Light-Support-BC-Cup</t>
        </is>
      </c>
      <c r="P427" s="3" t="inlineStr">
        <is>
          <t>Yes</t>
        </is>
      </c>
      <c r="Q427" s="3" t="inlineStr">
        <is>
          <t>Softy Suedey Wrap-Front Bra BLK/BLK XS</t>
        </is>
      </c>
      <c r="R427" s="3" t="inlineStr">
        <is>
          <t>Black/Black, Fog Green/White</t>
        </is>
      </c>
      <c r="S427" s="3" t="inlineStr">
        <is>
          <t>Bralettes</t>
        </is>
      </c>
      <c r="T427" s="3" t="inlineStr">
        <is>
          <t>Women</t>
        </is>
      </c>
    </row>
    <row r="428" ht="80" customHeight="1">
      <c r="A428" s="2">
        <f>IMAGE("https://images.lululemon.com/is/image/lululemon/LW9DAWS_0001_1?wid=320&amp;op_usm=0.8",1)</f>
        <v/>
      </c>
      <c r="B428" s="2" t="inlineStr">
        <is>
          <t>InvisiWear Mid-Rise Thong Underwear</t>
        </is>
      </c>
      <c r="C428" s="2" t="inlineStr">
        <is>
          <t>131275094</t>
        </is>
      </c>
      <c r="D428" s="2" t="inlineStr">
        <is>
          <t>$18.00</t>
        </is>
      </c>
      <c r="E428" s="2" t="inlineStr">
        <is>
          <t>$9.00</t>
        </is>
      </c>
      <c r="F428" s="2">
        <f>IMAGE("https://images.lululemon.com/is/image/lululemon/0001",1)</f>
        <v/>
      </c>
      <c r="G428" s="2" t="n"/>
      <c r="H428" s="2" t="n"/>
      <c r="I428" s="2" t="n"/>
      <c r="J428" s="2" t="n"/>
      <c r="K428" s="2" t="n"/>
      <c r="L428" s="2" t="inlineStr">
        <is>
          <t>XS, S, M, L, XL, XXL</t>
        </is>
      </c>
      <c r="M428" s="2" t="n">
        <v>1490</v>
      </c>
      <c r="N428" s="2" t="inlineStr">
        <is>
          <t>Nothing to see here. Virtually undetectable underneath your leggings, these smooth underwear have a comfortable fit that doesn't slip or slide.</t>
        </is>
      </c>
      <c r="O428" s="2" t="inlineStr">
        <is>
          <t>InvisiWear-Mid-Rise-Thong-Underwear</t>
        </is>
      </c>
      <c r="P428" s="2" t="inlineStr">
        <is>
          <t>Yes</t>
        </is>
      </c>
      <c r="Q428" s="2" t="inlineStr">
        <is>
          <t>InvisiWear Mid-Rise Thong BLK XS</t>
        </is>
      </c>
      <c r="R428" s="2" t="inlineStr">
        <is>
          <t>Black</t>
        </is>
      </c>
      <c r="S428" s="2" t="inlineStr">
        <is>
          <t>Thongs</t>
        </is>
      </c>
      <c r="T428" s="2" t="inlineStr">
        <is>
          <t>Women</t>
        </is>
      </c>
    </row>
    <row r="429" ht="80" customHeight="1">
      <c r="A429" s="3">
        <f>IMAGE("https://images.lululemon.com/is/image/lululemon/LW3IG3S_0001_1?wid=320&amp;op_usm=0.8",1)</f>
        <v/>
      </c>
      <c r="B429" s="3" t="inlineStr">
        <is>
          <t>Scuba Oversized Half-Zip Hoodie</t>
        </is>
      </c>
      <c r="C429" s="3" t="inlineStr">
        <is>
          <t>123176187</t>
        </is>
      </c>
      <c r="D429" s="3" t="inlineStr">
        <is>
          <t>$128.00</t>
        </is>
      </c>
      <c r="E429" s="3" t="inlineStr">
        <is>
          <t>$64.00</t>
        </is>
      </c>
      <c r="F429" s="3">
        <f>IMAGE("https://images.lululemon.com/is/image/lululemon/0001",1)</f>
        <v/>
      </c>
      <c r="G429" s="3">
        <f>IMAGE("https://images.lululemon.com/is/image/lululemon/31382",1)</f>
        <v/>
      </c>
      <c r="H429" s="3">
        <f>IMAGE("https://images.lululemon.com/is/image/lululemon/59067",1)</f>
        <v/>
      </c>
      <c r="I429" s="3">
        <f>IMAGE("https://images.lululemon.com/is/image/lululemon/32493",1)</f>
        <v/>
      </c>
      <c r="J429" s="3">
        <f>IMAGE("https://images.lululemon.com/is/image/lululemon/0002",1)</f>
        <v/>
      </c>
      <c r="K429" s="3">
        <f>IMAGE("https://images.lululemon.com/is/image/lululemon/3385",1)</f>
        <v/>
      </c>
      <c r="L429" s="3" t="inlineStr">
        <is>
          <t>XS/S, M/L, XL/XXL</t>
        </is>
      </c>
      <c r="M429" s="3" t="n">
        <v>20169</v>
      </c>
      <c r="N429" s="3" t="inlineStr">
        <is>
          <t>Serious about softness. This half-zip hooded sweatshirt is all about fleecy fabric and pairs perfectly with our Scuba sweatpants.</t>
        </is>
      </c>
      <c r="O429" s="3" t="inlineStr">
        <is>
          <t>Scuba-Oversized-12-Zip-Hoodie</t>
        </is>
      </c>
      <c r="P429" s="3" t="inlineStr">
        <is>
          <t>Yes</t>
        </is>
      </c>
      <c r="Q429" s="3" t="inlineStr">
        <is>
          <t>Scuba Oversized Half-Zip Hoodie BLK XS/S</t>
        </is>
      </c>
      <c r="R429" s="3" t="inlineStr">
        <is>
          <t>Black, True Navy, Maize Yellow, Heathered Core Ultra Light Grey, White, Black/Gold, Proud Cloud, Pink Haze/Rose Gold, Lavender Lux/Mirror Silver, Pink Organza, Lavender Frost, Pink Frosting, Blissful Pink, Bay Leaf, Sunburst Orange, Palm Deco, Rockwood, Brilliant Blue/Gold, Black Plum/Gold, Willow Leaf/Gold, Heathered Core Medium Grey, Oxford Red</t>
        </is>
      </c>
      <c r="S429" s="3" t="inlineStr">
        <is>
          <t>Hoodies, Half Zip Sweatshirts, Quarter Zip Sweatshirts</t>
        </is>
      </c>
      <c r="T429" s="3" t="inlineStr">
        <is>
          <t>Women</t>
        </is>
      </c>
    </row>
    <row r="430" ht="80" customHeight="1">
      <c r="A430" s="2">
        <f>IMAGE("https://images.lululemon.com/is/image/lululemon/LW3JMJS_073826_1?wid=320&amp;op_usm=0.8",1)</f>
        <v/>
      </c>
      <c r="B430" s="2" t="inlineStr">
        <is>
          <t>Swiftly Tech Long-Sleeve Shirt 2.0 Waist Length *Sparkle</t>
        </is>
      </c>
      <c r="C430" s="2" t="inlineStr">
        <is>
          <t>158026906</t>
        </is>
      </c>
      <c r="D430" s="2" t="inlineStr">
        <is>
          <t>$78.00</t>
        </is>
      </c>
      <c r="E430" s="2" t="inlineStr">
        <is>
          <t>$39.00</t>
        </is>
      </c>
      <c r="F430" s="2">
        <f>IMAGE("https://images.lululemon.com/is/image/lululemon/73826",1)</f>
        <v/>
      </c>
      <c r="G430" s="2" t="n"/>
      <c r="H430" s="2" t="n"/>
      <c r="I430" s="2" t="n"/>
      <c r="J430" s="2" t="n"/>
      <c r="K430" s="2" t="n"/>
      <c r="L430" s="2" t="inlineStr">
        <is>
          <t>8, 10, 12</t>
        </is>
      </c>
      <c r="M430" s="2" t="n">
        <v>27</v>
      </c>
      <c r="N430" s="2" t="inlineStr">
        <is>
          <t>Go ahead, get glowing. This version of our high-performing Swiftly top features colourful metallic yarns that complement your post-workout glow.</t>
        </is>
      </c>
      <c r="O430" s="2" t="inlineStr">
        <is>
          <t>Swiftly-Tech-LS-Shirt-2-Waist-Length-Sparkle</t>
        </is>
      </c>
      <c r="P430" s="2" t="inlineStr">
        <is>
          <t>Yes</t>
        </is>
      </c>
      <c r="Q430" s="2" t="inlineStr">
        <is>
          <t>Swiftly Tech LS 2.0 Race *Sparkle INCB/RLUX 8</t>
        </is>
      </c>
      <c r="R430" s="2" t="inlineStr">
        <is>
          <t>Indochine Blue/Rainbow Lurex</t>
        </is>
      </c>
      <c r="S430" s="2" t="inlineStr"/>
      <c r="T430" s="2" t="inlineStr">
        <is>
          <t>Women</t>
        </is>
      </c>
    </row>
    <row r="431" ht="80" customHeight="1">
      <c r="A431" s="3">
        <f>IMAGE("https://images.lululemon.com/is/image/lululemon/LW9FL8S_035486_1?wid=320&amp;op_usm=0.8",1)</f>
        <v/>
      </c>
      <c r="B431" s="3" t="inlineStr">
        <is>
          <t>City Essentials Pouch *Mini 2L</t>
        </is>
      </c>
      <c r="C431" s="3" t="inlineStr">
        <is>
          <t>157706652</t>
        </is>
      </c>
      <c r="D431" s="3" t="inlineStr">
        <is>
          <t>$38.00</t>
        </is>
      </c>
      <c r="E431" s="3" t="inlineStr">
        <is>
          <t>$19.00</t>
        </is>
      </c>
      <c r="F431" s="3">
        <f>IMAGE("https://images.lululemon.com/is/image/lululemon/35486",1)</f>
        <v/>
      </c>
      <c r="G431" s="3">
        <f>IMAGE("https://images.lululemon.com/is/image/lululemon/34697",1)</f>
        <v/>
      </c>
      <c r="H431" s="3" t="n"/>
      <c r="I431" s="3" t="n"/>
      <c r="J431" s="3" t="n"/>
      <c r="K431" s="3" t="n"/>
      <c r="L431" s="3" t="inlineStr">
        <is>
          <t>O/S</t>
        </is>
      </c>
      <c r="M431" s="3" t="n">
        <v>1096</v>
      </c>
      <c r="N431" s="3" t="inlineStr">
        <is>
          <t>Spend less time searching for things and more time knowing exactly where they are. From makeup to electronic accessories, this pouch will keep you organized.</t>
        </is>
      </c>
      <c r="O431" s="3" t="inlineStr">
        <is>
          <t>City-Essentials-Pouch-Mini</t>
        </is>
      </c>
      <c r="P431" s="3" t="inlineStr">
        <is>
          <t>Yes</t>
        </is>
      </c>
      <c r="Q431" s="3" t="inlineStr">
        <is>
          <t>City Essentials Pouch Mini BLLP ONE SIZE</t>
        </is>
      </c>
      <c r="R431" s="3" t="inlineStr">
        <is>
          <t>Blissful Pink, Black Plum</t>
        </is>
      </c>
      <c r="S431" s="3" t="inlineStr">
        <is>
          <t>Wallets and Pouches</t>
        </is>
      </c>
      <c r="T431" s="3" t="inlineStr">
        <is>
          <t>Women</t>
        </is>
      </c>
    </row>
    <row r="432" ht="80" customHeight="1">
      <c r="A432" s="2">
        <f>IMAGE("https://images.lululemon.com/is/image/lululemon/LW3FQFS_0572_1?wid=320&amp;op_usm=0.8",1)</f>
        <v/>
      </c>
      <c r="B432" s="2" t="inlineStr">
        <is>
          <t>Swiftly Tech Long-Sleeve Shirt 2.0 *Waist Length</t>
        </is>
      </c>
      <c r="C432" s="2" t="inlineStr">
        <is>
          <t>157715231</t>
        </is>
      </c>
      <c r="D432" s="2" t="inlineStr">
        <is>
          <t>$78.00</t>
        </is>
      </c>
      <c r="E432" s="2" t="inlineStr">
        <is>
          <t>$39.00</t>
        </is>
      </c>
      <c r="F432" s="2">
        <f>IMAGE("https://images.lululemon.com/is/image/lululemon/0572",1)</f>
        <v/>
      </c>
      <c r="G432" s="2">
        <f>IMAGE("https://images.lululemon.com/is/image/lululemon/4780",1)</f>
        <v/>
      </c>
      <c r="H432" s="2">
        <f>IMAGE("https://images.lululemon.com/is/image/lululemon/35647",1)</f>
        <v/>
      </c>
      <c r="I432" s="2">
        <f>IMAGE("https://images.lululemon.com/is/image/lululemon/33547",1)</f>
        <v/>
      </c>
      <c r="J432" s="2">
        <f>IMAGE("https://images.lululemon.com/is/image/lululemon/21861",1)</f>
        <v/>
      </c>
      <c r="K432" s="2" t="n"/>
      <c r="L432" s="2" t="inlineStr">
        <is>
          <t>2, 4, 6, 8, 10, 12, 14</t>
        </is>
      </c>
      <c r="M432" s="2" t="n">
        <v>2454</v>
      </c>
      <c r="N432" s="2" t="inlineStr">
        <is>
          <t>Go ahead, get sweaty. The Swiftly collection is all about high-performing fabric that seamlessly adapts to you and your workout.</t>
        </is>
      </c>
      <c r="O432" s="2" t="inlineStr">
        <is>
          <t>Swiftly-Tech-LS-2-Race</t>
        </is>
      </c>
      <c r="P432" s="2" t="inlineStr">
        <is>
          <t>Yes</t>
        </is>
      </c>
      <c r="Q432" s="2" t="inlineStr">
        <is>
          <t>Swiftly Tech Long Sleeve 2.0 *Race BLLP/BLLP 2</t>
        </is>
      </c>
      <c r="R432" s="2" t="inlineStr">
        <is>
          <t>Slate/White, Black/Black, Blissful Pink/Blissful Pink, Brilliant Blue/Brilliant Blue, Berry Rumble/Berry Rumble</t>
        </is>
      </c>
      <c r="S432" s="2" t="inlineStr"/>
      <c r="T432" s="2" t="inlineStr">
        <is>
          <t>Women</t>
        </is>
      </c>
    </row>
    <row r="433" ht="80" customHeight="1">
      <c r="A433" s="3">
        <f>IMAGE("https://images.lululemon.com/is/image/lululemon/LW2EF3S_071189_1?wid=320&amp;op_usm=0.8",1)</f>
        <v/>
      </c>
      <c r="B433" s="3" t="inlineStr">
        <is>
          <t>Wunder Train Strappy Racer Bra *Light Support, C/D Cup</t>
        </is>
      </c>
      <c r="C433" s="3" t="inlineStr">
        <is>
          <t>157702692</t>
        </is>
      </c>
      <c r="D433" s="3" t="inlineStr">
        <is>
          <t>$58.00</t>
        </is>
      </c>
      <c r="E433" s="3" t="inlineStr">
        <is>
          <t>$29.00</t>
        </is>
      </c>
      <c r="F433" s="3">
        <f>IMAGE("https://images.lululemon.com/is/image/lululemon/71189",1)</f>
        <v/>
      </c>
      <c r="G433" s="3" t="n"/>
      <c r="H433" s="3" t="n"/>
      <c r="I433" s="3" t="n"/>
      <c r="J433" s="3" t="n"/>
      <c r="K433" s="3" t="n"/>
      <c r="L433" s="3" t="inlineStr">
        <is>
          <t>2, 4, 6, 8, 10, 12</t>
        </is>
      </c>
      <c r="M433" s="3" t="n">
        <v>88</v>
      </c>
      <c r="N433" s="3" t="inlineStr">
        <is>
          <t>Focus on every push, press, and hold. This narrow-strap bra is intentionally designed with a light feel that lets you stay hyper-mindful.</t>
        </is>
      </c>
      <c r="O433" s="3" t="inlineStr">
        <is>
          <t>Wunder-Train-Strappy-Race-Bra-Light-CD</t>
        </is>
      </c>
      <c r="P433" s="3" t="inlineStr">
        <is>
          <t>Yes</t>
        </is>
      </c>
      <c r="Q433" s="3" t="inlineStr">
        <is>
          <t>Wunder Train Strappy Racer Bra C/D LDOE 2</t>
        </is>
      </c>
      <c r="R433" s="3" t="inlineStr">
        <is>
          <t>Leopardo Shift Micro Emboss Black</t>
        </is>
      </c>
      <c r="S433" s="3" t="inlineStr">
        <is>
          <t>Racerback Bras, Bralettes, Strappy Bras</t>
        </is>
      </c>
      <c r="T433" s="3" t="inlineStr">
        <is>
          <t>Women</t>
        </is>
      </c>
    </row>
    <row r="434" ht="80" customHeight="1">
      <c r="A434" s="2">
        <f>IMAGE("https://images.lululemon.com/is/image/lululemon/LW6BHCS_031382_1?wid=320&amp;op_usm=0.8",1)</f>
        <v/>
      </c>
      <c r="B434" s="2" t="inlineStr">
        <is>
          <t>lululemon Align™ High-Rise Crop 17"</t>
        </is>
      </c>
      <c r="C434" s="2" t="inlineStr">
        <is>
          <t>117151150</t>
        </is>
      </c>
      <c r="D434" s="2" t="inlineStr">
        <is>
          <t>$88.00</t>
        </is>
      </c>
      <c r="E434" s="2" t="inlineStr">
        <is>
          <t>$44.00</t>
        </is>
      </c>
      <c r="F434" s="2">
        <f>IMAGE("https://images.lululemon.com/is/image/lululemon/31382",1)</f>
        <v/>
      </c>
      <c r="G434" s="2">
        <f>IMAGE("https://images.lululemon.com/is/image/lululemon/0001",1)</f>
        <v/>
      </c>
      <c r="H434" s="2" t="n"/>
      <c r="I434" s="2" t="n"/>
      <c r="J434" s="2" t="n"/>
      <c r="K434" s="2" t="n"/>
      <c r="L434" s="2" t="inlineStr">
        <is>
          <t>2, 4, 6, 8, 10, 12</t>
        </is>
      </c>
      <c r="M434" s="2" t="n">
        <v>219</v>
      </c>
      <c r="N434" s="2" t="inlineStr">
        <is>
          <t>When feeling nothing is everything. The lululemon Align™ collection is so weightless and buttery soft, all you feel is your practice.</t>
        </is>
      </c>
      <c r="O434" s="2" t="inlineStr">
        <is>
          <t>Align-High-Rise-Crop-17</t>
        </is>
      </c>
      <c r="P434" s="2" t="inlineStr">
        <is>
          <t>Yes</t>
        </is>
      </c>
      <c r="Q434" s="2" t="inlineStr">
        <is>
          <t>lululemon Align™ High-Rise Crop 17" TRNV 2</t>
        </is>
      </c>
      <c r="R434" s="2" t="inlineStr">
        <is>
          <t>True Navy, Black</t>
        </is>
      </c>
      <c r="S434" s="2" t="inlineStr"/>
      <c r="T434" s="2" t="inlineStr">
        <is>
          <t>Women</t>
        </is>
      </c>
    </row>
    <row r="435" ht="80" customHeight="1">
      <c r="A435" s="3">
        <f>IMAGE("https://images.lululemon.com/is/image/lululemon/LU9BW1S_0001_1?wid=320&amp;op_usm=0.8",1)</f>
        <v/>
      </c>
      <c r="B435" s="3" t="inlineStr">
        <is>
          <t>Close-Fit Wool-Blend Ribbed Knit Beanie</t>
        </is>
      </c>
      <c r="C435" s="3" t="inlineStr">
        <is>
          <t>153826998</t>
        </is>
      </c>
      <c r="D435" s="3" t="inlineStr">
        <is>
          <t>$48.00</t>
        </is>
      </c>
      <c r="E435" s="3" t="inlineStr">
        <is>
          <t>$24.00</t>
        </is>
      </c>
      <c r="F435" s="3">
        <f>IMAGE("https://images.lululemon.com/is/image/lululemon/0001",1)</f>
        <v/>
      </c>
      <c r="G435" s="3" t="n"/>
      <c r="H435" s="3" t="n"/>
      <c r="I435" s="3" t="n"/>
      <c r="J435" s="3" t="n"/>
      <c r="K435" s="3" t="n"/>
      <c r="L435" s="3" t="inlineStr">
        <is>
          <t>O/S</t>
        </is>
      </c>
      <c r="M435" s="3" t="n">
        <v>380</v>
      </c>
      <c r="N435" s="3" t="inlineStr">
        <is>
          <t>Keep the cozy close. This lightweight, soft beanie is strategically knit to maintain a close fit, keeping things toasty up top.</t>
        </is>
      </c>
      <c r="O435" s="3" t="inlineStr">
        <is>
          <t>Close-Wool-Blend-Ribbed-Knit-Beanie</t>
        </is>
      </c>
      <c r="P435" s="3" t="inlineStr">
        <is>
          <t>Yes</t>
        </is>
      </c>
      <c r="Q435" s="3" t="inlineStr">
        <is>
          <t>Close-Fit Wool-Blend Ribbed Knit Beanie BLK ONE SIZE</t>
        </is>
      </c>
      <c r="R435" s="3" t="inlineStr">
        <is>
          <t>Black</t>
        </is>
      </c>
      <c r="S435" s="3" t="inlineStr">
        <is>
          <t>Beanies</t>
        </is>
      </c>
      <c r="T435" s="3" t="inlineStr">
        <is>
          <t>Women</t>
        </is>
      </c>
    </row>
    <row r="436" ht="80" customHeight="1">
      <c r="A436" s="2">
        <f>IMAGE("https://images.lululemon.com/is/image/lululemon/LU9BYLS_069147_1?wid=320&amp;op_usm=0.8",1)</f>
        <v/>
      </c>
      <c r="B436" s="2" t="inlineStr">
        <is>
          <t>Back to Life Sport Bottle 24oz *Straw Lid</t>
        </is>
      </c>
      <c r="C436" s="2" t="inlineStr">
        <is>
          <t>157718272</t>
        </is>
      </c>
      <c r="D436" s="2" t="inlineStr">
        <is>
          <t>$44.00</t>
        </is>
      </c>
      <c r="E436" s="2" t="inlineStr">
        <is>
          <t>$22.00</t>
        </is>
      </c>
      <c r="F436" s="2">
        <f>IMAGE("https://images.lululemon.com/is/image/lululemon/69147",1)</f>
        <v/>
      </c>
      <c r="G436" s="2">
        <f>IMAGE("https://images.lululemon.com/is/image/lululemon/74492",1)</f>
        <v/>
      </c>
      <c r="H436" s="2">
        <f>IMAGE("https://images.lululemon.com/is/image/lululemon/0002",1)</f>
        <v/>
      </c>
      <c r="I436" s="2" t="n"/>
      <c r="J436" s="2" t="n"/>
      <c r="K436" s="2" t="n"/>
      <c r="L436" s="2" t="inlineStr">
        <is>
          <t>O/S</t>
        </is>
      </c>
      <c r="M436" s="2" t="n">
        <v>220</v>
      </c>
      <c r="N436" s="2" t="inlineStr">
        <is>
          <t>Sport mode: activated. This insulated water bottle has a built-in straw lid and a slip-free texture to make one-handed drinking a breeze.</t>
        </is>
      </c>
      <c r="O436" s="2" t="inlineStr">
        <is>
          <t>Bck-to-Life-Sprt-Bttle-24oz-Straw-Lid</t>
        </is>
      </c>
      <c r="P436" s="2" t="inlineStr">
        <is>
          <t>Yes</t>
        </is>
      </c>
      <c r="Q436" s="2" t="inlineStr">
        <is>
          <t>Back to Life Sport Bottle 24oz*Straw Lid BLK/VIOI/DKLV ONE SIZE</t>
        </is>
      </c>
      <c r="R436" s="2" t="inlineStr">
        <is>
          <t>Black/Violet Indigo/Dusky Lavender, White/Dove Grey/Pelican, White</t>
        </is>
      </c>
      <c r="S436" s="2" t="inlineStr"/>
      <c r="T436" s="2" t="inlineStr">
        <is>
          <t>Women</t>
        </is>
      </c>
    </row>
    <row r="437" ht="80" customHeight="1">
      <c r="A437" s="3">
        <f>IMAGE("https://images.lululemon.com/is/image/lululemon/LW9FM7S_0002_1?wid=320&amp;op_usm=0.8",1)</f>
        <v/>
      </c>
      <c r="B437" s="3" t="inlineStr">
        <is>
          <t>Women's Fast Paced Wide Band Running Visor</t>
        </is>
      </c>
      <c r="C437" s="3" t="inlineStr">
        <is>
          <t>150750152</t>
        </is>
      </c>
      <c r="D437" s="3" t="inlineStr">
        <is>
          <t>$28.00</t>
        </is>
      </c>
      <c r="E437" s="3" t="inlineStr">
        <is>
          <t>$14.00</t>
        </is>
      </c>
      <c r="F437" s="3">
        <f>IMAGE("https://images.lululemon.com/is/image/lululemon/0002",1)</f>
        <v/>
      </c>
      <c r="G437" s="3" t="n"/>
      <c r="H437" s="3" t="n"/>
      <c r="I437" s="3" t="n"/>
      <c r="J437" s="3" t="n"/>
      <c r="K437" s="3" t="n"/>
      <c r="L437" s="3" t="inlineStr">
        <is>
          <t>O/S</t>
        </is>
      </c>
      <c r="M437" s="3" t="n">
        <v>716</v>
      </c>
      <c r="N437" s="3" t="inlineStr">
        <is>
          <t>Feel the wind, not the rays. We added height to the front band of this visor for extra coverage on your forehead. The ultimate run-in-the-sun solution just levelled up.</t>
        </is>
      </c>
      <c r="O437" s="3" t="inlineStr">
        <is>
          <t>W-Fast-Paced-Wide-Band-Running-Visor</t>
        </is>
      </c>
      <c r="P437" s="3" t="inlineStr">
        <is>
          <t>Yes</t>
        </is>
      </c>
      <c r="Q437" s="3" t="inlineStr">
        <is>
          <t>Fast Paced Wide Band Run Visor WHT ONE SIZE</t>
        </is>
      </c>
      <c r="R437" s="3" t="inlineStr">
        <is>
          <t>White</t>
        </is>
      </c>
      <c r="S437" s="3" t="inlineStr">
        <is>
          <t>Visors</t>
        </is>
      </c>
      <c r="T437" s="3" t="inlineStr">
        <is>
          <t>Women</t>
        </is>
      </c>
    </row>
    <row r="438" ht="80" customHeight="1">
      <c r="A438" s="2">
        <f>IMAGE("https://images.lululemon.com/is/image/lululemon/LW1DDUS_0001_1?wid=320&amp;op_usm=0.8",1)</f>
        <v/>
      </c>
      <c r="B438" s="2" t="inlineStr">
        <is>
          <t>Love Tank Top</t>
        </is>
      </c>
      <c r="C438" s="2" t="inlineStr">
        <is>
          <t>136025135</t>
        </is>
      </c>
      <c r="D438" s="2" t="inlineStr">
        <is>
          <t>$38.00</t>
        </is>
      </c>
      <c r="E438" s="2" t="inlineStr">
        <is>
          <t>$19.00</t>
        </is>
      </c>
      <c r="F438" s="2">
        <f>IMAGE("https://images.lululemon.com/is/image/lululemon/0001",1)</f>
        <v/>
      </c>
      <c r="G438" s="2" t="n"/>
      <c r="H438" s="2" t="n"/>
      <c r="I438" s="2" t="n"/>
      <c r="J438" s="2" t="n"/>
      <c r="K438" s="2" t="n"/>
      <c r="L438" s="2" t="inlineStr">
        <is>
          <t>8</t>
        </is>
      </c>
      <c r="M438" s="2" t="n">
        <v>8</v>
      </c>
      <c r="N438" s="2" t="inlineStr">
        <is>
          <t>Lots of reasons to love this tank top. Soft cotton fabric, a hint of stretch, and a just-right curved hem that pairs perfectly with leggings.</t>
        </is>
      </c>
      <c r="O438" s="2" t="inlineStr">
        <is>
          <t>Love-Tank</t>
        </is>
      </c>
      <c r="P438" s="2" t="inlineStr">
        <is>
          <t>Yes</t>
        </is>
      </c>
      <c r="Q438" s="2" t="inlineStr">
        <is>
          <t>Love Tank BLK 8</t>
        </is>
      </c>
      <c r="R438" s="2" t="inlineStr">
        <is>
          <t>Black</t>
        </is>
      </c>
      <c r="S438" s="2" t="inlineStr"/>
      <c r="T438" s="2" t="inlineStr">
        <is>
          <t>Women</t>
        </is>
      </c>
    </row>
    <row r="439" ht="80" customHeight="1">
      <c r="A439" s="3">
        <f>IMAGE("https://images.lululemon.com/is/image/lululemon/LU9DO5S_0002_1?wid=320&amp;op_usm=0.8",1)</f>
        <v/>
      </c>
      <c r="B439" s="3" t="inlineStr">
        <is>
          <t>Unisex Daily Essential Crew Socks</t>
        </is>
      </c>
      <c r="C439" s="3" t="inlineStr">
        <is>
          <t>157768511</t>
        </is>
      </c>
      <c r="D439" s="3" t="inlineStr">
        <is>
          <t>$14.00</t>
        </is>
      </c>
      <c r="E439" s="3" t="inlineStr">
        <is>
          <t>$7.00</t>
        </is>
      </c>
      <c r="F439" s="3">
        <f>IMAGE("https://images.lululemon.com/is/image/lululemon/0002",1)</f>
        <v/>
      </c>
      <c r="G439" s="3" t="n"/>
      <c r="H439" s="3" t="n"/>
      <c r="I439" s="3" t="n"/>
      <c r="J439" s="3" t="n"/>
      <c r="K439" s="3" t="n"/>
      <c r="L439" s="3" t="inlineStr">
        <is>
          <t>S, M, L, XL</t>
        </is>
      </c>
      <c r="M439" s="3" t="n">
        <v>183</v>
      </c>
      <c r="N439" s="3" t="inlineStr">
        <is>
          <t>Top drawer comfort. These soft cotton socks combine integrated arch support and plush cushioning.</t>
        </is>
      </c>
      <c r="O439" s="3" t="inlineStr">
        <is>
          <t>Unisex-Daily-Essential-Crew-Socks</t>
        </is>
      </c>
      <c r="P439" s="3" t="inlineStr">
        <is>
          <t>Yes</t>
        </is>
      </c>
      <c r="Q439" s="3" t="inlineStr">
        <is>
          <t>Daily Essential Socks WHT S</t>
        </is>
      </c>
      <c r="R439" s="3" t="inlineStr">
        <is>
          <t>White</t>
        </is>
      </c>
      <c r="S439" s="3" t="inlineStr">
        <is>
          <t>Crew Socks</t>
        </is>
      </c>
      <c r="T439" s="3" t="inlineStr">
        <is>
          <t>Women</t>
        </is>
      </c>
    </row>
    <row r="440" ht="80" customHeight="1">
      <c r="A440" s="2">
        <f>IMAGE("https://images.lululemon.com/is/image/lululemon/LW1FKXS_068898_1?wid=320&amp;op_usm=0.8",1)</f>
        <v/>
      </c>
      <c r="B440" s="2" t="inlineStr">
        <is>
          <t>Scoop-Neck Cutout Tennis Dress</t>
        </is>
      </c>
      <c r="C440" s="2" t="inlineStr">
        <is>
          <t>156504468</t>
        </is>
      </c>
      <c r="D440" s="2" t="inlineStr">
        <is>
          <t>$148.00</t>
        </is>
      </c>
      <c r="E440" s="2" t="inlineStr">
        <is>
          <t>$74.00</t>
        </is>
      </c>
      <c r="F440" s="2">
        <f>IMAGE("https://images.lululemon.com/is/image/lululemon/68898",1)</f>
        <v/>
      </c>
      <c r="G440" s="2" t="n"/>
      <c r="H440" s="2" t="n"/>
      <c r="I440" s="2" t="n"/>
      <c r="J440" s="2" t="n"/>
      <c r="K440" s="2" t="n"/>
      <c r="L440" s="2" t="inlineStr">
        <is>
          <t>XS, S, M, L, XL</t>
        </is>
      </c>
      <c r="M440" s="2" t="n">
        <v>425</v>
      </c>
      <c r="N440" s="2" t="inlineStr">
        <is>
          <t>Advantage: this tennis dress.  With a built-in bra for  support and a shorts liner for  coverage, this tight-fitting  mini lets you move with ease  and confidence.</t>
        </is>
      </c>
      <c r="O440" s="2" t="inlineStr">
        <is>
          <t>Scoop-Neck-Cutout-Tennis-Dress</t>
        </is>
      </c>
      <c r="P440" s="2" t="inlineStr">
        <is>
          <t>Yes</t>
        </is>
      </c>
      <c r="Q440" s="2" t="inlineStr">
        <is>
          <t>Scoop-Neck Cutout Tennis Dress CLBL/WHT XS</t>
        </is>
      </c>
      <c r="R440" s="2" t="inlineStr">
        <is>
          <t>Club Blue/White</t>
        </is>
      </c>
      <c r="S440" s="2" t="inlineStr">
        <is>
          <t>Athletic Dresses</t>
        </is>
      </c>
      <c r="T440" s="2" t="inlineStr">
        <is>
          <t>Women</t>
        </is>
      </c>
    </row>
    <row r="441" ht="80" customHeight="1">
      <c r="A441" s="3">
        <f>IMAGE("https://images.lululemon.com/is/image/lululemon/LW5HJHS_0001_1?wid=320&amp;op_usm=0.8",1)</f>
        <v/>
      </c>
      <c r="B441" s="3" t="inlineStr">
        <is>
          <t>Scuba Mid-Rise Oversized Jogger *Regular</t>
        </is>
      </c>
      <c r="C441" s="3" t="inlineStr">
        <is>
          <t>155700723</t>
        </is>
      </c>
      <c r="D441" s="3" t="inlineStr">
        <is>
          <t>$118.00</t>
        </is>
      </c>
      <c r="E441" s="3" t="inlineStr">
        <is>
          <t>$59.00</t>
        </is>
      </c>
      <c r="F441" s="3">
        <f>IMAGE("https://images.lululemon.com/is/image/lululemon/0001",1)</f>
        <v/>
      </c>
      <c r="G441" s="3">
        <f>IMAGE("https://images.lululemon.com/is/image/lululemon/32493",1)</f>
        <v/>
      </c>
      <c r="H441" s="3">
        <f>IMAGE("https://images.lululemon.com/is/image/lululemon/71152",1)</f>
        <v/>
      </c>
      <c r="I441" s="3">
        <f>IMAGE("https://images.lululemon.com/is/image/lululemon/71177",1)</f>
        <v/>
      </c>
      <c r="J441" s="3">
        <f>IMAGE("https://images.lululemon.com/is/image/lululemon/31382",1)</f>
        <v/>
      </c>
      <c r="K441" s="3" t="n"/>
      <c r="L441" s="3" t="inlineStr">
        <is>
          <t>XS, S, M, L, XL</t>
        </is>
      </c>
      <c r="M441" s="3" t="n">
        <v>4101</v>
      </c>
      <c r="N441" s="3" t="inlineStr">
        <is>
          <t>Serious about softness. These Scuba sweatpants are all about fleecy fabric and sinking in to a slouchy oversized fit.</t>
        </is>
      </c>
      <c r="O441" s="3" t="inlineStr">
        <is>
          <t>Scuba-MR-Oversized-Jogger-Regular</t>
        </is>
      </c>
      <c r="P441" s="3" t="inlineStr">
        <is>
          <t>Yes</t>
        </is>
      </c>
      <c r="Q441" s="3" t="inlineStr">
        <is>
          <t>Scuba MR Oversized Jogger *Regular HCUG XS</t>
        </is>
      </c>
      <c r="R441" s="3" t="inlineStr">
        <is>
          <t>Black, Heathered Core Ultra Light Grey, Pink Frosting, Sunburst Orange, True Navy</t>
        </is>
      </c>
      <c r="S441" s="3" t="inlineStr"/>
      <c r="T441" s="3" t="inlineStr">
        <is>
          <t>Women</t>
        </is>
      </c>
    </row>
    <row r="442" ht="80" customHeight="1">
      <c r="A442" s="2">
        <f>IMAGE("https://images.lululemon.com/is/image/lululemon/LW1FM4S_0001_1?wid=320&amp;op_usm=0.8",1)</f>
        <v/>
      </c>
      <c r="B442" s="2" t="inlineStr">
        <is>
          <t>Sculpt Tank Top</t>
        </is>
      </c>
      <c r="C442" s="2" t="inlineStr">
        <is>
          <t>155869143</t>
        </is>
      </c>
      <c r="D442" s="2" t="inlineStr">
        <is>
          <t>$58.00</t>
        </is>
      </c>
      <c r="E442" s="2" t="inlineStr">
        <is>
          <t>$29.00</t>
        </is>
      </c>
      <c r="F442" s="2">
        <f>IMAGE("https://images.lululemon.com/is/image/lululemon/0001",1)</f>
        <v/>
      </c>
      <c r="G442" s="2">
        <f>IMAGE("https://images.lululemon.com/is/image/lululemon/0002",1)</f>
        <v/>
      </c>
      <c r="H442" s="2" t="n"/>
      <c r="I442" s="2" t="n"/>
      <c r="J442" s="2" t="n"/>
      <c r="K442" s="2" t="n"/>
      <c r="L442" s="2" t="inlineStr">
        <is>
          <t>2, 4, 6, 8, 10, 12</t>
        </is>
      </c>
      <c r="M442" s="2" t="n">
        <v>533</v>
      </c>
      <c r="N442" s="2" t="inlineStr">
        <is>
          <t>Sprints anyone? This lightweight tank has mesh fabric panels for breathability in sweaty situations.</t>
        </is>
      </c>
      <c r="O442" s="2" t="inlineStr">
        <is>
          <t>Sculpt-Tank-Top</t>
        </is>
      </c>
      <c r="P442" s="2" t="inlineStr">
        <is>
          <t>Yes</t>
        </is>
      </c>
      <c r="Q442" s="2" t="inlineStr">
        <is>
          <t>Sculpt Tank BLK 2</t>
        </is>
      </c>
      <c r="R442" s="2" t="inlineStr">
        <is>
          <t>Black, White</t>
        </is>
      </c>
      <c r="S442" s="2" t="inlineStr"/>
      <c r="T442" s="2" t="inlineStr">
        <is>
          <t>Women</t>
        </is>
      </c>
    </row>
    <row r="443" ht="80" customHeight="1">
      <c r="A443" s="3">
        <f>IMAGE("https://images.lululemon.com/is/image/lululemon/LW3KBKS_033454_1?wid=320&amp;op_usm=0.8",1)</f>
        <v/>
      </c>
      <c r="B443" s="3" t="inlineStr">
        <is>
          <t>It's Rulu Classic-Fit Half Zip</t>
        </is>
      </c>
      <c r="C443" s="3" t="inlineStr">
        <is>
          <t>158119526</t>
        </is>
      </c>
      <c r="D443" s="3" t="inlineStr">
        <is>
          <t>$98.00</t>
        </is>
      </c>
      <c r="E443" s="3" t="inlineStr">
        <is>
          <t>$49.00</t>
        </is>
      </c>
      <c r="F443" s="3">
        <f>IMAGE("https://images.lululemon.com/is/image/lululemon/33454",1)</f>
        <v/>
      </c>
      <c r="G443" s="3">
        <f>IMAGE("https://images.lululemon.com/is/image/lululemon/0001",1)</f>
        <v/>
      </c>
      <c r="H443" s="3">
        <f>IMAGE("https://images.lululemon.com/is/image/lululemon/36865",1)</f>
        <v/>
      </c>
      <c r="I443" s="3" t="n"/>
      <c r="J443" s="3" t="n"/>
      <c r="K443" s="3" t="n"/>
      <c r="L443" s="3" t="inlineStr">
        <is>
          <t>XS, S, M, L, XL</t>
        </is>
      </c>
      <c r="M443" s="3" t="n">
        <v>1268</v>
      </c>
      <c r="N443" s="3" t="inlineStr">
        <is>
          <t>Warm up to cold-weather workouts. This soft half zip wicks away sweat so you can stay comfortable when the temperature drops.</t>
        </is>
      </c>
      <c r="O443" s="3" t="inlineStr">
        <is>
          <t>Its-Rulu-Classic-Fit-Half-Zip</t>
        </is>
      </c>
      <c r="P443" s="3" t="inlineStr">
        <is>
          <t>Yes</t>
        </is>
      </c>
      <c r="Q443" s="3" t="inlineStr">
        <is>
          <t>It's Rulu Classic-Fit Half Zip BLK XS</t>
        </is>
      </c>
      <c r="R443" s="3" t="inlineStr">
        <is>
          <t>Light Ivory, Black, Dove Grey</t>
        </is>
      </c>
      <c r="S443" s="3" t="inlineStr">
        <is>
          <t>Half Zip Sweatshirts, Quarter Zip Sweatshirts</t>
        </is>
      </c>
      <c r="T443" s="3" t="inlineStr">
        <is>
          <t>Women</t>
        </is>
      </c>
    </row>
    <row r="444" ht="80" customHeight="1">
      <c r="A444" s="2">
        <f>IMAGE("https://images.lululemon.com/is/image/lululemon/LW9FXRS_070108_1?wid=320&amp;op_usm=0.8",1)</f>
        <v/>
      </c>
      <c r="B444" s="2" t="inlineStr">
        <is>
          <t>Quilty Pleasures Tote Bag *Medium 12L</t>
        </is>
      </c>
      <c r="C444" s="2" t="inlineStr">
        <is>
          <t>157686546</t>
        </is>
      </c>
      <c r="D444" s="2" t="inlineStr">
        <is>
          <t>$148.00</t>
        </is>
      </c>
      <c r="E444" s="2" t="inlineStr">
        <is>
          <t>$74.00</t>
        </is>
      </c>
      <c r="F444" s="2">
        <f>IMAGE("https://images.lululemon.com/is/image/lululemon/70108",1)</f>
        <v/>
      </c>
      <c r="G444" s="2">
        <f>IMAGE("https://images.lululemon.com/is/image/lululemon/0001",1)</f>
        <v/>
      </c>
      <c r="H444" s="2" t="n"/>
      <c r="I444" s="2" t="n"/>
      <c r="J444" s="2" t="n"/>
      <c r="K444" s="2" t="n"/>
      <c r="L444" s="2" t="inlineStr">
        <is>
          <t>O/S</t>
        </is>
      </c>
      <c r="M444" s="2" t="n">
        <v>403</v>
      </c>
      <c r="N444" s="2" t="inlineStr">
        <is>
          <t>Softly does it. Daily essentials find a cushioned landing in this quilted tote that's stamped all over with our wordmark design.</t>
        </is>
      </c>
      <c r="O444" s="2" t="inlineStr">
        <is>
          <t>Quilty-Pleasures-Tote-Bag-Medium-12L</t>
        </is>
      </c>
      <c r="P444" s="2" t="inlineStr">
        <is>
          <t>Yes</t>
        </is>
      </c>
      <c r="Q444" s="2" t="inlineStr">
        <is>
          <t>Quilty Pleasures Tote Medium WSHG ONE SIZE</t>
        </is>
      </c>
      <c r="R444" s="2" t="inlineStr">
        <is>
          <t>Warm Ash Grey, Black</t>
        </is>
      </c>
      <c r="S444" s="2" t="inlineStr">
        <is>
          <t>Totes</t>
        </is>
      </c>
      <c r="T444" s="2" t="inlineStr">
        <is>
          <t>Women</t>
        </is>
      </c>
    </row>
    <row r="445" ht="80" customHeight="1">
      <c r="A445" s="3">
        <f>IMAGE("https://images.lululemon.com/is/image/lululemon/LU9BXQS_0001_1?wid=320&amp;op_usm=0.8",1)</f>
        <v/>
      </c>
      <c r="B445" s="3" t="inlineStr">
        <is>
          <t>Everywhere Belt Bag 1L Clear *Logo</t>
        </is>
      </c>
      <c r="C445" s="3" t="inlineStr">
        <is>
          <t>153107559</t>
        </is>
      </c>
      <c r="D445" s="3" t="inlineStr">
        <is>
          <t>$38.00</t>
        </is>
      </c>
      <c r="E445" s="3" t="inlineStr">
        <is>
          <t>$19.00</t>
        </is>
      </c>
      <c r="F445" s="3">
        <f>IMAGE("https://images.lululemon.com/is/image/lululemon/0001",1)</f>
        <v/>
      </c>
      <c r="G445" s="3" t="n"/>
      <c r="H445" s="3" t="n"/>
      <c r="I445" s="3" t="n"/>
      <c r="J445" s="3" t="n"/>
      <c r="K445" s="3" t="n"/>
      <c r="L445" s="3" t="inlineStr">
        <is>
          <t>O/S</t>
        </is>
      </c>
      <c r="M445" s="3" t="n">
        <v>3690</v>
      </c>
      <c r="N445" s="3" t="inlineStr">
        <is>
          <t>Stadium ready. Whether you're heading to a concert or a game, this clear version of our Everywhere Belt Bag keeps belongings visible so lineups are a breeze.</t>
        </is>
      </c>
      <c r="O445" s="3" t="inlineStr">
        <is>
          <t>Everywhere-Belt-Bag-1L-Clear-Logo</t>
        </is>
      </c>
      <c r="P445" s="3" t="inlineStr">
        <is>
          <t>Yes</t>
        </is>
      </c>
      <c r="Q445" s="3" t="inlineStr">
        <is>
          <t>Everywhere Belt Bag *Clear BLK ONE SIZE</t>
        </is>
      </c>
      <c r="R445" s="3" t="inlineStr">
        <is>
          <t>Black</t>
        </is>
      </c>
      <c r="S445" s="3" t="inlineStr">
        <is>
          <t>Belt Bags, Crossbody Bags</t>
        </is>
      </c>
      <c r="T445" s="3" t="inlineStr">
        <is>
          <t>Women</t>
        </is>
      </c>
    </row>
    <row r="446" ht="80" customHeight="1">
      <c r="A446" s="2">
        <f>IMAGE("https://images.lululemon.com/is/image/lululemon/LW7DHHS_0001_1?wid=320&amp;op_usm=0.8",1)</f>
        <v/>
      </c>
      <c r="B446" s="2" t="inlineStr">
        <is>
          <t>Pace Rival High-Rise Short 3"</t>
        </is>
      </c>
      <c r="C446" s="2" t="inlineStr">
        <is>
          <t>155852081</t>
        </is>
      </c>
      <c r="D446" s="2" t="inlineStr">
        <is>
          <t>$68.00</t>
        </is>
      </c>
      <c r="E446" s="2" t="inlineStr">
        <is>
          <t>$34.00</t>
        </is>
      </c>
      <c r="F446" s="2">
        <f>IMAGE("https://images.lululemon.com/is/image/lululemon/0001",1)</f>
        <v/>
      </c>
      <c r="G446" s="2" t="n"/>
      <c r="H446" s="2" t="n"/>
      <c r="I446" s="2" t="n"/>
      <c r="J446" s="2" t="n"/>
      <c r="K446" s="2" t="n"/>
      <c r="L446" s="2" t="inlineStr">
        <is>
          <t>6, 8</t>
        </is>
      </c>
      <c r="M446" s="2" t="n">
        <v>78</v>
      </c>
      <c r="N446" s="2" t="inlineStr">
        <is>
          <t>From side shuffles to sprints—give it your all in these shorts. Angled split hems give you space for dynamic movement while a breathable brief liner offers coverage mid-stride.</t>
        </is>
      </c>
      <c r="O446" s="2" t="inlineStr">
        <is>
          <t>Pace-Rival-High-Rise-Short-3</t>
        </is>
      </c>
      <c r="P446" s="2" t="inlineStr">
        <is>
          <t>Yes</t>
        </is>
      </c>
      <c r="Q446" s="2" t="inlineStr">
        <is>
          <t>Pace Rival High-Rise Short 3" BLK 6</t>
        </is>
      </c>
      <c r="R446" s="2" t="inlineStr">
        <is>
          <t>Black</t>
        </is>
      </c>
      <c r="S446" s="2" t="inlineStr">
        <is>
          <t>Athletic Shorts</t>
        </is>
      </c>
      <c r="T446" s="2" t="inlineStr">
        <is>
          <t>Women</t>
        </is>
      </c>
    </row>
    <row r="447" ht="80" customHeight="1">
      <c r="A447" s="3">
        <f>IMAGE("https://images.lululemon.com/is/image/lululemon/LW9FL7S_035486_1?wid=320&amp;op_usm=0.8",1)</f>
        <v/>
      </c>
      <c r="B447" s="3" t="inlineStr">
        <is>
          <t>City Essentials Pouch 4L</t>
        </is>
      </c>
      <c r="C447" s="3" t="inlineStr">
        <is>
          <t>157706634</t>
        </is>
      </c>
      <c r="D447" s="3" t="inlineStr">
        <is>
          <t>$48.00</t>
        </is>
      </c>
      <c r="E447" s="3" t="inlineStr">
        <is>
          <t>$24.00</t>
        </is>
      </c>
      <c r="F447" s="3">
        <f>IMAGE("https://images.lululemon.com/is/image/lululemon/35486",1)</f>
        <v/>
      </c>
      <c r="G447" s="3">
        <f>IMAGE("https://images.lululemon.com/is/image/lululemon/21363",1)</f>
        <v/>
      </c>
      <c r="H447" s="3" t="n"/>
      <c r="I447" s="3" t="n"/>
      <c r="J447" s="3" t="n"/>
      <c r="K447" s="3" t="n"/>
      <c r="L447" s="3" t="inlineStr">
        <is>
          <t>O/S</t>
        </is>
      </c>
      <c r="M447" s="3" t="n">
        <v>425</v>
      </c>
      <c r="N447" s="3" t="inlineStr">
        <is>
          <t>Spend less time searching for things and more time knowing exactly where they are. From makeup to electronic accessories, this pouch will keep you organized.</t>
        </is>
      </c>
      <c r="O447" s="3" t="inlineStr">
        <is>
          <t>City-Essentials-Pouch-4L</t>
        </is>
      </c>
      <c r="P447" s="3" t="inlineStr">
        <is>
          <t>Yes</t>
        </is>
      </c>
      <c r="Q447" s="3" t="inlineStr">
        <is>
          <t>City Essentials Pouch BLLP ONE SIZE</t>
        </is>
      </c>
      <c r="R447" s="3" t="inlineStr">
        <is>
          <t>Blissful Pink, Berry Rumble</t>
        </is>
      </c>
      <c r="S447" s="3" t="inlineStr">
        <is>
          <t>Wallets and Pouches</t>
        </is>
      </c>
      <c r="T447" s="3" t="inlineStr">
        <is>
          <t>Women</t>
        </is>
      </c>
    </row>
    <row r="448" ht="80" customHeight="1">
      <c r="A448" s="2">
        <f>IMAGE("https://images.lululemon.com/is/image/lululemon/LU9AQAS_0001_1?wid=320&amp;op_usm=0.8",1)</f>
        <v/>
      </c>
      <c r="B448" s="2" t="inlineStr">
        <is>
          <t>Workout Sliders *Set of 2</t>
        </is>
      </c>
      <c r="C448" s="2" t="inlineStr">
        <is>
          <t>142975048</t>
        </is>
      </c>
      <c r="D448" s="2" t="inlineStr">
        <is>
          <t>$28.00</t>
        </is>
      </c>
      <c r="E448" s="2" t="inlineStr">
        <is>
          <t>$14.00</t>
        </is>
      </c>
      <c r="F448" s="2">
        <f>IMAGE("https://images.lululemon.com/is/image/lululemon/0001",1)</f>
        <v/>
      </c>
      <c r="G448" s="2" t="n"/>
      <c r="H448" s="2" t="n"/>
      <c r="I448" s="2" t="n"/>
      <c r="J448" s="2" t="n"/>
      <c r="K448" s="2" t="n"/>
      <c r="L448" s="2" t="inlineStr">
        <is>
          <t>O/S</t>
        </is>
      </c>
      <c r="M448" s="2" t="n">
        <v>759</v>
      </c>
      <c r="N448" s="2" t="inlineStr">
        <is>
          <t>Glide past your limits. These versatile sliding discs are double-sided for core and stability work on any surface.</t>
        </is>
      </c>
      <c r="O448" s="2" t="inlineStr">
        <is>
          <t>Workout-Sliders-Set-of-2</t>
        </is>
      </c>
      <c r="P448" s="2" t="inlineStr">
        <is>
          <t>Yes</t>
        </is>
      </c>
      <c r="Q448" s="2" t="inlineStr">
        <is>
          <t>Workout Sliders BLK ONE SIZE</t>
        </is>
      </c>
      <c r="R448" s="2" t="inlineStr">
        <is>
          <t>Black</t>
        </is>
      </c>
      <c r="S448" s="2" t="inlineStr">
        <is>
          <t>Sliders</t>
        </is>
      </c>
      <c r="T448" s="2" t="inlineStr">
        <is>
          <t>Women</t>
        </is>
      </c>
    </row>
    <row r="449" ht="80" customHeight="1">
      <c r="A449" s="3">
        <f>IMAGE("https://images.lululemon.com/is/image/lululemon/LW1FKES_0572_1?wid=320&amp;op_usm=0.8",1)</f>
        <v/>
      </c>
      <c r="B449" s="3" t="inlineStr">
        <is>
          <t>Swiftly Relaxed Tank Top Hip Length *Updated Fit</t>
        </is>
      </c>
      <c r="C449" s="3" t="inlineStr">
        <is>
          <t>156751499</t>
        </is>
      </c>
      <c r="D449" s="3" t="inlineStr">
        <is>
          <t>$58.00</t>
        </is>
      </c>
      <c r="E449" s="3" t="inlineStr">
        <is>
          <t>$29.00</t>
        </is>
      </c>
      <c r="F449" s="3">
        <f>IMAGE("https://images.lululemon.com/is/image/lululemon/0572",1)</f>
        <v/>
      </c>
      <c r="G449" s="3" t="n"/>
      <c r="H449" s="3" t="n"/>
      <c r="I449" s="3" t="n"/>
      <c r="J449" s="3" t="n"/>
      <c r="K449" s="3" t="n"/>
      <c r="L449" s="3" t="inlineStr">
        <is>
          <t>2, 4, 6, 8, 10, 12</t>
        </is>
      </c>
      <c r="M449" s="3" t="n">
        <v>165</v>
      </c>
      <c r="N449" s="3" t="inlineStr">
        <is>
          <t>Go ahead, get sweaty. The Swiftly Relaxed collection is all about high performing-fabric that seamlessly adapts to you and your workout. An updated fit gives you slightly more room to move.</t>
        </is>
      </c>
      <c r="O449" s="3" t="inlineStr">
        <is>
          <t>Swiftly-Relaxed-Tank-Top-Hip-Length-Updated-Fit</t>
        </is>
      </c>
      <c r="P449" s="3" t="inlineStr">
        <is>
          <t>Yes</t>
        </is>
      </c>
      <c r="Q449" s="3" t="inlineStr">
        <is>
          <t>Swiftly Relaxed Tank SLTE/WHT 2</t>
        </is>
      </c>
      <c r="R449" s="3" t="inlineStr">
        <is>
          <t>Slate/White</t>
        </is>
      </c>
      <c r="S449" s="3" t="inlineStr"/>
      <c r="T449" s="3" t="inlineStr">
        <is>
          <t>Women</t>
        </is>
      </c>
    </row>
    <row r="450" ht="80" customHeight="1">
      <c r="A450" s="2">
        <f>IMAGE("https://images.lululemon.com/is/image/lululemon/LW5CQDS_0001_1?wid=320&amp;op_usm=0.8",1)</f>
        <v/>
      </c>
      <c r="B450" s="2" t="inlineStr">
        <is>
          <t>Wunder Train High-Rise Tight 25"</t>
        </is>
      </c>
      <c r="C450" s="2" t="inlineStr">
        <is>
          <t>114825578</t>
        </is>
      </c>
      <c r="D450" s="2" t="inlineStr">
        <is>
          <t>$98.00</t>
        </is>
      </c>
      <c r="E450" s="2" t="inlineStr">
        <is>
          <t>$49.00</t>
        </is>
      </c>
      <c r="F450" s="2">
        <f>IMAGE("https://images.lululemon.com/is/image/lululemon/0001",1)</f>
        <v/>
      </c>
      <c r="G450" s="2">
        <f>IMAGE("https://images.lululemon.com/is/image/lululemon/28022",1)</f>
        <v/>
      </c>
      <c r="H450" s="2">
        <f>IMAGE("https://images.lululemon.com/is/image/lululemon/74331",1)</f>
        <v/>
      </c>
      <c r="I450" s="2">
        <f>IMAGE("https://images.lululemon.com/is/image/lululemon/34697",1)</f>
        <v/>
      </c>
      <c r="J450" s="2">
        <f>IMAGE("https://images.lululemon.com/is/image/lululemon/0554",1)</f>
        <v/>
      </c>
      <c r="K450" s="2" t="n"/>
      <c r="L450" s="2" t="inlineStr">
        <is>
          <t>2, 4, 6, 8, 10, 12, 16, 18, 20</t>
        </is>
      </c>
      <c r="M450" s="2" t="n">
        <v>4627</v>
      </c>
      <c r="N450" s="2" t="inlineStr">
        <is>
          <t>Train hard, not hot. Made from Everlux™, the Wunder Train collection is highly breathable and quickly wicks sweat so you feel less sweaty during (and after) your workout.</t>
        </is>
      </c>
      <c r="O450" s="2" t="inlineStr">
        <is>
          <t>Wunder-Train-HR-Tight-25</t>
        </is>
      </c>
      <c r="P450" s="2" t="inlineStr">
        <is>
          <t>Yes</t>
        </is>
      </c>
      <c r="Q450" s="2" t="inlineStr">
        <is>
          <t>Wunder Train HR Tight 25" BLK 2</t>
        </is>
      </c>
      <c r="R450" s="2" t="inlineStr">
        <is>
          <t>Black, Indochine Blue, Mini Filigree Lace True Navy Multi, Black Plum, Grape Mist</t>
        </is>
      </c>
      <c r="S450" s="2" t="inlineStr"/>
      <c r="T450" s="2" t="inlineStr">
        <is>
          <t>Women</t>
        </is>
      </c>
    </row>
    <row r="451" ht="80" customHeight="1">
      <c r="A451" s="3">
        <f>IMAGE("https://images.lululemon.com/is/image/lululemon/LW3JSPS_0002_1?wid=320&amp;op_usm=0.8",1)</f>
        <v/>
      </c>
      <c r="B451" s="3" t="inlineStr">
        <is>
          <t>Quick-Dry Long-Sleeve Polo Shirt *Straight Hem</t>
        </is>
      </c>
      <c r="C451" s="3" t="inlineStr">
        <is>
          <t>157688342</t>
        </is>
      </c>
      <c r="D451" s="3" t="inlineStr">
        <is>
          <t>$88.00</t>
        </is>
      </c>
      <c r="E451" s="3" t="inlineStr">
        <is>
          <t>$44.00</t>
        </is>
      </c>
      <c r="F451" s="3">
        <f>IMAGE("https://images.lululemon.com/is/image/lululemon/0002",1)</f>
        <v/>
      </c>
      <c r="G451" s="3">
        <f>IMAGE("https://images.lululemon.com/is/image/lululemon/73703",1)</f>
        <v/>
      </c>
      <c r="H451" s="3">
        <f>IMAGE("https://images.lululemon.com/is/image/lululemon/45797",1)</f>
        <v/>
      </c>
      <c r="I451" s="3" t="n"/>
      <c r="J451" s="3" t="n"/>
      <c r="K451" s="3" t="n"/>
      <c r="L451" s="3" t="inlineStr">
        <is>
          <t>2, 4, 6, 8, 10, 12</t>
        </is>
      </c>
      <c r="M451" s="3" t="n">
        <v>1842</v>
      </c>
      <c r="N451" s="3" t="inlineStr">
        <is>
          <t>Tennis serves or golf swings—whatever you're practicing, this lightweight long-sleeve polo manages sweat so you can focus on your game.</t>
        </is>
      </c>
      <c r="O451" s="3" t="inlineStr">
        <is>
          <t>Quick-Dry-Long-Sleeve-Polo-Shirt-Straight-Hem</t>
        </is>
      </c>
      <c r="P451" s="3" t="inlineStr">
        <is>
          <t>Yes</t>
        </is>
      </c>
      <c r="Q451" s="3" t="inlineStr">
        <is>
          <t>Quick-Dry Long-Sleeve Polo *Straight Hem WHT 2</t>
        </is>
      </c>
      <c r="R451" s="3" t="inlineStr">
        <is>
          <t>White, Ivy Grove, Ashen Rose</t>
        </is>
      </c>
      <c r="S451" s="3" t="inlineStr"/>
      <c r="T451" s="3" t="inlineStr">
        <is>
          <t>Women</t>
        </is>
      </c>
    </row>
    <row r="452" ht="80" customHeight="1">
      <c r="A452" s="2">
        <f>IMAGE("https://images.lululemon.com/is/image/lululemon/LW2ELKS_031382_1?wid=320&amp;op_usm=0.8",1)</f>
        <v/>
      </c>
      <c r="B452" s="2" t="inlineStr">
        <is>
          <t>lululemon Align™ V-Neck Bra *Light Support, C/D Cup</t>
        </is>
      </c>
      <c r="C452" s="2" t="inlineStr">
        <is>
          <t>155750182</t>
        </is>
      </c>
      <c r="D452" s="2" t="inlineStr">
        <is>
          <t>$58.00</t>
        </is>
      </c>
      <c r="E452" s="2" t="inlineStr">
        <is>
          <t>$29.00</t>
        </is>
      </c>
      <c r="F452" s="2">
        <f>IMAGE("https://images.lululemon.com/is/image/lululemon/31382",1)</f>
        <v/>
      </c>
      <c r="G452" s="2">
        <f>IMAGE("https://images.lululemon.com/is/image/lululemon/41179",1)</f>
        <v/>
      </c>
      <c r="H452" s="2" t="n"/>
      <c r="I452" s="2" t="n"/>
      <c r="J452" s="2" t="n"/>
      <c r="K452" s="2" t="n"/>
      <c r="L452" s="2" t="inlineStr">
        <is>
          <t>2, 4, 6, 8, 10, 12</t>
        </is>
      </c>
      <c r="M452" s="2" t="n">
        <v>389</v>
      </c>
      <c r="N452" s="2" t="inlineStr">
        <is>
          <t>Feels (almost) as good as savasana. This v-neck version of our lululemon Align™ yoga bra wraps you in buttery softness.</t>
        </is>
      </c>
      <c r="O452" s="2" t="inlineStr">
        <is>
          <t>Align-V-Neck-Bra-CD-Cup</t>
        </is>
      </c>
      <c r="P452" s="2" t="inlineStr">
        <is>
          <t>Yes</t>
        </is>
      </c>
      <c r="Q452" s="2" t="inlineStr">
        <is>
          <t>lululemon Align™ V-Neck Bra C/D TRNV 2</t>
        </is>
      </c>
      <c r="R452" s="2" t="inlineStr">
        <is>
          <t>True Navy, Sequoia</t>
        </is>
      </c>
      <c r="S452" s="2" t="inlineStr">
        <is>
          <t>Longline Bras, Bralettes</t>
        </is>
      </c>
      <c r="T452" s="2" t="inlineStr">
        <is>
          <t>Women</t>
        </is>
      </c>
    </row>
    <row r="453" ht="80" customHeight="1">
      <c r="A453" s="3">
        <f>IMAGE("https://images.lululemon.com/is/image/lululemon/LW5GI3S_0001_1?wid=320&amp;op_usm=0.8",1)</f>
        <v/>
      </c>
      <c r="B453" s="3" t="inlineStr">
        <is>
          <t>lululemon Glow Up™ Super-High-Rise Tight 28"</t>
        </is>
      </c>
      <c r="C453" s="3" t="inlineStr">
        <is>
          <t>154834211</t>
        </is>
      </c>
      <c r="D453" s="3" t="inlineStr">
        <is>
          <t>$118.00</t>
        </is>
      </c>
      <c r="E453" s="3" t="inlineStr">
        <is>
          <t>$59.00</t>
        </is>
      </c>
      <c r="F453" s="3">
        <f>IMAGE("https://images.lululemon.com/is/image/lululemon/0001",1)</f>
        <v/>
      </c>
      <c r="G453" s="3" t="n"/>
      <c r="H453" s="3" t="n"/>
      <c r="I453" s="3" t="n"/>
      <c r="J453" s="3" t="n"/>
      <c r="K453" s="3" t="n"/>
      <c r="L453" s="3" t="inlineStr">
        <is>
          <t>2, 4, 6, 8, 12</t>
        </is>
      </c>
      <c r="M453" s="3" t="n">
        <v>216</v>
      </c>
      <c r="N453" s="3" t="inlineStr">
        <is>
          <t>Confident to your core. These training tights combine sleek fabric and smoothing waistband technology to keep you feeling sculpted and supported.</t>
        </is>
      </c>
      <c r="O453" s="3" t="inlineStr">
        <is>
          <t>Glow-Up-Super-High-Rise-Tight-28</t>
        </is>
      </c>
      <c r="P453" s="3" t="inlineStr">
        <is>
          <t>Yes</t>
        </is>
      </c>
      <c r="Q453" s="3" t="inlineStr">
        <is>
          <t>Glow Up SHR Tight 28" BLK 2</t>
        </is>
      </c>
      <c r="R453" s="3" t="inlineStr">
        <is>
          <t>Black</t>
        </is>
      </c>
      <c r="S453" s="3" t="inlineStr">
        <is>
          <t>Athletic Pants</t>
        </is>
      </c>
      <c r="T453" s="3" t="inlineStr">
        <is>
          <t>Women</t>
        </is>
      </c>
    </row>
    <row r="454" ht="80" customHeight="1">
      <c r="A454" s="2">
        <f>IMAGE("https://images.lululemon.com/is/image/lululemon/LW1ES8S_034697_1?wid=320&amp;op_usm=0.8",1)</f>
        <v/>
      </c>
      <c r="B454" s="2" t="inlineStr">
        <is>
          <t>Jersey Training Tank Top</t>
        </is>
      </c>
      <c r="C454" s="2" t="inlineStr">
        <is>
          <t>158095176</t>
        </is>
      </c>
      <c r="D454" s="2" t="inlineStr">
        <is>
          <t>$48.00</t>
        </is>
      </c>
      <c r="E454" s="2" t="inlineStr">
        <is>
          <t>$24.00</t>
        </is>
      </c>
      <c r="F454" s="2">
        <f>IMAGE("https://images.lululemon.com/is/image/lululemon/34697",1)</f>
        <v/>
      </c>
      <c r="G454" s="2">
        <f>IMAGE("https://images.lululemon.com/is/image/lululemon/63787",1)</f>
        <v/>
      </c>
      <c r="H454" s="2" t="n"/>
      <c r="I454" s="2" t="n"/>
      <c r="J454" s="2" t="n"/>
      <c r="K454" s="2" t="n"/>
      <c r="L454" s="2" t="inlineStr">
        <is>
          <t>2, 4, 6, 8, 12, 10</t>
        </is>
      </c>
      <c r="M454" s="2" t="n">
        <v>239</v>
      </c>
      <c r="N454" s="2" t="inlineStr">
        <is>
          <t>It's giving versatility. This training tank combines technical performance with the ultra-soft feel of your favourite lounge top.</t>
        </is>
      </c>
      <c r="O454" s="2" t="inlineStr">
        <is>
          <t>Jersey-Training-Tank-Top</t>
        </is>
      </c>
      <c r="P454" s="2" t="inlineStr">
        <is>
          <t>Yes</t>
        </is>
      </c>
      <c r="Q454" s="2" t="inlineStr">
        <is>
          <t>Jersey Training Tank Top BLPM 2</t>
        </is>
      </c>
      <c r="R454" s="2" t="inlineStr">
        <is>
          <t>Black Plum, ATMOSPHERIC PURPLE</t>
        </is>
      </c>
      <c r="S454" s="2" t="inlineStr"/>
      <c r="T454" s="2" t="inlineStr">
        <is>
          <t>Women</t>
        </is>
      </c>
    </row>
    <row r="455" ht="80" customHeight="1">
      <c r="A455" s="3">
        <f>IMAGE("https://images.lululemon.com/is/image/lululemon/LW7DENS_066011_1?wid=320&amp;op_usm=0.8",1)</f>
        <v/>
      </c>
      <c r="B455" s="3" t="inlineStr">
        <is>
          <t>Shake It Out High-Rise Running Short 2.5"</t>
        </is>
      </c>
      <c r="C455" s="3" t="inlineStr">
        <is>
          <t>158034815</t>
        </is>
      </c>
      <c r="D455" s="3" t="inlineStr">
        <is>
          <t>$68.00</t>
        </is>
      </c>
      <c r="E455" s="3" t="inlineStr">
        <is>
          <t>$34.00</t>
        </is>
      </c>
      <c r="F455" s="3">
        <f>IMAGE("https://images.lululemon.com/is/image/lululemon/66011",1)</f>
        <v/>
      </c>
      <c r="G455" s="3">
        <f>IMAGE("https://images.lululemon.com/is/image/lululemon/21363",1)</f>
        <v/>
      </c>
      <c r="H455" s="3">
        <f>IMAGE("https://images.lululemon.com/is/image/lululemon/32650",1)</f>
        <v/>
      </c>
      <c r="I455" s="3">
        <f>IMAGE("https://images.lululemon.com/is/image/lululemon/28022",1)</f>
        <v/>
      </c>
      <c r="J455" s="3" t="n"/>
      <c r="K455" s="3" t="n"/>
      <c r="L455" s="3" t="inlineStr">
        <is>
          <t>XXS, XS, S, M, L, XL</t>
        </is>
      </c>
      <c r="M455" s="3" t="n">
        <v>1191</v>
      </c>
      <c r="N455" s="3" t="inlineStr">
        <is>
          <t>Equal parts run and fun. These shorts have hidden storage and a stay-put waistband to reduce distractions, plus a layered hem that brings volume and style to your look.</t>
        </is>
      </c>
      <c r="O455" s="3" t="inlineStr">
        <is>
          <t>Shake-It-Out-High-Rise-Running-Short-25</t>
        </is>
      </c>
      <c r="P455" s="3" t="inlineStr">
        <is>
          <t>Yes</t>
        </is>
      </c>
      <c r="Q455" s="3" t="inlineStr">
        <is>
          <t>Shake It Out High-Rise Run Short 2.5" BRML XXS</t>
        </is>
      </c>
      <c r="R455" s="3" t="inlineStr">
        <is>
          <t>Lemongrass, Berry Rumble, Faint Lavender, Indochine Blue</t>
        </is>
      </c>
      <c r="S455" s="3" t="inlineStr">
        <is>
          <t>Liner Shorts, Athletic Shorts, Track Shorts</t>
        </is>
      </c>
      <c r="T455" s="3" t="inlineStr">
        <is>
          <t>Women</t>
        </is>
      </c>
    </row>
    <row r="456" ht="80" customHeight="1">
      <c r="A456" s="2">
        <f>IMAGE("https://images.lululemon.com/is/image/lululemon/LU9BRKS_049106_1?wid=320&amp;op_usm=0.8",1)</f>
        <v/>
      </c>
      <c r="B456" s="2" t="inlineStr">
        <is>
          <t>3-in-1 Gym Duffle Bag 30L</t>
        </is>
      </c>
      <c r="C456" s="2" t="inlineStr">
        <is>
          <t>155725295</t>
        </is>
      </c>
      <c r="D456" s="2" t="inlineStr">
        <is>
          <t>$158.00</t>
        </is>
      </c>
      <c r="E456" s="2" t="inlineStr">
        <is>
          <t>$79.00</t>
        </is>
      </c>
      <c r="F456" s="2">
        <f>IMAGE("https://images.lululemon.com/is/image/lululemon/49106",1)</f>
        <v/>
      </c>
      <c r="G456" s="2" t="n"/>
      <c r="H456" s="2" t="n"/>
      <c r="I456" s="2" t="n"/>
      <c r="J456" s="2" t="n"/>
      <c r="K456" s="2" t="n"/>
      <c r="L456" s="2" t="inlineStr">
        <is>
          <t>O/S</t>
        </is>
      </c>
      <c r="M456" s="2" t="n">
        <v>79</v>
      </c>
      <c r="N456" s="2" t="inlineStr">
        <is>
          <t>Taking multi-use to the next level. Pack this duffle with sweat essentials and use the removable shoulder strap to carry your yoga mat or as a stretching strap.</t>
        </is>
      </c>
      <c r="O456" s="2" t="inlineStr">
        <is>
          <t>Gym-Duffle-Bag-30L</t>
        </is>
      </c>
      <c r="P456" s="2" t="inlineStr">
        <is>
          <t>Yes</t>
        </is>
      </c>
      <c r="Q456" s="2" t="inlineStr">
        <is>
          <t>Gym Duffle Bag RNFG ONE SIZE</t>
        </is>
      </c>
      <c r="R456" s="2" t="inlineStr">
        <is>
          <t>Rainforest Green</t>
        </is>
      </c>
      <c r="S456" s="2" t="inlineStr">
        <is>
          <t>Duffle Bags</t>
        </is>
      </c>
      <c r="T456" s="2" t="inlineStr">
        <is>
          <t>Women</t>
        </is>
      </c>
    </row>
    <row r="457" ht="80" customHeight="1">
      <c r="A457" s="3">
        <f>IMAGE("https://images.lululemon.com/is/image/lululemon/LW4CB0S_0001_1?wid=320&amp;op_usm=0.8",1)</f>
        <v/>
      </c>
      <c r="B457" s="3" t="inlineStr">
        <is>
          <t>Women's Down for It All Vest</t>
        </is>
      </c>
      <c r="C457" s="3" t="inlineStr">
        <is>
          <t>147175675</t>
        </is>
      </c>
      <c r="D457" s="3" t="inlineStr">
        <is>
          <t>$168.00</t>
        </is>
      </c>
      <c r="E457" s="3" t="inlineStr">
        <is>
          <t>$84.00</t>
        </is>
      </c>
      <c r="F457" s="3">
        <f>IMAGE("https://images.lululemon.com/is/image/lululemon/0001",1)</f>
        <v/>
      </c>
      <c r="G457" s="3">
        <f>IMAGE("https://images.lululemon.com/is/image/lululemon/33454",1)</f>
        <v/>
      </c>
      <c r="H457" s="3" t="n"/>
      <c r="I457" s="3" t="n"/>
      <c r="J457" s="3" t="n"/>
      <c r="K457" s="3" t="n"/>
      <c r="L457" s="3" t="inlineStr">
        <is>
          <t>2, 4, 6, 8, 10, 12, 14</t>
        </is>
      </c>
      <c r="M457" s="3" t="n">
        <v>1107</v>
      </c>
      <c r="N457" s="3" t="inlineStr">
        <is>
          <t>This vest is fully loaded for running in cold weather. Zoned insulation holds warmth where you need it and stretchy fleece keeps you moving freely.</t>
        </is>
      </c>
      <c r="O457" s="3" t="inlineStr">
        <is>
          <t>Down-For-It-All-Vest</t>
        </is>
      </c>
      <c r="P457" s="3" t="inlineStr">
        <is>
          <t>Yes</t>
        </is>
      </c>
      <c r="Q457" s="3" t="inlineStr">
        <is>
          <t>Down for It All Vest BLK 2</t>
        </is>
      </c>
      <c r="R457" s="3" t="inlineStr">
        <is>
          <t>Black, Light Ivory</t>
        </is>
      </c>
      <c r="S457" s="3" t="inlineStr">
        <is>
          <t>Vests, Athletic Jackets, Puffer Jackets</t>
        </is>
      </c>
      <c r="T457" s="3" t="inlineStr">
        <is>
          <t>Women</t>
        </is>
      </c>
    </row>
    <row r="458" ht="80" customHeight="1">
      <c r="A458" s="2">
        <f>IMAGE("https://images.lululemon.com/is/image/lululemon/LW4CMKS_036865_1?wid=320&amp;op_usm=0.8",1)</f>
        <v/>
      </c>
      <c r="B458" s="2" t="inlineStr">
        <is>
          <t>Women's Featherweight 900-Down-Fill Quilted Vest</t>
        </is>
      </c>
      <c r="C458" s="2" t="inlineStr">
        <is>
          <t>158119792</t>
        </is>
      </c>
      <c r="D458" s="2" t="inlineStr">
        <is>
          <t>$248.00</t>
        </is>
      </c>
      <c r="E458" s="2" t="inlineStr">
        <is>
          <t>$124.00</t>
        </is>
      </c>
      <c r="F458" s="2">
        <f>IMAGE("https://images.lululemon.com/is/image/lululemon/36865",1)</f>
        <v/>
      </c>
      <c r="G458" s="2">
        <f>IMAGE("https://images.lululemon.com/is/image/lululemon/34697",1)</f>
        <v/>
      </c>
      <c r="H458" s="2">
        <f>IMAGE("https://images.lululemon.com/is/image/lululemon/0001",1)</f>
        <v/>
      </c>
      <c r="I458" s="2" t="n"/>
      <c r="J458" s="2" t="n"/>
      <c r="K458" s="2" t="n"/>
      <c r="L458" s="2" t="inlineStr">
        <is>
          <t>XXS, XS, S, M, L, XL</t>
        </is>
      </c>
      <c r="M458" s="2" t="n">
        <v>864</v>
      </c>
      <c r="N458" s="2" t="inlineStr">
        <is>
          <t>Seasonless. Filled with premium 900-fill-power down, this packable vest delivers light warmth that feels practically weightless—layer it under a shell or over cozy sweaters when the chill sets in.​</t>
        </is>
      </c>
      <c r="O458" s="2" t="inlineStr">
        <is>
          <t>W-Featherweight-900-Down-Fill-Quilted-Vest</t>
        </is>
      </c>
      <c r="P458" s="2" t="inlineStr">
        <is>
          <t>Yes</t>
        </is>
      </c>
      <c r="Q458" s="2" t="inlineStr">
        <is>
          <t>Featherweight Down Quilted Vest DVGY XXS</t>
        </is>
      </c>
      <c r="R458" s="2" t="inlineStr">
        <is>
          <t>Dove Grey, Black Plum, Black</t>
        </is>
      </c>
      <c r="S458" s="2" t="inlineStr">
        <is>
          <t>Puffer Jackets, Vests</t>
        </is>
      </c>
      <c r="T458" s="2" t="inlineStr">
        <is>
          <t>Women</t>
        </is>
      </c>
    </row>
    <row r="459" ht="80" customHeight="1">
      <c r="A459" s="3">
        <f>IMAGE("https://images.lululemon.com/is/image/lululemon/LW5EPSS_0001_1?wid=320&amp;op_usm=0.8",1)</f>
        <v/>
      </c>
      <c r="B459" s="3" t="inlineStr">
        <is>
          <t>Wunder Train High-Rise Tight with Pockets 25"</t>
        </is>
      </c>
      <c r="C459" s="3" t="inlineStr">
        <is>
          <t>144408089</t>
        </is>
      </c>
      <c r="D459" s="3" t="inlineStr">
        <is>
          <t>$128.00</t>
        </is>
      </c>
      <c r="E459" s="3" t="inlineStr">
        <is>
          <t>$64.00</t>
        </is>
      </c>
      <c r="F459" s="3">
        <f>IMAGE("https://images.lululemon.com/is/image/lululemon/0001",1)</f>
        <v/>
      </c>
      <c r="G459" s="3">
        <f>IMAGE("https://images.lululemon.com/is/image/lululemon/30210",1)</f>
        <v/>
      </c>
      <c r="H459" s="3">
        <f>IMAGE("https://images.lululemon.com/is/image/lululemon/34697",1)</f>
        <v/>
      </c>
      <c r="I459" s="3" t="n"/>
      <c r="J459" s="3" t="n"/>
      <c r="K459" s="3" t="n"/>
      <c r="L459" s="3" t="inlineStr">
        <is>
          <t>0, 2, 4, 6, 8, 10, 12</t>
        </is>
      </c>
      <c r="M459" s="3" t="n">
        <v>2736</v>
      </c>
      <c r="N459" s="3" t="inlineStr">
        <is>
          <t>Train hard, not hot. Made from Everlux™ fabric, this pocketed version of our Wunder Train collection lets you get sweaty, stay focused, and keep workout essentials close.</t>
        </is>
      </c>
      <c r="O459" s="3" t="inlineStr">
        <is>
          <t>Wunder-Train-HR-Tight-Pockets-25</t>
        </is>
      </c>
      <c r="P459" s="3" t="inlineStr">
        <is>
          <t>Yes</t>
        </is>
      </c>
      <c r="Q459" s="3" t="inlineStr">
        <is>
          <t>Wunder Train HR Tight 25" *Pockets BLK 0</t>
        </is>
      </c>
      <c r="R459" s="3" t="inlineStr">
        <is>
          <t>Black, Graphite Grey, Black Plum</t>
        </is>
      </c>
      <c r="S459" s="3" t="inlineStr"/>
      <c r="T459" s="3" t="inlineStr">
        <is>
          <t>Women</t>
        </is>
      </c>
    </row>
    <row r="460" ht="80" customHeight="1">
      <c r="A460" s="2">
        <f>IMAGE("https://images.lululemon.com/is/image/lululemon/LW3DI1S_032493_1?wid=320&amp;op_usm=0.8",1)</f>
        <v/>
      </c>
      <c r="B460" s="2" t="inlineStr">
        <is>
          <t>Cates T-Shirt</t>
        </is>
      </c>
      <c r="C460" s="2" t="inlineStr">
        <is>
          <t>119800060</t>
        </is>
      </c>
      <c r="D460" s="2" t="inlineStr">
        <is>
          <t>$48.00</t>
        </is>
      </c>
      <c r="E460" s="2" t="inlineStr">
        <is>
          <t>$24.00</t>
        </is>
      </c>
      <c r="F460" s="2">
        <f>IMAGE("https://images.lululemon.com/is/image/lululemon/32493",1)</f>
        <v/>
      </c>
      <c r="G460" s="2" t="n"/>
      <c r="H460" s="2" t="n"/>
      <c r="I460" s="2" t="n"/>
      <c r="J460" s="2" t="n"/>
      <c r="K460" s="2" t="n"/>
      <c r="L460" s="2" t="inlineStr">
        <is>
          <t>2, 6, 8</t>
        </is>
      </c>
      <c r="M460" s="2" t="n">
        <v>11</v>
      </c>
      <c r="N460" s="2" t="inlineStr">
        <is>
          <t>Feel that post-practice bliss all day long in this soft, lightweight tee.</t>
        </is>
      </c>
      <c r="O460" s="2" t="inlineStr">
        <is>
          <t>Cates-Tee</t>
        </is>
      </c>
      <c r="P460" s="2" t="inlineStr">
        <is>
          <t>Yes</t>
        </is>
      </c>
      <c r="Q460" s="2" t="inlineStr">
        <is>
          <t>Cates Tee HCUG 2</t>
        </is>
      </c>
      <c r="R460" s="2" t="inlineStr">
        <is>
          <t>Heathered Core Ultra Light Grey</t>
        </is>
      </c>
      <c r="S460" s="2" t="inlineStr"/>
      <c r="T460" s="2" t="inlineStr">
        <is>
          <t>Women</t>
        </is>
      </c>
    </row>
    <row r="461" ht="80" customHeight="1">
      <c r="A461" s="3">
        <f>IMAGE("https://images.lululemon.com/is/image/lululemon/LW8A85T_0002_1?wid=320&amp;op_usm=0.8",1)</f>
        <v/>
      </c>
      <c r="B461" s="3" t="inlineStr">
        <is>
          <t>Pace Rival Mid-Rise Skirt *Long</t>
        </is>
      </c>
      <c r="C461" s="3" t="inlineStr">
        <is>
          <t>104458290</t>
        </is>
      </c>
      <c r="D461" s="3" t="inlineStr">
        <is>
          <t>$78.00</t>
        </is>
      </c>
      <c r="E461" s="3" t="inlineStr">
        <is>
          <t>$39.00</t>
        </is>
      </c>
      <c r="F461" s="3">
        <f>IMAGE("https://images.lululemon.com/is/image/lululemon/0002",1)</f>
        <v/>
      </c>
      <c r="G461" s="3">
        <f>IMAGE("https://images.lululemon.com/is/image/lululemon/0001",1)</f>
        <v/>
      </c>
      <c r="H461" s="3" t="n"/>
      <c r="I461" s="3" t="n"/>
      <c r="J461" s="3" t="n"/>
      <c r="K461" s="3" t="n"/>
      <c r="L461" s="3" t="inlineStr">
        <is>
          <t>0, 2, 4, 6, 8, 10, 12, 14, 18, 20</t>
        </is>
      </c>
      <c r="M461" s="3" t="n">
        <v>7779</v>
      </c>
      <c r="N461" s="3" t="inlineStr">
        <is>
          <t>Pockets in your skirt, that's a yes. From tennis to trail running, drop-in pockets let you keep essentials close.</t>
        </is>
      </c>
      <c r="O461" s="3" t="inlineStr">
        <is>
          <t>Pace-Rival-Skirt-Tall</t>
        </is>
      </c>
      <c r="P461" s="3" t="inlineStr">
        <is>
          <t>Yes</t>
        </is>
      </c>
      <c r="Q461" s="3" t="inlineStr">
        <is>
          <t>Pace Rival MR Skirt *Long WHT 0</t>
        </is>
      </c>
      <c r="R461" s="3" t="inlineStr">
        <is>
          <t>White, Black</t>
        </is>
      </c>
      <c r="S461" s="3" t="inlineStr">
        <is>
          <t>Athletic Skirts, Skorts</t>
        </is>
      </c>
      <c r="T461" s="3" t="inlineStr">
        <is>
          <t>Women</t>
        </is>
      </c>
    </row>
    <row r="462" ht="80" customHeight="1">
      <c r="A462" s="2">
        <f>IMAGE("https://images.lululemon.com/is/image/lululemon/LU9CJ7S_0001_1?wid=320&amp;op_usm=0.8",1)</f>
        <v/>
      </c>
      <c r="B462" s="2" t="inlineStr">
        <is>
          <t>The Mat 5mm *Made With FSC™ Certified Rubber</t>
        </is>
      </c>
      <c r="C462" s="2" t="inlineStr">
        <is>
          <t>153151858</t>
        </is>
      </c>
      <c r="D462" s="2" t="inlineStr">
        <is>
          <t>$118.00</t>
        </is>
      </c>
      <c r="E462" s="2" t="inlineStr">
        <is>
          <t>$59.00</t>
        </is>
      </c>
      <c r="F462" s="2">
        <f>IMAGE("https://images.lululemon.com/is/image/lululemon/0001",1)</f>
        <v/>
      </c>
      <c r="G462" s="2">
        <f>IMAGE("https://images.lululemon.com/is/image/lululemon/69286",1)</f>
        <v/>
      </c>
      <c r="H462" s="2">
        <f>IMAGE("https://images.lululemon.com/is/image/lululemon/69285",1)</f>
        <v/>
      </c>
      <c r="I462" s="2">
        <f>IMAGE("https://images.lululemon.com/is/image/lululemon/73781",1)</f>
        <v/>
      </c>
      <c r="J462" s="2" t="n"/>
      <c r="K462" s="2" t="n"/>
      <c r="L462" s="2" t="inlineStr">
        <is>
          <t>O/S</t>
        </is>
      </c>
      <c r="M462" s="2" t="n">
        <v>3361</v>
      </c>
      <c r="N462" s="2" t="inlineStr">
        <is>
          <t>This mat features a natural rubber base with a little extra cushion to give your body more depth while your mind goes deep.</t>
        </is>
      </c>
      <c r="O462" s="2" t="inlineStr">
        <is>
          <t>The-Mat-5mm</t>
        </is>
      </c>
      <c r="P462" s="2" t="inlineStr">
        <is>
          <t>Yes</t>
        </is>
      </c>
      <c r="Q462" s="2" t="inlineStr">
        <is>
          <t>The Mat 5mm BLK ONE SIZE</t>
        </is>
      </c>
      <c r="R462" s="2" t="inlineStr">
        <is>
          <t>Black, Pink Haze/Deco Pink/Pink Organza/Cherry Lemonade/Deco Pink, Chambray/Washed Denim/Starch Blue/White/Chambray, Sweet Velvet/Plum/Faint Lavender/White/Sweet Velvet</t>
        </is>
      </c>
      <c r="S462" s="2" t="inlineStr"/>
      <c r="T462" s="2" t="inlineStr">
        <is>
          <t>Women</t>
        </is>
      </c>
    </row>
    <row r="463" ht="80" customHeight="1">
      <c r="A463" s="3">
        <f>IMAGE("https://images.lululemon.com/is/image/lululemon/LW3JBKS_032507_1?wid=320&amp;op_usm=0.8",1)</f>
        <v/>
      </c>
      <c r="B463" s="3" t="inlineStr">
        <is>
          <t>Sculpt Cross-Vent Short-Sleeve Shirt</t>
        </is>
      </c>
      <c r="C463" s="3" t="inlineStr">
        <is>
          <t>157706951</t>
        </is>
      </c>
      <c r="D463" s="3" t="inlineStr">
        <is>
          <t>$68.00</t>
        </is>
      </c>
      <c r="E463" s="3" t="inlineStr">
        <is>
          <t>$34.00</t>
        </is>
      </c>
      <c r="F463" s="3">
        <f>IMAGE("https://images.lululemon.com/is/image/lululemon/32507",1)</f>
        <v/>
      </c>
      <c r="G463" s="3">
        <f>IMAGE("https://images.lululemon.com/is/image/lululemon/71168",1)</f>
        <v/>
      </c>
      <c r="H463" s="3" t="n"/>
      <c r="I463" s="3" t="n"/>
      <c r="J463" s="3" t="n"/>
      <c r="K463" s="3" t="n"/>
      <c r="L463" s="3" t="inlineStr">
        <is>
          <t>2, 4, 6, 8, 10, 12</t>
        </is>
      </c>
      <c r="M463" s="3" t="n">
        <v>240</v>
      </c>
      <c r="N463" s="3" t="inlineStr">
        <is>
          <t>Sprints anyone? This version of our Sculpt short sleeve has mesh overlays and back cutouts for enhanced breathability in sweaty situations.</t>
        </is>
      </c>
      <c r="O463" s="3" t="inlineStr">
        <is>
          <t>Sculpt-Cross-Vent-Short-Sleeve-Shirt</t>
        </is>
      </c>
      <c r="P463" s="3" t="inlineStr">
        <is>
          <t>Yes</t>
        </is>
      </c>
      <c r="Q463" s="3" t="inlineStr">
        <is>
          <t>Sculpt Cross-Vent Short Sleeve NIGH 2</t>
        </is>
      </c>
      <c r="R463" s="3" t="inlineStr">
        <is>
          <t>Serene Blue, Nightmoth</t>
        </is>
      </c>
      <c r="S463" s="3" t="inlineStr"/>
      <c r="T463" s="3" t="inlineStr">
        <is>
          <t>Women</t>
        </is>
      </c>
    </row>
    <row r="464" ht="80" customHeight="1">
      <c r="A464" s="2">
        <f>IMAGE("https://images.lululemon.com/is/image/lululemon/LW3JI7S_0001_1?wid=320&amp;op_usm=0.8",1)</f>
        <v/>
      </c>
      <c r="B464" s="2" t="inlineStr">
        <is>
          <t>Adapted State Vented Jacket *Crinkle</t>
        </is>
      </c>
      <c r="C464" s="2" t="inlineStr">
        <is>
          <t>158119514</t>
        </is>
      </c>
      <c r="D464" s="2" t="inlineStr">
        <is>
          <t>$138.00</t>
        </is>
      </c>
      <c r="E464" s="2" t="inlineStr">
        <is>
          <t>$69.00</t>
        </is>
      </c>
      <c r="F464" s="2">
        <f>IMAGE("https://images.lululemon.com/is/image/lululemon/0001",1)</f>
        <v/>
      </c>
      <c r="G464" s="2">
        <f>IMAGE("https://images.lululemon.com/is/image/lululemon/63787",1)</f>
        <v/>
      </c>
      <c r="H464" s="2" t="n"/>
      <c r="I464" s="2" t="n"/>
      <c r="J464" s="2" t="n"/>
      <c r="K464" s="2" t="n"/>
      <c r="L464" s="2" t="inlineStr">
        <is>
          <t>XS, S, M, L, XL</t>
        </is>
      </c>
      <c r="M464" s="2" t="n">
        <v>461</v>
      </c>
      <c r="N464" s="2" t="inlineStr">
        <is>
          <t>Think fast. This vented version of our Adapted State jacket is all about quick transitions. Soft, crinkled fabric is water-repellent so you're always ready for what's next.</t>
        </is>
      </c>
      <c r="O464" s="2" t="inlineStr">
        <is>
          <t>Adapted-State-Vented-Jacket-Crinkle</t>
        </is>
      </c>
      <c r="P464" s="2" t="inlineStr">
        <is>
          <t>Yes</t>
        </is>
      </c>
      <c r="Q464" s="2" t="inlineStr">
        <is>
          <t>Adapted State Vented Jacket *Crinkle BLK XS</t>
        </is>
      </c>
      <c r="R464" s="2" t="inlineStr">
        <is>
          <t>Black, ATMOSPHERIC PURPLE</t>
        </is>
      </c>
      <c r="S464" s="2" t="inlineStr">
        <is>
          <t>Athletic Jackets</t>
        </is>
      </c>
      <c r="T464" s="2" t="inlineStr">
        <is>
          <t>Women</t>
        </is>
      </c>
    </row>
    <row r="465" ht="80" customHeight="1">
      <c r="A465" s="3">
        <f>IMAGE("https://images.lululemon.com/is/image/lululemon/LW7DJ1S_071400_1?wid=320&amp;op_usm=0.8",1)</f>
        <v/>
      </c>
      <c r="B465" s="3" t="inlineStr">
        <is>
          <t>Scuba High-Rise Short 5" *Waffle</t>
        </is>
      </c>
      <c r="C465" s="3" t="inlineStr">
        <is>
          <t>158099653</t>
        </is>
      </c>
      <c r="D465" s="3" t="inlineStr">
        <is>
          <t>$84.00</t>
        </is>
      </c>
      <c r="E465" s="3" t="inlineStr">
        <is>
          <t>$42.00</t>
        </is>
      </c>
      <c r="F465" s="3">
        <f>IMAGE("https://images.lululemon.com/is/image/lululemon/71400",1)</f>
        <v/>
      </c>
      <c r="G465" s="3">
        <f>IMAGE("https://images.lululemon.com/is/image/lululemon/42362",1)</f>
        <v/>
      </c>
      <c r="H465" s="3" t="n"/>
      <c r="I465" s="3" t="n"/>
      <c r="J465" s="3" t="n"/>
      <c r="K465" s="3" t="n"/>
      <c r="L465" s="3" t="inlineStr">
        <is>
          <t>XS, S, M, L, XL</t>
        </is>
      </c>
      <c r="M465" s="3" t="n">
        <v>189</v>
      </c>
      <c r="N465" s="3" t="inlineStr">
        <is>
          <t>Our signature sweatshort with a textured twist. A rich, waffle-knit fabric adds depth and softness to your downtime.</t>
        </is>
      </c>
      <c r="O465" s="3" t="inlineStr">
        <is>
          <t>Scuba-High-Rise-Short-5-Waffle</t>
        </is>
      </c>
      <c r="P465" s="3" t="inlineStr">
        <is>
          <t>Yes</t>
        </is>
      </c>
      <c r="Q465" s="3" t="inlineStr">
        <is>
          <t>Scuba High-Rise Short 5" *Waffle HFLV XS</t>
        </is>
      </c>
      <c r="R465" s="3" t="inlineStr">
        <is>
          <t>Heathered Warm Ash Grey, Heathered Faint Lavender</t>
        </is>
      </c>
      <c r="S465" s="3" t="inlineStr">
        <is>
          <t>Sweat Shorts</t>
        </is>
      </c>
      <c r="T465" s="3" t="inlineStr">
        <is>
          <t>Women</t>
        </is>
      </c>
    </row>
    <row r="466" ht="80" customHeight="1">
      <c r="A466" s="2">
        <f>IMAGE("https://images.lululemon.com/is/image/lululemon/LW1GBPS_072615_1?wid=320&amp;op_usm=0.8",1)</f>
        <v/>
      </c>
      <c r="B466" s="2" t="inlineStr">
        <is>
          <t>lululemon Align™ Tank Top Light Support, A/B Cup *Flocked</t>
        </is>
      </c>
      <c r="C466" s="2" t="inlineStr">
        <is>
          <t>158099019</t>
        </is>
      </c>
      <c r="D466" s="2" t="inlineStr">
        <is>
          <t>$68.00</t>
        </is>
      </c>
      <c r="E466" s="2" t="inlineStr">
        <is>
          <t>$34.00</t>
        </is>
      </c>
      <c r="F466" s="2">
        <f>IMAGE("https://images.lululemon.com/is/image/lululemon/72615",1)</f>
        <v/>
      </c>
      <c r="G466" s="2" t="n"/>
      <c r="H466" s="2" t="n"/>
      <c r="I466" s="2" t="n"/>
      <c r="J466" s="2" t="n"/>
      <c r="K466" s="2" t="n"/>
      <c r="L466" s="2" t="inlineStr">
        <is>
          <t>2, 12</t>
        </is>
      </c>
      <c r="M466" s="2" t="n">
        <v>12</v>
      </c>
      <c r="N466" s="2" t="inlineStr">
        <is>
          <t>When feeling nothing is everything. The lululemon Align™ collection is so weightless and buttery soft, all you feel is your practice. This version features velvety flocked details.</t>
        </is>
      </c>
      <c r="O466" s="2" t="inlineStr">
        <is>
          <t>Align-Tank-Light-Support-AB-Flocked</t>
        </is>
      </c>
      <c r="P466" s="2" t="inlineStr">
        <is>
          <t>Yes</t>
        </is>
      </c>
      <c r="Q466" s="2" t="inlineStr">
        <is>
          <t>lululemon Align™ Tank *Flock POFB 2</t>
        </is>
      </c>
      <c r="R466" s="2" t="inlineStr">
        <is>
          <t>Polka Flock Black</t>
        </is>
      </c>
      <c r="S466" s="2" t="inlineStr"/>
      <c r="T466" s="2" t="inlineStr">
        <is>
          <t>Women</t>
        </is>
      </c>
    </row>
    <row r="467" ht="80" customHeight="1">
      <c r="A467" s="3">
        <f>IMAGE("https://images.lululemon.com/is/image/lululemon/LU9CEIS_071534_1?wid=320&amp;op_usm=0.8",1)</f>
        <v/>
      </c>
      <c r="B467" s="3" t="inlineStr">
        <is>
          <t>Racket Bag 19L</t>
        </is>
      </c>
      <c r="C467" s="3" t="inlineStr">
        <is>
          <t>158029922</t>
        </is>
      </c>
      <c r="D467" s="3" t="inlineStr">
        <is>
          <t>$168.00</t>
        </is>
      </c>
      <c r="E467" s="3" t="inlineStr">
        <is>
          <t>$84.00</t>
        </is>
      </c>
      <c r="F467" s="3">
        <f>IMAGE("https://images.lululemon.com/is/image/lululemon/71534",1)</f>
        <v/>
      </c>
      <c r="G467" s="3">
        <f>IMAGE("https://images.lululemon.com/is/image/lululemon/73959",1)</f>
        <v/>
      </c>
      <c r="H467" s="3">
        <f>IMAGE("https://images.lululemon.com/is/image/lululemon/11185",1)</f>
        <v/>
      </c>
      <c r="I467" s="3" t="n"/>
      <c r="J467" s="3" t="n"/>
      <c r="K467" s="3" t="n"/>
      <c r="L467" s="3" t="inlineStr">
        <is>
          <t>O/S</t>
        </is>
      </c>
      <c r="M467" s="3" t="n">
        <v>1258</v>
      </c>
      <c r="N467" s="3" t="inlineStr">
        <is>
          <t>This convertible backpack has room for snacks, shoes, and a change of clothes, while the detachable racket holder adjusts to fit two tennis, badminton, or pickleball rackets.</t>
        </is>
      </c>
      <c r="O467" s="3" t="inlineStr">
        <is>
          <t>Racket-Bag-19L</t>
        </is>
      </c>
      <c r="P467" s="3" t="inlineStr">
        <is>
          <t>Yes</t>
        </is>
      </c>
      <c r="Q467" s="3" t="inlineStr">
        <is>
          <t>Racket Bag CLBL/BLK ONE SIZE</t>
        </is>
      </c>
      <c r="R467" s="3" t="inlineStr">
        <is>
          <t>Club Blue/Black, Natural/Rockwood, Natural/Black</t>
        </is>
      </c>
      <c r="S467" s="3" t="inlineStr">
        <is>
          <t>Backpacks</t>
        </is>
      </c>
      <c r="T467" s="3" t="inlineStr">
        <is>
          <t>Women</t>
        </is>
      </c>
    </row>
    <row r="468" ht="80" customHeight="1">
      <c r="A468" s="2">
        <f>IMAGE("https://images.lululemon.com/is/image/lululemon/LW7CMRS_0001_1?wid=320&amp;op_usm=0.8",1)</f>
        <v/>
      </c>
      <c r="B468" s="2" t="inlineStr">
        <is>
          <t>Track That High-Rise Lined Short 5"</t>
        </is>
      </c>
      <c r="C468" s="2" t="inlineStr">
        <is>
          <t>144406048</t>
        </is>
      </c>
      <c r="D468" s="2" t="inlineStr">
        <is>
          <t>$68.00</t>
        </is>
      </c>
      <c r="E468" s="2" t="inlineStr">
        <is>
          <t>$34.00</t>
        </is>
      </c>
      <c r="F468" s="2">
        <f>IMAGE("https://images.lululemon.com/is/image/lululemon/0001",1)</f>
        <v/>
      </c>
      <c r="G468" s="2" t="n"/>
      <c r="H468" s="2" t="n"/>
      <c r="I468" s="2" t="n"/>
      <c r="J468" s="2" t="n"/>
      <c r="K468" s="2" t="n"/>
      <c r="L468" s="2" t="inlineStr">
        <is>
          <t>0, 2, 4</t>
        </is>
      </c>
      <c r="M468" s="2" t="n">
        <v>130</v>
      </c>
      <c r="N468" s="2" t="inlineStr">
        <is>
          <t>Long strides welcome. We made these high-coverage run shorts with a little extra room in the leg opening.</t>
        </is>
      </c>
      <c r="O468" s="2" t="inlineStr">
        <is>
          <t>Track-That-HR-Lined-Short-5</t>
        </is>
      </c>
      <c r="P468" s="2" t="inlineStr">
        <is>
          <t>Yes</t>
        </is>
      </c>
      <c r="Q468" s="2" t="inlineStr">
        <is>
          <t>Track That HR Short 5" *Lined BLK 0</t>
        </is>
      </c>
      <c r="R468" s="2" t="inlineStr">
        <is>
          <t>Black</t>
        </is>
      </c>
      <c r="S468" s="2" t="inlineStr">
        <is>
          <t>Athletic Shorts, Liner Shorts, Track Shorts</t>
        </is>
      </c>
      <c r="T468" s="2" t="inlineStr">
        <is>
          <t>Women</t>
        </is>
      </c>
    </row>
    <row r="469" ht="80" customHeight="1">
      <c r="A469" s="3">
        <f>IMAGE("https://images.lululemon.com/is/image/lululemon/LW4AWLS_0001_1?wid=320&amp;op_usm=0.8",1)</f>
        <v/>
      </c>
      <c r="B469" s="3" t="inlineStr">
        <is>
          <t>Define Jacket *Luon</t>
        </is>
      </c>
      <c r="C469" s="3" t="inlineStr">
        <is>
          <t>157717482</t>
        </is>
      </c>
      <c r="D469" s="3" t="inlineStr">
        <is>
          <t>$128.00</t>
        </is>
      </c>
      <c r="E469" s="3" t="inlineStr">
        <is>
          <t>$64.00</t>
        </is>
      </c>
      <c r="F469" s="3">
        <f>IMAGE("https://images.lululemon.com/is/image/lululemon/0001",1)</f>
        <v/>
      </c>
      <c r="G469" s="3">
        <f>IMAGE("https://images.lululemon.com/is/image/lululemon/0002",1)</f>
        <v/>
      </c>
      <c r="H469" s="3">
        <f>IMAGE("https://images.lululemon.com/is/image/lululemon/32507",1)</f>
        <v/>
      </c>
      <c r="I469" s="3" t="n"/>
      <c r="J469" s="3" t="n"/>
      <c r="K469" s="3" t="n"/>
      <c r="L469" s="3" t="inlineStr">
        <is>
          <t>0, 2, 4, 6, 8, 10, 12, 14</t>
        </is>
      </c>
      <c r="M469" s="3" t="n">
        <v>6483</v>
      </c>
      <c r="N469" s="3" t="inlineStr">
        <is>
          <t>Up for adventure and ready for downtime. Our fan-favourite Define Jacket has a feel-good fit that can do it all.</t>
        </is>
      </c>
      <c r="O469" s="3" t="inlineStr">
        <is>
          <t>Define-Jacket</t>
        </is>
      </c>
      <c r="P469" s="3" t="inlineStr">
        <is>
          <t>Yes</t>
        </is>
      </c>
      <c r="Q469" s="3" t="inlineStr">
        <is>
          <t>Define Jacket *Luon™ SRNB 0</t>
        </is>
      </c>
      <c r="R469" s="3" t="inlineStr">
        <is>
          <t>Black, White, Serene Blue</t>
        </is>
      </c>
      <c r="S469" s="3" t="inlineStr">
        <is>
          <t>Athletic Jackets, Zip Up Sweatshirts</t>
        </is>
      </c>
      <c r="T469" s="3" t="inlineStr">
        <is>
          <t>Women</t>
        </is>
      </c>
    </row>
    <row r="470" ht="80" customHeight="1">
      <c r="A470" s="2">
        <f>IMAGE("https://images.lululemon.com/is/image/lululemon/LU9CM5S_043646_1?wid=320&amp;op_usm=0.8",1)</f>
        <v/>
      </c>
      <c r="B470" s="2" t="inlineStr">
        <is>
          <t>Double-Zip Backpack 22L *Tech Canvas</t>
        </is>
      </c>
      <c r="C470" s="2" t="inlineStr">
        <is>
          <t>158020669</t>
        </is>
      </c>
      <c r="D470" s="2" t="inlineStr">
        <is>
          <t>$128.00</t>
        </is>
      </c>
      <c r="E470" s="2" t="inlineStr">
        <is>
          <t>$64.00</t>
        </is>
      </c>
      <c r="F470" s="2">
        <f>IMAGE("https://images.lululemon.com/is/image/lululemon/43646",1)</f>
        <v/>
      </c>
      <c r="G470" s="2" t="n"/>
      <c r="H470" s="2" t="n"/>
      <c r="I470" s="2" t="n"/>
      <c r="J470" s="2" t="n"/>
      <c r="K470" s="2" t="n"/>
      <c r="L470" s="2" t="inlineStr">
        <is>
          <t>O/S</t>
        </is>
      </c>
      <c r="M470" s="2" t="n">
        <v>111</v>
      </c>
      <c r="N470" s="2" t="inlineStr">
        <is>
          <t>Laptop, lunch, and gear—bring it all. This backpack has zippered pockets inside and out to keep your phone, chargers, and other essentials organized and easy to access.</t>
        </is>
      </c>
      <c r="O470" s="2" t="inlineStr">
        <is>
          <t>Double-Zip-Backpack-22L-Tech-Canvas</t>
        </is>
      </c>
      <c r="P470" s="2" t="inlineStr">
        <is>
          <t>Yes</t>
        </is>
      </c>
      <c r="Q470" s="2" t="inlineStr">
        <is>
          <t>Double-Zip Backpack *Tech Canvas BLK/GGRE ONE SIZE</t>
        </is>
      </c>
      <c r="R470" s="2" t="inlineStr">
        <is>
          <t>Black/Graphite Grey</t>
        </is>
      </c>
      <c r="S470" s="2" t="inlineStr">
        <is>
          <t>Backpacks</t>
        </is>
      </c>
      <c r="T470" s="2" t="inlineStr">
        <is>
          <t>Women</t>
        </is>
      </c>
    </row>
    <row r="471" ht="80" customHeight="1">
      <c r="A471" s="3">
        <f>IMAGE("https://images.lululemon.com/is/image/lululemon/LW2CP8S_0001_1?wid=320&amp;op_usm=0.8",1)</f>
        <v/>
      </c>
      <c r="B471" s="3" t="inlineStr">
        <is>
          <t>lululemon Energy Bra *High Support, B–G Cups</t>
        </is>
      </c>
      <c r="C471" s="3" t="inlineStr">
        <is>
          <t>157677007</t>
        </is>
      </c>
      <c r="D471" s="3" t="inlineStr">
        <is>
          <t>$68.00</t>
        </is>
      </c>
      <c r="E471" s="3" t="inlineStr">
        <is>
          <t>$34.00</t>
        </is>
      </c>
      <c r="F471" s="3">
        <f>IMAGE("https://images.lululemon.com/is/image/lululemon/0001",1)</f>
        <v/>
      </c>
      <c r="G471" s="3">
        <f>IMAGE("https://images.lululemon.com/is/image/lululemon/32507",1)</f>
        <v/>
      </c>
      <c r="H471" s="3">
        <f>IMAGE("https://images.lululemon.com/is/image/lululemon/31382",1)</f>
        <v/>
      </c>
      <c r="I471" s="3">
        <f>IMAGE("https://images.lululemon.com/is/image/lululemon/28022",1)</f>
        <v/>
      </c>
      <c r="J471" s="3" t="n"/>
      <c r="K471" s="3" t="n"/>
      <c r="L471" s="3" t="inlineStr">
        <is>
          <t>34C, 34D, 34DD, 36D, 36DD, 38D, 38DD</t>
        </is>
      </c>
      <c r="M471" s="3" t="n">
        <v>1115</v>
      </c>
      <c r="N471" s="3" t="inlineStr">
        <is>
          <t>Supports your run goals. This bra gives you a comfortably contained feel so you can focus on your pace.</t>
        </is>
      </c>
      <c r="O471" s="3" t="inlineStr">
        <is>
          <t>Energy-Bra-High-Support</t>
        </is>
      </c>
      <c r="P471" s="3" t="inlineStr">
        <is>
          <t>Yes</t>
        </is>
      </c>
      <c r="Q471" s="3" t="inlineStr">
        <is>
          <t>lululemon Energy High Support Bra SRNB 34C</t>
        </is>
      </c>
      <c r="R471" s="3" t="inlineStr">
        <is>
          <t>Black, Serene Blue, True Navy, Indochine Blue</t>
        </is>
      </c>
      <c r="S471" s="3" t="inlineStr">
        <is>
          <t>Strappy Bras, Longline Bras</t>
        </is>
      </c>
      <c r="T471" s="3" t="inlineStr">
        <is>
          <t>Women</t>
        </is>
      </c>
    </row>
    <row r="472" ht="80" customHeight="1">
      <c r="A472" s="2">
        <f>IMAGE("https://images.lululemon.com/is/image/lululemon/LW7DCNS_0001_1?wid=320&amp;op_usm=0.8",1)</f>
        <v/>
      </c>
      <c r="B472" s="2" t="inlineStr">
        <is>
          <t>Hotty Hot High-Rise Lined Short 4"</t>
        </is>
      </c>
      <c r="C472" s="2" t="inlineStr">
        <is>
          <t>104425651</t>
        </is>
      </c>
      <c r="D472" s="2" t="inlineStr">
        <is>
          <t>$68.00</t>
        </is>
      </c>
      <c r="E472" s="2" t="inlineStr">
        <is>
          <t>$34.00</t>
        </is>
      </c>
      <c r="F472" s="2">
        <f>IMAGE("https://images.lululemon.com/is/image/lululemon/0001",1)</f>
        <v/>
      </c>
      <c r="G472" s="2">
        <f>IMAGE("https://images.lululemon.com/is/image/lululemon/31382",1)</f>
        <v/>
      </c>
      <c r="H472" s="2">
        <f>IMAGE("https://images.lululemon.com/is/image/lululemon/0002",1)</f>
        <v/>
      </c>
      <c r="I472" s="2">
        <f>IMAGE("https://images.lululemon.com/is/image/lululemon/62214",1)</f>
        <v/>
      </c>
      <c r="J472" s="2">
        <f>IMAGE("https://images.lululemon.com/is/image/lululemon/72622",1)</f>
        <v/>
      </c>
      <c r="K472" s="2">
        <f>IMAGE("https://images.lululemon.com/is/image/lululemon/45797",1)</f>
        <v/>
      </c>
      <c r="L472" s="2" t="inlineStr">
        <is>
          <t>0, 2, 4, 6, 8, 10, 12, 14</t>
        </is>
      </c>
      <c r="M472" s="2" t="n">
        <v>6603</v>
      </c>
      <c r="N472" s="2" t="inlineStr">
        <is>
          <t>Max out that stride. We designed these run shorts with a little extra room so you can move freely.</t>
        </is>
      </c>
      <c r="O472" s="2" t="inlineStr">
        <is>
          <t>Hotty-Hot-Short-HR-Long</t>
        </is>
      </c>
      <c r="P472" s="2" t="inlineStr">
        <is>
          <t>Yes</t>
        </is>
      </c>
      <c r="Q472" s="2" t="inlineStr">
        <is>
          <t>Hotty Hot HR Short 4" *Lined BLK 0</t>
        </is>
      </c>
      <c r="R472" s="2" t="inlineStr">
        <is>
          <t>Black, True Navy, White, Bay Leaf, Riverside, Ashen Rose</t>
        </is>
      </c>
      <c r="S472" s="2" t="inlineStr">
        <is>
          <t>Athletic Shorts, Liner Shorts, Track Shorts</t>
        </is>
      </c>
      <c r="T472" s="2" t="inlineStr">
        <is>
          <t>Women</t>
        </is>
      </c>
    </row>
    <row r="473">
      <c r="A473" s="3" t="n"/>
      <c r="B473" s="3" t="inlineStr">
        <is>
          <t>Adapted State High-Rise Jogger Regular *Crinkle</t>
        </is>
      </c>
      <c r="C473" s="3" t="inlineStr">
        <is>
          <t>158118848</t>
        </is>
      </c>
      <c r="D473" s="3" t="inlineStr">
        <is>
          <t>$128.00</t>
        </is>
      </c>
      <c r="E473" s="3" t="inlineStr">
        <is>
          <t>$64.00</t>
        </is>
      </c>
      <c r="F473" s="3" t="n"/>
      <c r="G473" s="3" t="n"/>
      <c r="H473" s="3" t="n"/>
      <c r="I473" s="3" t="n"/>
      <c r="J473" s="3" t="n"/>
      <c r="K473" s="3" t="n"/>
      <c r="L473" s="3" t="inlineStr">
        <is>
          <t>2</t>
        </is>
      </c>
      <c r="M473" s="3" t="n">
        <v>0</v>
      </c>
      <c r="N473" s="3" t="inlineStr">
        <is>
          <t>Think fast. This textured version of our Adapted State jogger is all about quick transitions. Water-repellent fabric and zippered cuffs let you switch between activities effortlessly.</t>
        </is>
      </c>
      <c r="O473" s="3" t="inlineStr">
        <is>
          <t>Adapted-State-High-Rise-Jogger-Regular-Crinkle</t>
        </is>
      </c>
      <c r="P473" s="3" t="inlineStr">
        <is>
          <t>Yes</t>
        </is>
      </c>
      <c r="Q473" s="3" t="inlineStr">
        <is>
          <t>Adapted State HR Jogger *Crinkle BLK 2</t>
        </is>
      </c>
      <c r="R473" s="3" t="inlineStr">
        <is>
          <t>BLK - Black</t>
        </is>
      </c>
      <c r="S473" s="3" t="inlineStr">
        <is>
          <t>Athletic Pants</t>
        </is>
      </c>
      <c r="T473" s="3" t="inlineStr">
        <is>
          <t>Women</t>
        </is>
      </c>
    </row>
    <row r="474" ht="80" customHeight="1">
      <c r="A474" s="2">
        <f>IMAGE("https://images.lululemon.com/is/image/lululemon/LW5HXSS_068898_1?wid=320&amp;op_usm=0.8",1)</f>
        <v/>
      </c>
      <c r="B474" s="2" t="inlineStr">
        <is>
          <t>Court Rival Wide-Leg Track Pant Regular *Stitched Logo</t>
        </is>
      </c>
      <c r="C474" s="2" t="inlineStr">
        <is>
          <t>157687498</t>
        </is>
      </c>
      <c r="D474" s="2" t="inlineStr">
        <is>
          <t>$138.00</t>
        </is>
      </c>
      <c r="E474" s="2" t="inlineStr">
        <is>
          <t>$69.00</t>
        </is>
      </c>
      <c r="F474" s="2">
        <f>IMAGE("https://images.lululemon.com/is/image/lululemon/68898",1)</f>
        <v/>
      </c>
      <c r="G474" s="2" t="n"/>
      <c r="H474" s="2" t="n"/>
      <c r="I474" s="2" t="n"/>
      <c r="J474" s="2" t="n"/>
      <c r="K474" s="2" t="n"/>
      <c r="L474" s="2" t="inlineStr">
        <is>
          <t>6, 8, 10</t>
        </is>
      </c>
      <c r="M474" s="2" t="n">
        <v>16</v>
      </c>
      <c r="N474" s="2" t="inlineStr">
        <is>
          <t>No time wasted. These wide-leg track pants easily pull on and off over your tennis gear making courtside changes a breeze.</t>
        </is>
      </c>
      <c r="O474" s="2" t="inlineStr">
        <is>
          <t>Court-Rival-Mid-Rise-Wide-Track-Pant-Reg-Stitch</t>
        </is>
      </c>
      <c r="P474" s="2" t="inlineStr">
        <is>
          <t>Yes</t>
        </is>
      </c>
      <c r="Q474" s="2" t="inlineStr">
        <is>
          <t>Court Rival Wide-Leg Track Pant *Regular CLBL/WHT 6</t>
        </is>
      </c>
      <c r="R474" s="2" t="inlineStr">
        <is>
          <t>Club Blue/White</t>
        </is>
      </c>
      <c r="S474" s="2" t="inlineStr">
        <is>
          <t>Track Pants</t>
        </is>
      </c>
      <c r="T474" s="2" t="inlineStr">
        <is>
          <t>Women</t>
        </is>
      </c>
    </row>
    <row r="475" ht="80" customHeight="1">
      <c r="A475" s="3">
        <f>IMAGE("https://images.lululemon.com/is/image/lululemon/LW3KDMS_072615_1?wid=320&amp;op_usm=0.8",1)</f>
        <v/>
      </c>
      <c r="B475" s="3" t="inlineStr">
        <is>
          <t>Define Jacket Nulu *Flocked</t>
        </is>
      </c>
      <c r="C475" s="3" t="inlineStr">
        <is>
          <t>158026892</t>
        </is>
      </c>
      <c r="D475" s="3" t="inlineStr">
        <is>
          <t>$128.00</t>
        </is>
      </c>
      <c r="E475" s="3" t="inlineStr">
        <is>
          <t>$64.00</t>
        </is>
      </c>
      <c r="F475" s="3">
        <f>IMAGE("https://images.lululemon.com/is/image/lululemon/72615",1)</f>
        <v/>
      </c>
      <c r="G475" s="3" t="n"/>
      <c r="H475" s="3" t="n"/>
      <c r="I475" s="3" t="n"/>
      <c r="J475" s="3" t="n"/>
      <c r="K475" s="3" t="n"/>
      <c r="L475" s="3" t="inlineStr">
        <is>
          <t>2, 4, 6, 8, 10, 12</t>
        </is>
      </c>
      <c r="M475" s="3" t="n">
        <v>506</v>
      </c>
      <c r="N475" s="3" t="inlineStr">
        <is>
          <t>Spot-on style. This version of our fan-favourite Define Jacket features velvety flocked polka dots.</t>
        </is>
      </c>
      <c r="O475" s="3" t="inlineStr">
        <is>
          <t>Define-Jacket-Nulu-Flocked</t>
        </is>
      </c>
      <c r="P475" s="3" t="inlineStr">
        <is>
          <t>Yes</t>
        </is>
      </c>
      <c r="Q475" s="3" t="inlineStr">
        <is>
          <t>Define Jacket Nulu *Flocked POFB 2</t>
        </is>
      </c>
      <c r="R475" s="3" t="inlineStr">
        <is>
          <t>Polka Flock Black</t>
        </is>
      </c>
      <c r="S475" s="3" t="inlineStr">
        <is>
          <t>Athletic Jackets, Zip Up Sweatshirts</t>
        </is>
      </c>
      <c r="T475" s="3" t="inlineStr">
        <is>
          <t>Women</t>
        </is>
      </c>
    </row>
    <row r="476" ht="80" customHeight="1">
      <c r="A476" s="2">
        <f>IMAGE("https://images.lululemon.com/is/image/lululemon/LW7DAQS_0001_1?wid=320&amp;op_usm=0.8",1)</f>
        <v/>
      </c>
      <c r="B476" s="2" t="inlineStr">
        <is>
          <t>Scuba High-Rise Short 5"</t>
        </is>
      </c>
      <c r="C476" s="2" t="inlineStr">
        <is>
          <t>155777240</t>
        </is>
      </c>
      <c r="D476" s="2" t="inlineStr">
        <is>
          <t>$68.00</t>
        </is>
      </c>
      <c r="E476" s="2" t="inlineStr">
        <is>
          <t>$34.00</t>
        </is>
      </c>
      <c r="F476" s="2">
        <f>IMAGE("https://images.lululemon.com/is/image/lululemon/0001",1)</f>
        <v/>
      </c>
      <c r="G476" s="2" t="n"/>
      <c r="H476" s="2" t="n"/>
      <c r="I476" s="2" t="n"/>
      <c r="J476" s="2" t="n"/>
      <c r="K476" s="2" t="n"/>
      <c r="L476" s="2" t="inlineStr">
        <is>
          <t>XXS, XS, S, M, L, XL</t>
        </is>
      </c>
      <c r="M476" s="2" t="n">
        <v>826</v>
      </c>
      <c r="N476" s="2" t="inlineStr">
        <is>
          <t>Serious about softness. These shorts are all about plush, fleecy fabric and pair perfectly with our Scuba sweatshirts.</t>
        </is>
      </c>
      <c r="O476" s="2" t="inlineStr">
        <is>
          <t>Scuba-HR-Short-5</t>
        </is>
      </c>
      <c r="P476" s="2" t="inlineStr">
        <is>
          <t>Yes</t>
        </is>
      </c>
      <c r="Q476" s="2" t="inlineStr">
        <is>
          <t>Scuba High-Rise Short 5" BLK XXS</t>
        </is>
      </c>
      <c r="R476" s="2" t="inlineStr">
        <is>
          <t>Black</t>
        </is>
      </c>
      <c r="S476" s="2" t="inlineStr">
        <is>
          <t>Sweat Shorts</t>
        </is>
      </c>
      <c r="T476" s="2" t="inlineStr">
        <is>
          <t>Women</t>
        </is>
      </c>
    </row>
    <row r="477" ht="80" customHeight="1">
      <c r="A477" s="3">
        <f>IMAGE("https://images.lululemon.com/is/image/lululemon/LW8AO1S_0002_1?wid=320&amp;op_usm=0.8",1)</f>
        <v/>
      </c>
      <c r="B477" s="3" t="inlineStr">
        <is>
          <t>Side-Pleat High-Rise Tennis Skirt *Regular</t>
        </is>
      </c>
      <c r="C477" s="3" t="inlineStr">
        <is>
          <t>157684594</t>
        </is>
      </c>
      <c r="D477" s="3" t="inlineStr">
        <is>
          <t>$98.00</t>
        </is>
      </c>
      <c r="E477" s="3" t="inlineStr">
        <is>
          <t>$49.00</t>
        </is>
      </c>
      <c r="F477" s="3">
        <f>IMAGE("https://images.lululemon.com/is/image/lululemon/0002",1)</f>
        <v/>
      </c>
      <c r="G477" s="3">
        <f>IMAGE("https://images.lululemon.com/is/image/lululemon/71195",1)</f>
        <v/>
      </c>
      <c r="H477" s="3" t="n"/>
      <c r="I477" s="3" t="n"/>
      <c r="J477" s="3" t="n"/>
      <c r="K477" s="3" t="n"/>
      <c r="L477" s="3" t="inlineStr">
        <is>
          <t>XS, S, M, L, XL</t>
        </is>
      </c>
      <c r="M477" s="3" t="n">
        <v>1170</v>
      </c>
      <c r="N477" s="3" t="inlineStr">
        <is>
          <t>Feel the swish. Contrasting  pleats dance around this  high-rise tennis skirt  creating beautiful movement as  you serve, rally, and smash.</t>
        </is>
      </c>
      <c r="O477" s="3" t="inlineStr">
        <is>
          <t>Side-Pleat-High-Rise-Tennis-Skirt-Regular</t>
        </is>
      </c>
      <c r="P477" s="3" t="inlineStr">
        <is>
          <t>Yes</t>
        </is>
      </c>
      <c r="Q477" s="3" t="inlineStr">
        <is>
          <t>Side-Pleat High-Rise Tennis Skirt *Reg WHT XS</t>
        </is>
      </c>
      <c r="R477" s="3" t="inlineStr">
        <is>
          <t>White, Rockwood</t>
        </is>
      </c>
      <c r="S477" s="3" t="inlineStr">
        <is>
          <t>Athletic Skirts</t>
        </is>
      </c>
      <c r="T477" s="3" t="inlineStr">
        <is>
          <t>Women</t>
        </is>
      </c>
    </row>
    <row r="478" ht="80" customHeight="1">
      <c r="A478" s="2">
        <f>IMAGE("https://images.lululemon.com/is/image/lululemon/LW5DITS_0001_1?wid=320&amp;op_usm=0.8",1)</f>
        <v/>
      </c>
      <c r="B478" s="2" t="inlineStr">
        <is>
          <t>lululemon Align™ High-Rise Pant 28"</t>
        </is>
      </c>
      <c r="C478" s="2" t="inlineStr">
        <is>
          <t>143485955</t>
        </is>
      </c>
      <c r="D478" s="2" t="inlineStr">
        <is>
          <t>$98.00</t>
        </is>
      </c>
      <c r="E478" s="2" t="inlineStr">
        <is>
          <t>$49.00</t>
        </is>
      </c>
      <c r="F478" s="2">
        <f>IMAGE("https://images.lululemon.com/is/image/lululemon/0001",1)</f>
        <v/>
      </c>
      <c r="G478" s="2">
        <f>IMAGE("https://images.lululemon.com/is/image/lululemon/49106",1)</f>
        <v/>
      </c>
      <c r="H478" s="2">
        <f>IMAGE("https://images.lululemon.com/is/image/lululemon/28022",1)</f>
        <v/>
      </c>
      <c r="I478" s="2">
        <f>IMAGE("https://images.lululemon.com/is/image/lululemon/0554",1)</f>
        <v/>
      </c>
      <c r="J478" s="2" t="n"/>
      <c r="K478" s="2" t="n"/>
      <c r="L478" s="2" t="inlineStr">
        <is>
          <t>0, 2, 4, 6, 8, 10, 12, 14, 16, 18, 20</t>
        </is>
      </c>
      <c r="M478" s="2" t="n">
        <v>8705</v>
      </c>
      <c r="N478" s="2" t="inlineStr">
        <is>
          <t>When feeling nothing is everything. The lululemon Align™ collection is so weightless and buttery soft, all you feel is your practice.</t>
        </is>
      </c>
      <c r="O478" s="2" t="inlineStr">
        <is>
          <t>Align-Pant-Full-Length-28</t>
        </is>
      </c>
      <c r="P478" s="2" t="inlineStr">
        <is>
          <t>Yes</t>
        </is>
      </c>
      <c r="Q478" s="2" t="inlineStr">
        <is>
          <t>lululemon Align™ HR Pant 28" BLK 0</t>
        </is>
      </c>
      <c r="R478" s="2" t="inlineStr">
        <is>
          <t>Black, Rainforest Green, Indochine Blue, Grape Mist</t>
        </is>
      </c>
      <c r="S478" s="2" t="inlineStr"/>
      <c r="T478" s="2" t="inlineStr">
        <is>
          <t>Women</t>
        </is>
      </c>
    </row>
    <row r="479" ht="80" customHeight="1">
      <c r="A479" s="3">
        <f>IMAGE("https://images.lululemon.com/is/image/lululemon/LW9FRRS_0001_1?wid=320&amp;op_usm=0.8",1)</f>
        <v/>
      </c>
      <c r="B479" s="3" t="inlineStr">
        <is>
          <t>Uplifting Scrunchies *3 Pack</t>
        </is>
      </c>
      <c r="C479" s="3" t="inlineStr">
        <is>
          <t>154075151</t>
        </is>
      </c>
      <c r="D479" s="3" t="inlineStr">
        <is>
          <t>$24.00</t>
        </is>
      </c>
      <c r="E479" s="3" t="inlineStr">
        <is>
          <t>$12.00</t>
        </is>
      </c>
      <c r="F479" s="3">
        <f>IMAGE("https://images.lululemon.com/is/image/lululemon/0001",1)</f>
        <v/>
      </c>
      <c r="G479" s="3" t="n"/>
      <c r="H479" s="3" t="n"/>
      <c r="I479" s="3" t="n"/>
      <c r="J479" s="3" t="n"/>
      <c r="K479" s="3" t="n"/>
      <c r="L479" s="3" t="inlineStr">
        <is>
          <t>O/S</t>
        </is>
      </c>
      <c r="M479" s="3" t="n">
        <v>215</v>
      </c>
      <c r="N479" s="3" t="inlineStr">
        <is>
          <t>It's scrunch time. These fan favourite scrunchies keep your hair tied tight, stretch after stretch.</t>
        </is>
      </c>
      <c r="O479" s="3" t="inlineStr">
        <is>
          <t>Uplifting-Scrunchies-3-Pack</t>
        </is>
      </c>
      <c r="P479" s="3" t="inlineStr">
        <is>
          <t>Yes</t>
        </is>
      </c>
      <c r="Q479" s="3" t="inlineStr">
        <is>
          <t>Uplifting Scrunchies *3 Pack BLK ONE SIZE</t>
        </is>
      </c>
      <c r="R479" s="3" t="inlineStr">
        <is>
          <t>Black</t>
        </is>
      </c>
      <c r="S479" s="3" t="inlineStr">
        <is>
          <t>Scrunchies</t>
        </is>
      </c>
      <c r="T479" s="3" t="inlineStr">
        <is>
          <t>Women</t>
        </is>
      </c>
    </row>
    <row r="480" ht="80" customHeight="1">
      <c r="A480" s="2">
        <f>IMAGE("https://images.lululemon.com/is/image/lululemon/LU9B35S_0001_1?wid=320&amp;op_usm=0.8",1)</f>
        <v/>
      </c>
      <c r="B480" s="2" t="inlineStr">
        <is>
          <t>Fast and Free Running Belt</t>
        </is>
      </c>
      <c r="C480" s="2" t="inlineStr">
        <is>
          <t>155702492</t>
        </is>
      </c>
      <c r="D480" s="2" t="inlineStr">
        <is>
          <t>$44.00</t>
        </is>
      </c>
      <c r="E480" s="2" t="inlineStr">
        <is>
          <t>$22.00</t>
        </is>
      </c>
      <c r="F480" s="2">
        <f>IMAGE("https://images.lululemon.com/is/image/lululemon/0001",1)</f>
        <v/>
      </c>
      <c r="G480" s="2">
        <f>IMAGE("https://images.lululemon.com/is/image/lululemon/14336",1)</f>
        <v/>
      </c>
      <c r="H480" s="2" t="n"/>
      <c r="I480" s="2" t="n"/>
      <c r="J480" s="2" t="n"/>
      <c r="K480" s="2" t="n"/>
      <c r="L480" s="2" t="inlineStr">
        <is>
          <t>XS/S, S/M, L/XL</t>
        </is>
      </c>
      <c r="M480" s="2" t="n">
        <v>300</v>
      </c>
      <c r="N480" s="2" t="inlineStr">
        <is>
          <t>Free your mind—and your hands. This sleek, distraction-free run belt is lightweight and adjustable with just enough space for run essentials.</t>
        </is>
      </c>
      <c r="O480" s="2" t="inlineStr">
        <is>
          <t>Fast-and-Free-Run-Belt</t>
        </is>
      </c>
      <c r="P480" s="2" t="inlineStr">
        <is>
          <t>Yes</t>
        </is>
      </c>
      <c r="Q480" s="2" t="inlineStr">
        <is>
          <t>Fast and Free Run Belt BLK XS/S</t>
        </is>
      </c>
      <c r="R480" s="2" t="inlineStr">
        <is>
          <t>Black, Jewelled Magenta</t>
        </is>
      </c>
      <c r="S480" s="2" t="inlineStr">
        <is>
          <t>Belt Bags</t>
        </is>
      </c>
      <c r="T480" s="2" t="inlineStr">
        <is>
          <t>Women</t>
        </is>
      </c>
    </row>
    <row r="481" ht="80" customHeight="1">
      <c r="A481" s="3">
        <f>IMAGE("https://images.lululemon.com/is/image/lululemon/LW7DKWS_038337_1?wid=320&amp;op_usm=0.8",1)</f>
        <v/>
      </c>
      <c r="B481" s="3" t="inlineStr">
        <is>
          <t>Scuba Oversized Mid-Rise Dolphin-Hem Short 3"</t>
        </is>
      </c>
      <c r="C481" s="3" t="inlineStr">
        <is>
          <t>157711183</t>
        </is>
      </c>
      <c r="D481" s="3" t="inlineStr">
        <is>
          <t>$68.00</t>
        </is>
      </c>
      <c r="E481" s="3" t="inlineStr">
        <is>
          <t>$34.00</t>
        </is>
      </c>
      <c r="F481" s="3">
        <f>IMAGE("https://images.lululemon.com/is/image/lululemon/38337",1)</f>
        <v/>
      </c>
      <c r="G481" s="3">
        <f>IMAGE("https://images.lululemon.com/is/image/lululemon/0001",1)</f>
        <v/>
      </c>
      <c r="H481" s="3" t="n"/>
      <c r="I481" s="3" t="n"/>
      <c r="J481" s="3" t="n"/>
      <c r="K481" s="3" t="n"/>
      <c r="L481" s="3" t="inlineStr">
        <is>
          <t>S, M, L, XL</t>
        </is>
      </c>
      <c r="M481" s="3" t="n">
        <v>303</v>
      </c>
      <c r="N481" s="3" t="inlineStr">
        <is>
          <t>Serious about softness. This dolphin-hem version of our Scuba shorts is all about fleecy fabric and a slouchy oversized fit.</t>
        </is>
      </c>
      <c r="O481" s="3" t="inlineStr">
        <is>
          <t>Scuba-Oversized-Mid-Rise-Dolphin-Hem-Short-3</t>
        </is>
      </c>
      <c r="P481" s="3" t="inlineStr">
        <is>
          <t>Yes</t>
        </is>
      </c>
      <c r="Q481" s="3" t="inlineStr">
        <is>
          <t>Scuba Oversized MR Dolphin-Hem Short 3" CLYS S</t>
        </is>
      </c>
      <c r="R481" s="3" t="inlineStr">
        <is>
          <t>Calypso Pink, Black</t>
        </is>
      </c>
      <c r="S481" s="3" t="inlineStr">
        <is>
          <t>Sweat Shorts</t>
        </is>
      </c>
      <c r="T481" s="3" t="inlineStr">
        <is>
          <t>Women</t>
        </is>
      </c>
    </row>
    <row r="482" ht="80" customHeight="1">
      <c r="A482" s="2">
        <f>IMAGE("https://images.lululemon.com/is/image/lululemon/LW1CJUS_0001_1?wid=320&amp;op_usm=0.8",1)</f>
        <v/>
      </c>
      <c r="B482" s="2" t="inlineStr">
        <is>
          <t>Ebb to Street Cropped Racerback Tank Top *Light Support, B/C Cup</t>
        </is>
      </c>
      <c r="C482" s="2" t="inlineStr">
        <is>
          <t>114806771</t>
        </is>
      </c>
      <c r="D482" s="2" t="inlineStr">
        <is>
          <t>$68.00</t>
        </is>
      </c>
      <c r="E482" s="2" t="inlineStr">
        <is>
          <t>$34.00</t>
        </is>
      </c>
      <c r="F482" s="2">
        <f>IMAGE("https://images.lululemon.com/is/image/lululemon/0001",1)</f>
        <v/>
      </c>
      <c r="G482" s="2">
        <f>IMAGE("https://images.lululemon.com/is/image/lululemon/0002",1)</f>
        <v/>
      </c>
      <c r="H482" s="2">
        <f>IMAGE("https://images.lululemon.com/is/image/lululemon/62220",1)</f>
        <v/>
      </c>
      <c r="I482" s="2">
        <f>IMAGE("https://images.lululemon.com/is/image/lululemon/32507",1)</f>
        <v/>
      </c>
      <c r="J482" s="2">
        <f>IMAGE("https://images.lululemon.com/is/image/lululemon/33190",1)</f>
        <v/>
      </c>
      <c r="K482" s="2">
        <f>IMAGE("https://images.lululemon.com/is/image/lululemon/72761",1)</f>
        <v/>
      </c>
      <c r="L482" s="2" t="inlineStr">
        <is>
          <t>4, 6, 8, 10, 12</t>
        </is>
      </c>
      <c r="M482" s="2" t="n">
        <v>2382</v>
      </c>
      <c r="N482" s="2" t="inlineStr">
        <is>
          <t>Seamless support. This one-and-done yoga tank is made using our seamless construction for a smooth fit and features built-in support for a fuss-free practice.</t>
        </is>
      </c>
      <c r="O482" s="2" t="inlineStr">
        <is>
          <t>Ebb-To-Street-RB-Crop-Tank</t>
        </is>
      </c>
      <c r="P482" s="2" t="inlineStr">
        <is>
          <t>Yes</t>
        </is>
      </c>
      <c r="Q482" s="2" t="inlineStr">
        <is>
          <t>Ebb to Street Cropped Racerback Tank BLK 4</t>
        </is>
      </c>
      <c r="R482" s="2" t="inlineStr">
        <is>
          <t>Black, White, Raspberry coulis, Serene Blue, Brilliant Blue, Walnut Crunch</t>
        </is>
      </c>
      <c r="S482" s="2" t="inlineStr"/>
      <c r="T482" s="2" t="inlineStr">
        <is>
          <t>Women</t>
        </is>
      </c>
    </row>
    <row r="483" ht="80" customHeight="1">
      <c r="A483" s="3">
        <f>IMAGE("https://images.lululemon.com/is/image/lululemon/LW9FF2S_065675_1?wid=320&amp;op_usm=0.8",1)</f>
        <v/>
      </c>
      <c r="B483" s="3" t="inlineStr">
        <is>
          <t>Criss-Cross Claw Clip</t>
        </is>
      </c>
      <c r="C483" s="3" t="inlineStr">
        <is>
          <t>153885350</t>
        </is>
      </c>
      <c r="D483" s="3" t="inlineStr">
        <is>
          <t>$22.00</t>
        </is>
      </c>
      <c r="E483" s="3" t="inlineStr">
        <is>
          <t>$11.00</t>
        </is>
      </c>
      <c r="F483" s="3">
        <f>IMAGE("https://images.lululemon.com/is/image/lululemon/65675",1)</f>
        <v/>
      </c>
      <c r="G483" s="3" t="n"/>
      <c r="H483" s="3" t="n"/>
      <c r="I483" s="3" t="n"/>
      <c r="J483" s="3" t="n"/>
      <c r="K483" s="3" t="n"/>
      <c r="L483" s="3" t="inlineStr">
        <is>
          <t>O/S</t>
        </is>
      </c>
      <c r="M483" s="3" t="n">
        <v>141</v>
      </c>
      <c r="N483" s="3" t="inlineStr">
        <is>
          <t>Styling made easy. This rounded clip has extra long prongs to help keep stray locks secured.</t>
        </is>
      </c>
      <c r="O483" s="3" t="inlineStr">
        <is>
          <t>Criss-Cross-Claw-Clip</t>
        </is>
      </c>
      <c r="P483" s="3" t="inlineStr">
        <is>
          <t>Yes</t>
        </is>
      </c>
      <c r="Q483" s="3" t="inlineStr">
        <is>
          <t>Criss-Cross Claw Clip FRPR/BTCA ONE SIZE</t>
        </is>
      </c>
      <c r="R483" s="3" t="inlineStr">
        <is>
          <t>French Press/Burnt Caramel</t>
        </is>
      </c>
      <c r="S483" s="3" t="inlineStr">
        <is>
          <t>Hair Clips</t>
        </is>
      </c>
      <c r="T483" s="3" t="inlineStr">
        <is>
          <t>Women</t>
        </is>
      </c>
    </row>
    <row r="484" ht="80" customHeight="1">
      <c r="A484" s="2">
        <f>IMAGE("https://images.lululemon.com/is/image/lululemon/LW9EICS_0001_1?wid=320&amp;op_usm=0.8",1)</f>
        <v/>
      </c>
      <c r="B484" s="2" t="inlineStr">
        <is>
          <t>Women's Wunder Train Gloves</t>
        </is>
      </c>
      <c r="C484" s="2" t="inlineStr">
        <is>
          <t>142475098</t>
        </is>
      </c>
      <c r="D484" s="2" t="inlineStr">
        <is>
          <t>$38.00</t>
        </is>
      </c>
      <c r="E484" s="2" t="inlineStr">
        <is>
          <t>$19.00</t>
        </is>
      </c>
      <c r="F484" s="2">
        <f>IMAGE("https://images.lululemon.com/is/image/lululemon/0001",1)</f>
        <v/>
      </c>
      <c r="G484" s="2" t="n"/>
      <c r="H484" s="2" t="n"/>
      <c r="I484" s="2" t="n"/>
      <c r="J484" s="2" t="n"/>
      <c r="K484" s="2" t="n"/>
      <c r="L484" s="2" t="inlineStr">
        <is>
          <t>XS/S, M/L</t>
        </is>
      </c>
      <c r="M484" s="2" t="n">
        <v>200</v>
      </c>
      <c r="N484" s="2" t="inlineStr">
        <is>
          <t>From deadlifts to pull-ups, these ventilated gloves help protect your hands while you train.</t>
        </is>
      </c>
      <c r="O484" s="2" t="inlineStr">
        <is>
          <t>Wunder-Train-Gloves</t>
        </is>
      </c>
      <c r="P484" s="2" t="inlineStr">
        <is>
          <t>Yes</t>
        </is>
      </c>
      <c r="Q484" s="2" t="inlineStr">
        <is>
          <t>Wunder Train Gloves BLK XS/S</t>
        </is>
      </c>
      <c r="R484" s="2" t="inlineStr">
        <is>
          <t>Black</t>
        </is>
      </c>
      <c r="S484" s="2" t="inlineStr"/>
      <c r="T484" s="2" t="inlineStr">
        <is>
          <t>Women</t>
        </is>
      </c>
    </row>
    <row r="485" ht="80" customHeight="1">
      <c r="A485" s="3">
        <f>IMAGE("https://images.lululemon.com/is/image/lululemon/LW5FARS_0001_1?wid=320&amp;op_usm=0.8",1)</f>
        <v/>
      </c>
      <c r="B485" s="3" t="inlineStr">
        <is>
          <t>Fast and Free High-Rise Tight 25" *5 Pocket</t>
        </is>
      </c>
      <c r="C485" s="3" t="inlineStr">
        <is>
          <t>146050927</t>
        </is>
      </c>
      <c r="D485" s="3" t="inlineStr">
        <is>
          <t>$128.00</t>
        </is>
      </c>
      <c r="E485" s="3" t="inlineStr">
        <is>
          <t>$64.00</t>
        </is>
      </c>
      <c r="F485" s="3">
        <f>IMAGE("https://images.lululemon.com/is/image/lululemon/0001",1)</f>
        <v/>
      </c>
      <c r="G485" s="3">
        <f>IMAGE("https://images.lululemon.com/is/image/lululemon/70108",1)</f>
        <v/>
      </c>
      <c r="H485" s="3">
        <f>IMAGE("https://images.lululemon.com/is/image/lululemon/19746",1)</f>
        <v/>
      </c>
      <c r="I485" s="3">
        <f>IMAGE("https://images.lululemon.com/is/image/lululemon/72622",1)</f>
        <v/>
      </c>
      <c r="J485" s="3">
        <f>IMAGE("https://images.lululemon.com/is/image/lululemon/33190",1)</f>
        <v/>
      </c>
      <c r="K485" s="3" t="n"/>
      <c r="L485" s="3" t="inlineStr">
        <is>
          <t>2, 4, 6, 8, 10, 12</t>
        </is>
      </c>
      <c r="M485" s="3" t="n">
        <v>2517</v>
      </c>
      <c r="N485" s="3" t="inlineStr">
        <is>
          <t>Set your run free. This five-pocket version of our Fast and Free tight has seam-free inner thighs and a streamlined waistband to maximize that smooth, weightless feeling.</t>
        </is>
      </c>
      <c r="O485" s="3" t="inlineStr">
        <is>
          <t>Nulux-5-Pocket-HR-Running-Tight-25</t>
        </is>
      </c>
      <c r="P485" s="3" t="inlineStr">
        <is>
          <t>Yes</t>
        </is>
      </c>
      <c r="Q485" s="3" t="inlineStr">
        <is>
          <t>Fast and Free HR Tight 25" *Pockets BLK 2</t>
        </is>
      </c>
      <c r="R485" s="3" t="inlineStr">
        <is>
          <t>Black, Warm Ash Grey, Espresso, Riverside, Brilliant Blue</t>
        </is>
      </c>
      <c r="S485" s="3" t="inlineStr">
        <is>
          <t>5 Pocket Pants, Athletic Pants</t>
        </is>
      </c>
      <c r="T485" s="3" t="inlineStr">
        <is>
          <t>Women</t>
        </is>
      </c>
    </row>
    <row r="486" ht="80" customHeight="1">
      <c r="A486" s="2">
        <f>IMAGE("https://images.lululemon.com/is/image/lululemon/LW1FPXS_072733_1?wid=320&amp;op_usm=0.8",1)</f>
        <v/>
      </c>
      <c r="B486" s="2" t="inlineStr">
        <is>
          <t>Cotton-Blend Golf Vest</t>
        </is>
      </c>
      <c r="C486" s="2" t="inlineStr">
        <is>
          <t>158119786</t>
        </is>
      </c>
      <c r="D486" s="2" t="inlineStr">
        <is>
          <t>$88.00</t>
        </is>
      </c>
      <c r="E486" s="2" t="inlineStr">
        <is>
          <t>$44.00</t>
        </is>
      </c>
      <c r="F486" s="2">
        <f>IMAGE("https://images.lululemon.com/is/image/lululemon/72733",1)</f>
        <v/>
      </c>
      <c r="G486" s="2" t="n"/>
      <c r="H486" s="2" t="n"/>
      <c r="I486" s="2" t="n"/>
      <c r="J486" s="2" t="n"/>
      <c r="K486" s="2" t="n"/>
      <c r="L486" s="2" t="inlineStr">
        <is>
          <t>XS, S, M, L, XL</t>
        </is>
      </c>
      <c r="M486" s="2" t="n">
        <v>502</v>
      </c>
      <c r="N486" s="2" t="inlineStr">
        <is>
          <t>Back nine baddie. Solidify your style in this collared golf vest made from lightweight, four-way stretch pique fabric. Layer it up or wear it solo on warmer days.</t>
        </is>
      </c>
      <c r="O486" s="2" t="inlineStr">
        <is>
          <t>Cotton-Blend-Golf-Vest</t>
        </is>
      </c>
      <c r="P486" s="2" t="inlineStr">
        <is>
          <t>Yes</t>
        </is>
      </c>
      <c r="Q486" s="2" t="inlineStr">
        <is>
          <t>Cotton-Blend Golf Vest ASHR/GNPL XS</t>
        </is>
      </c>
      <c r="R486" s="2" t="inlineStr">
        <is>
          <t>Ashen Rose/Goodnight Plum</t>
        </is>
      </c>
      <c r="S486" s="2" t="inlineStr">
        <is>
          <t>Vests</t>
        </is>
      </c>
      <c r="T486" s="2" t="inlineStr">
        <is>
          <t>Women</t>
        </is>
      </c>
    </row>
    <row r="487" ht="80" customHeight="1">
      <c r="A487" s="3">
        <f>IMAGE("https://images.lululemon.com/is/image/lululemon/LW4BOUS_0001_1?wid=320&amp;op_usm=0.8",1)</f>
        <v/>
      </c>
      <c r="B487" s="3" t="inlineStr">
        <is>
          <t>Pack It Down Vest</t>
        </is>
      </c>
      <c r="C487" s="3" t="inlineStr">
        <is>
          <t>132325497</t>
        </is>
      </c>
      <c r="D487" s="3" t="inlineStr">
        <is>
          <t>$198.00</t>
        </is>
      </c>
      <c r="E487" s="3" t="inlineStr">
        <is>
          <t>$99.00</t>
        </is>
      </c>
      <c r="F487" s="3">
        <f>IMAGE("https://images.lululemon.com/is/image/lululemon/0001",1)</f>
        <v/>
      </c>
      <c r="G487" s="3" t="n"/>
      <c r="H487" s="3" t="n"/>
      <c r="I487" s="3" t="n"/>
      <c r="J487" s="3" t="n"/>
      <c r="K487" s="3" t="n"/>
      <c r="L487" s="3" t="inlineStr">
        <is>
          <t>2, 4, 6, 8, 10, 12</t>
        </is>
      </c>
      <c r="M487" s="3" t="n">
        <v>290</v>
      </c>
      <c r="N487" s="3" t="inlineStr">
        <is>
          <t>Layering season is here. Wear this packable, travel-friendly down vest on its own or under a shell for added warmth.</t>
        </is>
      </c>
      <c r="O487" s="3" t="inlineStr">
        <is>
          <t>Pack-It-Down-Vest</t>
        </is>
      </c>
      <c r="P487" s="3" t="inlineStr">
        <is>
          <t>Yes</t>
        </is>
      </c>
      <c r="Q487" s="3" t="inlineStr">
        <is>
          <t>Pack It Down Vest BLK 2</t>
        </is>
      </c>
      <c r="R487" s="3" t="inlineStr">
        <is>
          <t>Black</t>
        </is>
      </c>
      <c r="S487" s="3" t="inlineStr">
        <is>
          <t>Puffer Jackets, Vests</t>
        </is>
      </c>
      <c r="T487" s="3" t="inlineStr">
        <is>
          <t>Women</t>
        </is>
      </c>
    </row>
    <row r="488" ht="80" customHeight="1">
      <c r="A488" s="2">
        <f>IMAGE("https://images.lululemon.com/is/image/lululemon/LW4CMJS_036865_1?wid=320&amp;op_usm=0.8",1)</f>
        <v/>
      </c>
      <c r="B488" s="2" t="inlineStr">
        <is>
          <t>Featherweight 900-Down-Fill Quilted Jacket</t>
        </is>
      </c>
      <c r="C488" s="2" t="inlineStr">
        <is>
          <t>158119781</t>
        </is>
      </c>
      <c r="D488" s="2" t="inlineStr">
        <is>
          <t>$298.00</t>
        </is>
      </c>
      <c r="E488" s="2" t="inlineStr">
        <is>
          <t>$149.00</t>
        </is>
      </c>
      <c r="F488" s="2">
        <f>IMAGE("https://images.lululemon.com/is/image/lululemon/36865",1)</f>
        <v/>
      </c>
      <c r="G488" s="2">
        <f>IMAGE("https://images.lululemon.com/is/image/lululemon/71148",1)</f>
        <v/>
      </c>
      <c r="H488" s="2">
        <f>IMAGE("https://images.lululemon.com/is/image/lululemon/0001",1)</f>
        <v/>
      </c>
      <c r="I488" s="2" t="n"/>
      <c r="J488" s="2" t="n"/>
      <c r="K488" s="2" t="n"/>
      <c r="L488" s="2" t="inlineStr">
        <is>
          <t>XXS, XS, S, M, L, XL</t>
        </is>
      </c>
      <c r="M488" s="2" t="n">
        <v>843</v>
      </c>
      <c r="N488" s="2" t="inlineStr">
        <is>
          <t>Featherweight champ. Delivering mid-level warmth with a feather-light feel, this packable jacket is insulated with premium 900-fill-power down—layer it under a shell or over cozy sweaters when the cold sets in.</t>
        </is>
      </c>
      <c r="O488" s="2" t="inlineStr">
        <is>
          <t>Featherweight-900-Down-Fill-Quilted-Jacket</t>
        </is>
      </c>
      <c r="P488" s="2" t="inlineStr">
        <is>
          <t>Yes</t>
        </is>
      </c>
      <c r="Q488" s="2" t="inlineStr">
        <is>
          <t>Featherweight Down Quilted Jacket DVGY XXS</t>
        </is>
      </c>
      <c r="R488" s="2" t="inlineStr">
        <is>
          <t>Dove Grey, Olive Brown, Black</t>
        </is>
      </c>
      <c r="S488" s="2" t="inlineStr">
        <is>
          <t>Puffer Jackets</t>
        </is>
      </c>
      <c r="T488" s="2" t="inlineStr">
        <is>
          <t>Women</t>
        </is>
      </c>
    </row>
    <row r="489" ht="80" customHeight="1">
      <c r="A489" s="3">
        <f>IMAGE("https://images.lululemon.com/is/image/lululemon/LW3IJ3S_032493_1?wid=320&amp;op_usm=0.8",1)</f>
        <v/>
      </c>
      <c r="B489" s="3" t="inlineStr">
        <is>
          <t>Scuba Oversized Funnel-Neck Full Zip</t>
        </is>
      </c>
      <c r="C489" s="3" t="inlineStr">
        <is>
          <t>153844428</t>
        </is>
      </c>
      <c r="D489" s="3" t="inlineStr">
        <is>
          <t>$128.00</t>
        </is>
      </c>
      <c r="E489" s="3" t="inlineStr">
        <is>
          <t>$64.00</t>
        </is>
      </c>
      <c r="F489" s="3">
        <f>IMAGE("https://images.lululemon.com/is/image/lululemon/32493",1)</f>
        <v/>
      </c>
      <c r="G489" s="3" t="n"/>
      <c r="H489" s="3" t="n"/>
      <c r="I489" s="3" t="n"/>
      <c r="J489" s="3" t="n"/>
      <c r="K489" s="3" t="n"/>
      <c r="L489" s="3" t="inlineStr">
        <is>
          <t>XS/S, M/L, XL/XXL</t>
        </is>
      </c>
      <c r="M489" s="3" t="n">
        <v>1201</v>
      </c>
      <c r="N489" s="3" t="inlineStr">
        <is>
          <t>Serious about softness. This full-zip sweatshirt is all about plush, fleecy fabric and pairs perfectly with our Scuba sweatpants.</t>
        </is>
      </c>
      <c r="O489" s="3" t="inlineStr">
        <is>
          <t>Scuba-Oversized-Funnel-Neck-Full-Zip</t>
        </is>
      </c>
      <c r="P489" s="3" t="inlineStr">
        <is>
          <t>Yes</t>
        </is>
      </c>
      <c r="Q489" s="3" t="inlineStr">
        <is>
          <t>Scuba Oversized Funnel-Neck Full Zip HCUG XS/S</t>
        </is>
      </c>
      <c r="R489" s="3" t="inlineStr">
        <is>
          <t>Heathered Core Ultra Light Grey</t>
        </is>
      </c>
      <c r="S489" s="3" t="inlineStr">
        <is>
          <t>Zip Up Sweatshirts</t>
        </is>
      </c>
      <c r="T489" s="3" t="inlineStr">
        <is>
          <t>Women</t>
        </is>
      </c>
    </row>
    <row r="490" ht="80" customHeight="1">
      <c r="A490" s="2">
        <f>IMAGE("https://images.lululemon.com/is/image/lululemon/LW9FH8S_043639_1?wid=320&amp;op_usm=0.8",1)</f>
        <v/>
      </c>
      <c r="B490" s="2" t="inlineStr">
        <is>
          <t>Women's Fast and Free Rulu Running Gloves</t>
        </is>
      </c>
      <c r="C490" s="2" t="inlineStr">
        <is>
          <t>154525166</t>
        </is>
      </c>
      <c r="D490" s="2" t="inlineStr">
        <is>
          <t>$52.00</t>
        </is>
      </c>
      <c r="E490" s="2" t="inlineStr">
        <is>
          <t>$26.00</t>
        </is>
      </c>
      <c r="F490" s="2">
        <f>IMAGE("https://images.lululemon.com/is/image/lululemon/43639",1)</f>
        <v/>
      </c>
      <c r="G490" s="2" t="n"/>
      <c r="H490" s="2" t="n"/>
      <c r="I490" s="2" t="n"/>
      <c r="J490" s="2" t="n"/>
      <c r="K490" s="2" t="n"/>
      <c r="L490" s="2" t="inlineStr">
        <is>
          <t>M</t>
        </is>
      </c>
      <c r="M490" s="2" t="n">
        <v>39</v>
      </c>
      <c r="N490" s="2" t="inlineStr">
        <is>
          <t>Brisk, frosty, crisp—anyway you say it, these tech-friendly, fleece-insulated run gloves stop the chill in its tracks.</t>
        </is>
      </c>
      <c r="O490" s="2" t="inlineStr">
        <is>
          <t>W-Fast-and-Free-Rulu-Run-Gloves</t>
        </is>
      </c>
      <c r="P490" s="2" t="inlineStr">
        <is>
          <t>Yes</t>
        </is>
      </c>
      <c r="Q490" s="2" t="inlineStr">
        <is>
          <t>Fast and Free Rulu™ Run Gloves W HTGR M</t>
        </is>
      </c>
      <c r="R490" s="2" t="inlineStr">
        <is>
          <t>Heathered Graphite Grey</t>
        </is>
      </c>
      <c r="S490" s="2" t="inlineStr"/>
      <c r="T490" s="2" t="inlineStr">
        <is>
          <t>Women</t>
        </is>
      </c>
    </row>
    <row r="491" ht="80" customHeight="1">
      <c r="A491" s="3">
        <f>IMAGE("https://images.lululemon.com/is/image/lululemon/LW3EPFS_0001_1?wid=320&amp;op_usm=0.8",1)</f>
        <v/>
      </c>
      <c r="B491" s="3" t="inlineStr">
        <is>
          <t>Love Crewneck T-Shirt</t>
        </is>
      </c>
      <c r="C491" s="3" t="inlineStr">
        <is>
          <t>142176489</t>
        </is>
      </c>
      <c r="D491" s="3" t="inlineStr">
        <is>
          <t>$48.00</t>
        </is>
      </c>
      <c r="E491" s="3" t="inlineStr">
        <is>
          <t>$24.00</t>
        </is>
      </c>
      <c r="F491" s="3">
        <f>IMAGE("https://images.lululemon.com/is/image/lululemon/0001",1)</f>
        <v/>
      </c>
      <c r="G491" s="3">
        <f>IMAGE("https://images.lululemon.com/is/image/lululemon/31382",1)</f>
        <v/>
      </c>
      <c r="H491" s="3">
        <f>IMAGE("https://images.lululemon.com/is/image/lululemon/0002",1)</f>
        <v/>
      </c>
      <c r="I491" s="3" t="n"/>
      <c r="J491" s="3" t="n"/>
      <c r="K491" s="3" t="n"/>
      <c r="L491" s="3" t="inlineStr">
        <is>
          <t>0, 4, 6, 8, 10, 12, 2, 14</t>
        </is>
      </c>
      <c r="M491" s="3" t="n">
        <v>650</v>
      </c>
      <c r="N491" s="3" t="inlineStr">
        <is>
          <t>Lots of reasons to love this tee. Soft cotton fabric, a hint of stretch, and a just-right curved hem that pairs perfectly with leggings.</t>
        </is>
      </c>
      <c r="O491" s="3" t="inlineStr">
        <is>
          <t>Love-Crew</t>
        </is>
      </c>
      <c r="P491" s="3" t="inlineStr">
        <is>
          <t>Yes</t>
        </is>
      </c>
      <c r="Q491" s="3" t="inlineStr">
        <is>
          <t>Love Crew TRNV 0</t>
        </is>
      </c>
      <c r="R491" s="3" t="inlineStr">
        <is>
          <t>Black, True Navy, White</t>
        </is>
      </c>
      <c r="S491" s="3" t="inlineStr"/>
      <c r="T491" s="3" t="inlineStr">
        <is>
          <t>Women</t>
        </is>
      </c>
    </row>
    <row r="492" ht="80" customHeight="1">
      <c r="A492" s="2">
        <f>IMAGE("https://images.lululemon.com/is/image/lululemon/LW9FNQS_0002_1?wid=320&amp;op_usm=0.8",1)</f>
        <v/>
      </c>
      <c r="B492" s="2" t="inlineStr">
        <is>
          <t>Women's Fast and Free Ponytail Running Hat</t>
        </is>
      </c>
      <c r="C492" s="2" t="inlineStr">
        <is>
          <t>155725289</t>
        </is>
      </c>
      <c r="D492" s="2" t="inlineStr">
        <is>
          <t>$38.00</t>
        </is>
      </c>
      <c r="E492" s="2" t="inlineStr">
        <is>
          <t>$19.00</t>
        </is>
      </c>
      <c r="F492" s="2">
        <f>IMAGE("https://images.lululemon.com/is/image/lululemon/0002",1)</f>
        <v/>
      </c>
      <c r="G492" s="2" t="n"/>
      <c r="H492" s="2" t="n"/>
      <c r="I492" s="2" t="n"/>
      <c r="J492" s="2" t="n"/>
      <c r="K492" s="2" t="n"/>
      <c r="L492" s="2" t="inlineStr">
        <is>
          <t>O/S</t>
        </is>
      </c>
      <c r="M492" s="2" t="n">
        <v>136</v>
      </c>
      <c r="N492" s="2" t="inlineStr">
        <is>
          <t>Run fast and let your hair free. This sweat-wicking hat has a wide back opening that fits your ponytail and gives you airflow.</t>
        </is>
      </c>
      <c r="O492" s="2" t="inlineStr">
        <is>
          <t>Fast-and-Free-Womens-Run-Hat-Ponytail</t>
        </is>
      </c>
      <c r="P492" s="2" t="inlineStr">
        <is>
          <t>Yes</t>
        </is>
      </c>
      <c r="Q492" s="2" t="inlineStr">
        <is>
          <t>Fast and Free Run Hat *Pony WHT ONE SIZE</t>
        </is>
      </c>
      <c r="R492" s="2" t="inlineStr">
        <is>
          <t>White</t>
        </is>
      </c>
      <c r="S492" s="2" t="inlineStr">
        <is>
          <t>Caps</t>
        </is>
      </c>
      <c r="T492" s="2" t="inlineStr">
        <is>
          <t>Women</t>
        </is>
      </c>
    </row>
    <row r="493" ht="80" customHeight="1">
      <c r="A493" s="3">
        <f>IMAGE("https://images.lululemon.com/is/image/lululemon/LW2CSIS_0001_1?wid=320&amp;op_usm=0.8",1)</f>
        <v/>
      </c>
      <c r="B493" s="3" t="inlineStr">
        <is>
          <t>Like a Cloud Longline Bra *Light Support, B/C Cup</t>
        </is>
      </c>
      <c r="C493" s="3" t="inlineStr">
        <is>
          <t>125075079</t>
        </is>
      </c>
      <c r="D493" s="3" t="inlineStr">
        <is>
          <t>$68.00</t>
        </is>
      </c>
      <c r="E493" s="3" t="inlineStr">
        <is>
          <t>$34.00</t>
        </is>
      </c>
      <c r="F493" s="3">
        <f>IMAGE("https://images.lululemon.com/is/image/lululemon/0001",1)</f>
        <v/>
      </c>
      <c r="G493" s="3">
        <f>IMAGE("https://images.lululemon.com/is/image/lululemon/0002",1)</f>
        <v/>
      </c>
      <c r="H493" s="3">
        <f>IMAGE("https://images.lululemon.com/is/image/lululemon/68839",1)</f>
        <v/>
      </c>
      <c r="I493" s="3">
        <f>IMAGE("https://images.lululemon.com/is/image/lululemon/35487",1)</f>
        <v/>
      </c>
      <c r="J493" s="3">
        <f>IMAGE("https://images.lululemon.com/is/image/lululemon/21363",1)</f>
        <v/>
      </c>
      <c r="K493" s="3" t="n"/>
      <c r="L493" s="3" t="inlineStr">
        <is>
          <t>2, 4, 6, 8, 10, 12</t>
        </is>
      </c>
      <c r="M493" s="3" t="n">
        <v>3314</v>
      </c>
      <c r="N493" s="3" t="inlineStr">
        <is>
          <t>This yoga bra’s made with marshmallowy-soft foam cups and supple fabric to keep you comfortable during your practice—but we won’t be surprised if you wear it all day.</t>
        </is>
      </c>
      <c r="O493" s="3" t="inlineStr">
        <is>
          <t>Like-a-Cloud-Bra-Long-Line</t>
        </is>
      </c>
      <c r="P493" s="3" t="inlineStr">
        <is>
          <t>Yes</t>
        </is>
      </c>
      <c r="Q493" s="3" t="inlineStr">
        <is>
          <t>Like a Cloud Longline Bra B/C BLK 2</t>
        </is>
      </c>
      <c r="R493" s="3" t="inlineStr">
        <is>
          <t>Black, White, Starch Blue, Palm Deco, Berry Rumble</t>
        </is>
      </c>
      <c r="S493" s="3" t="inlineStr">
        <is>
          <t>Longline Bras, Strappy Bras, Bralettes</t>
        </is>
      </c>
      <c r="T493" s="3" t="inlineStr">
        <is>
          <t>Women</t>
        </is>
      </c>
    </row>
    <row r="494" ht="80" customHeight="1">
      <c r="A494" s="2">
        <f>IMAGE("https://images.lululemon.com/is/image/lululemon/LW8AORS_068578_1?wid=320&amp;op_usm=0.8",1)</f>
        <v/>
      </c>
      <c r="B494" s="2" t="inlineStr">
        <is>
          <t>Pleated High-Rise Knee-Length Tennis Skirt</t>
        </is>
      </c>
      <c r="C494" s="2" t="inlineStr">
        <is>
          <t>156551193</t>
        </is>
      </c>
      <c r="D494" s="2" t="inlineStr">
        <is>
          <t>$88.00</t>
        </is>
      </c>
      <c r="E494" s="2" t="inlineStr">
        <is>
          <t>$44.00</t>
        </is>
      </c>
      <c r="F494" s="2">
        <f>IMAGE("https://images.lululemon.com/is/image/lululemon/68578",1)</f>
        <v/>
      </c>
      <c r="G494" s="2" t="n"/>
      <c r="H494" s="2" t="n"/>
      <c r="I494" s="2" t="n"/>
      <c r="J494" s="2" t="n"/>
      <c r="K494" s="2" t="n"/>
      <c r="L494" s="2" t="inlineStr">
        <is>
          <t>XS, S, M, L, XL</t>
        </is>
      </c>
      <c r="M494" s="2" t="n">
        <v>351</v>
      </c>
      <c r="N494" s="2" t="inlineStr">
        <is>
          <t>Rule the court (or course).  This pleated skirt's longer  length and built-in shorts  deliver distraction-free  coverage that always meets the  dress code.</t>
        </is>
      </c>
      <c r="O494" s="2" t="inlineStr">
        <is>
          <t>Pleated-High-Rise-Knee-Length-Tennis-Skirt</t>
        </is>
      </c>
      <c r="P494" s="2" t="inlineStr">
        <is>
          <t>Yes</t>
        </is>
      </c>
      <c r="Q494" s="2" t="inlineStr">
        <is>
          <t>Pleated HR Knee-Length Tennis Skirt CLBL XS</t>
        </is>
      </c>
      <c r="R494" s="2" t="inlineStr">
        <is>
          <t>Club Blue</t>
        </is>
      </c>
      <c r="S494" s="2" t="inlineStr">
        <is>
          <t>Skorts, Athletic Skirts</t>
        </is>
      </c>
      <c r="T494" s="2" t="inlineStr">
        <is>
          <t>Women</t>
        </is>
      </c>
    </row>
    <row r="495" ht="80" customHeight="1">
      <c r="A495" s="3">
        <f>IMAGE("https://images.lululemon.com/is/image/lululemon/LU9C94S_036168_1?wid=320&amp;op_usm=0.8",1)</f>
        <v/>
      </c>
      <c r="B495" s="3" t="inlineStr">
        <is>
          <t>Warm Revelation Gloves</t>
        </is>
      </c>
      <c r="C495" s="3" t="inlineStr">
        <is>
          <t>157703621</t>
        </is>
      </c>
      <c r="D495" s="3" t="inlineStr">
        <is>
          <t>$52.00</t>
        </is>
      </c>
      <c r="E495" s="3" t="inlineStr">
        <is>
          <t>$26.00</t>
        </is>
      </c>
      <c r="F495" s="3">
        <f>IMAGE("https://images.lululemon.com/is/image/lululemon/36168",1)</f>
        <v/>
      </c>
      <c r="G495" s="3" t="n"/>
      <c r="H495" s="3" t="n"/>
      <c r="I495" s="3" t="n"/>
      <c r="J495" s="3" t="n"/>
      <c r="K495" s="3" t="n"/>
      <c r="L495" s="3" t="inlineStr">
        <is>
          <t>S, M, L, XL</t>
        </is>
      </c>
      <c r="M495" s="3" t="n">
        <v>42</v>
      </c>
      <c r="N495" s="3" t="inlineStr">
        <is>
          <t>Pop on these merino wool-blend gloves when the temperature drops to help keep you cozy on chilly days.</t>
        </is>
      </c>
      <c r="O495" s="3" t="inlineStr">
        <is>
          <t>Warm-Revelation-Gloves-Updated</t>
        </is>
      </c>
      <c r="P495" s="3" t="inlineStr">
        <is>
          <t>Yes</t>
        </is>
      </c>
      <c r="Q495" s="3" t="inlineStr">
        <is>
          <t>Warm Revelation Gloves HRLI S</t>
        </is>
      </c>
      <c r="R495" s="3" t="inlineStr">
        <is>
          <t>Heathered Light Ivory</t>
        </is>
      </c>
      <c r="S495" s="3" t="inlineStr"/>
      <c r="T495" s="3" t="inlineStr">
        <is>
          <t>Women</t>
        </is>
      </c>
    </row>
    <row r="496" ht="80" customHeight="1">
      <c r="A496" s="2">
        <f>IMAGE("https://images.lululemon.com/is/image/lululemon/LW5HFQS_032493_1?wid=320&amp;op_usm=0.8",1)</f>
        <v/>
      </c>
      <c r="B496" s="2" t="inlineStr">
        <is>
          <t>Scuba Mid-Rise Wide-Leg Pant *Waffle</t>
        </is>
      </c>
      <c r="C496" s="2" t="inlineStr">
        <is>
          <t>157708107</t>
        </is>
      </c>
      <c r="D496" s="2" t="inlineStr">
        <is>
          <t>$148.00</t>
        </is>
      </c>
      <c r="E496" s="2" t="inlineStr">
        <is>
          <t>$74.00</t>
        </is>
      </c>
      <c r="F496" s="2">
        <f>IMAGE("https://images.lululemon.com/is/image/lululemon/32493",1)</f>
        <v/>
      </c>
      <c r="G496" s="2">
        <f>IMAGE("https://images.lululemon.com/is/image/lululemon/36168",1)</f>
        <v/>
      </c>
      <c r="H496" s="2" t="n"/>
      <c r="I496" s="2" t="n"/>
      <c r="J496" s="2" t="n"/>
      <c r="K496" s="2" t="n"/>
      <c r="L496" s="2" t="inlineStr">
        <is>
          <t>S, M, L, XL</t>
        </is>
      </c>
      <c r="M496" s="2" t="n">
        <v>572</v>
      </c>
      <c r="N496" s="2" t="inlineStr">
        <is>
          <t>Our signature sweatpants with a textured twist. A rich, waffle-knit fabric adds depth and softness to your downtime.</t>
        </is>
      </c>
      <c r="O496" s="2" t="inlineStr">
        <is>
          <t>Scuba-Mid-Rise-Wide-Leg-Pant-Waffle</t>
        </is>
      </c>
      <c r="P496" s="2" t="inlineStr">
        <is>
          <t>Yes</t>
        </is>
      </c>
      <c r="Q496" s="2" t="inlineStr">
        <is>
          <t>Scuba Mid-Rise Wide-Leg Pant *Waffle HCUG S</t>
        </is>
      </c>
      <c r="R496" s="2" t="inlineStr">
        <is>
          <t>Heathered Core Ultra Light Grey, Heathered Light Ivory</t>
        </is>
      </c>
      <c r="S496" s="2" t="inlineStr"/>
      <c r="T496" s="2" t="inlineStr">
        <is>
          <t>Women</t>
        </is>
      </c>
    </row>
    <row r="497" ht="80" customHeight="1">
      <c r="A497" s="3">
        <f>IMAGE("https://images.lululemon.com/is/image/lululemon/LW3HB5S_031382_1?wid=320&amp;op_usm=0.8",1)</f>
        <v/>
      </c>
      <c r="B497" s="3" t="inlineStr">
        <is>
          <t>Define Cropped Jacket *Nulu</t>
        </is>
      </c>
      <c r="C497" s="3" t="inlineStr">
        <is>
          <t>158023712</t>
        </is>
      </c>
      <c r="D497" s="3" t="inlineStr">
        <is>
          <t>$128.00</t>
        </is>
      </c>
      <c r="E497" s="3" t="inlineStr">
        <is>
          <t>$64.00</t>
        </is>
      </c>
      <c r="F497" s="3">
        <f>IMAGE("https://images.lululemon.com/is/image/lululemon/31382",1)</f>
        <v/>
      </c>
      <c r="G497" s="3">
        <f>IMAGE("https://images.lululemon.com/is/image/lululemon/71918",1)</f>
        <v/>
      </c>
      <c r="H497" s="3">
        <f>IMAGE("https://images.lululemon.com/is/image/lululemon/70135",1)</f>
        <v/>
      </c>
      <c r="I497" s="3">
        <f>IMAGE("https://images.lululemon.com/is/image/lululemon/0002",1)</f>
        <v/>
      </c>
      <c r="J497" s="3">
        <f>IMAGE("https://images.lululemon.com/is/image/lululemon/21363",1)</f>
        <v/>
      </c>
      <c r="K497" s="3">
        <f>IMAGE("https://images.lululemon.com/is/image/lululemon/34697",1)</f>
        <v/>
      </c>
      <c r="L497" s="3" t="inlineStr">
        <is>
          <t>0, 2, 4, 6, 8, 10, 12, 14</t>
        </is>
      </c>
      <c r="M497" s="3" t="n">
        <v>3830</v>
      </c>
      <c r="N497" s="3" t="inlineStr">
        <is>
          <t>Up for adventure and ready for downtime. This shortened version of our fan-favourite Define Jacket has a feel-good fit that can do it all.</t>
        </is>
      </c>
      <c r="O497" s="3" t="inlineStr">
        <is>
          <t>Nulu-Cropped-Define-Jacket</t>
        </is>
      </c>
      <c r="P497" s="3" t="inlineStr">
        <is>
          <t>Yes</t>
        </is>
      </c>
      <c r="Q497" s="3" t="inlineStr">
        <is>
          <t>Define Cropped Jacket *Nulu™ BLK 0</t>
        </is>
      </c>
      <c r="R497" s="3" t="inlineStr">
        <is>
          <t>True Navy, True Navy/Mirror Silver/Mirror Silver, Washed Blue, White, Berry Rumble, Black Plum, Black, Grape Mist/Mirror Silver/Mirror Silver</t>
        </is>
      </c>
      <c r="S497" s="3" t="inlineStr">
        <is>
          <t>Athletic Jackets, Zip Up Sweatshirts</t>
        </is>
      </c>
      <c r="T497" s="3" t="inlineStr">
        <is>
          <t>Women</t>
        </is>
      </c>
    </row>
    <row r="498" ht="80" customHeight="1">
      <c r="A498" s="2">
        <f>IMAGE("https://images.lululemon.com/is/image/lululemon/LU9BQPS_0001_1?wid=320&amp;op_usm=0.8",1)</f>
        <v/>
      </c>
      <c r="B498" s="2" t="inlineStr">
        <is>
          <t>Back to Life Sport Bottle 18oz *Straw Lid</t>
        </is>
      </c>
      <c r="C498" s="2" t="inlineStr">
        <is>
          <t>147150092</t>
        </is>
      </c>
      <c r="D498" s="2" t="inlineStr">
        <is>
          <t>$38.00</t>
        </is>
      </c>
      <c r="E498" s="2" t="inlineStr">
        <is>
          <t>$19.00</t>
        </is>
      </c>
      <c r="F498" s="2">
        <f>IMAGE("https://images.lululemon.com/is/image/lululemon/0001",1)</f>
        <v/>
      </c>
      <c r="G498" s="2" t="n"/>
      <c r="H498" s="2" t="n"/>
      <c r="I498" s="2" t="n"/>
      <c r="J498" s="2" t="n"/>
      <c r="K498" s="2" t="n"/>
      <c r="L498" s="2" t="inlineStr">
        <is>
          <t>O/S</t>
        </is>
      </c>
      <c r="M498" s="2" t="n">
        <v>225</v>
      </c>
      <c r="N498" s="2" t="inlineStr">
        <is>
          <t>Sport mode: activated. This insulated water bottle has a built-in straw lid and a slip-free texture to make one-handed drinking a breeze.</t>
        </is>
      </c>
      <c r="O498" s="2" t="inlineStr">
        <is>
          <t>Bck-to-Life-Sprt-Bttle-18oz-Straw-Lid</t>
        </is>
      </c>
      <c r="P498" s="2" t="inlineStr">
        <is>
          <t>Yes</t>
        </is>
      </c>
      <c r="Q498" s="2" t="inlineStr">
        <is>
          <t>Back to Life Sport Bottle 18oz*Straw Lid BLK ONE SIZE</t>
        </is>
      </c>
      <c r="R498" s="2" t="inlineStr">
        <is>
          <t>Black</t>
        </is>
      </c>
      <c r="S498" s="2" t="inlineStr"/>
      <c r="T498" s="2" t="inlineStr">
        <is>
          <t>Women</t>
        </is>
      </c>
    </row>
    <row r="499" ht="80" customHeight="1">
      <c r="A499" s="3">
        <f>IMAGE("https://images.lululemon.com/is/image/lululemon/LW8AQ9S_0001_1?wid=320&amp;op_usm=0.8",1)</f>
        <v/>
      </c>
      <c r="B499" s="3" t="inlineStr">
        <is>
          <t>Varsity High-Rise Pleated Tennis Skirt</t>
        </is>
      </c>
      <c r="C499" s="3" t="inlineStr">
        <is>
          <t>151600819</t>
        </is>
      </c>
      <c r="D499" s="3" t="inlineStr">
        <is>
          <t>$88.00</t>
        </is>
      </c>
      <c r="E499" s="3" t="inlineStr">
        <is>
          <t>$44.00</t>
        </is>
      </c>
      <c r="F499" s="3">
        <f>IMAGE("https://images.lululemon.com/is/image/lululemon/0001",1)</f>
        <v/>
      </c>
      <c r="G499" s="3">
        <f>IMAGE("https://images.lululemon.com/is/image/lululemon/0002",1)</f>
        <v/>
      </c>
      <c r="H499" s="3">
        <f>IMAGE("https://images.lululemon.com/is/image/lululemon/62468",1)</f>
        <v/>
      </c>
      <c r="I499" s="3">
        <f>IMAGE("https://images.lululemon.com/is/image/lululemon/72757",1)</f>
        <v/>
      </c>
      <c r="J499" s="3" t="n"/>
      <c r="K499" s="3" t="n"/>
      <c r="L499" s="3" t="inlineStr">
        <is>
          <t>2, 4, 6, 8, 10, 12</t>
        </is>
      </c>
      <c r="M499" s="3" t="n">
        <v>4667</v>
      </c>
      <c r="N499" s="3" t="inlineStr">
        <is>
          <t>Rule the court. This tennis skirt's weightless pleats and built-in shorts deliver distraction-free coverage.</t>
        </is>
      </c>
      <c r="O499" s="3" t="inlineStr">
        <is>
          <t>HR-Pleated-Tennis-Skirt</t>
        </is>
      </c>
      <c r="P499" s="3" t="inlineStr">
        <is>
          <t>Yes</t>
        </is>
      </c>
      <c r="Q499" s="3" t="inlineStr">
        <is>
          <t>RePleat HR Pleated Tennis Skirt BLK 2</t>
        </is>
      </c>
      <c r="R499" s="3" t="inlineStr">
        <is>
          <t>Black, White, Raceway Green, Oxford Red</t>
        </is>
      </c>
      <c r="S499" s="3" t="inlineStr">
        <is>
          <t>Athletic Skirts, Skorts</t>
        </is>
      </c>
      <c r="T499" s="3" t="inlineStr">
        <is>
          <t>Women</t>
        </is>
      </c>
    </row>
    <row r="500" ht="80" customHeight="1">
      <c r="A500" s="2">
        <f>IMAGE("https://images.lululemon.com/is/image/lululemon/LW1AX1S_0001_1?wid=320&amp;op_usm=0.8",1)</f>
        <v/>
      </c>
      <c r="B500" s="2" t="inlineStr">
        <is>
          <t>Ebb to Street Tank Top *Light Support, B/C Cup</t>
        </is>
      </c>
      <c r="C500" s="2" t="inlineStr">
        <is>
          <t>3803597</t>
        </is>
      </c>
      <c r="D500" s="2" t="inlineStr">
        <is>
          <t>$68.00</t>
        </is>
      </c>
      <c r="E500" s="2" t="inlineStr">
        <is>
          <t>$34.00</t>
        </is>
      </c>
      <c r="F500" s="2">
        <f>IMAGE("https://images.lululemon.com/is/image/lululemon/0001",1)</f>
        <v/>
      </c>
      <c r="G500" s="2">
        <f>IMAGE("https://images.lululemon.com/is/image/lululemon/0002",1)</f>
        <v/>
      </c>
      <c r="H500" s="2">
        <f>IMAGE("https://images.lululemon.com/is/image/lululemon/71152",1)</f>
        <v/>
      </c>
      <c r="I500" s="2">
        <f>IMAGE("https://images.lululemon.com/is/image/lululemon/63787",1)</f>
        <v/>
      </c>
      <c r="J500" s="2">
        <f>IMAGE("https://images.lululemon.com/is/image/lululemon/33190",1)</f>
        <v/>
      </c>
      <c r="K500" s="2" t="n"/>
      <c r="L500" s="2" t="inlineStr">
        <is>
          <t>2, 4, 6, 8, 10, 12</t>
        </is>
      </c>
      <c r="M500" s="2" t="n">
        <v>2348</v>
      </c>
      <c r="N500" s="2" t="inlineStr">
        <is>
          <t>Seamless support. This one-and-done yoga tank is made using our seamless construction for a smooth fit and features built-in support for a fuss-free practice.</t>
        </is>
      </c>
      <c r="O500" s="2" t="inlineStr">
        <is>
          <t>Ebb-To-Street-Tank</t>
        </is>
      </c>
      <c r="P500" s="2" t="inlineStr">
        <is>
          <t>Yes</t>
        </is>
      </c>
      <c r="Q500" s="2" t="inlineStr">
        <is>
          <t>Ebb to Street Tank BLK 2</t>
        </is>
      </c>
      <c r="R500" s="2" t="inlineStr">
        <is>
          <t>Black, White, Pink Frosting, ATMOSPHERIC PURPLE, Brilliant Blue</t>
        </is>
      </c>
      <c r="S500" s="2" t="inlineStr"/>
      <c r="T500" s="2" t="inlineStr">
        <is>
          <t>Women</t>
        </is>
      </c>
    </row>
    <row r="501" ht="80" customHeight="1">
      <c r="A501" s="3">
        <f>IMAGE("https://images.lululemon.com/is/image/lululemon/LW3JLVS_0001_1?wid=320&amp;op_usm=0.8",1)</f>
        <v/>
      </c>
      <c r="B501" s="3" t="inlineStr">
        <is>
          <t>Adapted State Thermal Track Jacket</t>
        </is>
      </c>
      <c r="C501" s="3" t="inlineStr">
        <is>
          <t>158028406</t>
        </is>
      </c>
      <c r="D501" s="3" t="inlineStr">
        <is>
          <t>$148.00</t>
        </is>
      </c>
      <c r="E501" s="3" t="inlineStr">
        <is>
          <t>$74.00</t>
        </is>
      </c>
      <c r="F501" s="3">
        <f>IMAGE("https://images.lululemon.com/is/image/lululemon/0001",1)</f>
        <v/>
      </c>
      <c r="G501" s="3">
        <f>IMAGE("https://images.lululemon.com/is/image/lululemon/36865",1)</f>
        <v/>
      </c>
      <c r="H501" s="3" t="n"/>
      <c r="I501" s="3" t="n"/>
      <c r="J501" s="3" t="n"/>
      <c r="K501" s="3" t="n"/>
      <c r="L501" s="3" t="inlineStr">
        <is>
          <t>2, 4, 6, 8, 10, 12</t>
        </is>
      </c>
      <c r="M501" s="3" t="n">
        <v>1220</v>
      </c>
      <c r="N501" s="3" t="inlineStr">
        <is>
          <t>Think fast, stay warm. Made from technical thermal fabric, this version of our Adapted State jacket makes quick transitions cozier in cold weather.</t>
        </is>
      </c>
      <c r="O501" s="3" t="inlineStr">
        <is>
          <t>Adapted-State-Thermal-Track-Jacket</t>
        </is>
      </c>
      <c r="P501" s="3" t="inlineStr">
        <is>
          <t>Yes</t>
        </is>
      </c>
      <c r="Q501" s="3" t="inlineStr">
        <is>
          <t>Adapted State Thermal Track Jacket DVGY 2</t>
        </is>
      </c>
      <c r="R501" s="3" t="inlineStr">
        <is>
          <t>Black, Dove Grey</t>
        </is>
      </c>
      <c r="S501" s="3" t="inlineStr">
        <is>
          <t>Track Jackets, Athletic Jackets</t>
        </is>
      </c>
      <c r="T501" s="3" t="inlineStr">
        <is>
          <t>Women</t>
        </is>
      </c>
    </row>
    <row r="502" ht="80" customHeight="1">
      <c r="A502" s="2">
        <f>IMAGE("https://images.lululemon.com/is/image/lululemon/LW3JOXS_031382_1?wid=320&amp;op_usm=0.8",1)</f>
        <v/>
      </c>
      <c r="B502" s="2" t="inlineStr">
        <is>
          <t>Daydrift Bomber Jacket</t>
        </is>
      </c>
      <c r="C502" s="2" t="inlineStr">
        <is>
          <t>158096646</t>
        </is>
      </c>
      <c r="D502" s="2" t="inlineStr">
        <is>
          <t>$148.00</t>
        </is>
      </c>
      <c r="E502" s="2" t="inlineStr">
        <is>
          <t>$74.00</t>
        </is>
      </c>
      <c r="F502" s="2">
        <f>IMAGE("https://images.lululemon.com/is/image/lululemon/31382",1)</f>
        <v/>
      </c>
      <c r="G502" s="2" t="n"/>
      <c r="H502" s="2" t="n"/>
      <c r="I502" s="2" t="n"/>
      <c r="J502" s="2" t="n"/>
      <c r="K502" s="2" t="n"/>
      <c r="L502" s="2" t="inlineStr">
        <is>
          <t>XS, S, M, L, XL</t>
        </is>
      </c>
      <c r="M502" s="2" t="n">
        <v>440</v>
      </c>
      <c r="N502" s="2" t="inlineStr">
        <is>
          <t>Tailored look with a technical edge. This collared bomber jacket is cut from smooth, four-way stretch Luxtreme™ spacer fabric that feels sleek and cool to the touch.</t>
        </is>
      </c>
      <c r="O502" s="2" t="inlineStr">
        <is>
          <t>Daydrift-Bomber-Jacket</t>
        </is>
      </c>
      <c r="P502" s="2" t="inlineStr">
        <is>
          <t>Yes</t>
        </is>
      </c>
      <c r="Q502" s="2" t="inlineStr">
        <is>
          <t>Daydrift Bomber Jacket TRNV XS</t>
        </is>
      </c>
      <c r="R502" s="2" t="inlineStr">
        <is>
          <t>True Navy</t>
        </is>
      </c>
      <c r="S502" s="2" t="inlineStr">
        <is>
          <t>Bomber Jackets</t>
        </is>
      </c>
      <c r="T502" s="2" t="inlineStr">
        <is>
          <t>Women</t>
        </is>
      </c>
    </row>
    <row r="503" ht="80" customHeight="1">
      <c r="A503" s="3">
        <f>IMAGE("https://images.lululemon.com/is/image/lululemon/LW1FS6S_068578_1?wid=320&amp;op_usm=0.8",1)</f>
        <v/>
      </c>
      <c r="B503" s="3" t="inlineStr">
        <is>
          <t>Quick-Dry Sleeveless Polo Shirt Straight Hem *Logo</t>
        </is>
      </c>
      <c r="C503" s="3" t="inlineStr">
        <is>
          <t>157688343</t>
        </is>
      </c>
      <c r="D503" s="3" t="inlineStr">
        <is>
          <t>$68.00</t>
        </is>
      </c>
      <c r="E503" s="3" t="inlineStr">
        <is>
          <t>$34.00</t>
        </is>
      </c>
      <c r="F503" s="3">
        <f>IMAGE("https://images.lululemon.com/is/image/lululemon/68578",1)</f>
        <v/>
      </c>
      <c r="G503" s="3">
        <f>IMAGE("https://images.lululemon.com/is/image/lululemon/0002",1)</f>
        <v/>
      </c>
      <c r="H503" s="3">
        <f>IMAGE("https://images.lululemon.com/is/image/lululemon/45797",1)</f>
        <v/>
      </c>
      <c r="I503" s="3">
        <f>IMAGE("https://images.lululemon.com/is/image/lululemon/31382",1)</f>
        <v/>
      </c>
      <c r="J503" s="3" t="n"/>
      <c r="K503" s="3" t="n"/>
      <c r="L503" s="3" t="inlineStr">
        <is>
          <t>0, 2, 4, 6, 8, 10, 12</t>
        </is>
      </c>
      <c r="M503" s="3" t="n">
        <v>2456</v>
      </c>
      <c r="N503" s="3" t="inlineStr">
        <is>
          <t>Tennis serves or golf swings—whatever you're practicing, this lightweight polo shirt manages sweat so you can focus on your game.</t>
        </is>
      </c>
      <c r="O503" s="3" t="inlineStr">
        <is>
          <t>Quick-Dry-Sleeveless-Polo-Shirt-Straight-Hem-Logo</t>
        </is>
      </c>
      <c r="P503" s="3" t="inlineStr">
        <is>
          <t>Yes</t>
        </is>
      </c>
      <c r="Q503" s="3" t="inlineStr">
        <is>
          <t>Quick-Dry Sleeveless Polo *Straight Hem WHT 0</t>
        </is>
      </c>
      <c r="R503" s="3" t="inlineStr">
        <is>
          <t>Club Blue, White, Ashen Rose, True Navy</t>
        </is>
      </c>
      <c r="S503" s="3" t="inlineStr"/>
      <c r="T503" s="3" t="inlineStr">
        <is>
          <t>Women</t>
        </is>
      </c>
    </row>
    <row r="504" ht="80" customHeight="1">
      <c r="A504" s="2">
        <f>IMAGE("https://images.lululemon.com/is/image/lululemon/LW2DUGS_0001_1?wid=320&amp;op_usm=0.8",1)</f>
        <v/>
      </c>
      <c r="B504" s="2" t="inlineStr">
        <is>
          <t>lululemon Energy Bra Medium Support, B-D Cups *Evolve</t>
        </is>
      </c>
      <c r="C504" s="2" t="inlineStr">
        <is>
          <t>155780728</t>
        </is>
      </c>
      <c r="D504" s="2" t="inlineStr">
        <is>
          <t>$58.00</t>
        </is>
      </c>
      <c r="E504" s="2" t="inlineStr">
        <is>
          <t>$29.00</t>
        </is>
      </c>
      <c r="F504" s="2">
        <f>IMAGE("https://images.lululemon.com/is/image/lululemon/0001",1)</f>
        <v/>
      </c>
      <c r="G504" s="2">
        <f>IMAGE("https://images.lululemon.com/is/image/lululemon/0002",1)</f>
        <v/>
      </c>
      <c r="H504" s="2">
        <f>IMAGE("https://images.lululemon.com/is/image/lululemon/71152",1)</f>
        <v/>
      </c>
      <c r="I504" s="2">
        <f>IMAGE("https://images.lululemon.com/is/image/lululemon/35487",1)</f>
        <v/>
      </c>
      <c r="J504" s="2">
        <f>IMAGE("https://images.lululemon.com/is/image/lululemon/34697",1)</f>
        <v/>
      </c>
      <c r="K504" s="2">
        <f>IMAGE("https://images.lululemon.com/is/image/lululemon/63787",1)</f>
        <v/>
      </c>
      <c r="L504" s="2" t="inlineStr">
        <is>
          <t>XS, S, M, L, XL</t>
        </is>
      </c>
      <c r="M504" s="2" t="n">
        <v>4561</v>
      </c>
      <c r="N504" s="2" t="inlineStr">
        <is>
          <t>Your built-in support system. This versatile sports bra has a strappy back design and a comfortably supportive fit for all the ways you love to move.</t>
        </is>
      </c>
      <c r="O504" s="2" t="inlineStr">
        <is>
          <t>Energy-Bra-Medium-Support-B-D-Cups-Evolve</t>
        </is>
      </c>
      <c r="P504" s="2" t="inlineStr">
        <is>
          <t>Yes</t>
        </is>
      </c>
      <c r="Q504" s="2" t="inlineStr">
        <is>
          <t>lululemon Energy Bra *Evolve BLK XS</t>
        </is>
      </c>
      <c r="R504" s="2" t="inlineStr">
        <is>
          <t>Black, White, Pink Frosting, Palm Deco, Black Plum, Atmospheric Purple</t>
        </is>
      </c>
      <c r="S504" s="2" t="inlineStr">
        <is>
          <t>Strappy Bras, Longline Bras</t>
        </is>
      </c>
      <c r="T504" s="2" t="inlineStr">
        <is>
          <t>Women</t>
        </is>
      </c>
    </row>
    <row r="505" ht="80" customHeight="1">
      <c r="A505" s="3">
        <f>IMAGE("https://images.lululemon.com/is/image/lululemon/LW3KCQS_033454_1?wid=320&amp;op_usm=0.8",1)</f>
        <v/>
      </c>
      <c r="B505" s="3" t="inlineStr">
        <is>
          <t>Women's Steady State Crew</t>
        </is>
      </c>
      <c r="C505" s="3" t="inlineStr">
        <is>
          <t>158034631</t>
        </is>
      </c>
      <c r="D505" s="3" t="inlineStr">
        <is>
          <t>$118.00</t>
        </is>
      </c>
      <c r="E505" s="3" t="inlineStr">
        <is>
          <t>$59.00</t>
        </is>
      </c>
      <c r="F505" s="3">
        <f>IMAGE("https://images.lululemon.com/is/image/lululemon/33454",1)</f>
        <v/>
      </c>
      <c r="G505" s="3">
        <f>IMAGE("https://images.lululemon.com/is/image/lululemon/0001",1)</f>
        <v/>
      </c>
      <c r="H505" s="3">
        <f>IMAGE("https://images.lululemon.com/is/image/lululemon/0554",1)</f>
        <v/>
      </c>
      <c r="I505" s="3" t="n"/>
      <c r="J505" s="3" t="n"/>
      <c r="K505" s="3" t="n"/>
      <c r="L505" s="3" t="inlineStr">
        <is>
          <t>XXS, XS, S, M, L, XL</t>
        </is>
      </c>
      <c r="M505" s="3" t="n">
        <v>1735</v>
      </c>
      <c r="N505" s="3" t="inlineStr">
        <is>
          <t>A reimagined classic. This fleece crewneck puts softness first, so you can bring comfort wherever you go.</t>
        </is>
      </c>
      <c r="O505" s="3" t="inlineStr">
        <is>
          <t>Womens-Steady-State-Crew</t>
        </is>
      </c>
      <c r="P505" s="3" t="inlineStr">
        <is>
          <t>Yes</t>
        </is>
      </c>
      <c r="Q505" s="3" t="inlineStr">
        <is>
          <t>W Steady State Oversized Crew BLK XXS</t>
        </is>
      </c>
      <c r="R505" s="3" t="inlineStr">
        <is>
          <t>Light Ivory, Black, Grape Mist</t>
        </is>
      </c>
      <c r="S505" s="3" t="inlineStr">
        <is>
          <t>Crewneck Sweatshirts</t>
        </is>
      </c>
      <c r="T505" s="3" t="inlineStr">
        <is>
          <t>Women</t>
        </is>
      </c>
    </row>
    <row r="506" ht="80" customHeight="1">
      <c r="A506" s="2">
        <f>IMAGE("https://images.lululemon.com/is/image/lululemon/LU9CLXS_0001_1?wid=320&amp;op_usm=0.8",1)</f>
        <v/>
      </c>
      <c r="B506" s="2" t="inlineStr">
        <is>
          <t>License to Train Wide Headband</t>
        </is>
      </c>
      <c r="C506" s="2" t="inlineStr">
        <is>
          <t>153835510</t>
        </is>
      </c>
      <c r="D506" s="2" t="inlineStr">
        <is>
          <t>$18.00</t>
        </is>
      </c>
      <c r="E506" s="2" t="inlineStr">
        <is>
          <t>$9.00</t>
        </is>
      </c>
      <c r="F506" s="2">
        <f>IMAGE("https://images.lululemon.com/is/image/lululemon/0001",1)</f>
        <v/>
      </c>
      <c r="G506" s="2" t="n"/>
      <c r="H506" s="2" t="n"/>
      <c r="I506" s="2" t="n"/>
      <c r="J506" s="2" t="n"/>
      <c r="K506" s="2" t="n"/>
      <c r="L506" s="2" t="inlineStr">
        <is>
          <t>O/S</t>
        </is>
      </c>
      <c r="M506" s="2" t="n">
        <v>409</v>
      </c>
      <c r="N506" s="2" t="inlineStr">
        <is>
          <t>High performance means no distractions. Keep your hair off your face, sweat out of your eyes, and the focus on your workout with this wide headband.</t>
        </is>
      </c>
      <c r="O506" s="2" t="inlineStr">
        <is>
          <t>License-to-Train-Wide-Headband</t>
        </is>
      </c>
      <c r="P506" s="2" t="inlineStr">
        <is>
          <t>Yes</t>
        </is>
      </c>
      <c r="Q506" s="2" t="inlineStr">
        <is>
          <t>License To Train Wide Headband BLK ONE SIZE</t>
        </is>
      </c>
      <c r="R506" s="2" t="inlineStr">
        <is>
          <t>Black</t>
        </is>
      </c>
      <c r="S506" s="2" t="inlineStr">
        <is>
          <t>Headbands</t>
        </is>
      </c>
      <c r="T506" s="2" t="inlineStr">
        <is>
          <t>Women</t>
        </is>
      </c>
    </row>
    <row r="507" ht="80" customHeight="1">
      <c r="A507" s="3">
        <f>IMAGE("https://images.lululemon.com/is/image/lululemon/LW3JA6S_0001_1?wid=320&amp;op_usm=0.8",1)</f>
        <v/>
      </c>
      <c r="B507" s="3" t="inlineStr">
        <is>
          <t>Hold Tight Long-Sleeve Shirt</t>
        </is>
      </c>
      <c r="C507" s="3" t="inlineStr">
        <is>
          <t>155700584</t>
        </is>
      </c>
      <c r="D507" s="3" t="inlineStr">
        <is>
          <t>$68.00</t>
        </is>
      </c>
      <c r="E507" s="3" t="inlineStr">
        <is>
          <t>$34.00</t>
        </is>
      </c>
      <c r="F507" s="3">
        <f>IMAGE("https://images.lululemon.com/is/image/lululemon/0001",1)</f>
        <v/>
      </c>
      <c r="G507" s="3">
        <f>IMAGE("https://images.lululemon.com/is/image/lululemon/36865",1)</f>
        <v/>
      </c>
      <c r="H507" s="3" t="n"/>
      <c r="I507" s="3" t="n"/>
      <c r="J507" s="3" t="n"/>
      <c r="K507" s="3" t="n"/>
      <c r="L507" s="3" t="inlineStr">
        <is>
          <t>2, 4, 6, 8, 10, 12</t>
        </is>
      </c>
      <c r="M507" s="3" t="n">
        <v>541</v>
      </c>
      <c r="N507" s="3" t="inlineStr">
        <is>
          <t>Super soft and loves to layer. This lightweight long sleeve delivers just-right stretch and a second-skin fit that wears well on its own or as a base.</t>
        </is>
      </c>
      <c r="O507" s="3" t="inlineStr">
        <is>
          <t>Hold-Tight-Long-Sleeve</t>
        </is>
      </c>
      <c r="P507" s="3" t="inlineStr">
        <is>
          <t>Yes</t>
        </is>
      </c>
      <c r="Q507" s="3" t="inlineStr">
        <is>
          <t>Hold Tight Long Sleeve BLK 2</t>
        </is>
      </c>
      <c r="R507" s="3" t="inlineStr">
        <is>
          <t>Black, Dove Grey</t>
        </is>
      </c>
      <c r="S507" s="3" t="inlineStr"/>
      <c r="T507" s="3" t="inlineStr">
        <is>
          <t>Women</t>
        </is>
      </c>
    </row>
    <row r="508" ht="80" customHeight="1">
      <c r="A508" s="2">
        <f>IMAGE("https://images.lululemon.com/is/image/lululemon/LW5HKUS_0001_1?wid=320&amp;op_usm=0.8",1)</f>
        <v/>
      </c>
      <c r="B508" s="2" t="inlineStr">
        <is>
          <t>Satin Shine Panelled High-Rise Tight 25" *Wordmark</t>
        </is>
      </c>
      <c r="C508" s="2" t="inlineStr">
        <is>
          <t>158118996</t>
        </is>
      </c>
      <c r="D508" s="2" t="inlineStr">
        <is>
          <t>$128.00</t>
        </is>
      </c>
      <c r="E508" s="2" t="inlineStr">
        <is>
          <t>$64.00</t>
        </is>
      </c>
      <c r="F508" s="2">
        <f>IMAGE("https://images.lululemon.com/is/image/lululemon/0001",1)</f>
        <v/>
      </c>
      <c r="G508" s="2">
        <f>IMAGE("https://images.lululemon.com/is/image/lululemon/3390",1)</f>
        <v/>
      </c>
      <c r="H508" s="2" t="n"/>
      <c r="I508" s="2" t="n"/>
      <c r="J508" s="2" t="n"/>
      <c r="K508" s="2" t="n"/>
      <c r="L508" s="2" t="inlineStr">
        <is>
          <t>2, 4, 6, 8, 10, 12</t>
        </is>
      </c>
      <c r="M508" s="2" t="n">
        <v>337</v>
      </c>
      <c r="N508" s="2" t="inlineStr">
        <is>
          <t>What fast looks like. This version of our slick Satin Shine tight has contrasting matte fabric panels.</t>
        </is>
      </c>
      <c r="O508" s="2" t="inlineStr">
        <is>
          <t>Satin-Shine-Panelled-High-Rise-Tight-25-Wordmark</t>
        </is>
      </c>
      <c r="P508" s="2" t="inlineStr">
        <is>
          <t>Yes</t>
        </is>
      </c>
      <c r="Q508" s="2" t="inlineStr">
        <is>
          <t>Satin Shine Panelled Tight 25" *Wordmark BLK 2</t>
        </is>
      </c>
      <c r="R508" s="2" t="inlineStr">
        <is>
          <t>Black, Coal</t>
        </is>
      </c>
      <c r="S508" s="2" t="inlineStr">
        <is>
          <t>Athletic Pants</t>
        </is>
      </c>
      <c r="T508" s="2" t="inlineStr">
        <is>
          <t>Women</t>
        </is>
      </c>
    </row>
    <row r="509" ht="80" customHeight="1">
      <c r="A509" s="3">
        <f>IMAGE("https://images.lululemon.com/is/image/lululemon/LW3JCWS_069299_1?wid=320&amp;op_usm=0.8",1)</f>
        <v/>
      </c>
      <c r="B509" s="3" t="inlineStr">
        <is>
          <t>Court Rival Velvet Terry Tennis Jacket</t>
        </is>
      </c>
      <c r="C509" s="3" t="inlineStr">
        <is>
          <t>157707450</t>
        </is>
      </c>
      <c r="D509" s="3" t="inlineStr">
        <is>
          <t>$148.00</t>
        </is>
      </c>
      <c r="E509" s="3" t="inlineStr">
        <is>
          <t>$74.00</t>
        </is>
      </c>
      <c r="F509" s="3">
        <f>IMAGE("https://images.lululemon.com/is/image/lululemon/69299",1)</f>
        <v/>
      </c>
      <c r="G509" s="3" t="n"/>
      <c r="H509" s="3" t="n"/>
      <c r="I509" s="3" t="n"/>
      <c r="J509" s="3" t="n"/>
      <c r="K509" s="3" t="n"/>
      <c r="L509" s="3" t="inlineStr">
        <is>
          <t>M, L, XL</t>
        </is>
      </c>
      <c r="M509" s="3" t="n">
        <v>109</v>
      </c>
      <c r="N509" s="3" t="inlineStr">
        <is>
          <t>Keep your warm-up look on (match) point in this vintage-inspired tennis jacket. Piping details land the look while lightweight, quick-drying fabric keeps you comfortable.</t>
        </is>
      </c>
      <c r="O509" s="3" t="inlineStr">
        <is>
          <t>Court-Rival-Velvet-Terry-Tennis-Jacket</t>
        </is>
      </c>
      <c r="P509" s="3" t="inlineStr">
        <is>
          <t>Yes</t>
        </is>
      </c>
      <c r="Q509" s="3" t="inlineStr">
        <is>
          <t>Court Rival Velvet Terry Tennis Jacket CLBL/CLBL M</t>
        </is>
      </c>
      <c r="R509" s="3" t="inlineStr">
        <is>
          <t>Club Blue/Club Blue</t>
        </is>
      </c>
      <c r="S509" s="3" t="inlineStr">
        <is>
          <t>Athletic Jackets</t>
        </is>
      </c>
      <c r="T509" s="3" t="inlineStr">
        <is>
          <t>Women</t>
        </is>
      </c>
    </row>
    <row r="510" ht="80" customHeight="1">
      <c r="A510" s="2">
        <f>IMAGE("https://images.lululemon.com/is/image/lululemon/LW3JK3S_012826_1?wid=320&amp;op_usm=0.8",1)</f>
        <v/>
      </c>
      <c r="B510" s="2" t="inlineStr">
        <is>
          <t>Swiftly Open-Knit Golf Polo Shirt</t>
        </is>
      </c>
      <c r="C510" s="2" t="inlineStr">
        <is>
          <t>155826631</t>
        </is>
      </c>
      <c r="D510" s="2" t="inlineStr">
        <is>
          <t>$88.00</t>
        </is>
      </c>
      <c r="E510" s="2" t="inlineStr">
        <is>
          <t>$44.00</t>
        </is>
      </c>
      <c r="F510" s="2">
        <f>IMAGE("https://images.lululemon.com/is/image/lululemon/12826",1)</f>
        <v/>
      </c>
      <c r="G510" s="2" t="n"/>
      <c r="H510" s="2" t="n"/>
      <c r="I510" s="2" t="n"/>
      <c r="J510" s="2" t="n"/>
      <c r="K510" s="2" t="n"/>
      <c r="L510" s="2" t="inlineStr">
        <is>
          <t>2, 4, 6, 8, 10, 12</t>
        </is>
      </c>
      <c r="M510" s="2" t="n">
        <v>407</v>
      </c>
      <c r="N510" s="2" t="inlineStr">
        <is>
          <t>Your golf game just got a  whole lot breezier. The  open-hole knit construction of  this Swiftly polo is  breathable and airy, so you  stay cool on the course.</t>
        </is>
      </c>
      <c r="O510" s="2" t="inlineStr">
        <is>
          <t>Swiftly-Open-Knit-Golf-Polo-Shirt</t>
        </is>
      </c>
      <c r="P510" s="2" t="inlineStr">
        <is>
          <t>Yes</t>
        </is>
      </c>
      <c r="Q510" s="2" t="inlineStr">
        <is>
          <t>Swiftly Open-Knit Golf Polo WHWH 2</t>
        </is>
      </c>
      <c r="R510" s="2" t="inlineStr">
        <is>
          <t>White/White</t>
        </is>
      </c>
      <c r="S510" s="2" t="inlineStr"/>
      <c r="T510" s="2" t="inlineStr">
        <is>
          <t>Women</t>
        </is>
      </c>
    </row>
    <row r="511" ht="80" customHeight="1">
      <c r="A511" s="3">
        <f>IMAGE("https://images.lululemon.com/is/image/lululemon/LW3HYBS_0001_1?wid=320&amp;op_usm=0.8",1)</f>
        <v/>
      </c>
      <c r="B511" s="3" t="inlineStr">
        <is>
          <t>It's Rulu Long-Sleeve Shirt *Updated</t>
        </is>
      </c>
      <c r="C511" s="3" t="inlineStr">
        <is>
          <t>154826892</t>
        </is>
      </c>
      <c r="D511" s="3" t="inlineStr">
        <is>
          <t>$88.00</t>
        </is>
      </c>
      <c r="E511" s="3" t="inlineStr">
        <is>
          <t>$44.00</t>
        </is>
      </c>
      <c r="F511" s="3">
        <f>IMAGE("https://images.lululemon.com/is/image/lululemon/0001",1)</f>
        <v/>
      </c>
      <c r="G511" s="3" t="n"/>
      <c r="H511" s="3" t="n"/>
      <c r="I511" s="3" t="n"/>
      <c r="J511" s="3" t="n"/>
      <c r="K511" s="3" t="n"/>
      <c r="L511" s="3" t="inlineStr">
        <is>
          <t>XXS, XS, S, M, L, XL</t>
        </is>
      </c>
      <c r="M511" s="3" t="n">
        <v>507</v>
      </c>
      <c r="N511" s="3" t="inlineStr">
        <is>
          <t>Warm up to cold-weather workouts. This soft long sleeve wicks away sweat so you can stay comfortable when the temperature drops.</t>
        </is>
      </c>
      <c r="O511" s="3" t="inlineStr">
        <is>
          <t>Its-Rulu-Long-Sleeve-Shirt-Updated</t>
        </is>
      </c>
      <c r="P511" s="3" t="inlineStr">
        <is>
          <t>Yes</t>
        </is>
      </c>
      <c r="Q511" s="3" t="inlineStr">
        <is>
          <t>It's Rulu Long Sleeve BLK XXS</t>
        </is>
      </c>
      <c r="R511" s="3" t="inlineStr">
        <is>
          <t>Black</t>
        </is>
      </c>
      <c r="S511" s="3" t="inlineStr">
        <is>
          <t>Base Layers</t>
        </is>
      </c>
      <c r="T511" s="3" t="inlineStr">
        <is>
          <t>Women</t>
        </is>
      </c>
    </row>
    <row r="512" ht="80" customHeight="1">
      <c r="A512" s="2">
        <f>IMAGE("https://images.lululemon.com/is/image/lululemon/LW3KCRS_0001_1?wid=320&amp;op_usm=0.8",1)</f>
        <v/>
      </c>
      <c r="B512" s="2" t="inlineStr">
        <is>
          <t>Women's Steady State Oversized Hoodie</t>
        </is>
      </c>
      <c r="C512" s="2" t="inlineStr">
        <is>
          <t>158034343</t>
        </is>
      </c>
      <c r="D512" s="2" t="inlineStr">
        <is>
          <t>$128.00</t>
        </is>
      </c>
      <c r="E512" s="2" t="inlineStr">
        <is>
          <t>$64.00</t>
        </is>
      </c>
      <c r="F512" s="2">
        <f>IMAGE("https://images.lululemon.com/is/image/lululemon/0001",1)</f>
        <v/>
      </c>
      <c r="G512" s="2" t="n"/>
      <c r="H512" s="2" t="n"/>
      <c r="I512" s="2" t="n"/>
      <c r="J512" s="2" t="n"/>
      <c r="K512" s="2" t="n"/>
      <c r="L512" s="2" t="inlineStr">
        <is>
          <t>XS, S, M, L, XL</t>
        </is>
      </c>
      <c r="M512" s="2" t="n">
        <v>337</v>
      </c>
      <c r="N512" s="2" t="inlineStr">
        <is>
          <t>A reimagined classic. This fleece hoodie puts softness first, so you can bring comfort wherever you go.</t>
        </is>
      </c>
      <c r="O512" s="2" t="inlineStr">
        <is>
          <t>Womens-Steady-State-Oversized-Hoodie</t>
        </is>
      </c>
      <c r="P512" s="2" t="inlineStr">
        <is>
          <t>Yes</t>
        </is>
      </c>
      <c r="Q512" s="2" t="inlineStr">
        <is>
          <t>W Steady State Oversized Hoodie BLK XS</t>
        </is>
      </c>
      <c r="R512" s="2" t="inlineStr">
        <is>
          <t>Black</t>
        </is>
      </c>
      <c r="S512" s="2" t="inlineStr">
        <is>
          <t>Hoodies</t>
        </is>
      </c>
      <c r="T512" s="2" t="inlineStr">
        <is>
          <t>Women</t>
        </is>
      </c>
    </row>
    <row r="513" ht="80" customHeight="1">
      <c r="A513" s="3">
        <f>IMAGE("https://images.lululemon.com/is/image/lululemon/LW8ANVS_069299_1?wid=320&amp;op_usm=0.8",1)</f>
        <v/>
      </c>
      <c r="B513" s="3" t="inlineStr">
        <is>
          <t>Textured Mesh High-Rise Tennis Skirt</t>
        </is>
      </c>
      <c r="C513" s="3" t="inlineStr">
        <is>
          <t>157684338</t>
        </is>
      </c>
      <c r="D513" s="3" t="inlineStr">
        <is>
          <t>$88.00</t>
        </is>
      </c>
      <c r="E513" s="3" t="inlineStr">
        <is>
          <t>$44.00</t>
        </is>
      </c>
      <c r="F513" s="3">
        <f>IMAGE("https://images.lululemon.com/is/image/lululemon/69299",1)</f>
        <v/>
      </c>
      <c r="G513" s="3" t="n"/>
      <c r="H513" s="3" t="n"/>
      <c r="I513" s="3" t="n"/>
      <c r="J513" s="3" t="n"/>
      <c r="K513" s="3" t="n"/>
      <c r="L513" s="3" t="inlineStr">
        <is>
          <t>XS, S, M, L, XL</t>
        </is>
      </c>
      <c r="M513" s="3" t="n">
        <v>137</v>
      </c>
      <c r="N513" s="3" t="inlineStr">
        <is>
          <t>Textural advantage. Cut from  diamond-patterned mesh fabric,  this high-rise tennis skirt  scores points on and off the  court.</t>
        </is>
      </c>
      <c r="O513" s="3" t="inlineStr">
        <is>
          <t>Textured-Mesh-High-Rise-Tennis-Skirt</t>
        </is>
      </c>
      <c r="P513" s="3" t="inlineStr">
        <is>
          <t>Yes</t>
        </is>
      </c>
      <c r="Q513" s="3" t="inlineStr">
        <is>
          <t>Textured Mesh Tennis Skirt CLBL/CLBL XS</t>
        </is>
      </c>
      <c r="R513" s="3" t="inlineStr">
        <is>
          <t>Club Blue/Club Blue</t>
        </is>
      </c>
      <c r="S513" s="3" t="inlineStr">
        <is>
          <t>Athletic Skirts</t>
        </is>
      </c>
      <c r="T513" s="3" t="inlineStr">
        <is>
          <t>Women</t>
        </is>
      </c>
    </row>
    <row r="514" ht="80" customHeight="1">
      <c r="A514" s="2">
        <f>IMAGE("https://images.lululemon.com/is/image/lululemon/LW8ALWS_0002_1?wid=320&amp;op_usm=0.8",1)</f>
        <v/>
      </c>
      <c r="B514" s="2" t="inlineStr">
        <is>
          <t>lululemon Align™ High-Rise Skirt</t>
        </is>
      </c>
      <c r="C514" s="2" t="inlineStr">
        <is>
          <t>153104641</t>
        </is>
      </c>
      <c r="D514" s="2" t="inlineStr">
        <is>
          <t>$78.00</t>
        </is>
      </c>
      <c r="E514" s="2" t="inlineStr">
        <is>
          <t>$39.00</t>
        </is>
      </c>
      <c r="F514" s="2">
        <f>IMAGE("https://images.lululemon.com/is/image/lululemon/0002",1)</f>
        <v/>
      </c>
      <c r="G514" s="2">
        <f>IMAGE("https://images.lululemon.com/is/image/lululemon/0001",1)</f>
        <v/>
      </c>
      <c r="H514" s="2">
        <f>IMAGE("https://images.lululemon.com/is/image/lululemon/31382",1)</f>
        <v/>
      </c>
      <c r="I514" s="2">
        <f>IMAGE("https://images.lululemon.com/is/image/lululemon/71152",1)</f>
        <v/>
      </c>
      <c r="J514" s="2">
        <f>IMAGE("https://images.lululemon.com/is/image/lululemon/21363",1)</f>
        <v/>
      </c>
      <c r="K514" s="2">
        <f>IMAGE("https://images.lululemon.com/is/image/lululemon/0554",1)</f>
        <v/>
      </c>
      <c r="L514" s="2" t="inlineStr">
        <is>
          <t>0, 2, 4, 6, 8, 10, 12, 14</t>
        </is>
      </c>
      <c r="M514" s="2" t="n">
        <v>4155</v>
      </c>
      <c r="N514" s="2" t="inlineStr">
        <is>
          <t>When feeling nothing is everything. Get the buttery-softness of lululemon Align™ in this skirt that has a built-in shorts liner.</t>
        </is>
      </c>
      <c r="O514" s="2" t="inlineStr">
        <is>
          <t>lululemon-Align-High-Rise-Skirt</t>
        </is>
      </c>
      <c r="P514" s="2" t="inlineStr">
        <is>
          <t>Yes</t>
        </is>
      </c>
      <c r="Q514" s="2" t="inlineStr">
        <is>
          <t>lululemon Align™ High-Rise Skirt BLK 0</t>
        </is>
      </c>
      <c r="R514" s="2" t="inlineStr">
        <is>
          <t>White, Black, True Navy, Pink Frosting, Berry Rumble, Grape Mist</t>
        </is>
      </c>
      <c r="S514" s="2" t="inlineStr">
        <is>
          <t>Skorts</t>
        </is>
      </c>
      <c r="T514" s="2" t="inlineStr">
        <is>
          <t>Women</t>
        </is>
      </c>
    </row>
    <row r="515" ht="80" customHeight="1">
      <c r="A515" s="3">
        <f>IMAGE("https://images.lululemon.com/is/image/lululemon/LW3JR1S_068839_1?wid=320&amp;op_usm=0.8",1)</f>
        <v/>
      </c>
      <c r="B515" s="3" t="inlineStr">
        <is>
          <t>Cotton Terry Tennis Half Zip</t>
        </is>
      </c>
      <c r="C515" s="3" t="inlineStr">
        <is>
          <t>156626070</t>
        </is>
      </c>
      <c r="D515" s="3" t="inlineStr">
        <is>
          <t>$118.00</t>
        </is>
      </c>
      <c r="E515" s="3" t="inlineStr">
        <is>
          <t>$59.00</t>
        </is>
      </c>
      <c r="F515" s="3">
        <f>IMAGE("https://images.lululemon.com/is/image/lululemon/68839",1)</f>
        <v/>
      </c>
      <c r="G515" s="3">
        <f>IMAGE("https://images.lululemon.com/is/image/lululemon/0001",1)</f>
        <v/>
      </c>
      <c r="H515" s="3">
        <f>IMAGE("https://images.lululemon.com/is/image/lululemon/0002",1)</f>
        <v/>
      </c>
      <c r="I515" s="3" t="n"/>
      <c r="J515" s="3" t="n"/>
      <c r="K515" s="3" t="n"/>
      <c r="L515" s="3" t="inlineStr">
        <is>
          <t>XXS, XS, S, M, L, XL</t>
        </is>
      </c>
      <c r="M515" s="3" t="n">
        <v>615</v>
      </c>
      <c r="N515" s="3" t="inlineStr">
        <is>
          <t>Racket optional. Made from cotton terry fabric, this cropped tennis half zip feels soft and cozy whether you're hitting balls or taking a rest day.</t>
        </is>
      </c>
      <c r="O515" s="3" t="inlineStr">
        <is>
          <t>Cotton-Terry-Tennis-Half-Zip</t>
        </is>
      </c>
      <c r="P515" s="3" t="inlineStr">
        <is>
          <t>Yes</t>
        </is>
      </c>
      <c r="Q515" s="3" t="inlineStr">
        <is>
          <t>Cotton Terry Tennis Half Zip WHT XXS</t>
        </is>
      </c>
      <c r="R515" s="3" t="inlineStr">
        <is>
          <t>Starch Blue, Black, White</t>
        </is>
      </c>
      <c r="S515" s="3" t="inlineStr">
        <is>
          <t>Half Zip Sweatshirts, Quarter Zip Sweatshirts</t>
        </is>
      </c>
      <c r="T515" s="3" t="inlineStr">
        <is>
          <t>Women</t>
        </is>
      </c>
    </row>
    <row r="516" ht="80" customHeight="1">
      <c r="A516" s="2">
        <f>IMAGE("https://images.lululemon.com/is/image/lululemon/LW3JFKS_0001_1?wid=320&amp;op_usm=0.8",1)</f>
        <v/>
      </c>
      <c r="B516" s="2" t="inlineStr">
        <is>
          <t>Softstreme Crewneck Oversized Pullover</t>
        </is>
      </c>
      <c r="C516" s="2" t="inlineStr">
        <is>
          <t>155853101</t>
        </is>
      </c>
      <c r="D516" s="2" t="inlineStr">
        <is>
          <t>$128.00</t>
        </is>
      </c>
      <c r="E516" s="2" t="inlineStr">
        <is>
          <t>$64.00</t>
        </is>
      </c>
      <c r="F516" s="2">
        <f>IMAGE("https://images.lululemon.com/is/image/lululemon/0001",1)</f>
        <v/>
      </c>
      <c r="G516" s="2">
        <f>IMAGE("https://images.lululemon.com/is/image/lululemon/70144",1)</f>
        <v/>
      </c>
      <c r="H516" s="2">
        <f>IMAGE("https://images.lululemon.com/is/image/lululemon/35487",1)</f>
        <v/>
      </c>
      <c r="I516" s="2">
        <f>IMAGE("https://images.lululemon.com/is/image/lululemon/0554",1)</f>
        <v/>
      </c>
      <c r="J516" s="2">
        <f>IMAGE("https://images.lululemon.com/is/image/lululemon/36865",1)</f>
        <v/>
      </c>
      <c r="K516" s="2" t="n"/>
      <c r="L516" s="2" t="inlineStr">
        <is>
          <t>XS, S, M, L, XL</t>
        </is>
      </c>
      <c r="M516" s="2" t="n">
        <v>4350</v>
      </c>
      <c r="N516" s="2" t="inlineStr">
        <is>
          <t>Feel it to believe it. This drapey, oversized pullover is peach-fuzz soft on the outside with a cool, smooth feel next to skin.</t>
        </is>
      </c>
      <c r="O516" s="2" t="inlineStr">
        <is>
          <t>Softstreme-Crewneck-Oversized-Pullover</t>
        </is>
      </c>
      <c r="P516" s="2" t="inlineStr">
        <is>
          <t>Yes</t>
        </is>
      </c>
      <c r="Q516" s="2" t="inlineStr">
        <is>
          <t>Softstreme™ Oversized Crewneck Pullover BLK XS</t>
        </is>
      </c>
      <c r="R516" s="2" t="inlineStr">
        <is>
          <t>Black, Fog Green, Palm Deco, Grape Mist, Dove Grey</t>
        </is>
      </c>
      <c r="S516" s="2" t="inlineStr">
        <is>
          <t>Crewneck Sweatshirts</t>
        </is>
      </c>
      <c r="T516" s="2" t="inlineStr">
        <is>
          <t>Women</t>
        </is>
      </c>
    </row>
    <row r="517" ht="80" customHeight="1">
      <c r="A517" s="3">
        <f>IMAGE("https://images.lululemon.com/is/image/lululemon/LW9EPBS_0002_1?wid=320&amp;op_usm=0.8",1)</f>
        <v/>
      </c>
      <c r="B517" s="3" t="inlineStr">
        <is>
          <t>Women's MacroPillow Crew Running Socks *Medium Cushioning</t>
        </is>
      </c>
      <c r="C517" s="3" t="inlineStr">
        <is>
          <t>147004130</t>
        </is>
      </c>
      <c r="D517" s="3" t="inlineStr">
        <is>
          <t>$24.00</t>
        </is>
      </c>
      <c r="E517" s="3" t="inlineStr">
        <is>
          <t>$12.00</t>
        </is>
      </c>
      <c r="F517" s="3">
        <f>IMAGE("https://images.lululemon.com/is/image/lululemon/0002",1)</f>
        <v/>
      </c>
      <c r="G517" s="3" t="n"/>
      <c r="H517" s="3" t="n"/>
      <c r="I517" s="3" t="n"/>
      <c r="J517" s="3" t="n"/>
      <c r="K517" s="3" t="n"/>
      <c r="L517" s="3" t="inlineStr">
        <is>
          <t>S, M, L</t>
        </is>
      </c>
      <c r="M517" s="3" t="n">
        <v>138</v>
      </c>
      <c r="N517" s="3" t="inlineStr">
        <is>
          <t>We mapped the movement and impact of a runner's foot to create these socks that cushion, hug, and breathe in all the right places.</t>
        </is>
      </c>
      <c r="O517" s="3" t="inlineStr">
        <is>
          <t>MacroPillow-Crew-Sock-W</t>
        </is>
      </c>
      <c r="P517" s="3" t="inlineStr">
        <is>
          <t>Yes</t>
        </is>
      </c>
      <c r="Q517" s="3" t="inlineStr">
        <is>
          <t>MacroPillow™ Crew Socks WHT S</t>
        </is>
      </c>
      <c r="R517" s="3" t="inlineStr">
        <is>
          <t>White</t>
        </is>
      </c>
      <c r="S517" s="3" t="inlineStr">
        <is>
          <t>Crew Socks</t>
        </is>
      </c>
      <c r="T517" s="3" t="inlineStr">
        <is>
          <t>Women</t>
        </is>
      </c>
    </row>
    <row r="518" ht="80" customHeight="1">
      <c r="A518" s="2">
        <f>IMAGE("https://images.lululemon.com/is/image/lululemon/LW2EKSS_031382_1?wid=320&amp;op_usm=0.8",1)</f>
        <v/>
      </c>
      <c r="B518" s="2" t="inlineStr">
        <is>
          <t>Wunder Train Mesh-Back Bra *Medium Support, B/C Cup</t>
        </is>
      </c>
      <c r="C518" s="2" t="inlineStr">
        <is>
          <t>158019887</t>
        </is>
      </c>
      <c r="D518" s="2" t="inlineStr">
        <is>
          <t>$58.00</t>
        </is>
      </c>
      <c r="E518" s="2" t="inlineStr">
        <is>
          <t>$29.00</t>
        </is>
      </c>
      <c r="F518" s="2">
        <f>IMAGE("https://images.lululemon.com/is/image/lululemon/31382",1)</f>
        <v/>
      </c>
      <c r="G518" s="2" t="n"/>
      <c r="H518" s="2" t="n"/>
      <c r="I518" s="2" t="n"/>
      <c r="J518" s="2" t="n"/>
      <c r="K518" s="2" t="n"/>
      <c r="L518" s="2" t="inlineStr">
        <is>
          <t>2, 4, 6, 8, 10, 12</t>
        </is>
      </c>
      <c r="M518" s="2" t="n">
        <v>153</v>
      </c>
      <c r="N518" s="2" t="inlineStr">
        <is>
          <t>Train hard, not hot. This sports bra gives you the perfect combination of support and ventilation with highly breathable Everlux™ fabric and a mesh racerback design.</t>
        </is>
      </c>
      <c r="O518" s="2" t="inlineStr">
        <is>
          <t>Wunder-Train-Mesh-Back-Bra-Medium-Support-BC-Cup</t>
        </is>
      </c>
      <c r="P518" s="2" t="inlineStr">
        <is>
          <t>Yes</t>
        </is>
      </c>
      <c r="Q518" s="2" t="inlineStr">
        <is>
          <t>Wunder Train Mesh-Back Bra TRNV 2</t>
        </is>
      </c>
      <c r="R518" s="2" t="inlineStr">
        <is>
          <t>True Navy</t>
        </is>
      </c>
      <c r="S518" s="2" t="inlineStr">
        <is>
          <t>Longline Bras</t>
        </is>
      </c>
      <c r="T518" s="2" t="inlineStr">
        <is>
          <t>Women</t>
        </is>
      </c>
    </row>
    <row r="519" ht="80" customHeight="1">
      <c r="A519" s="3">
        <f>IMAGE("https://images.lululemon.com/is/image/lululemon/LW8AOIS_031382_1?wid=320&amp;op_usm=0.8",1)</f>
        <v/>
      </c>
      <c r="B519" s="3" t="inlineStr">
        <is>
          <t>Stretch Twill Front Pleat Golf Skirt</t>
        </is>
      </c>
      <c r="C519" s="3" t="inlineStr">
        <is>
          <t>155703009</t>
        </is>
      </c>
      <c r="D519" s="3" t="inlineStr">
        <is>
          <t>$98.00</t>
        </is>
      </c>
      <c r="E519" s="3" t="inlineStr">
        <is>
          <t>$49.00</t>
        </is>
      </c>
      <c r="F519" s="3">
        <f>IMAGE("https://images.lululemon.com/is/image/lululemon/31382",1)</f>
        <v/>
      </c>
      <c r="G519" s="3">
        <f>IMAGE("https://images.lululemon.com/is/image/lululemon/0001",1)</f>
        <v/>
      </c>
      <c r="H519" s="3">
        <f>IMAGE("https://images.lululemon.com/is/image/lululemon/68578",1)</f>
        <v/>
      </c>
      <c r="I519" s="3">
        <f>IMAGE("https://images.lululemon.com/is/image/lululemon/45797",1)</f>
        <v/>
      </c>
      <c r="J519" s="3" t="n"/>
      <c r="K519" s="3" t="n"/>
      <c r="L519" s="3" t="inlineStr">
        <is>
          <t>24, 25, 26, 27, 28, 29, 30, 31, 32, 33</t>
        </is>
      </c>
      <c r="M519" s="3" t="n">
        <v>1346</v>
      </c>
      <c r="N519" s="3" t="inlineStr">
        <is>
          <t>Stay cool on the course—this stretchy golf skirt has a sweat-wicking liner for coverage whether you're stretching or crouching down to get your ball.</t>
        </is>
      </c>
      <c r="O519" s="3" t="inlineStr">
        <is>
          <t>Stretch-Twill-Front-Pleat-Golf-Skirt</t>
        </is>
      </c>
      <c r="P519" s="3" t="inlineStr">
        <is>
          <t>Yes</t>
        </is>
      </c>
      <c r="Q519" s="3" t="inlineStr">
        <is>
          <t>Stretch Twill Front Pleat Golf Skirt TRNV 24</t>
        </is>
      </c>
      <c r="R519" s="3" t="inlineStr">
        <is>
          <t>True Navy, Black, Club Blue, Ashen Rose</t>
        </is>
      </c>
      <c r="S519" s="3" t="inlineStr">
        <is>
          <t>Athletic Skirts, Skorts</t>
        </is>
      </c>
      <c r="T519" s="3" t="inlineStr">
        <is>
          <t>Women</t>
        </is>
      </c>
    </row>
    <row r="520" ht="80" customHeight="1">
      <c r="A520" s="2">
        <f>IMAGE("https://images.lululemon.com/is/image/lululemon/LW1FQSS_0001_1?wid=320&amp;op_usm=0.8",1)</f>
        <v/>
      </c>
      <c r="B520" s="2" t="inlineStr">
        <is>
          <t>Satin Shine Tank Top Medium Support, B/C Cup *Wordmark</t>
        </is>
      </c>
      <c r="C520" s="2" t="inlineStr">
        <is>
          <t>158023205</t>
        </is>
      </c>
      <c r="D520" s="2" t="inlineStr">
        <is>
          <t>$78.00</t>
        </is>
      </c>
      <c r="E520" s="2" t="inlineStr">
        <is>
          <t>$39.00</t>
        </is>
      </c>
      <c r="F520" s="2">
        <f>IMAGE("https://images.lululemon.com/is/image/lululemon/0001",1)</f>
        <v/>
      </c>
      <c r="G520" s="2">
        <f>IMAGE("https://images.lululemon.com/is/image/lululemon/3390",1)</f>
        <v/>
      </c>
      <c r="H520" s="2" t="n"/>
      <c r="I520" s="2" t="n"/>
      <c r="J520" s="2" t="n"/>
      <c r="K520" s="2" t="n"/>
      <c r="L520" s="2" t="inlineStr">
        <is>
          <t>2, 4, 6, 8, 10, 12</t>
        </is>
      </c>
      <c r="M520" s="2" t="n">
        <v>421</v>
      </c>
      <c r="N520" s="2" t="inlineStr">
        <is>
          <t>What fast looks like. Quick-drying, technical fabric gives this tank a satiny sheen while a shelf-bra and racerback streamline the look.</t>
        </is>
      </c>
      <c r="O520" s="2" t="inlineStr">
        <is>
          <t>Satin-Shine-Tank-Top-Medium-Support-BC-Wordmark</t>
        </is>
      </c>
      <c r="P520" s="2" t="inlineStr">
        <is>
          <t>Yes</t>
        </is>
      </c>
      <c r="Q520" s="2" t="inlineStr">
        <is>
          <t>Satin Shine Tank *Wordmark BLK 2</t>
        </is>
      </c>
      <c r="R520" s="2" t="inlineStr">
        <is>
          <t>Black, Coal</t>
        </is>
      </c>
      <c r="S520" s="2" t="inlineStr"/>
      <c r="T520" s="2" t="inlineStr">
        <is>
          <t>Women</t>
        </is>
      </c>
    </row>
    <row r="521" ht="80" customHeight="1">
      <c r="A521" s="3">
        <f>IMAGE("https://images.lululemon.com/is/image/lululemon/LW3HL7S_0002_1?wid=320&amp;op_usm=0.8",1)</f>
        <v/>
      </c>
      <c r="B521" s="3" t="inlineStr">
        <is>
          <t>Quick-Dry Short-Sleeve Polo Shirt *Straight Hem</t>
        </is>
      </c>
      <c r="C521" s="3" t="inlineStr">
        <is>
          <t>155827588</t>
        </is>
      </c>
      <c r="D521" s="3" t="inlineStr">
        <is>
          <t>$78.00</t>
        </is>
      </c>
      <c r="E521" s="3" t="inlineStr">
        <is>
          <t>$39.00</t>
        </is>
      </c>
      <c r="F521" s="3">
        <f>IMAGE("https://images.lululemon.com/is/image/lululemon/0002",1)</f>
        <v/>
      </c>
      <c r="G521" s="3">
        <f>IMAGE("https://images.lululemon.com/is/image/lululemon/62187",1)</f>
        <v/>
      </c>
      <c r="H521" s="3">
        <f>IMAGE("https://images.lululemon.com/is/image/lululemon/0001",1)</f>
        <v/>
      </c>
      <c r="I521" s="3">
        <f>IMAGE("https://images.lululemon.com/is/image/lululemon/70774",1)</f>
        <v/>
      </c>
      <c r="J521" s="3">
        <f>IMAGE("https://images.lululemon.com/is/image/lululemon/68578",1)</f>
        <v/>
      </c>
      <c r="K521" s="3" t="n"/>
      <c r="L521" s="3" t="inlineStr">
        <is>
          <t>2, 4, 6, 8, 10, 12, 14</t>
        </is>
      </c>
      <c r="M521" s="3" t="n">
        <v>2926</v>
      </c>
      <c r="N521" s="3" t="inlineStr">
        <is>
          <t>Tennis serves or golf swings—whatever you're practicing, this lightweight polo shirt manages sweat so you can focus on your game.</t>
        </is>
      </c>
      <c r="O521" s="3" t="inlineStr">
        <is>
          <t>Quick-Dry-Short-Sleeve-Polo-Shirt-Straight-Hem</t>
        </is>
      </c>
      <c r="P521" s="3" t="inlineStr">
        <is>
          <t>Yes</t>
        </is>
      </c>
      <c r="Q521" s="3" t="inlineStr">
        <is>
          <t>Quick-Dry Short Sleeve Polo*Straight Hem HRBA 2</t>
        </is>
      </c>
      <c r="R521" s="3" t="inlineStr">
        <is>
          <t>White, Herbal, Black, Diamond Spot White Starch Blue, Club Blue</t>
        </is>
      </c>
      <c r="S521" s="3" t="inlineStr"/>
      <c r="T521" s="3" t="inlineStr">
        <is>
          <t>Women</t>
        </is>
      </c>
    </row>
    <row r="522" ht="80" customHeight="1">
      <c r="A522" s="2">
        <f>IMAGE("https://images.lululemon.com/is/image/lululemon/LW3JP9S_020392_1?wid=320&amp;op_usm=0.8",1)</f>
        <v/>
      </c>
      <c r="B522" s="2" t="inlineStr">
        <is>
          <t>Softstreme Pique Oversized Long-Sleeve Polo Shirt</t>
        </is>
      </c>
      <c r="C522" s="2" t="inlineStr">
        <is>
          <t>157705750</t>
        </is>
      </c>
      <c r="D522" s="2" t="inlineStr">
        <is>
          <t>$138.00</t>
        </is>
      </c>
      <c r="E522" s="2" t="inlineStr">
        <is>
          <t>$69.00</t>
        </is>
      </c>
      <c r="F522" s="2">
        <f>IMAGE("https://images.lululemon.com/is/image/lululemon/20392",1)</f>
        <v/>
      </c>
      <c r="G522" s="2" t="n"/>
      <c r="H522" s="2" t="n"/>
      <c r="I522" s="2" t="n"/>
      <c r="J522" s="2" t="n"/>
      <c r="K522" s="2" t="n"/>
      <c r="L522" s="2" t="inlineStr">
        <is>
          <t>S, M, L, XL</t>
        </is>
      </c>
      <c r="M522" s="2" t="n">
        <v>199</v>
      </c>
      <c r="N522" s="2" t="inlineStr">
        <is>
          <t>Relax for real. Cut from a textured version of our drapey Softstreme™ fabric, this oversized long-sleeve polo takes rest days seriously.</t>
        </is>
      </c>
      <c r="O522" s="2" t="inlineStr">
        <is>
          <t>Softstreme-Pique-Oversized-Long-Sleeve-Polo-Shirt</t>
        </is>
      </c>
      <c r="P522" s="2" t="inlineStr">
        <is>
          <t>Yes</t>
        </is>
      </c>
      <c r="Q522" s="2" t="inlineStr">
        <is>
          <t>Softstreme Pique Oversized LS Polo MINK S</t>
        </is>
      </c>
      <c r="R522" s="2" t="inlineStr">
        <is>
          <t>Mink Berry</t>
        </is>
      </c>
      <c r="S522" s="2" t="inlineStr"/>
      <c r="T522" s="2" t="inlineStr">
        <is>
          <t>Women</t>
        </is>
      </c>
    </row>
    <row r="523" ht="80" customHeight="1">
      <c r="A523" s="3">
        <f>IMAGE("https://images.lululemon.com/is/image/lululemon/LW6CLQS_031382_1?wid=320&amp;op_usm=0.8",1)</f>
        <v/>
      </c>
      <c r="B523" s="3" t="inlineStr">
        <is>
          <t>Fast and Free High-Rise Crop 23" *5 Pocket</t>
        </is>
      </c>
      <c r="C523" s="3" t="inlineStr">
        <is>
          <t>146055380</t>
        </is>
      </c>
      <c r="D523" s="3" t="inlineStr">
        <is>
          <t>$128.00</t>
        </is>
      </c>
      <c r="E523" s="3" t="inlineStr">
        <is>
          <t>$64.00</t>
        </is>
      </c>
      <c r="F523" s="3">
        <f>IMAGE("https://images.lululemon.com/is/image/lululemon/31382",1)</f>
        <v/>
      </c>
      <c r="G523" s="3" t="n"/>
      <c r="H523" s="3" t="n"/>
      <c r="I523" s="3" t="n"/>
      <c r="J523" s="3" t="n"/>
      <c r="K523" s="3" t="n"/>
      <c r="L523" s="3" t="inlineStr">
        <is>
          <t>2, 4, 8, 10, 12</t>
        </is>
      </c>
      <c r="M523" s="3" t="n">
        <v>45</v>
      </c>
      <c r="N523" s="3" t="inlineStr">
        <is>
          <t>Set your run free. This five-pocket version of our Fast and Free crop has seam-free inner thighs and a streamlined waistband to maximize that smooth, weightless feeling.</t>
        </is>
      </c>
      <c r="O523" s="3" t="inlineStr">
        <is>
          <t>Nulux-5-Pocket-HR-Running-Crop-23-Ref</t>
        </is>
      </c>
      <c r="P523" s="3" t="inlineStr">
        <is>
          <t>Yes</t>
        </is>
      </c>
      <c r="Q523" s="3" t="inlineStr">
        <is>
          <t>Fast and Free HR Crop 23" *Pockets TRNV 2</t>
        </is>
      </c>
      <c r="R523" s="3" t="inlineStr">
        <is>
          <t>True Navy</t>
        </is>
      </c>
      <c r="S523" s="3" t="inlineStr"/>
      <c r="T523" s="3" t="inlineStr">
        <is>
          <t>Women</t>
        </is>
      </c>
    </row>
    <row r="524" ht="80" customHeight="1">
      <c r="A524" s="2">
        <f>IMAGE("https://images.lululemon.com/is/image/lululemon/LW3IHGS_033454_1?wid=320&amp;op_usm=0.8",1)</f>
        <v/>
      </c>
      <c r="B524" s="2" t="inlineStr">
        <is>
          <t>It's Rulu Fleece Half Zip</t>
        </is>
      </c>
      <c r="C524" s="2" t="inlineStr">
        <is>
          <t>158028893</t>
        </is>
      </c>
      <c r="D524" s="2" t="inlineStr">
        <is>
          <t>$118.00</t>
        </is>
      </c>
      <c r="E524" s="2" t="inlineStr">
        <is>
          <t>$59.00</t>
        </is>
      </c>
      <c r="F524" s="2">
        <f>IMAGE("https://images.lululemon.com/is/image/lululemon/33454",1)</f>
        <v/>
      </c>
      <c r="G524" s="2" t="n"/>
      <c r="H524" s="2" t="n"/>
      <c r="I524" s="2" t="n"/>
      <c r="J524" s="2" t="n"/>
      <c r="K524" s="2" t="n"/>
      <c r="L524" s="2" t="inlineStr">
        <is>
          <t>2, 4, 6, 8, 10, 12</t>
        </is>
      </c>
      <c r="M524" s="2" t="n">
        <v>247</v>
      </c>
      <c r="N524" s="2" t="inlineStr">
        <is>
          <t>Restore your body and mind in this cozy half-zip pullover. Soft, stretchy fabric lets you warm up, cool down, or simply relax in comfort.</t>
        </is>
      </c>
      <c r="O524" s="2" t="inlineStr">
        <is>
          <t>Rulu-Fleece-Half-Zip</t>
        </is>
      </c>
      <c r="P524" s="2" t="inlineStr">
        <is>
          <t>Yes</t>
        </is>
      </c>
      <c r="Q524" s="2" t="inlineStr">
        <is>
          <t>It's Rulu Fleece Half Zip LTIV 2</t>
        </is>
      </c>
      <c r="R524" s="2" t="inlineStr">
        <is>
          <t>Light Ivory</t>
        </is>
      </c>
      <c r="S524" s="2" t="inlineStr">
        <is>
          <t>Half Zip Sweatshirts, Quarter Zip Sweatshirts</t>
        </is>
      </c>
      <c r="T524" s="2" t="inlineStr">
        <is>
          <t>Women</t>
        </is>
      </c>
    </row>
    <row r="525" ht="80" customHeight="1">
      <c r="A525" s="3">
        <f>IMAGE("https://images.lululemon.com/is/image/lululemon/LW3JPMS_072747_1?wid=320&amp;op_usm=0.8",1)</f>
        <v/>
      </c>
      <c r="B525" s="3" t="inlineStr">
        <is>
          <t>Define Cropped Jacket *Herringbone</t>
        </is>
      </c>
      <c r="C525" s="3" t="inlineStr">
        <is>
          <t>158027968</t>
        </is>
      </c>
      <c r="D525" s="3" t="inlineStr">
        <is>
          <t>$138.00</t>
        </is>
      </c>
      <c r="E525" s="3" t="inlineStr">
        <is>
          <t>$69.00</t>
        </is>
      </c>
      <c r="F525" s="3">
        <f>IMAGE("https://images.lululemon.com/is/image/lululemon/72747",1)</f>
        <v/>
      </c>
      <c r="G525" s="3">
        <f>IMAGE("https://images.lululemon.com/is/image/lululemon/72746",1)</f>
        <v/>
      </c>
      <c r="H525" s="3" t="n"/>
      <c r="I525" s="3" t="n"/>
      <c r="J525" s="3" t="n"/>
      <c r="K525" s="3" t="n"/>
      <c r="L525" s="3" t="inlineStr">
        <is>
          <t>2, 4, 6, 8, 10, 12, 14</t>
        </is>
      </c>
      <c r="M525" s="3" t="n">
        <v>2512</v>
      </c>
      <c r="N525" s="3" t="inlineStr">
        <is>
          <t>Whether you're up for adventure or ready for downtime, this herringbone version of our Define Cropped Jacket has a feel-good fit that can do it all.</t>
        </is>
      </c>
      <c r="O525" s="3" t="inlineStr">
        <is>
          <t>Define-Cropped-Jacket-Herringbone</t>
        </is>
      </c>
      <c r="P525" s="3" t="inlineStr">
        <is>
          <t>Yes</t>
        </is>
      </c>
      <c r="Q525" s="3" t="inlineStr">
        <is>
          <t>Define Cropped Jacket *Herringbone HHBD 2</t>
        </is>
      </c>
      <c r="R525" s="3" t="inlineStr">
        <is>
          <t>Heathered Herringbone Heathered Deep Coal Black, Heathered Herringbone Heathered Black Dove Grey</t>
        </is>
      </c>
      <c r="S525" s="3" t="inlineStr">
        <is>
          <t>Zip Up Sweatshirts</t>
        </is>
      </c>
      <c r="T525" s="3" t="inlineStr">
        <is>
          <t>Women</t>
        </is>
      </c>
    </row>
    <row r="526" ht="80" customHeight="1">
      <c r="A526" s="2">
        <f>IMAGE("https://images.lululemon.com/is/image/lululemon/LU9DO6S_0002_1?wid=320&amp;op_usm=0.8",1)</f>
        <v/>
      </c>
      <c r="B526" s="2" t="inlineStr">
        <is>
          <t>Unisex Daily Essential Quarter Socks</t>
        </is>
      </c>
      <c r="C526" s="2" t="inlineStr">
        <is>
          <t>157768510</t>
        </is>
      </c>
      <c r="D526" s="2" t="inlineStr">
        <is>
          <t>$14.00</t>
        </is>
      </c>
      <c r="E526" s="2" t="inlineStr">
        <is>
          <t>$7.00</t>
        </is>
      </c>
      <c r="F526" s="2">
        <f>IMAGE("https://images.lululemon.com/is/image/lululemon/0002",1)</f>
        <v/>
      </c>
      <c r="G526" s="2">
        <f>IMAGE("https://images.lululemon.com/is/image/lululemon/0001",1)</f>
        <v/>
      </c>
      <c r="H526" s="2" t="n"/>
      <c r="I526" s="2" t="n"/>
      <c r="J526" s="2" t="n"/>
      <c r="K526" s="2" t="n"/>
      <c r="L526" s="2" t="inlineStr">
        <is>
          <t>S, M, L, XL</t>
        </is>
      </c>
      <c r="M526" s="2" t="n">
        <v>416</v>
      </c>
      <c r="N526" s="2" t="inlineStr">
        <is>
          <t>Top drawer comfort. These soft cotton socks combine integrated arch support and plush cushioning.</t>
        </is>
      </c>
      <c r="O526" s="2" t="inlineStr">
        <is>
          <t>Unisex-Daily-Essential-Quarter-Socks</t>
        </is>
      </c>
      <c r="P526" s="2" t="inlineStr">
        <is>
          <t>Yes</t>
        </is>
      </c>
      <c r="Q526" s="2" t="inlineStr">
        <is>
          <t>Daily Essential Socks WHT S</t>
        </is>
      </c>
      <c r="R526" s="2" t="inlineStr">
        <is>
          <t>White, Black</t>
        </is>
      </c>
      <c r="S526" s="2" t="inlineStr">
        <is>
          <t>Quarter Socks</t>
        </is>
      </c>
      <c r="T526" s="2" t="inlineStr">
        <is>
          <t>Women</t>
        </is>
      </c>
    </row>
    <row r="527" ht="80" customHeight="1">
      <c r="A527" s="3">
        <f>IMAGE("https://images.lululemon.com/is/image/lululemon/LW2BYCS_0001_1?wid=320&amp;op_usm=0.8",1)</f>
        <v/>
      </c>
      <c r="B527" s="3" t="inlineStr">
        <is>
          <t>Like a Cloud Bra *Light Support, B/C Cup</t>
        </is>
      </c>
      <c r="C527" s="3" t="inlineStr">
        <is>
          <t>122500039</t>
        </is>
      </c>
      <c r="D527" s="3" t="inlineStr">
        <is>
          <t>$58.00</t>
        </is>
      </c>
      <c r="E527" s="3" t="inlineStr">
        <is>
          <t>$29.00</t>
        </is>
      </c>
      <c r="F527" s="3">
        <f>IMAGE("https://images.lululemon.com/is/image/lululemon/0001",1)</f>
        <v/>
      </c>
      <c r="G527" s="3">
        <f>IMAGE("https://images.lululemon.com/is/image/lululemon/0002",1)</f>
        <v/>
      </c>
      <c r="H527" s="3">
        <f>IMAGE("https://images.lululemon.com/is/image/lululemon/70105",1)</f>
        <v/>
      </c>
      <c r="I527" s="3">
        <f>IMAGE("https://images.lululemon.com/is/image/lululemon/32507",1)</f>
        <v/>
      </c>
      <c r="J527" s="3">
        <f>IMAGE("https://images.lululemon.com/is/image/lululemon/35486",1)</f>
        <v/>
      </c>
      <c r="K527" s="3" t="n"/>
      <c r="L527" s="3" t="inlineStr">
        <is>
          <t>2, 4, 6, 8, 10, 12</t>
        </is>
      </c>
      <c r="M527" s="3" t="n">
        <v>2605</v>
      </c>
      <c r="N527" s="3" t="inlineStr">
        <is>
          <t>Cushiony, pillowy, marshmallow-y. However we say it, it doesn't quite capture just how soft this yoga bra is.</t>
        </is>
      </c>
      <c r="O527" s="3" t="inlineStr">
        <is>
          <t>Like-a-Cloud-Bra</t>
        </is>
      </c>
      <c r="P527" s="3" t="inlineStr">
        <is>
          <t>Yes</t>
        </is>
      </c>
      <c r="Q527" s="3" t="inlineStr">
        <is>
          <t>Like a Cloud Bra B/C BLK 2</t>
        </is>
      </c>
      <c r="R527" s="3" t="inlineStr">
        <is>
          <t>Black, White, Pink Organza, Serene Blue, Blissful Pink</t>
        </is>
      </c>
      <c r="S527" s="3" t="inlineStr">
        <is>
          <t>Strappy Bras, Bralettes</t>
        </is>
      </c>
      <c r="T527" s="3" t="inlineStr">
        <is>
          <t>Women</t>
        </is>
      </c>
    </row>
    <row r="528" ht="80" customHeight="1">
      <c r="A528" s="2">
        <f>IMAGE("https://images.lululemon.com/is/image/lululemon/LW5EUSS_0001_1?wid=320&amp;op_usm=0.8",1)</f>
        <v/>
      </c>
      <c r="B528" s="2" t="inlineStr">
        <is>
          <t>lululemon Align™ High-Rise Mini-Flare Pant *Regular</t>
        </is>
      </c>
      <c r="C528" s="2" t="inlineStr">
        <is>
          <t>145450766</t>
        </is>
      </c>
      <c r="D528" s="2" t="inlineStr">
        <is>
          <t>$128.00</t>
        </is>
      </c>
      <c r="E528" s="2" t="inlineStr">
        <is>
          <t>$64.00</t>
        </is>
      </c>
      <c r="F528" s="2">
        <f>IMAGE("https://images.lululemon.com/is/image/lululemon/0001",1)</f>
        <v/>
      </c>
      <c r="G528" s="2" t="n"/>
      <c r="H528" s="2" t="n"/>
      <c r="I528" s="2" t="n"/>
      <c r="J528" s="2" t="n"/>
      <c r="K528" s="2" t="n"/>
      <c r="L528" s="2" t="inlineStr">
        <is>
          <t>14</t>
        </is>
      </c>
      <c r="M528" s="2" t="n">
        <v>79</v>
      </c>
      <c r="N528" s="2" t="inlineStr">
        <is>
          <t>When feeling nothing is everything. This version of our buttery-soft lululemon Align™ pants has subtle flares at the hems.</t>
        </is>
      </c>
      <c r="O528" s="2" t="inlineStr">
        <is>
          <t>Align-HR-Mini-Flare-32</t>
        </is>
      </c>
      <c r="P528" s="2" t="inlineStr">
        <is>
          <t>Yes</t>
        </is>
      </c>
      <c r="Q528" s="2" t="inlineStr">
        <is>
          <t>lululemon Align™ Mini-Flare Pant*Regular BLK 14</t>
        </is>
      </c>
      <c r="R528" s="2" t="inlineStr">
        <is>
          <t>Black</t>
        </is>
      </c>
      <c r="S528" s="2" t="inlineStr"/>
      <c r="T528" s="2" t="inlineStr">
        <is>
          <t>Women</t>
        </is>
      </c>
    </row>
    <row r="529" ht="80" customHeight="1">
      <c r="A529" s="3">
        <f>IMAGE("https://images.lululemon.com/is/image/lululemon/LU9C80S_0001_1?wid=320&amp;op_usm=0.8",1)</f>
        <v/>
      </c>
      <c r="B529" s="3" t="inlineStr">
        <is>
          <t>Everywhere Crossbody Bag 2L *Metal Hardware</t>
        </is>
      </c>
      <c r="C529" s="3" t="inlineStr">
        <is>
          <t>153829113</t>
        </is>
      </c>
      <c r="D529" s="3" t="inlineStr">
        <is>
          <t>$78.00</t>
        </is>
      </c>
      <c r="E529" s="3" t="inlineStr">
        <is>
          <t>$39.00</t>
        </is>
      </c>
      <c r="F529" s="3">
        <f>IMAGE("https://images.lululemon.com/is/image/lululemon/0001",1)</f>
        <v/>
      </c>
      <c r="G529" s="3">
        <f>IMAGE("https://images.lululemon.com/is/image/lululemon/73255",1)</f>
        <v/>
      </c>
      <c r="H529" s="3" t="n"/>
      <c r="I529" s="3" t="n"/>
      <c r="J529" s="3" t="n"/>
      <c r="K529" s="3" t="n"/>
      <c r="L529" s="3" t="inlineStr">
        <is>
          <t>O/S</t>
        </is>
      </c>
      <c r="M529" s="3" t="n">
        <v>1282</v>
      </c>
      <c r="N529" s="3" t="inlineStr">
        <is>
          <t>Bringing you more of what you love. The Everywhere Crossbody comes equipped with strategically placed pockets inside and out and a removable strap to customize your look.</t>
        </is>
      </c>
      <c r="O529" s="3" t="inlineStr">
        <is>
          <t>Everywhere-Crossbody-Bag-2L-Metal-Hardware</t>
        </is>
      </c>
      <c r="P529" s="3" t="inlineStr">
        <is>
          <t>Yes</t>
        </is>
      </c>
      <c r="Q529" s="3" t="inlineStr">
        <is>
          <t>Everywhere Crossbody Bag *Metal Hardware BLK ONE SIZE</t>
        </is>
      </c>
      <c r="R529" s="3" t="inlineStr">
        <is>
          <t>Black, Berry Rumble/Gold</t>
        </is>
      </c>
      <c r="S529" s="3" t="inlineStr">
        <is>
          <t>Crossbody Bags</t>
        </is>
      </c>
      <c r="T529" s="3" t="inlineStr">
        <is>
          <t>Women</t>
        </is>
      </c>
    </row>
    <row r="530" ht="80" customHeight="1">
      <c r="A530" s="2">
        <f>IMAGE("https://images.lululemon.com/is/image/lululemon/LW5GZNT_068684_1?wid=320&amp;op_usm=0.8",1)</f>
        <v/>
      </c>
      <c r="B530" s="2" t="inlineStr">
        <is>
          <t>Softstreme High-Rise Straight-Leg Pant *Tall</t>
        </is>
      </c>
      <c r="C530" s="2" t="inlineStr">
        <is>
          <t>155853849</t>
        </is>
      </c>
      <c r="D530" s="2" t="inlineStr">
        <is>
          <t>$128.00</t>
        </is>
      </c>
      <c r="E530" s="2" t="inlineStr">
        <is>
          <t>$64.00</t>
        </is>
      </c>
      <c r="F530" s="2">
        <f>IMAGE("https://images.lululemon.com/is/image/lululemon/68684",1)</f>
        <v/>
      </c>
      <c r="G530" s="2" t="n"/>
      <c r="H530" s="2" t="n"/>
      <c r="I530" s="2" t="n"/>
      <c r="J530" s="2" t="n"/>
      <c r="K530" s="2" t="n"/>
      <c r="L530" s="2" t="inlineStr">
        <is>
          <t>XS, S, M, L, XL</t>
        </is>
      </c>
      <c r="M530" s="2" t="n">
        <v>530</v>
      </c>
      <c r="N530" s="2" t="inlineStr">
        <is>
          <t>Tailored for comfort. These pants have a trouser-inspired aesthetic and peach-fuzz touch that's impossible to resist. Dress them up or down, and enjoy the softness all day.</t>
        </is>
      </c>
      <c r="O530" s="2" t="inlineStr">
        <is>
          <t>Softstreme-High-Rise-Straight-Leg-Pant-Tall</t>
        </is>
      </c>
      <c r="P530" s="2" t="inlineStr">
        <is>
          <t>Yes</t>
        </is>
      </c>
      <c r="Q530" s="2" t="inlineStr">
        <is>
          <t>Softstreme™ HR Straight-Leg Pant *Tall SHOK XS</t>
        </is>
      </c>
      <c r="R530" s="2" t="inlineStr">
        <is>
          <t>Sheer Oak</t>
        </is>
      </c>
      <c r="S530" s="2" t="inlineStr"/>
      <c r="T530" s="2" t="inlineStr">
        <is>
          <t>Women</t>
        </is>
      </c>
    </row>
    <row r="531" ht="80" customHeight="1">
      <c r="A531" s="3">
        <f>IMAGE("https://images.lululemon.com/is/image/lululemon/LW5HIWR_043731_1?wid=320&amp;op_usm=0.8",1)</f>
        <v/>
      </c>
      <c r="B531" s="3" t="inlineStr">
        <is>
          <t>Stretch Twill Golf Pant Regular *Stitched Logo</t>
        </is>
      </c>
      <c r="C531" s="3" t="inlineStr">
        <is>
          <t>158026069</t>
        </is>
      </c>
      <c r="D531" s="3" t="inlineStr">
        <is>
          <t>$148.00</t>
        </is>
      </c>
      <c r="E531" s="3" t="inlineStr">
        <is>
          <t>$74.00</t>
        </is>
      </c>
      <c r="F531" s="3">
        <f>IMAGE("https://images.lululemon.com/is/image/lululemon/43731",1)</f>
        <v/>
      </c>
      <c r="G531" s="3">
        <f>IMAGE("https://images.lululemon.com/is/image/lululemon/31382",1)</f>
        <v/>
      </c>
      <c r="H531" s="3">
        <f>IMAGE("https://images.lululemon.com/is/image/lululemon/68684",1)</f>
        <v/>
      </c>
      <c r="I531" s="3">
        <f>IMAGE("https://images.lululemon.com/is/image/lululemon/45797",1)</f>
        <v/>
      </c>
      <c r="J531" s="3">
        <f>IMAGE("https://images.lululemon.com/is/image/lululemon/68578",1)</f>
        <v/>
      </c>
      <c r="K531" s="3" t="n"/>
      <c r="L531" s="3" t="inlineStr">
        <is>
          <t>22, 24, 25, 26, 27, 28, 29, 30, 31, 32, 33</t>
        </is>
      </c>
      <c r="M531" s="3" t="n">
        <v>2359</v>
      </c>
      <c r="N531" s="3" t="inlineStr">
        <is>
          <t>A good round, even in bad weather. These tailored golf pants are made from stretchy, water-repellent twill fabric that keeps you protected from the elements and looking smart.</t>
        </is>
      </c>
      <c r="O531" s="3" t="inlineStr">
        <is>
          <t>Stretch-Twill-Golf-Pant-Regular-Stitched</t>
        </is>
      </c>
      <c r="P531" s="3" t="inlineStr">
        <is>
          <t>Yes</t>
        </is>
      </c>
      <c r="Q531" s="3" t="inlineStr">
        <is>
          <t>Stretch Twill Golf Pant *Reg ASHR 22</t>
        </is>
      </c>
      <c r="R531" s="3" t="inlineStr">
        <is>
          <t>Trench, True Navy, Sheer Oak, Ashen Rose, Club Blue</t>
        </is>
      </c>
      <c r="S531" s="3" t="inlineStr"/>
      <c r="T531" s="3" t="inlineStr">
        <is>
          <t>Women</t>
        </is>
      </c>
    </row>
    <row r="532" ht="80" customHeight="1">
      <c r="A532" s="2">
        <f>IMAGE("https://images.lululemon.com/is/image/lululemon/LW5FZES_0001_1?wid=320&amp;op_usm=0.8",1)</f>
        <v/>
      </c>
      <c r="B532" s="2" t="inlineStr">
        <is>
          <t>lululemon Glow Up™ Super-High-Rise Tight 25"</t>
        </is>
      </c>
      <c r="C532" s="2" t="inlineStr">
        <is>
          <t>154884659</t>
        </is>
      </c>
      <c r="D532" s="2" t="inlineStr">
        <is>
          <t>$118.00</t>
        </is>
      </c>
      <c r="E532" s="2" t="inlineStr">
        <is>
          <t>$59.00</t>
        </is>
      </c>
      <c r="F532" s="2">
        <f>IMAGE("https://images.lululemon.com/is/image/lululemon/0001",1)</f>
        <v/>
      </c>
      <c r="G532" s="2" t="n"/>
      <c r="H532" s="2" t="n"/>
      <c r="I532" s="2" t="n"/>
      <c r="J532" s="2" t="n"/>
      <c r="K532" s="2" t="n"/>
      <c r="L532" s="2" t="inlineStr">
        <is>
          <t>2, 4, 6, 8, 10, 12</t>
        </is>
      </c>
      <c r="M532" s="2" t="n">
        <v>367</v>
      </c>
      <c r="N532" s="2" t="inlineStr">
        <is>
          <t>Confident to your core. These training tights combine sleek fabric and smoothing waistband technology to keep you feeling sculpted and supported.</t>
        </is>
      </c>
      <c r="O532" s="2" t="inlineStr">
        <is>
          <t>Glow-Up-Super-High-Rise-Tight-25</t>
        </is>
      </c>
      <c r="P532" s="2" t="inlineStr">
        <is>
          <t>Yes</t>
        </is>
      </c>
      <c r="Q532" s="2" t="inlineStr">
        <is>
          <t>Glow Up SHR Tight 25" BLK 2</t>
        </is>
      </c>
      <c r="R532" s="2" t="inlineStr">
        <is>
          <t>Black</t>
        </is>
      </c>
      <c r="S532" s="2" t="inlineStr">
        <is>
          <t>Athletic Pants</t>
        </is>
      </c>
      <c r="T532" s="2" t="inlineStr">
        <is>
          <t>Women</t>
        </is>
      </c>
    </row>
    <row r="533" ht="80" customHeight="1">
      <c r="A533" s="3">
        <f>IMAGE("https://images.lululemon.com/is/image/lululemon/158035294_0001_1?wid=320&amp;op_usm=0.8",1)</f>
        <v/>
      </c>
      <c r="B533" s="3" t="inlineStr">
        <is>
          <t>Black Top Hangers (Box of 100)</t>
        </is>
      </c>
      <c r="C533" s="3" t="inlineStr">
        <is>
          <t>158035295</t>
        </is>
      </c>
      <c r="D533" s="3" t="inlineStr">
        <is>
          <t>$184.00</t>
        </is>
      </c>
      <c r="E533" s="3" t="inlineStr">
        <is>
          <t>$184.00</t>
        </is>
      </c>
      <c r="F533" s="3">
        <f>IMAGE("https://images.lululemon.com/is/image/lululemon/0001",1)</f>
        <v/>
      </c>
      <c r="G533" s="3" t="n"/>
      <c r="H533" s="3" t="n"/>
      <c r="I533" s="3" t="n"/>
      <c r="J533" s="3" t="n"/>
      <c r="K533" s="3" t="n"/>
      <c r="L533" s="3" t="inlineStr">
        <is>
          <t>O/S</t>
        </is>
      </c>
      <c r="M533" s="3" t="n">
        <v>58</v>
      </c>
      <c r="N533" s="3" t="inlineStr"/>
      <c r="O533" s="3" t="inlineStr">
        <is>
          <t>Black-Top-Hangers-Box-of-100</t>
        </is>
      </c>
      <c r="P533" s="3" t="inlineStr">
        <is>
          <t>Yes</t>
        </is>
      </c>
      <c r="Q533" s="3" t="inlineStr">
        <is>
          <t>Black Top Hangers (Box of 100) BLK ONE SIZE</t>
        </is>
      </c>
      <c r="R533" s="3" t="inlineStr">
        <is>
          <t>Black</t>
        </is>
      </c>
      <c r="S533" s="3" t="inlineStr"/>
      <c r="T533" s="3" t="inlineStr">
        <is>
          <t>Supplies</t>
        </is>
      </c>
    </row>
    <row r="534" ht="80" customHeight="1">
      <c r="A534" s="2">
        <f>IMAGE("https://images.lululemon.com/is/image/lululemon/158035319_1426_1?wid=320&amp;op_usm=0.8",1)</f>
        <v/>
      </c>
      <c r="B534" s="2" t="inlineStr">
        <is>
          <t>Acrylic Bins (Small)</t>
        </is>
      </c>
      <c r="C534" s="2" t="inlineStr">
        <is>
          <t>158119689</t>
        </is>
      </c>
      <c r="D534" s="2" t="inlineStr">
        <is>
          <t>$66.00</t>
        </is>
      </c>
      <c r="E534" s="2" t="inlineStr">
        <is>
          <t>$66.00</t>
        </is>
      </c>
      <c r="F534" s="2">
        <f>IMAGE("https://images.lululemon.com/is/image/lululemon/1426",1)</f>
        <v/>
      </c>
      <c r="G534" s="2" t="n"/>
      <c r="H534" s="2" t="n"/>
      <c r="I534" s="2" t="n"/>
      <c r="J534" s="2" t="n"/>
      <c r="K534" s="2" t="n"/>
      <c r="L534" s="2" t="inlineStr">
        <is>
          <t>O/S</t>
        </is>
      </c>
      <c r="M534" s="2" t="n">
        <v>181</v>
      </c>
      <c r="N534" s="2" t="inlineStr"/>
      <c r="O534" s="2" t="inlineStr">
        <is>
          <t>Acrylic-Bins-Small</t>
        </is>
      </c>
      <c r="P534" s="2" t="inlineStr">
        <is>
          <t>Yes</t>
        </is>
      </c>
      <c r="Q534" s="2" t="inlineStr">
        <is>
          <t>Acrylic Bins (Small)  NO COLOUR ONE SIZE</t>
        </is>
      </c>
      <c r="R534" s="2" t="inlineStr">
        <is>
          <t>No Colour</t>
        </is>
      </c>
      <c r="S534" s="2" t="inlineStr"/>
      <c r="T534" s="2" t="inlineStr">
        <is>
          <t>Supplies</t>
        </is>
      </c>
    </row>
    <row r="535" ht="80" customHeight="1">
      <c r="A535" s="3">
        <f>IMAGE("https://images.lululemon.com/is/image/lululemon/158035289_0001_1?wid=320&amp;op_usm=0.8",1)</f>
        <v/>
      </c>
      <c r="B535" s="3" t="inlineStr">
        <is>
          <t>lululemon Signage Topper</t>
        </is>
      </c>
      <c r="C535" s="3" t="inlineStr">
        <is>
          <t>158035290</t>
        </is>
      </c>
      <c r="D535" s="3" t="inlineStr">
        <is>
          <t>$271.00</t>
        </is>
      </c>
      <c r="E535" s="3" t="inlineStr">
        <is>
          <t>$271.00</t>
        </is>
      </c>
      <c r="F535" s="3">
        <f>IMAGE("https://images.lululemon.com/is/image/lululemon/0001",1)</f>
        <v/>
      </c>
      <c r="G535" s="3">
        <f>IMAGE("https://images.lululemon.com/is/image/lululemon/0002",1)</f>
        <v/>
      </c>
      <c r="H535" s="3" t="n"/>
      <c r="I535" s="3" t="n"/>
      <c r="J535" s="3" t="n"/>
      <c r="K535" s="3" t="n"/>
      <c r="L535" s="3" t="inlineStr">
        <is>
          <t>O/S</t>
        </is>
      </c>
      <c r="M535" s="3" t="n">
        <v>171</v>
      </c>
      <c r="N535" s="3" t="inlineStr"/>
      <c r="O535" s="3" t="inlineStr">
        <is>
          <t>lululemon-Signage-Topper</t>
        </is>
      </c>
      <c r="P535" s="3" t="inlineStr">
        <is>
          <t>Yes</t>
        </is>
      </c>
      <c r="Q535" s="3" t="inlineStr">
        <is>
          <t>lululemon Signage Topper BLK ONE SIZE</t>
        </is>
      </c>
      <c r="R535" s="3" t="inlineStr">
        <is>
          <t>Black, White</t>
        </is>
      </c>
      <c r="S535" s="3" t="inlineStr"/>
      <c r="T535" s="3" t="inlineStr">
        <is>
          <t>Supplies</t>
        </is>
      </c>
    </row>
    <row r="536" ht="80" customHeight="1">
      <c r="A536" s="2">
        <f>IMAGE("https://images.lululemon.com/is/image/lululemon/LU9490S_1426_1?wid=320&amp;op_usm=0.8",1)</f>
        <v/>
      </c>
      <c r="B536" s="2" t="inlineStr">
        <is>
          <t>Small Sustainable Shopper (Box of 200)</t>
        </is>
      </c>
      <c r="C536" s="2" t="inlineStr">
        <is>
          <t>93523</t>
        </is>
      </c>
      <c r="D536" s="2" t="inlineStr">
        <is>
          <t>$160.00</t>
        </is>
      </c>
      <c r="E536" s="2" t="inlineStr">
        <is>
          <t>$160.00</t>
        </is>
      </c>
      <c r="F536" s="2">
        <f>IMAGE("https://images.lululemon.com/is/image/lululemon/1426",1)</f>
        <v/>
      </c>
      <c r="G536" s="2" t="n"/>
      <c r="H536" s="2" t="n"/>
      <c r="I536" s="2" t="n"/>
      <c r="J536" s="2" t="n"/>
      <c r="K536" s="2" t="n"/>
      <c r="L536" s="2" t="inlineStr">
        <is>
          <t>O/S</t>
        </is>
      </c>
      <c r="M536" s="2" t="n">
        <v>3</v>
      </c>
      <c r="N536" s="2" t="inlineStr"/>
      <c r="O536" s="2" t="inlineStr">
        <is>
          <t>Small-Sustainable-Shopper</t>
        </is>
      </c>
      <c r="P536" s="2" t="inlineStr">
        <is>
          <t>Yes</t>
        </is>
      </c>
      <c r="Q536" s="2" t="inlineStr">
        <is>
          <t>SMALL SUSTAINABLE SHOPPER NO COLOUR ONE SIZE</t>
        </is>
      </c>
      <c r="R536" s="2" t="inlineStr">
        <is>
          <t>No Colour</t>
        </is>
      </c>
      <c r="S536" s="2" t="inlineStr"/>
      <c r="T536" s="2" t="inlineStr">
        <is>
          <t>Supplies</t>
        </is>
      </c>
    </row>
    <row r="537" ht="80" customHeight="1">
      <c r="A537" s="3">
        <f>IMAGE("https://images.lululemon.com/is/image/lululemon/158218722_0001_1?wid=320&amp;op_usm=0.8",1)</f>
        <v/>
      </c>
      <c r="B537" s="3" t="inlineStr">
        <is>
          <t>Hat Stand</t>
        </is>
      </c>
      <c r="C537" s="3" t="inlineStr">
        <is>
          <t>158218723</t>
        </is>
      </c>
      <c r="D537" s="3" t="inlineStr">
        <is>
          <t>$130.00</t>
        </is>
      </c>
      <c r="E537" s="3" t="inlineStr">
        <is>
          <t>$130.00</t>
        </is>
      </c>
      <c r="F537" s="3">
        <f>IMAGE("https://images.lululemon.com/is/image/lululemon/0001",1)</f>
        <v/>
      </c>
      <c r="G537" s="3" t="n"/>
      <c r="H537" s="3" t="n"/>
      <c r="I537" s="3" t="n"/>
      <c r="J537" s="3" t="n"/>
      <c r="K537" s="3" t="n"/>
      <c r="L537" s="3" t="inlineStr">
        <is>
          <t>O/S</t>
        </is>
      </c>
      <c r="M537" s="3" t="n">
        <v>10</v>
      </c>
      <c r="N537" s="3" t="inlineStr"/>
      <c r="O537" s="3" t="inlineStr">
        <is>
          <t>Hat-Stand</t>
        </is>
      </c>
      <c r="P537" s="3" t="inlineStr">
        <is>
          <t>Yes</t>
        </is>
      </c>
      <c r="Q537" s="3" t="inlineStr">
        <is>
          <t>Hat Stand BLK ONE SIZE</t>
        </is>
      </c>
      <c r="R537" s="3" t="inlineStr">
        <is>
          <t>Black</t>
        </is>
      </c>
      <c r="S537" s="3" t="inlineStr"/>
      <c r="T537" s="3" t="inlineStr">
        <is>
          <t>Supplies</t>
        </is>
      </c>
    </row>
    <row r="538" ht="80" customHeight="1">
      <c r="A538" s="2">
        <f>IMAGE("https://images.lululemon.com/is/image/lululemon/158035296_0001_1?wid=320&amp;op_usm=0.8",1)</f>
        <v/>
      </c>
      <c r="B538" s="2" t="inlineStr">
        <is>
          <t>Black Bottom Hangers (Box of 100)</t>
        </is>
      </c>
      <c r="C538" s="2" t="inlineStr">
        <is>
          <t>158035297</t>
        </is>
      </c>
      <c r="D538" s="2" t="inlineStr">
        <is>
          <t>$269.00</t>
        </is>
      </c>
      <c r="E538" s="2" t="inlineStr">
        <is>
          <t>$269.00</t>
        </is>
      </c>
      <c r="F538" s="2">
        <f>IMAGE("https://images.lululemon.com/is/image/lululemon/0001",1)</f>
        <v/>
      </c>
      <c r="G538" s="2" t="n"/>
      <c r="H538" s="2" t="n"/>
      <c r="I538" s="2" t="n"/>
      <c r="J538" s="2" t="n"/>
      <c r="K538" s="2" t="n"/>
      <c r="L538" s="2" t="inlineStr">
        <is>
          <t>O/S</t>
        </is>
      </c>
      <c r="M538" s="2" t="n">
        <v>60</v>
      </c>
      <c r="N538" s="2" t="inlineStr"/>
      <c r="O538" s="2" t="inlineStr">
        <is>
          <t>Black-Bottom-Hangers-Box-of-100</t>
        </is>
      </c>
      <c r="P538" s="2" t="inlineStr">
        <is>
          <t>Yes</t>
        </is>
      </c>
      <c r="Q538" s="2" t="inlineStr">
        <is>
          <t>Black Bottom Hangers (Box of 100) BLK ONE SIZE</t>
        </is>
      </c>
      <c r="R538" s="2" t="inlineStr">
        <is>
          <t>Black</t>
        </is>
      </c>
      <c r="S538" s="2" t="inlineStr"/>
      <c r="T538" s="2" t="inlineStr">
        <is>
          <t>Supplies</t>
        </is>
      </c>
    </row>
    <row r="539" ht="80" customHeight="1">
      <c r="A539" s="3">
        <f>IMAGE("https://images.lululemon.com/is/image/lululemon/158218724_0351_1?wid=320&amp;op_usm=0.8",1)</f>
        <v/>
      </c>
      <c r="B539" s="3" t="inlineStr">
        <is>
          <t>Bag Stand</t>
        </is>
      </c>
      <c r="C539" s="3" t="inlineStr">
        <is>
          <t>158218725</t>
        </is>
      </c>
      <c r="D539" s="3" t="inlineStr">
        <is>
          <t>$114.00</t>
        </is>
      </c>
      <c r="E539" s="3" t="inlineStr">
        <is>
          <t>$114.00</t>
        </is>
      </c>
      <c r="F539" s="3">
        <f>IMAGE("https://images.lululemon.com/is/image/lululemon/0351",1)</f>
        <v/>
      </c>
      <c r="G539" s="3" t="n"/>
      <c r="H539" s="3" t="n"/>
      <c r="I539" s="3" t="n"/>
      <c r="J539" s="3" t="n"/>
      <c r="K539" s="3" t="n"/>
      <c r="L539" s="3" t="inlineStr">
        <is>
          <t>O/S</t>
        </is>
      </c>
      <c r="M539" s="3" t="n">
        <v>1</v>
      </c>
      <c r="N539" s="3" t="inlineStr"/>
      <c r="O539" s="3" t="inlineStr">
        <is>
          <t>Bag-Stand</t>
        </is>
      </c>
      <c r="P539" s="3" t="inlineStr">
        <is>
          <t>Yes</t>
        </is>
      </c>
      <c r="Q539" s="3" t="inlineStr">
        <is>
          <t>Bag Stand GRY ONE SIZE</t>
        </is>
      </c>
      <c r="R539" s="3" t="inlineStr">
        <is>
          <t>Grey</t>
        </is>
      </c>
      <c r="S539" s="3" t="inlineStr"/>
      <c r="T539" s="3" t="inlineStr">
        <is>
          <t>Supplies</t>
        </is>
      </c>
    </row>
    <row r="540" ht="80" customHeight="1">
      <c r="A540" s="2">
        <f>IMAGE("https://images.lululemon.com/is/image/lululemon/158035333_1426_1?wid=320&amp;op_usm=0.8",1)</f>
        <v/>
      </c>
      <c r="B540" s="2" t="inlineStr">
        <is>
          <t>Acrylic Bins (Large)</t>
        </is>
      </c>
      <c r="C540" s="2" t="inlineStr">
        <is>
          <t>158035349</t>
        </is>
      </c>
      <c r="D540" s="2" t="inlineStr">
        <is>
          <t>$85.00</t>
        </is>
      </c>
      <c r="E540" s="2" t="inlineStr">
        <is>
          <t>$85.00</t>
        </is>
      </c>
      <c r="F540" s="2">
        <f>IMAGE("https://images.lululemon.com/is/image/lululemon/1426",1)</f>
        <v/>
      </c>
      <c r="G540" s="2" t="n"/>
      <c r="H540" s="2" t="n"/>
      <c r="I540" s="2" t="n"/>
      <c r="J540" s="2" t="n"/>
      <c r="K540" s="2" t="n"/>
      <c r="L540" s="2" t="inlineStr">
        <is>
          <t>O/S</t>
        </is>
      </c>
      <c r="M540" s="2" t="n">
        <v>179</v>
      </c>
      <c r="N540" s="2" t="inlineStr"/>
      <c r="O540" s="2" t="inlineStr">
        <is>
          <t>Acrylic-Bins-Large</t>
        </is>
      </c>
      <c r="P540" s="2" t="inlineStr">
        <is>
          <t>Yes</t>
        </is>
      </c>
      <c r="Q540" s="2" t="inlineStr">
        <is>
          <t>Acrylic Bins (Large)  NO COLOUR ONE SIZE</t>
        </is>
      </c>
      <c r="R540" s="2" t="inlineStr">
        <is>
          <t>No Colour</t>
        </is>
      </c>
      <c r="S540" s="2" t="inlineStr"/>
      <c r="T540" s="2" t="inlineStr">
        <is>
          <t>Supplies</t>
        </is>
      </c>
    </row>
    <row r="541" ht="80" customHeight="1">
      <c r="A541" s="3">
        <f>IMAGE("https://images.lululemon.com/is/image/lululemon/LU9491S_1426_1?wid=320&amp;op_usm=0.8",1)</f>
        <v/>
      </c>
      <c r="B541" s="3" t="inlineStr">
        <is>
          <t>Large Sustainable Shopper (Box of 100)</t>
        </is>
      </c>
      <c r="C541" s="3" t="inlineStr">
        <is>
          <t>93525</t>
        </is>
      </c>
      <c r="D541" s="3" t="inlineStr">
        <is>
          <t>$90.00</t>
        </is>
      </c>
      <c r="E541" s="3" t="inlineStr">
        <is>
          <t>$90.00</t>
        </is>
      </c>
      <c r="F541" s="3">
        <f>IMAGE("https://images.lululemon.com/is/image/lululemon/1426",1)</f>
        <v/>
      </c>
      <c r="G541" s="3" t="n"/>
      <c r="H541" s="3" t="n"/>
      <c r="I541" s="3" t="n"/>
      <c r="J541" s="3" t="n"/>
      <c r="K541" s="3" t="n"/>
      <c r="L541" s="3" t="inlineStr">
        <is>
          <t>O/S</t>
        </is>
      </c>
      <c r="M541" s="3" t="n">
        <v>20</v>
      </c>
      <c r="N541" s="3" t="inlineStr"/>
      <c r="O541" s="3" t="inlineStr">
        <is>
          <t>Large-Sustainable-Shopper</t>
        </is>
      </c>
      <c r="P541" s="3" t="inlineStr">
        <is>
          <t>Yes</t>
        </is>
      </c>
      <c r="Q541" s="3" t="inlineStr">
        <is>
          <t>LARGE SUSTAINABLE SHOPPER NO COLOUR ONE SIZE</t>
        </is>
      </c>
      <c r="R541" s="3" t="inlineStr">
        <is>
          <t>No Colour</t>
        </is>
      </c>
      <c r="S541" s="3" t="inlineStr"/>
      <c r="T541" s="3" t="inlineStr">
        <is>
          <t>Supplies</t>
        </is>
      </c>
    </row>
    <row r="542" ht="80" customHeight="1">
      <c r="A542" s="2">
        <f>IMAGE("https://images.lululemon.com/is/image/lululemon/158035292_0001_1?wid=320&amp;op_usm=0.8",1)</f>
        <v/>
      </c>
      <c r="B542" s="2" t="inlineStr">
        <is>
          <t>Black Bra Hangers (Box of 100)</t>
        </is>
      </c>
      <c r="C542" s="2" t="inlineStr">
        <is>
          <t>158035293</t>
        </is>
      </c>
      <c r="D542" s="2" t="inlineStr">
        <is>
          <t>$309.00</t>
        </is>
      </c>
      <c r="E542" s="2" t="inlineStr">
        <is>
          <t>$309.00</t>
        </is>
      </c>
      <c r="F542" s="2">
        <f>IMAGE("https://images.lululemon.com/is/image/lululemon/0001",1)</f>
        <v/>
      </c>
      <c r="G542" s="2" t="n"/>
      <c r="H542" s="2" t="n"/>
      <c r="I542" s="2" t="n"/>
      <c r="J542" s="2" t="n"/>
      <c r="K542" s="2" t="n"/>
      <c r="L542" s="2" t="inlineStr">
        <is>
          <t>O/S</t>
        </is>
      </c>
      <c r="M542" s="2" t="n">
        <v>32</v>
      </c>
      <c r="N542" s="2" t="inlineStr"/>
      <c r="O542" s="2" t="inlineStr">
        <is>
          <t>Black-Bra-Hangers-Box-of-100</t>
        </is>
      </c>
      <c r="P542" s="2" t="inlineStr">
        <is>
          <t>Yes</t>
        </is>
      </c>
      <c r="Q542" s="2" t="inlineStr">
        <is>
          <t>Black Bra Hangers (Box of 100) BLK ONE SIZE</t>
        </is>
      </c>
      <c r="R542" s="2" t="inlineStr">
        <is>
          <t>Black</t>
        </is>
      </c>
      <c r="S542" s="2" t="inlineStr"/>
      <c r="T542" s="2" t="inlineStr">
        <is>
          <t>Supplies</t>
        </is>
      </c>
    </row>
    <row r="543" ht="80" customHeight="1">
      <c r="A543" s="3">
        <f>IMAGE("https://images.lululemon.com/is/image/lululemon/158035274_1426_1?wid=320&amp;op_usm=0.8",1)</f>
        <v/>
      </c>
      <c r="B543" s="3" t="inlineStr">
        <is>
          <t>Small Holiday Shopper (Box of 200)</t>
        </is>
      </c>
      <c r="C543" s="3" t="inlineStr">
        <is>
          <t>158119645</t>
        </is>
      </c>
      <c r="D543" s="3" t="inlineStr">
        <is>
          <t>$160.00</t>
        </is>
      </c>
      <c r="E543" s="3" t="inlineStr">
        <is>
          <t>$160.00</t>
        </is>
      </c>
      <c r="F543" s="3">
        <f>IMAGE("https://images.lululemon.com/is/image/lululemon/1426",1)</f>
        <v/>
      </c>
      <c r="G543" s="3" t="n"/>
      <c r="H543" s="3" t="n"/>
      <c r="I543" s="3" t="n"/>
      <c r="J543" s="3" t="n"/>
      <c r="K543" s="3" t="n"/>
      <c r="L543" s="3" t="inlineStr">
        <is>
          <t>O/S</t>
        </is>
      </c>
      <c r="M543" s="3" t="n">
        <v>2</v>
      </c>
      <c r="N543" s="3" t="inlineStr"/>
      <c r="O543" s="3" t="inlineStr">
        <is>
          <t>Small-Holiday-Shopper-Box-of-200</t>
        </is>
      </c>
      <c r="P543" s="3" t="inlineStr">
        <is>
          <t>Yes</t>
        </is>
      </c>
      <c r="Q543" s="3" t="inlineStr">
        <is>
          <t>Small Holiday Shopper (Box of 200) NO COLOUR ONE SIZE</t>
        </is>
      </c>
      <c r="R543" s="3" t="inlineStr">
        <is>
          <t>No Colour</t>
        </is>
      </c>
      <c r="S543" s="3" t="inlineStr"/>
      <c r="T543" s="3" t="inlineStr">
        <is>
          <t>Supplies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cols>
    <col width="20" customWidth="1" min="1" max="1"/>
    <col width="30" customWidth="1" min="2" max="2"/>
    <col width="20" customWidth="1" min="3" max="3"/>
    <col width="25" customWidth="1" min="4" max="4"/>
    <col width="35" customWidth="1" min="5" max="5"/>
    <col width="15" customWidth="1" min="6" max="6"/>
    <col width="15" customWidth="1" min="7" max="7"/>
    <col width="20" customWidth="1" min="8" max="8"/>
    <col width="12" customWidth="1" min="9" max="9"/>
    <col width="12" customWidth="1" min="10" max="10"/>
    <col width="20" customWidth="1" min="11" max="11"/>
    <col width="12" customWidth="1" min="12" max="12"/>
    <col width="40" customWidth="1" min="13" max="13"/>
    <col width="25" customWidth="1" min="14" max="14"/>
    <col width="20" customWidth="1" min="15" max="15"/>
  </cols>
  <sheetData>
    <row r="1" ht="30" customHeight="1">
      <c r="A1" s="1" t="inlineStr">
        <is>
          <t>Product Image</t>
        </is>
      </c>
      <c r="B1" s="1" t="inlineStr">
        <is>
          <t>Product Name</t>
        </is>
      </c>
      <c r="C1" s="1" t="inlineStr">
        <is>
          <t>SKU</t>
        </is>
      </c>
      <c r="D1" s="1" t="inlineStr">
        <is>
          <t>colorSku</t>
        </is>
      </c>
      <c r="E1" s="1" t="inlineStr">
        <is>
          <t>sku name c</t>
        </is>
      </c>
      <c r="F1" s="1" t="inlineStr">
        <is>
          <t>Retail Price</t>
        </is>
      </c>
      <c r="G1" s="1" t="inlineStr">
        <is>
          <t>Wholesale Price</t>
        </is>
      </c>
      <c r="H1" s="1" t="inlineStr">
        <is>
          <t>color names</t>
        </is>
      </c>
      <c r="I1" s="1" t="inlineStr">
        <is>
          <t>Current Color Swatch</t>
        </is>
      </c>
      <c r="J1" s="1" t="inlineStr">
        <is>
          <t>Size</t>
        </is>
      </c>
      <c r="K1" s="1" t="inlineStr">
        <is>
          <t>Qty (Item/Total)</t>
        </is>
      </c>
      <c r="L1" s="1" t="inlineStr">
        <is>
          <t>instock</t>
        </is>
      </c>
      <c r="M1" s="1" t="inlineStr">
        <is>
          <t>Description</t>
        </is>
      </c>
      <c r="N1" s="1" t="inlineStr">
        <is>
          <t>Slug</t>
        </is>
      </c>
      <c r="O1" s="1" t="inlineStr">
        <is>
          <t>product type</t>
        </is>
      </c>
    </row>
    <row r="2" ht="80" customHeight="1">
      <c r="A2" s="4">
        <f>IMAGE("https://images.lululemon.com/is/image/lululemon/LU9CIAS_035486_1?wid=320&amp;op_usm=0.8",1)</f>
        <v/>
      </c>
      <c r="B2" s="4" t="inlineStr">
        <is>
          <t>Insulated Mug 20oz</t>
        </is>
      </c>
      <c r="C2" s="4" t="inlineStr">
        <is>
          <t>156751580</t>
        </is>
      </c>
      <c r="D2" s="4" t="inlineStr">
        <is>
          <t>156751580-blissfulpink</t>
        </is>
      </c>
      <c r="E2" s="4" t="inlineStr">
        <is>
          <t>Insulated Mug 20oz BLLP ONE SIZE</t>
        </is>
      </c>
      <c r="F2" s="4" t="inlineStr">
        <is>
          <t>$38.00</t>
        </is>
      </c>
      <c r="G2" s="4" t="inlineStr">
        <is>
          <t>$19.00</t>
        </is>
      </c>
      <c r="H2" s="4" t="inlineStr">
        <is>
          <t>Blissful Pink</t>
        </is>
      </c>
      <c r="I2" s="4">
        <f>IMAGE("https://images.lululemon.com/is/image/lululemon/35486",1)</f>
        <v/>
      </c>
      <c r="J2" s="4" t="inlineStr">
        <is>
          <t>O/S</t>
        </is>
      </c>
      <c r="K2" s="4" t="inlineStr">
        <is>
          <t>389/687</t>
        </is>
      </c>
      <c r="L2" s="4" t="inlineStr">
        <is>
          <t>Yes</t>
        </is>
      </c>
      <c r="M2" s="4" t="inlineStr">
        <is>
          <t>Sip, sip, hooray. This insulated mug has a leak-proof lid and a double-walled design that will keep your drink ice cold or perfectly hot.</t>
        </is>
      </c>
      <c r="N2" s="4" t="inlineStr">
        <is>
          <t>Insulated-Mug-20oz</t>
        </is>
      </c>
      <c r="O2" s="4" t="inlineStr">
        <is>
          <t>Tumblers and Travel Mugs</t>
        </is>
      </c>
    </row>
    <row r="3" ht="80" customHeight="1">
      <c r="A3" s="5">
        <f>IMAGE("https://images.lululemon.com/is/image/lululemon/LU9CIAS_035486_1?wid=320&amp;op_usm=0.8",1)</f>
        <v/>
      </c>
      <c r="B3" s="5" t="inlineStr">
        <is>
          <t>Insulated Mug 20oz</t>
        </is>
      </c>
      <c r="C3" s="5" t="inlineStr">
        <is>
          <t>158068618</t>
        </is>
      </c>
      <c r="D3" s="5" t="inlineStr">
        <is>
          <t>158068618-indochineblue</t>
        </is>
      </c>
      <c r="E3" s="5" t="inlineStr">
        <is>
          <t>Insulated Mug 20oz BLLP ONE SIZE</t>
        </is>
      </c>
      <c r="F3" s="5" t="inlineStr">
        <is>
          <t>$38.00</t>
        </is>
      </c>
      <c r="G3" s="5" t="inlineStr">
        <is>
          <t>$19.00</t>
        </is>
      </c>
      <c r="H3" s="5" t="inlineStr">
        <is>
          <t>Indochine Blue</t>
        </is>
      </c>
      <c r="I3" s="5">
        <f>IMAGE("https://images.lululemon.com/is/image/lululemon/28022",1)</f>
        <v/>
      </c>
      <c r="J3" s="5" t="inlineStr">
        <is>
          <t>O/S</t>
        </is>
      </c>
      <c r="K3" s="5" t="inlineStr">
        <is>
          <t>298/687</t>
        </is>
      </c>
      <c r="L3" s="5" t="inlineStr">
        <is>
          <t>Yes</t>
        </is>
      </c>
      <c r="M3" s="5" t="inlineStr">
        <is>
          <t>Sip, sip, hooray. This insulated mug has a leak-proof lid and a double-walled design that will keep your drink ice cold or perfectly hot.</t>
        </is>
      </c>
      <c r="N3" s="5" t="inlineStr">
        <is>
          <t>Insulated-Mug-20oz</t>
        </is>
      </c>
      <c r="O3" s="5" t="inlineStr">
        <is>
          <t>Tumblers and Travel Mugs</t>
        </is>
      </c>
    </row>
    <row r="4" ht="80" customHeight="1">
      <c r="A4" s="6">
        <f>IMAGE("https://images.lululemon.com/is/image/lululemon/LU9AY5S_072992_1?wid=320&amp;op_usm=0.8",1)</f>
        <v/>
      </c>
      <c r="B4" s="6" t="inlineStr">
        <is>
          <t>The (Small) Towel</t>
        </is>
      </c>
      <c r="C4" s="6" t="inlineStr">
        <is>
          <t>157743699</t>
        </is>
      </c>
      <c r="D4" s="6" t="inlineStr">
        <is>
          <t>157743699-meadowhazeminigreymulti</t>
        </is>
      </c>
      <c r="E4" s="6" t="inlineStr">
        <is>
          <t>The (Small) Towel MHMG ONE SIZE</t>
        </is>
      </c>
      <c r="F4" s="6" t="inlineStr">
        <is>
          <t>$22.00</t>
        </is>
      </c>
      <c r="G4" s="6" t="inlineStr">
        <is>
          <t>$11.00</t>
        </is>
      </c>
      <c r="H4" s="6" t="inlineStr">
        <is>
          <t>Meadow Haze Mini Grey Multi</t>
        </is>
      </c>
      <c r="I4" s="6">
        <f>IMAGE("https://images.lululemon.com/is/image/lululemon/72992",1)</f>
        <v/>
      </c>
      <c r="J4" s="6" t="inlineStr">
        <is>
          <t>O/S</t>
        </is>
      </c>
      <c r="K4" s="6" t="inlineStr">
        <is>
          <t>170/170</t>
        </is>
      </c>
      <c r="L4" s="6" t="inlineStr">
        <is>
          <t>Yes</t>
        </is>
      </c>
      <c r="M4" s="6" t="inlineStr">
        <is>
          <t>This absorbent microfibre towel likes hot yoga, indoor cycling classes, and the gym. Sounds like you've got a lot in common!</t>
        </is>
      </c>
      <c r="N4" s="6" t="inlineStr">
        <is>
          <t>The-Small-Towel</t>
        </is>
      </c>
      <c r="O4" s="6" t="inlineStr">
        <is>
          <t>Towels</t>
        </is>
      </c>
    </row>
    <row r="5" ht="80" customHeight="1">
      <c r="A5" s="7">
        <f>IMAGE("https://images.lululemon.com/is/image/lululemon/LW9FOPS_0001_1?wid=320&amp;op_usm=0.8",1)</f>
        <v/>
      </c>
      <c r="B5" s="7" t="inlineStr">
        <is>
          <t>Women's Fast and Free Fleece Running Gloves</t>
        </is>
      </c>
      <c r="C5" s="7" t="inlineStr">
        <is>
          <t>154525191</t>
        </is>
      </c>
      <c r="D5" s="7" t="inlineStr">
        <is>
          <t>154525191-black</t>
        </is>
      </c>
      <c r="E5" s="7" t="inlineStr">
        <is>
          <t>Fast and Free Fleece Run Gloves W BLK XS</t>
        </is>
      </c>
      <c r="F5" s="7" t="inlineStr">
        <is>
          <t>$42.00</t>
        </is>
      </c>
      <c r="G5" s="7" t="inlineStr">
        <is>
          <t>$21.00</t>
        </is>
      </c>
      <c r="H5" s="7" t="inlineStr">
        <is>
          <t>Black</t>
        </is>
      </c>
      <c r="I5" s="7">
        <f>IMAGE("https://images.lululemon.com/is/image/lululemon/0001",1)</f>
        <v/>
      </c>
      <c r="J5" s="7" t="inlineStr">
        <is>
          <t>XS</t>
        </is>
      </c>
      <c r="K5" s="7" t="inlineStr">
        <is>
          <t>82/355</t>
        </is>
      </c>
      <c r="L5" s="7" t="inlineStr">
        <is>
          <t>Yes</t>
        </is>
      </c>
      <c r="M5" s="7" t="inlineStr">
        <is>
          <t>Cold hands can take your run off-track. Keep them warm while you clock miles in these fleece gloves made with screen-friendly technology.</t>
        </is>
      </c>
      <c r="N5" s="7" t="inlineStr">
        <is>
          <t>W-Fast-and-Free-Fleece-Run-Gloves</t>
        </is>
      </c>
      <c r="O5" s="7" t="inlineStr"/>
    </row>
    <row r="6" ht="80" customHeight="1">
      <c r="A6" s="4">
        <f>IMAGE("https://images.lululemon.com/is/image/lululemon/LW9FOPS_0001_1?wid=320&amp;op_usm=0.8",1)</f>
        <v/>
      </c>
      <c r="B6" s="4" t="inlineStr">
        <is>
          <t>Women's Fast and Free Fleece Running Gloves</t>
        </is>
      </c>
      <c r="C6" s="4" t="inlineStr">
        <is>
          <t>154525188</t>
        </is>
      </c>
      <c r="D6" s="4" t="inlineStr">
        <is>
          <t>154525188-black</t>
        </is>
      </c>
      <c r="E6" s="4" t="inlineStr">
        <is>
          <t>Fast and Free Fleece Run Gloves W BLK XS</t>
        </is>
      </c>
      <c r="F6" s="4" t="inlineStr">
        <is>
          <t>$42.00</t>
        </is>
      </c>
      <c r="G6" s="4" t="inlineStr">
        <is>
          <t>$21.00</t>
        </is>
      </c>
      <c r="H6" s="4" t="inlineStr">
        <is>
          <t>Black</t>
        </is>
      </c>
      <c r="I6" s="4">
        <f>IMAGE("https://images.lululemon.com/is/image/lululemon/0001",1)</f>
        <v/>
      </c>
      <c r="J6" s="4" t="inlineStr">
        <is>
          <t>S</t>
        </is>
      </c>
      <c r="K6" s="4" t="inlineStr">
        <is>
          <t>69/355</t>
        </is>
      </c>
      <c r="L6" s="4" t="inlineStr">
        <is>
          <t>Yes</t>
        </is>
      </c>
      <c r="M6" s="4" t="inlineStr">
        <is>
          <t>Cold hands can take your run off-track. Keep them warm while you clock miles in these fleece gloves made with screen-friendly technology.</t>
        </is>
      </c>
      <c r="N6" s="4" t="inlineStr">
        <is>
          <t>W-Fast-and-Free-Fleece-Run-Gloves</t>
        </is>
      </c>
      <c r="O6" s="4" t="inlineStr"/>
    </row>
    <row r="7" ht="80" customHeight="1">
      <c r="A7" s="7">
        <f>IMAGE("https://images.lululemon.com/is/image/lululemon/LW9FOPS_0001_1?wid=320&amp;op_usm=0.8",1)</f>
        <v/>
      </c>
      <c r="B7" s="7" t="inlineStr">
        <is>
          <t>Women's Fast and Free Fleece Running Gloves</t>
        </is>
      </c>
      <c r="C7" s="7" t="inlineStr">
        <is>
          <t>154525186</t>
        </is>
      </c>
      <c r="D7" s="7" t="inlineStr">
        <is>
          <t>154525186-black</t>
        </is>
      </c>
      <c r="E7" s="7" t="inlineStr">
        <is>
          <t>Fast and Free Fleece Run Gloves W BLK XS</t>
        </is>
      </c>
      <c r="F7" s="7" t="inlineStr">
        <is>
          <t>$42.00</t>
        </is>
      </c>
      <c r="G7" s="7" t="inlineStr">
        <is>
          <t>$21.00</t>
        </is>
      </c>
      <c r="H7" s="7" t="inlineStr">
        <is>
          <t>Black</t>
        </is>
      </c>
      <c r="I7" s="7">
        <f>IMAGE("https://images.lululemon.com/is/image/lululemon/0001",1)</f>
        <v/>
      </c>
      <c r="J7" s="7" t="inlineStr">
        <is>
          <t>M</t>
        </is>
      </c>
      <c r="K7" s="7" t="inlineStr">
        <is>
          <t>18/355</t>
        </is>
      </c>
      <c r="L7" s="7" t="inlineStr">
        <is>
          <t>Yes</t>
        </is>
      </c>
      <c r="M7" s="7" t="inlineStr">
        <is>
          <t>Cold hands can take your run off-track. Keep them warm while you clock miles in these fleece gloves made with screen-friendly technology.</t>
        </is>
      </c>
      <c r="N7" s="7" t="inlineStr">
        <is>
          <t>W-Fast-and-Free-Fleece-Run-Gloves</t>
        </is>
      </c>
      <c r="O7" s="7" t="inlineStr"/>
    </row>
    <row r="8" ht="80" customHeight="1">
      <c r="A8" s="6">
        <f>IMAGE("https://images.lululemon.com/is/image/lululemon/LW9FOPS_0001_1?wid=320&amp;op_usm=0.8",1)</f>
        <v/>
      </c>
      <c r="B8" s="6" t="inlineStr">
        <is>
          <t>Women's Fast and Free Fleece Running Gloves</t>
        </is>
      </c>
      <c r="C8" s="6" t="inlineStr">
        <is>
          <t>154525185</t>
        </is>
      </c>
      <c r="D8" s="6" t="inlineStr">
        <is>
          <t>154525185-black</t>
        </is>
      </c>
      <c r="E8" s="6" t="inlineStr">
        <is>
          <t>Fast and Free Fleece Run Gloves W BLK XS</t>
        </is>
      </c>
      <c r="F8" s="6" t="inlineStr">
        <is>
          <t>$42.00</t>
        </is>
      </c>
      <c r="G8" s="6" t="inlineStr">
        <is>
          <t>$21.00</t>
        </is>
      </c>
      <c r="H8" s="6" t="inlineStr">
        <is>
          <t>Black</t>
        </is>
      </c>
      <c r="I8" s="6">
        <f>IMAGE("https://images.lululemon.com/is/image/lululemon/0001",1)</f>
        <v/>
      </c>
      <c r="J8" s="6" t="inlineStr">
        <is>
          <t>L</t>
        </is>
      </c>
      <c r="K8" s="6" t="inlineStr">
        <is>
          <t>186/355</t>
        </is>
      </c>
      <c r="L8" s="6" t="inlineStr">
        <is>
          <t>Yes</t>
        </is>
      </c>
      <c r="M8" s="6" t="inlineStr">
        <is>
          <t>Cold hands can take your run off-track. Keep them warm while you clock miles in these fleece gloves made with screen-friendly technology.</t>
        </is>
      </c>
      <c r="N8" s="6" t="inlineStr">
        <is>
          <t>W-Fast-and-Free-Fleece-Run-Gloves</t>
        </is>
      </c>
      <c r="O8" s="6" t="inlineStr"/>
    </row>
    <row r="9" ht="80" customHeight="1">
      <c r="A9" s="5">
        <f>IMAGE("https://images.lululemon.com/is/image/lululemon/LW9FWOS_032614_1?wid=320&amp;op_usm=0.8",1)</f>
        <v/>
      </c>
      <c r="B9" s="5" t="inlineStr">
        <is>
          <t>Mini Claw Jewelled Clips *2 Pack</t>
        </is>
      </c>
      <c r="C9" s="5" t="inlineStr">
        <is>
          <t>158098712</t>
        </is>
      </c>
      <c r="D9" s="5" t="inlineStr">
        <is>
          <t>158098712-rosegold</t>
        </is>
      </c>
      <c r="E9" s="5" t="inlineStr">
        <is>
          <t>Mini Claw Jewelled Clip *2 Pack RSGO ONE SIZE</t>
        </is>
      </c>
      <c r="F9" s="5" t="inlineStr">
        <is>
          <t>$14.00</t>
        </is>
      </c>
      <c r="G9" s="5" t="inlineStr">
        <is>
          <t>$7.00</t>
        </is>
      </c>
      <c r="H9" s="5" t="inlineStr">
        <is>
          <t>Rose Gold</t>
        </is>
      </c>
      <c r="I9" s="5">
        <f>IMAGE("https://images.lululemon.com/is/image/lululemon/32614",1)</f>
        <v/>
      </c>
      <c r="J9" s="5" t="inlineStr">
        <is>
          <t>O/S</t>
        </is>
      </c>
      <c r="K9" s="5" t="inlineStr">
        <is>
          <t>3/3</t>
        </is>
      </c>
      <c r="L9" s="5" t="inlineStr">
        <is>
          <t>Yes</t>
        </is>
      </c>
      <c r="M9" s="5" t="inlineStr">
        <is>
          <t>Add a pop of shine to your 'do—these petite metal clips feature glittery logo details.</t>
        </is>
      </c>
      <c r="N9" s="5" t="inlineStr">
        <is>
          <t>Mini-Claw-Jewelled-Clips-2-Pack</t>
        </is>
      </c>
      <c r="O9" s="5" t="inlineStr">
        <is>
          <t>Hair Clips</t>
        </is>
      </c>
    </row>
    <row r="10" ht="80" customHeight="1">
      <c r="A10" s="6">
        <f>IMAGE("https://images.lululemon.com/is/image/lululemon/LU9B94S_065048_1?wid=320&amp;op_usm=0.8",1)</f>
        <v/>
      </c>
      <c r="B10" s="6" t="inlineStr">
        <is>
          <t>The Foldable Mat 6.5mm</t>
        </is>
      </c>
      <c r="C10" s="6" t="inlineStr">
        <is>
          <t>150350151</t>
        </is>
      </c>
      <c r="D10" s="6" t="inlineStr">
        <is>
          <t>150350151-traversegrey/black</t>
        </is>
      </c>
      <c r="E10" s="6" t="inlineStr">
        <is>
          <t>The Foldable Mat 6.5mm TVSG/BLK ONE SIZE</t>
        </is>
      </c>
      <c r="F10" s="6" t="inlineStr">
        <is>
          <t>$118.00</t>
        </is>
      </c>
      <c r="G10" s="6" t="inlineStr">
        <is>
          <t>$59.00</t>
        </is>
      </c>
      <c r="H10" s="6" t="inlineStr">
        <is>
          <t>Traverse Grey/Black</t>
        </is>
      </c>
      <c r="I10" s="6">
        <f>IMAGE("https://images.lululemon.com/is/image/lululemon/65048",1)</f>
        <v/>
      </c>
      <c r="J10" s="6" t="inlineStr">
        <is>
          <t>O/S</t>
        </is>
      </c>
      <c r="K10" s="6" t="inlineStr">
        <is>
          <t>311/311</t>
        </is>
      </c>
      <c r="L10" s="6" t="inlineStr">
        <is>
          <t>Yes</t>
        </is>
      </c>
      <c r="M10" s="6" t="inlineStr">
        <is>
          <t>Take your practice to new heights. This yoga mat stacks up (or folds down) for a fully personalized practice.</t>
        </is>
      </c>
      <c r="N10" s="6" t="inlineStr">
        <is>
          <t>The-Foldable-Mat</t>
        </is>
      </c>
      <c r="O10" s="6" t="inlineStr"/>
    </row>
    <row r="11" ht="80" customHeight="1">
      <c r="A11" s="7">
        <f>IMAGE("https://images.lululemon.com/is/image/lululemon/LU9CY6S_0001_1?wid=320&amp;op_usm=0.8",1)</f>
        <v/>
      </c>
      <c r="B11" s="7" t="inlineStr">
        <is>
          <t>Fuzzy Cashmere Beanie</t>
        </is>
      </c>
      <c r="C11" s="7" t="inlineStr">
        <is>
          <t>158097574</t>
        </is>
      </c>
      <c r="D11" s="7" t="inlineStr">
        <is>
          <t>158097574-black</t>
        </is>
      </c>
      <c r="E11" s="7" t="inlineStr">
        <is>
          <t>Fuzzy Cashmere Beanie BLK ONE SIZE</t>
        </is>
      </c>
      <c r="F11" s="7" t="inlineStr">
        <is>
          <t>$78.00</t>
        </is>
      </c>
      <c r="G11" s="7" t="inlineStr">
        <is>
          <t>$39.00</t>
        </is>
      </c>
      <c r="H11" s="7" t="inlineStr">
        <is>
          <t>Black</t>
        </is>
      </c>
      <c r="I11" s="7">
        <f>IMAGE("https://images.lululemon.com/is/image/lululemon/0001",1)</f>
        <v/>
      </c>
      <c r="J11" s="7" t="inlineStr">
        <is>
          <t>O/S</t>
        </is>
      </c>
      <c r="K11" s="7" t="inlineStr">
        <is>
          <t>277/388</t>
        </is>
      </c>
      <c r="L11" s="7" t="inlineStr">
        <is>
          <t>Yes</t>
        </is>
      </c>
      <c r="M11" s="7" t="inlineStr">
        <is>
          <t>Cashmere: Feel the love. Made from supremely soft cashmere yarns, this luxe, lightweight beanie brings cozy softness that will help you feel cherished.</t>
        </is>
      </c>
      <c r="N11" s="7" t="inlineStr">
        <is>
          <t>Fuzzy-Cashmere-Beanie</t>
        </is>
      </c>
      <c r="O11" s="7" t="inlineStr">
        <is>
          <t>Beanies</t>
        </is>
      </c>
    </row>
    <row r="12" ht="80" customHeight="1">
      <c r="A12" s="6">
        <f>IMAGE("https://images.lululemon.com/is/image/lululemon/LU9CY6S_0001_1?wid=320&amp;op_usm=0.8",1)</f>
        <v/>
      </c>
      <c r="B12" s="6" t="inlineStr">
        <is>
          <t>Fuzzy Cashmere Beanie</t>
        </is>
      </c>
      <c r="C12" s="6" t="inlineStr">
        <is>
          <t>158097518</t>
        </is>
      </c>
      <c r="D12" s="6" t="inlineStr">
        <is>
          <t>158097518-heatheredlightonyx</t>
        </is>
      </c>
      <c r="E12" s="6" t="inlineStr">
        <is>
          <t>Fuzzy Cashmere Beanie BLK ONE SIZE</t>
        </is>
      </c>
      <c r="F12" s="6" t="inlineStr">
        <is>
          <t>$78.00</t>
        </is>
      </c>
      <c r="G12" s="6" t="inlineStr">
        <is>
          <t>$39.00</t>
        </is>
      </c>
      <c r="H12" s="6" t="inlineStr">
        <is>
          <t>Heathered Light Onyx</t>
        </is>
      </c>
      <c r="I12" s="6">
        <f>IMAGE("https://images.lululemon.com/is/image/lululemon/74795",1)</f>
        <v/>
      </c>
      <c r="J12" s="6" t="inlineStr">
        <is>
          <t>O/S</t>
        </is>
      </c>
      <c r="K12" s="6" t="inlineStr">
        <is>
          <t>111/388</t>
        </is>
      </c>
      <c r="L12" s="6" t="inlineStr">
        <is>
          <t>Yes</t>
        </is>
      </c>
      <c r="M12" s="6" t="inlineStr">
        <is>
          <t>Cashmere: Feel the love. Made from supremely soft cashmere yarns, this luxe, lightweight beanie brings cozy softness that will help you feel cherished.</t>
        </is>
      </c>
      <c r="N12" s="6" t="inlineStr">
        <is>
          <t>Fuzzy-Cashmere-Beanie</t>
        </is>
      </c>
      <c r="O12" s="6" t="inlineStr">
        <is>
          <t>Beanies</t>
        </is>
      </c>
    </row>
    <row r="13" ht="80" customHeight="1">
      <c r="A13" s="5">
        <f>IMAGE("https://images.lululemon.com/is/image/lululemon/LU9BE3S_0001_1?wid=320&amp;op_usm=0.8",1)</f>
        <v/>
      </c>
      <c r="B13" s="5" t="inlineStr">
        <is>
          <t>Everywhere Belt Bag 1L *Clear</t>
        </is>
      </c>
      <c r="C13" s="5" t="inlineStr">
        <is>
          <t>147475064</t>
        </is>
      </c>
      <c r="D13" s="5" t="inlineStr">
        <is>
          <t>147475064-black</t>
        </is>
      </c>
      <c r="E13" s="5" t="inlineStr">
        <is>
          <t>Everywhere Belt Bag *Clear BLK ONE SIZE</t>
        </is>
      </c>
      <c r="F13" s="5" t="inlineStr">
        <is>
          <t>$38.00</t>
        </is>
      </c>
      <c r="G13" s="5" t="inlineStr">
        <is>
          <t>$19.00</t>
        </is>
      </c>
      <c r="H13" s="5" t="inlineStr">
        <is>
          <t>Black</t>
        </is>
      </c>
      <c r="I13" s="5">
        <f>IMAGE("https://images.lululemon.com/is/image/lululemon/0001",1)</f>
        <v/>
      </c>
      <c r="J13" s="5" t="inlineStr">
        <is>
          <t>O/S</t>
        </is>
      </c>
      <c r="K13" s="5" t="inlineStr">
        <is>
          <t>419/419</t>
        </is>
      </c>
      <c r="L13" s="5" t="inlineStr">
        <is>
          <t>Yes</t>
        </is>
      </c>
      <c r="M13" s="5" t="inlineStr">
        <is>
          <t>Stadium ready. Whether you're heading to a concert or cheering on your home team, this transparent belt bag keeps your belongings visible so lineups are a breeze.</t>
        </is>
      </c>
      <c r="N13" s="5" t="inlineStr">
        <is>
          <t>Clear-Belt-Bag-Logo-1L</t>
        </is>
      </c>
      <c r="O13" s="5" t="inlineStr">
        <is>
          <t>Belt Bags, Crossbody Bags</t>
        </is>
      </c>
    </row>
    <row r="14" ht="80" customHeight="1">
      <c r="A14" s="4">
        <f>IMAGE("https://images.lululemon.com/is/image/lululemon/LW9FM3S_073560_1?wid=320&amp;op_usm=0.8",1)</f>
        <v/>
      </c>
      <c r="B14" s="4" t="inlineStr">
        <is>
          <t>Extra Large Claw Hair Clip</t>
        </is>
      </c>
      <c r="C14" s="4" t="inlineStr">
        <is>
          <t>158023068</t>
        </is>
      </c>
      <c r="D14" s="4" t="inlineStr">
        <is>
          <t>158023068-berryrumble/racerpink</t>
        </is>
      </c>
      <c r="E14" s="4" t="inlineStr">
        <is>
          <t>Extra Large Claw Hair Clip 8RRP ONE SIZE</t>
        </is>
      </c>
      <c r="F14" s="4" t="inlineStr">
        <is>
          <t>$26.00</t>
        </is>
      </c>
      <c r="G14" s="4" t="inlineStr">
        <is>
          <t>$13.00</t>
        </is>
      </c>
      <c r="H14" s="4" t="inlineStr">
        <is>
          <t>Berry Rumble/Racer Pink</t>
        </is>
      </c>
      <c r="I14" s="4">
        <f>IMAGE("https://images.lululemon.com/is/image/lululemon/73560",1)</f>
        <v/>
      </c>
      <c r="J14" s="4" t="inlineStr">
        <is>
          <t>O/S</t>
        </is>
      </c>
      <c r="K14" s="4" t="inlineStr">
        <is>
          <t>846/1714</t>
        </is>
      </c>
      <c r="L14" s="4" t="inlineStr">
        <is>
          <t>Yes</t>
        </is>
      </c>
      <c r="M14" s="4" t="inlineStr">
        <is>
          <t>Wavy, textured, curly, or straight—whatever kind of hair you've got, this extra large clip will keep it together.</t>
        </is>
      </c>
      <c r="N14" s="4" t="inlineStr">
        <is>
          <t>Extra-Large-Claw-Hair-Clip</t>
        </is>
      </c>
      <c r="O14" s="4" t="inlineStr">
        <is>
          <t>Hair Clips</t>
        </is>
      </c>
    </row>
    <row r="15" ht="80" customHeight="1">
      <c r="A15" s="7">
        <f>IMAGE("https://images.lululemon.com/is/image/lululemon/LW9FM3S_073560_1?wid=320&amp;op_usm=0.8",1)</f>
        <v/>
      </c>
      <c r="B15" s="7" t="inlineStr">
        <is>
          <t>Extra Large Claw Hair Clip</t>
        </is>
      </c>
      <c r="C15" s="7" t="inlineStr">
        <is>
          <t>154836729</t>
        </is>
      </c>
      <c r="D15" s="7" t="inlineStr">
        <is>
          <t>154836729-frenchpress/burntcaramel</t>
        </is>
      </c>
      <c r="E15" s="7" t="inlineStr">
        <is>
          <t>Extra Large Claw Hair Clip 8RRP ONE SIZE</t>
        </is>
      </c>
      <c r="F15" s="7" t="inlineStr">
        <is>
          <t>$26.00</t>
        </is>
      </c>
      <c r="G15" s="7" t="inlineStr">
        <is>
          <t>$13.00</t>
        </is>
      </c>
      <c r="H15" s="7" t="inlineStr">
        <is>
          <t>French Press/Burnt Caramel</t>
        </is>
      </c>
      <c r="I15" s="7">
        <f>IMAGE("https://images.lululemon.com/is/image/lululemon/65675",1)</f>
        <v/>
      </c>
      <c r="J15" s="7" t="inlineStr">
        <is>
          <t>O/S</t>
        </is>
      </c>
      <c r="K15" s="7" t="inlineStr">
        <is>
          <t>24/1714</t>
        </is>
      </c>
      <c r="L15" s="7" t="inlineStr">
        <is>
          <t>Yes</t>
        </is>
      </c>
      <c r="M15" s="7" t="inlineStr">
        <is>
          <t>Wavy, textured, curly, or straight—whatever kind of hair you've got, this extra large clip will keep it together.</t>
        </is>
      </c>
      <c r="N15" s="7" t="inlineStr">
        <is>
          <t>Extra-Large-Claw-Hair-Clip</t>
        </is>
      </c>
      <c r="O15" s="7" t="inlineStr">
        <is>
          <t>Hair Clips</t>
        </is>
      </c>
    </row>
    <row r="16" ht="80" customHeight="1">
      <c r="A16" s="6">
        <f>IMAGE("https://images.lululemon.com/is/image/lululemon/LW9FM3S_073560_1?wid=320&amp;op_usm=0.8",1)</f>
        <v/>
      </c>
      <c r="B16" s="6" t="inlineStr">
        <is>
          <t>Extra Large Claw Hair Clip</t>
        </is>
      </c>
      <c r="C16" s="6" t="inlineStr">
        <is>
          <t>158023090</t>
        </is>
      </c>
      <c r="D16" s="6" t="inlineStr">
        <is>
          <t>158023090-cornflower/blissfulpink</t>
        </is>
      </c>
      <c r="E16" s="6" t="inlineStr">
        <is>
          <t>Extra Large Claw Hair Clip 8RRP ONE SIZE</t>
        </is>
      </c>
      <c r="F16" s="6" t="inlineStr">
        <is>
          <t>$26.00</t>
        </is>
      </c>
      <c r="G16" s="6" t="inlineStr">
        <is>
          <t>$13.00</t>
        </is>
      </c>
      <c r="H16" s="6" t="inlineStr">
        <is>
          <t>Cornflower/Blissful Pink</t>
        </is>
      </c>
      <c r="I16" s="6">
        <f>IMAGE("https://images.lululemon.com/is/image/lululemon/73561",1)</f>
        <v/>
      </c>
      <c r="J16" s="6" t="inlineStr">
        <is>
          <t>O/S</t>
        </is>
      </c>
      <c r="K16" s="6" t="inlineStr">
        <is>
          <t>844/1714</t>
        </is>
      </c>
      <c r="L16" s="6" t="inlineStr">
        <is>
          <t>Yes</t>
        </is>
      </c>
      <c r="M16" s="6" t="inlineStr">
        <is>
          <t>Wavy, textured, curly, or straight—whatever kind of hair you've got, this extra large clip will keep it together.</t>
        </is>
      </c>
      <c r="N16" s="6" t="inlineStr">
        <is>
          <t>Extra-Large-Claw-Hair-Clip</t>
        </is>
      </c>
      <c r="O16" s="6" t="inlineStr">
        <is>
          <t>Hair Clips</t>
        </is>
      </c>
    </row>
    <row r="17" ht="80" customHeight="1">
      <c r="A17" s="7">
        <f>IMAGE("https://images.lululemon.com/is/image/lululemon/LU9CLAS_0024_1?wid=320&amp;op_usm=0.8",1)</f>
        <v/>
      </c>
      <c r="B17" s="7" t="inlineStr">
        <is>
          <t>Unisex Daily Essential Crew Socks *Stripe</t>
        </is>
      </c>
      <c r="C17" s="7" t="inlineStr">
        <is>
          <t>155775205</t>
        </is>
      </c>
      <c r="D17" s="7" t="inlineStr">
        <is>
          <t>155775205-white/black</t>
        </is>
      </c>
      <c r="E17" s="7" t="inlineStr">
        <is>
          <t>Daily Essential Socks WHT/BLK S</t>
        </is>
      </c>
      <c r="F17" s="7" t="inlineStr">
        <is>
          <t>$14.00</t>
        </is>
      </c>
      <c r="G17" s="7" t="inlineStr">
        <is>
          <t>$7.00</t>
        </is>
      </c>
      <c r="H17" s="7" t="inlineStr">
        <is>
          <t>White/Black</t>
        </is>
      </c>
      <c r="I17" s="7">
        <f>IMAGE("https://images.lululemon.com/is/image/lululemon/0024",1)</f>
        <v/>
      </c>
      <c r="J17" s="7" t="inlineStr">
        <is>
          <t>S</t>
        </is>
      </c>
      <c r="K17" s="7" t="inlineStr">
        <is>
          <t>103/1221</t>
        </is>
      </c>
      <c r="L17" s="7" t="inlineStr">
        <is>
          <t>Yes</t>
        </is>
      </c>
      <c r="M17" s="7" t="inlineStr">
        <is>
          <t>Top drawer comfort. These soft cotton socks combine integrated arch support and plush cushioning.</t>
        </is>
      </c>
      <c r="N17" s="7" t="inlineStr">
        <is>
          <t>Unisex-Daily-Essential-Crew-Socks-Stripe</t>
        </is>
      </c>
      <c r="O17" s="7" t="inlineStr">
        <is>
          <t>Crew Socks</t>
        </is>
      </c>
    </row>
    <row r="18" ht="80" customHeight="1">
      <c r="A18" s="4">
        <f>IMAGE("https://images.lululemon.com/is/image/lululemon/LU9CLAS_0024_1?wid=320&amp;op_usm=0.8",1)</f>
        <v/>
      </c>
      <c r="B18" s="4" t="inlineStr">
        <is>
          <t>Unisex Daily Essential Crew Socks *Stripe</t>
        </is>
      </c>
      <c r="C18" s="4" t="inlineStr">
        <is>
          <t>155775194</t>
        </is>
      </c>
      <c r="D18" s="4" t="inlineStr">
        <is>
          <t>155775194-white/black</t>
        </is>
      </c>
      <c r="E18" s="4" t="inlineStr">
        <is>
          <t>Daily Essential Socks WHT/BLK S</t>
        </is>
      </c>
      <c r="F18" s="4" t="inlineStr">
        <is>
          <t>$14.00</t>
        </is>
      </c>
      <c r="G18" s="4" t="inlineStr">
        <is>
          <t>$7.00</t>
        </is>
      </c>
      <c r="H18" s="4" t="inlineStr">
        <is>
          <t>White/Black</t>
        </is>
      </c>
      <c r="I18" s="4">
        <f>IMAGE("https://images.lululemon.com/is/image/lululemon/0024",1)</f>
        <v/>
      </c>
      <c r="J18" s="4" t="inlineStr">
        <is>
          <t>M</t>
        </is>
      </c>
      <c r="K18" s="4" t="inlineStr">
        <is>
          <t>234/1221</t>
        </is>
      </c>
      <c r="L18" s="4" t="inlineStr">
        <is>
          <t>Yes</t>
        </is>
      </c>
      <c r="M18" s="4" t="inlineStr">
        <is>
          <t>Top drawer comfort. These soft cotton socks combine integrated arch support and plush cushioning.</t>
        </is>
      </c>
      <c r="N18" s="4" t="inlineStr">
        <is>
          <t>Unisex-Daily-Essential-Crew-Socks-Stripe</t>
        </is>
      </c>
      <c r="O18" s="4" t="inlineStr">
        <is>
          <t>Crew Socks</t>
        </is>
      </c>
    </row>
    <row r="19" ht="80" customHeight="1">
      <c r="A19" s="7">
        <f>IMAGE("https://images.lululemon.com/is/image/lululemon/LU9CLAS_0024_1?wid=320&amp;op_usm=0.8",1)</f>
        <v/>
      </c>
      <c r="B19" s="7" t="inlineStr">
        <is>
          <t>Unisex Daily Essential Crew Socks *Stripe</t>
        </is>
      </c>
      <c r="C19" s="7" t="inlineStr">
        <is>
          <t>155775183</t>
        </is>
      </c>
      <c r="D19" s="7" t="inlineStr">
        <is>
          <t>155775183-white/black</t>
        </is>
      </c>
      <c r="E19" s="7" t="inlineStr">
        <is>
          <t>Daily Essential Socks WHT/BLK S</t>
        </is>
      </c>
      <c r="F19" s="7" t="inlineStr">
        <is>
          <t>$14.00</t>
        </is>
      </c>
      <c r="G19" s="7" t="inlineStr">
        <is>
          <t>$7.00</t>
        </is>
      </c>
      <c r="H19" s="7" t="inlineStr">
        <is>
          <t>White/Black</t>
        </is>
      </c>
      <c r="I19" s="7">
        <f>IMAGE("https://images.lululemon.com/is/image/lululemon/0024",1)</f>
        <v/>
      </c>
      <c r="J19" s="7" t="inlineStr">
        <is>
          <t>L</t>
        </is>
      </c>
      <c r="K19" s="7" t="inlineStr">
        <is>
          <t>216/1221</t>
        </is>
      </c>
      <c r="L19" s="7" t="inlineStr">
        <is>
          <t>Yes</t>
        </is>
      </c>
      <c r="M19" s="7" t="inlineStr">
        <is>
          <t>Top drawer comfort. These soft cotton socks combine integrated arch support and plush cushioning.</t>
        </is>
      </c>
      <c r="N19" s="7" t="inlineStr">
        <is>
          <t>Unisex-Daily-Essential-Crew-Socks-Stripe</t>
        </is>
      </c>
      <c r="O19" s="7" t="inlineStr">
        <is>
          <t>Crew Socks</t>
        </is>
      </c>
    </row>
    <row r="20" ht="80" customHeight="1">
      <c r="A20" s="4">
        <f>IMAGE("https://images.lululemon.com/is/image/lululemon/LU9CLAS_0024_1?wid=320&amp;op_usm=0.8",1)</f>
        <v/>
      </c>
      <c r="B20" s="4" t="inlineStr">
        <is>
          <t>Unisex Daily Essential Crew Socks *Stripe</t>
        </is>
      </c>
      <c r="C20" s="4" t="inlineStr">
        <is>
          <t>155775212</t>
        </is>
      </c>
      <c r="D20" s="4" t="inlineStr">
        <is>
          <t>155775212-white/black</t>
        </is>
      </c>
      <c r="E20" s="4" t="inlineStr">
        <is>
          <t>Daily Essential Socks WHT/BLK S</t>
        </is>
      </c>
      <c r="F20" s="4" t="inlineStr">
        <is>
          <t>$14.00</t>
        </is>
      </c>
      <c r="G20" s="4" t="inlineStr">
        <is>
          <t>$7.00</t>
        </is>
      </c>
      <c r="H20" s="4" t="inlineStr">
        <is>
          <t>White/Black</t>
        </is>
      </c>
      <c r="I20" s="4">
        <f>IMAGE("https://images.lululemon.com/is/image/lululemon/0024",1)</f>
        <v/>
      </c>
      <c r="J20" s="4" t="inlineStr">
        <is>
          <t>XL</t>
        </is>
      </c>
      <c r="K20" s="4" t="inlineStr">
        <is>
          <t>75/1221</t>
        </is>
      </c>
      <c r="L20" s="4" t="inlineStr">
        <is>
          <t>Yes</t>
        </is>
      </c>
      <c r="M20" s="4" t="inlineStr">
        <is>
          <t>Top drawer comfort. These soft cotton socks combine integrated arch support and plush cushioning.</t>
        </is>
      </c>
      <c r="N20" s="4" t="inlineStr">
        <is>
          <t>Unisex-Daily-Essential-Crew-Socks-Stripe</t>
        </is>
      </c>
      <c r="O20" s="4" t="inlineStr">
        <is>
          <t>Crew Socks</t>
        </is>
      </c>
    </row>
    <row r="21" ht="80" customHeight="1">
      <c r="A21" s="7">
        <f>IMAGE("https://images.lululemon.com/is/image/lululemon/LU9CLAS_0024_1?wid=320&amp;op_usm=0.8",1)</f>
        <v/>
      </c>
      <c r="B21" s="7" t="inlineStr">
        <is>
          <t>Unisex Daily Essential Crew Socks *Stripe</t>
        </is>
      </c>
      <c r="C21" s="7" t="inlineStr">
        <is>
          <t>155788850</t>
        </is>
      </c>
      <c r="D21" s="7" t="inlineStr">
        <is>
          <t>155788850-white/rainforestgreen</t>
        </is>
      </c>
      <c r="E21" s="7" t="inlineStr">
        <is>
          <t>Daily Essential Socks WHT/BLK S</t>
        </is>
      </c>
      <c r="F21" s="7" t="inlineStr">
        <is>
          <t>$14.00</t>
        </is>
      </c>
      <c r="G21" s="7" t="inlineStr">
        <is>
          <t>$7.00</t>
        </is>
      </c>
      <c r="H21" s="7" t="inlineStr">
        <is>
          <t>White/Rainforest Green</t>
        </is>
      </c>
      <c r="I21" s="7">
        <f>IMAGE("https://images.lululemon.com/is/image/lululemon/69946",1)</f>
        <v/>
      </c>
      <c r="J21" s="7" t="inlineStr">
        <is>
          <t>S</t>
        </is>
      </c>
      <c r="K21" s="7" t="inlineStr">
        <is>
          <t>67/1221</t>
        </is>
      </c>
      <c r="L21" s="7" t="inlineStr">
        <is>
          <t>Yes</t>
        </is>
      </c>
      <c r="M21" s="7" t="inlineStr">
        <is>
          <t>Top drawer comfort. These soft cotton socks combine integrated arch support and plush cushioning.</t>
        </is>
      </c>
      <c r="N21" s="7" t="inlineStr">
        <is>
          <t>Unisex-Daily-Essential-Crew-Socks-Stripe</t>
        </is>
      </c>
      <c r="O21" s="7" t="inlineStr">
        <is>
          <t>Crew Socks</t>
        </is>
      </c>
    </row>
    <row r="22" ht="80" customHeight="1">
      <c r="A22" s="4">
        <f>IMAGE("https://images.lululemon.com/is/image/lululemon/LU9CLAS_0024_1?wid=320&amp;op_usm=0.8",1)</f>
        <v/>
      </c>
      <c r="B22" s="4" t="inlineStr">
        <is>
          <t>Unisex Daily Essential Crew Socks *Stripe</t>
        </is>
      </c>
      <c r="C22" s="4" t="inlineStr">
        <is>
          <t>155788849</t>
        </is>
      </c>
      <c r="D22" s="4" t="inlineStr">
        <is>
          <t>155788849-white/rainforestgreen</t>
        </is>
      </c>
      <c r="E22" s="4" t="inlineStr">
        <is>
          <t>Daily Essential Socks WHT/BLK S</t>
        </is>
      </c>
      <c r="F22" s="4" t="inlineStr">
        <is>
          <t>$14.00</t>
        </is>
      </c>
      <c r="G22" s="4" t="inlineStr">
        <is>
          <t>$7.00</t>
        </is>
      </c>
      <c r="H22" s="4" t="inlineStr">
        <is>
          <t>White/Rainforest Green</t>
        </is>
      </c>
      <c r="I22" s="4">
        <f>IMAGE("https://images.lululemon.com/is/image/lululemon/69946",1)</f>
        <v/>
      </c>
      <c r="J22" s="4" t="inlineStr">
        <is>
          <t>M</t>
        </is>
      </c>
      <c r="K22" s="4" t="inlineStr">
        <is>
          <t>145/1221</t>
        </is>
      </c>
      <c r="L22" s="4" t="inlineStr">
        <is>
          <t>Yes</t>
        </is>
      </c>
      <c r="M22" s="4" t="inlineStr">
        <is>
          <t>Top drawer comfort. These soft cotton socks combine integrated arch support and plush cushioning.</t>
        </is>
      </c>
      <c r="N22" s="4" t="inlineStr">
        <is>
          <t>Unisex-Daily-Essential-Crew-Socks-Stripe</t>
        </is>
      </c>
      <c r="O22" s="4" t="inlineStr">
        <is>
          <t>Crew Socks</t>
        </is>
      </c>
    </row>
    <row r="23" ht="80" customHeight="1">
      <c r="A23" s="7">
        <f>IMAGE("https://images.lululemon.com/is/image/lululemon/LU9CLAS_0024_1?wid=320&amp;op_usm=0.8",1)</f>
        <v/>
      </c>
      <c r="B23" s="7" t="inlineStr">
        <is>
          <t>Unisex Daily Essential Crew Socks *Stripe</t>
        </is>
      </c>
      <c r="C23" s="7" t="inlineStr">
        <is>
          <t>155788847</t>
        </is>
      </c>
      <c r="D23" s="7" t="inlineStr">
        <is>
          <t>155788847-white/rainforestgreen</t>
        </is>
      </c>
      <c r="E23" s="7" t="inlineStr">
        <is>
          <t>Daily Essential Socks WHT/BLK S</t>
        </is>
      </c>
      <c r="F23" s="7" t="inlineStr">
        <is>
          <t>$14.00</t>
        </is>
      </c>
      <c r="G23" s="7" t="inlineStr">
        <is>
          <t>$7.00</t>
        </is>
      </c>
      <c r="H23" s="7" t="inlineStr">
        <is>
          <t>White/Rainforest Green</t>
        </is>
      </c>
      <c r="I23" s="7">
        <f>IMAGE("https://images.lululemon.com/is/image/lululemon/69946",1)</f>
        <v/>
      </c>
      <c r="J23" s="7" t="inlineStr">
        <is>
          <t>L</t>
        </is>
      </c>
      <c r="K23" s="7" t="inlineStr">
        <is>
          <t>124/1221</t>
        </is>
      </c>
      <c r="L23" s="7" t="inlineStr">
        <is>
          <t>Yes</t>
        </is>
      </c>
      <c r="M23" s="7" t="inlineStr">
        <is>
          <t>Top drawer comfort. These soft cotton socks combine integrated arch support and plush cushioning.</t>
        </is>
      </c>
      <c r="N23" s="7" t="inlineStr">
        <is>
          <t>Unisex-Daily-Essential-Crew-Socks-Stripe</t>
        </is>
      </c>
      <c r="O23" s="7" t="inlineStr">
        <is>
          <t>Crew Socks</t>
        </is>
      </c>
    </row>
    <row r="24" ht="80" customHeight="1">
      <c r="A24" s="4">
        <f>IMAGE("https://images.lululemon.com/is/image/lululemon/LU9CLAS_0024_1?wid=320&amp;op_usm=0.8",1)</f>
        <v/>
      </c>
      <c r="B24" s="4" t="inlineStr">
        <is>
          <t>Unisex Daily Essential Crew Socks *Stripe</t>
        </is>
      </c>
      <c r="C24" s="4" t="inlineStr">
        <is>
          <t>155788852</t>
        </is>
      </c>
      <c r="D24" s="4" t="inlineStr">
        <is>
          <t>155788852-white/rainforestgreen</t>
        </is>
      </c>
      <c r="E24" s="4" t="inlineStr">
        <is>
          <t>Daily Essential Socks WHT/BLK S</t>
        </is>
      </c>
      <c r="F24" s="4" t="inlineStr">
        <is>
          <t>$14.00</t>
        </is>
      </c>
      <c r="G24" s="4" t="inlineStr">
        <is>
          <t>$7.00</t>
        </is>
      </c>
      <c r="H24" s="4" t="inlineStr">
        <is>
          <t>White/Rainforest Green</t>
        </is>
      </c>
      <c r="I24" s="4">
        <f>IMAGE("https://images.lululemon.com/is/image/lululemon/69946",1)</f>
        <v/>
      </c>
      <c r="J24" s="4" t="inlineStr">
        <is>
          <t>XL</t>
        </is>
      </c>
      <c r="K24" s="4" t="inlineStr">
        <is>
          <t>41/1221</t>
        </is>
      </c>
      <c r="L24" s="4" t="inlineStr">
        <is>
          <t>Yes</t>
        </is>
      </c>
      <c r="M24" s="4" t="inlineStr">
        <is>
          <t>Top drawer comfort. These soft cotton socks combine integrated arch support and plush cushioning.</t>
        </is>
      </c>
      <c r="N24" s="4" t="inlineStr">
        <is>
          <t>Unisex-Daily-Essential-Crew-Socks-Stripe</t>
        </is>
      </c>
      <c r="O24" s="4" t="inlineStr">
        <is>
          <t>Crew Socks</t>
        </is>
      </c>
    </row>
    <row r="25" ht="80" customHeight="1">
      <c r="A25" s="7">
        <f>IMAGE("https://images.lululemon.com/is/image/lululemon/LU9CLAS_0024_1?wid=320&amp;op_usm=0.8",1)</f>
        <v/>
      </c>
      <c r="B25" s="7" t="inlineStr">
        <is>
          <t>Unisex Daily Essential Crew Socks *Stripe</t>
        </is>
      </c>
      <c r="C25" s="7" t="inlineStr">
        <is>
          <t>157768641</t>
        </is>
      </c>
      <c r="D25" s="7" t="inlineStr">
        <is>
          <t>157768641-white/riverside</t>
        </is>
      </c>
      <c r="E25" s="7" t="inlineStr">
        <is>
          <t>Daily Essential Socks WHT/BLK S</t>
        </is>
      </c>
      <c r="F25" s="7" t="inlineStr">
        <is>
          <t>$14.00</t>
        </is>
      </c>
      <c r="G25" s="7" t="inlineStr">
        <is>
          <t>$7.00</t>
        </is>
      </c>
      <c r="H25" s="7" t="inlineStr">
        <is>
          <t>White/Riverside</t>
        </is>
      </c>
      <c r="I25" s="7">
        <f>IMAGE("https://images.lululemon.com/is/image/lululemon/74939",1)</f>
        <v/>
      </c>
      <c r="J25" s="7" t="inlineStr">
        <is>
          <t>S</t>
        </is>
      </c>
      <c r="K25" s="7" t="inlineStr">
        <is>
          <t>37/1221</t>
        </is>
      </c>
      <c r="L25" s="7" t="inlineStr">
        <is>
          <t>Yes</t>
        </is>
      </c>
      <c r="M25" s="7" t="inlineStr">
        <is>
          <t>Top drawer comfort. These soft cotton socks combine integrated arch support and plush cushioning.</t>
        </is>
      </c>
      <c r="N25" s="7" t="inlineStr">
        <is>
          <t>Unisex-Daily-Essential-Crew-Socks-Stripe</t>
        </is>
      </c>
      <c r="O25" s="7" t="inlineStr">
        <is>
          <t>Crew Socks</t>
        </is>
      </c>
    </row>
    <row r="26" ht="80" customHeight="1">
      <c r="A26" s="4">
        <f>IMAGE("https://images.lululemon.com/is/image/lululemon/LU9CLAS_0024_1?wid=320&amp;op_usm=0.8",1)</f>
        <v/>
      </c>
      <c r="B26" s="4" t="inlineStr">
        <is>
          <t>Unisex Daily Essential Crew Socks *Stripe</t>
        </is>
      </c>
      <c r="C26" s="4" t="inlineStr">
        <is>
          <t>157768640</t>
        </is>
      </c>
      <c r="D26" s="4" t="inlineStr">
        <is>
          <t>157768640-white/riverside</t>
        </is>
      </c>
      <c r="E26" s="4" t="inlineStr">
        <is>
          <t>Daily Essential Socks WHT/BLK S</t>
        </is>
      </c>
      <c r="F26" s="4" t="inlineStr">
        <is>
          <t>$14.00</t>
        </is>
      </c>
      <c r="G26" s="4" t="inlineStr">
        <is>
          <t>$7.00</t>
        </is>
      </c>
      <c r="H26" s="4" t="inlineStr">
        <is>
          <t>White/Riverside</t>
        </is>
      </c>
      <c r="I26" s="4">
        <f>IMAGE("https://images.lululemon.com/is/image/lululemon/74939",1)</f>
        <v/>
      </c>
      <c r="J26" s="4" t="inlineStr">
        <is>
          <t>M</t>
        </is>
      </c>
      <c r="K26" s="4" t="inlineStr">
        <is>
          <t>78/1221</t>
        </is>
      </c>
      <c r="L26" s="4" t="inlineStr">
        <is>
          <t>Yes</t>
        </is>
      </c>
      <c r="M26" s="4" t="inlineStr">
        <is>
          <t>Top drawer comfort. These soft cotton socks combine integrated arch support and plush cushioning.</t>
        </is>
      </c>
      <c r="N26" s="4" t="inlineStr">
        <is>
          <t>Unisex-Daily-Essential-Crew-Socks-Stripe</t>
        </is>
      </c>
      <c r="O26" s="4" t="inlineStr">
        <is>
          <t>Crew Socks</t>
        </is>
      </c>
    </row>
    <row r="27" ht="80" customHeight="1">
      <c r="A27" s="7">
        <f>IMAGE("https://images.lululemon.com/is/image/lululemon/LU9CLAS_0024_1?wid=320&amp;op_usm=0.8",1)</f>
        <v/>
      </c>
      <c r="B27" s="7" t="inlineStr">
        <is>
          <t>Unisex Daily Essential Crew Socks *Stripe</t>
        </is>
      </c>
      <c r="C27" s="7" t="inlineStr">
        <is>
          <t>157768639</t>
        </is>
      </c>
      <c r="D27" s="7" t="inlineStr">
        <is>
          <t>157768639-white/riverside</t>
        </is>
      </c>
      <c r="E27" s="7" t="inlineStr">
        <is>
          <t>Daily Essential Socks WHT/BLK S</t>
        </is>
      </c>
      <c r="F27" s="7" t="inlineStr">
        <is>
          <t>$14.00</t>
        </is>
      </c>
      <c r="G27" s="7" t="inlineStr">
        <is>
          <t>$7.00</t>
        </is>
      </c>
      <c r="H27" s="7" t="inlineStr">
        <is>
          <t>White/Riverside</t>
        </is>
      </c>
      <c r="I27" s="7">
        <f>IMAGE("https://images.lululemon.com/is/image/lululemon/74939",1)</f>
        <v/>
      </c>
      <c r="J27" s="7" t="inlineStr">
        <is>
          <t>L</t>
        </is>
      </c>
      <c r="K27" s="7" t="inlineStr">
        <is>
          <t>70/1221</t>
        </is>
      </c>
      <c r="L27" s="7" t="inlineStr">
        <is>
          <t>Yes</t>
        </is>
      </c>
      <c r="M27" s="7" t="inlineStr">
        <is>
          <t>Top drawer comfort. These soft cotton socks combine integrated arch support and plush cushioning.</t>
        </is>
      </c>
      <c r="N27" s="7" t="inlineStr">
        <is>
          <t>Unisex-Daily-Essential-Crew-Socks-Stripe</t>
        </is>
      </c>
      <c r="O27" s="7" t="inlineStr">
        <is>
          <t>Crew Socks</t>
        </is>
      </c>
    </row>
    <row r="28" ht="80" customHeight="1">
      <c r="A28" s="6">
        <f>IMAGE("https://images.lululemon.com/is/image/lululemon/LU9CLAS_0024_1?wid=320&amp;op_usm=0.8",1)</f>
        <v/>
      </c>
      <c r="B28" s="6" t="inlineStr">
        <is>
          <t>Unisex Daily Essential Crew Socks *Stripe</t>
        </is>
      </c>
      <c r="C28" s="6" t="inlineStr">
        <is>
          <t>157768642</t>
        </is>
      </c>
      <c r="D28" s="6" t="inlineStr">
        <is>
          <t>157768642-white/riverside</t>
        </is>
      </c>
      <c r="E28" s="6" t="inlineStr">
        <is>
          <t>Daily Essential Socks WHT/BLK S</t>
        </is>
      </c>
      <c r="F28" s="6" t="inlineStr">
        <is>
          <t>$14.00</t>
        </is>
      </c>
      <c r="G28" s="6" t="inlineStr">
        <is>
          <t>$7.00</t>
        </is>
      </c>
      <c r="H28" s="6" t="inlineStr">
        <is>
          <t>White/Riverside</t>
        </is>
      </c>
      <c r="I28" s="6">
        <f>IMAGE("https://images.lululemon.com/is/image/lululemon/74939",1)</f>
        <v/>
      </c>
      <c r="J28" s="6" t="inlineStr">
        <is>
          <t>XL</t>
        </is>
      </c>
      <c r="K28" s="6" t="inlineStr">
        <is>
          <t>31/1221</t>
        </is>
      </c>
      <c r="L28" s="6" t="inlineStr">
        <is>
          <t>Yes</t>
        </is>
      </c>
      <c r="M28" s="6" t="inlineStr">
        <is>
          <t>Top drawer comfort. These soft cotton socks combine integrated arch support and plush cushioning.</t>
        </is>
      </c>
      <c r="N28" s="6" t="inlineStr">
        <is>
          <t>Unisex-Daily-Essential-Crew-Socks-Stripe</t>
        </is>
      </c>
      <c r="O28" s="6" t="inlineStr">
        <is>
          <t>Crew Socks</t>
        </is>
      </c>
    </row>
    <row r="29" ht="80" customHeight="1">
      <c r="A29" s="7">
        <f>IMAGE("https://images.lululemon.com/is/image/lululemon/LM9AWSS_0001_1?wid=320&amp;op_usm=0.8",1)</f>
        <v/>
      </c>
      <c r="B29" s="7" t="inlineStr">
        <is>
          <t>Men's Fast and Free Insulated Running Gloves</t>
        </is>
      </c>
      <c r="C29" s="7" t="inlineStr">
        <is>
          <t>154901007</t>
        </is>
      </c>
      <c r="D29" s="7" t="inlineStr">
        <is>
          <t>154901007-black</t>
        </is>
      </c>
      <c r="E29" s="7" t="inlineStr">
        <is>
          <t>Fast and Free Insulated Run Gloves M BLK S</t>
        </is>
      </c>
      <c r="F29" s="7" t="inlineStr">
        <is>
          <t>$58.00</t>
        </is>
      </c>
      <c r="G29" s="7" t="inlineStr">
        <is>
          <t>$29.00</t>
        </is>
      </c>
      <c r="H29" s="7" t="inlineStr">
        <is>
          <t>Black</t>
        </is>
      </c>
      <c r="I29" s="7">
        <f>IMAGE("https://images.lululemon.com/is/image/lululemon/0001",1)</f>
        <v/>
      </c>
      <c r="J29" s="7" t="inlineStr">
        <is>
          <t>S</t>
        </is>
      </c>
      <c r="K29" s="7" t="inlineStr">
        <is>
          <t>13/142</t>
        </is>
      </c>
      <c r="L29" s="7" t="inlineStr">
        <is>
          <t>Yes</t>
        </is>
      </c>
      <c r="M29" s="7" t="inlineStr">
        <is>
          <t>Cold run, warm hands. These mid-weight gloves have a packable water-repellent hood and tech-friendly fingers.</t>
        </is>
      </c>
      <c r="N29" s="7" t="inlineStr">
        <is>
          <t>M-Fast-and-Free-Insulated-Running-Gloves</t>
        </is>
      </c>
      <c r="O29" s="7" t="inlineStr"/>
    </row>
    <row r="30" ht="80" customHeight="1">
      <c r="A30" s="4">
        <f>IMAGE("https://images.lululemon.com/is/image/lululemon/LM9AWSS_0001_1?wid=320&amp;op_usm=0.8",1)</f>
        <v/>
      </c>
      <c r="B30" s="4" t="inlineStr">
        <is>
          <t>Men's Fast and Free Insulated Running Gloves</t>
        </is>
      </c>
      <c r="C30" s="4" t="inlineStr">
        <is>
          <t>154901005</t>
        </is>
      </c>
      <c r="D30" s="4" t="inlineStr">
        <is>
          <t>154901005-black</t>
        </is>
      </c>
      <c r="E30" s="4" t="inlineStr">
        <is>
          <t>Fast and Free Insulated Run Gloves M BLK S</t>
        </is>
      </c>
      <c r="F30" s="4" t="inlineStr">
        <is>
          <t>$58.00</t>
        </is>
      </c>
      <c r="G30" s="4" t="inlineStr">
        <is>
          <t>$29.00</t>
        </is>
      </c>
      <c r="H30" s="4" t="inlineStr">
        <is>
          <t>Black</t>
        </is>
      </c>
      <c r="I30" s="4">
        <f>IMAGE("https://images.lululemon.com/is/image/lululemon/0001",1)</f>
        <v/>
      </c>
      <c r="J30" s="4" t="inlineStr">
        <is>
          <t>M</t>
        </is>
      </c>
      <c r="K30" s="4" t="inlineStr">
        <is>
          <t>42/142</t>
        </is>
      </c>
      <c r="L30" s="4" t="inlineStr">
        <is>
          <t>Yes</t>
        </is>
      </c>
      <c r="M30" s="4" t="inlineStr">
        <is>
          <t>Cold run, warm hands. These mid-weight gloves have a packable water-repellent hood and tech-friendly fingers.</t>
        </is>
      </c>
      <c r="N30" s="4" t="inlineStr">
        <is>
          <t>M-Fast-and-Free-Insulated-Running-Gloves</t>
        </is>
      </c>
      <c r="O30" s="4" t="inlineStr"/>
    </row>
    <row r="31" ht="80" customHeight="1">
      <c r="A31" s="7">
        <f>IMAGE("https://images.lululemon.com/is/image/lululemon/LM9AWSS_0001_1?wid=320&amp;op_usm=0.8",1)</f>
        <v/>
      </c>
      <c r="B31" s="7" t="inlineStr">
        <is>
          <t>Men's Fast and Free Insulated Running Gloves</t>
        </is>
      </c>
      <c r="C31" s="7" t="inlineStr">
        <is>
          <t>154901002</t>
        </is>
      </c>
      <c r="D31" s="7" t="inlineStr">
        <is>
          <t>154901002-black</t>
        </is>
      </c>
      <c r="E31" s="7" t="inlineStr">
        <is>
          <t>Fast and Free Insulated Run Gloves M BLK S</t>
        </is>
      </c>
      <c r="F31" s="7" t="inlineStr">
        <is>
          <t>$58.00</t>
        </is>
      </c>
      <c r="G31" s="7" t="inlineStr">
        <is>
          <t>$29.00</t>
        </is>
      </c>
      <c r="H31" s="7" t="inlineStr">
        <is>
          <t>Black</t>
        </is>
      </c>
      <c r="I31" s="7">
        <f>IMAGE("https://images.lululemon.com/is/image/lululemon/0001",1)</f>
        <v/>
      </c>
      <c r="J31" s="7" t="inlineStr">
        <is>
          <t>L</t>
        </is>
      </c>
      <c r="K31" s="7" t="inlineStr">
        <is>
          <t>46/142</t>
        </is>
      </c>
      <c r="L31" s="7" t="inlineStr">
        <is>
          <t>Yes</t>
        </is>
      </c>
      <c r="M31" s="7" t="inlineStr">
        <is>
          <t>Cold run, warm hands. These mid-weight gloves have a packable water-repellent hood and tech-friendly fingers.</t>
        </is>
      </c>
      <c r="N31" s="7" t="inlineStr">
        <is>
          <t>M-Fast-and-Free-Insulated-Running-Gloves</t>
        </is>
      </c>
      <c r="O31" s="7" t="inlineStr"/>
    </row>
    <row r="32" ht="80" customHeight="1">
      <c r="A32" s="6">
        <f>IMAGE("https://images.lululemon.com/is/image/lululemon/LM9AWSS_0001_1?wid=320&amp;op_usm=0.8",1)</f>
        <v/>
      </c>
      <c r="B32" s="6" t="inlineStr">
        <is>
          <t>Men's Fast and Free Insulated Running Gloves</t>
        </is>
      </c>
      <c r="C32" s="6" t="inlineStr">
        <is>
          <t>154901008</t>
        </is>
      </c>
      <c r="D32" s="6" t="inlineStr">
        <is>
          <t>154901008-black</t>
        </is>
      </c>
      <c r="E32" s="6" t="inlineStr">
        <is>
          <t>Fast and Free Insulated Run Gloves M BLK S</t>
        </is>
      </c>
      <c r="F32" s="6" t="inlineStr">
        <is>
          <t>$58.00</t>
        </is>
      </c>
      <c r="G32" s="6" t="inlineStr">
        <is>
          <t>$29.00</t>
        </is>
      </c>
      <c r="H32" s="6" t="inlineStr">
        <is>
          <t>Black</t>
        </is>
      </c>
      <c r="I32" s="6">
        <f>IMAGE("https://images.lululemon.com/is/image/lululemon/0001",1)</f>
        <v/>
      </c>
      <c r="J32" s="6" t="inlineStr">
        <is>
          <t>XL</t>
        </is>
      </c>
      <c r="K32" s="6" t="inlineStr">
        <is>
          <t>41/142</t>
        </is>
      </c>
      <c r="L32" s="6" t="inlineStr">
        <is>
          <t>Yes</t>
        </is>
      </c>
      <c r="M32" s="6" t="inlineStr">
        <is>
          <t>Cold run, warm hands. These mid-weight gloves have a packable water-repellent hood and tech-friendly fingers.</t>
        </is>
      </c>
      <c r="N32" s="6" t="inlineStr">
        <is>
          <t>M-Fast-and-Free-Insulated-Running-Gloves</t>
        </is>
      </c>
      <c r="O32" s="6" t="inlineStr"/>
    </row>
    <row r="33" ht="80" customHeight="1">
      <c r="A33" s="7">
        <f>IMAGE("https://images.lululemon.com/is/image/lululemon/LU9CPQS_0001_1?wid=320&amp;op_usm=0.8",1)</f>
        <v/>
      </c>
      <c r="B33" s="7" t="inlineStr">
        <is>
          <t>Unisex Power Stride Tab Socks</t>
        </is>
      </c>
      <c r="C33" s="7" t="inlineStr">
        <is>
          <t>156701189</t>
        </is>
      </c>
      <c r="D33" s="7" t="inlineStr">
        <is>
          <t>156701189-black</t>
        </is>
      </c>
      <c r="E33" s="7" t="inlineStr">
        <is>
          <t>Power Stride Socks BLK S</t>
        </is>
      </c>
      <c r="F33" s="7" t="inlineStr">
        <is>
          <t>$14.00</t>
        </is>
      </c>
      <c r="G33" s="7" t="inlineStr">
        <is>
          <t>$7.00</t>
        </is>
      </c>
      <c r="H33" s="7" t="inlineStr">
        <is>
          <t>Black</t>
        </is>
      </c>
      <c r="I33" s="7">
        <f>IMAGE("https://images.lululemon.com/is/image/lululemon/0001",1)</f>
        <v/>
      </c>
      <c r="J33" s="7" t="inlineStr">
        <is>
          <t>S</t>
        </is>
      </c>
      <c r="K33" s="7" t="inlineStr">
        <is>
          <t>144/636</t>
        </is>
      </c>
      <c r="L33" s="7" t="inlineStr">
        <is>
          <t>Yes</t>
        </is>
      </c>
      <c r="M33" s="7" t="inlineStr">
        <is>
          <t>Set the groundwork for a strong workout. We updated our versatile performance socks with intentional cushioning and enhanced breathability so you can move more comfortably.</t>
        </is>
      </c>
      <c r="N33" s="7" t="inlineStr">
        <is>
          <t>Unisex-Power-Stride-Tab-Socks</t>
        </is>
      </c>
      <c r="O33" s="7" t="inlineStr">
        <is>
          <t>Ankle Socks</t>
        </is>
      </c>
    </row>
    <row r="34" ht="80" customHeight="1">
      <c r="A34" s="4">
        <f>IMAGE("https://images.lululemon.com/is/image/lululemon/LU9CPQS_0001_1?wid=320&amp;op_usm=0.8",1)</f>
        <v/>
      </c>
      <c r="B34" s="4" t="inlineStr">
        <is>
          <t>Unisex Power Stride Tab Socks</t>
        </is>
      </c>
      <c r="C34" s="4" t="inlineStr">
        <is>
          <t>156701188</t>
        </is>
      </c>
      <c r="D34" s="4" t="inlineStr">
        <is>
          <t>156701188-black</t>
        </is>
      </c>
      <c r="E34" s="4" t="inlineStr">
        <is>
          <t>Power Stride Socks BLK S</t>
        </is>
      </c>
      <c r="F34" s="4" t="inlineStr">
        <is>
          <t>$14.00</t>
        </is>
      </c>
      <c r="G34" s="4" t="inlineStr">
        <is>
          <t>$7.00</t>
        </is>
      </c>
      <c r="H34" s="4" t="inlineStr">
        <is>
          <t>Black</t>
        </is>
      </c>
      <c r="I34" s="4">
        <f>IMAGE("https://images.lululemon.com/is/image/lululemon/0001",1)</f>
        <v/>
      </c>
      <c r="J34" s="4" t="inlineStr">
        <is>
          <t>M</t>
        </is>
      </c>
      <c r="K34" s="4" t="inlineStr">
        <is>
          <t>289/636</t>
        </is>
      </c>
      <c r="L34" s="4" t="inlineStr">
        <is>
          <t>Yes</t>
        </is>
      </c>
      <c r="M34" s="4" t="inlineStr">
        <is>
          <t>Set the groundwork for a strong workout. We updated our versatile performance socks with intentional cushioning and enhanced breathability so you can move more comfortably.</t>
        </is>
      </c>
      <c r="N34" s="4" t="inlineStr">
        <is>
          <t>Unisex-Power-Stride-Tab-Socks</t>
        </is>
      </c>
      <c r="O34" s="4" t="inlineStr">
        <is>
          <t>Ankle Socks</t>
        </is>
      </c>
    </row>
    <row r="35" ht="80" customHeight="1">
      <c r="A35" s="7">
        <f>IMAGE("https://images.lululemon.com/is/image/lululemon/LU9CPQS_0001_1?wid=320&amp;op_usm=0.8",1)</f>
        <v/>
      </c>
      <c r="B35" s="7" t="inlineStr">
        <is>
          <t>Unisex Power Stride Tab Socks</t>
        </is>
      </c>
      <c r="C35" s="7" t="inlineStr">
        <is>
          <t>156701187</t>
        </is>
      </c>
      <c r="D35" s="7" t="inlineStr">
        <is>
          <t>156701187-black</t>
        </is>
      </c>
      <c r="E35" s="7" t="inlineStr">
        <is>
          <t>Power Stride Socks BLK S</t>
        </is>
      </c>
      <c r="F35" s="7" t="inlineStr">
        <is>
          <t>$14.00</t>
        </is>
      </c>
      <c r="G35" s="7" t="inlineStr">
        <is>
          <t>$7.00</t>
        </is>
      </c>
      <c r="H35" s="7" t="inlineStr">
        <is>
          <t>Black</t>
        </is>
      </c>
      <c r="I35" s="7">
        <f>IMAGE("https://images.lululemon.com/is/image/lululemon/0001",1)</f>
        <v/>
      </c>
      <c r="J35" s="7" t="inlineStr">
        <is>
          <t>L</t>
        </is>
      </c>
      <c r="K35" s="7" t="inlineStr">
        <is>
          <t>193/636</t>
        </is>
      </c>
      <c r="L35" s="7" t="inlineStr">
        <is>
          <t>Yes</t>
        </is>
      </c>
      <c r="M35" s="7" t="inlineStr">
        <is>
          <t>Set the groundwork for a strong workout. We updated our versatile performance socks with intentional cushioning and enhanced breathability so you can move more comfortably.</t>
        </is>
      </c>
      <c r="N35" s="7" t="inlineStr">
        <is>
          <t>Unisex-Power-Stride-Tab-Socks</t>
        </is>
      </c>
      <c r="O35" s="7" t="inlineStr">
        <is>
          <t>Ankle Socks</t>
        </is>
      </c>
    </row>
    <row r="36" ht="80" customHeight="1">
      <c r="A36" s="6">
        <f>IMAGE("https://images.lululemon.com/is/image/lululemon/LU9CPQS_0001_1?wid=320&amp;op_usm=0.8",1)</f>
        <v/>
      </c>
      <c r="B36" s="6" t="inlineStr">
        <is>
          <t>Unisex Power Stride Tab Socks</t>
        </is>
      </c>
      <c r="C36" s="6" t="inlineStr">
        <is>
          <t>156701190</t>
        </is>
      </c>
      <c r="D36" s="6" t="inlineStr">
        <is>
          <t>156701190-black</t>
        </is>
      </c>
      <c r="E36" s="6" t="inlineStr">
        <is>
          <t>Power Stride Socks BLK S</t>
        </is>
      </c>
      <c r="F36" s="6" t="inlineStr">
        <is>
          <t>$14.00</t>
        </is>
      </c>
      <c r="G36" s="6" t="inlineStr">
        <is>
          <t>$7.00</t>
        </is>
      </c>
      <c r="H36" s="6" t="inlineStr">
        <is>
          <t>Black</t>
        </is>
      </c>
      <c r="I36" s="6">
        <f>IMAGE("https://images.lululemon.com/is/image/lululemon/0001",1)</f>
        <v/>
      </c>
      <c r="J36" s="6" t="inlineStr">
        <is>
          <t>XL</t>
        </is>
      </c>
      <c r="K36" s="6" t="inlineStr">
        <is>
          <t>10/636</t>
        </is>
      </c>
      <c r="L36" s="6" t="inlineStr">
        <is>
          <t>Yes</t>
        </is>
      </c>
      <c r="M36" s="6" t="inlineStr">
        <is>
          <t>Set the groundwork for a strong workout. We updated our versatile performance socks with intentional cushioning and enhanced breathability so you can move more comfortably.</t>
        </is>
      </c>
      <c r="N36" s="6" t="inlineStr">
        <is>
          <t>Unisex-Power-Stride-Tab-Socks</t>
        </is>
      </c>
      <c r="O36" s="6" t="inlineStr">
        <is>
          <t>Ankle Socks</t>
        </is>
      </c>
    </row>
    <row r="37" ht="80" customHeight="1">
      <c r="A37" s="5">
        <f>IMAGE("https://images.lululemon.com/is/image/lululemon/LU9ALIS_0001_1?wid=320&amp;op_usm=0.8",1)</f>
        <v/>
      </c>
      <c r="B37" s="5" t="inlineStr">
        <is>
          <t>Resistance Band Set</t>
        </is>
      </c>
      <c r="C37" s="5" t="inlineStr">
        <is>
          <t>142350264</t>
        </is>
      </c>
      <c r="D37" s="5" t="inlineStr">
        <is>
          <t>142350264-black</t>
        </is>
      </c>
      <c r="E37" s="5" t="inlineStr">
        <is>
          <t>Resistance Band Set BLK ONE SIZE</t>
        </is>
      </c>
      <c r="F37" s="5" t="inlineStr">
        <is>
          <t>$58.00</t>
        </is>
      </c>
      <c r="G37" s="5" t="inlineStr">
        <is>
          <t>$29.00</t>
        </is>
      </c>
      <c r="H37" s="5" t="inlineStr">
        <is>
          <t>Black</t>
        </is>
      </c>
      <c r="I37" s="5">
        <f>IMAGE("https://images.lululemon.com/is/image/lululemon/0001",1)</f>
        <v/>
      </c>
      <c r="J37" s="5" t="inlineStr">
        <is>
          <t>O/S</t>
        </is>
      </c>
      <c r="K37" s="5" t="inlineStr">
        <is>
          <t>298/298</t>
        </is>
      </c>
      <c r="L37" s="5" t="inlineStr">
        <is>
          <t>Yes</t>
        </is>
      </c>
      <c r="M37" s="5" t="inlineStr">
        <is>
          <t>Push, pull, strengthen, and tone—this resistance band set can handle it all. Switch between low, medium, and high resistance levels for a customized workout.</t>
        </is>
      </c>
      <c r="N37" s="5" t="inlineStr">
        <is>
          <t>Resistance-Bands-3-Pack</t>
        </is>
      </c>
      <c r="O37" s="5" t="inlineStr">
        <is>
          <t>Resistance Bands</t>
        </is>
      </c>
    </row>
    <row r="38" ht="80" customHeight="1">
      <c r="A38" s="4">
        <f>IMAGE("https://images.lululemon.com/is/image/lululemon/LU9BUMS_031382_1?wid=320&amp;op_usm=0.8",1)</f>
        <v/>
      </c>
      <c r="B38" s="4" t="inlineStr">
        <is>
          <t>Classic Ball Cap</t>
        </is>
      </c>
      <c r="C38" s="4" t="inlineStr">
        <is>
          <t>153836695</t>
        </is>
      </c>
      <c r="D38" s="4" t="inlineStr">
        <is>
          <t>153836695-truenavy</t>
        </is>
      </c>
      <c r="E38" s="4" t="inlineStr">
        <is>
          <t>Unisex Classic Ball Cap TRNV S/M</t>
        </is>
      </c>
      <c r="F38" s="4" t="inlineStr">
        <is>
          <t>$38.00</t>
        </is>
      </c>
      <c r="G38" s="4" t="inlineStr">
        <is>
          <t>$19.00</t>
        </is>
      </c>
      <c r="H38" s="4" t="inlineStr">
        <is>
          <t>True Navy</t>
        </is>
      </c>
      <c r="I38" s="4">
        <f>IMAGE("https://images.lululemon.com/is/image/lululemon/31382",1)</f>
        <v/>
      </c>
      <c r="J38" s="4" t="inlineStr">
        <is>
          <t>S/M</t>
        </is>
      </c>
      <c r="K38" s="4" t="inlineStr">
        <is>
          <t>163/3712</t>
        </is>
      </c>
      <c r="L38" s="4" t="inlineStr">
        <is>
          <t>Yes</t>
        </is>
      </c>
      <c r="M38" s="4" t="inlineStr">
        <is>
          <t>Anywhere, anytime. This soft, lightweight cap is a year-round favourite for days on the go.</t>
        </is>
      </c>
      <c r="N38" s="4" t="inlineStr">
        <is>
          <t>Soft-Cap</t>
        </is>
      </c>
      <c r="O38" s="4" t="inlineStr">
        <is>
          <t>Caps</t>
        </is>
      </c>
    </row>
    <row r="39" ht="80" customHeight="1">
      <c r="A39" s="7">
        <f>IMAGE("https://images.lululemon.com/is/image/lululemon/LU9BUMS_031382_1?wid=320&amp;op_usm=0.8",1)</f>
        <v/>
      </c>
      <c r="B39" s="7" t="inlineStr">
        <is>
          <t>Classic Ball Cap</t>
        </is>
      </c>
      <c r="C39" s="7" t="inlineStr">
        <is>
          <t>153836676</t>
        </is>
      </c>
      <c r="D39" s="7" t="inlineStr">
        <is>
          <t>153836676-truenavy</t>
        </is>
      </c>
      <c r="E39" s="7" t="inlineStr">
        <is>
          <t>Unisex Classic Ball Cap TRNV S/M</t>
        </is>
      </c>
      <c r="F39" s="7" t="inlineStr">
        <is>
          <t>$38.00</t>
        </is>
      </c>
      <c r="G39" s="7" t="inlineStr">
        <is>
          <t>$19.00</t>
        </is>
      </c>
      <c r="H39" s="7" t="inlineStr">
        <is>
          <t>True Navy</t>
        </is>
      </c>
      <c r="I39" s="7">
        <f>IMAGE("https://images.lululemon.com/is/image/lululemon/31382",1)</f>
        <v/>
      </c>
      <c r="J39" s="7" t="inlineStr">
        <is>
          <t>L/XL</t>
        </is>
      </c>
      <c r="K39" s="7" t="inlineStr">
        <is>
          <t>176/3712</t>
        </is>
      </c>
      <c r="L39" s="7" t="inlineStr">
        <is>
          <t>Yes</t>
        </is>
      </c>
      <c r="M39" s="7" t="inlineStr">
        <is>
          <t>Anywhere, anytime. This soft, lightweight cap is a year-round favourite for days on the go.</t>
        </is>
      </c>
      <c r="N39" s="7" t="inlineStr">
        <is>
          <t>Soft-Cap</t>
        </is>
      </c>
      <c r="O39" s="7" t="inlineStr">
        <is>
          <t>Caps</t>
        </is>
      </c>
    </row>
    <row r="40" ht="80" customHeight="1">
      <c r="A40" s="4">
        <f>IMAGE("https://images.lululemon.com/is/image/lululemon/LU9BUMS_031382_1?wid=320&amp;op_usm=0.8",1)</f>
        <v/>
      </c>
      <c r="B40" s="4" t="inlineStr">
        <is>
          <t>Classic Ball Cap</t>
        </is>
      </c>
      <c r="C40" s="4" t="inlineStr">
        <is>
          <t>150051019</t>
        </is>
      </c>
      <c r="D40" s="4" t="inlineStr">
        <is>
          <t>150051019-white</t>
        </is>
      </c>
      <c r="E40" s="4" t="inlineStr">
        <is>
          <t>Unisex Classic Ball Cap TRNV S/M</t>
        </is>
      </c>
      <c r="F40" s="4" t="inlineStr">
        <is>
          <t>$38.00</t>
        </is>
      </c>
      <c r="G40" s="4" t="inlineStr">
        <is>
          <t>$19.00</t>
        </is>
      </c>
      <c r="H40" s="4" t="inlineStr">
        <is>
          <t>White</t>
        </is>
      </c>
      <c r="I40" s="4">
        <f>IMAGE("https://images.lululemon.com/is/image/lululemon/0002",1)</f>
        <v/>
      </c>
      <c r="J40" s="4" t="inlineStr">
        <is>
          <t>S/M</t>
        </is>
      </c>
      <c r="K40" s="4" t="inlineStr">
        <is>
          <t>712/3712</t>
        </is>
      </c>
      <c r="L40" s="4" t="inlineStr">
        <is>
          <t>Yes</t>
        </is>
      </c>
      <c r="M40" s="4" t="inlineStr">
        <is>
          <t>Anywhere, anytime. This soft, lightweight cap is a year-round favourite for days on the go.</t>
        </is>
      </c>
      <c r="N40" s="4" t="inlineStr">
        <is>
          <t>Soft-Cap</t>
        </is>
      </c>
      <c r="O40" s="4" t="inlineStr">
        <is>
          <t>Caps</t>
        </is>
      </c>
    </row>
    <row r="41" ht="80" customHeight="1">
      <c r="A41" s="7">
        <f>IMAGE("https://images.lululemon.com/is/image/lululemon/LU9BUMS_031382_1?wid=320&amp;op_usm=0.8",1)</f>
        <v/>
      </c>
      <c r="B41" s="7" t="inlineStr">
        <is>
          <t>Classic Ball Cap</t>
        </is>
      </c>
      <c r="C41" s="7" t="inlineStr">
        <is>
          <t>150051008</t>
        </is>
      </c>
      <c r="D41" s="7" t="inlineStr">
        <is>
          <t>150051008-white</t>
        </is>
      </c>
      <c r="E41" s="7" t="inlineStr">
        <is>
          <t>Unisex Classic Ball Cap TRNV S/M</t>
        </is>
      </c>
      <c r="F41" s="7" t="inlineStr">
        <is>
          <t>$38.00</t>
        </is>
      </c>
      <c r="G41" s="7" t="inlineStr">
        <is>
          <t>$19.00</t>
        </is>
      </c>
      <c r="H41" s="7" t="inlineStr">
        <is>
          <t>White</t>
        </is>
      </c>
      <c r="I41" s="7">
        <f>IMAGE("https://images.lululemon.com/is/image/lululemon/0002",1)</f>
        <v/>
      </c>
      <c r="J41" s="7" t="inlineStr">
        <is>
          <t>L/XL</t>
        </is>
      </c>
      <c r="K41" s="7" t="inlineStr">
        <is>
          <t>622/3712</t>
        </is>
      </c>
      <c r="L41" s="7" t="inlineStr">
        <is>
          <t>Yes</t>
        </is>
      </c>
      <c r="M41" s="7" t="inlineStr">
        <is>
          <t>Anywhere, anytime. This soft, lightweight cap is a year-round favourite for days on the go.</t>
        </is>
      </c>
      <c r="N41" s="7" t="inlineStr">
        <is>
          <t>Soft-Cap</t>
        </is>
      </c>
      <c r="O41" s="7" t="inlineStr">
        <is>
          <t>Caps</t>
        </is>
      </c>
    </row>
    <row r="42" ht="80" customHeight="1">
      <c r="A42" s="4">
        <f>IMAGE("https://images.lululemon.com/is/image/lululemon/LU9BUMS_031382_1?wid=320&amp;op_usm=0.8",1)</f>
        <v/>
      </c>
      <c r="B42" s="4" t="inlineStr">
        <is>
          <t>Classic Ball Cap</t>
        </is>
      </c>
      <c r="C42" s="4" t="inlineStr">
        <is>
          <t>150050995</t>
        </is>
      </c>
      <c r="D42" s="4" t="inlineStr">
        <is>
          <t>150050995-black</t>
        </is>
      </c>
      <c r="E42" s="4" t="inlineStr">
        <is>
          <t>Unisex Classic Ball Cap TRNV S/M</t>
        </is>
      </c>
      <c r="F42" s="4" t="inlineStr">
        <is>
          <t>$38.00</t>
        </is>
      </c>
      <c r="G42" s="4" t="inlineStr">
        <is>
          <t>$19.00</t>
        </is>
      </c>
      <c r="H42" s="4" t="inlineStr">
        <is>
          <t>Black</t>
        </is>
      </c>
      <c r="I42" s="4">
        <f>IMAGE("https://images.lululemon.com/is/image/lululemon/0001",1)</f>
        <v/>
      </c>
      <c r="J42" s="4" t="inlineStr">
        <is>
          <t>S/M</t>
        </is>
      </c>
      <c r="K42" s="4" t="inlineStr">
        <is>
          <t>964/3712</t>
        </is>
      </c>
      <c r="L42" s="4" t="inlineStr">
        <is>
          <t>Yes</t>
        </is>
      </c>
      <c r="M42" s="4" t="inlineStr">
        <is>
          <t>Anywhere, anytime. This soft, lightweight cap is a year-round favourite for days on the go.</t>
        </is>
      </c>
      <c r="N42" s="4" t="inlineStr">
        <is>
          <t>Soft-Cap</t>
        </is>
      </c>
      <c r="O42" s="4" t="inlineStr">
        <is>
          <t>Caps</t>
        </is>
      </c>
    </row>
    <row r="43" ht="80" customHeight="1">
      <c r="A43" s="7">
        <f>IMAGE("https://images.lululemon.com/is/image/lululemon/LU9BUMS_031382_1?wid=320&amp;op_usm=0.8",1)</f>
        <v/>
      </c>
      <c r="B43" s="7" t="inlineStr">
        <is>
          <t>Classic Ball Cap</t>
        </is>
      </c>
      <c r="C43" s="7" t="inlineStr">
        <is>
          <t>150050988</t>
        </is>
      </c>
      <c r="D43" s="7" t="inlineStr">
        <is>
          <t>150050988-black</t>
        </is>
      </c>
      <c r="E43" s="7" t="inlineStr">
        <is>
          <t>Unisex Classic Ball Cap TRNV S/M</t>
        </is>
      </c>
      <c r="F43" s="7" t="inlineStr">
        <is>
          <t>$38.00</t>
        </is>
      </c>
      <c r="G43" s="7" t="inlineStr">
        <is>
          <t>$19.00</t>
        </is>
      </c>
      <c r="H43" s="7" t="inlineStr">
        <is>
          <t>Black</t>
        </is>
      </c>
      <c r="I43" s="7">
        <f>IMAGE("https://images.lululemon.com/is/image/lululemon/0001",1)</f>
        <v/>
      </c>
      <c r="J43" s="7" t="inlineStr">
        <is>
          <t>L/XL</t>
        </is>
      </c>
      <c r="K43" s="7" t="inlineStr">
        <is>
          <t>856/3712</t>
        </is>
      </c>
      <c r="L43" s="7" t="inlineStr">
        <is>
          <t>Yes</t>
        </is>
      </c>
      <c r="M43" s="7" t="inlineStr">
        <is>
          <t>Anywhere, anytime. This soft, lightweight cap is a year-round favourite for days on the go.</t>
        </is>
      </c>
      <c r="N43" s="7" t="inlineStr">
        <is>
          <t>Soft-Cap</t>
        </is>
      </c>
      <c r="O43" s="7" t="inlineStr">
        <is>
          <t>Caps</t>
        </is>
      </c>
    </row>
    <row r="44" ht="80" customHeight="1">
      <c r="A44" s="4">
        <f>IMAGE("https://images.lululemon.com/is/image/lululemon/LU9BUMS_031382_1?wid=320&amp;op_usm=0.8",1)</f>
        <v/>
      </c>
      <c r="B44" s="4" t="inlineStr">
        <is>
          <t>Classic Ball Cap</t>
        </is>
      </c>
      <c r="C44" s="4" t="inlineStr">
        <is>
          <t>155725378</t>
        </is>
      </c>
      <c r="D44" s="4" t="inlineStr">
        <is>
          <t>155725378-lightivory</t>
        </is>
      </c>
      <c r="E44" s="4" t="inlineStr">
        <is>
          <t>Unisex Classic Ball Cap TRNV S/M</t>
        </is>
      </c>
      <c r="F44" s="4" t="inlineStr">
        <is>
          <t>$38.00</t>
        </is>
      </c>
      <c r="G44" s="4" t="inlineStr">
        <is>
          <t>$19.00</t>
        </is>
      </c>
      <c r="H44" s="4" t="inlineStr">
        <is>
          <t>Light Ivory</t>
        </is>
      </c>
      <c r="I44" s="4">
        <f>IMAGE("https://images.lululemon.com/is/image/lululemon/33454",1)</f>
        <v/>
      </c>
      <c r="J44" s="4" t="inlineStr">
        <is>
          <t>S/M</t>
        </is>
      </c>
      <c r="K44" s="4" t="inlineStr">
        <is>
          <t>80/3712</t>
        </is>
      </c>
      <c r="L44" s="4" t="inlineStr">
        <is>
          <t>Yes</t>
        </is>
      </c>
      <c r="M44" s="4" t="inlineStr">
        <is>
          <t>Anywhere, anytime. This soft, lightweight cap is a year-round favourite for days on the go.</t>
        </is>
      </c>
      <c r="N44" s="4" t="inlineStr">
        <is>
          <t>Soft-Cap</t>
        </is>
      </c>
      <c r="O44" s="4" t="inlineStr">
        <is>
          <t>Caps</t>
        </is>
      </c>
    </row>
    <row r="45" ht="80" customHeight="1">
      <c r="A45" s="5">
        <f>IMAGE("https://images.lululemon.com/is/image/lululemon/LU9BUMS_031382_1?wid=320&amp;op_usm=0.8",1)</f>
        <v/>
      </c>
      <c r="B45" s="5" t="inlineStr">
        <is>
          <t>Classic Ball Cap</t>
        </is>
      </c>
      <c r="C45" s="5" t="inlineStr">
        <is>
          <t>155725366</t>
        </is>
      </c>
      <c r="D45" s="5" t="inlineStr">
        <is>
          <t>155725366-lightivory</t>
        </is>
      </c>
      <c r="E45" s="5" t="inlineStr">
        <is>
          <t>Unisex Classic Ball Cap TRNV S/M</t>
        </is>
      </c>
      <c r="F45" s="5" t="inlineStr">
        <is>
          <t>$38.00</t>
        </is>
      </c>
      <c r="G45" s="5" t="inlineStr">
        <is>
          <t>$19.00</t>
        </is>
      </c>
      <c r="H45" s="5" t="inlineStr">
        <is>
          <t>Light Ivory</t>
        </is>
      </c>
      <c r="I45" s="5">
        <f>IMAGE("https://images.lululemon.com/is/image/lululemon/33454",1)</f>
        <v/>
      </c>
      <c r="J45" s="5" t="inlineStr">
        <is>
          <t>L/XL</t>
        </is>
      </c>
      <c r="K45" s="5" t="inlineStr">
        <is>
          <t>139/3712</t>
        </is>
      </c>
      <c r="L45" s="5" t="inlineStr">
        <is>
          <t>Yes</t>
        </is>
      </c>
      <c r="M45" s="5" t="inlineStr">
        <is>
          <t>Anywhere, anytime. This soft, lightweight cap is a year-round favourite for days on the go.</t>
        </is>
      </c>
      <c r="N45" s="5" t="inlineStr">
        <is>
          <t>Soft-Cap</t>
        </is>
      </c>
      <c r="O45" s="5" t="inlineStr">
        <is>
          <t>Caps</t>
        </is>
      </c>
    </row>
    <row r="46" ht="80" customHeight="1">
      <c r="A46" s="4">
        <f>IMAGE("https://images.lululemon.com/is/image/lululemon/LU9CMAS_071473_1?wid=320&amp;op_usm=0.8",1)</f>
        <v/>
      </c>
      <c r="B46" s="4" t="inlineStr">
        <is>
          <t>Everywhere Backpack 22L</t>
        </is>
      </c>
      <c r="C46" s="4" t="inlineStr">
        <is>
          <t>156527940</t>
        </is>
      </c>
      <c r="D46" s="4" t="inlineStr">
        <is>
          <t>156527940-vapor/sheeroak</t>
        </is>
      </c>
      <c r="E46" s="4" t="inlineStr">
        <is>
          <t>Everywhere Backpack VPOR/SHOK ONE SIZE</t>
        </is>
      </c>
      <c r="F46" s="4" t="inlineStr">
        <is>
          <t>$78.00</t>
        </is>
      </c>
      <c r="G46" s="4" t="inlineStr">
        <is>
          <t>$39.00</t>
        </is>
      </c>
      <c r="H46" s="4" t="inlineStr">
        <is>
          <t>Vapor/Sheer Oak</t>
        </is>
      </c>
      <c r="I46" s="4">
        <f>IMAGE("https://images.lululemon.com/is/image/lululemon/71473",1)</f>
        <v/>
      </c>
      <c r="J46" s="4" t="inlineStr">
        <is>
          <t>O/S</t>
        </is>
      </c>
      <c r="K46" s="4" t="inlineStr">
        <is>
          <t>53/9167</t>
        </is>
      </c>
      <c r="L46" s="4" t="inlineStr">
        <is>
          <t>Yes</t>
        </is>
      </c>
      <c r="M46" s="4" t="inlineStr">
        <is>
          <t>Not your average backpack. With an internal laptop sleeve and side water bottle pockets, this one ticks the boxes for school, work, and travel.</t>
        </is>
      </c>
      <c r="N46" s="4" t="inlineStr">
        <is>
          <t>Everywhere-Backpack-22L</t>
        </is>
      </c>
      <c r="O46" s="4" t="inlineStr">
        <is>
          <t>Backpacks</t>
        </is>
      </c>
    </row>
    <row r="47" ht="80" customHeight="1">
      <c r="A47" s="7">
        <f>IMAGE("https://images.lululemon.com/is/image/lululemon/LU9CMAS_071473_1?wid=320&amp;op_usm=0.8",1)</f>
        <v/>
      </c>
      <c r="B47" s="7" t="inlineStr">
        <is>
          <t>Everywhere Backpack 22L</t>
        </is>
      </c>
      <c r="C47" s="7" t="inlineStr">
        <is>
          <t>157678353</t>
        </is>
      </c>
      <c r="D47" s="7" t="inlineStr">
        <is>
          <t>157678353-truenavy</t>
        </is>
      </c>
      <c r="E47" s="7" t="inlineStr">
        <is>
          <t>Everywhere Backpack VPOR/SHOK ONE SIZE</t>
        </is>
      </c>
      <c r="F47" s="7" t="inlineStr">
        <is>
          <t>$78.00</t>
        </is>
      </c>
      <c r="G47" s="7" t="inlineStr">
        <is>
          <t>$39.00</t>
        </is>
      </c>
      <c r="H47" s="7" t="inlineStr">
        <is>
          <t>True Navy</t>
        </is>
      </c>
      <c r="I47" s="7">
        <f>IMAGE("https://images.lululemon.com/is/image/lululemon/31382",1)</f>
        <v/>
      </c>
      <c r="J47" s="7" t="inlineStr">
        <is>
          <t>O/S</t>
        </is>
      </c>
      <c r="K47" s="7" t="inlineStr">
        <is>
          <t>113/9167</t>
        </is>
      </c>
      <c r="L47" s="7" t="inlineStr">
        <is>
          <t>Yes</t>
        </is>
      </c>
      <c r="M47" s="7" t="inlineStr">
        <is>
          <t>Not your average backpack. With an internal laptop sleeve and side water bottle pockets, this one ticks the boxes for school, work, and travel.</t>
        </is>
      </c>
      <c r="N47" s="7" t="inlineStr">
        <is>
          <t>Everywhere-Backpack-22L</t>
        </is>
      </c>
      <c r="O47" s="7" t="inlineStr">
        <is>
          <t>Backpacks</t>
        </is>
      </c>
    </row>
    <row r="48" ht="80" customHeight="1">
      <c r="A48" s="6">
        <f>IMAGE("https://images.lululemon.com/is/image/lululemon/LU9CMAS_071473_1?wid=320&amp;op_usm=0.8",1)</f>
        <v/>
      </c>
      <c r="B48" s="6" t="inlineStr">
        <is>
          <t>Everywhere Backpack 22L</t>
        </is>
      </c>
      <c r="C48" s="6" t="inlineStr">
        <is>
          <t>157678371</t>
        </is>
      </c>
      <c r="D48" s="6" t="inlineStr">
        <is>
          <t>157678371-black/graphitegrey</t>
        </is>
      </c>
      <c r="E48" s="6" t="inlineStr">
        <is>
          <t>Everywhere Backpack VPOR/SHOK ONE SIZE</t>
        </is>
      </c>
      <c r="F48" s="6" t="inlineStr">
        <is>
          <t>$78.00</t>
        </is>
      </c>
      <c r="G48" s="6" t="inlineStr">
        <is>
          <t>$39.00</t>
        </is>
      </c>
      <c r="H48" s="6" t="inlineStr">
        <is>
          <t>Black/Graphite Grey</t>
        </is>
      </c>
      <c r="I48" s="6">
        <f>IMAGE("https://images.lululemon.com/is/image/lululemon/43646",1)</f>
        <v/>
      </c>
      <c r="J48" s="6" t="inlineStr">
        <is>
          <t>O/S</t>
        </is>
      </c>
      <c r="K48" s="6" t="inlineStr">
        <is>
          <t>9001/9167</t>
        </is>
      </c>
      <c r="L48" s="6" t="inlineStr">
        <is>
          <t>Yes</t>
        </is>
      </c>
      <c r="M48" s="6" t="inlineStr">
        <is>
          <t>Not your average backpack. With an internal laptop sleeve and side water bottle pockets, this one ticks the boxes for school, work, and travel.</t>
        </is>
      </c>
      <c r="N48" s="6" t="inlineStr">
        <is>
          <t>Everywhere-Backpack-22L</t>
        </is>
      </c>
      <c r="O48" s="6" t="inlineStr">
        <is>
          <t>Backpacks</t>
        </is>
      </c>
    </row>
    <row r="49" ht="80" customHeight="1">
      <c r="A49" s="7">
        <f>IMAGE("https://images.lululemon.com/is/image/lululemon/LU9CN3S_074868_1?wid=320&amp;op_usm=0.8",1)</f>
        <v/>
      </c>
      <c r="B49" s="7" t="inlineStr">
        <is>
          <t>Everywhere Belt Bag 1L *Glitter</t>
        </is>
      </c>
      <c r="C49" s="7" t="inlineStr">
        <is>
          <t>157968470</t>
        </is>
      </c>
      <c r="D49" s="7" t="inlineStr">
        <is>
          <t>157968470-pinkchampagne/muse/gold</t>
        </is>
      </c>
      <c r="E49" s="7" t="inlineStr">
        <is>
          <t>Everywhere Belt Bag *Glitter PNUC/MUUS/GOLD ONE SIZE</t>
        </is>
      </c>
      <c r="F49" s="7" t="inlineStr">
        <is>
          <t>$58.00</t>
        </is>
      </c>
      <c r="G49" s="7" t="inlineStr">
        <is>
          <t>$29.00</t>
        </is>
      </c>
      <c r="H49" s="7" t="inlineStr">
        <is>
          <t>Pink Champagne/Muse/Gold</t>
        </is>
      </c>
      <c r="I49" s="7">
        <f>IMAGE("https://images.lululemon.com/is/image/lululemon/74868",1)</f>
        <v/>
      </c>
      <c r="J49" s="7" t="inlineStr">
        <is>
          <t>O/S</t>
        </is>
      </c>
      <c r="K49" s="7" t="inlineStr">
        <is>
          <t>685/2079</t>
        </is>
      </c>
      <c r="L49" s="7" t="inlineStr">
        <is>
          <t>Yes</t>
        </is>
      </c>
      <c r="M49" s="7" t="inlineStr">
        <is>
          <t>Phone, keys, wallet. Keep them close in this versatile belt bag that helps you get out the door and on to your next adventure.</t>
        </is>
      </c>
      <c r="N49" s="7" t="inlineStr">
        <is>
          <t>Everywhere-Belt-Bag-Glitter</t>
        </is>
      </c>
      <c r="O49" s="7" t="inlineStr">
        <is>
          <t>Belt Bags, Crossbody Bags</t>
        </is>
      </c>
    </row>
    <row r="50" ht="80" customHeight="1">
      <c r="A50" s="6">
        <f>IMAGE("https://images.lululemon.com/is/image/lululemon/LU9CN3S_074868_1?wid=320&amp;op_usm=0.8",1)</f>
        <v/>
      </c>
      <c r="B50" s="6" t="inlineStr">
        <is>
          <t>Everywhere Belt Bag 1L *Glitter</t>
        </is>
      </c>
      <c r="C50" s="6" t="inlineStr">
        <is>
          <t>157968473</t>
        </is>
      </c>
      <c r="D50" s="6" t="inlineStr">
        <is>
          <t>157968473-darksilver/graphitegrey/silver</t>
        </is>
      </c>
      <c r="E50" s="6" t="inlineStr">
        <is>
          <t>Everywhere Belt Bag *Glitter PNUC/MUUS/GOLD ONE SIZE</t>
        </is>
      </c>
      <c r="F50" s="6" t="inlineStr">
        <is>
          <t>$58.00</t>
        </is>
      </c>
      <c r="G50" s="6" t="inlineStr">
        <is>
          <t>$29.00</t>
        </is>
      </c>
      <c r="H50" s="6" t="inlineStr">
        <is>
          <t>Dark Silver/Graphite Grey/Silver</t>
        </is>
      </c>
      <c r="I50" s="6">
        <f>IMAGE("https://images.lululemon.com/is/image/lululemon/74449",1)</f>
        <v/>
      </c>
      <c r="J50" s="6" t="inlineStr">
        <is>
          <t>O/S</t>
        </is>
      </c>
      <c r="K50" s="6" t="inlineStr">
        <is>
          <t>1394/2079</t>
        </is>
      </c>
      <c r="L50" s="6" t="inlineStr">
        <is>
          <t>Yes</t>
        </is>
      </c>
      <c r="M50" s="6" t="inlineStr">
        <is>
          <t>Phone, keys, wallet. Keep them close in this versatile belt bag that helps you get out the door and on to your next adventure.</t>
        </is>
      </c>
      <c r="N50" s="6" t="inlineStr">
        <is>
          <t>Everywhere-Belt-Bag-Glitter</t>
        </is>
      </c>
      <c r="O50" s="6" t="inlineStr">
        <is>
          <t>Belt Bags, Crossbody Bags</t>
        </is>
      </c>
    </row>
    <row r="51" ht="80" customHeight="1">
      <c r="A51" s="5">
        <f>IMAGE("https://images.lululemon.com/is/image/lululemon/LU9AI6S_0001_1?wid=320&amp;op_usm=0.8",1)</f>
        <v/>
      </c>
      <c r="B51" s="5" t="inlineStr">
        <is>
          <t>Loop It Up Mat Strap</t>
        </is>
      </c>
      <c r="C51" s="5" t="inlineStr">
        <is>
          <t>123000131</t>
        </is>
      </c>
      <c r="D51" s="5" t="inlineStr">
        <is>
          <t>123000131-black</t>
        </is>
      </c>
      <c r="E51" s="5" t="inlineStr">
        <is>
          <t>Loop It Up Mat Strap BLK ONE SIZE</t>
        </is>
      </c>
      <c r="F51" s="5" t="inlineStr">
        <is>
          <t>$24.00</t>
        </is>
      </c>
      <c r="G51" s="5" t="inlineStr">
        <is>
          <t>$12.00</t>
        </is>
      </c>
      <c r="H51" s="5" t="inlineStr">
        <is>
          <t>Black</t>
        </is>
      </c>
      <c r="I51" s="5">
        <f>IMAGE("https://images.lululemon.com/is/image/lululemon/0001",1)</f>
        <v/>
      </c>
      <c r="J51" s="5" t="inlineStr">
        <is>
          <t>O/S</t>
        </is>
      </c>
      <c r="K51" s="5" t="inlineStr">
        <is>
          <t>526/526</t>
        </is>
      </c>
      <c r="L51" s="5" t="inlineStr">
        <is>
          <t>Yes</t>
        </is>
      </c>
      <c r="M51" s="5" t="inlineStr">
        <is>
          <t>A no-fuss mat strap perfect for carrying, well, your mat. It doubles as a strap to help you stretch. How about that?</t>
        </is>
      </c>
      <c r="N51" s="5" t="inlineStr">
        <is>
          <t>Loop-It-Up-Mat-Strap-Cotton</t>
        </is>
      </c>
      <c r="O51" s="5" t="inlineStr">
        <is>
          <t>Mat Straps</t>
        </is>
      </c>
    </row>
    <row r="52" ht="80" customHeight="1">
      <c r="A52" s="4">
        <f>IMAGE("https://images.lululemon.com/is/image/lululemon/LU9AZ3S_0002_1?wid=320&amp;op_usm=0.8",1)</f>
        <v/>
      </c>
      <c r="B52" s="4" t="inlineStr">
        <is>
          <t>Everywhere Belt Bag 1L</t>
        </is>
      </c>
      <c r="C52" s="4" t="inlineStr">
        <is>
          <t>143483266</t>
        </is>
      </c>
      <c r="D52" s="4" t="inlineStr">
        <is>
          <t>143483266-white</t>
        </is>
      </c>
      <c r="E52" s="4" t="inlineStr">
        <is>
          <t>Everywhere Belt Bag WHT ONE SIZE</t>
        </is>
      </c>
      <c r="F52" s="4" t="inlineStr">
        <is>
          <t>$38.00</t>
        </is>
      </c>
      <c r="G52" s="4" t="inlineStr">
        <is>
          <t>$19.00</t>
        </is>
      </c>
      <c r="H52" s="4" t="inlineStr">
        <is>
          <t>White</t>
        </is>
      </c>
      <c r="I52" s="4">
        <f>IMAGE("https://images.lululemon.com/is/image/lululemon/0002",1)</f>
        <v/>
      </c>
      <c r="J52" s="4" t="inlineStr">
        <is>
          <t>O/S</t>
        </is>
      </c>
      <c r="K52" s="4" t="inlineStr">
        <is>
          <t>4220/17813</t>
        </is>
      </c>
      <c r="L52" s="4" t="inlineStr">
        <is>
          <t>Yes</t>
        </is>
      </c>
      <c r="M52" s="4" t="inlineStr">
        <is>
          <t>Phone, keys, wallet. Keep them close in this versatile belt bag that helps you get out the door and on to your next adventure.</t>
        </is>
      </c>
      <c r="N52" s="4" t="inlineStr">
        <is>
          <t>Everywhere-Belt-Bag</t>
        </is>
      </c>
      <c r="O52" s="4" t="inlineStr">
        <is>
          <t>Belt Bags, Crossbody Bags</t>
        </is>
      </c>
    </row>
    <row r="53" ht="80" customHeight="1">
      <c r="A53" s="7">
        <f>IMAGE("https://images.lululemon.com/is/image/lululemon/LU9AZ3S_0002_1?wid=320&amp;op_usm=0.8",1)</f>
        <v/>
      </c>
      <c r="B53" s="7" t="inlineStr">
        <is>
          <t>Everywhere Belt Bag 1L</t>
        </is>
      </c>
      <c r="C53" s="7" t="inlineStr">
        <is>
          <t>143483264</t>
        </is>
      </c>
      <c r="D53" s="7" t="inlineStr">
        <is>
          <t>143483264-truenavy</t>
        </is>
      </c>
      <c r="E53" s="7" t="inlineStr">
        <is>
          <t>Everywhere Belt Bag WHT ONE SIZE</t>
        </is>
      </c>
      <c r="F53" s="7" t="inlineStr">
        <is>
          <t>$38.00</t>
        </is>
      </c>
      <c r="G53" s="7" t="inlineStr">
        <is>
          <t>$19.00</t>
        </is>
      </c>
      <c r="H53" s="7" t="inlineStr">
        <is>
          <t>True Navy</t>
        </is>
      </c>
      <c r="I53" s="7">
        <f>IMAGE("https://images.lululemon.com/is/image/lululemon/31382",1)</f>
        <v/>
      </c>
      <c r="J53" s="7" t="inlineStr">
        <is>
          <t>O/S</t>
        </is>
      </c>
      <c r="K53" s="7" t="inlineStr">
        <is>
          <t>484/17813</t>
        </is>
      </c>
      <c r="L53" s="7" t="inlineStr">
        <is>
          <t>Yes</t>
        </is>
      </c>
      <c r="M53" s="7" t="inlineStr">
        <is>
          <t>Phone, keys, wallet. Keep them close in this versatile belt bag that helps you get out the door and on to your next adventure.</t>
        </is>
      </c>
      <c r="N53" s="7" t="inlineStr">
        <is>
          <t>Everywhere-Belt-Bag</t>
        </is>
      </c>
      <c r="O53" s="7" t="inlineStr">
        <is>
          <t>Belt Bags, Crossbody Bags</t>
        </is>
      </c>
    </row>
    <row r="54" ht="80" customHeight="1">
      <c r="A54" s="4">
        <f>IMAGE("https://images.lululemon.com/is/image/lululemon/LU9AZ3S_0002_1?wid=320&amp;op_usm=0.8",1)</f>
        <v/>
      </c>
      <c r="B54" s="4" t="inlineStr">
        <is>
          <t>Everywhere Belt Bag 1L</t>
        </is>
      </c>
      <c r="C54" s="4" t="inlineStr">
        <is>
          <t>149400162</t>
        </is>
      </c>
      <c r="D54" s="4" t="inlineStr">
        <is>
          <t>149400162-black/black</t>
        </is>
      </c>
      <c r="E54" s="4" t="inlineStr">
        <is>
          <t>Everywhere Belt Bag WHT ONE SIZE</t>
        </is>
      </c>
      <c r="F54" s="4" t="inlineStr">
        <is>
          <t>$38.00</t>
        </is>
      </c>
      <c r="G54" s="4" t="inlineStr">
        <is>
          <t>$19.00</t>
        </is>
      </c>
      <c r="H54" s="4" t="inlineStr">
        <is>
          <t>Black/Black</t>
        </is>
      </c>
      <c r="I54" s="4">
        <f>IMAGE("https://images.lululemon.com/is/image/lululemon/4780",1)</f>
        <v/>
      </c>
      <c r="J54" s="4" t="inlineStr">
        <is>
          <t>O/S</t>
        </is>
      </c>
      <c r="K54" s="4" t="inlineStr">
        <is>
          <t>826/17813</t>
        </is>
      </c>
      <c r="L54" s="4" t="inlineStr">
        <is>
          <t>Yes</t>
        </is>
      </c>
      <c r="M54" s="4" t="inlineStr">
        <is>
          <t>Phone, keys, wallet. Keep them close in this versatile belt bag that helps you get out the door and on to your next adventure.</t>
        </is>
      </c>
      <c r="N54" s="4" t="inlineStr">
        <is>
          <t>Everywhere-Belt-Bag</t>
        </is>
      </c>
      <c r="O54" s="4" t="inlineStr">
        <is>
          <t>Belt Bags, Crossbody Bags</t>
        </is>
      </c>
    </row>
    <row r="55" ht="80" customHeight="1">
      <c r="A55" s="7">
        <f>IMAGE("https://images.lululemon.com/is/image/lululemon/LU9AZ3S_0002_1?wid=320&amp;op_usm=0.8",1)</f>
        <v/>
      </c>
      <c r="B55" s="7" t="inlineStr">
        <is>
          <t>Everywhere Belt Bag 1L</t>
        </is>
      </c>
      <c r="C55" s="7" t="inlineStr">
        <is>
          <t>156527215</t>
        </is>
      </c>
      <c r="D55" s="7" t="inlineStr">
        <is>
          <t>156527215-raspberrycoulis</t>
        </is>
      </c>
      <c r="E55" s="7" t="inlineStr">
        <is>
          <t>Everywhere Belt Bag WHT ONE SIZE</t>
        </is>
      </c>
      <c r="F55" s="7" t="inlineStr">
        <is>
          <t>$38.00</t>
        </is>
      </c>
      <c r="G55" s="7" t="inlineStr">
        <is>
          <t>$19.00</t>
        </is>
      </c>
      <c r="H55" s="7" t="inlineStr">
        <is>
          <t>Raspberry coulis</t>
        </is>
      </c>
      <c r="I55" s="7">
        <f>IMAGE("https://images.lululemon.com/is/image/lululemon/62220",1)</f>
        <v/>
      </c>
      <c r="J55" s="7" t="inlineStr">
        <is>
          <t>O/S</t>
        </is>
      </c>
      <c r="K55" s="7" t="inlineStr">
        <is>
          <t>1008/17813</t>
        </is>
      </c>
      <c r="L55" s="7" t="inlineStr">
        <is>
          <t>Yes</t>
        </is>
      </c>
      <c r="M55" s="7" t="inlineStr">
        <is>
          <t>Phone, keys, wallet. Keep them close in this versatile belt bag that helps you get out the door and on to your next adventure.</t>
        </is>
      </c>
      <c r="N55" s="7" t="inlineStr">
        <is>
          <t>Everywhere-Belt-Bag</t>
        </is>
      </c>
      <c r="O55" s="7" t="inlineStr">
        <is>
          <t>Belt Bags, Crossbody Bags</t>
        </is>
      </c>
    </row>
    <row r="56" ht="80" customHeight="1">
      <c r="A56" s="4">
        <f>IMAGE("https://images.lululemon.com/is/image/lululemon/LU9AZ3S_0002_1?wid=320&amp;op_usm=0.8",1)</f>
        <v/>
      </c>
      <c r="B56" s="4" t="inlineStr">
        <is>
          <t>Everywhere Belt Bag 1L</t>
        </is>
      </c>
      <c r="C56" s="4" t="inlineStr">
        <is>
          <t>156375657</t>
        </is>
      </c>
      <c r="D56" s="4" t="inlineStr">
        <is>
          <t>156375657-poolparty</t>
        </is>
      </c>
      <c r="E56" s="4" t="inlineStr">
        <is>
          <t>Everywhere Belt Bag WHT ONE SIZE</t>
        </is>
      </c>
      <c r="F56" s="4" t="inlineStr">
        <is>
          <t>$38.00</t>
        </is>
      </c>
      <c r="G56" s="4" t="inlineStr">
        <is>
          <t>$19.00</t>
        </is>
      </c>
      <c r="H56" s="4" t="inlineStr">
        <is>
          <t>Pool Party</t>
        </is>
      </c>
      <c r="I56" s="4">
        <f>IMAGE("https://images.lululemon.com/is/image/lululemon/25461",1)</f>
        <v/>
      </c>
      <c r="J56" s="4" t="inlineStr">
        <is>
          <t>O/S</t>
        </is>
      </c>
      <c r="K56" s="4" t="inlineStr">
        <is>
          <t>3783/17813</t>
        </is>
      </c>
      <c r="L56" s="4" t="inlineStr">
        <is>
          <t>Yes</t>
        </is>
      </c>
      <c r="M56" s="4" t="inlineStr">
        <is>
          <t>Phone, keys, wallet. Keep them close in this versatile belt bag that helps you get out the door and on to your next adventure.</t>
        </is>
      </c>
      <c r="N56" s="4" t="inlineStr">
        <is>
          <t>Everywhere-Belt-Bag</t>
        </is>
      </c>
      <c r="O56" s="4" t="inlineStr">
        <is>
          <t>Belt Bags, Crossbody Bags</t>
        </is>
      </c>
    </row>
    <row r="57" ht="80" customHeight="1">
      <c r="A57" s="7">
        <f>IMAGE("https://images.lululemon.com/is/image/lululemon/LU9AZ3S_0002_1?wid=320&amp;op_usm=0.8",1)</f>
        <v/>
      </c>
      <c r="B57" s="7" t="inlineStr">
        <is>
          <t>Everywhere Belt Bag 1L</t>
        </is>
      </c>
      <c r="C57" s="7" t="inlineStr">
        <is>
          <t>156425981</t>
        </is>
      </c>
      <c r="D57" s="7" t="inlineStr">
        <is>
          <t>156425981-racewaygreen</t>
        </is>
      </c>
      <c r="E57" s="7" t="inlineStr">
        <is>
          <t>Everywhere Belt Bag WHT ONE SIZE</t>
        </is>
      </c>
      <c r="F57" s="7" t="inlineStr">
        <is>
          <t>$38.00</t>
        </is>
      </c>
      <c r="G57" s="7" t="inlineStr">
        <is>
          <t>$19.00</t>
        </is>
      </c>
      <c r="H57" s="7" t="inlineStr">
        <is>
          <t>Raceway Green</t>
        </is>
      </c>
      <c r="I57" s="7">
        <f>IMAGE("https://images.lululemon.com/is/image/lululemon/62468",1)</f>
        <v/>
      </c>
      <c r="J57" s="7" t="inlineStr">
        <is>
          <t>O/S</t>
        </is>
      </c>
      <c r="K57" s="7" t="inlineStr">
        <is>
          <t>3500/17813</t>
        </is>
      </c>
      <c r="L57" s="7" t="inlineStr">
        <is>
          <t>Yes</t>
        </is>
      </c>
      <c r="M57" s="7" t="inlineStr">
        <is>
          <t>Phone, keys, wallet. Keep them close in this versatile belt bag that helps you get out the door and on to your next adventure.</t>
        </is>
      </c>
      <c r="N57" s="7" t="inlineStr">
        <is>
          <t>Everywhere-Belt-Bag</t>
        </is>
      </c>
      <c r="O57" s="7" t="inlineStr">
        <is>
          <t>Belt Bags, Crossbody Bags</t>
        </is>
      </c>
    </row>
    <row r="58" ht="80" customHeight="1">
      <c r="A58" s="4">
        <f>IMAGE("https://images.lululemon.com/is/image/lululemon/LU9AZ3S_0002_1?wid=320&amp;op_usm=0.8",1)</f>
        <v/>
      </c>
      <c r="B58" s="4" t="inlineStr">
        <is>
          <t>Everywhere Belt Bag 1L</t>
        </is>
      </c>
      <c r="C58" s="4" t="inlineStr">
        <is>
          <t>156950705</t>
        </is>
      </c>
      <c r="D58" s="4" t="inlineStr">
        <is>
          <t>156950705-lightivory</t>
        </is>
      </c>
      <c r="E58" s="4" t="inlineStr">
        <is>
          <t>Everywhere Belt Bag WHT ONE SIZE</t>
        </is>
      </c>
      <c r="F58" s="4" t="inlineStr">
        <is>
          <t>$38.00</t>
        </is>
      </c>
      <c r="G58" s="4" t="inlineStr">
        <is>
          <t>$19.00</t>
        </is>
      </c>
      <c r="H58" s="4" t="inlineStr">
        <is>
          <t>Light Ivory</t>
        </is>
      </c>
      <c r="I58" s="4">
        <f>IMAGE("https://images.lululemon.com/is/image/lululemon/33454",1)</f>
        <v/>
      </c>
      <c r="J58" s="4" t="inlineStr">
        <is>
          <t>O/S</t>
        </is>
      </c>
      <c r="K58" s="4" t="inlineStr">
        <is>
          <t>339/17813</t>
        </is>
      </c>
      <c r="L58" s="4" t="inlineStr">
        <is>
          <t>Yes</t>
        </is>
      </c>
      <c r="M58" s="4" t="inlineStr">
        <is>
          <t>Phone, keys, wallet. Keep them close in this versatile belt bag that helps you get out the door and on to your next adventure.</t>
        </is>
      </c>
      <c r="N58" s="4" t="inlineStr">
        <is>
          <t>Everywhere-Belt-Bag</t>
        </is>
      </c>
      <c r="O58" s="4" t="inlineStr">
        <is>
          <t>Belt Bags, Crossbody Bags</t>
        </is>
      </c>
    </row>
    <row r="59" ht="80" customHeight="1">
      <c r="A59" s="7">
        <f>IMAGE("https://images.lululemon.com/is/image/lululemon/LU9AZ3S_0002_1?wid=320&amp;op_usm=0.8",1)</f>
        <v/>
      </c>
      <c r="B59" s="7" t="inlineStr">
        <is>
          <t>Everywhere Belt Bag 1L</t>
        </is>
      </c>
      <c r="C59" s="7" t="inlineStr">
        <is>
          <t>157550691</t>
        </is>
      </c>
      <c r="D59" s="7" t="inlineStr">
        <is>
          <t>157550691-sereneblue</t>
        </is>
      </c>
      <c r="E59" s="7" t="inlineStr">
        <is>
          <t>Everywhere Belt Bag WHT ONE SIZE</t>
        </is>
      </c>
      <c r="F59" s="7" t="inlineStr">
        <is>
          <t>$38.00</t>
        </is>
      </c>
      <c r="G59" s="7" t="inlineStr">
        <is>
          <t>$19.00</t>
        </is>
      </c>
      <c r="H59" s="7" t="inlineStr">
        <is>
          <t>Serene Blue</t>
        </is>
      </c>
      <c r="I59" s="7">
        <f>IMAGE("https://images.lululemon.com/is/image/lululemon/32507",1)</f>
        <v/>
      </c>
      <c r="J59" s="7" t="inlineStr">
        <is>
          <t>O/S</t>
        </is>
      </c>
      <c r="K59" s="7" t="inlineStr">
        <is>
          <t>251/17813</t>
        </is>
      </c>
      <c r="L59" s="7" t="inlineStr">
        <is>
          <t>Yes</t>
        </is>
      </c>
      <c r="M59" s="7" t="inlineStr">
        <is>
          <t>Phone, keys, wallet. Keep them close in this versatile belt bag that helps you get out the door and on to your next adventure.</t>
        </is>
      </c>
      <c r="N59" s="7" t="inlineStr">
        <is>
          <t>Everywhere-Belt-Bag</t>
        </is>
      </c>
      <c r="O59" s="7" t="inlineStr">
        <is>
          <t>Belt Bags, Crossbody Bags</t>
        </is>
      </c>
    </row>
    <row r="60" ht="80" customHeight="1">
      <c r="A60" s="4">
        <f>IMAGE("https://images.lululemon.com/is/image/lululemon/LU9AZ3S_0002_1?wid=320&amp;op_usm=0.8",1)</f>
        <v/>
      </c>
      <c r="B60" s="4" t="inlineStr">
        <is>
          <t>Everywhere Belt Bag 1L</t>
        </is>
      </c>
      <c r="C60" s="4" t="inlineStr">
        <is>
          <t>157550692</t>
        </is>
      </c>
      <c r="D60" s="4" t="inlineStr">
        <is>
          <t>157550692-bayleaf</t>
        </is>
      </c>
      <c r="E60" s="4" t="inlineStr">
        <is>
          <t>Everywhere Belt Bag WHT ONE SIZE</t>
        </is>
      </c>
      <c r="F60" s="4" t="inlineStr">
        <is>
          <t>$38.00</t>
        </is>
      </c>
      <c r="G60" s="4" t="inlineStr">
        <is>
          <t>$19.00</t>
        </is>
      </c>
      <c r="H60" s="4" t="inlineStr">
        <is>
          <t>Bay Leaf</t>
        </is>
      </c>
      <c r="I60" s="4">
        <f>IMAGE("https://images.lululemon.com/is/image/lululemon/62214",1)</f>
        <v/>
      </c>
      <c r="J60" s="4" t="inlineStr">
        <is>
          <t>O/S</t>
        </is>
      </c>
      <c r="K60" s="4" t="inlineStr">
        <is>
          <t>409/17813</t>
        </is>
      </c>
      <c r="L60" s="4" t="inlineStr">
        <is>
          <t>Yes</t>
        </is>
      </c>
      <c r="M60" s="4" t="inlineStr">
        <is>
          <t>Phone, keys, wallet. Keep them close in this versatile belt bag that helps you get out the door and on to your next adventure.</t>
        </is>
      </c>
      <c r="N60" s="4" t="inlineStr">
        <is>
          <t>Everywhere-Belt-Bag</t>
        </is>
      </c>
      <c r="O60" s="4" t="inlineStr">
        <is>
          <t>Belt Bags, Crossbody Bags</t>
        </is>
      </c>
    </row>
    <row r="61" ht="80" customHeight="1">
      <c r="A61" s="7">
        <f>IMAGE("https://images.lululemon.com/is/image/lululemon/LU9AZ3S_0002_1?wid=320&amp;op_usm=0.8",1)</f>
        <v/>
      </c>
      <c r="B61" s="7" t="inlineStr">
        <is>
          <t>Everywhere Belt Bag 1L</t>
        </is>
      </c>
      <c r="C61" s="7" t="inlineStr">
        <is>
          <t>157680324</t>
        </is>
      </c>
      <c r="D61" s="7" t="inlineStr">
        <is>
          <t>157680324-lululemonred</t>
        </is>
      </c>
      <c r="E61" s="7" t="inlineStr">
        <is>
          <t>Everywhere Belt Bag WHT ONE SIZE</t>
        </is>
      </c>
      <c r="F61" s="7" t="inlineStr">
        <is>
          <t>$38.00</t>
        </is>
      </c>
      <c r="G61" s="7" t="inlineStr">
        <is>
          <t>$19.00</t>
        </is>
      </c>
      <c r="H61" s="7" t="inlineStr">
        <is>
          <t>Lululemon Red</t>
        </is>
      </c>
      <c r="I61" s="7">
        <f>IMAGE("https://images.lululemon.com/is/image/lululemon/19295",1)</f>
        <v/>
      </c>
      <c r="J61" s="7" t="inlineStr">
        <is>
          <t>O/S</t>
        </is>
      </c>
      <c r="K61" s="7" t="inlineStr">
        <is>
          <t>953/17813</t>
        </is>
      </c>
      <c r="L61" s="7" t="inlineStr">
        <is>
          <t>Yes</t>
        </is>
      </c>
      <c r="M61" s="7" t="inlineStr">
        <is>
          <t>Phone, keys, wallet. Keep them close in this versatile belt bag that helps you get out the door and on to your next adventure.</t>
        </is>
      </c>
      <c r="N61" s="7" t="inlineStr">
        <is>
          <t>Everywhere-Belt-Bag</t>
        </is>
      </c>
      <c r="O61" s="7" t="inlineStr">
        <is>
          <t>Belt Bags, Crossbody Bags</t>
        </is>
      </c>
    </row>
    <row r="62" ht="80" customHeight="1">
      <c r="A62" s="4">
        <f>IMAGE("https://images.lululemon.com/is/image/lululemon/LU9AZ3S_0002_1?wid=320&amp;op_usm=0.8",1)</f>
        <v/>
      </c>
      <c r="B62" s="4" t="inlineStr">
        <is>
          <t>Everywhere Belt Bag 1L</t>
        </is>
      </c>
      <c r="C62" s="4" t="inlineStr">
        <is>
          <t>157704605</t>
        </is>
      </c>
      <c r="D62" s="4" t="inlineStr">
        <is>
          <t>157704605-rainforestgreen</t>
        </is>
      </c>
      <c r="E62" s="4" t="inlineStr">
        <is>
          <t>Everywhere Belt Bag WHT ONE SIZE</t>
        </is>
      </c>
      <c r="F62" s="4" t="inlineStr">
        <is>
          <t>$38.00</t>
        </is>
      </c>
      <c r="G62" s="4" t="inlineStr">
        <is>
          <t>$19.00</t>
        </is>
      </c>
      <c r="H62" s="4" t="inlineStr">
        <is>
          <t>Rainforest Green</t>
        </is>
      </c>
      <c r="I62" s="4">
        <f>IMAGE("https://images.lululemon.com/is/image/lululemon/49106",1)</f>
        <v/>
      </c>
      <c r="J62" s="4" t="inlineStr">
        <is>
          <t>O/S</t>
        </is>
      </c>
      <c r="K62" s="4" t="inlineStr">
        <is>
          <t>938/17813</t>
        </is>
      </c>
      <c r="L62" s="4" t="inlineStr">
        <is>
          <t>Yes</t>
        </is>
      </c>
      <c r="M62" s="4" t="inlineStr">
        <is>
          <t>Phone, keys, wallet. Keep them close in this versatile belt bag that helps you get out the door and on to your next adventure.</t>
        </is>
      </c>
      <c r="N62" s="4" t="inlineStr">
        <is>
          <t>Everywhere-Belt-Bag</t>
        </is>
      </c>
      <c r="O62" s="4" t="inlineStr">
        <is>
          <t>Belt Bags, Crossbody Bags</t>
        </is>
      </c>
    </row>
    <row r="63" ht="80" customHeight="1">
      <c r="A63" s="7">
        <f>IMAGE("https://images.lululemon.com/is/image/lululemon/LU9AZ3S_0002_1?wid=320&amp;op_usm=0.8",1)</f>
        <v/>
      </c>
      <c r="B63" s="7" t="inlineStr">
        <is>
          <t>Everywhere Belt Bag 1L</t>
        </is>
      </c>
      <c r="C63" s="7" t="inlineStr">
        <is>
          <t>158020309</t>
        </is>
      </c>
      <c r="D63" s="7" t="inlineStr">
        <is>
          <t>158020309-berryrumble</t>
        </is>
      </c>
      <c r="E63" s="7" t="inlineStr">
        <is>
          <t>Everywhere Belt Bag WHT ONE SIZE</t>
        </is>
      </c>
      <c r="F63" s="7" t="inlineStr">
        <is>
          <t>$38.00</t>
        </is>
      </c>
      <c r="G63" s="7" t="inlineStr">
        <is>
          <t>$19.00</t>
        </is>
      </c>
      <c r="H63" s="7" t="inlineStr">
        <is>
          <t>Berry Rumble</t>
        </is>
      </c>
      <c r="I63" s="7">
        <f>IMAGE("https://images.lululemon.com/is/image/lululemon/21363",1)</f>
        <v/>
      </c>
      <c r="J63" s="7" t="inlineStr">
        <is>
          <t>O/S</t>
        </is>
      </c>
      <c r="K63" s="7" t="inlineStr">
        <is>
          <t>760/17813</t>
        </is>
      </c>
      <c r="L63" s="7" t="inlineStr">
        <is>
          <t>Yes</t>
        </is>
      </c>
      <c r="M63" s="7" t="inlineStr">
        <is>
          <t>Phone, keys, wallet. Keep them close in this versatile belt bag that helps you get out the door and on to your next adventure.</t>
        </is>
      </c>
      <c r="N63" s="7" t="inlineStr">
        <is>
          <t>Everywhere-Belt-Bag</t>
        </is>
      </c>
      <c r="O63" s="7" t="inlineStr">
        <is>
          <t>Belt Bags, Crossbody Bags</t>
        </is>
      </c>
    </row>
    <row r="64" ht="80" customHeight="1">
      <c r="A64" s="6">
        <f>IMAGE("https://images.lululemon.com/is/image/lululemon/LU9AZ3S_0002_1?wid=320&amp;op_usm=0.8",1)</f>
        <v/>
      </c>
      <c r="B64" s="6" t="inlineStr">
        <is>
          <t>Everywhere Belt Bag 1L</t>
        </is>
      </c>
      <c r="C64" s="6" t="inlineStr">
        <is>
          <t>157677959</t>
        </is>
      </c>
      <c r="D64" s="6" t="inlineStr">
        <is>
          <t>157677959-warmashgrey</t>
        </is>
      </c>
      <c r="E64" s="6" t="inlineStr">
        <is>
          <t>Everywhere Belt Bag WHT ONE SIZE</t>
        </is>
      </c>
      <c r="F64" s="6" t="inlineStr">
        <is>
          <t>$38.00</t>
        </is>
      </c>
      <c r="G64" s="6" t="inlineStr">
        <is>
          <t>$19.00</t>
        </is>
      </c>
      <c r="H64" s="6" t="inlineStr">
        <is>
          <t>Warm Ash Grey</t>
        </is>
      </c>
      <c r="I64" s="6">
        <f>IMAGE("https://images.lululemon.com/is/image/lululemon/70108",1)</f>
        <v/>
      </c>
      <c r="J64" s="6" t="inlineStr">
        <is>
          <t>O/S</t>
        </is>
      </c>
      <c r="K64" s="6" t="inlineStr">
        <is>
          <t>342/17813</t>
        </is>
      </c>
      <c r="L64" s="6" t="inlineStr">
        <is>
          <t>Yes</t>
        </is>
      </c>
      <c r="M64" s="6" t="inlineStr">
        <is>
          <t>Phone, keys, wallet. Keep them close in this versatile belt bag that helps you get out the door and on to your next adventure.</t>
        </is>
      </c>
      <c r="N64" s="6" t="inlineStr">
        <is>
          <t>Everywhere-Belt-Bag</t>
        </is>
      </c>
      <c r="O64" s="6" t="inlineStr">
        <is>
          <t>Belt Bags, Crossbody Bags</t>
        </is>
      </c>
    </row>
    <row r="65" ht="80" customHeight="1">
      <c r="A65" s="7">
        <f>IMAGE("https://images.lululemon.com/is/image/lululemon/LU9CRIS_0001_1?wid=320&amp;op_usm=0.8",1)</f>
        <v/>
      </c>
      <c r="B65" s="7" t="inlineStr">
        <is>
          <t>Warm Revelation Beanie</t>
        </is>
      </c>
      <c r="C65" s="7" t="inlineStr">
        <is>
          <t>157702454</t>
        </is>
      </c>
      <c r="D65" s="7" t="inlineStr">
        <is>
          <t>157702454-black</t>
        </is>
      </c>
      <c r="E65" s="7" t="inlineStr">
        <is>
          <t>Warm Revelation Beanie BLK ONE SIZE</t>
        </is>
      </c>
      <c r="F65" s="7" t="inlineStr">
        <is>
          <t>$48.00</t>
        </is>
      </c>
      <c r="G65" s="7" t="inlineStr">
        <is>
          <t>$24.00</t>
        </is>
      </c>
      <c r="H65" s="7" t="inlineStr">
        <is>
          <t>Black</t>
        </is>
      </c>
      <c r="I65" s="7">
        <f>IMAGE("https://images.lululemon.com/is/image/lululemon/0001",1)</f>
        <v/>
      </c>
      <c r="J65" s="7" t="inlineStr">
        <is>
          <t>O/S</t>
        </is>
      </c>
      <c r="K65" s="7" t="inlineStr">
        <is>
          <t>76/993</t>
        </is>
      </c>
      <c r="L65" s="7" t="inlineStr">
        <is>
          <t>Yes</t>
        </is>
      </c>
      <c r="M65" s="7" t="inlineStr">
        <is>
          <t>Pop on this merino wool-blend beanie when the temperature drops to help keep you cozy on chilly days.</t>
        </is>
      </c>
      <c r="N65" s="7" t="inlineStr">
        <is>
          <t>Warm-Revelation-Beanie</t>
        </is>
      </c>
      <c r="O65" s="7" t="inlineStr">
        <is>
          <t>Beanies</t>
        </is>
      </c>
    </row>
    <row r="66" ht="80" customHeight="1">
      <c r="A66" s="4">
        <f>IMAGE("https://images.lululemon.com/is/image/lululemon/LU9CRIS_0001_1?wid=320&amp;op_usm=0.8",1)</f>
        <v/>
      </c>
      <c r="B66" s="4" t="inlineStr">
        <is>
          <t>Warm Revelation Beanie</t>
        </is>
      </c>
      <c r="C66" s="4" t="inlineStr">
        <is>
          <t>158019207</t>
        </is>
      </c>
      <c r="D66" s="4" t="inlineStr">
        <is>
          <t>158019207-indochineblue</t>
        </is>
      </c>
      <c r="E66" s="4" t="inlineStr">
        <is>
          <t>Warm Revelation Beanie BLK ONE SIZE</t>
        </is>
      </c>
      <c r="F66" s="4" t="inlineStr">
        <is>
          <t>$48.00</t>
        </is>
      </c>
      <c r="G66" s="4" t="inlineStr">
        <is>
          <t>$24.00</t>
        </is>
      </c>
      <c r="H66" s="4" t="inlineStr">
        <is>
          <t>Indochine Blue</t>
        </is>
      </c>
      <c r="I66" s="4">
        <f>IMAGE("https://images.lululemon.com/is/image/lululemon/28022",1)</f>
        <v/>
      </c>
      <c r="J66" s="4" t="inlineStr">
        <is>
          <t>O/S</t>
        </is>
      </c>
      <c r="K66" s="4" t="inlineStr">
        <is>
          <t>462/993</t>
        </is>
      </c>
      <c r="L66" s="4" t="inlineStr">
        <is>
          <t>Yes</t>
        </is>
      </c>
      <c r="M66" s="4" t="inlineStr">
        <is>
          <t>Pop on this merino wool-blend beanie when the temperature drops to help keep you cozy on chilly days.</t>
        </is>
      </c>
      <c r="N66" s="4" t="inlineStr">
        <is>
          <t>Warm-Revelation-Beanie</t>
        </is>
      </c>
      <c r="O66" s="4" t="inlineStr">
        <is>
          <t>Beanies</t>
        </is>
      </c>
    </row>
    <row r="67" ht="80" customHeight="1">
      <c r="A67" s="5">
        <f>IMAGE("https://images.lululemon.com/is/image/lululemon/LU9CRIS_0001_1?wid=320&amp;op_usm=0.8",1)</f>
        <v/>
      </c>
      <c r="B67" s="5" t="inlineStr">
        <is>
          <t>Warm Revelation Beanie</t>
        </is>
      </c>
      <c r="C67" s="5" t="inlineStr">
        <is>
          <t>158019229</t>
        </is>
      </c>
      <c r="D67" s="5" t="inlineStr">
        <is>
          <t>158019229-foggreen</t>
        </is>
      </c>
      <c r="E67" s="5" t="inlineStr">
        <is>
          <t>Warm Revelation Beanie BLK ONE SIZE</t>
        </is>
      </c>
      <c r="F67" s="5" t="inlineStr">
        <is>
          <t>$48.00</t>
        </is>
      </c>
      <c r="G67" s="5" t="inlineStr">
        <is>
          <t>$24.00</t>
        </is>
      </c>
      <c r="H67" s="5" t="inlineStr">
        <is>
          <t>Fog Green</t>
        </is>
      </c>
      <c r="I67" s="5">
        <f>IMAGE("https://images.lululemon.com/is/image/lululemon/70144",1)</f>
        <v/>
      </c>
      <c r="J67" s="5" t="inlineStr">
        <is>
          <t>O/S</t>
        </is>
      </c>
      <c r="K67" s="5" t="inlineStr">
        <is>
          <t>455/993</t>
        </is>
      </c>
      <c r="L67" s="5" t="inlineStr">
        <is>
          <t>Yes</t>
        </is>
      </c>
      <c r="M67" s="5" t="inlineStr">
        <is>
          <t>Pop on this merino wool-blend beanie when the temperature drops to help keep you cozy on chilly days.</t>
        </is>
      </c>
      <c r="N67" s="5" t="inlineStr">
        <is>
          <t>Warm-Revelation-Beanie</t>
        </is>
      </c>
      <c r="O67" s="5" t="inlineStr">
        <is>
          <t>Beanies</t>
        </is>
      </c>
    </row>
    <row r="68" ht="80" customHeight="1">
      <c r="A68" s="6">
        <f>IMAGE("https://images.lululemon.com/is/image/lululemon/LU9BK9S_069510_1?wid=320&amp;op_usm=0.8",1)</f>
        <v/>
      </c>
      <c r="B68" s="6" t="inlineStr">
        <is>
          <t>Daily Multi-Pocket Canvas Tote Bag 20L *Logo</t>
        </is>
      </c>
      <c r="C68" s="6" t="inlineStr">
        <is>
          <t>155779488</t>
        </is>
      </c>
      <c r="D68" s="6" t="inlineStr">
        <is>
          <t>155779488-truenavy/starchblue</t>
        </is>
      </c>
      <c r="E68" s="6" t="inlineStr">
        <is>
          <t>Daily Multi-Pocket Tote *Canvas TRNV/STRH ONE SIZE</t>
        </is>
      </c>
      <c r="F68" s="6" t="inlineStr">
        <is>
          <t>$68.00</t>
        </is>
      </c>
      <c r="G68" s="6" t="inlineStr">
        <is>
          <t>$34.00</t>
        </is>
      </c>
      <c r="H68" s="6" t="inlineStr">
        <is>
          <t>True Navy/Starch Blue</t>
        </is>
      </c>
      <c r="I68" s="6">
        <f>IMAGE("https://images.lululemon.com/is/image/lululemon/69510",1)</f>
        <v/>
      </c>
      <c r="J68" s="6" t="inlineStr">
        <is>
          <t>O/S</t>
        </is>
      </c>
      <c r="K68" s="6" t="inlineStr">
        <is>
          <t>156/156</t>
        </is>
      </c>
      <c r="L68" s="6" t="inlineStr">
        <is>
          <t>Yes</t>
        </is>
      </c>
      <c r="M68" s="6" t="inlineStr">
        <is>
          <t>From farmers-market finds to picnic essentials, this roomy canvas tote handles it all. Plenty of pockets and a large opening make finding your things a breeze.</t>
        </is>
      </c>
      <c r="N68" s="6" t="inlineStr">
        <is>
          <t>Dly-Mlti-Pckt-Cnvs-Tote-Bag-20L-Logo</t>
        </is>
      </c>
      <c r="O68" s="6" t="inlineStr">
        <is>
          <t>Totes</t>
        </is>
      </c>
    </row>
    <row r="69" ht="80" customHeight="1">
      <c r="A69" s="5">
        <f>IMAGE("https://images.lululemon.com/is/image/lululemon/LU9BZRS_0001_1?wid=320&amp;op_usm=0.8",1)</f>
        <v/>
      </c>
      <c r="B69" s="5" t="inlineStr">
        <is>
          <t>Everywhere Belt Bag 1L *Wunder Puff Shine</t>
        </is>
      </c>
      <c r="C69" s="5" t="inlineStr">
        <is>
          <t>154877945</t>
        </is>
      </c>
      <c r="D69" s="5" t="inlineStr">
        <is>
          <t>154877945-black</t>
        </is>
      </c>
      <c r="E69" s="5" t="inlineStr">
        <is>
          <t>Everywhere Belt Bag *Wunder Puff BLK ONE SIZE</t>
        </is>
      </c>
      <c r="F69" s="5" t="inlineStr">
        <is>
          <t>$58.00</t>
        </is>
      </c>
      <c r="G69" s="5" t="inlineStr">
        <is>
          <t>$29.00</t>
        </is>
      </c>
      <c r="H69" s="5" t="inlineStr">
        <is>
          <t>Black</t>
        </is>
      </c>
      <c r="I69" s="5">
        <f>IMAGE("https://images.lululemon.com/is/image/lululemon/0001",1)</f>
        <v/>
      </c>
      <c r="J69" s="5" t="inlineStr">
        <is>
          <t>O/S</t>
        </is>
      </c>
      <c r="K69" s="5" t="inlineStr">
        <is>
          <t>645/645</t>
        </is>
      </c>
      <c r="L69" s="5" t="inlineStr">
        <is>
          <t>Yes</t>
        </is>
      </c>
      <c r="M69" s="5" t="inlineStr">
        <is>
          <t>Inspired by the look of our Wunder Puff collection, this quilted Everywhere Belt Bag has space for your phone, keys, and wallet.</t>
        </is>
      </c>
      <c r="N69" s="5" t="inlineStr">
        <is>
          <t>Everywhere-Belt-Bag-1L-Wunder-Puff-Shine</t>
        </is>
      </c>
      <c r="O69" s="5" t="inlineStr">
        <is>
          <t>Belt Bags, Crossbody Bags</t>
        </is>
      </c>
    </row>
    <row r="70" ht="80" customHeight="1">
      <c r="A70" s="6">
        <f>IMAGE("https://images.lululemon.com/is/image/lululemon/LU9AYAS_038426_1?wid=320&amp;op_usm=0.8",1)</f>
        <v/>
      </c>
      <c r="B70" s="6" t="inlineStr">
        <is>
          <t>The Lightweight Mat 5mm</t>
        </is>
      </c>
      <c r="C70" s="6" t="inlineStr">
        <is>
          <t>155825816</t>
        </is>
      </c>
      <c r="D70" s="6" t="inlineStr">
        <is>
          <t>155825816-solargrey</t>
        </is>
      </c>
      <c r="E70" s="6" t="inlineStr">
        <is>
          <t>The Lightweight Mat 5mm SOGY ONE SIZE</t>
        </is>
      </c>
      <c r="F70" s="6" t="inlineStr">
        <is>
          <t>$84.00</t>
        </is>
      </c>
      <c r="G70" s="6" t="inlineStr">
        <is>
          <t>$42.00</t>
        </is>
      </c>
      <c r="H70" s="6" t="inlineStr">
        <is>
          <t>Solar Grey</t>
        </is>
      </c>
      <c r="I70" s="6">
        <f>IMAGE("https://images.lululemon.com/is/image/lululemon/38426",1)</f>
        <v/>
      </c>
      <c r="J70" s="6" t="inlineStr">
        <is>
          <t>O/S</t>
        </is>
      </c>
      <c r="K70" s="6" t="inlineStr">
        <is>
          <t>63/63</t>
        </is>
      </c>
      <c r="L70" s="6" t="inlineStr">
        <is>
          <t>Yes</t>
        </is>
      </c>
      <c r="M70" s="6" t="inlineStr">
        <is>
          <t>This cushiony, easy-to-clean yoga mat is perfect for low-sweat practices. Pair with The Towel for extra grip when things heat up.</t>
        </is>
      </c>
      <c r="N70" s="6" t="inlineStr">
        <is>
          <t>The-Lightweight-Mat-5mm</t>
        </is>
      </c>
      <c r="O70" s="6" t="inlineStr"/>
    </row>
    <row r="71" ht="80" customHeight="1">
      <c r="A71" s="5">
        <f>IMAGE("https://images.lululemon.com/is/image/lululemon/LU9D25S_031078_1?wid=320&amp;op_usm=0.8",1)</f>
        <v/>
      </c>
      <c r="B71" s="5" t="inlineStr">
        <is>
          <t>All Sport Backpack 10L</t>
        </is>
      </c>
      <c r="C71" s="5" t="inlineStr">
        <is>
          <t>157678046</t>
        </is>
      </c>
      <c r="D71" s="5" t="inlineStr">
        <is>
          <t>157678046-anchor/black</t>
        </is>
      </c>
      <c r="E71" s="5" t="inlineStr">
        <is>
          <t>All Sport Backpack 10L ANCH/BLK ONE SIZE</t>
        </is>
      </c>
      <c r="F71" s="5" t="inlineStr">
        <is>
          <t>$98.00</t>
        </is>
      </c>
      <c r="G71" s="5" t="inlineStr">
        <is>
          <t>$49.00</t>
        </is>
      </c>
      <c r="H71" s="5" t="inlineStr">
        <is>
          <t>Anchor/Black</t>
        </is>
      </c>
      <c r="I71" s="5">
        <f>IMAGE("https://images.lululemon.com/is/image/lululemon/31078",1)</f>
        <v/>
      </c>
      <c r="J71" s="5" t="inlineStr">
        <is>
          <t>O/S</t>
        </is>
      </c>
      <c r="K71" s="5" t="inlineStr">
        <is>
          <t>130/130</t>
        </is>
      </c>
      <c r="L71" s="5" t="inlineStr">
        <is>
          <t>Yes</t>
        </is>
      </c>
      <c r="M71" s="5" t="inlineStr">
        <is>
          <t>Run, bike, or hike your way into adventure. This lightweight backpack has ample storage for your gear and strategically placed load lifters and compression straps for a snug fit.</t>
        </is>
      </c>
      <c r="N71" s="5" t="inlineStr">
        <is>
          <t>All-Sport-Backpack-10L</t>
        </is>
      </c>
      <c r="O71" s="5" t="inlineStr">
        <is>
          <t>Backpacks</t>
        </is>
      </c>
    </row>
    <row r="72" ht="80" customHeight="1">
      <c r="A72" s="6">
        <f>IMAGE("https://images.lululemon.com/is/image/lululemon/LU9CWXS_074436_1?wid=320&amp;op_usm=0.8",1)</f>
        <v/>
      </c>
      <c r="B72" s="6" t="inlineStr">
        <is>
          <t>Wunderlust Backpack Mini 3L *Fleece</t>
        </is>
      </c>
      <c r="C72" s="6" t="inlineStr">
        <is>
          <t>158096482</t>
        </is>
      </c>
      <c r="D72" s="6" t="inlineStr">
        <is>
          <t>158096482-pelican/jadewhisper</t>
        </is>
      </c>
      <c r="E72" s="6" t="inlineStr">
        <is>
          <t>Wunderlust Backpack Mini *Fleece PLCN/JDWI ONE SIZE</t>
        </is>
      </c>
      <c r="F72" s="6" t="inlineStr">
        <is>
          <t>$108.00</t>
        </is>
      </c>
      <c r="G72" s="6" t="inlineStr">
        <is>
          <t>$54.00</t>
        </is>
      </c>
      <c r="H72" s="6" t="inlineStr">
        <is>
          <t>Pelican/Jade Whisper</t>
        </is>
      </c>
      <c r="I72" s="6">
        <f>IMAGE("https://images.lululemon.com/is/image/lululemon/74436",1)</f>
        <v/>
      </c>
      <c r="J72" s="6" t="inlineStr">
        <is>
          <t>O/S</t>
        </is>
      </c>
      <c r="K72" s="6" t="inlineStr">
        <is>
          <t>82/82</t>
        </is>
      </c>
      <c r="L72" s="6" t="inlineStr">
        <is>
          <t>Yes</t>
        </is>
      </c>
      <c r="M72" s="6" t="inlineStr">
        <is>
          <t>Major flex. Convert the straps on this mini bag to wear it as a backpack or cross-body. Stash your phone, protein bar, and tumbler inside and get going.</t>
        </is>
      </c>
      <c r="N72" s="6" t="inlineStr">
        <is>
          <t>Wunderlust-Backpack-Mini-3L-Fleece</t>
        </is>
      </c>
      <c r="O72" s="6" t="inlineStr">
        <is>
          <t>Backpacks</t>
        </is>
      </c>
    </row>
    <row r="73" ht="80" customHeight="1">
      <c r="A73" s="7">
        <f>IMAGE("https://images.lululemon.com/is/image/lululemon/LU9BU3S_0002_1?wid=320&amp;op_usm=0.8",1)</f>
        <v/>
      </c>
      <c r="B73" s="7" t="inlineStr">
        <is>
          <t>Fast and Free Running Hat *WovenAir</t>
        </is>
      </c>
      <c r="C73" s="7" t="inlineStr">
        <is>
          <t>153575604</t>
        </is>
      </c>
      <c r="D73" s="7" t="inlineStr">
        <is>
          <t>153575604-white</t>
        </is>
      </c>
      <c r="E73" s="7" t="inlineStr">
        <is>
          <t>Fast and Free Run Hat *WovenAir™ WHT S/M</t>
        </is>
      </c>
      <c r="F73" s="7" t="inlineStr">
        <is>
          <t>$38.00</t>
        </is>
      </c>
      <c r="G73" s="7" t="inlineStr">
        <is>
          <t>$19.00</t>
        </is>
      </c>
      <c r="H73" s="7" t="inlineStr">
        <is>
          <t>White</t>
        </is>
      </c>
      <c r="I73" s="7">
        <f>IMAGE("https://images.lululemon.com/is/image/lululemon/0002",1)</f>
        <v/>
      </c>
      <c r="J73" s="7" t="inlineStr">
        <is>
          <t>S/M</t>
        </is>
      </c>
      <c r="K73" s="7" t="inlineStr">
        <is>
          <t>335/2257</t>
        </is>
      </c>
      <c r="L73" s="7" t="inlineStr">
        <is>
          <t>Yes</t>
        </is>
      </c>
      <c r="M73" s="7" t="inlineStr">
        <is>
          <t>Short jogs, five mile sprints, or full-on marathons—whatever distance you're running, this lightweight hat provides shade and comfortable ventilation.</t>
        </is>
      </c>
      <c r="N73" s="7" t="inlineStr">
        <is>
          <t>Fast-and-Free-Running-Hat-WovenAir</t>
        </is>
      </c>
      <c r="O73" s="7" t="inlineStr">
        <is>
          <t>Caps</t>
        </is>
      </c>
    </row>
    <row r="74" ht="80" customHeight="1">
      <c r="A74" s="4">
        <f>IMAGE("https://images.lululemon.com/is/image/lululemon/LU9BU3S_0002_1?wid=320&amp;op_usm=0.8",1)</f>
        <v/>
      </c>
      <c r="B74" s="4" t="inlineStr">
        <is>
          <t>Fast and Free Running Hat *WovenAir</t>
        </is>
      </c>
      <c r="C74" s="4" t="inlineStr">
        <is>
          <t>153575602</t>
        </is>
      </c>
      <c r="D74" s="4" t="inlineStr">
        <is>
          <t>153575602-white</t>
        </is>
      </c>
      <c r="E74" s="4" t="inlineStr">
        <is>
          <t>Fast and Free Run Hat *WovenAir™ WHT S/M</t>
        </is>
      </c>
      <c r="F74" s="4" t="inlineStr">
        <is>
          <t>$38.00</t>
        </is>
      </c>
      <c r="G74" s="4" t="inlineStr">
        <is>
          <t>$19.00</t>
        </is>
      </c>
      <c r="H74" s="4" t="inlineStr">
        <is>
          <t>White</t>
        </is>
      </c>
      <c r="I74" s="4">
        <f>IMAGE("https://images.lululemon.com/is/image/lululemon/0002",1)</f>
        <v/>
      </c>
      <c r="J74" s="4" t="inlineStr">
        <is>
          <t>L/XL</t>
        </is>
      </c>
      <c r="K74" s="4" t="inlineStr">
        <is>
          <t>602/2257</t>
        </is>
      </c>
      <c r="L74" s="4" t="inlineStr">
        <is>
          <t>Yes</t>
        </is>
      </c>
      <c r="M74" s="4" t="inlineStr">
        <is>
          <t>Short jogs, five mile sprints, or full-on marathons—whatever distance you're running, this lightweight hat provides shade and comfortable ventilation.</t>
        </is>
      </c>
      <c r="N74" s="4" t="inlineStr">
        <is>
          <t>Fast-and-Free-Running-Hat-WovenAir</t>
        </is>
      </c>
      <c r="O74" s="4" t="inlineStr">
        <is>
          <t>Caps</t>
        </is>
      </c>
    </row>
    <row r="75" ht="80" customHeight="1">
      <c r="A75" s="7">
        <f>IMAGE("https://images.lululemon.com/is/image/lululemon/LU9BU3S_0002_1?wid=320&amp;op_usm=0.8",1)</f>
        <v/>
      </c>
      <c r="B75" s="7" t="inlineStr">
        <is>
          <t>Fast and Free Running Hat *WovenAir</t>
        </is>
      </c>
      <c r="C75" s="7" t="inlineStr">
        <is>
          <t>153108395</t>
        </is>
      </c>
      <c r="D75" s="7" t="inlineStr">
        <is>
          <t>153108395-black</t>
        </is>
      </c>
      <c r="E75" s="7" t="inlineStr">
        <is>
          <t>Fast and Free Run Hat *WovenAir™ WHT S/M</t>
        </is>
      </c>
      <c r="F75" s="7" t="inlineStr">
        <is>
          <t>$38.00</t>
        </is>
      </c>
      <c r="G75" s="7" t="inlineStr">
        <is>
          <t>$19.00</t>
        </is>
      </c>
      <c r="H75" s="7" t="inlineStr">
        <is>
          <t>Black</t>
        </is>
      </c>
      <c r="I75" s="7">
        <f>IMAGE("https://images.lululemon.com/is/image/lululemon/0001",1)</f>
        <v/>
      </c>
      <c r="J75" s="7" t="inlineStr">
        <is>
          <t>S/M</t>
        </is>
      </c>
      <c r="K75" s="7" t="inlineStr">
        <is>
          <t>554/2257</t>
        </is>
      </c>
      <c r="L75" s="7" t="inlineStr">
        <is>
          <t>Yes</t>
        </is>
      </c>
      <c r="M75" s="7" t="inlineStr">
        <is>
          <t>Short jogs, five mile sprints, or full-on marathons—whatever distance you're running, this lightweight hat provides shade and comfortable ventilation.</t>
        </is>
      </c>
      <c r="N75" s="7" t="inlineStr">
        <is>
          <t>Fast-and-Free-Running-Hat-WovenAir</t>
        </is>
      </c>
      <c r="O75" s="7" t="inlineStr">
        <is>
          <t>Caps</t>
        </is>
      </c>
    </row>
    <row r="76" ht="80" customHeight="1">
      <c r="A76" s="4">
        <f>IMAGE("https://images.lululemon.com/is/image/lululemon/LU9BU3S_0002_1?wid=320&amp;op_usm=0.8",1)</f>
        <v/>
      </c>
      <c r="B76" s="4" t="inlineStr">
        <is>
          <t>Fast and Free Running Hat *WovenAir</t>
        </is>
      </c>
      <c r="C76" s="4" t="inlineStr">
        <is>
          <t>153108375</t>
        </is>
      </c>
      <c r="D76" s="4" t="inlineStr">
        <is>
          <t>153108375-black</t>
        </is>
      </c>
      <c r="E76" s="4" t="inlineStr">
        <is>
          <t>Fast and Free Run Hat *WovenAir™ WHT S/M</t>
        </is>
      </c>
      <c r="F76" s="4" t="inlineStr">
        <is>
          <t>$38.00</t>
        </is>
      </c>
      <c r="G76" s="4" t="inlineStr">
        <is>
          <t>$19.00</t>
        </is>
      </c>
      <c r="H76" s="4" t="inlineStr">
        <is>
          <t>Black</t>
        </is>
      </c>
      <c r="I76" s="4">
        <f>IMAGE("https://images.lululemon.com/is/image/lululemon/0001",1)</f>
        <v/>
      </c>
      <c r="J76" s="4" t="inlineStr">
        <is>
          <t>L/XL</t>
        </is>
      </c>
      <c r="K76" s="4" t="inlineStr">
        <is>
          <t>544/2257</t>
        </is>
      </c>
      <c r="L76" s="4" t="inlineStr">
        <is>
          <t>Yes</t>
        </is>
      </c>
      <c r="M76" s="4" t="inlineStr">
        <is>
          <t>Short jogs, five mile sprints, or full-on marathons—whatever distance you're running, this lightweight hat provides shade and comfortable ventilation.</t>
        </is>
      </c>
      <c r="N76" s="4" t="inlineStr">
        <is>
          <t>Fast-and-Free-Running-Hat-WovenAir</t>
        </is>
      </c>
      <c r="O76" s="4" t="inlineStr">
        <is>
          <t>Caps</t>
        </is>
      </c>
    </row>
    <row r="77" ht="80" customHeight="1">
      <c r="A77" s="7">
        <f>IMAGE("https://images.lululemon.com/is/image/lululemon/LU9BU3S_0002_1?wid=320&amp;op_usm=0.8",1)</f>
        <v/>
      </c>
      <c r="B77" s="7" t="inlineStr">
        <is>
          <t>Fast and Free Running Hat *WovenAir</t>
        </is>
      </c>
      <c r="C77" s="7" t="inlineStr">
        <is>
          <t>154877537</t>
        </is>
      </c>
      <c r="D77" s="7" t="inlineStr">
        <is>
          <t>154877537-truenavy</t>
        </is>
      </c>
      <c r="E77" s="7" t="inlineStr">
        <is>
          <t>Fast and Free Run Hat *WovenAir™ WHT S/M</t>
        </is>
      </c>
      <c r="F77" s="7" t="inlineStr">
        <is>
          <t>$38.00</t>
        </is>
      </c>
      <c r="G77" s="7" t="inlineStr">
        <is>
          <t>$19.00</t>
        </is>
      </c>
      <c r="H77" s="7" t="inlineStr">
        <is>
          <t>True Navy</t>
        </is>
      </c>
      <c r="I77" s="7">
        <f>IMAGE("https://images.lululemon.com/is/image/lululemon/31382",1)</f>
        <v/>
      </c>
      <c r="J77" s="7" t="inlineStr">
        <is>
          <t>S/M</t>
        </is>
      </c>
      <c r="K77" s="7" t="inlineStr">
        <is>
          <t>74/2257</t>
        </is>
      </c>
      <c r="L77" s="7" t="inlineStr">
        <is>
          <t>Yes</t>
        </is>
      </c>
      <c r="M77" s="7" t="inlineStr">
        <is>
          <t>Short jogs, five mile sprints, or full-on marathons—whatever distance you're running, this lightweight hat provides shade and comfortable ventilation.</t>
        </is>
      </c>
      <c r="N77" s="7" t="inlineStr">
        <is>
          <t>Fast-and-Free-Running-Hat-WovenAir</t>
        </is>
      </c>
      <c r="O77" s="7" t="inlineStr">
        <is>
          <t>Caps</t>
        </is>
      </c>
    </row>
    <row r="78" ht="80" customHeight="1">
      <c r="A78" s="6">
        <f>IMAGE("https://images.lululemon.com/is/image/lululemon/LU9BU3S_0002_1?wid=320&amp;op_usm=0.8",1)</f>
        <v/>
      </c>
      <c r="B78" s="6" t="inlineStr">
        <is>
          <t>Fast and Free Running Hat *WovenAir</t>
        </is>
      </c>
      <c r="C78" s="6" t="inlineStr">
        <is>
          <t>154877515</t>
        </is>
      </c>
      <c r="D78" s="6" t="inlineStr">
        <is>
          <t>154877515-truenavy</t>
        </is>
      </c>
      <c r="E78" s="6" t="inlineStr">
        <is>
          <t>Fast and Free Run Hat *WovenAir™ WHT S/M</t>
        </is>
      </c>
      <c r="F78" s="6" t="inlineStr">
        <is>
          <t>$38.00</t>
        </is>
      </c>
      <c r="G78" s="6" t="inlineStr">
        <is>
          <t>$19.00</t>
        </is>
      </c>
      <c r="H78" s="6" t="inlineStr">
        <is>
          <t>True Navy</t>
        </is>
      </c>
      <c r="I78" s="6">
        <f>IMAGE("https://images.lululemon.com/is/image/lululemon/31382",1)</f>
        <v/>
      </c>
      <c r="J78" s="6" t="inlineStr">
        <is>
          <t>L/XL</t>
        </is>
      </c>
      <c r="K78" s="6" t="inlineStr">
        <is>
          <t>148/2257</t>
        </is>
      </c>
      <c r="L78" s="6" t="inlineStr">
        <is>
          <t>Yes</t>
        </is>
      </c>
      <c r="M78" s="6" t="inlineStr">
        <is>
          <t>Short jogs, five mile sprints, or full-on marathons—whatever distance you're running, this lightweight hat provides shade and comfortable ventilation.</t>
        </is>
      </c>
      <c r="N78" s="6" t="inlineStr">
        <is>
          <t>Fast-and-Free-Running-Hat-WovenAir</t>
        </is>
      </c>
      <c r="O78" s="6" t="inlineStr">
        <is>
          <t>Caps</t>
        </is>
      </c>
    </row>
    <row r="79" ht="80" customHeight="1">
      <c r="A79" s="5">
        <f>IMAGE("https://images.lululemon.com/is/image/lululemon/LU9CXXS_021363_1?wid=320&amp;op_usm=0.8",1)</f>
        <v/>
      </c>
      <c r="B79" s="5" t="inlineStr">
        <is>
          <t>Warm Revelation Beanie *Shine</t>
        </is>
      </c>
      <c r="C79" s="5" t="inlineStr">
        <is>
          <t>158019285</t>
        </is>
      </c>
      <c r="D79" s="5" t="inlineStr">
        <is>
          <t>158019285-berryrumble</t>
        </is>
      </c>
      <c r="E79" s="5" t="inlineStr">
        <is>
          <t>Warm Revelation Beanie *Shine BRML ONE SIZE</t>
        </is>
      </c>
      <c r="F79" s="5" t="inlineStr">
        <is>
          <t>$52.00</t>
        </is>
      </c>
      <c r="G79" s="5" t="inlineStr">
        <is>
          <t>$26.00</t>
        </is>
      </c>
      <c r="H79" s="5" t="inlineStr">
        <is>
          <t>Berry Rumble</t>
        </is>
      </c>
      <c r="I79" s="5">
        <f>IMAGE("https://images.lululemon.com/is/image/lululemon/21363",1)</f>
        <v/>
      </c>
      <c r="J79" s="5" t="inlineStr">
        <is>
          <t>O/S</t>
        </is>
      </c>
      <c r="K79" s="5" t="inlineStr">
        <is>
          <t>900/900</t>
        </is>
      </c>
      <c r="L79" s="5" t="inlineStr">
        <is>
          <t>Yes</t>
        </is>
      </c>
      <c r="M79" s="5" t="inlineStr">
        <is>
          <t>Pop on this merino wool-blend beanie when the temperature drops to help keep you cozy on chilly days. To add a hint of shine, this version features a glittery yarn knit throughout.</t>
        </is>
      </c>
      <c r="N79" s="5" t="inlineStr">
        <is>
          <t>Warm-Revelation-Beanie-Shine</t>
        </is>
      </c>
      <c r="O79" s="5" t="inlineStr">
        <is>
          <t>Beanies</t>
        </is>
      </c>
    </row>
    <row r="80" ht="80" customHeight="1">
      <c r="A80" s="4">
        <f>IMAGE("https://images.lululemon.com/is/image/lululemon/LU9AC4S_073766_1?wid=320&amp;op_usm=0.8",1)</f>
        <v/>
      </c>
      <c r="B80" s="4" t="inlineStr">
        <is>
          <t>Lift and Lengthen Yoga Block</t>
        </is>
      </c>
      <c r="C80" s="4" t="inlineStr">
        <is>
          <t>157793520</t>
        </is>
      </c>
      <c r="D80" s="4" t="inlineStr">
        <is>
          <t>157793520-rainforestgreen/palmdeco/laurelgreen/lightivory</t>
        </is>
      </c>
      <c r="E80" s="4" t="inlineStr">
        <is>
          <t>Lift And Lengthen Yoga Block RGPL ONE SIZE</t>
        </is>
      </c>
      <c r="F80" s="4" t="inlineStr">
        <is>
          <t>$24.00</t>
        </is>
      </c>
      <c r="G80" s="4" t="inlineStr">
        <is>
          <t>$12.00</t>
        </is>
      </c>
      <c r="H80" s="4" t="inlineStr">
        <is>
          <t>Rainforest Green/Palm Deco/Laurel Green/Light Ivory</t>
        </is>
      </c>
      <c r="I80" s="4">
        <f>IMAGE("https://images.lululemon.com/is/image/lululemon/73766",1)</f>
        <v/>
      </c>
      <c r="J80" s="4" t="inlineStr">
        <is>
          <t>O/S</t>
        </is>
      </c>
      <c r="K80" s="4" t="inlineStr">
        <is>
          <t>167/1307</t>
        </is>
      </c>
      <c r="L80" s="4" t="inlineStr">
        <is>
          <t>Yes</t>
        </is>
      </c>
      <c r="M80" s="4" t="inlineStr">
        <is>
          <t>Give yourself a little support. From a few extra inches in crescent moon to lifting you in a seated twist, this block has your back.</t>
        </is>
      </c>
      <c r="N80" s="4" t="inlineStr">
        <is>
          <t>Lift-And-Lengthen-Yoga-Block</t>
        </is>
      </c>
      <c r="O80" s="4" t="inlineStr">
        <is>
          <t>Blocks</t>
        </is>
      </c>
    </row>
    <row r="81" ht="80" customHeight="1">
      <c r="A81" s="5">
        <f>IMAGE("https://images.lululemon.com/is/image/lululemon/LU9AC4S_073766_1?wid=320&amp;op_usm=0.8",1)</f>
        <v/>
      </c>
      <c r="B81" s="5" t="inlineStr">
        <is>
          <t>Lift and Lengthen Yoga Block</t>
        </is>
      </c>
      <c r="C81" s="5" t="inlineStr">
        <is>
          <t>3772817</t>
        </is>
      </c>
      <c r="D81" s="5" t="inlineStr">
        <is>
          <t>3772817-black/white</t>
        </is>
      </c>
      <c r="E81" s="5" t="inlineStr">
        <is>
          <t>Lift And Lengthen Yoga Block RGPL ONE SIZE</t>
        </is>
      </c>
      <c r="F81" s="5" t="inlineStr">
        <is>
          <t>$24.00</t>
        </is>
      </c>
      <c r="G81" s="5" t="inlineStr">
        <is>
          <t>$12.00</t>
        </is>
      </c>
      <c r="H81" s="5" t="inlineStr">
        <is>
          <t>Black/White</t>
        </is>
      </c>
      <c r="I81" s="5">
        <f>IMAGE("https://images.lululemon.com/is/image/lululemon/0023",1)</f>
        <v/>
      </c>
      <c r="J81" s="5" t="inlineStr">
        <is>
          <t>O/S</t>
        </is>
      </c>
      <c r="K81" s="5" t="inlineStr">
        <is>
          <t>1140/1307</t>
        </is>
      </c>
      <c r="L81" s="5" t="inlineStr">
        <is>
          <t>Yes</t>
        </is>
      </c>
      <c r="M81" s="5" t="inlineStr">
        <is>
          <t>Give yourself a little support. From a few extra inches in crescent moon to lifting you in a seated twist, this block has your back.</t>
        </is>
      </c>
      <c r="N81" s="5" t="inlineStr">
        <is>
          <t>Lift-And-Lengthen-Yoga-Block</t>
        </is>
      </c>
      <c r="O81" s="5" t="inlineStr">
        <is>
          <t>Blocks</t>
        </is>
      </c>
    </row>
    <row r="82" ht="80" customHeight="1">
      <c r="A82" s="4">
        <f>IMAGE("https://images.lululemon.com/is/image/lululemon/LU9CAMS_031382_1?wid=320&amp;op_usm=0.8",1)</f>
        <v/>
      </c>
      <c r="B82" s="4" t="inlineStr">
        <is>
          <t>Removable Sweatband All-Sport Visor</t>
        </is>
      </c>
      <c r="C82" s="4" t="inlineStr">
        <is>
          <t>150750165</t>
        </is>
      </c>
      <c r="D82" s="4" t="inlineStr">
        <is>
          <t>150750165-truenavy</t>
        </is>
      </c>
      <c r="E82" s="4" t="inlineStr">
        <is>
          <t>Removable Sweatband All-Sport Visor TRNV L/XL</t>
        </is>
      </c>
      <c r="F82" s="4" t="inlineStr">
        <is>
          <t>$38.00</t>
        </is>
      </c>
      <c r="G82" s="4" t="inlineStr">
        <is>
          <t>$19.00</t>
        </is>
      </c>
      <c r="H82" s="4" t="inlineStr">
        <is>
          <t>True Navy</t>
        </is>
      </c>
      <c r="I82" s="4">
        <f>IMAGE("https://images.lululemon.com/is/image/lululemon/31382",1)</f>
        <v/>
      </c>
      <c r="J82" s="4" t="inlineStr">
        <is>
          <t>L/XL</t>
        </is>
      </c>
      <c r="K82" s="4" t="inlineStr">
        <is>
          <t>149/181</t>
        </is>
      </c>
      <c r="L82" s="4" t="inlineStr">
        <is>
          <t>Yes</t>
        </is>
      </c>
      <c r="M82" s="4" t="inlineStr">
        <is>
          <t>It's easy to stay fresh with this do-it-all visor. Toss the detachable interior sweatband in the laundry so it's ready to go for your next sweat session.</t>
        </is>
      </c>
      <c r="N82" s="4" t="inlineStr">
        <is>
          <t>Removable-SweatbAll-Sport-Visor</t>
        </is>
      </c>
      <c r="O82" s="4" t="inlineStr">
        <is>
          <t>Visors</t>
        </is>
      </c>
    </row>
    <row r="83" ht="80" customHeight="1">
      <c r="A83" s="5">
        <f>IMAGE("https://images.lululemon.com/is/image/lululemon/LU9CAMS_031382_1?wid=320&amp;op_usm=0.8",1)</f>
        <v/>
      </c>
      <c r="B83" s="5" t="inlineStr">
        <is>
          <t>Removable Sweatband All-Sport Visor</t>
        </is>
      </c>
      <c r="C83" s="5" t="inlineStr">
        <is>
          <t>150750151</t>
        </is>
      </c>
      <c r="D83" s="5" t="inlineStr">
        <is>
          <t>150750151-black</t>
        </is>
      </c>
      <c r="E83" s="5" t="inlineStr">
        <is>
          <t>Removable Sweatband All-Sport Visor TRNV L/XL</t>
        </is>
      </c>
      <c r="F83" s="5" t="inlineStr">
        <is>
          <t>$38.00</t>
        </is>
      </c>
      <c r="G83" s="5" t="inlineStr">
        <is>
          <t>$19.00</t>
        </is>
      </c>
      <c r="H83" s="5" t="inlineStr">
        <is>
          <t>Black</t>
        </is>
      </c>
      <c r="I83" s="5">
        <f>IMAGE("https://images.lululemon.com/is/image/lululemon/0001",1)</f>
        <v/>
      </c>
      <c r="J83" s="5" t="inlineStr">
        <is>
          <t>L/XL</t>
        </is>
      </c>
      <c r="K83" s="5" t="inlineStr">
        <is>
          <t>32/181</t>
        </is>
      </c>
      <c r="L83" s="5" t="inlineStr">
        <is>
          <t>Yes</t>
        </is>
      </c>
      <c r="M83" s="5" t="inlineStr">
        <is>
          <t>It's easy to stay fresh with this do-it-all visor. Toss the detachable interior sweatband in the laundry so it's ready to go for your next sweat session.</t>
        </is>
      </c>
      <c r="N83" s="5" t="inlineStr">
        <is>
          <t>Removable-SweatbAll-Sport-Visor</t>
        </is>
      </c>
      <c r="O83" s="5" t="inlineStr">
        <is>
          <t>Visors</t>
        </is>
      </c>
    </row>
    <row r="84" ht="80" customHeight="1">
      <c r="A84" s="4">
        <f>IMAGE("https://images.lululemon.com/is/image/lululemon/LW9FBXS_0002_1?wid=320&amp;op_usm=0.8",1)</f>
        <v/>
      </c>
      <c r="B84" s="4" t="inlineStr">
        <is>
          <t>Women's Luxtreme Training Headband</t>
        </is>
      </c>
      <c r="C84" s="4" t="inlineStr">
        <is>
          <t>153836035</t>
        </is>
      </c>
      <c r="D84" s="4" t="inlineStr">
        <is>
          <t>153836035-white</t>
        </is>
      </c>
      <c r="E84" s="4" t="inlineStr">
        <is>
          <t>Luxtreme™ Training Headband WHT ONE SIZE</t>
        </is>
      </c>
      <c r="F84" s="4" t="inlineStr">
        <is>
          <t>$14.00</t>
        </is>
      </c>
      <c r="G84" s="4" t="inlineStr">
        <is>
          <t>$7.00</t>
        </is>
      </c>
      <c r="H84" s="4" t="inlineStr">
        <is>
          <t>White</t>
        </is>
      </c>
      <c r="I84" s="4">
        <f>IMAGE("https://images.lululemon.com/is/image/lululemon/0002",1)</f>
        <v/>
      </c>
      <c r="J84" s="4" t="inlineStr">
        <is>
          <t>O/S</t>
        </is>
      </c>
      <c r="K84" s="4" t="inlineStr">
        <is>
          <t>1721/4426</t>
        </is>
      </c>
      <c r="L84" s="4" t="inlineStr">
        <is>
          <t>Yes</t>
        </is>
      </c>
      <c r="M84" s="4" t="inlineStr">
        <is>
          <t>Keep your hair in place while you work out. This sweat-wicking headband hugs your head in all the right places.</t>
        </is>
      </c>
      <c r="N84" s="4" t="inlineStr">
        <is>
          <t>W-Luxtreme-Training-Headband</t>
        </is>
      </c>
      <c r="O84" s="4" t="inlineStr">
        <is>
          <t>Headbands</t>
        </is>
      </c>
    </row>
    <row r="85" ht="80" customHeight="1">
      <c r="A85" s="7">
        <f>IMAGE("https://images.lululemon.com/is/image/lululemon/LW9FBXS_0002_1?wid=320&amp;op_usm=0.8",1)</f>
        <v/>
      </c>
      <c r="B85" s="7" t="inlineStr">
        <is>
          <t>Women's Luxtreme Training Headband</t>
        </is>
      </c>
      <c r="C85" s="7" t="inlineStr">
        <is>
          <t>153836025</t>
        </is>
      </c>
      <c r="D85" s="7" t="inlineStr">
        <is>
          <t>153836025-black</t>
        </is>
      </c>
      <c r="E85" s="7" t="inlineStr">
        <is>
          <t>Luxtreme™ Training Headband WHT ONE SIZE</t>
        </is>
      </c>
      <c r="F85" s="7" t="inlineStr">
        <is>
          <t>$14.00</t>
        </is>
      </c>
      <c r="G85" s="7" t="inlineStr">
        <is>
          <t>$7.00</t>
        </is>
      </c>
      <c r="H85" s="7" t="inlineStr">
        <is>
          <t>Black</t>
        </is>
      </c>
      <c r="I85" s="7">
        <f>IMAGE("https://images.lululemon.com/is/image/lululemon/0001",1)</f>
        <v/>
      </c>
      <c r="J85" s="7" t="inlineStr">
        <is>
          <t>O/S</t>
        </is>
      </c>
      <c r="K85" s="7" t="inlineStr">
        <is>
          <t>2352/4426</t>
        </is>
      </c>
      <c r="L85" s="7" t="inlineStr">
        <is>
          <t>Yes</t>
        </is>
      </c>
      <c r="M85" s="7" t="inlineStr">
        <is>
          <t>Keep your hair in place while you work out. This sweat-wicking headband hugs your head in all the right places.</t>
        </is>
      </c>
      <c r="N85" s="7" t="inlineStr">
        <is>
          <t>W-Luxtreme-Training-Headband</t>
        </is>
      </c>
      <c r="O85" s="7" t="inlineStr">
        <is>
          <t>Headbands</t>
        </is>
      </c>
    </row>
    <row r="86" ht="80" customHeight="1">
      <c r="A86" s="4">
        <f>IMAGE("https://images.lululemon.com/is/image/lululemon/LW9FBXS_0002_1?wid=320&amp;op_usm=0.8",1)</f>
        <v/>
      </c>
      <c r="B86" s="4" t="inlineStr">
        <is>
          <t>Women's Luxtreme Training Headband</t>
        </is>
      </c>
      <c r="C86" s="4" t="inlineStr">
        <is>
          <t>158024940</t>
        </is>
      </c>
      <c r="D86" s="4" t="inlineStr">
        <is>
          <t>158024940-indochineblue</t>
        </is>
      </c>
      <c r="E86" s="4" t="inlineStr">
        <is>
          <t>Luxtreme™ Training Headband WHT ONE SIZE</t>
        </is>
      </c>
      <c r="F86" s="4" t="inlineStr">
        <is>
          <t>$14.00</t>
        </is>
      </c>
      <c r="G86" s="4" t="inlineStr">
        <is>
          <t>$7.00</t>
        </is>
      </c>
      <c r="H86" s="4" t="inlineStr">
        <is>
          <t>Indochine Blue</t>
        </is>
      </c>
      <c r="I86" s="4">
        <f>IMAGE("https://images.lululemon.com/is/image/lululemon/28022",1)</f>
        <v/>
      </c>
      <c r="J86" s="4" t="inlineStr">
        <is>
          <t>O/S</t>
        </is>
      </c>
      <c r="K86" s="4" t="inlineStr">
        <is>
          <t>76/4426</t>
        </is>
      </c>
      <c r="L86" s="4" t="inlineStr">
        <is>
          <t>Yes</t>
        </is>
      </c>
      <c r="M86" s="4" t="inlineStr">
        <is>
          <t>Keep your hair in place while you work out. This sweat-wicking headband hugs your head in all the right places.</t>
        </is>
      </c>
      <c r="N86" s="4" t="inlineStr">
        <is>
          <t>W-Luxtreme-Training-Headband</t>
        </is>
      </c>
      <c r="O86" s="4" t="inlineStr">
        <is>
          <t>Headbands</t>
        </is>
      </c>
    </row>
    <row r="87" ht="80" customHeight="1">
      <c r="A87" s="7">
        <f>IMAGE("https://images.lululemon.com/is/image/lululemon/LW9FBXS_0002_1?wid=320&amp;op_usm=0.8",1)</f>
        <v/>
      </c>
      <c r="B87" s="7" t="inlineStr">
        <is>
          <t>Women's Luxtreme Training Headband</t>
        </is>
      </c>
      <c r="C87" s="7" t="inlineStr">
        <is>
          <t>158024954</t>
        </is>
      </c>
      <c r="D87" s="7" t="inlineStr">
        <is>
          <t>158024954-berryrumble</t>
        </is>
      </c>
      <c r="E87" s="7" t="inlineStr">
        <is>
          <t>Luxtreme™ Training Headband WHT ONE SIZE</t>
        </is>
      </c>
      <c r="F87" s="7" t="inlineStr">
        <is>
          <t>$14.00</t>
        </is>
      </c>
      <c r="G87" s="7" t="inlineStr">
        <is>
          <t>$7.00</t>
        </is>
      </c>
      <c r="H87" s="7" t="inlineStr">
        <is>
          <t>Berry Rumble</t>
        </is>
      </c>
      <c r="I87" s="7">
        <f>IMAGE("https://images.lululemon.com/is/image/lululemon/21363",1)</f>
        <v/>
      </c>
      <c r="J87" s="7" t="inlineStr">
        <is>
          <t>O/S</t>
        </is>
      </c>
      <c r="K87" s="7" t="inlineStr">
        <is>
          <t>184/4426</t>
        </is>
      </c>
      <c r="L87" s="7" t="inlineStr">
        <is>
          <t>Yes</t>
        </is>
      </c>
      <c r="M87" s="7" t="inlineStr">
        <is>
          <t>Keep your hair in place while you work out. This sweat-wicking headband hugs your head in all the right places.</t>
        </is>
      </c>
      <c r="N87" s="7" t="inlineStr">
        <is>
          <t>W-Luxtreme-Training-Headband</t>
        </is>
      </c>
      <c r="O87" s="7" t="inlineStr">
        <is>
          <t>Headbands</t>
        </is>
      </c>
    </row>
    <row r="88" ht="80" customHeight="1">
      <c r="A88" s="6">
        <f>IMAGE("https://images.lululemon.com/is/image/lululemon/LW9FBXS_0002_1?wid=320&amp;op_usm=0.8",1)</f>
        <v/>
      </c>
      <c r="B88" s="6" t="inlineStr">
        <is>
          <t>Women's Luxtreme Training Headband</t>
        </is>
      </c>
      <c r="C88" s="6" t="inlineStr">
        <is>
          <t>158024974</t>
        </is>
      </c>
      <c r="D88" s="6" t="inlineStr">
        <is>
          <t>158024974-oxfordred</t>
        </is>
      </c>
      <c r="E88" s="6" t="inlineStr">
        <is>
          <t>Luxtreme™ Training Headband WHT ONE SIZE</t>
        </is>
      </c>
      <c r="F88" s="6" t="inlineStr">
        <is>
          <t>$14.00</t>
        </is>
      </c>
      <c r="G88" s="6" t="inlineStr">
        <is>
          <t>$7.00</t>
        </is>
      </c>
      <c r="H88" s="6" t="inlineStr">
        <is>
          <t>Oxford Red</t>
        </is>
      </c>
      <c r="I88" s="6">
        <f>IMAGE("https://images.lululemon.com/is/image/lululemon/72757",1)</f>
        <v/>
      </c>
      <c r="J88" s="6" t="inlineStr">
        <is>
          <t>O/S</t>
        </is>
      </c>
      <c r="K88" s="6" t="inlineStr">
        <is>
          <t>93/4426</t>
        </is>
      </c>
      <c r="L88" s="6" t="inlineStr">
        <is>
          <t>Yes</t>
        </is>
      </c>
      <c r="M88" s="6" t="inlineStr">
        <is>
          <t>Keep your hair in place while you work out. This sweat-wicking headband hugs your head in all the right places.</t>
        </is>
      </c>
      <c r="N88" s="6" t="inlineStr">
        <is>
          <t>W-Luxtreme-Training-Headband</t>
        </is>
      </c>
      <c r="O88" s="6" t="inlineStr">
        <is>
          <t>Headbands</t>
        </is>
      </c>
    </row>
    <row r="89" ht="80" customHeight="1">
      <c r="A89" s="7">
        <f>IMAGE("https://images.lululemon.com/is/image/lululemon/LU9CGNS_0001_1?wid=320&amp;op_usm=0.8",1)</f>
        <v/>
      </c>
      <c r="B89" s="7" t="inlineStr">
        <is>
          <t>Fast and Free Fleece Running Beanie</t>
        </is>
      </c>
      <c r="C89" s="7" t="inlineStr">
        <is>
          <t>154832028</t>
        </is>
      </c>
      <c r="D89" s="7" t="inlineStr">
        <is>
          <t>154832028-black</t>
        </is>
      </c>
      <c r="E89" s="7" t="inlineStr">
        <is>
          <t>Fast and Free Fleece Run Beanie BLK S/M</t>
        </is>
      </c>
      <c r="F89" s="7" t="inlineStr">
        <is>
          <t>$48.00</t>
        </is>
      </c>
      <c r="G89" s="7" t="inlineStr">
        <is>
          <t>$24.00</t>
        </is>
      </c>
      <c r="H89" s="7" t="inlineStr">
        <is>
          <t>Black</t>
        </is>
      </c>
      <c r="I89" s="7">
        <f>IMAGE("https://images.lululemon.com/is/image/lululemon/0001",1)</f>
        <v/>
      </c>
      <c r="J89" s="7" t="inlineStr">
        <is>
          <t>S/M</t>
        </is>
      </c>
      <c r="K89" s="7" t="inlineStr">
        <is>
          <t>224/303</t>
        </is>
      </c>
      <c r="L89" s="7" t="inlineStr">
        <is>
          <t>Yes</t>
        </is>
      </c>
      <c r="M89" s="7" t="inlineStr">
        <is>
          <t>Gone in a flash. This warm, double-layered beanie has reflective details to help keep you on the radar during cold-weather runs.</t>
        </is>
      </c>
      <c r="N89" s="7" t="inlineStr">
        <is>
          <t>Fast-and-Free-Fleece-Run-Beanie</t>
        </is>
      </c>
      <c r="O89" s="7" t="inlineStr">
        <is>
          <t>Beanies</t>
        </is>
      </c>
    </row>
    <row r="90" ht="80" customHeight="1">
      <c r="A90" s="6">
        <f>IMAGE("https://images.lululemon.com/is/image/lululemon/LU9CGNS_0001_1?wid=320&amp;op_usm=0.8",1)</f>
        <v/>
      </c>
      <c r="B90" s="6" t="inlineStr">
        <is>
          <t>Fast and Free Fleece Running Beanie</t>
        </is>
      </c>
      <c r="C90" s="6" t="inlineStr">
        <is>
          <t>154832013</t>
        </is>
      </c>
      <c r="D90" s="6" t="inlineStr">
        <is>
          <t>154832013-black</t>
        </is>
      </c>
      <c r="E90" s="6" t="inlineStr">
        <is>
          <t>Fast and Free Fleece Run Beanie BLK S/M</t>
        </is>
      </c>
      <c r="F90" s="6" t="inlineStr">
        <is>
          <t>$48.00</t>
        </is>
      </c>
      <c r="G90" s="6" t="inlineStr">
        <is>
          <t>$24.00</t>
        </is>
      </c>
      <c r="H90" s="6" t="inlineStr">
        <is>
          <t>Black</t>
        </is>
      </c>
      <c r="I90" s="6">
        <f>IMAGE("https://images.lululemon.com/is/image/lululemon/0001",1)</f>
        <v/>
      </c>
      <c r="J90" s="6" t="inlineStr">
        <is>
          <t>L/XL</t>
        </is>
      </c>
      <c r="K90" s="6" t="inlineStr">
        <is>
          <t>79/303</t>
        </is>
      </c>
      <c r="L90" s="6" t="inlineStr">
        <is>
          <t>Yes</t>
        </is>
      </c>
      <c r="M90" s="6" t="inlineStr">
        <is>
          <t>Gone in a flash. This warm, double-layered beanie has reflective details to help keep you on the radar during cold-weather runs.</t>
        </is>
      </c>
      <c r="N90" s="6" t="inlineStr">
        <is>
          <t>Fast-and-Free-Fleece-Run-Beanie</t>
        </is>
      </c>
      <c r="O90" s="6" t="inlineStr">
        <is>
          <t>Beanies</t>
        </is>
      </c>
    </row>
    <row r="91" ht="80" customHeight="1">
      <c r="A91" s="7">
        <f>IMAGE("https://images.lululemon.com/is/image/lululemon/LU9BSDS_073013_1?wid=320&amp;op_usm=0.8",1)</f>
        <v/>
      </c>
      <c r="B91" s="7" t="inlineStr">
        <is>
          <t>Daily Multi-Pocket Tote Bag 20L</t>
        </is>
      </c>
      <c r="C91" s="7" t="inlineStr">
        <is>
          <t>158020348</t>
        </is>
      </c>
      <c r="D91" s="7" t="inlineStr">
        <is>
          <t>158020348-tearose/redclay</t>
        </is>
      </c>
      <c r="E91" s="7" t="inlineStr">
        <is>
          <t>Daily Multi-Pocket Tote TROS/REDC ONE SIZE</t>
        </is>
      </c>
      <c r="F91" s="7" t="inlineStr">
        <is>
          <t>$68.00</t>
        </is>
      </c>
      <c r="G91" s="7" t="inlineStr">
        <is>
          <t>$34.00</t>
        </is>
      </c>
      <c r="H91" s="7" t="inlineStr">
        <is>
          <t>Tea Rose/Red Clay</t>
        </is>
      </c>
      <c r="I91" s="7">
        <f>IMAGE("https://images.lululemon.com/is/image/lululemon/73013",1)</f>
        <v/>
      </c>
      <c r="J91" s="7" t="inlineStr">
        <is>
          <t>O/S</t>
        </is>
      </c>
      <c r="K91" s="7" t="inlineStr">
        <is>
          <t>532/1114</t>
        </is>
      </c>
      <c r="L91" s="7" t="inlineStr">
        <is>
          <t>Yes</t>
        </is>
      </c>
      <c r="M91" s="7" t="inlineStr">
        <is>
          <t>From farmers-market scores to picnic essentials, this roomy tote handles it all. Bonus: it stands up on its own to make finding your things a breeze.</t>
        </is>
      </c>
      <c r="N91" s="7" t="inlineStr">
        <is>
          <t>Daily-Multi-Pocket-Tote-Bag-20L</t>
        </is>
      </c>
      <c r="O91" s="7" t="inlineStr">
        <is>
          <t>Totes</t>
        </is>
      </c>
    </row>
    <row r="92" ht="80" customHeight="1">
      <c r="A92" s="4">
        <f>IMAGE("https://images.lululemon.com/is/image/lululemon/LU9BSDS_073013_1?wid=320&amp;op_usm=0.8",1)</f>
        <v/>
      </c>
      <c r="B92" s="4" t="inlineStr">
        <is>
          <t>Daily Multi-Pocket Tote Bag 20L</t>
        </is>
      </c>
      <c r="C92" s="4" t="inlineStr">
        <is>
          <t>158020401</t>
        </is>
      </c>
      <c r="D92" s="4" t="inlineStr">
        <is>
          <t>158020401-blackplum/jewelledmagenta</t>
        </is>
      </c>
      <c r="E92" s="4" t="inlineStr">
        <is>
          <t>Daily Multi-Pocket Tote TROS/REDC ONE SIZE</t>
        </is>
      </c>
      <c r="F92" s="4" t="inlineStr">
        <is>
          <t>$68.00</t>
        </is>
      </c>
      <c r="G92" s="4" t="inlineStr">
        <is>
          <t>$34.00</t>
        </is>
      </c>
      <c r="H92" s="4" t="inlineStr">
        <is>
          <t>Black Plum/Jewelled Magenta</t>
        </is>
      </c>
      <c r="I92" s="4">
        <f>IMAGE("https://images.lululemon.com/is/image/lululemon/73852",1)</f>
        <v/>
      </c>
      <c r="J92" s="4" t="inlineStr">
        <is>
          <t>O/S</t>
        </is>
      </c>
      <c r="K92" s="4" t="inlineStr">
        <is>
          <t>379/1114</t>
        </is>
      </c>
      <c r="L92" s="4" t="inlineStr">
        <is>
          <t>Yes</t>
        </is>
      </c>
      <c r="M92" s="4" t="inlineStr">
        <is>
          <t>From farmers-market scores to picnic essentials, this roomy tote handles it all. Bonus: it stands up on its own to make finding your things a breeze.</t>
        </is>
      </c>
      <c r="N92" s="4" t="inlineStr">
        <is>
          <t>Daily-Multi-Pocket-Tote-Bag-20L</t>
        </is>
      </c>
      <c r="O92" s="4" t="inlineStr">
        <is>
          <t>Totes</t>
        </is>
      </c>
    </row>
    <row r="93" ht="80" customHeight="1">
      <c r="A93" s="5">
        <f>IMAGE("https://images.lululemon.com/is/image/lululemon/LU9BSDS_073013_1?wid=320&amp;op_usm=0.8",1)</f>
        <v/>
      </c>
      <c r="B93" s="5" t="inlineStr">
        <is>
          <t>Daily Multi-Pocket Tote Bag 20L</t>
        </is>
      </c>
      <c r="C93" s="5" t="inlineStr">
        <is>
          <t>156478748</t>
        </is>
      </c>
      <c r="D93" s="5" t="inlineStr">
        <is>
          <t>156478748-lavenderfrost/galacticcobalt</t>
        </is>
      </c>
      <c r="E93" s="5" t="inlineStr">
        <is>
          <t>Daily Multi-Pocket Tote TROS/REDC ONE SIZE</t>
        </is>
      </c>
      <c r="F93" s="5" t="inlineStr">
        <is>
          <t>$68.00</t>
        </is>
      </c>
      <c r="G93" s="5" t="inlineStr">
        <is>
          <t>$34.00</t>
        </is>
      </c>
      <c r="H93" s="5" t="inlineStr">
        <is>
          <t>Lavender Frost/Galactic Cobalt</t>
        </is>
      </c>
      <c r="I93" s="5">
        <f>IMAGE("https://images.lululemon.com/is/image/lululemon/70401",1)</f>
        <v/>
      </c>
      <c r="J93" s="5" t="inlineStr">
        <is>
          <t>O/S</t>
        </is>
      </c>
      <c r="K93" s="5" t="inlineStr">
        <is>
          <t>203/1114</t>
        </is>
      </c>
      <c r="L93" s="5" t="inlineStr">
        <is>
          <t>Yes</t>
        </is>
      </c>
      <c r="M93" s="5" t="inlineStr">
        <is>
          <t>From farmers-market scores to picnic essentials, this roomy tote handles it all. Bonus: it stands up on its own to make finding your things a breeze.</t>
        </is>
      </c>
      <c r="N93" s="5" t="inlineStr">
        <is>
          <t>Daily-Multi-Pocket-Tote-Bag-20L</t>
        </is>
      </c>
      <c r="O93" s="5" t="inlineStr">
        <is>
          <t>Totes</t>
        </is>
      </c>
    </row>
    <row r="94" ht="80" customHeight="1">
      <c r="A94" s="4">
        <f>IMAGE("https://images.lululemon.com/is/image/lululemon/LM9A09S_0001_1?wid=320&amp;op_usm=0.8",1)</f>
        <v/>
      </c>
      <c r="B94" s="4" t="inlineStr">
        <is>
          <t>License to Train Training Gloves</t>
        </is>
      </c>
      <c r="C94" s="4" t="inlineStr">
        <is>
          <t>115650043</t>
        </is>
      </c>
      <c r="D94" s="4" t="inlineStr">
        <is>
          <t>115650043-black</t>
        </is>
      </c>
      <c r="E94" s="4" t="inlineStr">
        <is>
          <t>License to Train Gloves BLK S/M</t>
        </is>
      </c>
      <c r="F94" s="4" t="inlineStr">
        <is>
          <t>$44.00</t>
        </is>
      </c>
      <c r="G94" s="4" t="inlineStr">
        <is>
          <t>$22.00</t>
        </is>
      </c>
      <c r="H94" s="4" t="inlineStr">
        <is>
          <t>Black</t>
        </is>
      </c>
      <c r="I94" s="4">
        <f>IMAGE("https://images.lululemon.com/is/image/lululemon/0001",1)</f>
        <v/>
      </c>
      <c r="J94" s="4" t="inlineStr">
        <is>
          <t>S/M</t>
        </is>
      </c>
      <c r="K94" s="4" t="inlineStr">
        <is>
          <t>21/34</t>
        </is>
      </c>
      <c r="L94" s="4" t="inlineStr">
        <is>
          <t>Yes</t>
        </is>
      </c>
      <c r="M94" s="4" t="inlineStr">
        <is>
          <t>From deadlifts to pull-ups, these ventilated gloves help protect your hands while you train.</t>
        </is>
      </c>
      <c r="N94" s="4" t="inlineStr">
        <is>
          <t>License-to-Train-Training-Glove</t>
        </is>
      </c>
      <c r="O94" s="4" t="inlineStr"/>
    </row>
    <row r="95" ht="80" customHeight="1">
      <c r="A95" s="5">
        <f>IMAGE("https://images.lululemon.com/is/image/lululemon/LM9A09S_0001_1?wid=320&amp;op_usm=0.8",1)</f>
        <v/>
      </c>
      <c r="B95" s="5" t="inlineStr">
        <is>
          <t>License to Train Training Gloves</t>
        </is>
      </c>
      <c r="C95" s="5" t="inlineStr">
        <is>
          <t>115650042</t>
        </is>
      </c>
      <c r="D95" s="5" t="inlineStr">
        <is>
          <t>115650042-black</t>
        </is>
      </c>
      <c r="E95" s="5" t="inlineStr">
        <is>
          <t>License to Train Gloves BLK S/M</t>
        </is>
      </c>
      <c r="F95" s="5" t="inlineStr">
        <is>
          <t>$44.00</t>
        </is>
      </c>
      <c r="G95" s="5" t="inlineStr">
        <is>
          <t>$22.00</t>
        </is>
      </c>
      <c r="H95" s="5" t="inlineStr">
        <is>
          <t>Black</t>
        </is>
      </c>
      <c r="I95" s="5">
        <f>IMAGE("https://images.lululemon.com/is/image/lululemon/0001",1)</f>
        <v/>
      </c>
      <c r="J95" s="5" t="inlineStr">
        <is>
          <t>L/XL</t>
        </is>
      </c>
      <c r="K95" s="5" t="inlineStr">
        <is>
          <t>13/34</t>
        </is>
      </c>
      <c r="L95" s="5" t="inlineStr">
        <is>
          <t>Yes</t>
        </is>
      </c>
      <c r="M95" s="5" t="inlineStr">
        <is>
          <t>From deadlifts to pull-ups, these ventilated gloves help protect your hands while you train.</t>
        </is>
      </c>
      <c r="N95" s="5" t="inlineStr">
        <is>
          <t>License-to-Train-Training-Glove</t>
        </is>
      </c>
      <c r="O95" s="5" t="inlineStr"/>
    </row>
    <row r="96" ht="80" customHeight="1">
      <c r="A96" s="4">
        <f>IMAGE("https://images.lululemon.com/is/image/lululemon/LU9CVWS_073767_1?wid=320&amp;op_usm=0.8",1)</f>
        <v/>
      </c>
      <c r="B96" s="4" t="inlineStr">
        <is>
          <t>Insulated Tumbler 40oz *Shine</t>
        </is>
      </c>
      <c r="C96" s="4" t="inlineStr">
        <is>
          <t>157718224</t>
        </is>
      </c>
      <c r="D96" s="4" t="inlineStr">
        <is>
          <t>157718224-darkrosegold/silver</t>
        </is>
      </c>
      <c r="E96" s="4" t="inlineStr">
        <is>
          <t>Insulated Tumbler 40oz DRGL/SLVR ONE SIZE</t>
        </is>
      </c>
      <c r="F96" s="4" t="inlineStr">
        <is>
          <t>$58.00</t>
        </is>
      </c>
      <c r="G96" s="4" t="inlineStr">
        <is>
          <t>$29.00</t>
        </is>
      </c>
      <c r="H96" s="4" t="inlineStr">
        <is>
          <t>Dark Rose Gold/Silver</t>
        </is>
      </c>
      <c r="I96" s="4">
        <f>IMAGE("https://images.lululemon.com/is/image/lululemon/73767",1)</f>
        <v/>
      </c>
      <c r="J96" s="4" t="inlineStr">
        <is>
          <t>O/S</t>
        </is>
      </c>
      <c r="K96" s="4" t="inlineStr">
        <is>
          <t>68/487</t>
        </is>
      </c>
      <c r="L96" s="4" t="inlineStr">
        <is>
          <t>Yes</t>
        </is>
      </c>
      <c r="M96" s="4" t="inlineStr">
        <is>
          <t>Your new hydration bestie. This easy-carry tumbler gives you options: take icy cold sips from the stainless steel straw or swig from the secure lid flap.</t>
        </is>
      </c>
      <c r="N96" s="4" t="inlineStr">
        <is>
          <t>Insulated-Tumbler-40oz-Shine</t>
        </is>
      </c>
      <c r="O96" s="4" t="inlineStr">
        <is>
          <t>Tumblers and Travel Mugs</t>
        </is>
      </c>
    </row>
    <row r="97" ht="80" customHeight="1">
      <c r="A97" s="5">
        <f>IMAGE("https://images.lululemon.com/is/image/lululemon/LU9CVWS_073767_1?wid=320&amp;op_usm=0.8",1)</f>
        <v/>
      </c>
      <c r="B97" s="5" t="inlineStr">
        <is>
          <t>Insulated Tumbler 40oz *Shine</t>
        </is>
      </c>
      <c r="C97" s="5" t="inlineStr">
        <is>
          <t>157718218</t>
        </is>
      </c>
      <c r="D97" s="5" t="inlineStr">
        <is>
          <t>157718218-gunmetal/silver/black</t>
        </is>
      </c>
      <c r="E97" s="5" t="inlineStr">
        <is>
          <t>Insulated Tumbler 40oz DRGL/SLVR ONE SIZE</t>
        </is>
      </c>
      <c r="F97" s="5" t="inlineStr">
        <is>
          <t>$58.00</t>
        </is>
      </c>
      <c r="G97" s="5" t="inlineStr">
        <is>
          <t>$29.00</t>
        </is>
      </c>
      <c r="H97" s="5" t="inlineStr">
        <is>
          <t>Gunmetal/Silver/Black</t>
        </is>
      </c>
      <c r="I97" s="5">
        <f>IMAGE("https://images.lululemon.com/is/image/lululemon/73740",1)</f>
        <v/>
      </c>
      <c r="J97" s="5" t="inlineStr">
        <is>
          <t>O/S</t>
        </is>
      </c>
      <c r="K97" s="5" t="inlineStr">
        <is>
          <t>419/487</t>
        </is>
      </c>
      <c r="L97" s="5" t="inlineStr">
        <is>
          <t>Yes</t>
        </is>
      </c>
      <c r="M97" s="5" t="inlineStr">
        <is>
          <t>Your new hydration bestie. This easy-carry tumbler gives you options: take icy cold sips from the stainless steel straw or swig from the secure lid flap.</t>
        </is>
      </c>
      <c r="N97" s="5" t="inlineStr">
        <is>
          <t>Insulated-Tumbler-40oz-Shine</t>
        </is>
      </c>
      <c r="O97" s="5" t="inlineStr">
        <is>
          <t>Tumblers and Travel Mugs</t>
        </is>
      </c>
    </row>
    <row r="98" ht="80" customHeight="1">
      <c r="A98" s="6">
        <f>IMAGE("https://images.lululemon.com/is/image/lululemon/LU9CMUS_027401_1?wid=320&amp;op_usm=0.8",1)</f>
        <v/>
      </c>
      <c r="B98" s="6" t="inlineStr">
        <is>
          <t>Back to Life Sport Bottle 24oz Straw Lid *Print</t>
        </is>
      </c>
      <c r="C98" s="6" t="inlineStr">
        <is>
          <t>157768469</t>
        </is>
      </c>
      <c r="D98" s="6" t="inlineStr">
        <is>
          <t>157768469-pelican</t>
        </is>
      </c>
      <c r="E98" s="6" t="inlineStr">
        <is>
          <t>Back to Life Sport Bottle 24oz*Straw Lid PLCN ONE SIZE</t>
        </is>
      </c>
      <c r="F98" s="6" t="inlineStr">
        <is>
          <t>$48.00</t>
        </is>
      </c>
      <c r="G98" s="6" t="inlineStr">
        <is>
          <t>$24.00</t>
        </is>
      </c>
      <c r="H98" s="6" t="inlineStr">
        <is>
          <t>Pelican</t>
        </is>
      </c>
      <c r="I98" s="6">
        <f>IMAGE("https://images.lululemon.com/is/image/lululemon/27401",1)</f>
        <v/>
      </c>
      <c r="J98" s="6" t="inlineStr">
        <is>
          <t>O/S</t>
        </is>
      </c>
      <c r="K98" s="6" t="inlineStr">
        <is>
          <t>174/174</t>
        </is>
      </c>
      <c r="L98" s="6" t="inlineStr">
        <is>
          <t>Yes</t>
        </is>
      </c>
      <c r="M98" s="6" t="inlineStr">
        <is>
          <t>Sport mode: activated. This insulated water bottle has a built-in straw lid and a slip-free texture to make one-handed drinking a breeze.</t>
        </is>
      </c>
      <c r="N98" s="6" t="inlineStr">
        <is>
          <t>Back-to-Life-Sport-Bottle-24oz-Straw-Lid-Print</t>
        </is>
      </c>
      <c r="O98" s="6" t="inlineStr"/>
    </row>
    <row r="99" ht="80" customHeight="1">
      <c r="A99" s="7">
        <f>IMAGE("https://images.lululemon.com/is/image/lululemon/LU9CACS_0001_1?wid=320&amp;op_usm=0.8",1)</f>
        <v/>
      </c>
      <c r="B99" s="7" t="inlineStr">
        <is>
          <t>Slouchy Sling Bag 6L</t>
        </is>
      </c>
      <c r="C99" s="7" t="inlineStr">
        <is>
          <t>153840523</t>
        </is>
      </c>
      <c r="D99" s="7" t="inlineStr">
        <is>
          <t>153840523-black</t>
        </is>
      </c>
      <c r="E99" s="7" t="inlineStr">
        <is>
          <t>Slouchy Sling Bag BLK ONE SIZE</t>
        </is>
      </c>
      <c r="F99" s="7" t="inlineStr">
        <is>
          <t>$68.00</t>
        </is>
      </c>
      <c r="G99" s="7" t="inlineStr">
        <is>
          <t>$34.00</t>
        </is>
      </c>
      <c r="H99" s="7" t="inlineStr">
        <is>
          <t>Black</t>
        </is>
      </c>
      <c r="I99" s="7">
        <f>IMAGE("https://images.lululemon.com/is/image/lululemon/0001",1)</f>
        <v/>
      </c>
      <c r="J99" s="7" t="inlineStr">
        <is>
          <t>O/S</t>
        </is>
      </c>
      <c r="K99" s="7" t="inlineStr">
        <is>
          <t>3/147</t>
        </is>
      </c>
      <c r="L99" s="7" t="inlineStr">
        <is>
          <t>Yes</t>
        </is>
      </c>
      <c r="M99" s="7" t="inlineStr">
        <is>
          <t>No structure, no problem. With a curved silhouette and a surprising amount of space, this slouchy sling tucks close to your frame for comfort and security.</t>
        </is>
      </c>
      <c r="N99" s="7" t="inlineStr">
        <is>
          <t>Slouchy-Sling-Bag-6L</t>
        </is>
      </c>
      <c r="O99" s="7" t="inlineStr">
        <is>
          <t>Crossbody Bags, Shoulder Bags</t>
        </is>
      </c>
    </row>
    <row r="100" ht="80" customHeight="1">
      <c r="A100" s="6">
        <f>IMAGE("https://images.lululemon.com/is/image/lululemon/LU9CACS_0001_1?wid=320&amp;op_usm=0.8",1)</f>
        <v/>
      </c>
      <c r="B100" s="6" t="inlineStr">
        <is>
          <t>Slouchy Sling Bag 6L</t>
        </is>
      </c>
      <c r="C100" s="6" t="inlineStr">
        <is>
          <t>157676118</t>
        </is>
      </c>
      <c r="D100" s="6" t="inlineStr">
        <is>
          <t>157676118-lightivory/gold</t>
        </is>
      </c>
      <c r="E100" s="6" t="inlineStr">
        <is>
          <t>Slouchy Sling Bag BLK ONE SIZE</t>
        </is>
      </c>
      <c r="F100" s="6" t="inlineStr">
        <is>
          <t>$68.00</t>
        </is>
      </c>
      <c r="G100" s="6" t="inlineStr">
        <is>
          <t>$34.00</t>
        </is>
      </c>
      <c r="H100" s="6" t="inlineStr">
        <is>
          <t>Light Ivory/Gold</t>
        </is>
      </c>
      <c r="I100" s="6">
        <f>IMAGE("https://images.lululemon.com/is/image/lululemon/42797",1)</f>
        <v/>
      </c>
      <c r="J100" s="6" t="inlineStr">
        <is>
          <t>O/S</t>
        </is>
      </c>
      <c r="K100" s="6" t="inlineStr">
        <is>
          <t>144/147</t>
        </is>
      </c>
      <c r="L100" s="6" t="inlineStr">
        <is>
          <t>Yes</t>
        </is>
      </c>
      <c r="M100" s="6" t="inlineStr">
        <is>
          <t>No structure, no problem. With a curved silhouette and a surprising amount of space, this slouchy sling tucks close to your frame for comfort and security.</t>
        </is>
      </c>
      <c r="N100" s="6" t="inlineStr">
        <is>
          <t>Slouchy-Sling-Bag-6L</t>
        </is>
      </c>
      <c r="O100" s="6" t="inlineStr">
        <is>
          <t>Crossbody Bags, Shoulder Bags</t>
        </is>
      </c>
    </row>
    <row r="101" ht="80" customHeight="1">
      <c r="A101" s="7">
        <f>IMAGE("https://images.lululemon.com/is/image/lululemon/LU9CPTS_0001_1?wid=320&amp;op_usm=0.8",1)</f>
        <v/>
      </c>
      <c r="B101" s="7" t="inlineStr">
        <is>
          <t>Unisex Power Stride Crew Socks</t>
        </is>
      </c>
      <c r="C101" s="7" t="inlineStr">
        <is>
          <t>156751324</t>
        </is>
      </c>
      <c r="D101" s="7" t="inlineStr">
        <is>
          <t>156751324-black</t>
        </is>
      </c>
      <c r="E101" s="7" t="inlineStr">
        <is>
          <t>Power Stride Socks BLK S</t>
        </is>
      </c>
      <c r="F101" s="7" t="inlineStr">
        <is>
          <t>$18.00</t>
        </is>
      </c>
      <c r="G101" s="7" t="inlineStr">
        <is>
          <t>$9.00</t>
        </is>
      </c>
      <c r="H101" s="7" t="inlineStr">
        <is>
          <t>Black</t>
        </is>
      </c>
      <c r="I101" s="7">
        <f>IMAGE("https://images.lululemon.com/is/image/lululemon/0001",1)</f>
        <v/>
      </c>
      <c r="J101" s="7" t="inlineStr">
        <is>
          <t>S</t>
        </is>
      </c>
      <c r="K101" s="7" t="inlineStr">
        <is>
          <t>65/265</t>
        </is>
      </c>
      <c r="L101" s="7" t="inlineStr">
        <is>
          <t>Yes</t>
        </is>
      </c>
      <c r="M101" s="7" t="inlineStr">
        <is>
          <t>Set the groundwork for a strong workout. We updated our versatile performance socks with intentional cushioning and enhanced breathability so you can move more comfortably.</t>
        </is>
      </c>
      <c r="N101" s="7" t="inlineStr">
        <is>
          <t>Unisex-Power-Stride-Crew-Socks</t>
        </is>
      </c>
      <c r="O101" s="7" t="inlineStr">
        <is>
          <t>Crew Socks</t>
        </is>
      </c>
    </row>
    <row r="102" ht="80" customHeight="1">
      <c r="A102" s="4">
        <f>IMAGE("https://images.lululemon.com/is/image/lululemon/LU9CPTS_0001_1?wid=320&amp;op_usm=0.8",1)</f>
        <v/>
      </c>
      <c r="B102" s="4" t="inlineStr">
        <is>
          <t>Unisex Power Stride Crew Socks</t>
        </is>
      </c>
      <c r="C102" s="4" t="inlineStr">
        <is>
          <t>156751317</t>
        </is>
      </c>
      <c r="D102" s="4" t="inlineStr">
        <is>
          <t>156751317-black</t>
        </is>
      </c>
      <c r="E102" s="4" t="inlineStr">
        <is>
          <t>Power Stride Socks BLK S</t>
        </is>
      </c>
      <c r="F102" s="4" t="inlineStr">
        <is>
          <t>$18.00</t>
        </is>
      </c>
      <c r="G102" s="4" t="inlineStr">
        <is>
          <t>$9.00</t>
        </is>
      </c>
      <c r="H102" s="4" t="inlineStr">
        <is>
          <t>Black</t>
        </is>
      </c>
      <c r="I102" s="4">
        <f>IMAGE("https://images.lululemon.com/is/image/lululemon/0001",1)</f>
        <v/>
      </c>
      <c r="J102" s="4" t="inlineStr">
        <is>
          <t>M</t>
        </is>
      </c>
      <c r="K102" s="4" t="inlineStr">
        <is>
          <t>110/265</t>
        </is>
      </c>
      <c r="L102" s="4" t="inlineStr">
        <is>
          <t>Yes</t>
        </is>
      </c>
      <c r="M102" s="4" t="inlineStr">
        <is>
          <t>Set the groundwork for a strong workout. We updated our versatile performance socks with intentional cushioning and enhanced breathability so you can move more comfortably.</t>
        </is>
      </c>
      <c r="N102" s="4" t="inlineStr">
        <is>
          <t>Unisex-Power-Stride-Crew-Socks</t>
        </is>
      </c>
      <c r="O102" s="4" t="inlineStr">
        <is>
          <t>Crew Socks</t>
        </is>
      </c>
    </row>
    <row r="103" ht="80" customHeight="1">
      <c r="A103" s="7">
        <f>IMAGE("https://images.lululemon.com/is/image/lululemon/LU9CPTS_0001_1?wid=320&amp;op_usm=0.8",1)</f>
        <v/>
      </c>
      <c r="B103" s="7" t="inlineStr">
        <is>
          <t>Unisex Power Stride Crew Socks</t>
        </is>
      </c>
      <c r="C103" s="7" t="inlineStr">
        <is>
          <t>156751309</t>
        </is>
      </c>
      <c r="D103" s="7" t="inlineStr">
        <is>
          <t>156751309-black</t>
        </is>
      </c>
      <c r="E103" s="7" t="inlineStr">
        <is>
          <t>Power Stride Socks BLK S</t>
        </is>
      </c>
      <c r="F103" s="7" t="inlineStr">
        <is>
          <t>$18.00</t>
        </is>
      </c>
      <c r="G103" s="7" t="inlineStr">
        <is>
          <t>$9.00</t>
        </is>
      </c>
      <c r="H103" s="7" t="inlineStr">
        <is>
          <t>Black</t>
        </is>
      </c>
      <c r="I103" s="7">
        <f>IMAGE("https://images.lululemon.com/is/image/lululemon/0001",1)</f>
        <v/>
      </c>
      <c r="J103" s="7" t="inlineStr">
        <is>
          <t>L</t>
        </is>
      </c>
      <c r="K103" s="7" t="inlineStr">
        <is>
          <t>79/265</t>
        </is>
      </c>
      <c r="L103" s="7" t="inlineStr">
        <is>
          <t>Yes</t>
        </is>
      </c>
      <c r="M103" s="7" t="inlineStr">
        <is>
          <t>Set the groundwork for a strong workout. We updated our versatile performance socks with intentional cushioning and enhanced breathability so you can move more comfortably.</t>
        </is>
      </c>
      <c r="N103" s="7" t="inlineStr">
        <is>
          <t>Unisex-Power-Stride-Crew-Socks</t>
        </is>
      </c>
      <c r="O103" s="7" t="inlineStr">
        <is>
          <t>Crew Socks</t>
        </is>
      </c>
    </row>
    <row r="104" ht="80" customHeight="1">
      <c r="A104" s="6">
        <f>IMAGE("https://images.lululemon.com/is/image/lululemon/LU9CPTS_0001_1?wid=320&amp;op_usm=0.8",1)</f>
        <v/>
      </c>
      <c r="B104" s="6" t="inlineStr">
        <is>
          <t>Unisex Power Stride Crew Socks</t>
        </is>
      </c>
      <c r="C104" s="6" t="inlineStr">
        <is>
          <t>156751329</t>
        </is>
      </c>
      <c r="D104" s="6" t="inlineStr">
        <is>
          <t>156751329-black</t>
        </is>
      </c>
      <c r="E104" s="6" t="inlineStr">
        <is>
          <t>Power Stride Socks BLK S</t>
        </is>
      </c>
      <c r="F104" s="6" t="inlineStr">
        <is>
          <t>$18.00</t>
        </is>
      </c>
      <c r="G104" s="6" t="inlineStr">
        <is>
          <t>$9.00</t>
        </is>
      </c>
      <c r="H104" s="6" t="inlineStr">
        <is>
          <t>Black</t>
        </is>
      </c>
      <c r="I104" s="6">
        <f>IMAGE("https://images.lululemon.com/is/image/lululemon/0001",1)</f>
        <v/>
      </c>
      <c r="J104" s="6" t="inlineStr">
        <is>
          <t>XL</t>
        </is>
      </c>
      <c r="K104" s="6" t="inlineStr">
        <is>
          <t>11/265</t>
        </is>
      </c>
      <c r="L104" s="6" t="inlineStr">
        <is>
          <t>Yes</t>
        </is>
      </c>
      <c r="M104" s="6" t="inlineStr">
        <is>
          <t>Set the groundwork for a strong workout. We updated our versatile performance socks with intentional cushioning and enhanced breathability so you can move more comfortably.</t>
        </is>
      </c>
      <c r="N104" s="6" t="inlineStr">
        <is>
          <t>Unisex-Power-Stride-Crew-Socks</t>
        </is>
      </c>
      <c r="O104" s="6" t="inlineStr">
        <is>
          <t>Crew Socks</t>
        </is>
      </c>
    </row>
    <row r="105" ht="80" customHeight="1">
      <c r="A105" s="5">
        <f>IMAGE("https://images.lululemon.com/is/image/lululemon/LW9GC3S_0393_1?wid=320&amp;op_usm=0.8",1)</f>
        <v/>
      </c>
      <c r="B105" s="5" t="inlineStr">
        <is>
          <t>On My Level Tote Bag Small 3L *Puffy</t>
        </is>
      </c>
      <c r="C105" s="5" t="inlineStr">
        <is>
          <t>158118733</t>
        </is>
      </c>
      <c r="D105" s="5" t="inlineStr">
        <is>
          <t>158118733-black/silver</t>
        </is>
      </c>
      <c r="E105" s="5" t="inlineStr">
        <is>
          <t>On My Level Tote Small *Puffy BLK/SLVR ONE SIZE</t>
        </is>
      </c>
      <c r="F105" s="5" t="inlineStr">
        <is>
          <t>$98.00</t>
        </is>
      </c>
      <c r="G105" s="5" t="inlineStr">
        <is>
          <t>$49.00</t>
        </is>
      </c>
      <c r="H105" s="5" t="inlineStr">
        <is>
          <t>Black/Silver</t>
        </is>
      </c>
      <c r="I105" s="5">
        <f>IMAGE("https://images.lululemon.com/is/image/lululemon/0393",1)</f>
        <v/>
      </c>
      <c r="J105" s="5" t="inlineStr">
        <is>
          <t>O/S</t>
        </is>
      </c>
      <c r="K105" s="5" t="inlineStr">
        <is>
          <t>22/22</t>
        </is>
      </c>
      <c r="L105" s="5" t="inlineStr">
        <is>
          <t>Yes</t>
        </is>
      </c>
      <c r="M105" s="5" t="inlineStr">
        <is>
          <t>All puffed up. This small version of our On My Level Tote has all the space, slouch, and storage you love, plus a soft, padded exterior.</t>
        </is>
      </c>
      <c r="N105" s="5" t="inlineStr">
        <is>
          <t>On-My-Level-Tote-Bag-Small-3L-Puffy</t>
        </is>
      </c>
      <c r="O105" s="5" t="inlineStr">
        <is>
          <t>Totes, Wallets and Pouches</t>
        </is>
      </c>
    </row>
    <row r="106" ht="80" customHeight="1">
      <c r="A106" s="4">
        <f>IMAGE("https://images.lululemon.com/is/image/lululemon/LU9AYKS_0001_1?wid=320&amp;op_usm=0.8",1)</f>
        <v/>
      </c>
      <c r="B106" s="4" t="inlineStr">
        <is>
          <t>Fast and Free Running Armband</t>
        </is>
      </c>
      <c r="C106" s="4" t="inlineStr">
        <is>
          <t>144355704</t>
        </is>
      </c>
      <c r="D106" s="4" t="inlineStr">
        <is>
          <t>144355704-black</t>
        </is>
      </c>
      <c r="E106" s="4" t="inlineStr">
        <is>
          <t>Fast and Free Run Armband BLK S/M</t>
        </is>
      </c>
      <c r="F106" s="4" t="inlineStr">
        <is>
          <t>$38.00</t>
        </is>
      </c>
      <c r="G106" s="4" t="inlineStr">
        <is>
          <t>$19.00</t>
        </is>
      </c>
      <c r="H106" s="4" t="inlineStr">
        <is>
          <t>Black</t>
        </is>
      </c>
      <c r="I106" s="4">
        <f>IMAGE("https://images.lululemon.com/is/image/lululemon/0001",1)</f>
        <v/>
      </c>
      <c r="J106" s="4" t="inlineStr">
        <is>
          <t>S/M</t>
        </is>
      </c>
      <c r="K106" s="4" t="inlineStr">
        <is>
          <t>42/121</t>
        </is>
      </c>
      <c r="L106" s="4" t="inlineStr">
        <is>
          <t>Yes</t>
        </is>
      </c>
      <c r="M106" s="4" t="inlineStr">
        <is>
          <t>Go the distance while staying connected. This low-profile armband is lightweight and breathable, making it perfect for long runs.</t>
        </is>
      </c>
      <c r="N106" s="4" t="inlineStr">
        <is>
          <t>Fast-and-Free-Run-Arm-Band</t>
        </is>
      </c>
      <c r="O106" s="4" t="inlineStr"/>
    </row>
    <row r="107" ht="80" customHeight="1">
      <c r="A107" s="5">
        <f>IMAGE("https://images.lululemon.com/is/image/lululemon/LU9AYKS_0001_1?wid=320&amp;op_usm=0.8",1)</f>
        <v/>
      </c>
      <c r="B107" s="5" t="inlineStr">
        <is>
          <t>Fast and Free Running Armband</t>
        </is>
      </c>
      <c r="C107" s="5" t="inlineStr">
        <is>
          <t>144355702</t>
        </is>
      </c>
      <c r="D107" s="5" t="inlineStr">
        <is>
          <t>144355702-black</t>
        </is>
      </c>
      <c r="E107" s="5" t="inlineStr">
        <is>
          <t>Fast and Free Run Armband BLK S/M</t>
        </is>
      </c>
      <c r="F107" s="5" t="inlineStr">
        <is>
          <t>$38.00</t>
        </is>
      </c>
      <c r="G107" s="5" t="inlineStr">
        <is>
          <t>$19.00</t>
        </is>
      </c>
      <c r="H107" s="5" t="inlineStr">
        <is>
          <t>Black</t>
        </is>
      </c>
      <c r="I107" s="5">
        <f>IMAGE("https://images.lululemon.com/is/image/lululemon/0001",1)</f>
        <v/>
      </c>
      <c r="J107" s="5" t="inlineStr">
        <is>
          <t>L/XL</t>
        </is>
      </c>
      <c r="K107" s="5" t="inlineStr">
        <is>
          <t>79/121</t>
        </is>
      </c>
      <c r="L107" s="5" t="inlineStr">
        <is>
          <t>Yes</t>
        </is>
      </c>
      <c r="M107" s="5" t="inlineStr">
        <is>
          <t>Go the distance while staying connected. This low-profile armband is lightweight and breathable, making it perfect for long runs.</t>
        </is>
      </c>
      <c r="N107" s="5" t="inlineStr">
        <is>
          <t>Fast-and-Free-Run-Arm-Band</t>
        </is>
      </c>
      <c r="O107" s="5" t="inlineStr"/>
    </row>
    <row r="108" ht="80" customHeight="1">
      <c r="A108" s="6">
        <f>IMAGE("https://images.lululemon.com/is/image/lululemon/LU9CVAS_0001_1?wid=320&amp;op_usm=0.8",1)</f>
        <v/>
      </c>
      <c r="B108" s="6" t="inlineStr">
        <is>
          <t>Back To Life Sport Bottle 24oz Straw Lid *Iridescent</t>
        </is>
      </c>
      <c r="C108" s="6" t="inlineStr">
        <is>
          <t>157689553</t>
        </is>
      </c>
      <c r="D108" s="6" t="inlineStr">
        <is>
          <t>157689553-black</t>
        </is>
      </c>
      <c r="E108" s="6" t="inlineStr">
        <is>
          <t>Back to Life Sport Bottle 24oz Straw Lid BLK ONE SIZE</t>
        </is>
      </c>
      <c r="F108" s="6" t="inlineStr">
        <is>
          <t>$48.00</t>
        </is>
      </c>
      <c r="G108" s="6" t="inlineStr">
        <is>
          <t>$24.00</t>
        </is>
      </c>
      <c r="H108" s="6" t="inlineStr">
        <is>
          <t>Black</t>
        </is>
      </c>
      <c r="I108" s="6">
        <f>IMAGE("https://images.lululemon.com/is/image/lululemon/0001",1)</f>
        <v/>
      </c>
      <c r="J108" s="6" t="inlineStr">
        <is>
          <t>O/S</t>
        </is>
      </c>
      <c r="K108" s="6" t="inlineStr">
        <is>
          <t>53/53</t>
        </is>
      </c>
      <c r="L108" s="6" t="inlineStr">
        <is>
          <t>Yes</t>
        </is>
      </c>
      <c r="M108" s="6" t="inlineStr">
        <is>
          <t>Sport mode: activated. This insulated water bottle has a built-in straw lid and a slip-free texture to make one-handed drinking a breeze.</t>
        </is>
      </c>
      <c r="N108" s="6" t="inlineStr">
        <is>
          <t>Bck-to-Life-Sprt-Bttle-24oz-Straw-Lid-Irid</t>
        </is>
      </c>
      <c r="O108" s="6" t="inlineStr"/>
    </row>
    <row r="109" ht="80" customHeight="1">
      <c r="A109" s="7">
        <f>IMAGE("https://images.lululemon.com/is/image/lululemon/LU9DDSS_036168_1?wid=320&amp;op_usm=0.8",1)</f>
        <v/>
      </c>
      <c r="B109" s="7" t="inlineStr">
        <is>
          <t>Warm Revelation Beanie *Wordmark</t>
        </is>
      </c>
      <c r="C109" s="7" t="inlineStr">
        <is>
          <t>157702281</t>
        </is>
      </c>
      <c r="D109" s="7" t="inlineStr">
        <is>
          <t>157702281-heatheredlightivory</t>
        </is>
      </c>
      <c r="E109" s="7" t="inlineStr">
        <is>
          <t>Warm Revelation Beanie HRLI ONE SIZE</t>
        </is>
      </c>
      <c r="F109" s="7" t="inlineStr">
        <is>
          <t>$48.00</t>
        </is>
      </c>
      <c r="G109" s="7" t="inlineStr">
        <is>
          <t>$24.00</t>
        </is>
      </c>
      <c r="H109" s="7" t="inlineStr">
        <is>
          <t>Heathered Light Ivory</t>
        </is>
      </c>
      <c r="I109" s="7">
        <f>IMAGE("https://images.lululemon.com/is/image/lululemon/36168",1)</f>
        <v/>
      </c>
      <c r="J109" s="7" t="inlineStr">
        <is>
          <t>O/S</t>
        </is>
      </c>
      <c r="K109" s="7" t="inlineStr">
        <is>
          <t>750/904</t>
        </is>
      </c>
      <c r="L109" s="7" t="inlineStr">
        <is>
          <t>Yes</t>
        </is>
      </c>
      <c r="M109" s="7" t="inlineStr">
        <is>
          <t>Pop on this merino wool-blend beanie when the temperature drops to help keep you cozy on chilly days.</t>
        </is>
      </c>
      <c r="N109" s="7" t="inlineStr">
        <is>
          <t>Warm-Revelation-Beanie-Wordmark</t>
        </is>
      </c>
      <c r="O109" s="7" t="inlineStr">
        <is>
          <t>Beanies</t>
        </is>
      </c>
    </row>
    <row r="110" ht="80" customHeight="1">
      <c r="A110" s="6">
        <f>IMAGE("https://images.lululemon.com/is/image/lululemon/LU9DDSS_036168_1?wid=320&amp;op_usm=0.8",1)</f>
        <v/>
      </c>
      <c r="B110" s="6" t="inlineStr">
        <is>
          <t>Warm Revelation Beanie *Wordmark</t>
        </is>
      </c>
      <c r="C110" s="6" t="inlineStr">
        <is>
          <t>158019186</t>
        </is>
      </c>
      <c r="D110" s="6" t="inlineStr">
        <is>
          <t>158019186-faintlavender/grapemist</t>
        </is>
      </c>
      <c r="E110" s="6" t="inlineStr">
        <is>
          <t>Warm Revelation Beanie HRLI ONE SIZE</t>
        </is>
      </c>
      <c r="F110" s="6" t="inlineStr">
        <is>
          <t>$48.00</t>
        </is>
      </c>
      <c r="G110" s="6" t="inlineStr">
        <is>
          <t>$24.00</t>
        </is>
      </c>
      <c r="H110" s="6" t="inlineStr">
        <is>
          <t>Faint Lavender/Grape Mist</t>
        </is>
      </c>
      <c r="I110" s="6">
        <f>IMAGE("https://images.lululemon.com/is/image/lululemon/73461",1)</f>
        <v/>
      </c>
      <c r="J110" s="6" t="inlineStr">
        <is>
          <t>O/S</t>
        </is>
      </c>
      <c r="K110" s="6" t="inlineStr">
        <is>
          <t>154/904</t>
        </is>
      </c>
      <c r="L110" s="6" t="inlineStr">
        <is>
          <t>Yes</t>
        </is>
      </c>
      <c r="M110" s="6" t="inlineStr">
        <is>
          <t>Pop on this merino wool-blend beanie when the temperature drops to help keep you cozy on chilly days.</t>
        </is>
      </c>
      <c r="N110" s="6" t="inlineStr">
        <is>
          <t>Warm-Revelation-Beanie-Wordmark</t>
        </is>
      </c>
      <c r="O110" s="6" t="inlineStr">
        <is>
          <t>Beanies</t>
        </is>
      </c>
    </row>
    <row r="111" ht="80" customHeight="1">
      <c r="A111" s="7">
        <f>IMAGE("https://images.lululemon.com/is/image/lululemon/LW9FZXS_033454_1?wid=320&amp;op_usm=0.8",1)</f>
        <v/>
      </c>
      <c r="B111" s="7" t="inlineStr">
        <is>
          <t>Diamond Quilt Tote Bag 14L</t>
        </is>
      </c>
      <c r="C111" s="7" t="inlineStr">
        <is>
          <t>158021945</t>
        </is>
      </c>
      <c r="D111" s="7" t="inlineStr">
        <is>
          <t>158021945-lightivory</t>
        </is>
      </c>
      <c r="E111" s="7" t="inlineStr">
        <is>
          <t>Diamond Quilt Tote LTIV ONE SIZE</t>
        </is>
      </c>
      <c r="F111" s="7" t="inlineStr">
        <is>
          <t>$198.00</t>
        </is>
      </c>
      <c r="G111" s="7" t="inlineStr">
        <is>
          <t>$99.00</t>
        </is>
      </c>
      <c r="H111" s="7" t="inlineStr">
        <is>
          <t>Light Ivory</t>
        </is>
      </c>
      <c r="I111" s="7">
        <f>IMAGE("https://images.lululemon.com/is/image/lululemon/33454",1)</f>
        <v/>
      </c>
      <c r="J111" s="7" t="inlineStr">
        <is>
          <t>O/S</t>
        </is>
      </c>
      <c r="K111" s="7" t="inlineStr">
        <is>
          <t>472/1091</t>
        </is>
      </c>
      <c r="L111" s="7" t="inlineStr">
        <is>
          <t>Yes</t>
        </is>
      </c>
      <c r="M111" s="7" t="inlineStr">
        <is>
          <t>Your favourite tote all grown  up. With a quilted exterior  and plenty of pockets inside  and out, this roomy carryall  puts a sophisticated spin on  every look.</t>
        </is>
      </c>
      <c r="N111" s="7" t="inlineStr">
        <is>
          <t>Diamond-Quilt-Tote-Bag-14L</t>
        </is>
      </c>
      <c r="O111" s="7" t="inlineStr"/>
    </row>
    <row r="112" ht="80" customHeight="1">
      <c r="A112" s="6">
        <f>IMAGE("https://images.lululemon.com/is/image/lululemon/LW9FZXS_033454_1?wid=320&amp;op_usm=0.8",1)</f>
        <v/>
      </c>
      <c r="B112" s="6" t="inlineStr">
        <is>
          <t>Diamond Quilt Tote Bag 14L</t>
        </is>
      </c>
      <c r="C112" s="6" t="inlineStr">
        <is>
          <t>158021940</t>
        </is>
      </c>
      <c r="D112" s="6" t="inlineStr">
        <is>
          <t>158021940-black</t>
        </is>
      </c>
      <c r="E112" s="6" t="inlineStr">
        <is>
          <t>Diamond Quilt Tote LTIV ONE SIZE</t>
        </is>
      </c>
      <c r="F112" s="6" t="inlineStr">
        <is>
          <t>$198.00</t>
        </is>
      </c>
      <c r="G112" s="6" t="inlineStr">
        <is>
          <t>$99.00</t>
        </is>
      </c>
      <c r="H112" s="6" t="inlineStr">
        <is>
          <t>Black</t>
        </is>
      </c>
      <c r="I112" s="6">
        <f>IMAGE("https://images.lululemon.com/is/image/lululemon/0001",1)</f>
        <v/>
      </c>
      <c r="J112" s="6" t="inlineStr">
        <is>
          <t>O/S</t>
        </is>
      </c>
      <c r="K112" s="6" t="inlineStr">
        <is>
          <t>619/1091</t>
        </is>
      </c>
      <c r="L112" s="6" t="inlineStr">
        <is>
          <t>Yes</t>
        </is>
      </c>
      <c r="M112" s="6" t="inlineStr">
        <is>
          <t>Your favourite tote all grown  up. With a quilted exterior  and plenty of pockets inside  and out, this roomy carryall  puts a sophisticated spin on  every look.</t>
        </is>
      </c>
      <c r="N112" s="6" t="inlineStr">
        <is>
          <t>Diamond-Quilt-Tote-Bag-14L</t>
        </is>
      </c>
      <c r="O112" s="6" t="inlineStr"/>
    </row>
    <row r="113" ht="80" customHeight="1">
      <c r="A113" s="5">
        <f>IMAGE("https://images.lululemon.com/is/image/lululemon/LW9GBRS_041431_1?wid=320&amp;op_usm=0.8",1)</f>
        <v/>
      </c>
      <c r="B113" s="5" t="inlineStr">
        <is>
          <t>Jumbo Claw Clip</t>
        </is>
      </c>
      <c r="C113" s="5" t="inlineStr">
        <is>
          <t>156525972</t>
        </is>
      </c>
      <c r="D113" s="5" t="inlineStr">
        <is>
          <t>156525972-lightivory/black</t>
        </is>
      </c>
      <c r="E113" s="5" t="inlineStr">
        <is>
          <t>Jumbo Claw Clip LTIV/BLK ONE SIZE</t>
        </is>
      </c>
      <c r="F113" s="5" t="inlineStr">
        <is>
          <t>$28.00</t>
        </is>
      </c>
      <c r="G113" s="5" t="inlineStr">
        <is>
          <t>$14.00</t>
        </is>
      </c>
      <c r="H113" s="5" t="inlineStr">
        <is>
          <t>Light Ivory/Black</t>
        </is>
      </c>
      <c r="I113" s="5">
        <f>IMAGE("https://images.lululemon.com/is/image/lululemon/41431",1)</f>
        <v/>
      </c>
      <c r="J113" s="5" t="inlineStr">
        <is>
          <t>O/S</t>
        </is>
      </c>
      <c r="K113" s="5" t="inlineStr">
        <is>
          <t>212/212</t>
        </is>
      </c>
      <c r="L113" s="5" t="inlineStr">
        <is>
          <t>Yes</t>
        </is>
      </c>
      <c r="M113" s="5" t="inlineStr">
        <is>
          <t>Lots of hold for lots of hair. This jumbo hair clip has extra long prongs to keep thick, voluminous hair in place.</t>
        </is>
      </c>
      <c r="N113" s="5" t="inlineStr">
        <is>
          <t>Jumbo-Claw-Clip</t>
        </is>
      </c>
      <c r="O113" s="5" t="inlineStr">
        <is>
          <t>Hair Clips</t>
        </is>
      </c>
    </row>
    <row r="114" ht="80" customHeight="1">
      <c r="A114" s="6">
        <f>IMAGE("https://images.lululemon.com/is/image/lululemon/LW9FWTS_076305_1?wid=320&amp;op_usm=0.8",1)</f>
        <v/>
      </c>
      <c r="B114" s="6" t="inlineStr">
        <is>
          <t>Boxy Tote Bag 10L *Faux Shearling Trims</t>
        </is>
      </c>
      <c r="C114" s="6" t="inlineStr">
        <is>
          <t>158118619</t>
        </is>
      </c>
      <c r="D114" s="6" t="inlineStr">
        <is>
          <t>158118619-sheeroak/lightivory/antiquebrass</t>
        </is>
      </c>
      <c r="E114" s="6" t="inlineStr">
        <is>
          <t>Boxy Tote *Faux Shearling Trims SHOK/LTIV/ANTB ONE SIZE</t>
        </is>
      </c>
      <c r="F114" s="6" t="inlineStr">
        <is>
          <t>$168.00</t>
        </is>
      </c>
      <c r="G114" s="6" t="inlineStr">
        <is>
          <t>$84.00</t>
        </is>
      </c>
      <c r="H114" s="6" t="inlineStr">
        <is>
          <t>Sheer Oak/Light Ivory/Antique Brass</t>
        </is>
      </c>
      <c r="I114" s="6">
        <f>IMAGE("https://images.lululemon.com/is/image/lululemon/76305",1)</f>
        <v/>
      </c>
      <c r="J114" s="6" t="inlineStr">
        <is>
          <t>O/S</t>
        </is>
      </c>
      <c r="K114" s="6" t="inlineStr">
        <is>
          <t>165/165</t>
        </is>
      </c>
      <c r="L114" s="6" t="inlineStr">
        <is>
          <t>Yes</t>
        </is>
      </c>
      <c r="M114" s="6" t="inlineStr">
        <is>
          <t>Cozy catch-all. This boxy tote is made from soft, faux shearling-trimmed fabric, and has space for your water bottle, planner, and everyday essentials.</t>
        </is>
      </c>
      <c r="N114" s="6" t="inlineStr">
        <is>
          <t>Boxy-Tote-Bag-10L-Faux-Shearling-Trims</t>
        </is>
      </c>
      <c r="O114" s="6" t="inlineStr"/>
    </row>
    <row r="115" ht="80" customHeight="1">
      <c r="A115" s="7">
        <f>IMAGE("https://images.lululemon.com/is/image/lululemon/LW9FJZS_0001_1?wid=320&amp;op_usm=0.8",1)</f>
        <v/>
      </c>
      <c r="B115" s="7" t="inlineStr">
        <is>
          <t>Women's Fast and Free Insulated Running Gloves</t>
        </is>
      </c>
      <c r="C115" s="7" t="inlineStr">
        <is>
          <t>154900977</t>
        </is>
      </c>
      <c r="D115" s="7" t="inlineStr">
        <is>
          <t>154900977-black</t>
        </is>
      </c>
      <c r="E115" s="7" t="inlineStr">
        <is>
          <t>Fast and Free Insulated Run Gloves W BLK XS</t>
        </is>
      </c>
      <c r="F115" s="7" t="inlineStr">
        <is>
          <t>$58.00</t>
        </is>
      </c>
      <c r="G115" s="7" t="inlineStr">
        <is>
          <t>$29.00</t>
        </is>
      </c>
      <c r="H115" s="7" t="inlineStr">
        <is>
          <t>Black</t>
        </is>
      </c>
      <c r="I115" s="7">
        <f>IMAGE("https://images.lululemon.com/is/image/lululemon/0001",1)</f>
        <v/>
      </c>
      <c r="J115" s="7" t="inlineStr">
        <is>
          <t>XS</t>
        </is>
      </c>
      <c r="K115" s="7" t="inlineStr">
        <is>
          <t>36/339</t>
        </is>
      </c>
      <c r="L115" s="7" t="inlineStr">
        <is>
          <t>Yes</t>
        </is>
      </c>
      <c r="M115" s="7" t="inlineStr">
        <is>
          <t>Cold run, warm hands. These mid-weight gloves have a packable water-repellent hood and tech-friendly fingers.</t>
        </is>
      </c>
      <c r="N115" s="7" t="inlineStr">
        <is>
          <t>W-Fast-and-Free-Insulated-Running-Gloves</t>
        </is>
      </c>
      <c r="O115" s="7" t="inlineStr"/>
    </row>
    <row r="116" ht="80" customHeight="1">
      <c r="A116" s="4">
        <f>IMAGE("https://images.lululemon.com/is/image/lululemon/LW9FJZS_0001_1?wid=320&amp;op_usm=0.8",1)</f>
        <v/>
      </c>
      <c r="B116" s="4" t="inlineStr">
        <is>
          <t>Women's Fast and Free Insulated Running Gloves</t>
        </is>
      </c>
      <c r="C116" s="4" t="inlineStr">
        <is>
          <t>154900972</t>
        </is>
      </c>
      <c r="D116" s="4" t="inlineStr">
        <is>
          <t>154900972-black</t>
        </is>
      </c>
      <c r="E116" s="4" t="inlineStr">
        <is>
          <t>Fast and Free Insulated Run Gloves W BLK XS</t>
        </is>
      </c>
      <c r="F116" s="4" t="inlineStr">
        <is>
          <t>$58.00</t>
        </is>
      </c>
      <c r="G116" s="4" t="inlineStr">
        <is>
          <t>$29.00</t>
        </is>
      </c>
      <c r="H116" s="4" t="inlineStr">
        <is>
          <t>Black</t>
        </is>
      </c>
      <c r="I116" s="4">
        <f>IMAGE("https://images.lululemon.com/is/image/lululemon/0001",1)</f>
        <v/>
      </c>
      <c r="J116" s="4" t="inlineStr">
        <is>
          <t>S</t>
        </is>
      </c>
      <c r="K116" s="4" t="inlineStr">
        <is>
          <t>112/339</t>
        </is>
      </c>
      <c r="L116" s="4" t="inlineStr">
        <is>
          <t>Yes</t>
        </is>
      </c>
      <c r="M116" s="4" t="inlineStr">
        <is>
          <t>Cold run, warm hands. These mid-weight gloves have a packable water-repellent hood and tech-friendly fingers.</t>
        </is>
      </c>
      <c r="N116" s="4" t="inlineStr">
        <is>
          <t>W-Fast-and-Free-Insulated-Running-Gloves</t>
        </is>
      </c>
      <c r="O116" s="4" t="inlineStr"/>
    </row>
    <row r="117" ht="80" customHeight="1">
      <c r="A117" s="7">
        <f>IMAGE("https://images.lululemon.com/is/image/lululemon/LW9FJZS_0001_1?wid=320&amp;op_usm=0.8",1)</f>
        <v/>
      </c>
      <c r="B117" s="7" t="inlineStr">
        <is>
          <t>Women's Fast and Free Insulated Running Gloves</t>
        </is>
      </c>
      <c r="C117" s="7" t="inlineStr">
        <is>
          <t>154900967</t>
        </is>
      </c>
      <c r="D117" s="7" t="inlineStr">
        <is>
          <t>154900967-black</t>
        </is>
      </c>
      <c r="E117" s="7" t="inlineStr">
        <is>
          <t>Fast and Free Insulated Run Gloves W BLK XS</t>
        </is>
      </c>
      <c r="F117" s="7" t="inlineStr">
        <is>
          <t>$58.00</t>
        </is>
      </c>
      <c r="G117" s="7" t="inlineStr">
        <is>
          <t>$29.00</t>
        </is>
      </c>
      <c r="H117" s="7" t="inlineStr">
        <is>
          <t>Black</t>
        </is>
      </c>
      <c r="I117" s="7">
        <f>IMAGE("https://images.lululemon.com/is/image/lululemon/0001",1)</f>
        <v/>
      </c>
      <c r="J117" s="7" t="inlineStr">
        <is>
          <t>M</t>
        </is>
      </c>
      <c r="K117" s="7" t="inlineStr">
        <is>
          <t>128/339</t>
        </is>
      </c>
      <c r="L117" s="7" t="inlineStr">
        <is>
          <t>Yes</t>
        </is>
      </c>
      <c r="M117" s="7" t="inlineStr">
        <is>
          <t>Cold run, warm hands. These mid-weight gloves have a packable water-repellent hood and tech-friendly fingers.</t>
        </is>
      </c>
      <c r="N117" s="7" t="inlineStr">
        <is>
          <t>W-Fast-and-Free-Insulated-Running-Gloves</t>
        </is>
      </c>
      <c r="O117" s="7" t="inlineStr"/>
    </row>
    <row r="118" ht="80" customHeight="1">
      <c r="A118" s="6">
        <f>IMAGE("https://images.lululemon.com/is/image/lululemon/LW9FJZS_0001_1?wid=320&amp;op_usm=0.8",1)</f>
        <v/>
      </c>
      <c r="B118" s="6" t="inlineStr">
        <is>
          <t>Women's Fast and Free Insulated Running Gloves</t>
        </is>
      </c>
      <c r="C118" s="6" t="inlineStr">
        <is>
          <t>154900964</t>
        </is>
      </c>
      <c r="D118" s="6" t="inlineStr">
        <is>
          <t>154900964-black</t>
        </is>
      </c>
      <c r="E118" s="6" t="inlineStr">
        <is>
          <t>Fast and Free Insulated Run Gloves W BLK XS</t>
        </is>
      </c>
      <c r="F118" s="6" t="inlineStr">
        <is>
          <t>$58.00</t>
        </is>
      </c>
      <c r="G118" s="6" t="inlineStr">
        <is>
          <t>$29.00</t>
        </is>
      </c>
      <c r="H118" s="6" t="inlineStr">
        <is>
          <t>Black</t>
        </is>
      </c>
      <c r="I118" s="6">
        <f>IMAGE("https://images.lululemon.com/is/image/lululemon/0001",1)</f>
        <v/>
      </c>
      <c r="J118" s="6" t="inlineStr">
        <is>
          <t>L</t>
        </is>
      </c>
      <c r="K118" s="6" t="inlineStr">
        <is>
          <t>63/339</t>
        </is>
      </c>
      <c r="L118" s="6" t="inlineStr">
        <is>
          <t>Yes</t>
        </is>
      </c>
      <c r="M118" s="6" t="inlineStr">
        <is>
          <t>Cold run, warm hands. These mid-weight gloves have a packable water-repellent hood and tech-friendly fingers.</t>
        </is>
      </c>
      <c r="N118" s="6" t="inlineStr">
        <is>
          <t>W-Fast-and-Free-Insulated-Running-Gloves</t>
        </is>
      </c>
      <c r="O118" s="6" t="inlineStr"/>
    </row>
    <row r="119" ht="80" customHeight="1">
      <c r="A119" s="5">
        <f>IMAGE("https://images.lululemon.com/is/image/lululemon/LW9FNCS_3385_1?wid=320&amp;op_usm=0.8",1)</f>
        <v/>
      </c>
      <c r="B119" s="5" t="inlineStr">
        <is>
          <t>On My Level Tote Bag 20L</t>
        </is>
      </c>
      <c r="C119" s="5" t="inlineStr">
        <is>
          <t>155725278</t>
        </is>
      </c>
      <c r="D119" s="5" t="inlineStr">
        <is>
          <t>155725278-black/gold</t>
        </is>
      </c>
      <c r="E119" s="5" t="inlineStr">
        <is>
          <t>On My Level Tote BLK/GOLD ONE SIZE</t>
        </is>
      </c>
      <c r="F119" s="5" t="inlineStr">
        <is>
          <t>$128.00</t>
        </is>
      </c>
      <c r="G119" s="5" t="inlineStr">
        <is>
          <t>$64.00</t>
        </is>
      </c>
      <c r="H119" s="5" t="inlineStr">
        <is>
          <t>Black/Gold</t>
        </is>
      </c>
      <c r="I119" s="5">
        <f>IMAGE("https://images.lululemon.com/is/image/lululemon/3385",1)</f>
        <v/>
      </c>
      <c r="J119" s="5" t="inlineStr">
        <is>
          <t>O/S</t>
        </is>
      </c>
      <c r="K119" s="5" t="inlineStr">
        <is>
          <t>20/20</t>
        </is>
      </c>
      <c r="L119" s="5" t="inlineStr">
        <is>
          <t>Yes</t>
        </is>
      </c>
      <c r="M119" s="5" t="inlineStr">
        <is>
          <t>Whether your morning starts with a class or errands, this soft, slouchy tote is always a winner. Wear it over your shoulder, cross-body, or just grab it and go.</t>
        </is>
      </c>
      <c r="N119" s="5" t="inlineStr">
        <is>
          <t>On-My-Level-Tote-Bag-20L</t>
        </is>
      </c>
      <c r="O119" s="5" t="inlineStr">
        <is>
          <t>Totes</t>
        </is>
      </c>
    </row>
    <row r="120" ht="80" customHeight="1">
      <c r="A120" s="6">
        <f>IMAGE("https://images.lululemon.com/is/image/lululemon/LU9BB5S_0024_1?wid=320&amp;op_usm=0.8",1)</f>
        <v/>
      </c>
      <c r="B120" s="6" t="inlineStr">
        <is>
          <t>Removable Sweatband All-Sport Visor *Wordmark</t>
        </is>
      </c>
      <c r="C120" s="6" t="inlineStr">
        <is>
          <t>146956824</t>
        </is>
      </c>
      <c r="D120" s="6" t="inlineStr">
        <is>
          <t>146956824-white/black</t>
        </is>
      </c>
      <c r="E120" s="6" t="inlineStr">
        <is>
          <t>Removable Sweatband All-Sport Visor WHT/BLK L/XL</t>
        </is>
      </c>
      <c r="F120" s="6" t="inlineStr">
        <is>
          <t>$38.00</t>
        </is>
      </c>
      <c r="G120" s="6" t="inlineStr">
        <is>
          <t>$19.00</t>
        </is>
      </c>
      <c r="H120" s="6" t="inlineStr">
        <is>
          <t>White/Black</t>
        </is>
      </c>
      <c r="I120" s="6">
        <f>IMAGE("https://images.lululemon.com/is/image/lululemon/0024",1)</f>
        <v/>
      </c>
      <c r="J120" s="6" t="inlineStr">
        <is>
          <t>L/XL</t>
        </is>
      </c>
      <c r="K120" s="6" t="inlineStr">
        <is>
          <t>95/95</t>
        </is>
      </c>
      <c r="L120" s="6" t="inlineStr">
        <is>
          <t>Yes</t>
        </is>
      </c>
      <c r="M120" s="6" t="inlineStr">
        <is>
          <t>It's easy to stay fresh with this do-it-all visor. Toss the detachable interior sweatband in the laundry so it's ready to go for your next sweat session.</t>
        </is>
      </c>
      <c r="N120" s="6" t="inlineStr">
        <is>
          <t>Removable-SweatbAll-Sport-Visor-Woodmark</t>
        </is>
      </c>
      <c r="O120" s="6" t="inlineStr">
        <is>
          <t>Visors</t>
        </is>
      </c>
    </row>
    <row r="121" ht="80" customHeight="1">
      <c r="A121" s="7">
        <f>IMAGE("https://images.lululemon.com/is/image/lululemon/LU9D55S_027597_1?wid=320&amp;op_usm=0.8",1)</f>
        <v/>
      </c>
      <c r="B121" s="7" t="inlineStr">
        <is>
          <t>Multi-Sport Sun Hat</t>
        </is>
      </c>
      <c r="C121" s="7" t="inlineStr">
        <is>
          <t>156925673</t>
        </is>
      </c>
      <c r="D121" s="7" t="inlineStr">
        <is>
          <t>156925673-bone</t>
        </is>
      </c>
      <c r="E121" s="7" t="inlineStr">
        <is>
          <t>Multi-Sport Sun Hat BONE S/M</t>
        </is>
      </c>
      <c r="F121" s="7" t="inlineStr">
        <is>
          <t>$68.00</t>
        </is>
      </c>
      <c r="G121" s="7" t="inlineStr">
        <is>
          <t>$34.00</t>
        </is>
      </c>
      <c r="H121" s="7" t="inlineStr">
        <is>
          <t>Bone</t>
        </is>
      </c>
      <c r="I121" s="7">
        <f>IMAGE("https://images.lululemon.com/is/image/lululemon/27597",1)</f>
        <v/>
      </c>
      <c r="J121" s="7" t="inlineStr">
        <is>
          <t>S/M</t>
        </is>
      </c>
      <c r="K121" s="7" t="inlineStr">
        <is>
          <t>57/76</t>
        </is>
      </c>
      <c r="L121" s="7" t="inlineStr">
        <is>
          <t>Yes</t>
        </is>
      </c>
      <c r="M121" s="7" t="inlineStr">
        <is>
          <t>Just add sunshine. This lightweight, flexible sun hat is the perfect mix of ventilation and coverage.</t>
        </is>
      </c>
      <c r="N121" s="7" t="inlineStr">
        <is>
          <t>Multi-Sport-Sun-Hat</t>
        </is>
      </c>
      <c r="O121" s="7" t="inlineStr"/>
    </row>
    <row r="122" ht="80" customHeight="1">
      <c r="A122" s="6">
        <f>IMAGE("https://images.lululemon.com/is/image/lululemon/LU9D55S_027597_1?wid=320&amp;op_usm=0.8",1)</f>
        <v/>
      </c>
      <c r="B122" s="6" t="inlineStr">
        <is>
          <t>Multi-Sport Sun Hat</t>
        </is>
      </c>
      <c r="C122" s="6" t="inlineStr">
        <is>
          <t>156925671</t>
        </is>
      </c>
      <c r="D122" s="6" t="inlineStr">
        <is>
          <t>156925671-bone</t>
        </is>
      </c>
      <c r="E122" s="6" t="inlineStr">
        <is>
          <t>Multi-Sport Sun Hat BONE S/M</t>
        </is>
      </c>
      <c r="F122" s="6" t="inlineStr">
        <is>
          <t>$68.00</t>
        </is>
      </c>
      <c r="G122" s="6" t="inlineStr">
        <is>
          <t>$34.00</t>
        </is>
      </c>
      <c r="H122" s="6" t="inlineStr">
        <is>
          <t>Bone</t>
        </is>
      </c>
      <c r="I122" s="6">
        <f>IMAGE("https://images.lululemon.com/is/image/lululemon/27597",1)</f>
        <v/>
      </c>
      <c r="J122" s="6" t="inlineStr">
        <is>
          <t>L/XL</t>
        </is>
      </c>
      <c r="K122" s="6" t="inlineStr">
        <is>
          <t>19/76</t>
        </is>
      </c>
      <c r="L122" s="6" t="inlineStr">
        <is>
          <t>Yes</t>
        </is>
      </c>
      <c r="M122" s="6" t="inlineStr">
        <is>
          <t>Just add sunshine. This lightweight, flexible sun hat is the perfect mix of ventilation and coverage.</t>
        </is>
      </c>
      <c r="N122" s="6" t="inlineStr">
        <is>
          <t>Multi-Sport-Sun-Hat</t>
        </is>
      </c>
      <c r="O122" s="6" t="inlineStr"/>
    </row>
    <row r="123" ht="80" customHeight="1">
      <c r="A123" s="7">
        <f>IMAGE("https://images.lululemon.com/is/image/lululemon/LU9BOTS_0023_1?wid=320&amp;op_usm=0.8",1)</f>
        <v/>
      </c>
      <c r="B123" s="7" t="inlineStr">
        <is>
          <t>Classic Ball Cap *Wordmark</t>
        </is>
      </c>
      <c r="C123" s="7" t="inlineStr">
        <is>
          <t>155801250</t>
        </is>
      </c>
      <c r="D123" s="7" t="inlineStr">
        <is>
          <t>155801250-mintbreeze</t>
        </is>
      </c>
      <c r="E123" s="7" t="inlineStr">
        <is>
          <t>Unisex Classic Ball Cap MIBR S/M</t>
        </is>
      </c>
      <c r="F123" s="7" t="inlineStr">
        <is>
          <t>$38.00</t>
        </is>
      </c>
      <c r="G123" s="7" t="inlineStr">
        <is>
          <t>$19.00</t>
        </is>
      </c>
      <c r="H123" s="7" t="inlineStr">
        <is>
          <t>Mint Breeze</t>
        </is>
      </c>
      <c r="I123" s="7">
        <f>IMAGE("https://images.lululemon.com/is/image/lululemon/69040",1)</f>
        <v/>
      </c>
      <c r="J123" s="7" t="inlineStr">
        <is>
          <t>S/M</t>
        </is>
      </c>
      <c r="K123" s="7" t="inlineStr">
        <is>
          <t>52/413</t>
        </is>
      </c>
      <c r="L123" s="7" t="inlineStr">
        <is>
          <t>Yes</t>
        </is>
      </c>
      <c r="M123" s="7" t="inlineStr">
        <is>
          <t>Anywhere, anytime. This soft, lightweight cap is a year-round favourite for days on the go.</t>
        </is>
      </c>
      <c r="N123" s="7" t="inlineStr">
        <is>
          <t>Ball-Cap-Wordmark</t>
        </is>
      </c>
      <c r="O123" s="7" t="inlineStr">
        <is>
          <t>Caps</t>
        </is>
      </c>
    </row>
    <row r="124" ht="80" customHeight="1">
      <c r="A124" s="4">
        <f>IMAGE("https://images.lululemon.com/is/image/lululemon/LU9BOTS_0023_1?wid=320&amp;op_usm=0.8",1)</f>
        <v/>
      </c>
      <c r="B124" s="4" t="inlineStr">
        <is>
          <t>Classic Ball Cap *Wordmark</t>
        </is>
      </c>
      <c r="C124" s="4" t="inlineStr">
        <is>
          <t>155801245</t>
        </is>
      </c>
      <c r="D124" s="4" t="inlineStr">
        <is>
          <t>155801245-mintbreeze</t>
        </is>
      </c>
      <c r="E124" s="4" t="inlineStr">
        <is>
          <t>Unisex Classic Ball Cap MIBR S/M</t>
        </is>
      </c>
      <c r="F124" s="4" t="inlineStr">
        <is>
          <t>$38.00</t>
        </is>
      </c>
      <c r="G124" s="4" t="inlineStr">
        <is>
          <t>$19.00</t>
        </is>
      </c>
      <c r="H124" s="4" t="inlineStr">
        <is>
          <t>Mint Breeze</t>
        </is>
      </c>
      <c r="I124" s="4">
        <f>IMAGE("https://images.lululemon.com/is/image/lululemon/69040",1)</f>
        <v/>
      </c>
      <c r="J124" s="4" t="inlineStr">
        <is>
          <t>L/XL</t>
        </is>
      </c>
      <c r="K124" s="4" t="inlineStr">
        <is>
          <t>74/413</t>
        </is>
      </c>
      <c r="L124" s="4" t="inlineStr">
        <is>
          <t>Yes</t>
        </is>
      </c>
      <c r="M124" s="4" t="inlineStr">
        <is>
          <t>Anywhere, anytime. This soft, lightweight cap is a year-round favourite for days on the go.</t>
        </is>
      </c>
      <c r="N124" s="4" t="inlineStr">
        <is>
          <t>Ball-Cap-Wordmark</t>
        </is>
      </c>
      <c r="O124" s="4" t="inlineStr">
        <is>
          <t>Caps</t>
        </is>
      </c>
    </row>
    <row r="125" ht="80" customHeight="1">
      <c r="A125" s="7">
        <f>IMAGE("https://images.lululemon.com/is/image/lululemon/LU9BOTS_0023_1?wid=320&amp;op_usm=0.8",1)</f>
        <v/>
      </c>
      <c r="B125" s="7" t="inlineStr">
        <is>
          <t>Classic Ball Cap *Wordmark</t>
        </is>
      </c>
      <c r="C125" s="7" t="inlineStr">
        <is>
          <t>150050253</t>
        </is>
      </c>
      <c r="D125" s="7" t="inlineStr">
        <is>
          <t>150050253-black/white</t>
        </is>
      </c>
      <c r="E125" s="7" t="inlineStr">
        <is>
          <t>Unisex Classic Ball Cap MIBR S/M</t>
        </is>
      </c>
      <c r="F125" s="7" t="inlineStr">
        <is>
          <t>$38.00</t>
        </is>
      </c>
      <c r="G125" s="7" t="inlineStr">
        <is>
          <t>$19.00</t>
        </is>
      </c>
      <c r="H125" s="7" t="inlineStr">
        <is>
          <t>Black/White</t>
        </is>
      </c>
      <c r="I125" s="7">
        <f>IMAGE("https://images.lululemon.com/is/image/lululemon/0023",1)</f>
        <v/>
      </c>
      <c r="J125" s="7" t="inlineStr">
        <is>
          <t>S/M</t>
        </is>
      </c>
      <c r="K125" s="7" t="inlineStr">
        <is>
          <t>59/413</t>
        </is>
      </c>
      <c r="L125" s="7" t="inlineStr">
        <is>
          <t>Yes</t>
        </is>
      </c>
      <c r="M125" s="7" t="inlineStr">
        <is>
          <t>Anywhere, anytime. This soft, lightweight cap is a year-round favourite for days on the go.</t>
        </is>
      </c>
      <c r="N125" s="7" t="inlineStr">
        <is>
          <t>Ball-Cap-Wordmark</t>
        </is>
      </c>
      <c r="O125" s="7" t="inlineStr">
        <is>
          <t>Caps</t>
        </is>
      </c>
    </row>
    <row r="126" ht="80" customHeight="1">
      <c r="A126" s="4">
        <f>IMAGE("https://images.lululemon.com/is/image/lululemon/LU9BOTS_0023_1?wid=320&amp;op_usm=0.8",1)</f>
        <v/>
      </c>
      <c r="B126" s="4" t="inlineStr">
        <is>
          <t>Classic Ball Cap *Wordmark</t>
        </is>
      </c>
      <c r="C126" s="4" t="inlineStr">
        <is>
          <t>150050250</t>
        </is>
      </c>
      <c r="D126" s="4" t="inlineStr">
        <is>
          <t>150050250-black/white</t>
        </is>
      </c>
      <c r="E126" s="4" t="inlineStr">
        <is>
          <t>Unisex Classic Ball Cap MIBR S/M</t>
        </is>
      </c>
      <c r="F126" s="4" t="inlineStr">
        <is>
          <t>$38.00</t>
        </is>
      </c>
      <c r="G126" s="4" t="inlineStr">
        <is>
          <t>$19.00</t>
        </is>
      </c>
      <c r="H126" s="4" t="inlineStr">
        <is>
          <t>Black/White</t>
        </is>
      </c>
      <c r="I126" s="4">
        <f>IMAGE("https://images.lululemon.com/is/image/lululemon/0023",1)</f>
        <v/>
      </c>
      <c r="J126" s="4" t="inlineStr">
        <is>
          <t>L/XL</t>
        </is>
      </c>
      <c r="K126" s="4" t="inlineStr">
        <is>
          <t>200/413</t>
        </is>
      </c>
      <c r="L126" s="4" t="inlineStr">
        <is>
          <t>Yes</t>
        </is>
      </c>
      <c r="M126" s="4" t="inlineStr">
        <is>
          <t>Anywhere, anytime. This soft, lightweight cap is a year-round favourite for days on the go.</t>
        </is>
      </c>
      <c r="N126" s="4" t="inlineStr">
        <is>
          <t>Ball-Cap-Wordmark</t>
        </is>
      </c>
      <c r="O126" s="4" t="inlineStr">
        <is>
          <t>Caps</t>
        </is>
      </c>
    </row>
    <row r="127" ht="80" customHeight="1">
      <c r="A127" s="5">
        <f>IMAGE("https://images.lululemon.com/is/image/lululemon/LU9BOTS_0023_1?wid=320&amp;op_usm=0.8",1)</f>
        <v/>
      </c>
      <c r="B127" s="5" t="inlineStr">
        <is>
          <t>Classic Ball Cap *Wordmark</t>
        </is>
      </c>
      <c r="C127" s="5" t="inlineStr">
        <is>
          <t>153156574</t>
        </is>
      </c>
      <c r="D127" s="5" t="inlineStr">
        <is>
          <t>153156574-white/black</t>
        </is>
      </c>
      <c r="E127" s="5" t="inlineStr">
        <is>
          <t>Unisex Classic Ball Cap MIBR S/M</t>
        </is>
      </c>
      <c r="F127" s="5" t="inlineStr">
        <is>
          <t>$38.00</t>
        </is>
      </c>
      <c r="G127" s="5" t="inlineStr">
        <is>
          <t>$19.00</t>
        </is>
      </c>
      <c r="H127" s="5" t="inlineStr">
        <is>
          <t>White/Black</t>
        </is>
      </c>
      <c r="I127" s="5">
        <f>IMAGE("https://images.lululemon.com/is/image/lululemon/0024",1)</f>
        <v/>
      </c>
      <c r="J127" s="5" t="inlineStr">
        <is>
          <t>L/XL</t>
        </is>
      </c>
      <c r="K127" s="5" t="inlineStr">
        <is>
          <t>28/413</t>
        </is>
      </c>
      <c r="L127" s="5" t="inlineStr">
        <is>
          <t>Yes</t>
        </is>
      </c>
      <c r="M127" s="5" t="inlineStr">
        <is>
          <t>Anywhere, anytime. This soft, lightweight cap is a year-round favourite for days on the go.</t>
        </is>
      </c>
      <c r="N127" s="5" t="inlineStr">
        <is>
          <t>Ball-Cap-Wordmark</t>
        </is>
      </c>
      <c r="O127" s="5" t="inlineStr">
        <is>
          <t>Caps</t>
        </is>
      </c>
    </row>
    <row r="128" ht="80" customHeight="1">
      <c r="A128" s="6">
        <f>IMAGE("https://images.lululemon.com/is/image/lululemon/LU9AY4S_072619_1?wid=320&amp;op_usm=0.8",1)</f>
        <v/>
      </c>
      <c r="B128" s="6" t="inlineStr">
        <is>
          <t>The Towel</t>
        </is>
      </c>
      <c r="C128" s="6" t="inlineStr">
        <is>
          <t>157793522</t>
        </is>
      </c>
      <c r="D128" s="6" t="inlineStr">
        <is>
          <t>157793522-meadowhazegreymulti</t>
        </is>
      </c>
      <c r="E128" s="6" t="inlineStr">
        <is>
          <t>The Towel MHGM ONE SIZE</t>
        </is>
      </c>
      <c r="F128" s="6" t="inlineStr">
        <is>
          <t>$42.00</t>
        </is>
      </c>
      <c r="G128" s="6" t="inlineStr">
        <is>
          <t>$21.00</t>
        </is>
      </c>
      <c r="H128" s="6" t="inlineStr">
        <is>
          <t>Meadow Haze Grey Multi</t>
        </is>
      </c>
      <c r="I128" s="6">
        <f>IMAGE("https://images.lululemon.com/is/image/lululemon/72619",1)</f>
        <v/>
      </c>
      <c r="J128" s="6" t="inlineStr">
        <is>
          <t>O/S</t>
        </is>
      </c>
      <c r="K128" s="6" t="inlineStr">
        <is>
          <t>182/182</t>
        </is>
      </c>
      <c r="L128" s="6" t="inlineStr">
        <is>
          <t>Yes</t>
        </is>
      </c>
      <c r="M128" s="6" t="inlineStr">
        <is>
          <t>Whether it's soaking up sweat during hot yoga classes or drying off post-shower, this absorbent microfibre towel handles it all.</t>
        </is>
      </c>
      <c r="N128" s="6" t="inlineStr">
        <is>
          <t>The-Towel</t>
        </is>
      </c>
      <c r="O128" s="6" t="inlineStr">
        <is>
          <t>Towels</t>
        </is>
      </c>
    </row>
    <row r="129" ht="80" customHeight="1">
      <c r="A129" s="5">
        <f>IMAGE("https://images.lululemon.com/is/image/lululemon/LU9ALBS_0001_1?wid=320&amp;op_usm=0.8",1)</f>
        <v/>
      </c>
      <c r="B129" s="5" t="inlineStr">
        <is>
          <t>Back to Life Sport Bottle 32oz</t>
        </is>
      </c>
      <c r="C129" s="5" t="inlineStr">
        <is>
          <t>124875044</t>
        </is>
      </c>
      <c r="D129" s="5" t="inlineStr">
        <is>
          <t>124875044-black</t>
        </is>
      </c>
      <c r="E129" s="5" t="inlineStr">
        <is>
          <t>Back to Life Sport Bottle 32oz BLK ONE SIZE</t>
        </is>
      </c>
      <c r="F129" s="5" t="inlineStr">
        <is>
          <t>$54.00</t>
        </is>
      </c>
      <c r="G129" s="5" t="inlineStr">
        <is>
          <t>$27.00</t>
        </is>
      </c>
      <c r="H129" s="5" t="inlineStr">
        <is>
          <t>Black</t>
        </is>
      </c>
      <c r="I129" s="5">
        <f>IMAGE("https://images.lululemon.com/is/image/lululemon/0001",1)</f>
        <v/>
      </c>
      <c r="J129" s="5" t="inlineStr">
        <is>
          <t>O/S</t>
        </is>
      </c>
      <c r="K129" s="5" t="inlineStr">
        <is>
          <t>1716/1716</t>
        </is>
      </c>
      <c r="L129" s="5" t="inlineStr">
        <is>
          <t>Yes</t>
        </is>
      </c>
      <c r="M129" s="5" t="inlineStr">
        <is>
          <t>This insulated water bottle features a leak-proof lid and slip-free texture, so no matter how adventurous the adventure gets, your drink is safe.</t>
        </is>
      </c>
      <c r="N129" s="5" t="inlineStr">
        <is>
          <t>Back-to-Life-Sport-Bottle-32oz</t>
        </is>
      </c>
      <c r="O129" s="5" t="inlineStr"/>
    </row>
    <row r="130" ht="80" customHeight="1">
      <c r="A130" s="4">
        <f>IMAGE("https://images.lululemon.com/is/image/lululemon/LU9CU5S_031382_1?wid=320&amp;op_usm=0.8",1)</f>
        <v/>
      </c>
      <c r="B130" s="4" t="inlineStr">
        <is>
          <t>Easy Clip Nano Golf Pouch</t>
        </is>
      </c>
      <c r="C130" s="4" t="inlineStr">
        <is>
          <t>156484978</t>
        </is>
      </c>
      <c r="D130" s="4" t="inlineStr">
        <is>
          <t>156484978-truenavy</t>
        </is>
      </c>
      <c r="E130" s="4" t="inlineStr">
        <is>
          <t>Easy Clip Nano Golf Pouch TRNV ONE SIZE</t>
        </is>
      </c>
      <c r="F130" s="4" t="inlineStr">
        <is>
          <t>$34.00</t>
        </is>
      </c>
      <c r="G130" s="4" t="inlineStr">
        <is>
          <t>$17.00</t>
        </is>
      </c>
      <c r="H130" s="4" t="inlineStr">
        <is>
          <t>True Navy</t>
        </is>
      </c>
      <c r="I130" s="4">
        <f>IMAGE("https://images.lululemon.com/is/image/lululemon/31382",1)</f>
        <v/>
      </c>
      <c r="J130" s="4" t="inlineStr">
        <is>
          <t>O/S</t>
        </is>
      </c>
      <c r="K130" s="4" t="inlineStr">
        <is>
          <t>25/46</t>
        </is>
      </c>
      <c r="L130" s="4" t="inlineStr">
        <is>
          <t>Yes</t>
        </is>
      </c>
      <c r="M130" s="4" t="inlineStr">
        <is>
          <t>Fore! This pouch clips onto  your golf bag to keep extra  balls and tees conveniently  close when your shot goes out  of bounds.</t>
        </is>
      </c>
      <c r="N130" s="4" t="inlineStr">
        <is>
          <t>Easy-Clip-Nano-Golf-Pouch</t>
        </is>
      </c>
      <c r="O130" s="4" t="inlineStr">
        <is>
          <t>Wallets and Pouches, Bag Accessories</t>
        </is>
      </c>
    </row>
    <row r="131" ht="80" customHeight="1">
      <c r="A131" s="5">
        <f>IMAGE("https://images.lululemon.com/is/image/lululemon/LU9CU5S_031382_1?wid=320&amp;op_usm=0.8",1)</f>
        <v/>
      </c>
      <c r="B131" s="5" t="inlineStr">
        <is>
          <t>Easy Clip Nano Golf Pouch</t>
        </is>
      </c>
      <c r="C131" s="5" t="inlineStr">
        <is>
          <t>156484973</t>
        </is>
      </c>
      <c r="D131" s="5" t="inlineStr">
        <is>
          <t>156484973-black</t>
        </is>
      </c>
      <c r="E131" s="5" t="inlineStr">
        <is>
          <t>Easy Clip Nano Golf Pouch TRNV ONE SIZE</t>
        </is>
      </c>
      <c r="F131" s="5" t="inlineStr">
        <is>
          <t>$34.00</t>
        </is>
      </c>
      <c r="G131" s="5" t="inlineStr">
        <is>
          <t>$17.00</t>
        </is>
      </c>
      <c r="H131" s="5" t="inlineStr">
        <is>
          <t>Black</t>
        </is>
      </c>
      <c r="I131" s="5">
        <f>IMAGE("https://images.lululemon.com/is/image/lululemon/0001",1)</f>
        <v/>
      </c>
      <c r="J131" s="5" t="inlineStr">
        <is>
          <t>O/S</t>
        </is>
      </c>
      <c r="K131" s="5" t="inlineStr">
        <is>
          <t>21/46</t>
        </is>
      </c>
      <c r="L131" s="5" t="inlineStr">
        <is>
          <t>Yes</t>
        </is>
      </c>
      <c r="M131" s="5" t="inlineStr">
        <is>
          <t>Fore! This pouch clips onto  your golf bag to keep extra  balls and tees conveniently  close when your shot goes out  of bounds.</t>
        </is>
      </c>
      <c r="N131" s="5" t="inlineStr">
        <is>
          <t>Easy-Clip-Nano-Golf-Pouch</t>
        </is>
      </c>
      <c r="O131" s="5" t="inlineStr">
        <is>
          <t>Wallets and Pouches, Bag Accessories</t>
        </is>
      </c>
    </row>
    <row r="132" ht="80" customHeight="1">
      <c r="A132" s="6">
        <f>IMAGE("https://images.lululemon.com/is/image/lululemon/LW9FW9S_074449_1?wid=320&amp;op_usm=0.8",1)</f>
        <v/>
      </c>
      <c r="B132" s="6" t="inlineStr">
        <is>
          <t>Clippable Card Pouch *Glitter</t>
        </is>
      </c>
      <c r="C132" s="6" t="inlineStr">
        <is>
          <t>157968465</t>
        </is>
      </c>
      <c r="D132" s="6" t="inlineStr">
        <is>
          <t>157968465-darksilver/graphitegrey/silver</t>
        </is>
      </c>
      <c r="E132" s="6" t="inlineStr">
        <is>
          <t>Clippable Card Pouch *Glitter DKSV/GGRE/SLVR ONE SIZE</t>
        </is>
      </c>
      <c r="F132" s="6" t="inlineStr">
        <is>
          <t>$38.00</t>
        </is>
      </c>
      <c r="G132" s="6" t="inlineStr">
        <is>
          <t>$19.00</t>
        </is>
      </c>
      <c r="H132" s="6" t="inlineStr">
        <is>
          <t>Dark Silver/Graphite Grey/Silver</t>
        </is>
      </c>
      <c r="I132" s="6">
        <f>IMAGE("https://images.lululemon.com/is/image/lululemon/74449",1)</f>
        <v/>
      </c>
      <c r="J132" s="6" t="inlineStr">
        <is>
          <t>O/S</t>
        </is>
      </c>
      <c r="K132" s="6" t="inlineStr">
        <is>
          <t>234/234</t>
        </is>
      </c>
      <c r="L132" s="6" t="inlineStr">
        <is>
          <t>Yes</t>
        </is>
      </c>
      <c r="M132" s="6" t="inlineStr">
        <is>
          <t>Zip, clip, and go. Secure this pouch onto your keychain, belt loop, or bag to keep your cards and cash handy.</t>
        </is>
      </c>
      <c r="N132" s="6" t="inlineStr">
        <is>
          <t>Clippable-Card-Pouch-Glitter</t>
        </is>
      </c>
      <c r="O132" s="6" t="inlineStr">
        <is>
          <t>Wallets and Pouches, Keychains</t>
        </is>
      </c>
    </row>
    <row r="133" ht="80" customHeight="1">
      <c r="A133" s="5">
        <f>IMAGE("https://images.lululemon.com/is/image/lululemon/LW9FOBS_076320_1?wid=320&amp;op_usm=0.8",1)</f>
        <v/>
      </c>
      <c r="B133" s="5" t="inlineStr">
        <is>
          <t>Uplifting Scrunchies Satin *3 Pack</t>
        </is>
      </c>
      <c r="C133" s="5" t="inlineStr">
        <is>
          <t>158343717</t>
        </is>
      </c>
      <c r="D133" s="5" t="inlineStr">
        <is>
          <t>158343717-black/olivebrown/camelbrown</t>
        </is>
      </c>
      <c r="E133" s="5" t="inlineStr">
        <is>
          <t>Uplifting Scrunchies *3 Pack BLK/OVBR/CMBN ONE SIZE</t>
        </is>
      </c>
      <c r="F133" s="5" t="inlineStr">
        <is>
          <t>$24.00</t>
        </is>
      </c>
      <c r="G133" s="5" t="inlineStr">
        <is>
          <t>$12.00</t>
        </is>
      </c>
      <c r="H133" s="5" t="inlineStr">
        <is>
          <t>Black/Olive Brown/Camel Brown</t>
        </is>
      </c>
      <c r="I133" s="5">
        <f>IMAGE("https://images.lululemon.com/is/image/lululemon/76320",1)</f>
        <v/>
      </c>
      <c r="J133" s="5" t="inlineStr">
        <is>
          <t>O/S</t>
        </is>
      </c>
      <c r="K133" s="5" t="inlineStr">
        <is>
          <t>327/327</t>
        </is>
      </c>
      <c r="L133" s="5" t="inlineStr">
        <is>
          <t>Yes</t>
        </is>
      </c>
      <c r="M133" s="5" t="inlineStr">
        <is>
          <t>It's scrunch time. These fan favourite scrunchies keep your hair tied tight, stretch after stretch.</t>
        </is>
      </c>
      <c r="N133" s="5" t="inlineStr">
        <is>
          <t>Uplifting-Scrunchies-Satin-3Pack</t>
        </is>
      </c>
      <c r="O133" s="5" t="inlineStr">
        <is>
          <t>Scrunchies</t>
        </is>
      </c>
    </row>
    <row r="134" ht="80" customHeight="1">
      <c r="A134" s="6">
        <f>IMAGE("https://images.lululemon.com/is/image/lululemon/LW9FRWS_074895_1?wid=320&amp;op_usm=0.8",1)</f>
        <v/>
      </c>
      <c r="B134" s="6" t="inlineStr">
        <is>
          <t>Dual Pouch Wristlet *Glitter</t>
        </is>
      </c>
      <c r="C134" s="6" t="inlineStr">
        <is>
          <t>158068530</t>
        </is>
      </c>
      <c r="D134" s="6" t="inlineStr">
        <is>
          <t>158068530-pinkchampagne/minkberry/gold</t>
        </is>
      </c>
      <c r="E134" s="6" t="inlineStr">
        <is>
          <t>Dual Pouch Wristlet *Glitter PNUC/MINK/GOLD ONE SIZE</t>
        </is>
      </c>
      <c r="F134" s="6" t="inlineStr">
        <is>
          <t>$58.00</t>
        </is>
      </c>
      <c r="G134" s="6" t="inlineStr">
        <is>
          <t>$29.00</t>
        </is>
      </c>
      <c r="H134" s="6" t="inlineStr">
        <is>
          <t>Pink Champagne/Mink Berry/Gold</t>
        </is>
      </c>
      <c r="I134" s="6">
        <f>IMAGE("https://images.lululemon.com/is/image/lululemon/74895",1)</f>
        <v/>
      </c>
      <c r="J134" s="6" t="inlineStr">
        <is>
          <t>O/S</t>
        </is>
      </c>
      <c r="K134" s="6" t="inlineStr">
        <is>
          <t>905/905</t>
        </is>
      </c>
      <c r="L134" s="6" t="inlineStr">
        <is>
          <t>Yes</t>
        </is>
      </c>
      <c r="M134" s="6" t="inlineStr">
        <is>
          <t>Ready to go with the flick of a wrist. This wristlet comes with two zippered pouches to keep small items in place while you're on the move.</t>
        </is>
      </c>
      <c r="N134" s="6" t="inlineStr">
        <is>
          <t>Dual-Pouch-Wristlet-Glitter</t>
        </is>
      </c>
      <c r="O134" s="6" t="inlineStr">
        <is>
          <t>Wallets and Pouches, Keychains</t>
        </is>
      </c>
    </row>
    <row r="135" ht="80" customHeight="1">
      <c r="A135" s="7">
        <f>IMAGE("https://images.lululemon.com/is/image/lululemon/LU9BSJS_072760_1?wid=320&amp;op_usm=0.8",1)</f>
        <v/>
      </c>
      <c r="B135" s="7" t="inlineStr">
        <is>
          <t>Curved Crossbody Bag 3L</t>
        </is>
      </c>
      <c r="C135" s="7" t="inlineStr">
        <is>
          <t>158029888</t>
        </is>
      </c>
      <c r="D135" s="7" t="inlineStr">
        <is>
          <t>158029888-onyxgrey</t>
        </is>
      </c>
      <c r="E135" s="7" t="inlineStr">
        <is>
          <t>Curved Crossbody Bag ONGE ONE SIZE</t>
        </is>
      </c>
      <c r="F135" s="7" t="inlineStr">
        <is>
          <t>$78.00</t>
        </is>
      </c>
      <c r="G135" s="7" t="inlineStr">
        <is>
          <t>$39.00</t>
        </is>
      </c>
      <c r="H135" s="7" t="inlineStr">
        <is>
          <t>Onyx Grey</t>
        </is>
      </c>
      <c r="I135" s="7">
        <f>IMAGE("https://images.lululemon.com/is/image/lululemon/72760",1)</f>
        <v/>
      </c>
      <c r="J135" s="7" t="inlineStr">
        <is>
          <t>O/S</t>
        </is>
      </c>
      <c r="K135" s="7" t="inlineStr">
        <is>
          <t>484/1184</t>
        </is>
      </c>
      <c r="L135" s="7" t="inlineStr">
        <is>
          <t>Yes</t>
        </is>
      </c>
      <c r="M135" s="7" t="inlineStr">
        <is>
          <t>Look at you, all hands-free and hydrated. This cross-body's unique design lets you stow your water bottle in a hidden drop-down pocket.</t>
        </is>
      </c>
      <c r="N135" s="7" t="inlineStr">
        <is>
          <t>Curved-Crossbody-Bag-3L</t>
        </is>
      </c>
      <c r="O135" s="7" t="inlineStr">
        <is>
          <t>Crossbody Bags</t>
        </is>
      </c>
    </row>
    <row r="136" ht="80" customHeight="1">
      <c r="A136" s="6">
        <f>IMAGE("https://images.lululemon.com/is/image/lululemon/LU9BSJS_072760_1?wid=320&amp;op_usm=0.8",1)</f>
        <v/>
      </c>
      <c r="B136" s="6" t="inlineStr">
        <is>
          <t>Curved Crossbody Bag 3L</t>
        </is>
      </c>
      <c r="C136" s="6" t="inlineStr">
        <is>
          <t>158029839</t>
        </is>
      </c>
      <c r="D136" s="6" t="inlineStr">
        <is>
          <t>158029839-berryrumble</t>
        </is>
      </c>
      <c r="E136" s="6" t="inlineStr">
        <is>
          <t>Curved Crossbody Bag ONGE ONE SIZE</t>
        </is>
      </c>
      <c r="F136" s="6" t="inlineStr">
        <is>
          <t>$78.00</t>
        </is>
      </c>
      <c r="G136" s="6" t="inlineStr">
        <is>
          <t>$39.00</t>
        </is>
      </c>
      <c r="H136" s="6" t="inlineStr">
        <is>
          <t>Berry Rumble</t>
        </is>
      </c>
      <c r="I136" s="6">
        <f>IMAGE("https://images.lululemon.com/is/image/lululemon/21363",1)</f>
        <v/>
      </c>
      <c r="J136" s="6" t="inlineStr">
        <is>
          <t>O/S</t>
        </is>
      </c>
      <c r="K136" s="6" t="inlineStr">
        <is>
          <t>700/1184</t>
        </is>
      </c>
      <c r="L136" s="6" t="inlineStr">
        <is>
          <t>Yes</t>
        </is>
      </c>
      <c r="M136" s="6" t="inlineStr">
        <is>
          <t>Look at you, all hands-free and hydrated. This cross-body's unique design lets you stow your water bottle in a hidden drop-down pocket.</t>
        </is>
      </c>
      <c r="N136" s="6" t="inlineStr">
        <is>
          <t>Curved-Crossbody-Bag-3L</t>
        </is>
      </c>
      <c r="O136" s="6" t="inlineStr">
        <is>
          <t>Crossbody Bags</t>
        </is>
      </c>
    </row>
    <row r="137" ht="80" customHeight="1">
      <c r="A137" s="5">
        <f>IMAGE("https://images.lululemon.com/is/image/lululemon/LW9GCYS_074104_1?wid=320&amp;op_usm=0.8",1)</f>
        <v/>
      </c>
      <c r="B137" s="5" t="inlineStr">
        <is>
          <t>Dual Pouch Wristlet *Plush Fleece</t>
        </is>
      </c>
      <c r="C137" s="5" t="inlineStr">
        <is>
          <t>158098791</t>
        </is>
      </c>
      <c r="D137" s="5" t="inlineStr">
        <is>
          <t>158098791-blackplum/gold</t>
        </is>
      </c>
      <c r="E137" s="5" t="inlineStr">
        <is>
          <t>Dual Pouch Wristlet *Plush Fleece BLPM/GOLD ONE SIZE</t>
        </is>
      </c>
      <c r="F137" s="5" t="inlineStr">
        <is>
          <t>$58.00</t>
        </is>
      </c>
      <c r="G137" s="5" t="inlineStr">
        <is>
          <t>$29.00</t>
        </is>
      </c>
      <c r="H137" s="5" t="inlineStr">
        <is>
          <t>Black Plum/Gold</t>
        </is>
      </c>
      <c r="I137" s="5">
        <f>IMAGE("https://images.lululemon.com/is/image/lululemon/74104",1)</f>
        <v/>
      </c>
      <c r="J137" s="5" t="inlineStr">
        <is>
          <t>O/S</t>
        </is>
      </c>
      <c r="K137" s="5" t="inlineStr">
        <is>
          <t>608/608</t>
        </is>
      </c>
      <c r="L137" s="5" t="inlineStr">
        <is>
          <t>Yes</t>
        </is>
      </c>
      <c r="M137" s="5" t="inlineStr">
        <is>
          <t>Ready to go with the flick of a wrist. This wristlet comes with two zippered pouches to keep small items in place while you're on the move.</t>
        </is>
      </c>
      <c r="N137" s="5" t="inlineStr">
        <is>
          <t>Dual-Pouch-Wristlet-Plush-Fleece</t>
        </is>
      </c>
      <c r="O137" s="5" t="inlineStr">
        <is>
          <t>Wallets and Pouches, Keychains, Bag Accessories</t>
        </is>
      </c>
    </row>
    <row r="138" ht="80" customHeight="1">
      <c r="A138" s="4">
        <f>IMAGE("https://images.lululemon.com/is/image/lululemon/LW9FHKS_073564_1?wid=320&amp;op_usm=0.8",1)</f>
        <v/>
      </c>
      <c r="B138" s="4" t="inlineStr">
        <is>
          <t>Medium Claw Hair Clip</t>
        </is>
      </c>
      <c r="C138" s="4" t="inlineStr">
        <is>
          <t>158022935</t>
        </is>
      </c>
      <c r="D138" s="4" t="inlineStr">
        <is>
          <t>158022935-jewelledmagenta/rockwood</t>
        </is>
      </c>
      <c r="E138" s="4" t="inlineStr">
        <is>
          <t>Medium Claw Hair Clip JWMG/ROWD ONE SIZE</t>
        </is>
      </c>
      <c r="F138" s="4" t="inlineStr">
        <is>
          <t>$18.00</t>
        </is>
      </c>
      <c r="G138" s="4" t="inlineStr">
        <is>
          <t>$9.00</t>
        </is>
      </c>
      <c r="H138" s="4" t="inlineStr">
        <is>
          <t>Jewelled Magenta/Rockwood</t>
        </is>
      </c>
      <c r="I138" s="4">
        <f>IMAGE("https://images.lululemon.com/is/image/lululemon/73564",1)</f>
        <v/>
      </c>
      <c r="J138" s="4" t="inlineStr">
        <is>
          <t>O/S</t>
        </is>
      </c>
      <c r="K138" s="4" t="inlineStr">
        <is>
          <t>186/635</t>
        </is>
      </c>
      <c r="L138" s="4" t="inlineStr">
        <is>
          <t>Yes</t>
        </is>
      </c>
      <c r="M138" s="4" t="inlineStr">
        <is>
          <t>Wavy, textured, curly, or straight—whatever kind of hair you've got, this clip will keep it together.</t>
        </is>
      </c>
      <c r="N138" s="4" t="inlineStr">
        <is>
          <t>Medium-Claw-Hair-Clip</t>
        </is>
      </c>
      <c r="O138" s="4" t="inlineStr">
        <is>
          <t>Hair Clips</t>
        </is>
      </c>
    </row>
    <row r="139" ht="80" customHeight="1">
      <c r="A139" s="5">
        <f>IMAGE("https://images.lululemon.com/is/image/lululemon/LW9FHKS_073564_1?wid=320&amp;op_usm=0.8",1)</f>
        <v/>
      </c>
      <c r="B139" s="5" t="inlineStr">
        <is>
          <t>Medium Claw Hair Clip</t>
        </is>
      </c>
      <c r="C139" s="5" t="inlineStr">
        <is>
          <t>157707550</t>
        </is>
      </c>
      <c r="D139" s="5" t="inlineStr">
        <is>
          <t>157707550-frenchpress/burntcaramel</t>
        </is>
      </c>
      <c r="E139" s="5" t="inlineStr">
        <is>
          <t>Medium Claw Hair Clip JWMG/ROWD ONE SIZE</t>
        </is>
      </c>
      <c r="F139" s="5" t="inlineStr">
        <is>
          <t>$18.00</t>
        </is>
      </c>
      <c r="G139" s="5" t="inlineStr">
        <is>
          <t>$9.00</t>
        </is>
      </c>
      <c r="H139" s="5" t="inlineStr">
        <is>
          <t>French Press/Burnt Caramel</t>
        </is>
      </c>
      <c r="I139" s="5">
        <f>IMAGE("https://images.lululemon.com/is/image/lululemon/65675",1)</f>
        <v/>
      </c>
      <c r="J139" s="5" t="inlineStr">
        <is>
          <t>O/S</t>
        </is>
      </c>
      <c r="K139" s="5" t="inlineStr">
        <is>
          <t>449/635</t>
        </is>
      </c>
      <c r="L139" s="5" t="inlineStr">
        <is>
          <t>Yes</t>
        </is>
      </c>
      <c r="M139" s="5" t="inlineStr">
        <is>
          <t>Wavy, textured, curly, or straight—whatever kind of hair you've got, this clip will keep it together.</t>
        </is>
      </c>
      <c r="N139" s="5" t="inlineStr">
        <is>
          <t>Medium-Claw-Hair-Clip</t>
        </is>
      </c>
      <c r="O139" s="5" t="inlineStr">
        <is>
          <t>Hair Clips</t>
        </is>
      </c>
    </row>
    <row r="140" ht="80" customHeight="1">
      <c r="A140" s="4">
        <f>IMAGE("https://images.lululemon.com/is/image/lululemon/LW9FL8S_035486_1?wid=320&amp;op_usm=0.8",1)</f>
        <v/>
      </c>
      <c r="B140" s="4" t="inlineStr">
        <is>
          <t>City Essentials Pouch *Mini 2L</t>
        </is>
      </c>
      <c r="C140" s="4" t="inlineStr">
        <is>
          <t>157706652</t>
        </is>
      </c>
      <c r="D140" s="4" t="inlineStr">
        <is>
          <t>157706652-blissfulpink</t>
        </is>
      </c>
      <c r="E140" s="4" t="inlineStr">
        <is>
          <t>City Essentials Pouch Mini BLLP ONE SIZE</t>
        </is>
      </c>
      <c r="F140" s="4" t="inlineStr">
        <is>
          <t>$38.00</t>
        </is>
      </c>
      <c r="G140" s="4" t="inlineStr">
        <is>
          <t>$19.00</t>
        </is>
      </c>
      <c r="H140" s="4" t="inlineStr">
        <is>
          <t>Blissful Pink</t>
        </is>
      </c>
      <c r="I140" s="4">
        <f>IMAGE("https://images.lululemon.com/is/image/lululemon/35486",1)</f>
        <v/>
      </c>
      <c r="J140" s="4" t="inlineStr">
        <is>
          <t>O/S</t>
        </is>
      </c>
      <c r="K140" s="4" t="inlineStr">
        <is>
          <t>1006/1096</t>
        </is>
      </c>
      <c r="L140" s="4" t="inlineStr">
        <is>
          <t>Yes</t>
        </is>
      </c>
      <c r="M140" s="4" t="inlineStr">
        <is>
          <t>Spend less time searching for things and more time knowing exactly where they are. From makeup to electronic accessories, this pouch will keep you organized.</t>
        </is>
      </c>
      <c r="N140" s="4" t="inlineStr">
        <is>
          <t>City-Essentials-Pouch-Mini</t>
        </is>
      </c>
      <c r="O140" s="4" t="inlineStr">
        <is>
          <t>Wallets and Pouches</t>
        </is>
      </c>
    </row>
    <row r="141" ht="80" customHeight="1">
      <c r="A141" s="5">
        <f>IMAGE("https://images.lululemon.com/is/image/lululemon/LW9FL8S_035486_1?wid=320&amp;op_usm=0.8",1)</f>
        <v/>
      </c>
      <c r="B141" s="5" t="inlineStr">
        <is>
          <t>City Essentials Pouch *Mini 2L</t>
        </is>
      </c>
      <c r="C141" s="5" t="inlineStr">
        <is>
          <t>158023026</t>
        </is>
      </c>
      <c r="D141" s="5" t="inlineStr">
        <is>
          <t>158023026-blackplum</t>
        </is>
      </c>
      <c r="E141" s="5" t="inlineStr">
        <is>
          <t>City Essentials Pouch Mini BLLP ONE SIZE</t>
        </is>
      </c>
      <c r="F141" s="5" t="inlineStr">
        <is>
          <t>$38.00</t>
        </is>
      </c>
      <c r="G141" s="5" t="inlineStr">
        <is>
          <t>$19.00</t>
        </is>
      </c>
      <c r="H141" s="5" t="inlineStr">
        <is>
          <t>Black Plum</t>
        </is>
      </c>
      <c r="I141" s="5">
        <f>IMAGE("https://images.lululemon.com/is/image/lululemon/34697",1)</f>
        <v/>
      </c>
      <c r="J141" s="5" t="inlineStr">
        <is>
          <t>O/S</t>
        </is>
      </c>
      <c r="K141" s="5" t="inlineStr">
        <is>
          <t>90/1096</t>
        </is>
      </c>
      <c r="L141" s="5" t="inlineStr">
        <is>
          <t>Yes</t>
        </is>
      </c>
      <c r="M141" s="5" t="inlineStr">
        <is>
          <t>Spend less time searching for things and more time knowing exactly where they are. From makeup to electronic accessories, this pouch will keep you organized.</t>
        </is>
      </c>
      <c r="N141" s="5" t="inlineStr">
        <is>
          <t>City-Essentials-Pouch-Mini</t>
        </is>
      </c>
      <c r="O141" s="5" t="inlineStr">
        <is>
          <t>Wallets and Pouches</t>
        </is>
      </c>
    </row>
    <row r="142" ht="80" customHeight="1">
      <c r="A142" s="6">
        <f>IMAGE("https://images.lululemon.com/is/image/lululemon/LU9DL2S_074104_1?wid=320&amp;op_usm=0.8",1)</f>
        <v/>
      </c>
      <c r="B142" s="6" t="inlineStr">
        <is>
          <t>Everywhere Belt Bag 1L *Plush Fleece</t>
        </is>
      </c>
      <c r="C142" s="6" t="inlineStr">
        <is>
          <t>158021626</t>
        </is>
      </c>
      <c r="D142" s="6" t="inlineStr">
        <is>
          <t>158021626-blackplum/gold</t>
        </is>
      </c>
      <c r="E142" s="6" t="inlineStr">
        <is>
          <t>Everywhere Belt Bag *Plush Fleece BLPM/GOLD ONE SIZE</t>
        </is>
      </c>
      <c r="F142" s="6" t="inlineStr">
        <is>
          <t>$68.00</t>
        </is>
      </c>
      <c r="G142" s="6" t="inlineStr">
        <is>
          <t>$34.00</t>
        </is>
      </c>
      <c r="H142" s="6" t="inlineStr">
        <is>
          <t>Black Plum/Gold</t>
        </is>
      </c>
      <c r="I142" s="6">
        <f>IMAGE("https://images.lululemon.com/is/image/lululemon/74104",1)</f>
        <v/>
      </c>
      <c r="J142" s="6" t="inlineStr">
        <is>
          <t>O/S</t>
        </is>
      </c>
      <c r="K142" s="6" t="inlineStr">
        <is>
          <t>342/342</t>
        </is>
      </c>
      <c r="L142" s="6" t="inlineStr">
        <is>
          <t>Yes</t>
        </is>
      </c>
      <c r="M142" s="6" t="inlineStr">
        <is>
          <t>Phone, keys, wallet. Keep them close in this versatile belt bag that helps you get out the door and on to your next adventure.</t>
        </is>
      </c>
      <c r="N142" s="6" t="inlineStr">
        <is>
          <t>Everywhere-Belt-Bag-1L-Plush-Fleece</t>
        </is>
      </c>
      <c r="O142" s="6" t="inlineStr">
        <is>
          <t>Belt Bags</t>
        </is>
      </c>
    </row>
    <row r="143" ht="80" customHeight="1">
      <c r="A143" s="5">
        <f>IMAGE("https://images.lululemon.com/is/image/lululemon/LU9BW1S_0001_1?wid=320&amp;op_usm=0.8",1)</f>
        <v/>
      </c>
      <c r="B143" s="5" t="inlineStr">
        <is>
          <t>Close-Fit Wool-Blend Ribbed Knit Beanie</t>
        </is>
      </c>
      <c r="C143" s="5" t="inlineStr">
        <is>
          <t>153826998</t>
        </is>
      </c>
      <c r="D143" s="5" t="inlineStr">
        <is>
          <t>153826998-black</t>
        </is>
      </c>
      <c r="E143" s="5" t="inlineStr">
        <is>
          <t>Close-Fit Wool-Blend Ribbed Knit Beanie BLK ONE SIZE</t>
        </is>
      </c>
      <c r="F143" s="5" t="inlineStr">
        <is>
          <t>$48.00</t>
        </is>
      </c>
      <c r="G143" s="5" t="inlineStr">
        <is>
          <t>$24.00</t>
        </is>
      </c>
      <c r="H143" s="5" t="inlineStr">
        <is>
          <t>Black</t>
        </is>
      </c>
      <c r="I143" s="5">
        <f>IMAGE("https://images.lululemon.com/is/image/lululemon/0001",1)</f>
        <v/>
      </c>
      <c r="J143" s="5" t="inlineStr">
        <is>
          <t>O/S</t>
        </is>
      </c>
      <c r="K143" s="5" t="inlineStr">
        <is>
          <t>380/380</t>
        </is>
      </c>
      <c r="L143" s="5" t="inlineStr">
        <is>
          <t>Yes</t>
        </is>
      </c>
      <c r="M143" s="5" t="inlineStr">
        <is>
          <t>Keep the cozy close. This lightweight, soft beanie is strategically knit to maintain a close fit, keeping things toasty up top.</t>
        </is>
      </c>
      <c r="N143" s="5" t="inlineStr">
        <is>
          <t>Close-Wool-Blend-Ribbed-Knit-Beanie</t>
        </is>
      </c>
      <c r="O143" s="5" t="inlineStr">
        <is>
          <t>Beanies</t>
        </is>
      </c>
    </row>
    <row r="144" ht="80" customHeight="1">
      <c r="A144" s="4">
        <f>IMAGE("https://images.lululemon.com/is/image/lululemon/LU9BYLS_069147_1?wid=320&amp;op_usm=0.8",1)</f>
        <v/>
      </c>
      <c r="B144" s="4" t="inlineStr">
        <is>
          <t>Back to Life Sport Bottle 24oz *Straw Lid</t>
        </is>
      </c>
      <c r="C144" s="4" t="inlineStr">
        <is>
          <t>157718272</t>
        </is>
      </c>
      <c r="D144" s="4" t="inlineStr">
        <is>
          <t>157718272-black/violetindigo/duskylavender</t>
        </is>
      </c>
      <c r="E144" s="4" t="inlineStr">
        <is>
          <t>Back to Life Sport Bottle 24oz*Straw Lid BLK/VIOI/DKLV ONE SIZE</t>
        </is>
      </c>
      <c r="F144" s="4" t="inlineStr">
        <is>
          <t>$44.00</t>
        </is>
      </c>
      <c r="G144" s="4" t="inlineStr">
        <is>
          <t>$22.00</t>
        </is>
      </c>
      <c r="H144" s="4" t="inlineStr">
        <is>
          <t>Black/Violet Indigo/Dusky Lavender</t>
        </is>
      </c>
      <c r="I144" s="4">
        <f>IMAGE("https://images.lululemon.com/is/image/lululemon/69147",1)</f>
        <v/>
      </c>
      <c r="J144" s="4" t="inlineStr">
        <is>
          <t>O/S</t>
        </is>
      </c>
      <c r="K144" s="4" t="inlineStr">
        <is>
          <t>106/220</t>
        </is>
      </c>
      <c r="L144" s="4" t="inlineStr">
        <is>
          <t>Yes</t>
        </is>
      </c>
      <c r="M144" s="4" t="inlineStr">
        <is>
          <t>Sport mode: activated. This insulated water bottle has a built-in straw lid and a slip-free texture to make one-handed drinking a breeze.</t>
        </is>
      </c>
      <c r="N144" s="4" t="inlineStr">
        <is>
          <t>Bck-to-Life-Sprt-Bttle-24oz-Straw-Lid</t>
        </is>
      </c>
      <c r="O144" s="4" t="inlineStr"/>
    </row>
    <row r="145" ht="80" customHeight="1">
      <c r="A145" s="7">
        <f>IMAGE("https://images.lululemon.com/is/image/lululemon/LU9BYLS_069147_1?wid=320&amp;op_usm=0.8",1)</f>
        <v/>
      </c>
      <c r="B145" s="7" t="inlineStr">
        <is>
          <t>Back to Life Sport Bottle 24oz *Straw Lid</t>
        </is>
      </c>
      <c r="C145" s="7" t="inlineStr">
        <is>
          <t>157718216</t>
        </is>
      </c>
      <c r="D145" s="7" t="inlineStr">
        <is>
          <t>157718216-white/dovegrey/pelican</t>
        </is>
      </c>
      <c r="E145" s="7" t="inlineStr">
        <is>
          <t>Back to Life Sport Bottle 24oz*Straw Lid BLK/VIOI/DKLV ONE SIZE</t>
        </is>
      </c>
      <c r="F145" s="7" t="inlineStr">
        <is>
          <t>$44.00</t>
        </is>
      </c>
      <c r="G145" s="7" t="inlineStr">
        <is>
          <t>$22.00</t>
        </is>
      </c>
      <c r="H145" s="7" t="inlineStr">
        <is>
          <t>White/Dove Grey/Pelican</t>
        </is>
      </c>
      <c r="I145" s="7">
        <f>IMAGE("https://images.lululemon.com/is/image/lululemon/74492",1)</f>
        <v/>
      </c>
      <c r="J145" s="7" t="inlineStr">
        <is>
          <t>O/S</t>
        </is>
      </c>
      <c r="K145" s="7" t="inlineStr">
        <is>
          <t>112/220</t>
        </is>
      </c>
      <c r="L145" s="7" t="inlineStr">
        <is>
          <t>Yes</t>
        </is>
      </c>
      <c r="M145" s="7" t="inlineStr">
        <is>
          <t>Sport mode: activated. This insulated water bottle has a built-in straw lid and a slip-free texture to make one-handed drinking a breeze.</t>
        </is>
      </c>
      <c r="N145" s="7" t="inlineStr">
        <is>
          <t>Bck-to-Life-Sprt-Bttle-24oz-Straw-Lid</t>
        </is>
      </c>
      <c r="O145" s="7" t="inlineStr"/>
    </row>
    <row r="146" ht="80" customHeight="1">
      <c r="A146" s="6">
        <f>IMAGE("https://images.lululemon.com/is/image/lululemon/LU9BYLS_069147_1?wid=320&amp;op_usm=0.8",1)</f>
        <v/>
      </c>
      <c r="B146" s="6" t="inlineStr">
        <is>
          <t>Back to Life Sport Bottle 24oz *Straw Lid</t>
        </is>
      </c>
      <c r="C146" s="6" t="inlineStr">
        <is>
          <t>148400244</t>
        </is>
      </c>
      <c r="D146" s="6" t="inlineStr">
        <is>
          <t>148400244-white</t>
        </is>
      </c>
      <c r="E146" s="6" t="inlineStr">
        <is>
          <t>Back to Life Sport Bottle 24oz*Straw Lid BLK/VIOI/DKLV ONE SIZE</t>
        </is>
      </c>
      <c r="F146" s="6" t="inlineStr">
        <is>
          <t>$44.00</t>
        </is>
      </c>
      <c r="G146" s="6" t="inlineStr">
        <is>
          <t>$22.00</t>
        </is>
      </c>
      <c r="H146" s="6" t="inlineStr">
        <is>
          <t>White</t>
        </is>
      </c>
      <c r="I146" s="6">
        <f>IMAGE("https://images.lululemon.com/is/image/lululemon/0002",1)</f>
        <v/>
      </c>
      <c r="J146" s="6" t="inlineStr">
        <is>
          <t>O/S</t>
        </is>
      </c>
      <c r="K146" s="6" t="inlineStr">
        <is>
          <t>2/220</t>
        </is>
      </c>
      <c r="L146" s="6" t="inlineStr">
        <is>
          <t>Yes</t>
        </is>
      </c>
      <c r="M146" s="6" t="inlineStr">
        <is>
          <t>Sport mode: activated. This insulated water bottle has a built-in straw lid and a slip-free texture to make one-handed drinking a breeze.</t>
        </is>
      </c>
      <c r="N146" s="6" t="inlineStr">
        <is>
          <t>Bck-to-Life-Sprt-Bttle-24oz-Straw-Lid</t>
        </is>
      </c>
      <c r="O146" s="6" t="inlineStr"/>
    </row>
    <row r="147" ht="80" customHeight="1">
      <c r="A147" s="5">
        <f>IMAGE("https://images.lululemon.com/is/image/lululemon/LW9FM7S_0002_1?wid=320&amp;op_usm=0.8",1)</f>
        <v/>
      </c>
      <c r="B147" s="5" t="inlineStr">
        <is>
          <t>Women's Fast Paced Wide Band Running Visor</t>
        </is>
      </c>
      <c r="C147" s="5" t="inlineStr">
        <is>
          <t>150750152</t>
        </is>
      </c>
      <c r="D147" s="5" t="inlineStr">
        <is>
          <t>150750152-white</t>
        </is>
      </c>
      <c r="E147" s="5" t="inlineStr">
        <is>
          <t>Fast Paced Wide Band Run Visor WHT ONE SIZE</t>
        </is>
      </c>
      <c r="F147" s="5" t="inlineStr">
        <is>
          <t>$28.00</t>
        </is>
      </c>
      <c r="G147" s="5" t="inlineStr">
        <is>
          <t>$14.00</t>
        </is>
      </c>
      <c r="H147" s="5" t="inlineStr">
        <is>
          <t>White</t>
        </is>
      </c>
      <c r="I147" s="5">
        <f>IMAGE("https://images.lululemon.com/is/image/lululemon/0002",1)</f>
        <v/>
      </c>
      <c r="J147" s="5" t="inlineStr">
        <is>
          <t>O/S</t>
        </is>
      </c>
      <c r="K147" s="5" t="inlineStr">
        <is>
          <t>716/716</t>
        </is>
      </c>
      <c r="L147" s="5" t="inlineStr">
        <is>
          <t>Yes</t>
        </is>
      </c>
      <c r="M147" s="5" t="inlineStr">
        <is>
          <t>Feel the wind, not the rays. We added height to the front band of this visor for extra coverage on your forehead. The ultimate run-in-the-sun solution just levelled up.</t>
        </is>
      </c>
      <c r="N147" s="5" t="inlineStr">
        <is>
          <t>W-Fast-Paced-Wide-Band-Running-Visor</t>
        </is>
      </c>
      <c r="O147" s="5" t="inlineStr">
        <is>
          <t>Visors</t>
        </is>
      </c>
    </row>
    <row r="148" ht="80" customHeight="1">
      <c r="A148" s="6">
        <f>IMAGE("https://images.lululemon.com/is/image/lululemon/LU9DM0S_014336_1?wid=320&amp;op_usm=0.8",1)</f>
        <v/>
      </c>
      <c r="B148" s="6" t="inlineStr">
        <is>
          <t>Insulated Tumbler 40oz *Iridescent</t>
        </is>
      </c>
      <c r="C148" s="6" t="inlineStr">
        <is>
          <t>157718199</t>
        </is>
      </c>
      <c r="D148" s="6" t="inlineStr">
        <is>
          <t>157718199-jewelledmagenta</t>
        </is>
      </c>
      <c r="E148" s="6" t="inlineStr">
        <is>
          <t>Insulated Tumbler 40oz JWMG ONE SIZE</t>
        </is>
      </c>
      <c r="F148" s="6" t="inlineStr">
        <is>
          <t>$58.00</t>
        </is>
      </c>
      <c r="G148" s="6" t="inlineStr">
        <is>
          <t>$29.00</t>
        </is>
      </c>
      <c r="H148" s="6" t="inlineStr">
        <is>
          <t>Jewelled Magenta</t>
        </is>
      </c>
      <c r="I148" s="6">
        <f>IMAGE("https://images.lululemon.com/is/image/lululemon/14336",1)</f>
        <v/>
      </c>
      <c r="J148" s="6" t="inlineStr">
        <is>
          <t>O/S</t>
        </is>
      </c>
      <c r="K148" s="6" t="inlineStr">
        <is>
          <t>420/420</t>
        </is>
      </c>
      <c r="L148" s="6" t="inlineStr">
        <is>
          <t>Yes</t>
        </is>
      </c>
      <c r="M148" s="6" t="inlineStr">
        <is>
          <t>Your new hydration bestie. This easy-carry tumbler gives you options: take icy cold sips from the stainless steel straw or swig from the secure lid flap.</t>
        </is>
      </c>
      <c r="N148" s="6" t="inlineStr">
        <is>
          <t>Insulated-Tumbler-40oz-Iridescent</t>
        </is>
      </c>
      <c r="O148" s="6" t="inlineStr">
        <is>
          <t>Tumblers and Travel Mugs</t>
        </is>
      </c>
    </row>
    <row r="149" ht="80" customHeight="1">
      <c r="A149" s="7">
        <f>IMAGE("https://images.lululemon.com/is/image/lululemon/LU9DO5S_0002_1?wid=320&amp;op_usm=0.8",1)</f>
        <v/>
      </c>
      <c r="B149" s="7" t="inlineStr">
        <is>
          <t>Unisex Daily Essential Crew Socks</t>
        </is>
      </c>
      <c r="C149" s="7" t="inlineStr">
        <is>
          <t>157768511</t>
        </is>
      </c>
      <c r="D149" s="7" t="inlineStr">
        <is>
          <t>157768511-white</t>
        </is>
      </c>
      <c r="E149" s="7" t="inlineStr">
        <is>
          <t>Daily Essential Socks WHT S</t>
        </is>
      </c>
      <c r="F149" s="7" t="inlineStr">
        <is>
          <t>$14.00</t>
        </is>
      </c>
      <c r="G149" s="7" t="inlineStr">
        <is>
          <t>$7.00</t>
        </is>
      </c>
      <c r="H149" s="7" t="inlineStr">
        <is>
          <t>White</t>
        </is>
      </c>
      <c r="I149" s="7">
        <f>IMAGE("https://images.lululemon.com/is/image/lululemon/0002",1)</f>
        <v/>
      </c>
      <c r="J149" s="7" t="inlineStr">
        <is>
          <t>S</t>
        </is>
      </c>
      <c r="K149" s="7" t="inlineStr">
        <is>
          <t>38/183</t>
        </is>
      </c>
      <c r="L149" s="7" t="inlineStr">
        <is>
          <t>Yes</t>
        </is>
      </c>
      <c r="M149" s="7" t="inlineStr">
        <is>
          <t>Top drawer comfort. These soft cotton socks combine integrated arch support and plush cushioning.</t>
        </is>
      </c>
      <c r="N149" s="7" t="inlineStr">
        <is>
          <t>Unisex-Daily-Essential-Crew-Socks</t>
        </is>
      </c>
      <c r="O149" s="7" t="inlineStr">
        <is>
          <t>Crew Socks</t>
        </is>
      </c>
    </row>
    <row r="150" ht="80" customHeight="1">
      <c r="A150" s="4">
        <f>IMAGE("https://images.lululemon.com/is/image/lululemon/LU9DO5S_0002_1?wid=320&amp;op_usm=0.8",1)</f>
        <v/>
      </c>
      <c r="B150" s="4" t="inlineStr">
        <is>
          <t>Unisex Daily Essential Crew Socks</t>
        </is>
      </c>
      <c r="C150" s="4" t="inlineStr">
        <is>
          <t>157768509</t>
        </is>
      </c>
      <c r="D150" s="4" t="inlineStr">
        <is>
          <t>157768509-white</t>
        </is>
      </c>
      <c r="E150" s="4" t="inlineStr">
        <is>
          <t>Daily Essential Socks WHT S</t>
        </is>
      </c>
      <c r="F150" s="4" t="inlineStr">
        <is>
          <t>$14.00</t>
        </is>
      </c>
      <c r="G150" s="4" t="inlineStr">
        <is>
          <t>$7.00</t>
        </is>
      </c>
      <c r="H150" s="4" t="inlineStr">
        <is>
          <t>White</t>
        </is>
      </c>
      <c r="I150" s="4">
        <f>IMAGE("https://images.lululemon.com/is/image/lululemon/0002",1)</f>
        <v/>
      </c>
      <c r="J150" s="4" t="inlineStr">
        <is>
          <t>M</t>
        </is>
      </c>
      <c r="K150" s="4" t="inlineStr">
        <is>
          <t>68/183</t>
        </is>
      </c>
      <c r="L150" s="4" t="inlineStr">
        <is>
          <t>Yes</t>
        </is>
      </c>
      <c r="M150" s="4" t="inlineStr">
        <is>
          <t>Top drawer comfort. These soft cotton socks combine integrated arch support and plush cushioning.</t>
        </is>
      </c>
      <c r="N150" s="4" t="inlineStr">
        <is>
          <t>Unisex-Daily-Essential-Crew-Socks</t>
        </is>
      </c>
      <c r="O150" s="4" t="inlineStr">
        <is>
          <t>Crew Socks</t>
        </is>
      </c>
    </row>
    <row r="151" ht="80" customHeight="1">
      <c r="A151" s="7">
        <f>IMAGE("https://images.lululemon.com/is/image/lululemon/LU9DO5S_0002_1?wid=320&amp;op_usm=0.8",1)</f>
        <v/>
      </c>
      <c r="B151" s="7" t="inlineStr">
        <is>
          <t>Unisex Daily Essential Crew Socks</t>
        </is>
      </c>
      <c r="C151" s="7" t="inlineStr">
        <is>
          <t>157768503</t>
        </is>
      </c>
      <c r="D151" s="7" t="inlineStr">
        <is>
          <t>157768503-white</t>
        </is>
      </c>
      <c r="E151" s="7" t="inlineStr">
        <is>
          <t>Daily Essential Socks WHT S</t>
        </is>
      </c>
      <c r="F151" s="7" t="inlineStr">
        <is>
          <t>$14.00</t>
        </is>
      </c>
      <c r="G151" s="7" t="inlineStr">
        <is>
          <t>$7.00</t>
        </is>
      </c>
      <c r="H151" s="7" t="inlineStr">
        <is>
          <t>White</t>
        </is>
      </c>
      <c r="I151" s="7">
        <f>IMAGE("https://images.lululemon.com/is/image/lululemon/0002",1)</f>
        <v/>
      </c>
      <c r="J151" s="7" t="inlineStr">
        <is>
          <t>L</t>
        </is>
      </c>
      <c r="K151" s="7" t="inlineStr">
        <is>
          <t>56/183</t>
        </is>
      </c>
      <c r="L151" s="7" t="inlineStr">
        <is>
          <t>Yes</t>
        </is>
      </c>
      <c r="M151" s="7" t="inlineStr">
        <is>
          <t>Top drawer comfort. These soft cotton socks combine integrated arch support and plush cushioning.</t>
        </is>
      </c>
      <c r="N151" s="7" t="inlineStr">
        <is>
          <t>Unisex-Daily-Essential-Crew-Socks</t>
        </is>
      </c>
      <c r="O151" s="7" t="inlineStr">
        <is>
          <t>Crew Socks</t>
        </is>
      </c>
    </row>
    <row r="152" ht="80" customHeight="1">
      <c r="A152" s="6">
        <f>IMAGE("https://images.lululemon.com/is/image/lululemon/LU9DO5S_0002_1?wid=320&amp;op_usm=0.8",1)</f>
        <v/>
      </c>
      <c r="B152" s="6" t="inlineStr">
        <is>
          <t>Unisex Daily Essential Crew Socks</t>
        </is>
      </c>
      <c r="C152" s="6" t="inlineStr">
        <is>
          <t>157768518</t>
        </is>
      </c>
      <c r="D152" s="6" t="inlineStr">
        <is>
          <t>157768518-white</t>
        </is>
      </c>
      <c r="E152" s="6" t="inlineStr">
        <is>
          <t>Daily Essential Socks WHT S</t>
        </is>
      </c>
      <c r="F152" s="6" t="inlineStr">
        <is>
          <t>$14.00</t>
        </is>
      </c>
      <c r="G152" s="6" t="inlineStr">
        <is>
          <t>$7.00</t>
        </is>
      </c>
      <c r="H152" s="6" t="inlineStr">
        <is>
          <t>White</t>
        </is>
      </c>
      <c r="I152" s="6">
        <f>IMAGE("https://images.lululemon.com/is/image/lululemon/0002",1)</f>
        <v/>
      </c>
      <c r="J152" s="6" t="inlineStr">
        <is>
          <t>XL</t>
        </is>
      </c>
      <c r="K152" s="6" t="inlineStr">
        <is>
          <t>21/183</t>
        </is>
      </c>
      <c r="L152" s="6" t="inlineStr">
        <is>
          <t>Yes</t>
        </is>
      </c>
      <c r="M152" s="6" t="inlineStr">
        <is>
          <t>Top drawer comfort. These soft cotton socks combine integrated arch support and plush cushioning.</t>
        </is>
      </c>
      <c r="N152" s="6" t="inlineStr">
        <is>
          <t>Unisex-Daily-Essential-Crew-Socks</t>
        </is>
      </c>
      <c r="O152" s="6" t="inlineStr">
        <is>
          <t>Crew Socks</t>
        </is>
      </c>
    </row>
    <row r="153" ht="80" customHeight="1">
      <c r="A153" s="7">
        <f>IMAGE("https://images.lululemon.com/is/image/lululemon/LW9FXRS_070108_1?wid=320&amp;op_usm=0.8",1)</f>
        <v/>
      </c>
      <c r="B153" s="7" t="inlineStr">
        <is>
          <t>Quilty Pleasures Tote Bag *Medium 12L</t>
        </is>
      </c>
      <c r="C153" s="7" t="inlineStr">
        <is>
          <t>157686546</t>
        </is>
      </c>
      <c r="D153" s="7" t="inlineStr">
        <is>
          <t>157686546-warmashgrey</t>
        </is>
      </c>
      <c r="E153" s="7" t="inlineStr">
        <is>
          <t>Quilty Pleasures Tote Medium WSHG ONE SIZE</t>
        </is>
      </c>
      <c r="F153" s="7" t="inlineStr">
        <is>
          <t>$148.00</t>
        </is>
      </c>
      <c r="G153" s="7" t="inlineStr">
        <is>
          <t>$74.00</t>
        </is>
      </c>
      <c r="H153" s="7" t="inlineStr">
        <is>
          <t>Warm Ash Grey</t>
        </is>
      </c>
      <c r="I153" s="7">
        <f>IMAGE("https://images.lululemon.com/is/image/lululemon/70108",1)</f>
        <v/>
      </c>
      <c r="J153" s="7" t="inlineStr">
        <is>
          <t>O/S</t>
        </is>
      </c>
      <c r="K153" s="7" t="inlineStr">
        <is>
          <t>126/403</t>
        </is>
      </c>
      <c r="L153" s="7" t="inlineStr">
        <is>
          <t>Yes</t>
        </is>
      </c>
      <c r="M153" s="7" t="inlineStr">
        <is>
          <t>Softly does it. Daily essentials find a cushioned landing in this quilted tote that's stamped all over with our wordmark design.</t>
        </is>
      </c>
      <c r="N153" s="7" t="inlineStr">
        <is>
          <t>Quilty-Pleasures-Tote-Bag-Medium-12L</t>
        </is>
      </c>
      <c r="O153" s="7" t="inlineStr">
        <is>
          <t>Totes</t>
        </is>
      </c>
    </row>
    <row r="154" ht="80" customHeight="1">
      <c r="A154" s="6">
        <f>IMAGE("https://images.lululemon.com/is/image/lululemon/LW9FXRS_070108_1?wid=320&amp;op_usm=0.8",1)</f>
        <v/>
      </c>
      <c r="B154" s="6" t="inlineStr">
        <is>
          <t>Quilty Pleasures Tote Bag *Medium 12L</t>
        </is>
      </c>
      <c r="C154" s="6" t="inlineStr">
        <is>
          <t>157686537</t>
        </is>
      </c>
      <c r="D154" s="6" t="inlineStr">
        <is>
          <t>157686537-black</t>
        </is>
      </c>
      <c r="E154" s="6" t="inlineStr">
        <is>
          <t>Quilty Pleasures Tote Medium WSHG ONE SIZE</t>
        </is>
      </c>
      <c r="F154" s="6" t="inlineStr">
        <is>
          <t>$148.00</t>
        </is>
      </c>
      <c r="G154" s="6" t="inlineStr">
        <is>
          <t>$74.00</t>
        </is>
      </c>
      <c r="H154" s="6" t="inlineStr">
        <is>
          <t>Black</t>
        </is>
      </c>
      <c r="I154" s="6">
        <f>IMAGE("https://images.lululemon.com/is/image/lululemon/0001",1)</f>
        <v/>
      </c>
      <c r="J154" s="6" t="inlineStr">
        <is>
          <t>O/S</t>
        </is>
      </c>
      <c r="K154" s="6" t="inlineStr">
        <is>
          <t>277/403</t>
        </is>
      </c>
      <c r="L154" s="6" t="inlineStr">
        <is>
          <t>Yes</t>
        </is>
      </c>
      <c r="M154" s="6" t="inlineStr">
        <is>
          <t>Softly does it. Daily essentials find a cushioned landing in this quilted tote that's stamped all over with our wordmark design.</t>
        </is>
      </c>
      <c r="N154" s="6" t="inlineStr">
        <is>
          <t>Quilty-Pleasures-Tote-Bag-Medium-12L</t>
        </is>
      </c>
      <c r="O154" s="6" t="inlineStr">
        <is>
          <t>Totes</t>
        </is>
      </c>
    </row>
    <row r="155" ht="80" customHeight="1">
      <c r="A155" s="5">
        <f>IMAGE("https://images.lululemon.com/is/image/lululemon/LU9BXQS_0001_1?wid=320&amp;op_usm=0.8",1)</f>
        <v/>
      </c>
      <c r="B155" s="5" t="inlineStr">
        <is>
          <t>Everywhere Belt Bag 1L Clear *Logo</t>
        </is>
      </c>
      <c r="C155" s="5" t="inlineStr">
        <is>
          <t>153107559</t>
        </is>
      </c>
      <c r="D155" s="5" t="inlineStr">
        <is>
          <t>153107559-black</t>
        </is>
      </c>
      <c r="E155" s="5" t="inlineStr">
        <is>
          <t>Everywhere Belt Bag *Clear BLK ONE SIZE</t>
        </is>
      </c>
      <c r="F155" s="5" t="inlineStr">
        <is>
          <t>$38.00</t>
        </is>
      </c>
      <c r="G155" s="5" t="inlineStr">
        <is>
          <t>$19.00</t>
        </is>
      </c>
      <c r="H155" s="5" t="inlineStr">
        <is>
          <t>Black</t>
        </is>
      </c>
      <c r="I155" s="5">
        <f>IMAGE("https://images.lululemon.com/is/image/lululemon/0001",1)</f>
        <v/>
      </c>
      <c r="J155" s="5" t="inlineStr">
        <is>
          <t>O/S</t>
        </is>
      </c>
      <c r="K155" s="5" t="inlineStr">
        <is>
          <t>3690/3690</t>
        </is>
      </c>
      <c r="L155" s="5" t="inlineStr">
        <is>
          <t>Yes</t>
        </is>
      </c>
      <c r="M155" s="5" t="inlineStr">
        <is>
          <t>Stadium ready. Whether you're heading to a concert or a game, this clear version of our Everywhere Belt Bag keeps belongings visible so lineups are a breeze.</t>
        </is>
      </c>
      <c r="N155" s="5" t="inlineStr">
        <is>
          <t>Everywhere-Belt-Bag-1L-Clear-Logo</t>
        </is>
      </c>
      <c r="O155" s="5" t="inlineStr">
        <is>
          <t>Belt Bags, Crossbody Bags</t>
        </is>
      </c>
    </row>
    <row r="156" ht="80" customHeight="1">
      <c r="A156" s="6">
        <f>IMAGE("https://images.lululemon.com/is/image/lululemon/LU9CV9S_074104_1?wid=320&amp;op_usm=0.8",1)</f>
        <v/>
      </c>
      <c r="B156" s="6" t="inlineStr">
        <is>
          <t>Everywhere Crossbody Bag 2L *Plush Fleece</t>
        </is>
      </c>
      <c r="C156" s="6" t="inlineStr">
        <is>
          <t>158096385</t>
        </is>
      </c>
      <c r="D156" s="6" t="inlineStr">
        <is>
          <t>158096385-blackplum/gold</t>
        </is>
      </c>
      <c r="E156" s="6" t="inlineStr">
        <is>
          <t>Everywhere Crossbody *Plush Fleece BLPM/GOLD ONE SIZE</t>
        </is>
      </c>
      <c r="F156" s="6" t="inlineStr">
        <is>
          <t>$108.00</t>
        </is>
      </c>
      <c r="G156" s="6" t="inlineStr">
        <is>
          <t>$54.00</t>
        </is>
      </c>
      <c r="H156" s="6" t="inlineStr">
        <is>
          <t>Black Plum/Gold</t>
        </is>
      </c>
      <c r="I156" s="6">
        <f>IMAGE("https://images.lululemon.com/is/image/lululemon/74104",1)</f>
        <v/>
      </c>
      <c r="J156" s="6" t="inlineStr">
        <is>
          <t>O/S</t>
        </is>
      </c>
      <c r="K156" s="6" t="inlineStr">
        <is>
          <t>486/486</t>
        </is>
      </c>
      <c r="L156" s="6" t="inlineStr">
        <is>
          <t>Yes</t>
        </is>
      </c>
      <c r="M156" s="6" t="inlineStr">
        <is>
          <t>Bringing you more of what you love. The Everywhere Crossbody comes equipped with strategically placed pockets inside and out and a removable strap to customize your look.</t>
        </is>
      </c>
      <c r="N156" s="6" t="inlineStr">
        <is>
          <t>Everywhere-Crossbody-Bag-2L-Plush-Fleece</t>
        </is>
      </c>
      <c r="O156" s="6" t="inlineStr">
        <is>
          <t>Crossbody Bags</t>
        </is>
      </c>
    </row>
    <row r="157" ht="80" customHeight="1">
      <c r="A157" s="7">
        <f>IMAGE("https://images.lululemon.com/is/image/lululemon/LW9FL7S_035486_1?wid=320&amp;op_usm=0.8",1)</f>
        <v/>
      </c>
      <c r="B157" s="7" t="inlineStr">
        <is>
          <t>City Essentials Pouch 4L</t>
        </is>
      </c>
      <c r="C157" s="7" t="inlineStr">
        <is>
          <t>157706634</t>
        </is>
      </c>
      <c r="D157" s="7" t="inlineStr">
        <is>
          <t>157706634-blissfulpink</t>
        </is>
      </c>
      <c r="E157" s="7" t="inlineStr">
        <is>
          <t>City Essentials Pouch BLLP ONE SIZE</t>
        </is>
      </c>
      <c r="F157" s="7" t="inlineStr">
        <is>
          <t>$48.00</t>
        </is>
      </c>
      <c r="G157" s="7" t="inlineStr">
        <is>
          <t>$24.00</t>
        </is>
      </c>
      <c r="H157" s="7" t="inlineStr">
        <is>
          <t>Blissful Pink</t>
        </is>
      </c>
      <c r="I157" s="7">
        <f>IMAGE("https://images.lululemon.com/is/image/lululemon/35486",1)</f>
        <v/>
      </c>
      <c r="J157" s="7" t="inlineStr">
        <is>
          <t>O/S</t>
        </is>
      </c>
      <c r="K157" s="7" t="inlineStr">
        <is>
          <t>191/425</t>
        </is>
      </c>
      <c r="L157" s="7" t="inlineStr">
        <is>
          <t>Yes</t>
        </is>
      </c>
      <c r="M157" s="7" t="inlineStr">
        <is>
          <t>Spend less time searching for things and more time knowing exactly where they are. From makeup to electronic accessories, this pouch will keep you organized.</t>
        </is>
      </c>
      <c r="N157" s="7" t="inlineStr">
        <is>
          <t>City-Essentials-Pouch-4L</t>
        </is>
      </c>
      <c r="O157" s="7" t="inlineStr">
        <is>
          <t>Wallets and Pouches</t>
        </is>
      </c>
    </row>
    <row r="158" ht="80" customHeight="1">
      <c r="A158" s="6">
        <f>IMAGE("https://images.lululemon.com/is/image/lululemon/LW9FL7S_035486_1?wid=320&amp;op_usm=0.8",1)</f>
        <v/>
      </c>
      <c r="B158" s="6" t="inlineStr">
        <is>
          <t>City Essentials Pouch 4L</t>
        </is>
      </c>
      <c r="C158" s="6" t="inlineStr">
        <is>
          <t>158022959</t>
        </is>
      </c>
      <c r="D158" s="6" t="inlineStr">
        <is>
          <t>158022959-berryrumble</t>
        </is>
      </c>
      <c r="E158" s="6" t="inlineStr">
        <is>
          <t>City Essentials Pouch BLLP ONE SIZE</t>
        </is>
      </c>
      <c r="F158" s="6" t="inlineStr">
        <is>
          <t>$48.00</t>
        </is>
      </c>
      <c r="G158" s="6" t="inlineStr">
        <is>
          <t>$24.00</t>
        </is>
      </c>
      <c r="H158" s="6" t="inlineStr">
        <is>
          <t>Berry Rumble</t>
        </is>
      </c>
      <c r="I158" s="6">
        <f>IMAGE("https://images.lululemon.com/is/image/lululemon/21363",1)</f>
        <v/>
      </c>
      <c r="J158" s="6" t="inlineStr">
        <is>
          <t>O/S</t>
        </is>
      </c>
      <c r="K158" s="6" t="inlineStr">
        <is>
          <t>234/425</t>
        </is>
      </c>
      <c r="L158" s="6" t="inlineStr">
        <is>
          <t>Yes</t>
        </is>
      </c>
      <c r="M158" s="6" t="inlineStr">
        <is>
          <t>Spend less time searching for things and more time knowing exactly where they are. From makeup to electronic accessories, this pouch will keep you organized.</t>
        </is>
      </c>
      <c r="N158" s="6" t="inlineStr">
        <is>
          <t>City-Essentials-Pouch-4L</t>
        </is>
      </c>
      <c r="O158" s="6" t="inlineStr">
        <is>
          <t>Wallets and Pouches</t>
        </is>
      </c>
    </row>
    <row r="159" ht="80" customHeight="1">
      <c r="A159" s="5">
        <f>IMAGE("https://images.lululemon.com/is/image/lululemon/LU9AQAS_0001_1?wid=320&amp;op_usm=0.8",1)</f>
        <v/>
      </c>
      <c r="B159" s="5" t="inlineStr">
        <is>
          <t>Workout Sliders *Set of 2</t>
        </is>
      </c>
      <c r="C159" s="5" t="inlineStr">
        <is>
          <t>142975048</t>
        </is>
      </c>
      <c r="D159" s="5" t="inlineStr">
        <is>
          <t>142975048-black</t>
        </is>
      </c>
      <c r="E159" s="5" t="inlineStr">
        <is>
          <t>Workout Sliders BLK ONE SIZE</t>
        </is>
      </c>
      <c r="F159" s="5" t="inlineStr">
        <is>
          <t>$28.00</t>
        </is>
      </c>
      <c r="G159" s="5" t="inlineStr">
        <is>
          <t>$14.00</t>
        </is>
      </c>
      <c r="H159" s="5" t="inlineStr">
        <is>
          <t>Black</t>
        </is>
      </c>
      <c r="I159" s="5">
        <f>IMAGE("https://images.lululemon.com/is/image/lululemon/0001",1)</f>
        <v/>
      </c>
      <c r="J159" s="5" t="inlineStr">
        <is>
          <t>O/S</t>
        </is>
      </c>
      <c r="K159" s="5" t="inlineStr">
        <is>
          <t>759/759</t>
        </is>
      </c>
      <c r="L159" s="5" t="inlineStr">
        <is>
          <t>Yes</t>
        </is>
      </c>
      <c r="M159" s="5" t="inlineStr">
        <is>
          <t>Glide past your limits. These versatile sliding discs are double-sided for core and stability work on any surface.</t>
        </is>
      </c>
      <c r="N159" s="5" t="inlineStr">
        <is>
          <t>Workout-Sliders-Set-of-2</t>
        </is>
      </c>
      <c r="O159" s="5" t="inlineStr">
        <is>
          <t>Sliders</t>
        </is>
      </c>
    </row>
    <row r="160" ht="80" customHeight="1">
      <c r="A160" s="6">
        <f>IMAGE("https://images.lululemon.com/is/image/lululemon/LM9AS7S_0001_1?wid=320&amp;op_usm=0.8",1)</f>
        <v/>
      </c>
      <c r="B160" s="6" t="inlineStr">
        <is>
          <t>Men's Days Shade Ball Cap</t>
        </is>
      </c>
      <c r="C160" s="6" t="inlineStr">
        <is>
          <t>146403931</t>
        </is>
      </c>
      <c r="D160" s="6" t="inlineStr">
        <is>
          <t>146403931-black</t>
        </is>
      </c>
      <c r="E160" s="6" t="inlineStr">
        <is>
          <t>Days Shade Ball Cap BLK ONE SIZE</t>
        </is>
      </c>
      <c r="F160" s="6" t="inlineStr">
        <is>
          <t>$38.00</t>
        </is>
      </c>
      <c r="G160" s="6" t="inlineStr">
        <is>
          <t>$19.00</t>
        </is>
      </c>
      <c r="H160" s="6" t="inlineStr">
        <is>
          <t>Black</t>
        </is>
      </c>
      <c r="I160" s="6">
        <f>IMAGE("https://images.lululemon.com/is/image/lululemon/0001",1)</f>
        <v/>
      </c>
      <c r="J160" s="6" t="inlineStr">
        <is>
          <t>O/S</t>
        </is>
      </c>
      <c r="K160" s="6" t="inlineStr">
        <is>
          <t>19/19</t>
        </is>
      </c>
      <c r="L160" s="6" t="inlineStr">
        <is>
          <t>Yes</t>
        </is>
      </c>
      <c r="M160" s="6" t="inlineStr">
        <is>
          <t>Keep it casual in this classic, VersaTwill™ ball cap.</t>
        </is>
      </c>
      <c r="N160" s="6" t="inlineStr">
        <is>
          <t>Days-Shade-Ball-Cap</t>
        </is>
      </c>
      <c r="O160" s="6" t="inlineStr">
        <is>
          <t>Caps</t>
        </is>
      </c>
    </row>
    <row r="161" ht="80" customHeight="1">
      <c r="A161" s="5">
        <f>IMAGE("https://images.lululemon.com/is/image/lululemon/LW9FZYS_0001_1?wid=320&amp;op_usm=0.8",1)</f>
        <v/>
      </c>
      <c r="B161" s="5" t="inlineStr">
        <is>
          <t>Diamond Quilt Tote Bag Mini 5L</t>
        </is>
      </c>
      <c r="C161" s="5" t="inlineStr">
        <is>
          <t>158021951</t>
        </is>
      </c>
      <c r="D161" s="5" t="inlineStr">
        <is>
          <t>158021951-black</t>
        </is>
      </c>
      <c r="E161" s="5" t="inlineStr">
        <is>
          <t>Diamond Quilt Tote Mini BLK ONE SIZE</t>
        </is>
      </c>
      <c r="F161" s="5" t="inlineStr">
        <is>
          <t>$168.00</t>
        </is>
      </c>
      <c r="G161" s="5" t="inlineStr">
        <is>
          <t>$84.00</t>
        </is>
      </c>
      <c r="H161" s="5" t="inlineStr">
        <is>
          <t>Black</t>
        </is>
      </c>
      <c r="I161" s="5">
        <f>IMAGE("https://images.lululemon.com/is/image/lululemon/0001",1)</f>
        <v/>
      </c>
      <c r="J161" s="5" t="inlineStr">
        <is>
          <t>O/S</t>
        </is>
      </c>
      <c r="K161" s="5" t="inlineStr">
        <is>
          <t>48/48</t>
        </is>
      </c>
      <c r="L161" s="5" t="inlineStr">
        <is>
          <t>Yes</t>
        </is>
      </c>
      <c r="M161" s="5" t="inlineStr">
        <is>
          <t>Your favourite tote all grown up. With a quilted exterior and cute, mini size, this compact carryall puts a sophisticated spin on every look.</t>
        </is>
      </c>
      <c r="N161" s="5" t="inlineStr">
        <is>
          <t>Diamond-Quilt-Tote-Bag-Mini-5L</t>
        </is>
      </c>
      <c r="O161" s="5" t="inlineStr"/>
    </row>
    <row r="162" ht="80" customHeight="1">
      <c r="A162" s="6">
        <f>IMAGE("https://images.lululemon.com/is/image/lululemon/LU9BRKS_049106_1?wid=320&amp;op_usm=0.8",1)</f>
        <v/>
      </c>
      <c r="B162" s="6" t="inlineStr">
        <is>
          <t>3-in-1 Gym Duffle Bag 30L</t>
        </is>
      </c>
      <c r="C162" s="6" t="inlineStr">
        <is>
          <t>155725295</t>
        </is>
      </c>
      <c r="D162" s="6" t="inlineStr">
        <is>
          <t>155725295-rainforestgreen</t>
        </is>
      </c>
      <c r="E162" s="6" t="inlineStr">
        <is>
          <t>Gym Duffle Bag RNFG ONE SIZE</t>
        </is>
      </c>
      <c r="F162" s="6" t="inlineStr">
        <is>
          <t>$158.00</t>
        </is>
      </c>
      <c r="G162" s="6" t="inlineStr">
        <is>
          <t>$79.00</t>
        </is>
      </c>
      <c r="H162" s="6" t="inlineStr">
        <is>
          <t>Rainforest Green</t>
        </is>
      </c>
      <c r="I162" s="6">
        <f>IMAGE("https://images.lululemon.com/is/image/lululemon/49106",1)</f>
        <v/>
      </c>
      <c r="J162" s="6" t="inlineStr">
        <is>
          <t>O/S</t>
        </is>
      </c>
      <c r="K162" s="6" t="inlineStr">
        <is>
          <t>79/79</t>
        </is>
      </c>
      <c r="L162" s="6" t="inlineStr">
        <is>
          <t>Yes</t>
        </is>
      </c>
      <c r="M162" s="6" t="inlineStr">
        <is>
          <t>Taking multi-use to the next level. Pack this duffle with sweat essentials and use the removable shoulder strap to carry your yoga mat or as a stretching strap.</t>
        </is>
      </c>
      <c r="N162" s="6" t="inlineStr">
        <is>
          <t>Gym-Duffle-Bag-30L</t>
        </is>
      </c>
      <c r="O162" s="6" t="inlineStr">
        <is>
          <t>Duffle Bags</t>
        </is>
      </c>
    </row>
    <row r="163" ht="80" customHeight="1">
      <c r="A163" s="7">
        <f>IMAGE("https://images.lululemon.com/is/image/lululemon/LU9CJ7S_0001_1?wid=320&amp;op_usm=0.8",1)</f>
        <v/>
      </c>
      <c r="B163" s="7" t="inlineStr">
        <is>
          <t>The Mat 5mm *Made With FSC™ Certified Rubber</t>
        </is>
      </c>
      <c r="C163" s="7" t="inlineStr">
        <is>
          <t>153151858</t>
        </is>
      </c>
      <c r="D163" s="7" t="inlineStr">
        <is>
          <t>153151858-black</t>
        </is>
      </c>
      <c r="E163" s="7" t="inlineStr">
        <is>
          <t>The Mat 5mm BLK ONE SIZE</t>
        </is>
      </c>
      <c r="F163" s="7" t="inlineStr">
        <is>
          <t>$118.00</t>
        </is>
      </c>
      <c r="G163" s="7" t="inlineStr">
        <is>
          <t>$59.00</t>
        </is>
      </c>
      <c r="H163" s="7" t="inlineStr">
        <is>
          <t>Black</t>
        </is>
      </c>
      <c r="I163" s="7">
        <f>IMAGE("https://images.lululemon.com/is/image/lululemon/0001",1)</f>
        <v/>
      </c>
      <c r="J163" s="7" t="inlineStr">
        <is>
          <t>O/S</t>
        </is>
      </c>
      <c r="K163" s="7" t="inlineStr">
        <is>
          <t>1513/3361</t>
        </is>
      </c>
      <c r="L163" s="7" t="inlineStr">
        <is>
          <t>Yes</t>
        </is>
      </c>
      <c r="M163" s="7" t="inlineStr">
        <is>
          <t>This mat features a natural rubber base with a little extra cushion to give your body more depth while your mind goes deep.</t>
        </is>
      </c>
      <c r="N163" s="7" t="inlineStr">
        <is>
          <t>The-Mat-5mm</t>
        </is>
      </c>
      <c r="O163" s="7" t="inlineStr"/>
    </row>
    <row r="164" ht="80" customHeight="1">
      <c r="A164" s="4">
        <f>IMAGE("https://images.lululemon.com/is/image/lululemon/LU9CJ7S_0001_1?wid=320&amp;op_usm=0.8",1)</f>
        <v/>
      </c>
      <c r="B164" s="4" t="inlineStr">
        <is>
          <t>The Mat 5mm *Made With FSC™ Certified Rubber</t>
        </is>
      </c>
      <c r="C164" s="4" t="inlineStr">
        <is>
          <t>155725318</t>
        </is>
      </c>
      <c r="D164" s="4" t="inlineStr">
        <is>
          <t>155725318-pinkhaze/decopink/pinkorganza/cherrylemonade/decopink</t>
        </is>
      </c>
      <c r="E164" s="4" t="inlineStr">
        <is>
          <t>The Mat 5mm BLK ONE SIZE</t>
        </is>
      </c>
      <c r="F164" s="4" t="inlineStr">
        <is>
          <t>$118.00</t>
        </is>
      </c>
      <c r="G164" s="4" t="inlineStr">
        <is>
          <t>$59.00</t>
        </is>
      </c>
      <c r="H164" s="4" t="inlineStr">
        <is>
          <t>Pink Haze/Deco Pink/Pink Organza/Cherry Lemonade/Deco Pink</t>
        </is>
      </c>
      <c r="I164" s="4">
        <f>IMAGE("https://images.lululemon.com/is/image/lululemon/69286",1)</f>
        <v/>
      </c>
      <c r="J164" s="4" t="inlineStr">
        <is>
          <t>O/S</t>
        </is>
      </c>
      <c r="K164" s="4" t="inlineStr">
        <is>
          <t>521/3361</t>
        </is>
      </c>
      <c r="L164" s="4" t="inlineStr">
        <is>
          <t>Yes</t>
        </is>
      </c>
      <c r="M164" s="4" t="inlineStr">
        <is>
          <t>This mat features a natural rubber base with a little extra cushion to give your body more depth while your mind goes deep.</t>
        </is>
      </c>
      <c r="N164" s="4" t="inlineStr">
        <is>
          <t>The-Mat-5mm</t>
        </is>
      </c>
      <c r="O164" s="4" t="inlineStr"/>
    </row>
    <row r="165" ht="80" customHeight="1">
      <c r="A165" s="7">
        <f>IMAGE("https://images.lululemon.com/is/image/lululemon/LU9CJ7S_0001_1?wid=320&amp;op_usm=0.8",1)</f>
        <v/>
      </c>
      <c r="B165" s="7" t="inlineStr">
        <is>
          <t>The Mat 5mm *Made With FSC™ Certified Rubber</t>
        </is>
      </c>
      <c r="C165" s="7" t="inlineStr">
        <is>
          <t>155779393</t>
        </is>
      </c>
      <c r="D165" s="7" t="inlineStr">
        <is>
          <t>155779393-chambray/washeddenim/starchblue/white/chambray</t>
        </is>
      </c>
      <c r="E165" s="7" t="inlineStr">
        <is>
          <t>The Mat 5mm BLK ONE SIZE</t>
        </is>
      </c>
      <c r="F165" s="7" t="inlineStr">
        <is>
          <t>$118.00</t>
        </is>
      </c>
      <c r="G165" s="7" t="inlineStr">
        <is>
          <t>$59.00</t>
        </is>
      </c>
      <c r="H165" s="7" t="inlineStr">
        <is>
          <t>Chambray/Washed Denim/Starch Blue/White/Chambray</t>
        </is>
      </c>
      <c r="I165" s="7">
        <f>IMAGE("https://images.lululemon.com/is/image/lululemon/69285",1)</f>
        <v/>
      </c>
      <c r="J165" s="7" t="inlineStr">
        <is>
          <t>O/S</t>
        </is>
      </c>
      <c r="K165" s="7" t="inlineStr">
        <is>
          <t>268/3361</t>
        </is>
      </c>
      <c r="L165" s="7" t="inlineStr">
        <is>
          <t>Yes</t>
        </is>
      </c>
      <c r="M165" s="7" t="inlineStr">
        <is>
          <t>This mat features a natural rubber base with a little extra cushion to give your body more depth while your mind goes deep.</t>
        </is>
      </c>
      <c r="N165" s="7" t="inlineStr">
        <is>
          <t>The-Mat-5mm</t>
        </is>
      </c>
      <c r="O165" s="7" t="inlineStr"/>
    </row>
    <row r="166" ht="80" customHeight="1">
      <c r="A166" s="6">
        <f>IMAGE("https://images.lululemon.com/is/image/lululemon/LU9CJ7S_0001_1?wid=320&amp;op_usm=0.8",1)</f>
        <v/>
      </c>
      <c r="B166" s="6" t="inlineStr">
        <is>
          <t>The Mat 5mm *Made With FSC™ Certified Rubber</t>
        </is>
      </c>
      <c r="C166" s="6" t="inlineStr">
        <is>
          <t>157868465</t>
        </is>
      </c>
      <c r="D166" s="6" t="inlineStr">
        <is>
          <t>157868465-sweetvelvet/plum/faintlavender/white/sweetvelvet</t>
        </is>
      </c>
      <c r="E166" s="6" t="inlineStr">
        <is>
          <t>The Mat 5mm BLK ONE SIZE</t>
        </is>
      </c>
      <c r="F166" s="6" t="inlineStr">
        <is>
          <t>$118.00</t>
        </is>
      </c>
      <c r="G166" s="6" t="inlineStr">
        <is>
          <t>$59.00</t>
        </is>
      </c>
      <c r="H166" s="6" t="inlineStr">
        <is>
          <t>Sweet Velvet/Plum/Faint Lavender/White/Sweet Velvet</t>
        </is>
      </c>
      <c r="I166" s="6">
        <f>IMAGE("https://images.lululemon.com/is/image/lululemon/73781",1)</f>
        <v/>
      </c>
      <c r="J166" s="6" t="inlineStr">
        <is>
          <t>O/S</t>
        </is>
      </c>
      <c r="K166" s="6" t="inlineStr">
        <is>
          <t>1059/3361</t>
        </is>
      </c>
      <c r="L166" s="6" t="inlineStr">
        <is>
          <t>Yes</t>
        </is>
      </c>
      <c r="M166" s="6" t="inlineStr">
        <is>
          <t>This mat features a natural rubber base with a little extra cushion to give your body more depth while your mind goes deep.</t>
        </is>
      </c>
      <c r="N166" s="6" t="inlineStr">
        <is>
          <t>The-Mat-5mm</t>
        </is>
      </c>
      <c r="O166" s="6" t="inlineStr"/>
    </row>
    <row r="167" ht="80" customHeight="1">
      <c r="A167" s="7">
        <f>IMAGE("https://images.lululemon.com/is/image/lululemon/LU9CEIS_071534_1?wid=320&amp;op_usm=0.8",1)</f>
        <v/>
      </c>
      <c r="B167" s="7" t="inlineStr">
        <is>
          <t>Racket Bag 19L</t>
        </is>
      </c>
      <c r="C167" s="7" t="inlineStr">
        <is>
          <t>158029922</t>
        </is>
      </c>
      <c r="D167" s="7" t="inlineStr">
        <is>
          <t>158029922-clubblue/black</t>
        </is>
      </c>
      <c r="E167" s="7" t="inlineStr">
        <is>
          <t>Racket Bag CLBL/BLK ONE SIZE</t>
        </is>
      </c>
      <c r="F167" s="7" t="inlineStr">
        <is>
          <t>$168.00</t>
        </is>
      </c>
      <c r="G167" s="7" t="inlineStr">
        <is>
          <t>$84.00</t>
        </is>
      </c>
      <c r="H167" s="7" t="inlineStr">
        <is>
          <t>Club Blue/Black</t>
        </is>
      </c>
      <c r="I167" s="7">
        <f>IMAGE("https://images.lululemon.com/is/image/lululemon/71534",1)</f>
        <v/>
      </c>
      <c r="J167" s="7" t="inlineStr">
        <is>
          <t>O/S</t>
        </is>
      </c>
      <c r="K167" s="7" t="inlineStr">
        <is>
          <t>286/1258</t>
        </is>
      </c>
      <c r="L167" s="7" t="inlineStr">
        <is>
          <t>Yes</t>
        </is>
      </c>
      <c r="M167" s="7" t="inlineStr">
        <is>
          <t>This convertible backpack has room for snacks, shoes, and a change of clothes, while the detachable racket holder adjusts to fit two tennis, badminton, or pickleball rackets.</t>
        </is>
      </c>
      <c r="N167" s="7" t="inlineStr">
        <is>
          <t>Racket-Bag-19L</t>
        </is>
      </c>
      <c r="O167" s="7" t="inlineStr">
        <is>
          <t>Backpacks</t>
        </is>
      </c>
    </row>
    <row r="168" ht="80" customHeight="1">
      <c r="A168" s="4">
        <f>IMAGE("https://images.lululemon.com/is/image/lululemon/LU9CEIS_071534_1?wid=320&amp;op_usm=0.8",1)</f>
        <v/>
      </c>
      <c r="B168" s="4" t="inlineStr">
        <is>
          <t>Racket Bag 19L</t>
        </is>
      </c>
      <c r="C168" s="4" t="inlineStr">
        <is>
          <t>158029936</t>
        </is>
      </c>
      <c r="D168" s="4" t="inlineStr">
        <is>
          <t>158029936-natural/rockwood</t>
        </is>
      </c>
      <c r="E168" s="4" t="inlineStr">
        <is>
          <t>Racket Bag CLBL/BLK ONE SIZE</t>
        </is>
      </c>
      <c r="F168" s="4" t="inlineStr">
        <is>
          <t>$168.00</t>
        </is>
      </c>
      <c r="G168" s="4" t="inlineStr">
        <is>
          <t>$84.00</t>
        </is>
      </c>
      <c r="H168" s="4" t="inlineStr">
        <is>
          <t>Natural/Rockwood</t>
        </is>
      </c>
      <c r="I168" s="4">
        <f>IMAGE("https://images.lululemon.com/is/image/lululemon/73959",1)</f>
        <v/>
      </c>
      <c r="J168" s="4" t="inlineStr">
        <is>
          <t>O/S</t>
        </is>
      </c>
      <c r="K168" s="4" t="inlineStr">
        <is>
          <t>266/1258</t>
        </is>
      </c>
      <c r="L168" s="4" t="inlineStr">
        <is>
          <t>Yes</t>
        </is>
      </c>
      <c r="M168" s="4" t="inlineStr">
        <is>
          <t>This convertible backpack has room for snacks, shoes, and a change of clothes, while the detachable racket holder adjusts to fit two tennis, badminton, or pickleball rackets.</t>
        </is>
      </c>
      <c r="N168" s="4" t="inlineStr">
        <is>
          <t>Racket-Bag-19L</t>
        </is>
      </c>
      <c r="O168" s="4" t="inlineStr">
        <is>
          <t>Backpacks</t>
        </is>
      </c>
    </row>
    <row r="169" ht="80" customHeight="1">
      <c r="A169" s="5">
        <f>IMAGE("https://images.lululemon.com/is/image/lululemon/LU9CEIS_071534_1?wid=320&amp;op_usm=0.8",1)</f>
        <v/>
      </c>
      <c r="B169" s="5" t="inlineStr">
        <is>
          <t>Racket Bag 19L</t>
        </is>
      </c>
      <c r="C169" s="5" t="inlineStr">
        <is>
          <t>155725269</t>
        </is>
      </c>
      <c r="D169" s="5" t="inlineStr">
        <is>
          <t>155725269-natural/black</t>
        </is>
      </c>
      <c r="E169" s="5" t="inlineStr">
        <is>
          <t>Racket Bag CLBL/BLK ONE SIZE</t>
        </is>
      </c>
      <c r="F169" s="5" t="inlineStr">
        <is>
          <t>$168.00</t>
        </is>
      </c>
      <c r="G169" s="5" t="inlineStr">
        <is>
          <t>$84.00</t>
        </is>
      </c>
      <c r="H169" s="5" t="inlineStr">
        <is>
          <t>Natural/Black</t>
        </is>
      </c>
      <c r="I169" s="5">
        <f>IMAGE("https://images.lululemon.com/is/image/lululemon/11185",1)</f>
        <v/>
      </c>
      <c r="J169" s="5" t="inlineStr">
        <is>
          <t>O/S</t>
        </is>
      </c>
      <c r="K169" s="5" t="inlineStr">
        <is>
          <t>706/1258</t>
        </is>
      </c>
      <c r="L169" s="5" t="inlineStr">
        <is>
          <t>Yes</t>
        </is>
      </c>
      <c r="M169" s="5" t="inlineStr">
        <is>
          <t>This convertible backpack has room for snacks, shoes, and a change of clothes, while the detachable racket holder adjusts to fit two tennis, badminton, or pickleball rackets.</t>
        </is>
      </c>
      <c r="N169" s="5" t="inlineStr">
        <is>
          <t>Racket-Bag-19L</t>
        </is>
      </c>
      <c r="O169" s="5" t="inlineStr">
        <is>
          <t>Backpacks</t>
        </is>
      </c>
    </row>
    <row r="170" ht="80" customHeight="1">
      <c r="A170" s="6">
        <f>IMAGE("https://images.lululemon.com/is/image/lululemon/LU9CM5S_043646_1?wid=320&amp;op_usm=0.8",1)</f>
        <v/>
      </c>
      <c r="B170" s="6" t="inlineStr">
        <is>
          <t>Double-Zip Backpack 22L *Tech Canvas</t>
        </is>
      </c>
      <c r="C170" s="6" t="inlineStr">
        <is>
          <t>158020669</t>
        </is>
      </c>
      <c r="D170" s="6" t="inlineStr">
        <is>
          <t>158020669-black/graphitegrey</t>
        </is>
      </c>
      <c r="E170" s="6" t="inlineStr">
        <is>
          <t>Double-Zip Backpack *Tech Canvas BLK/GGRE ONE SIZE</t>
        </is>
      </c>
      <c r="F170" s="6" t="inlineStr">
        <is>
          <t>$128.00</t>
        </is>
      </c>
      <c r="G170" s="6" t="inlineStr">
        <is>
          <t>$64.00</t>
        </is>
      </c>
      <c r="H170" s="6" t="inlineStr">
        <is>
          <t>Black/Graphite Grey</t>
        </is>
      </c>
      <c r="I170" s="6">
        <f>IMAGE("https://images.lululemon.com/is/image/lululemon/43646",1)</f>
        <v/>
      </c>
      <c r="J170" s="6" t="inlineStr">
        <is>
          <t>O/S</t>
        </is>
      </c>
      <c r="K170" s="6" t="inlineStr">
        <is>
          <t>111/111</t>
        </is>
      </c>
      <c r="L170" s="6" t="inlineStr">
        <is>
          <t>Yes</t>
        </is>
      </c>
      <c r="M170" s="6" t="inlineStr">
        <is>
          <t>Laptop, lunch, and gear—bring it all. This backpack has zippered pockets inside and out to keep your phone, chargers, and other essentials organized and easy to access.</t>
        </is>
      </c>
      <c r="N170" s="6" t="inlineStr">
        <is>
          <t>Double-Zip-Backpack-22L-Tech-Canvas</t>
        </is>
      </c>
      <c r="O170" s="6" t="inlineStr">
        <is>
          <t>Backpacks</t>
        </is>
      </c>
    </row>
    <row r="171" ht="80" customHeight="1">
      <c r="A171" s="5">
        <f>IMAGE("https://images.lululemon.com/is/image/lululemon/LW9FRRS_0001_1?wid=320&amp;op_usm=0.8",1)</f>
        <v/>
      </c>
      <c r="B171" s="5" t="inlineStr">
        <is>
          <t>Uplifting Scrunchies *3 Pack</t>
        </is>
      </c>
      <c r="C171" s="5" t="inlineStr">
        <is>
          <t>154075151</t>
        </is>
      </c>
      <c r="D171" s="5" t="inlineStr">
        <is>
          <t>154075151-black</t>
        </is>
      </c>
      <c r="E171" s="5" t="inlineStr">
        <is>
          <t>Uplifting Scrunchies *3 Pack BLK ONE SIZE</t>
        </is>
      </c>
      <c r="F171" s="5" t="inlineStr">
        <is>
          <t>$24.00</t>
        </is>
      </c>
      <c r="G171" s="5" t="inlineStr">
        <is>
          <t>$12.00</t>
        </is>
      </c>
      <c r="H171" s="5" t="inlineStr">
        <is>
          <t>Black</t>
        </is>
      </c>
      <c r="I171" s="5">
        <f>IMAGE("https://images.lululemon.com/is/image/lululemon/0001",1)</f>
        <v/>
      </c>
      <c r="J171" s="5" t="inlineStr">
        <is>
          <t>O/S</t>
        </is>
      </c>
      <c r="K171" s="5" t="inlineStr">
        <is>
          <t>215/215</t>
        </is>
      </c>
      <c r="L171" s="5" t="inlineStr">
        <is>
          <t>Yes</t>
        </is>
      </c>
      <c r="M171" s="5" t="inlineStr">
        <is>
          <t>It's scrunch time. These fan favourite scrunchies keep your hair tied tight, stretch after stretch.</t>
        </is>
      </c>
      <c r="N171" s="5" t="inlineStr">
        <is>
          <t>Uplifting-Scrunchies-3-Pack</t>
        </is>
      </c>
      <c r="O171" s="5" t="inlineStr">
        <is>
          <t>Scrunchies</t>
        </is>
      </c>
    </row>
    <row r="172" ht="80" customHeight="1">
      <c r="A172" s="4">
        <f>IMAGE("https://images.lululemon.com/is/image/lululemon/LU9B35S_0001_1?wid=320&amp;op_usm=0.8",1)</f>
        <v/>
      </c>
      <c r="B172" s="4" t="inlineStr">
        <is>
          <t>Fast and Free Running Belt</t>
        </is>
      </c>
      <c r="C172" s="4" t="inlineStr">
        <is>
          <t>155702492</t>
        </is>
      </c>
      <c r="D172" s="4" t="inlineStr">
        <is>
          <t>155702492-black</t>
        </is>
      </c>
      <c r="E172" s="4" t="inlineStr">
        <is>
          <t>Fast and Free Run Belt BLK XS/S</t>
        </is>
      </c>
      <c r="F172" s="4" t="inlineStr">
        <is>
          <t>$44.00</t>
        </is>
      </c>
      <c r="G172" s="4" t="inlineStr">
        <is>
          <t>$22.00</t>
        </is>
      </c>
      <c r="H172" s="4" t="inlineStr">
        <is>
          <t>Black</t>
        </is>
      </c>
      <c r="I172" s="4">
        <f>IMAGE("https://images.lululemon.com/is/image/lululemon/0001",1)</f>
        <v/>
      </c>
      <c r="J172" s="4" t="inlineStr">
        <is>
          <t>XS/S</t>
        </is>
      </c>
      <c r="K172" s="4" t="inlineStr">
        <is>
          <t>3/300</t>
        </is>
      </c>
      <c r="L172" s="4" t="inlineStr">
        <is>
          <t>Yes</t>
        </is>
      </c>
      <c r="M172" s="4" t="inlineStr">
        <is>
          <t>Free your mind—and your hands. This sleek, distraction-free run belt is lightweight and adjustable with just enough space for run essentials.</t>
        </is>
      </c>
      <c r="N172" s="4" t="inlineStr">
        <is>
          <t>Fast-and-Free-Run-Belt</t>
        </is>
      </c>
      <c r="O172" s="4" t="inlineStr">
        <is>
          <t>Belt Bags</t>
        </is>
      </c>
    </row>
    <row r="173" ht="80" customHeight="1">
      <c r="A173" s="7">
        <f>IMAGE("https://images.lululemon.com/is/image/lululemon/LU9B35S_0001_1?wid=320&amp;op_usm=0.8",1)</f>
        <v/>
      </c>
      <c r="B173" s="7" t="inlineStr">
        <is>
          <t>Fast and Free Running Belt</t>
        </is>
      </c>
      <c r="C173" s="7" t="inlineStr">
        <is>
          <t>155702474</t>
        </is>
      </c>
      <c r="D173" s="7" t="inlineStr">
        <is>
          <t>155702474-black</t>
        </is>
      </c>
      <c r="E173" s="7" t="inlineStr">
        <is>
          <t>Fast and Free Run Belt BLK XS/S</t>
        </is>
      </c>
      <c r="F173" s="7" t="inlineStr">
        <is>
          <t>$44.00</t>
        </is>
      </c>
      <c r="G173" s="7" t="inlineStr">
        <is>
          <t>$22.00</t>
        </is>
      </c>
      <c r="H173" s="7" t="inlineStr">
        <is>
          <t>Black</t>
        </is>
      </c>
      <c r="I173" s="7">
        <f>IMAGE("https://images.lululemon.com/is/image/lululemon/0001",1)</f>
        <v/>
      </c>
      <c r="J173" s="7" t="inlineStr">
        <is>
          <t>S/M</t>
        </is>
      </c>
      <c r="K173" s="7" t="inlineStr">
        <is>
          <t>79/300</t>
        </is>
      </c>
      <c r="L173" s="7" t="inlineStr">
        <is>
          <t>Yes</t>
        </is>
      </c>
      <c r="M173" s="7" t="inlineStr">
        <is>
          <t>Free your mind—and your hands. This sleek, distraction-free run belt is lightweight and adjustable with just enough space for run essentials.</t>
        </is>
      </c>
      <c r="N173" s="7" t="inlineStr">
        <is>
          <t>Fast-and-Free-Run-Belt</t>
        </is>
      </c>
      <c r="O173" s="7" t="inlineStr">
        <is>
          <t>Belt Bags</t>
        </is>
      </c>
    </row>
    <row r="174" ht="80" customHeight="1">
      <c r="A174" s="4">
        <f>IMAGE("https://images.lululemon.com/is/image/lululemon/LU9B35S_0001_1?wid=320&amp;op_usm=0.8",1)</f>
        <v/>
      </c>
      <c r="B174" s="4" t="inlineStr">
        <is>
          <t>Fast and Free Running Belt</t>
        </is>
      </c>
      <c r="C174" s="4" t="inlineStr">
        <is>
          <t>155702460</t>
        </is>
      </c>
      <c r="D174" s="4" t="inlineStr">
        <is>
          <t>155702460-black</t>
        </is>
      </c>
      <c r="E174" s="4" t="inlineStr">
        <is>
          <t>Fast and Free Run Belt BLK XS/S</t>
        </is>
      </c>
      <c r="F174" s="4" t="inlineStr">
        <is>
          <t>$44.00</t>
        </is>
      </c>
      <c r="G174" s="4" t="inlineStr">
        <is>
          <t>$22.00</t>
        </is>
      </c>
      <c r="H174" s="4" t="inlineStr">
        <is>
          <t>Black</t>
        </is>
      </c>
      <c r="I174" s="4">
        <f>IMAGE("https://images.lululemon.com/is/image/lululemon/0001",1)</f>
        <v/>
      </c>
      <c r="J174" s="4" t="inlineStr">
        <is>
          <t>L/XL</t>
        </is>
      </c>
      <c r="K174" s="4" t="inlineStr">
        <is>
          <t>130/300</t>
        </is>
      </c>
      <c r="L174" s="4" t="inlineStr">
        <is>
          <t>Yes</t>
        </is>
      </c>
      <c r="M174" s="4" t="inlineStr">
        <is>
          <t>Free your mind—and your hands. This sleek, distraction-free run belt is lightweight and adjustable with just enough space for run essentials.</t>
        </is>
      </c>
      <c r="N174" s="4" t="inlineStr">
        <is>
          <t>Fast-and-Free-Run-Belt</t>
        </is>
      </c>
      <c r="O174" s="4" t="inlineStr">
        <is>
          <t>Belt Bags</t>
        </is>
      </c>
    </row>
    <row r="175" ht="80" customHeight="1">
      <c r="A175" s="7">
        <f>IMAGE("https://images.lululemon.com/is/image/lululemon/LU9B35S_0001_1?wid=320&amp;op_usm=0.8",1)</f>
        <v/>
      </c>
      <c r="B175" s="7" t="inlineStr">
        <is>
          <t>Fast and Free Running Belt</t>
        </is>
      </c>
      <c r="C175" s="7" t="inlineStr">
        <is>
          <t>158023271</t>
        </is>
      </c>
      <c r="D175" s="7" t="inlineStr">
        <is>
          <t>158023271-jewelledmagenta</t>
        </is>
      </c>
      <c r="E175" s="7" t="inlineStr">
        <is>
          <t>Fast and Free Run Belt BLK XS/S</t>
        </is>
      </c>
      <c r="F175" s="7" t="inlineStr">
        <is>
          <t>$44.00</t>
        </is>
      </c>
      <c r="G175" s="7" t="inlineStr">
        <is>
          <t>$22.00</t>
        </is>
      </c>
      <c r="H175" s="7" t="inlineStr">
        <is>
          <t>Jewelled Magenta</t>
        </is>
      </c>
      <c r="I175" s="7">
        <f>IMAGE("https://images.lululemon.com/is/image/lululemon/14336",1)</f>
        <v/>
      </c>
      <c r="J175" s="7" t="inlineStr">
        <is>
          <t>S/M</t>
        </is>
      </c>
      <c r="K175" s="7" t="inlineStr">
        <is>
          <t>47/300</t>
        </is>
      </c>
      <c r="L175" s="7" t="inlineStr">
        <is>
          <t>Yes</t>
        </is>
      </c>
      <c r="M175" s="7" t="inlineStr">
        <is>
          <t>Free your mind—and your hands. This sleek, distraction-free run belt is lightweight and adjustable with just enough space for run essentials.</t>
        </is>
      </c>
      <c r="N175" s="7" t="inlineStr">
        <is>
          <t>Fast-and-Free-Run-Belt</t>
        </is>
      </c>
      <c r="O175" s="7" t="inlineStr">
        <is>
          <t>Belt Bags</t>
        </is>
      </c>
    </row>
    <row r="176" ht="80" customHeight="1">
      <c r="A176" s="6">
        <f>IMAGE("https://images.lululemon.com/is/image/lululemon/LU9B35S_0001_1?wid=320&amp;op_usm=0.8",1)</f>
        <v/>
      </c>
      <c r="B176" s="6" t="inlineStr">
        <is>
          <t>Fast and Free Running Belt</t>
        </is>
      </c>
      <c r="C176" s="6" t="inlineStr">
        <is>
          <t>158023252</t>
        </is>
      </c>
      <c r="D176" s="6" t="inlineStr">
        <is>
          <t>158023252-jewelledmagenta</t>
        </is>
      </c>
      <c r="E176" s="6" t="inlineStr">
        <is>
          <t>Fast and Free Run Belt BLK XS/S</t>
        </is>
      </c>
      <c r="F176" s="6" t="inlineStr">
        <is>
          <t>$44.00</t>
        </is>
      </c>
      <c r="G176" s="6" t="inlineStr">
        <is>
          <t>$22.00</t>
        </is>
      </c>
      <c r="H176" s="6" t="inlineStr">
        <is>
          <t>Jewelled Magenta</t>
        </is>
      </c>
      <c r="I176" s="6">
        <f>IMAGE("https://images.lululemon.com/is/image/lululemon/14336",1)</f>
        <v/>
      </c>
      <c r="J176" s="6" t="inlineStr">
        <is>
          <t>L/XL</t>
        </is>
      </c>
      <c r="K176" s="6" t="inlineStr">
        <is>
          <t>41/300</t>
        </is>
      </c>
      <c r="L176" s="6" t="inlineStr">
        <is>
          <t>Yes</t>
        </is>
      </c>
      <c r="M176" s="6" t="inlineStr">
        <is>
          <t>Free your mind—and your hands. This sleek, distraction-free run belt is lightweight and adjustable with just enough space for run essentials.</t>
        </is>
      </c>
      <c r="N176" s="6" t="inlineStr">
        <is>
          <t>Fast-and-Free-Run-Belt</t>
        </is>
      </c>
      <c r="O176" s="6" t="inlineStr">
        <is>
          <t>Belt Bags</t>
        </is>
      </c>
    </row>
    <row r="177" ht="80" customHeight="1">
      <c r="A177" s="5">
        <f>IMAGE("https://images.lululemon.com/is/image/lululemon/LW9FF2S_065675_1?wid=320&amp;op_usm=0.8",1)</f>
        <v/>
      </c>
      <c r="B177" s="5" t="inlineStr">
        <is>
          <t>Criss-Cross Claw Clip</t>
        </is>
      </c>
      <c r="C177" s="5" t="inlineStr">
        <is>
          <t>153885350</t>
        </is>
      </c>
      <c r="D177" s="5" t="inlineStr">
        <is>
          <t>153885350-frenchpress/burntcaramel</t>
        </is>
      </c>
      <c r="E177" s="5" t="inlineStr">
        <is>
          <t>Criss-Cross Claw Clip FRPR/BTCA ONE SIZE</t>
        </is>
      </c>
      <c r="F177" s="5" t="inlineStr">
        <is>
          <t>$22.00</t>
        </is>
      </c>
      <c r="G177" s="5" t="inlineStr">
        <is>
          <t>$11.00</t>
        </is>
      </c>
      <c r="H177" s="5" t="inlineStr">
        <is>
          <t>French Press/Burnt Caramel</t>
        </is>
      </c>
      <c r="I177" s="5">
        <f>IMAGE("https://images.lululemon.com/is/image/lululemon/65675",1)</f>
        <v/>
      </c>
      <c r="J177" s="5" t="inlineStr">
        <is>
          <t>O/S</t>
        </is>
      </c>
      <c r="K177" s="5" t="inlineStr">
        <is>
          <t>141/141</t>
        </is>
      </c>
      <c r="L177" s="5" t="inlineStr">
        <is>
          <t>Yes</t>
        </is>
      </c>
      <c r="M177" s="5" t="inlineStr">
        <is>
          <t>Styling made easy. This rounded clip has extra long prongs to help keep stray locks secured.</t>
        </is>
      </c>
      <c r="N177" s="5" t="inlineStr">
        <is>
          <t>Criss-Cross-Claw-Clip</t>
        </is>
      </c>
      <c r="O177" s="5" t="inlineStr">
        <is>
          <t>Hair Clips</t>
        </is>
      </c>
    </row>
    <row r="178" ht="80" customHeight="1">
      <c r="A178" s="4">
        <f>IMAGE("https://images.lululemon.com/is/image/lululemon/LW9EICS_0001_1?wid=320&amp;op_usm=0.8",1)</f>
        <v/>
      </c>
      <c r="B178" s="4" t="inlineStr">
        <is>
          <t>Women's Wunder Train Gloves</t>
        </is>
      </c>
      <c r="C178" s="4" t="inlineStr">
        <is>
          <t>142475098</t>
        </is>
      </c>
      <c r="D178" s="4" t="inlineStr">
        <is>
          <t>142475098-black</t>
        </is>
      </c>
      <c r="E178" s="4" t="inlineStr">
        <is>
          <t>Wunder Train Gloves BLK XS/S</t>
        </is>
      </c>
      <c r="F178" s="4" t="inlineStr">
        <is>
          <t>$38.00</t>
        </is>
      </c>
      <c r="G178" s="4" t="inlineStr">
        <is>
          <t>$19.00</t>
        </is>
      </c>
      <c r="H178" s="4" t="inlineStr">
        <is>
          <t>Black</t>
        </is>
      </c>
      <c r="I178" s="4">
        <f>IMAGE("https://images.lululemon.com/is/image/lululemon/0001",1)</f>
        <v/>
      </c>
      <c r="J178" s="4" t="inlineStr">
        <is>
          <t>XS/S</t>
        </is>
      </c>
      <c r="K178" s="4" t="inlineStr">
        <is>
          <t>112/200</t>
        </is>
      </c>
      <c r="L178" s="4" t="inlineStr">
        <is>
          <t>Yes</t>
        </is>
      </c>
      <c r="M178" s="4" t="inlineStr">
        <is>
          <t>From deadlifts to pull-ups, these ventilated gloves help protect your hands while you train.</t>
        </is>
      </c>
      <c r="N178" s="4" t="inlineStr">
        <is>
          <t>Wunder-Train-Gloves</t>
        </is>
      </c>
      <c r="O178" s="4" t="inlineStr"/>
    </row>
    <row r="179" ht="80" customHeight="1">
      <c r="A179" s="5">
        <f>IMAGE("https://images.lululemon.com/is/image/lululemon/LW9EICS_0001_1?wid=320&amp;op_usm=0.8",1)</f>
        <v/>
      </c>
      <c r="B179" s="5" t="inlineStr">
        <is>
          <t>Women's Wunder Train Gloves</t>
        </is>
      </c>
      <c r="C179" s="5" t="inlineStr">
        <is>
          <t>142475095</t>
        </is>
      </c>
      <c r="D179" s="5" t="inlineStr">
        <is>
          <t>142475095-black</t>
        </is>
      </c>
      <c r="E179" s="5" t="inlineStr">
        <is>
          <t>Wunder Train Gloves BLK XS/S</t>
        </is>
      </c>
      <c r="F179" s="5" t="inlineStr">
        <is>
          <t>$38.00</t>
        </is>
      </c>
      <c r="G179" s="5" t="inlineStr">
        <is>
          <t>$19.00</t>
        </is>
      </c>
      <c r="H179" s="5" t="inlineStr">
        <is>
          <t>Black</t>
        </is>
      </c>
      <c r="I179" s="5">
        <f>IMAGE("https://images.lululemon.com/is/image/lululemon/0001",1)</f>
        <v/>
      </c>
      <c r="J179" s="5" t="inlineStr">
        <is>
          <t>M/L</t>
        </is>
      </c>
      <c r="K179" s="5" t="inlineStr">
        <is>
          <t>88/200</t>
        </is>
      </c>
      <c r="L179" s="5" t="inlineStr">
        <is>
          <t>Yes</t>
        </is>
      </c>
      <c r="M179" s="5" t="inlineStr">
        <is>
          <t>From deadlifts to pull-ups, these ventilated gloves help protect your hands while you train.</t>
        </is>
      </c>
      <c r="N179" s="5" t="inlineStr">
        <is>
          <t>Wunder-Train-Gloves</t>
        </is>
      </c>
      <c r="O179" s="5" t="inlineStr"/>
    </row>
    <row r="180" ht="80" customHeight="1">
      <c r="A180" s="4">
        <f>IMAGE("https://images.lululemon.com/is/image/lululemon/LW9FWZS_0001_1?wid=320&amp;op_usm=0.8",1)</f>
        <v/>
      </c>
      <c r="B180" s="4" t="inlineStr">
        <is>
          <t>Women's Velour Headband</t>
        </is>
      </c>
      <c r="C180" s="4" t="inlineStr">
        <is>
          <t>158020224</t>
        </is>
      </c>
      <c r="D180" s="4" t="inlineStr">
        <is>
          <t>158020224-black</t>
        </is>
      </c>
      <c r="E180" s="4" t="inlineStr">
        <is>
          <t>Velour Headband BLK ONE SIZE</t>
        </is>
      </c>
      <c r="F180" s="4" t="inlineStr">
        <is>
          <t>$22.00</t>
        </is>
      </c>
      <c r="G180" s="4" t="inlineStr">
        <is>
          <t>$11.00</t>
        </is>
      </c>
      <c r="H180" s="4" t="inlineStr">
        <is>
          <t>Black</t>
        </is>
      </c>
      <c r="I180" s="4">
        <f>IMAGE("https://images.lululemon.com/is/image/lululemon/0001",1)</f>
        <v/>
      </c>
      <c r="J180" s="4" t="inlineStr">
        <is>
          <t>O/S</t>
        </is>
      </c>
      <c r="K180" s="4" t="inlineStr">
        <is>
          <t>151/370</t>
        </is>
      </c>
      <c r="L180" s="4" t="inlineStr">
        <is>
          <t>Yes</t>
        </is>
      </c>
      <c r="M180" s="4" t="inlineStr">
        <is>
          <t>Va-va-velour. Pop on this plush headband to add a little softness and sophistication to your look (and keep your hair out of your eyes).</t>
        </is>
      </c>
      <c r="N180" s="4" t="inlineStr">
        <is>
          <t>Womens-Velour-Headband</t>
        </is>
      </c>
      <c r="O180" s="4" t="inlineStr">
        <is>
          <t>Headbands</t>
        </is>
      </c>
    </row>
    <row r="181" ht="80" customHeight="1">
      <c r="A181" s="5">
        <f>IMAGE("https://images.lululemon.com/is/image/lululemon/LW9FWZS_0001_1?wid=320&amp;op_usm=0.8",1)</f>
        <v/>
      </c>
      <c r="B181" s="5" t="inlineStr">
        <is>
          <t>Women's Velour Headband</t>
        </is>
      </c>
      <c r="C181" s="5" t="inlineStr">
        <is>
          <t>158020233</t>
        </is>
      </c>
      <c r="D181" s="5" t="inlineStr">
        <is>
          <t>158020233-berryrumble</t>
        </is>
      </c>
      <c r="E181" s="5" t="inlineStr">
        <is>
          <t>Velour Headband BLK ONE SIZE</t>
        </is>
      </c>
      <c r="F181" s="5" t="inlineStr">
        <is>
          <t>$22.00</t>
        </is>
      </c>
      <c r="G181" s="5" t="inlineStr">
        <is>
          <t>$11.00</t>
        </is>
      </c>
      <c r="H181" s="5" t="inlineStr">
        <is>
          <t>Berry Rumble</t>
        </is>
      </c>
      <c r="I181" s="5">
        <f>IMAGE("https://images.lululemon.com/is/image/lululemon/21363",1)</f>
        <v/>
      </c>
      <c r="J181" s="5" t="inlineStr">
        <is>
          <t>O/S</t>
        </is>
      </c>
      <c r="K181" s="5" t="inlineStr">
        <is>
          <t>219/370</t>
        </is>
      </c>
      <c r="L181" s="5" t="inlineStr">
        <is>
          <t>Yes</t>
        </is>
      </c>
      <c r="M181" s="5" t="inlineStr">
        <is>
          <t>Va-va-velour. Pop on this plush headband to add a little softness and sophistication to your look (and keep your hair out of your eyes).</t>
        </is>
      </c>
      <c r="N181" s="5" t="inlineStr">
        <is>
          <t>Womens-Velour-Headband</t>
        </is>
      </c>
      <c r="O181" s="5" t="inlineStr">
        <is>
          <t>Headbands</t>
        </is>
      </c>
    </row>
    <row r="182" ht="80" customHeight="1">
      <c r="A182" s="6">
        <f>IMAGE("https://images.lululemon.com/is/image/lululemon/LW9FH8S_043639_1?wid=320&amp;op_usm=0.8",1)</f>
        <v/>
      </c>
      <c r="B182" s="6" t="inlineStr">
        <is>
          <t>Women's Fast and Free Rulu Running Gloves</t>
        </is>
      </c>
      <c r="C182" s="6" t="inlineStr">
        <is>
          <t>154525166</t>
        </is>
      </c>
      <c r="D182" s="6" t="inlineStr">
        <is>
          <t>154525166-heatheredgraphitegrey</t>
        </is>
      </c>
      <c r="E182" s="6" t="inlineStr">
        <is>
          <t>Fast and Free Rulu™ Run Gloves W HTGR M</t>
        </is>
      </c>
      <c r="F182" s="6" t="inlineStr">
        <is>
          <t>$52.00</t>
        </is>
      </c>
      <c r="G182" s="6" t="inlineStr">
        <is>
          <t>$26.00</t>
        </is>
      </c>
      <c r="H182" s="6" t="inlineStr">
        <is>
          <t>Heathered Graphite Grey</t>
        </is>
      </c>
      <c r="I182" s="6">
        <f>IMAGE("https://images.lululemon.com/is/image/lululemon/43639",1)</f>
        <v/>
      </c>
      <c r="J182" s="6" t="inlineStr">
        <is>
          <t>M</t>
        </is>
      </c>
      <c r="K182" s="6" t="inlineStr">
        <is>
          <t>39/39</t>
        </is>
      </c>
      <c r="L182" s="6" t="inlineStr">
        <is>
          <t>Yes</t>
        </is>
      </c>
      <c r="M182" s="6" t="inlineStr">
        <is>
          <t>Brisk, frosty, crisp—anyway you say it, these tech-friendly, fleece-insulated run gloves stop the chill in its tracks.</t>
        </is>
      </c>
      <c r="N182" s="6" t="inlineStr">
        <is>
          <t>W-Fast-and-Free-Rulu-Run-Gloves</t>
        </is>
      </c>
      <c r="O182" s="6" t="inlineStr"/>
    </row>
    <row r="183" ht="80" customHeight="1">
      <c r="A183" s="5">
        <f>IMAGE("https://images.lululemon.com/is/image/lululemon/LW9FNQS_0002_1?wid=320&amp;op_usm=0.8",1)</f>
        <v/>
      </c>
      <c r="B183" s="5" t="inlineStr">
        <is>
          <t>Women's Fast and Free Ponytail Running Hat</t>
        </is>
      </c>
      <c r="C183" s="5" t="inlineStr">
        <is>
          <t>155725289</t>
        </is>
      </c>
      <c r="D183" s="5" t="inlineStr">
        <is>
          <t>155725289-white</t>
        </is>
      </c>
      <c r="E183" s="5" t="inlineStr">
        <is>
          <t>Fast and Free Run Hat *Pony WHT ONE SIZE</t>
        </is>
      </c>
      <c r="F183" s="5" t="inlineStr">
        <is>
          <t>$38.00</t>
        </is>
      </c>
      <c r="G183" s="5" t="inlineStr">
        <is>
          <t>$19.00</t>
        </is>
      </c>
      <c r="H183" s="5" t="inlineStr">
        <is>
          <t>White</t>
        </is>
      </c>
      <c r="I183" s="5">
        <f>IMAGE("https://images.lululemon.com/is/image/lululemon/0002",1)</f>
        <v/>
      </c>
      <c r="J183" s="5" t="inlineStr">
        <is>
          <t>O/S</t>
        </is>
      </c>
      <c r="K183" s="5" t="inlineStr">
        <is>
          <t>136/136</t>
        </is>
      </c>
      <c r="L183" s="5" t="inlineStr">
        <is>
          <t>Yes</t>
        </is>
      </c>
      <c r="M183" s="5" t="inlineStr">
        <is>
          <t>Run fast and let your hair free. This sweat-wicking hat has a wide back opening that fits your ponytail and gives you airflow.</t>
        </is>
      </c>
      <c r="N183" s="5" t="inlineStr">
        <is>
          <t>Fast-and-Free-Womens-Run-Hat-Ponytail</t>
        </is>
      </c>
      <c r="O183" s="5" t="inlineStr">
        <is>
          <t>Caps</t>
        </is>
      </c>
    </row>
    <row r="184" ht="80" customHeight="1">
      <c r="A184" s="4">
        <f>IMAGE("https://images.lululemon.com/is/image/lululemon/LU9C94S_036168_1?wid=320&amp;op_usm=0.8",1)</f>
        <v/>
      </c>
      <c r="B184" s="4" t="inlineStr">
        <is>
          <t>Warm Revelation Gloves</t>
        </is>
      </c>
      <c r="C184" s="4" t="inlineStr">
        <is>
          <t>157703621</t>
        </is>
      </c>
      <c r="D184" s="4" t="inlineStr">
        <is>
          <t>157703621-heatheredlightivory</t>
        </is>
      </c>
      <c r="E184" s="4" t="inlineStr">
        <is>
          <t>Warm Revelation Gloves HRLI S</t>
        </is>
      </c>
      <c r="F184" s="4" t="inlineStr">
        <is>
          <t>$52.00</t>
        </is>
      </c>
      <c r="G184" s="4" t="inlineStr">
        <is>
          <t>$26.00</t>
        </is>
      </c>
      <c r="H184" s="4" t="inlineStr">
        <is>
          <t>Heathered Light Ivory</t>
        </is>
      </c>
      <c r="I184" s="4">
        <f>IMAGE("https://images.lululemon.com/is/image/lululemon/36168",1)</f>
        <v/>
      </c>
      <c r="J184" s="4" t="inlineStr">
        <is>
          <t>S</t>
        </is>
      </c>
      <c r="K184" s="4" t="inlineStr">
        <is>
          <t>1/42</t>
        </is>
      </c>
      <c r="L184" s="4" t="inlineStr">
        <is>
          <t>Yes</t>
        </is>
      </c>
      <c r="M184" s="4" t="inlineStr">
        <is>
          <t>Pop on these merino wool-blend gloves when the temperature drops to help keep you cozy on chilly days.</t>
        </is>
      </c>
      <c r="N184" s="4" t="inlineStr">
        <is>
          <t>Warm-Revelation-Gloves-Updated</t>
        </is>
      </c>
      <c r="O184" s="4" t="inlineStr"/>
    </row>
    <row r="185" ht="80" customHeight="1">
      <c r="A185" s="7">
        <f>IMAGE("https://images.lululemon.com/is/image/lululemon/LU9C94S_036168_1?wid=320&amp;op_usm=0.8",1)</f>
        <v/>
      </c>
      <c r="B185" s="7" t="inlineStr">
        <is>
          <t>Warm Revelation Gloves</t>
        </is>
      </c>
      <c r="C185" s="7" t="inlineStr">
        <is>
          <t>157703609</t>
        </is>
      </c>
      <c r="D185" s="7" t="inlineStr">
        <is>
          <t>157703609-heatheredlightivory</t>
        </is>
      </c>
      <c r="E185" s="7" t="inlineStr">
        <is>
          <t>Warm Revelation Gloves HRLI S</t>
        </is>
      </c>
      <c r="F185" s="7" t="inlineStr">
        <is>
          <t>$52.00</t>
        </is>
      </c>
      <c r="G185" s="7" t="inlineStr">
        <is>
          <t>$26.00</t>
        </is>
      </c>
      <c r="H185" s="7" t="inlineStr">
        <is>
          <t>Heathered Light Ivory</t>
        </is>
      </c>
      <c r="I185" s="7">
        <f>IMAGE("https://images.lululemon.com/is/image/lululemon/36168",1)</f>
        <v/>
      </c>
      <c r="J185" s="7" t="inlineStr">
        <is>
          <t>M</t>
        </is>
      </c>
      <c r="K185" s="7" t="inlineStr">
        <is>
          <t>6/42</t>
        </is>
      </c>
      <c r="L185" s="7" t="inlineStr">
        <is>
          <t>Yes</t>
        </is>
      </c>
      <c r="M185" s="7" t="inlineStr">
        <is>
          <t>Pop on these merino wool-blend gloves when the temperature drops to help keep you cozy on chilly days.</t>
        </is>
      </c>
      <c r="N185" s="7" t="inlineStr">
        <is>
          <t>Warm-Revelation-Gloves-Updated</t>
        </is>
      </c>
      <c r="O185" s="7" t="inlineStr"/>
    </row>
    <row r="186" ht="80" customHeight="1">
      <c r="A186" s="4">
        <f>IMAGE("https://images.lululemon.com/is/image/lululemon/LU9C94S_036168_1?wid=320&amp;op_usm=0.8",1)</f>
        <v/>
      </c>
      <c r="B186" s="4" t="inlineStr">
        <is>
          <t>Warm Revelation Gloves</t>
        </is>
      </c>
      <c r="C186" s="4" t="inlineStr">
        <is>
          <t>157703597</t>
        </is>
      </c>
      <c r="D186" s="4" t="inlineStr">
        <is>
          <t>157703597-heatheredlightivory</t>
        </is>
      </c>
      <c r="E186" s="4" t="inlineStr">
        <is>
          <t>Warm Revelation Gloves HRLI S</t>
        </is>
      </c>
      <c r="F186" s="4" t="inlineStr">
        <is>
          <t>$52.00</t>
        </is>
      </c>
      <c r="G186" s="4" t="inlineStr">
        <is>
          <t>$26.00</t>
        </is>
      </c>
      <c r="H186" s="4" t="inlineStr">
        <is>
          <t>Heathered Light Ivory</t>
        </is>
      </c>
      <c r="I186" s="4">
        <f>IMAGE("https://images.lululemon.com/is/image/lululemon/36168",1)</f>
        <v/>
      </c>
      <c r="J186" s="4" t="inlineStr">
        <is>
          <t>L</t>
        </is>
      </c>
      <c r="K186" s="4" t="inlineStr">
        <is>
          <t>24/42</t>
        </is>
      </c>
      <c r="L186" s="4" t="inlineStr">
        <is>
          <t>Yes</t>
        </is>
      </c>
      <c r="M186" s="4" t="inlineStr">
        <is>
          <t>Pop on these merino wool-blend gloves when the temperature drops to help keep you cozy on chilly days.</t>
        </is>
      </c>
      <c r="N186" s="4" t="inlineStr">
        <is>
          <t>Warm-Revelation-Gloves-Updated</t>
        </is>
      </c>
      <c r="O186" s="4" t="inlineStr"/>
    </row>
    <row r="187" ht="80" customHeight="1">
      <c r="A187" s="5">
        <f>IMAGE("https://images.lululemon.com/is/image/lululemon/LU9C94S_036168_1?wid=320&amp;op_usm=0.8",1)</f>
        <v/>
      </c>
      <c r="B187" s="5" t="inlineStr">
        <is>
          <t>Warm Revelation Gloves</t>
        </is>
      </c>
      <c r="C187" s="5" t="inlineStr">
        <is>
          <t>157703632</t>
        </is>
      </c>
      <c r="D187" s="5" t="inlineStr">
        <is>
          <t>157703632-heatheredlightivory</t>
        </is>
      </c>
      <c r="E187" s="5" t="inlineStr">
        <is>
          <t>Warm Revelation Gloves HRLI S</t>
        </is>
      </c>
      <c r="F187" s="5" t="inlineStr">
        <is>
          <t>$52.00</t>
        </is>
      </c>
      <c r="G187" s="5" t="inlineStr">
        <is>
          <t>$26.00</t>
        </is>
      </c>
      <c r="H187" s="5" t="inlineStr">
        <is>
          <t>Heathered Light Ivory</t>
        </is>
      </c>
      <c r="I187" s="5">
        <f>IMAGE("https://images.lululemon.com/is/image/lululemon/36168",1)</f>
        <v/>
      </c>
      <c r="J187" s="5" t="inlineStr">
        <is>
          <t>XL</t>
        </is>
      </c>
      <c r="K187" s="5" t="inlineStr">
        <is>
          <t>11/42</t>
        </is>
      </c>
      <c r="L187" s="5" t="inlineStr">
        <is>
          <t>Yes</t>
        </is>
      </c>
      <c r="M187" s="5" t="inlineStr">
        <is>
          <t>Pop on these merino wool-blend gloves when the temperature drops to help keep you cozy on chilly days.</t>
        </is>
      </c>
      <c r="N187" s="5" t="inlineStr">
        <is>
          <t>Warm-Revelation-Gloves-Updated</t>
        </is>
      </c>
      <c r="O187" s="5" t="inlineStr"/>
    </row>
    <row r="188" ht="80" customHeight="1">
      <c r="A188" s="6">
        <f>IMAGE("https://images.lululemon.com/is/image/lululemon/LU9BQPS_0001_1?wid=320&amp;op_usm=0.8",1)</f>
        <v/>
      </c>
      <c r="B188" s="6" t="inlineStr">
        <is>
          <t>Back to Life Sport Bottle 18oz *Straw Lid</t>
        </is>
      </c>
      <c r="C188" s="6" t="inlineStr">
        <is>
          <t>147150092</t>
        </is>
      </c>
      <c r="D188" s="6" t="inlineStr">
        <is>
          <t>147150092-black</t>
        </is>
      </c>
      <c r="E188" s="6" t="inlineStr">
        <is>
          <t>Back to Life Sport Bottle 18oz*Straw Lid BLK ONE SIZE</t>
        </is>
      </c>
      <c r="F188" s="6" t="inlineStr">
        <is>
          <t>$38.00</t>
        </is>
      </c>
      <c r="G188" s="6" t="inlineStr">
        <is>
          <t>$19.00</t>
        </is>
      </c>
      <c r="H188" s="6" t="inlineStr">
        <is>
          <t>Black</t>
        </is>
      </c>
      <c r="I188" s="6">
        <f>IMAGE("https://images.lululemon.com/is/image/lululemon/0001",1)</f>
        <v/>
      </c>
      <c r="J188" s="6" t="inlineStr">
        <is>
          <t>O/S</t>
        </is>
      </c>
      <c r="K188" s="6" t="inlineStr">
        <is>
          <t>225/225</t>
        </is>
      </c>
      <c r="L188" s="6" t="inlineStr">
        <is>
          <t>Yes</t>
        </is>
      </c>
      <c r="M188" s="6" t="inlineStr">
        <is>
          <t>Sport mode: activated. This insulated water bottle has a built-in straw lid and a slip-free texture to make one-handed drinking a breeze.</t>
        </is>
      </c>
      <c r="N188" s="6" t="inlineStr">
        <is>
          <t>Bck-to-Life-Sprt-Bttle-18oz-Straw-Lid</t>
        </is>
      </c>
      <c r="O188" s="6" t="inlineStr"/>
    </row>
    <row r="189" ht="80" customHeight="1">
      <c r="A189" s="5">
        <f>IMAGE("https://images.lululemon.com/is/image/lululemon/LU9CLXS_0001_1?wid=320&amp;op_usm=0.8",1)</f>
        <v/>
      </c>
      <c r="B189" s="5" t="inlineStr">
        <is>
          <t>License to Train Wide Headband</t>
        </is>
      </c>
      <c r="C189" s="5" t="inlineStr">
        <is>
          <t>153835510</t>
        </is>
      </c>
      <c r="D189" s="5" t="inlineStr">
        <is>
          <t>153835510-black</t>
        </is>
      </c>
      <c r="E189" s="5" t="inlineStr">
        <is>
          <t>License To Train Wide Headband BLK ONE SIZE</t>
        </is>
      </c>
      <c r="F189" s="5" t="inlineStr">
        <is>
          <t>$18.00</t>
        </is>
      </c>
      <c r="G189" s="5" t="inlineStr">
        <is>
          <t>$9.00</t>
        </is>
      </c>
      <c r="H189" s="5" t="inlineStr">
        <is>
          <t>Black</t>
        </is>
      </c>
      <c r="I189" s="5">
        <f>IMAGE("https://images.lululemon.com/is/image/lululemon/0001",1)</f>
        <v/>
      </c>
      <c r="J189" s="5" t="inlineStr">
        <is>
          <t>O/S</t>
        </is>
      </c>
      <c r="K189" s="5" t="inlineStr">
        <is>
          <t>409/409</t>
        </is>
      </c>
      <c r="L189" s="5" t="inlineStr">
        <is>
          <t>Yes</t>
        </is>
      </c>
      <c r="M189" s="5" t="inlineStr">
        <is>
          <t>High performance means no distractions. Keep your hair off your face, sweat out of your eyes, and the focus on your workout with this wide headband.</t>
        </is>
      </c>
      <c r="N189" s="5" t="inlineStr">
        <is>
          <t>License-to-Train-Wide-Headband</t>
        </is>
      </c>
      <c r="O189" s="5" t="inlineStr">
        <is>
          <t>Headbands</t>
        </is>
      </c>
    </row>
    <row r="190" ht="80" customHeight="1">
      <c r="A190" s="6">
        <f>IMAGE("https://images.lululemon.com/is/image/lululemon/LW9GC4S_0393_1?wid=320&amp;op_usm=0.8",1)</f>
        <v/>
      </c>
      <c r="B190" s="6" t="inlineStr">
        <is>
          <t>On My Level Tote Bag 15L *Puffy</t>
        </is>
      </c>
      <c r="C190" s="6" t="inlineStr">
        <is>
          <t>158118755</t>
        </is>
      </c>
      <c r="D190" s="6" t="inlineStr">
        <is>
          <t>158118755-black/silver</t>
        </is>
      </c>
      <c r="E190" s="6" t="inlineStr">
        <is>
          <t>On My Level Tote *Puffy BLK/SLVR ONE SIZE</t>
        </is>
      </c>
      <c r="F190" s="6" t="inlineStr">
        <is>
          <t>$148.00</t>
        </is>
      </c>
      <c r="G190" s="6" t="inlineStr">
        <is>
          <t>$74.00</t>
        </is>
      </c>
      <c r="H190" s="6" t="inlineStr">
        <is>
          <t>Black/Silver</t>
        </is>
      </c>
      <c r="I190" s="6">
        <f>IMAGE("https://images.lululemon.com/is/image/lululemon/0393",1)</f>
        <v/>
      </c>
      <c r="J190" s="6" t="inlineStr">
        <is>
          <t>O/S</t>
        </is>
      </c>
      <c r="K190" s="6" t="inlineStr">
        <is>
          <t>149/149</t>
        </is>
      </c>
      <c r="L190" s="6" t="inlineStr">
        <is>
          <t>Yes</t>
        </is>
      </c>
      <c r="M190" s="6" t="inlineStr">
        <is>
          <t>All puffed up. This version of our On My Level Tote has all the space, slouch, and storage you love, plus a soft, padded exterior.</t>
        </is>
      </c>
      <c r="N190" s="6" t="inlineStr">
        <is>
          <t>On-My-Level-Tote-Bag-15L-Puffy</t>
        </is>
      </c>
      <c r="O190" s="6" t="inlineStr">
        <is>
          <t>Totes</t>
        </is>
      </c>
    </row>
    <row r="191" ht="80" customHeight="1">
      <c r="A191" s="5">
        <f>IMAGE("https://images.lululemon.com/is/image/lululemon/LW9FWLS_074535_1?wid=320&amp;op_usm=0.8",1)</f>
        <v/>
      </c>
      <c r="B191" s="5" t="inlineStr">
        <is>
          <t>Charm Hair Ties *3 Pack</t>
        </is>
      </c>
      <c r="C191" s="5" t="inlineStr">
        <is>
          <t>158098705</t>
        </is>
      </c>
      <c r="D191" s="5" t="inlineStr">
        <is>
          <t>158098705-foggreen/faintlavender/grapemist/silver</t>
        </is>
      </c>
      <c r="E191" s="5" t="inlineStr">
        <is>
          <t>Charm Hair Ties *3 Pack FOGN/FTLV/6M5V ONE SIZE</t>
        </is>
      </c>
      <c r="F191" s="5" t="inlineStr">
        <is>
          <t>$28.00</t>
        </is>
      </c>
      <c r="G191" s="5" t="inlineStr">
        <is>
          <t>$14.00</t>
        </is>
      </c>
      <c r="H191" s="5" t="inlineStr">
        <is>
          <t>Fog Green/Faint Lavender/Grape Mist/Silver</t>
        </is>
      </c>
      <c r="I191" s="5">
        <f>IMAGE("https://images.lululemon.com/is/image/lululemon/74535",1)</f>
        <v/>
      </c>
      <c r="J191" s="5" t="inlineStr">
        <is>
          <t>O/S</t>
        </is>
      </c>
      <c r="K191" s="5" t="inlineStr">
        <is>
          <t>3/3</t>
        </is>
      </c>
      <c r="L191" s="5" t="inlineStr">
        <is>
          <t>Yes</t>
        </is>
      </c>
      <c r="M191" s="5" t="inlineStr">
        <is>
          <t>How charming. These hair ties are embellished with removable mini charms so they look just as good on your wrist as they do in your hair. Collect them all to customize your favourite accessories.</t>
        </is>
      </c>
      <c r="N191" s="5" t="inlineStr">
        <is>
          <t>Charm-Hair-Ties-3-Pack</t>
        </is>
      </c>
      <c r="O191" s="5" t="inlineStr">
        <is>
          <t>Hair Ties</t>
        </is>
      </c>
    </row>
    <row r="192" ht="80" customHeight="1">
      <c r="A192" s="4">
        <f>IMAGE("https://images.lululemon.com/is/image/lululemon/LW9EPBS_0002_1?wid=320&amp;op_usm=0.8",1)</f>
        <v/>
      </c>
      <c r="B192" s="4" t="inlineStr">
        <is>
          <t>Women's MacroPillow Crew Running Socks *Medium Cushioning</t>
        </is>
      </c>
      <c r="C192" s="4" t="inlineStr">
        <is>
          <t>147004130</t>
        </is>
      </c>
      <c r="D192" s="4" t="inlineStr">
        <is>
          <t>147004130-white</t>
        </is>
      </c>
      <c r="E192" s="4" t="inlineStr">
        <is>
          <t>MacroPillow™ Crew Socks WHT S</t>
        </is>
      </c>
      <c r="F192" s="4" t="inlineStr">
        <is>
          <t>$24.00</t>
        </is>
      </c>
      <c r="G192" s="4" t="inlineStr">
        <is>
          <t>$12.00</t>
        </is>
      </c>
      <c r="H192" s="4" t="inlineStr">
        <is>
          <t>White</t>
        </is>
      </c>
      <c r="I192" s="4">
        <f>IMAGE("https://images.lululemon.com/is/image/lululemon/0002",1)</f>
        <v/>
      </c>
      <c r="J192" s="4" t="inlineStr">
        <is>
          <t>S</t>
        </is>
      </c>
      <c r="K192" s="4" t="inlineStr">
        <is>
          <t>44/138</t>
        </is>
      </c>
      <c r="L192" s="4" t="inlineStr">
        <is>
          <t>Yes</t>
        </is>
      </c>
      <c r="M192" s="4" t="inlineStr">
        <is>
          <t>We mapped the movement and impact of a runner's foot to create these socks that cushion, hug, and breathe in all the right places.</t>
        </is>
      </c>
      <c r="N192" s="4" t="inlineStr">
        <is>
          <t>MacroPillow-Crew-Sock-W</t>
        </is>
      </c>
      <c r="O192" s="4" t="inlineStr">
        <is>
          <t>Crew Socks</t>
        </is>
      </c>
    </row>
    <row r="193" ht="80" customHeight="1">
      <c r="A193" s="7">
        <f>IMAGE("https://images.lululemon.com/is/image/lululemon/LW9EPBS_0002_1?wid=320&amp;op_usm=0.8",1)</f>
        <v/>
      </c>
      <c r="B193" s="7" t="inlineStr">
        <is>
          <t>Women's MacroPillow Crew Running Socks *Medium Cushioning</t>
        </is>
      </c>
      <c r="C193" s="7" t="inlineStr">
        <is>
          <t>147004123</t>
        </is>
      </c>
      <c r="D193" s="7" t="inlineStr">
        <is>
          <t>147004123-white</t>
        </is>
      </c>
      <c r="E193" s="7" t="inlineStr">
        <is>
          <t>MacroPillow™ Crew Socks WHT S</t>
        </is>
      </c>
      <c r="F193" s="7" t="inlineStr">
        <is>
          <t>$24.00</t>
        </is>
      </c>
      <c r="G193" s="7" t="inlineStr">
        <is>
          <t>$12.00</t>
        </is>
      </c>
      <c r="H193" s="7" t="inlineStr">
        <is>
          <t>White</t>
        </is>
      </c>
      <c r="I193" s="7">
        <f>IMAGE("https://images.lululemon.com/is/image/lululemon/0002",1)</f>
        <v/>
      </c>
      <c r="J193" s="7" t="inlineStr">
        <is>
          <t>M</t>
        </is>
      </c>
      <c r="K193" s="7" t="inlineStr">
        <is>
          <t>51/138</t>
        </is>
      </c>
      <c r="L193" s="7" t="inlineStr">
        <is>
          <t>Yes</t>
        </is>
      </c>
      <c r="M193" s="7" t="inlineStr">
        <is>
          <t>We mapped the movement and impact of a runner's foot to create these socks that cushion, hug, and breathe in all the right places.</t>
        </is>
      </c>
      <c r="N193" s="7" t="inlineStr">
        <is>
          <t>MacroPillow-Crew-Sock-W</t>
        </is>
      </c>
      <c r="O193" s="7" t="inlineStr">
        <is>
          <t>Crew Socks</t>
        </is>
      </c>
    </row>
    <row r="194" ht="80" customHeight="1">
      <c r="A194" s="6">
        <f>IMAGE("https://images.lululemon.com/is/image/lululemon/LW9EPBS_0002_1?wid=320&amp;op_usm=0.8",1)</f>
        <v/>
      </c>
      <c r="B194" s="6" t="inlineStr">
        <is>
          <t>Women's MacroPillow Crew Running Socks *Medium Cushioning</t>
        </is>
      </c>
      <c r="C194" s="6" t="inlineStr">
        <is>
          <t>147004116</t>
        </is>
      </c>
      <c r="D194" s="6" t="inlineStr">
        <is>
          <t>147004116-white</t>
        </is>
      </c>
      <c r="E194" s="6" t="inlineStr">
        <is>
          <t>MacroPillow™ Crew Socks WHT S</t>
        </is>
      </c>
      <c r="F194" s="6" t="inlineStr">
        <is>
          <t>$24.00</t>
        </is>
      </c>
      <c r="G194" s="6" t="inlineStr">
        <is>
          <t>$12.00</t>
        </is>
      </c>
      <c r="H194" s="6" t="inlineStr">
        <is>
          <t>White</t>
        </is>
      </c>
      <c r="I194" s="6">
        <f>IMAGE("https://images.lululemon.com/is/image/lululemon/0002",1)</f>
        <v/>
      </c>
      <c r="J194" s="6" t="inlineStr">
        <is>
          <t>L</t>
        </is>
      </c>
      <c r="K194" s="6" t="inlineStr">
        <is>
          <t>43/138</t>
        </is>
      </c>
      <c r="L194" s="6" t="inlineStr">
        <is>
          <t>Yes</t>
        </is>
      </c>
      <c r="M194" s="6" t="inlineStr">
        <is>
          <t>We mapped the movement and impact of a runner's foot to create these socks that cushion, hug, and breathe in all the right places.</t>
        </is>
      </c>
      <c r="N194" s="6" t="inlineStr">
        <is>
          <t>MacroPillow-Crew-Sock-W</t>
        </is>
      </c>
      <c r="O194" s="6" t="inlineStr">
        <is>
          <t>Crew Socks</t>
        </is>
      </c>
    </row>
    <row r="195" ht="80" customHeight="1">
      <c r="A195" s="7">
        <f>IMAGE("https://images.lululemon.com/is/image/lululemon/LU9DO6S_0002_1?wid=320&amp;op_usm=0.8",1)</f>
        <v/>
      </c>
      <c r="B195" s="7" t="inlineStr">
        <is>
          <t>Unisex Daily Essential Quarter Socks</t>
        </is>
      </c>
      <c r="C195" s="7" t="inlineStr">
        <is>
          <t>157768510</t>
        </is>
      </c>
      <c r="D195" s="7" t="inlineStr">
        <is>
          <t>157768510-white</t>
        </is>
      </c>
      <c r="E195" s="7" t="inlineStr">
        <is>
          <t>Daily Essential Socks WHT S</t>
        </is>
      </c>
      <c r="F195" s="7" t="inlineStr">
        <is>
          <t>$14.00</t>
        </is>
      </c>
      <c r="G195" s="7" t="inlineStr">
        <is>
          <t>$7.00</t>
        </is>
      </c>
      <c r="H195" s="7" t="inlineStr">
        <is>
          <t>White</t>
        </is>
      </c>
      <c r="I195" s="7">
        <f>IMAGE("https://images.lululemon.com/is/image/lululemon/0002",1)</f>
        <v/>
      </c>
      <c r="J195" s="7" t="inlineStr">
        <is>
          <t>S</t>
        </is>
      </c>
      <c r="K195" s="7" t="inlineStr">
        <is>
          <t>70/416</t>
        </is>
      </c>
      <c r="L195" s="7" t="inlineStr">
        <is>
          <t>Yes</t>
        </is>
      </c>
      <c r="M195" s="7" t="inlineStr">
        <is>
          <t>Top drawer comfort. These soft cotton socks combine integrated arch support and plush cushioning.</t>
        </is>
      </c>
      <c r="N195" s="7" t="inlineStr">
        <is>
          <t>Unisex-Daily-Essential-Quarter-Socks</t>
        </is>
      </c>
      <c r="O195" s="7" t="inlineStr">
        <is>
          <t>Quarter Socks</t>
        </is>
      </c>
    </row>
    <row r="196" ht="80" customHeight="1">
      <c r="A196" s="4">
        <f>IMAGE("https://images.lululemon.com/is/image/lululemon/LU9DO6S_0002_1?wid=320&amp;op_usm=0.8",1)</f>
        <v/>
      </c>
      <c r="B196" s="4" t="inlineStr">
        <is>
          <t>Unisex Daily Essential Quarter Socks</t>
        </is>
      </c>
      <c r="C196" s="4" t="inlineStr">
        <is>
          <t>157768508</t>
        </is>
      </c>
      <c r="D196" s="4" t="inlineStr">
        <is>
          <t>157768508-white</t>
        </is>
      </c>
      <c r="E196" s="4" t="inlineStr">
        <is>
          <t>Daily Essential Socks WHT S</t>
        </is>
      </c>
      <c r="F196" s="4" t="inlineStr">
        <is>
          <t>$14.00</t>
        </is>
      </c>
      <c r="G196" s="4" t="inlineStr">
        <is>
          <t>$7.00</t>
        </is>
      </c>
      <c r="H196" s="4" t="inlineStr">
        <is>
          <t>White</t>
        </is>
      </c>
      <c r="I196" s="4">
        <f>IMAGE("https://images.lululemon.com/is/image/lululemon/0002",1)</f>
        <v/>
      </c>
      <c r="J196" s="4" t="inlineStr">
        <is>
          <t>M</t>
        </is>
      </c>
      <c r="K196" s="4" t="inlineStr">
        <is>
          <t>149/416</t>
        </is>
      </c>
      <c r="L196" s="4" t="inlineStr">
        <is>
          <t>Yes</t>
        </is>
      </c>
      <c r="M196" s="4" t="inlineStr">
        <is>
          <t>Top drawer comfort. These soft cotton socks combine integrated arch support and plush cushioning.</t>
        </is>
      </c>
      <c r="N196" s="4" t="inlineStr">
        <is>
          <t>Unisex-Daily-Essential-Quarter-Socks</t>
        </is>
      </c>
      <c r="O196" s="4" t="inlineStr">
        <is>
          <t>Quarter Socks</t>
        </is>
      </c>
    </row>
    <row r="197" ht="80" customHeight="1">
      <c r="A197" s="7">
        <f>IMAGE("https://images.lululemon.com/is/image/lululemon/LU9DO6S_0002_1?wid=320&amp;op_usm=0.8",1)</f>
        <v/>
      </c>
      <c r="B197" s="7" t="inlineStr">
        <is>
          <t>Unisex Daily Essential Quarter Socks</t>
        </is>
      </c>
      <c r="C197" s="7" t="inlineStr">
        <is>
          <t>157768500</t>
        </is>
      </c>
      <c r="D197" s="7" t="inlineStr">
        <is>
          <t>157768500-white</t>
        </is>
      </c>
      <c r="E197" s="7" t="inlineStr">
        <is>
          <t>Daily Essential Socks WHT S</t>
        </is>
      </c>
      <c r="F197" s="7" t="inlineStr">
        <is>
          <t>$14.00</t>
        </is>
      </c>
      <c r="G197" s="7" t="inlineStr">
        <is>
          <t>$7.00</t>
        </is>
      </c>
      <c r="H197" s="7" t="inlineStr">
        <is>
          <t>White</t>
        </is>
      </c>
      <c r="I197" s="7">
        <f>IMAGE("https://images.lululemon.com/is/image/lululemon/0002",1)</f>
        <v/>
      </c>
      <c r="J197" s="7" t="inlineStr">
        <is>
          <t>L</t>
        </is>
      </c>
      <c r="K197" s="7" t="inlineStr">
        <is>
          <t>139/416</t>
        </is>
      </c>
      <c r="L197" s="7" t="inlineStr">
        <is>
          <t>Yes</t>
        </is>
      </c>
      <c r="M197" s="7" t="inlineStr">
        <is>
          <t>Top drawer comfort. These soft cotton socks combine integrated arch support and plush cushioning.</t>
        </is>
      </c>
      <c r="N197" s="7" t="inlineStr">
        <is>
          <t>Unisex-Daily-Essential-Quarter-Socks</t>
        </is>
      </c>
      <c r="O197" s="7" t="inlineStr">
        <is>
          <t>Quarter Socks</t>
        </is>
      </c>
    </row>
    <row r="198" ht="80" customHeight="1">
      <c r="A198" s="4">
        <f>IMAGE("https://images.lululemon.com/is/image/lululemon/LU9DO6S_0002_1?wid=320&amp;op_usm=0.8",1)</f>
        <v/>
      </c>
      <c r="B198" s="4" t="inlineStr">
        <is>
          <t>Unisex Daily Essential Quarter Socks</t>
        </is>
      </c>
      <c r="C198" s="4" t="inlineStr">
        <is>
          <t>157768516</t>
        </is>
      </c>
      <c r="D198" s="4" t="inlineStr">
        <is>
          <t>157768516-white</t>
        </is>
      </c>
      <c r="E198" s="4" t="inlineStr">
        <is>
          <t>Daily Essential Socks WHT S</t>
        </is>
      </c>
      <c r="F198" s="4" t="inlineStr">
        <is>
          <t>$14.00</t>
        </is>
      </c>
      <c r="G198" s="4" t="inlineStr">
        <is>
          <t>$7.00</t>
        </is>
      </c>
      <c r="H198" s="4" t="inlineStr">
        <is>
          <t>White</t>
        </is>
      </c>
      <c r="I198" s="4">
        <f>IMAGE("https://images.lululemon.com/is/image/lululemon/0002",1)</f>
        <v/>
      </c>
      <c r="J198" s="4" t="inlineStr">
        <is>
          <t>XL</t>
        </is>
      </c>
      <c r="K198" s="4" t="inlineStr">
        <is>
          <t>41/416</t>
        </is>
      </c>
      <c r="L198" s="4" t="inlineStr">
        <is>
          <t>Yes</t>
        </is>
      </c>
      <c r="M198" s="4" t="inlineStr">
        <is>
          <t>Top drawer comfort. These soft cotton socks combine integrated arch support and plush cushioning.</t>
        </is>
      </c>
      <c r="N198" s="4" t="inlineStr">
        <is>
          <t>Unisex-Daily-Essential-Quarter-Socks</t>
        </is>
      </c>
      <c r="O198" s="4" t="inlineStr">
        <is>
          <t>Quarter Socks</t>
        </is>
      </c>
    </row>
    <row r="199" ht="80" customHeight="1">
      <c r="A199" s="5">
        <f>IMAGE("https://images.lululemon.com/is/image/lululemon/LU9DO6S_0002_1?wid=320&amp;op_usm=0.8",1)</f>
        <v/>
      </c>
      <c r="B199" s="5" t="inlineStr">
        <is>
          <t>Unisex Daily Essential Quarter Socks</t>
        </is>
      </c>
      <c r="C199" s="5" t="inlineStr">
        <is>
          <t>157768482</t>
        </is>
      </c>
      <c r="D199" s="5" t="inlineStr">
        <is>
          <t>157768482-black</t>
        </is>
      </c>
      <c r="E199" s="5" t="inlineStr">
        <is>
          <t>Daily Essential Socks WHT S</t>
        </is>
      </c>
      <c r="F199" s="5" t="inlineStr">
        <is>
          <t>$14.00</t>
        </is>
      </c>
      <c r="G199" s="5" t="inlineStr">
        <is>
          <t>$7.00</t>
        </is>
      </c>
      <c r="H199" s="5" t="inlineStr">
        <is>
          <t>Black</t>
        </is>
      </c>
      <c r="I199" s="5">
        <f>IMAGE("https://images.lululemon.com/is/image/lululemon/0001",1)</f>
        <v/>
      </c>
      <c r="J199" s="5" t="inlineStr">
        <is>
          <t>L</t>
        </is>
      </c>
      <c r="K199" s="5" t="inlineStr">
        <is>
          <t>17/416</t>
        </is>
      </c>
      <c r="L199" s="5" t="inlineStr">
        <is>
          <t>Yes</t>
        </is>
      </c>
      <c r="M199" s="5" t="inlineStr">
        <is>
          <t>Top drawer comfort. These soft cotton socks combine integrated arch support and plush cushioning.</t>
        </is>
      </c>
      <c r="N199" s="5" t="inlineStr">
        <is>
          <t>Unisex-Daily-Essential-Quarter-Socks</t>
        </is>
      </c>
      <c r="O199" s="5" t="inlineStr">
        <is>
          <t>Quarter Socks</t>
        </is>
      </c>
    </row>
    <row r="200" ht="80" customHeight="1">
      <c r="A200" s="4">
        <f>IMAGE("https://images.lululemon.com/is/image/lululemon/LU9C80S_0001_1?wid=320&amp;op_usm=0.8",1)</f>
        <v/>
      </c>
      <c r="B200" s="4" t="inlineStr">
        <is>
          <t>Everywhere Crossbody Bag 2L *Metal Hardware</t>
        </is>
      </c>
      <c r="C200" s="4" t="inlineStr">
        <is>
          <t>153829113</t>
        </is>
      </c>
      <c r="D200" s="4" t="inlineStr">
        <is>
          <t>153829113-black</t>
        </is>
      </c>
      <c r="E200" s="4" t="inlineStr">
        <is>
          <t>Everywhere Crossbody Bag *Metal Hardware BLK ONE SIZE</t>
        </is>
      </c>
      <c r="F200" s="4" t="inlineStr">
        <is>
          <t>$78.00</t>
        </is>
      </c>
      <c r="G200" s="4" t="inlineStr">
        <is>
          <t>$39.00</t>
        </is>
      </c>
      <c r="H200" s="4" t="inlineStr">
        <is>
          <t>Black</t>
        </is>
      </c>
      <c r="I200" s="4">
        <f>IMAGE("https://images.lululemon.com/is/image/lululemon/0001",1)</f>
        <v/>
      </c>
      <c r="J200" s="4" t="inlineStr">
        <is>
          <t>O/S</t>
        </is>
      </c>
      <c r="K200" s="4" t="inlineStr">
        <is>
          <t>906/1282</t>
        </is>
      </c>
      <c r="L200" s="4" t="inlineStr">
        <is>
          <t>Yes</t>
        </is>
      </c>
      <c r="M200" s="4" t="inlineStr">
        <is>
          <t>Bringing you more of what you love. The Everywhere Crossbody comes equipped with strategically placed pockets inside and out and a removable strap to customize your look.</t>
        </is>
      </c>
      <c r="N200" s="4" t="inlineStr">
        <is>
          <t>Everywhere-Crossbody-Bag-2L-Metal-Hardware</t>
        </is>
      </c>
      <c r="O200" s="4" t="inlineStr">
        <is>
          <t>Crossbody Bags</t>
        </is>
      </c>
    </row>
    <row r="201" ht="80" customHeight="1">
      <c r="A201" s="5">
        <f>IMAGE("https://images.lululemon.com/is/image/lululemon/LU9C80S_0001_1?wid=320&amp;op_usm=0.8",1)</f>
        <v/>
      </c>
      <c r="B201" s="5" t="inlineStr">
        <is>
          <t>Everywhere Crossbody Bag 2L *Metal Hardware</t>
        </is>
      </c>
      <c r="C201" s="5" t="inlineStr">
        <is>
          <t>158020595</t>
        </is>
      </c>
      <c r="D201" s="5" t="inlineStr">
        <is>
          <t>158020595-berryrumble/gold</t>
        </is>
      </c>
      <c r="E201" s="5" t="inlineStr">
        <is>
          <t>Everywhere Crossbody Bag *Metal Hardware BLK ONE SIZE</t>
        </is>
      </c>
      <c r="F201" s="5" t="inlineStr">
        <is>
          <t>$78.00</t>
        </is>
      </c>
      <c r="G201" s="5" t="inlineStr">
        <is>
          <t>$39.00</t>
        </is>
      </c>
      <c r="H201" s="5" t="inlineStr">
        <is>
          <t>Berry Rumble/Gold</t>
        </is>
      </c>
      <c r="I201" s="5">
        <f>IMAGE("https://images.lululemon.com/is/image/lululemon/73255",1)</f>
        <v/>
      </c>
      <c r="J201" s="5" t="inlineStr">
        <is>
          <t>O/S</t>
        </is>
      </c>
      <c r="K201" s="5" t="inlineStr">
        <is>
          <t>376/1282</t>
        </is>
      </c>
      <c r="L201" s="5" t="inlineStr">
        <is>
          <t>Yes</t>
        </is>
      </c>
      <c r="M201" s="5" t="inlineStr">
        <is>
          <t>Bringing you more of what you love. The Everywhere Crossbody comes equipped with strategically placed pockets inside and out and a removable strap to customize your look.</t>
        </is>
      </c>
      <c r="N201" s="5" t="inlineStr">
        <is>
          <t>Everywhere-Crossbody-Bag-2L-Metal-Hardware</t>
        </is>
      </c>
      <c r="O201" s="5" t="inlineStr">
        <is>
          <t>Crossbody Bags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82"/>
  <sheetViews>
    <sheetView workbookViewId="0">
      <selection activeCell="A1" sqref="A1"/>
    </sheetView>
  </sheetViews>
  <sheetFormatPr baseColWidth="8" defaultRowHeight="15"/>
  <cols>
    <col width="20" customWidth="1" min="1" max="1"/>
    <col width="30" customWidth="1" min="2" max="2"/>
    <col width="20" customWidth="1" min="3" max="3"/>
    <col width="25" customWidth="1" min="4" max="4"/>
    <col width="35" customWidth="1" min="5" max="5"/>
    <col width="15" customWidth="1" min="6" max="6"/>
    <col width="15" customWidth="1" min="7" max="7"/>
    <col width="20" customWidth="1" min="8" max="8"/>
    <col width="12" customWidth="1" min="9" max="9"/>
    <col width="12" customWidth="1" min="10" max="10"/>
    <col width="20" customWidth="1" min="11" max="11"/>
    <col width="12" customWidth="1" min="12" max="12"/>
    <col width="40" customWidth="1" min="13" max="13"/>
    <col width="25" customWidth="1" min="14" max="14"/>
    <col width="20" customWidth="1" min="15" max="15"/>
  </cols>
  <sheetData>
    <row r="1" ht="30" customHeight="1">
      <c r="A1" s="1" t="inlineStr">
        <is>
          <t>Product Image</t>
        </is>
      </c>
      <c r="B1" s="1" t="inlineStr">
        <is>
          <t>Product Name</t>
        </is>
      </c>
      <c r="C1" s="1" t="inlineStr">
        <is>
          <t>SKU</t>
        </is>
      </c>
      <c r="D1" s="1" t="inlineStr">
        <is>
          <t>colorSku</t>
        </is>
      </c>
      <c r="E1" s="1" t="inlineStr">
        <is>
          <t>sku name c</t>
        </is>
      </c>
      <c r="F1" s="1" t="inlineStr">
        <is>
          <t>Retail Price</t>
        </is>
      </c>
      <c r="G1" s="1" t="inlineStr">
        <is>
          <t>Wholesale Price</t>
        </is>
      </c>
      <c r="H1" s="1" t="inlineStr">
        <is>
          <t>color names</t>
        </is>
      </c>
      <c r="I1" s="1" t="inlineStr">
        <is>
          <t>Current Color Swatch</t>
        </is>
      </c>
      <c r="J1" s="1" t="inlineStr">
        <is>
          <t>Size</t>
        </is>
      </c>
      <c r="K1" s="1" t="inlineStr">
        <is>
          <t>Qty (Item/Total)</t>
        </is>
      </c>
      <c r="L1" s="1" t="inlineStr">
        <is>
          <t>instock</t>
        </is>
      </c>
      <c r="M1" s="1" t="inlineStr">
        <is>
          <t>Description</t>
        </is>
      </c>
      <c r="N1" s="1" t="inlineStr">
        <is>
          <t>Slug</t>
        </is>
      </c>
      <c r="O1" s="1" t="inlineStr">
        <is>
          <t>product type</t>
        </is>
      </c>
    </row>
    <row r="2" ht="80" customHeight="1">
      <c r="A2" s="4">
        <f>IMAGE("https://images.lululemon.com/is/image/lululemon/LU9CIAS_035486_1?wid=320&amp;op_usm=0.8",1)</f>
        <v/>
      </c>
      <c r="B2" s="4" t="inlineStr">
        <is>
          <t>Insulated Mug 20oz</t>
        </is>
      </c>
      <c r="C2" s="4" t="inlineStr">
        <is>
          <t>156751580</t>
        </is>
      </c>
      <c r="D2" s="4" t="inlineStr">
        <is>
          <t>156751580-blissfulpink</t>
        </is>
      </c>
      <c r="E2" s="4" t="inlineStr">
        <is>
          <t>Insulated Mug 20oz BLLP ONE SIZE</t>
        </is>
      </c>
      <c r="F2" s="4" t="inlineStr">
        <is>
          <t>$38.00</t>
        </is>
      </c>
      <c r="G2" s="4" t="inlineStr">
        <is>
          <t>$19.00</t>
        </is>
      </c>
      <c r="H2" s="4" t="inlineStr">
        <is>
          <t>Blissful Pink</t>
        </is>
      </c>
      <c r="I2" s="4">
        <f>IMAGE("https://images.lululemon.com/is/image/lululemon/35486",1)</f>
        <v/>
      </c>
      <c r="J2" s="4" t="inlineStr">
        <is>
          <t>O/S</t>
        </is>
      </c>
      <c r="K2" s="4" t="inlineStr">
        <is>
          <t>389/687</t>
        </is>
      </c>
      <c r="L2" s="4" t="inlineStr">
        <is>
          <t>Yes</t>
        </is>
      </c>
      <c r="M2" s="4" t="inlineStr">
        <is>
          <t>Sip, sip, hooray. This insulated mug has a leak-proof lid and a double-walled design that will keep your drink ice cold or perfectly hot.</t>
        </is>
      </c>
      <c r="N2" s="4" t="inlineStr">
        <is>
          <t>Insulated-Mug-20oz</t>
        </is>
      </c>
      <c r="O2" s="4" t="inlineStr">
        <is>
          <t>Tumblers and Travel Mugs</t>
        </is>
      </c>
    </row>
    <row r="3" ht="80" customHeight="1">
      <c r="A3" s="5">
        <f>IMAGE("https://images.lululemon.com/is/image/lululemon/LU9CIAS_035486_1?wid=320&amp;op_usm=0.8",1)</f>
        <v/>
      </c>
      <c r="B3" s="5" t="inlineStr">
        <is>
          <t>Insulated Mug 20oz</t>
        </is>
      </c>
      <c r="C3" s="5" t="inlineStr">
        <is>
          <t>158068618</t>
        </is>
      </c>
      <c r="D3" s="5" t="inlineStr">
        <is>
          <t>158068618-indochineblue</t>
        </is>
      </c>
      <c r="E3" s="5" t="inlineStr">
        <is>
          <t>Insulated Mug 20oz BLLP ONE SIZE</t>
        </is>
      </c>
      <c r="F3" s="5" t="inlineStr">
        <is>
          <t>$38.00</t>
        </is>
      </c>
      <c r="G3" s="5" t="inlineStr">
        <is>
          <t>$19.00</t>
        </is>
      </c>
      <c r="H3" s="5" t="inlineStr">
        <is>
          <t>Indochine Blue</t>
        </is>
      </c>
      <c r="I3" s="5">
        <f>IMAGE("https://images.lululemon.com/is/image/lululemon/28022",1)</f>
        <v/>
      </c>
      <c r="J3" s="5" t="inlineStr">
        <is>
          <t>O/S</t>
        </is>
      </c>
      <c r="K3" s="5" t="inlineStr">
        <is>
          <t>298/687</t>
        </is>
      </c>
      <c r="L3" s="5" t="inlineStr">
        <is>
          <t>Yes</t>
        </is>
      </c>
      <c r="M3" s="5" t="inlineStr">
        <is>
          <t>Sip, sip, hooray. This insulated mug has a leak-proof lid and a double-walled design that will keep your drink ice cold or perfectly hot.</t>
        </is>
      </c>
      <c r="N3" s="5" t="inlineStr">
        <is>
          <t>Insulated-Mug-20oz</t>
        </is>
      </c>
      <c r="O3" s="5" t="inlineStr">
        <is>
          <t>Tumblers and Travel Mugs</t>
        </is>
      </c>
    </row>
    <row r="4" ht="80" customHeight="1">
      <c r="A4" s="4">
        <f>IMAGE("https://images.lululemon.com/is/image/lululemon/LW2DQ0S_062214_1?wid=320&amp;op_usm=0.8",1)</f>
        <v/>
      </c>
      <c r="B4" s="4" t="inlineStr">
        <is>
          <t>Wunder Train Strappy Racer Bra *Light Support, A/B Cup</t>
        </is>
      </c>
      <c r="C4" s="4" t="inlineStr">
        <is>
          <t>157708688</t>
        </is>
      </c>
      <c r="D4" s="4" t="inlineStr">
        <is>
          <t>157708688-bayleaf</t>
        </is>
      </c>
      <c r="E4" s="4" t="inlineStr">
        <is>
          <t>Wunder Train Strappy Racer Bra A/B BALF 2</t>
        </is>
      </c>
      <c r="F4" s="4" t="inlineStr">
        <is>
          <t>$58.00</t>
        </is>
      </c>
      <c r="G4" s="4" t="inlineStr">
        <is>
          <t>$29.00</t>
        </is>
      </c>
      <c r="H4" s="4" t="inlineStr">
        <is>
          <t>Bay Leaf</t>
        </is>
      </c>
      <c r="I4" s="4">
        <f>IMAGE("https://images.lululemon.com/is/image/lululemon/62214",1)</f>
        <v/>
      </c>
      <c r="J4" s="4" t="inlineStr">
        <is>
          <t>2</t>
        </is>
      </c>
      <c r="K4" s="4" t="inlineStr">
        <is>
          <t>11/233</t>
        </is>
      </c>
      <c r="L4" s="4" t="inlineStr">
        <is>
          <t>Yes</t>
        </is>
      </c>
      <c r="M4" s="4" t="inlineStr">
        <is>
          <t>Focus on every push, press, and hold. This narrow-strap bra is intentionally designed with a light feel that lets you stay hyper-mindful.</t>
        </is>
      </c>
      <c r="N4" s="4" t="inlineStr">
        <is>
          <t>Wunder-Train-Strappy-Race-Bra-Light-AB</t>
        </is>
      </c>
      <c r="O4" s="4" t="inlineStr">
        <is>
          <t>Racerback Bras, Bralettes, Strappy Bras</t>
        </is>
      </c>
    </row>
    <row r="5" ht="80" customHeight="1">
      <c r="A5" s="7">
        <f>IMAGE("https://images.lululemon.com/is/image/lululemon/LW2DQ0S_062214_1?wid=320&amp;op_usm=0.8",1)</f>
        <v/>
      </c>
      <c r="B5" s="7" t="inlineStr">
        <is>
          <t>Wunder Train Strappy Racer Bra *Light Support, A/B Cup</t>
        </is>
      </c>
      <c r="C5" s="7" t="inlineStr">
        <is>
          <t>157708719</t>
        </is>
      </c>
      <c r="D5" s="7" t="inlineStr">
        <is>
          <t>157708719-bayleaf</t>
        </is>
      </c>
      <c r="E5" s="7" t="inlineStr">
        <is>
          <t>Wunder Train Strappy Racer Bra A/B BALF 2</t>
        </is>
      </c>
      <c r="F5" s="7" t="inlineStr">
        <is>
          <t>$58.00</t>
        </is>
      </c>
      <c r="G5" s="7" t="inlineStr">
        <is>
          <t>$29.00</t>
        </is>
      </c>
      <c r="H5" s="7" t="inlineStr">
        <is>
          <t>Bay Leaf</t>
        </is>
      </c>
      <c r="I5" s="7">
        <f>IMAGE("https://images.lululemon.com/is/image/lululemon/62214",1)</f>
        <v/>
      </c>
      <c r="J5" s="7" t="inlineStr">
        <is>
          <t>8</t>
        </is>
      </c>
      <c r="K5" s="7" t="inlineStr">
        <is>
          <t>6/233</t>
        </is>
      </c>
      <c r="L5" s="7" t="inlineStr">
        <is>
          <t>Yes</t>
        </is>
      </c>
      <c r="M5" s="7" t="inlineStr">
        <is>
          <t>Focus on every push, press, and hold. This narrow-strap bra is intentionally designed with a light feel that lets you stay hyper-mindful.</t>
        </is>
      </c>
      <c r="N5" s="7" t="inlineStr">
        <is>
          <t>Wunder-Train-Strappy-Race-Bra-Light-AB</t>
        </is>
      </c>
      <c r="O5" s="7" t="inlineStr">
        <is>
          <t>Racerback Bras, Bralettes, Strappy Bras</t>
        </is>
      </c>
    </row>
    <row r="6" ht="80" customHeight="1">
      <c r="A6" s="4">
        <f>IMAGE("https://images.lululemon.com/is/image/lululemon/LW2DQ0S_062214_1?wid=320&amp;op_usm=0.8",1)</f>
        <v/>
      </c>
      <c r="B6" s="4" t="inlineStr">
        <is>
          <t>Wunder Train Strappy Racer Bra *Light Support, A/B Cup</t>
        </is>
      </c>
      <c r="C6" s="4" t="inlineStr">
        <is>
          <t>157708648</t>
        </is>
      </c>
      <c r="D6" s="4" t="inlineStr">
        <is>
          <t>157708648-bayleaf</t>
        </is>
      </c>
      <c r="E6" s="4" t="inlineStr">
        <is>
          <t>Wunder Train Strappy Racer Bra A/B BALF 2</t>
        </is>
      </c>
      <c r="F6" s="4" t="inlineStr">
        <is>
          <t>$58.00</t>
        </is>
      </c>
      <c r="G6" s="4" t="inlineStr">
        <is>
          <t>$29.00</t>
        </is>
      </c>
      <c r="H6" s="4" t="inlineStr">
        <is>
          <t>Bay Leaf</t>
        </is>
      </c>
      <c r="I6" s="4">
        <f>IMAGE("https://images.lululemon.com/is/image/lululemon/62214",1)</f>
        <v/>
      </c>
      <c r="J6" s="4" t="inlineStr">
        <is>
          <t>10</t>
        </is>
      </c>
      <c r="K6" s="4" t="inlineStr">
        <is>
          <t>16/233</t>
        </is>
      </c>
      <c r="L6" s="4" t="inlineStr">
        <is>
          <t>Yes</t>
        </is>
      </c>
      <c r="M6" s="4" t="inlineStr">
        <is>
          <t>Focus on every push, press, and hold. This narrow-strap bra is intentionally designed with a light feel that lets you stay hyper-mindful.</t>
        </is>
      </c>
      <c r="N6" s="4" t="inlineStr">
        <is>
          <t>Wunder-Train-Strappy-Race-Bra-Light-AB</t>
        </is>
      </c>
      <c r="O6" s="4" t="inlineStr">
        <is>
          <t>Racerback Bras, Bralettes, Strappy Bras</t>
        </is>
      </c>
    </row>
    <row r="7" ht="80" customHeight="1">
      <c r="A7" s="7">
        <f>IMAGE("https://images.lululemon.com/is/image/lululemon/LW2DQ0S_062214_1?wid=320&amp;op_usm=0.8",1)</f>
        <v/>
      </c>
      <c r="B7" s="7" t="inlineStr">
        <is>
          <t>Wunder Train Strappy Racer Bra *Light Support, A/B Cup</t>
        </is>
      </c>
      <c r="C7" s="7" t="inlineStr">
        <is>
          <t>157708662</t>
        </is>
      </c>
      <c r="D7" s="7" t="inlineStr">
        <is>
          <t>157708662-bayleaf</t>
        </is>
      </c>
      <c r="E7" s="7" t="inlineStr">
        <is>
          <t>Wunder Train Strappy Racer Bra A/B BALF 2</t>
        </is>
      </c>
      <c r="F7" s="7" t="inlineStr">
        <is>
          <t>$58.00</t>
        </is>
      </c>
      <c r="G7" s="7" t="inlineStr">
        <is>
          <t>$29.00</t>
        </is>
      </c>
      <c r="H7" s="7" t="inlineStr">
        <is>
          <t>Bay Leaf</t>
        </is>
      </c>
      <c r="I7" s="7">
        <f>IMAGE("https://images.lululemon.com/is/image/lululemon/62214",1)</f>
        <v/>
      </c>
      <c r="J7" s="7" t="inlineStr">
        <is>
          <t>12</t>
        </is>
      </c>
      <c r="K7" s="7" t="inlineStr">
        <is>
          <t>7/233</t>
        </is>
      </c>
      <c r="L7" s="7" t="inlineStr">
        <is>
          <t>Yes</t>
        </is>
      </c>
      <c r="M7" s="7" t="inlineStr">
        <is>
          <t>Focus on every push, press, and hold. This narrow-strap bra is intentionally designed with a light feel that lets you stay hyper-mindful.</t>
        </is>
      </c>
      <c r="N7" s="7" t="inlineStr">
        <is>
          <t>Wunder-Train-Strappy-Race-Bra-Light-AB</t>
        </is>
      </c>
      <c r="O7" s="7" t="inlineStr">
        <is>
          <t>Racerback Bras, Bralettes, Strappy Bras</t>
        </is>
      </c>
    </row>
    <row r="8" ht="80" customHeight="1">
      <c r="A8" s="4">
        <f>IMAGE("https://images.lululemon.com/is/image/lululemon/LW2DQ0S_062214_1?wid=320&amp;op_usm=0.8",1)</f>
        <v/>
      </c>
      <c r="B8" s="4" t="inlineStr">
        <is>
          <t>Wunder Train Strappy Racer Bra *Light Support, A/B Cup</t>
        </is>
      </c>
      <c r="C8" s="4" t="inlineStr">
        <is>
          <t>157706911</t>
        </is>
      </c>
      <c r="D8" s="4" t="inlineStr">
        <is>
          <t>157706911-sunburstorange</t>
        </is>
      </c>
      <c r="E8" s="4" t="inlineStr">
        <is>
          <t>Wunder Train Strappy Racer Bra A/B BALF 2</t>
        </is>
      </c>
      <c r="F8" s="4" t="inlineStr">
        <is>
          <t>$58.00</t>
        </is>
      </c>
      <c r="G8" s="4" t="inlineStr">
        <is>
          <t>$29.00</t>
        </is>
      </c>
      <c r="H8" s="4" t="inlineStr">
        <is>
          <t>Sunburst Orange</t>
        </is>
      </c>
      <c r="I8" s="4">
        <f>IMAGE("https://images.lululemon.com/is/image/lululemon/71177",1)</f>
        <v/>
      </c>
      <c r="J8" s="4" t="inlineStr">
        <is>
          <t>2</t>
        </is>
      </c>
      <c r="K8" s="4" t="inlineStr">
        <is>
          <t>12/233</t>
        </is>
      </c>
      <c r="L8" s="4" t="inlineStr">
        <is>
          <t>Yes</t>
        </is>
      </c>
      <c r="M8" s="4" t="inlineStr">
        <is>
          <t>Focus on every push, press, and hold. This narrow-strap bra is intentionally designed with a light feel that lets you stay hyper-mindful.</t>
        </is>
      </c>
      <c r="N8" s="4" t="inlineStr">
        <is>
          <t>Wunder-Train-Strappy-Race-Bra-Light-AB</t>
        </is>
      </c>
      <c r="O8" s="4" t="inlineStr">
        <is>
          <t>Racerback Bras, Bralettes, Strappy Bras</t>
        </is>
      </c>
    </row>
    <row r="9" ht="80" customHeight="1">
      <c r="A9" s="7">
        <f>IMAGE("https://images.lululemon.com/is/image/lululemon/LW2DQ0S_062214_1?wid=320&amp;op_usm=0.8",1)</f>
        <v/>
      </c>
      <c r="B9" s="7" t="inlineStr">
        <is>
          <t>Wunder Train Strappy Racer Bra *Light Support, A/B Cup</t>
        </is>
      </c>
      <c r="C9" s="7" t="inlineStr">
        <is>
          <t>157706926</t>
        </is>
      </c>
      <c r="D9" s="7" t="inlineStr">
        <is>
          <t>157706926-sunburstorange</t>
        </is>
      </c>
      <c r="E9" s="7" t="inlineStr">
        <is>
          <t>Wunder Train Strappy Racer Bra A/B BALF 2</t>
        </is>
      </c>
      <c r="F9" s="7" t="inlineStr">
        <is>
          <t>$58.00</t>
        </is>
      </c>
      <c r="G9" s="7" t="inlineStr">
        <is>
          <t>$29.00</t>
        </is>
      </c>
      <c r="H9" s="7" t="inlineStr">
        <is>
          <t>Sunburst Orange</t>
        </is>
      </c>
      <c r="I9" s="7">
        <f>IMAGE("https://images.lululemon.com/is/image/lululemon/71177",1)</f>
        <v/>
      </c>
      <c r="J9" s="7" t="inlineStr">
        <is>
          <t>4</t>
        </is>
      </c>
      <c r="K9" s="7" t="inlineStr">
        <is>
          <t>31/233</t>
        </is>
      </c>
      <c r="L9" s="7" t="inlineStr">
        <is>
          <t>Yes</t>
        </is>
      </c>
      <c r="M9" s="7" t="inlineStr">
        <is>
          <t>Focus on every push, press, and hold. This narrow-strap bra is intentionally designed with a light feel that lets you stay hyper-mindful.</t>
        </is>
      </c>
      <c r="N9" s="7" t="inlineStr">
        <is>
          <t>Wunder-Train-Strappy-Race-Bra-Light-AB</t>
        </is>
      </c>
      <c r="O9" s="7" t="inlineStr">
        <is>
          <t>Racerback Bras, Bralettes, Strappy Bras</t>
        </is>
      </c>
    </row>
    <row r="10" ht="80" customHeight="1">
      <c r="A10" s="4">
        <f>IMAGE("https://images.lululemon.com/is/image/lululemon/LW2DQ0S_062214_1?wid=320&amp;op_usm=0.8",1)</f>
        <v/>
      </c>
      <c r="B10" s="4" t="inlineStr">
        <is>
          <t>Wunder Train Strappy Racer Bra *Light Support, A/B Cup</t>
        </is>
      </c>
      <c r="C10" s="4" t="inlineStr">
        <is>
          <t>157706947</t>
        </is>
      </c>
      <c r="D10" s="4" t="inlineStr">
        <is>
          <t>157706947-sunburstorange</t>
        </is>
      </c>
      <c r="E10" s="4" t="inlineStr">
        <is>
          <t>Wunder Train Strappy Racer Bra A/B BALF 2</t>
        </is>
      </c>
      <c r="F10" s="4" t="inlineStr">
        <is>
          <t>$58.00</t>
        </is>
      </c>
      <c r="G10" s="4" t="inlineStr">
        <is>
          <t>$29.00</t>
        </is>
      </c>
      <c r="H10" s="4" t="inlineStr">
        <is>
          <t>Sunburst Orange</t>
        </is>
      </c>
      <c r="I10" s="4">
        <f>IMAGE("https://images.lululemon.com/is/image/lululemon/71177",1)</f>
        <v/>
      </c>
      <c r="J10" s="4" t="inlineStr">
        <is>
          <t>6</t>
        </is>
      </c>
      <c r="K10" s="4" t="inlineStr">
        <is>
          <t>45/233</t>
        </is>
      </c>
      <c r="L10" s="4" t="inlineStr">
        <is>
          <t>Yes</t>
        </is>
      </c>
      <c r="M10" s="4" t="inlineStr">
        <is>
          <t>Focus on every push, press, and hold. This narrow-strap bra is intentionally designed with a light feel that lets you stay hyper-mindful.</t>
        </is>
      </c>
      <c r="N10" s="4" t="inlineStr">
        <is>
          <t>Wunder-Train-Strappy-Race-Bra-Light-AB</t>
        </is>
      </c>
      <c r="O10" s="4" t="inlineStr">
        <is>
          <t>Racerback Bras, Bralettes, Strappy Bras</t>
        </is>
      </c>
    </row>
    <row r="11" ht="80" customHeight="1">
      <c r="A11" s="7">
        <f>IMAGE("https://images.lululemon.com/is/image/lululemon/LW2DQ0S_062214_1?wid=320&amp;op_usm=0.8",1)</f>
        <v/>
      </c>
      <c r="B11" s="7" t="inlineStr">
        <is>
          <t>Wunder Train Strappy Racer Bra *Light Support, A/B Cup</t>
        </is>
      </c>
      <c r="C11" s="7" t="inlineStr">
        <is>
          <t>157706967</t>
        </is>
      </c>
      <c r="D11" s="7" t="inlineStr">
        <is>
          <t>157706967-sunburstorange</t>
        </is>
      </c>
      <c r="E11" s="7" t="inlineStr">
        <is>
          <t>Wunder Train Strappy Racer Bra A/B BALF 2</t>
        </is>
      </c>
      <c r="F11" s="7" t="inlineStr">
        <is>
          <t>$58.00</t>
        </is>
      </c>
      <c r="G11" s="7" t="inlineStr">
        <is>
          <t>$29.00</t>
        </is>
      </c>
      <c r="H11" s="7" t="inlineStr">
        <is>
          <t>Sunburst Orange</t>
        </is>
      </c>
      <c r="I11" s="7">
        <f>IMAGE("https://images.lululemon.com/is/image/lululemon/71177",1)</f>
        <v/>
      </c>
      <c r="J11" s="7" t="inlineStr">
        <is>
          <t>8</t>
        </is>
      </c>
      <c r="K11" s="7" t="inlineStr">
        <is>
          <t>36/233</t>
        </is>
      </c>
      <c r="L11" s="7" t="inlineStr">
        <is>
          <t>Yes</t>
        </is>
      </c>
      <c r="M11" s="7" t="inlineStr">
        <is>
          <t>Focus on every push, press, and hold. This narrow-strap bra is intentionally designed with a light feel that lets you stay hyper-mindful.</t>
        </is>
      </c>
      <c r="N11" s="7" t="inlineStr">
        <is>
          <t>Wunder-Train-Strappy-Race-Bra-Light-AB</t>
        </is>
      </c>
      <c r="O11" s="7" t="inlineStr">
        <is>
          <t>Racerback Bras, Bralettes, Strappy Bras</t>
        </is>
      </c>
    </row>
    <row r="12" ht="80" customHeight="1">
      <c r="A12" s="4">
        <f>IMAGE("https://images.lululemon.com/is/image/lululemon/LW2DQ0S_062214_1?wid=320&amp;op_usm=0.8",1)</f>
        <v/>
      </c>
      <c r="B12" s="4" t="inlineStr">
        <is>
          <t>Wunder Train Strappy Racer Bra *Light Support, A/B Cup</t>
        </is>
      </c>
      <c r="C12" s="4" t="inlineStr">
        <is>
          <t>157706847</t>
        </is>
      </c>
      <c r="D12" s="4" t="inlineStr">
        <is>
          <t>157706847-sunburstorange</t>
        </is>
      </c>
      <c r="E12" s="4" t="inlineStr">
        <is>
          <t>Wunder Train Strappy Racer Bra A/B BALF 2</t>
        </is>
      </c>
      <c r="F12" s="4" t="inlineStr">
        <is>
          <t>$58.00</t>
        </is>
      </c>
      <c r="G12" s="4" t="inlineStr">
        <is>
          <t>$29.00</t>
        </is>
      </c>
      <c r="H12" s="4" t="inlineStr">
        <is>
          <t>Sunburst Orange</t>
        </is>
      </c>
      <c r="I12" s="4">
        <f>IMAGE("https://images.lululemon.com/is/image/lululemon/71177",1)</f>
        <v/>
      </c>
      <c r="J12" s="4" t="inlineStr">
        <is>
          <t>10</t>
        </is>
      </c>
      <c r="K12" s="4" t="inlineStr">
        <is>
          <t>24/233</t>
        </is>
      </c>
      <c r="L12" s="4" t="inlineStr">
        <is>
          <t>Yes</t>
        </is>
      </c>
      <c r="M12" s="4" t="inlineStr">
        <is>
          <t>Focus on every push, press, and hold. This narrow-strap bra is intentionally designed with a light feel that lets you stay hyper-mindful.</t>
        </is>
      </c>
      <c r="N12" s="4" t="inlineStr">
        <is>
          <t>Wunder-Train-Strappy-Race-Bra-Light-AB</t>
        </is>
      </c>
      <c r="O12" s="4" t="inlineStr">
        <is>
          <t>Racerback Bras, Bralettes, Strappy Bras</t>
        </is>
      </c>
    </row>
    <row r="13" ht="80" customHeight="1">
      <c r="A13" s="7">
        <f>IMAGE("https://images.lululemon.com/is/image/lululemon/LW2DQ0S_062214_1?wid=320&amp;op_usm=0.8",1)</f>
        <v/>
      </c>
      <c r="B13" s="7" t="inlineStr">
        <is>
          <t>Wunder Train Strappy Racer Bra *Light Support, A/B Cup</t>
        </is>
      </c>
      <c r="C13" s="7" t="inlineStr">
        <is>
          <t>157706864</t>
        </is>
      </c>
      <c r="D13" s="7" t="inlineStr">
        <is>
          <t>157706864-sunburstorange</t>
        </is>
      </c>
      <c r="E13" s="7" t="inlineStr">
        <is>
          <t>Wunder Train Strappy Racer Bra A/B BALF 2</t>
        </is>
      </c>
      <c r="F13" s="7" t="inlineStr">
        <is>
          <t>$58.00</t>
        </is>
      </c>
      <c r="G13" s="7" t="inlineStr">
        <is>
          <t>$29.00</t>
        </is>
      </c>
      <c r="H13" s="7" t="inlineStr">
        <is>
          <t>Sunburst Orange</t>
        </is>
      </c>
      <c r="I13" s="7">
        <f>IMAGE("https://images.lululemon.com/is/image/lululemon/71177",1)</f>
        <v/>
      </c>
      <c r="J13" s="7" t="inlineStr">
        <is>
          <t>12</t>
        </is>
      </c>
      <c r="K13" s="7" t="inlineStr">
        <is>
          <t>10/233</t>
        </is>
      </c>
      <c r="L13" s="7" t="inlineStr">
        <is>
          <t>Yes</t>
        </is>
      </c>
      <c r="M13" s="7" t="inlineStr">
        <is>
          <t>Focus on every push, press, and hold. This narrow-strap bra is intentionally designed with a light feel that lets you stay hyper-mindful.</t>
        </is>
      </c>
      <c r="N13" s="7" t="inlineStr">
        <is>
          <t>Wunder-Train-Strappy-Race-Bra-Light-AB</t>
        </is>
      </c>
      <c r="O13" s="7" t="inlineStr">
        <is>
          <t>Racerback Bras, Bralettes, Strappy Bras</t>
        </is>
      </c>
    </row>
    <row r="14" ht="80" customHeight="1">
      <c r="A14" s="4">
        <f>IMAGE("https://images.lululemon.com/is/image/lululemon/LW2DQ0S_062214_1?wid=320&amp;op_usm=0.8",1)</f>
        <v/>
      </c>
      <c r="B14" s="4" t="inlineStr">
        <is>
          <t>Wunder Train Strappy Racer Bra *Light Support, A/B Cup</t>
        </is>
      </c>
      <c r="C14" s="4" t="inlineStr">
        <is>
          <t>157702012</t>
        </is>
      </c>
      <c r="D14" s="4" t="inlineStr">
        <is>
          <t>157702012-thawedcamoblackmulti</t>
        </is>
      </c>
      <c r="E14" s="4" t="inlineStr">
        <is>
          <t>Wunder Train Strappy Racer Bra A/B BALF 2</t>
        </is>
      </c>
      <c r="F14" s="4" t="inlineStr">
        <is>
          <t>$58.00</t>
        </is>
      </c>
      <c r="G14" s="4" t="inlineStr">
        <is>
          <t>$29.00</t>
        </is>
      </c>
      <c r="H14" s="4" t="inlineStr">
        <is>
          <t>Thawed Camo Black Multi</t>
        </is>
      </c>
      <c r="I14" s="4">
        <f>IMAGE("https://images.lululemon.com/is/image/lululemon/71293",1)</f>
        <v/>
      </c>
      <c r="J14" s="4" t="inlineStr">
        <is>
          <t>2</t>
        </is>
      </c>
      <c r="K14" s="4" t="inlineStr">
        <is>
          <t>4/233</t>
        </is>
      </c>
      <c r="L14" s="4" t="inlineStr">
        <is>
          <t>Yes</t>
        </is>
      </c>
      <c r="M14" s="4" t="inlineStr">
        <is>
          <t>Focus on every push, press, and hold. This narrow-strap bra is intentionally designed with a light feel that lets you stay hyper-mindful.</t>
        </is>
      </c>
      <c r="N14" s="4" t="inlineStr">
        <is>
          <t>Wunder-Train-Strappy-Race-Bra-Light-AB</t>
        </is>
      </c>
      <c r="O14" s="4" t="inlineStr">
        <is>
          <t>Racerback Bras, Bralettes, Strappy Bras</t>
        </is>
      </c>
    </row>
    <row r="15" ht="80" customHeight="1">
      <c r="A15" s="7">
        <f>IMAGE("https://images.lululemon.com/is/image/lululemon/LW2DQ0S_062214_1?wid=320&amp;op_usm=0.8",1)</f>
        <v/>
      </c>
      <c r="B15" s="7" t="inlineStr">
        <is>
          <t>Wunder Train Strappy Racer Bra *Light Support, A/B Cup</t>
        </is>
      </c>
      <c r="C15" s="7" t="inlineStr">
        <is>
          <t>157702070</t>
        </is>
      </c>
      <c r="D15" s="7" t="inlineStr">
        <is>
          <t>157702070-thawedcamoblackmulti</t>
        </is>
      </c>
      <c r="E15" s="7" t="inlineStr">
        <is>
          <t>Wunder Train Strappy Racer Bra A/B BALF 2</t>
        </is>
      </c>
      <c r="F15" s="7" t="inlineStr">
        <is>
          <t>$58.00</t>
        </is>
      </c>
      <c r="G15" s="7" t="inlineStr">
        <is>
          <t>$29.00</t>
        </is>
      </c>
      <c r="H15" s="7" t="inlineStr">
        <is>
          <t>Thawed Camo Black Multi</t>
        </is>
      </c>
      <c r="I15" s="7">
        <f>IMAGE("https://images.lululemon.com/is/image/lululemon/71293",1)</f>
        <v/>
      </c>
      <c r="J15" s="7" t="inlineStr">
        <is>
          <t>6</t>
        </is>
      </c>
      <c r="K15" s="7" t="inlineStr">
        <is>
          <t>5/233</t>
        </is>
      </c>
      <c r="L15" s="7" t="inlineStr">
        <is>
          <t>Yes</t>
        </is>
      </c>
      <c r="M15" s="7" t="inlineStr">
        <is>
          <t>Focus on every push, press, and hold. This narrow-strap bra is intentionally designed with a light feel that lets you stay hyper-mindful.</t>
        </is>
      </c>
      <c r="N15" s="7" t="inlineStr">
        <is>
          <t>Wunder-Train-Strappy-Race-Bra-Light-AB</t>
        </is>
      </c>
      <c r="O15" s="7" t="inlineStr">
        <is>
          <t>Racerback Bras, Bralettes, Strappy Bras</t>
        </is>
      </c>
    </row>
    <row r="16" ht="80" customHeight="1">
      <c r="A16" s="4">
        <f>IMAGE("https://images.lululemon.com/is/image/lululemon/LW2DQ0S_062214_1?wid=320&amp;op_usm=0.8",1)</f>
        <v/>
      </c>
      <c r="B16" s="4" t="inlineStr">
        <is>
          <t>Wunder Train Strappy Racer Bra *Light Support, A/B Cup</t>
        </is>
      </c>
      <c r="C16" s="4" t="inlineStr">
        <is>
          <t>157702097</t>
        </is>
      </c>
      <c r="D16" s="4" t="inlineStr">
        <is>
          <t>157702097-thawedcamoblackmulti</t>
        </is>
      </c>
      <c r="E16" s="4" t="inlineStr">
        <is>
          <t>Wunder Train Strappy Racer Bra A/B BALF 2</t>
        </is>
      </c>
      <c r="F16" s="4" t="inlineStr">
        <is>
          <t>$58.00</t>
        </is>
      </c>
      <c r="G16" s="4" t="inlineStr">
        <is>
          <t>$29.00</t>
        </is>
      </c>
      <c r="H16" s="4" t="inlineStr">
        <is>
          <t>Thawed Camo Black Multi</t>
        </is>
      </c>
      <c r="I16" s="4">
        <f>IMAGE("https://images.lululemon.com/is/image/lululemon/71293",1)</f>
        <v/>
      </c>
      <c r="J16" s="4" t="inlineStr">
        <is>
          <t>8</t>
        </is>
      </c>
      <c r="K16" s="4" t="inlineStr">
        <is>
          <t>16/233</t>
        </is>
      </c>
      <c r="L16" s="4" t="inlineStr">
        <is>
          <t>Yes</t>
        </is>
      </c>
      <c r="M16" s="4" t="inlineStr">
        <is>
          <t>Focus on every push, press, and hold. This narrow-strap bra is intentionally designed with a light feel that lets you stay hyper-mindful.</t>
        </is>
      </c>
      <c r="N16" s="4" t="inlineStr">
        <is>
          <t>Wunder-Train-Strappy-Race-Bra-Light-AB</t>
        </is>
      </c>
      <c r="O16" s="4" t="inlineStr">
        <is>
          <t>Racerback Bras, Bralettes, Strappy Bras</t>
        </is>
      </c>
    </row>
    <row r="17" ht="80" customHeight="1">
      <c r="A17" s="5">
        <f>IMAGE("https://images.lululemon.com/is/image/lululemon/LW2DQ0S_062214_1?wid=320&amp;op_usm=0.8",1)</f>
        <v/>
      </c>
      <c r="B17" s="5" t="inlineStr">
        <is>
          <t>Wunder Train Strappy Racer Bra *Light Support, A/B Cup</t>
        </is>
      </c>
      <c r="C17" s="5" t="inlineStr">
        <is>
          <t>157701924</t>
        </is>
      </c>
      <c r="D17" s="5" t="inlineStr">
        <is>
          <t>157701924-thawedcamoblackmulti</t>
        </is>
      </c>
      <c r="E17" s="5" t="inlineStr">
        <is>
          <t>Wunder Train Strappy Racer Bra A/B BALF 2</t>
        </is>
      </c>
      <c r="F17" s="5" t="inlineStr">
        <is>
          <t>$58.00</t>
        </is>
      </c>
      <c r="G17" s="5" t="inlineStr">
        <is>
          <t>$29.00</t>
        </is>
      </c>
      <c r="H17" s="5" t="inlineStr">
        <is>
          <t>Thawed Camo Black Multi</t>
        </is>
      </c>
      <c r="I17" s="5">
        <f>IMAGE("https://images.lululemon.com/is/image/lululemon/71293",1)</f>
        <v/>
      </c>
      <c r="J17" s="5" t="inlineStr">
        <is>
          <t>10</t>
        </is>
      </c>
      <c r="K17" s="5" t="inlineStr">
        <is>
          <t>10/233</t>
        </is>
      </c>
      <c r="L17" s="5" t="inlineStr">
        <is>
          <t>Yes</t>
        </is>
      </c>
      <c r="M17" s="5" t="inlineStr">
        <is>
          <t>Focus on every push, press, and hold. This narrow-strap bra is intentionally designed with a light feel that lets you stay hyper-mindful.</t>
        </is>
      </c>
      <c r="N17" s="5" t="inlineStr">
        <is>
          <t>Wunder-Train-Strappy-Race-Bra-Light-AB</t>
        </is>
      </c>
      <c r="O17" s="5" t="inlineStr">
        <is>
          <t>Racerback Bras, Bralettes, Strappy Bras</t>
        </is>
      </c>
    </row>
    <row r="18" ht="80" customHeight="1">
      <c r="A18" s="4">
        <f>IMAGE("https://images.lululemon.com/is/image/lululemon/LM7B83S_0001_1?wid=320&amp;op_usm=0.8",1)</f>
        <v/>
      </c>
      <c r="B18" s="4" t="inlineStr">
        <is>
          <t>Pace Breaker Lined Short 5"</t>
        </is>
      </c>
      <c r="C18" s="4" t="inlineStr">
        <is>
          <t>147004628</t>
        </is>
      </c>
      <c r="D18" s="4" t="inlineStr">
        <is>
          <t>147004628-black</t>
        </is>
      </c>
      <c r="E18" s="4" t="inlineStr">
        <is>
          <t>Pace Breaker Short 5" *Lined BLK S</t>
        </is>
      </c>
      <c r="F18" s="4" t="inlineStr">
        <is>
          <t>$78.00</t>
        </is>
      </c>
      <c r="G18" s="4" t="inlineStr">
        <is>
          <t>$39.00</t>
        </is>
      </c>
      <c r="H18" s="4" t="inlineStr">
        <is>
          <t>Black</t>
        </is>
      </c>
      <c r="I18" s="4">
        <f>IMAGE("https://images.lululemon.com/is/image/lululemon/0001",1)</f>
        <v/>
      </c>
      <c r="J18" s="4" t="inlineStr">
        <is>
          <t>S</t>
        </is>
      </c>
      <c r="K18" s="4" t="inlineStr">
        <is>
          <t>35/1025</t>
        </is>
      </c>
      <c r="L18" s="4" t="inlineStr">
        <is>
          <t>Yes</t>
        </is>
      </c>
      <c r="M18" s="4" t="inlineStr">
        <is>
          <t>Athlete backed, performance driven. This elevated version of our most versatile short was designed for maximum comfort and zero distractions.</t>
        </is>
      </c>
      <c r="N18" s="4" t="inlineStr">
        <is>
          <t>Pace-Breaker-Short-5-Lined-Update</t>
        </is>
      </c>
      <c r="O18" s="4" t="inlineStr">
        <is>
          <t>Athletic Shorts, Liner Shorts, Track Shorts</t>
        </is>
      </c>
    </row>
    <row r="19" ht="80" customHeight="1">
      <c r="A19" s="7">
        <f>IMAGE("https://images.lululemon.com/is/image/lululemon/LM7B83S_0001_1?wid=320&amp;op_usm=0.8",1)</f>
        <v/>
      </c>
      <c r="B19" s="7" t="inlineStr">
        <is>
          <t>Pace Breaker Lined Short 5"</t>
        </is>
      </c>
      <c r="C19" s="7" t="inlineStr">
        <is>
          <t>147004603</t>
        </is>
      </c>
      <c r="D19" s="7" t="inlineStr">
        <is>
          <t>147004603-black</t>
        </is>
      </c>
      <c r="E19" s="7" t="inlineStr">
        <is>
          <t>Pace Breaker Short 5" *Lined BLK S</t>
        </is>
      </c>
      <c r="F19" s="7" t="inlineStr">
        <is>
          <t>$78.00</t>
        </is>
      </c>
      <c r="G19" s="7" t="inlineStr">
        <is>
          <t>$39.00</t>
        </is>
      </c>
      <c r="H19" s="7" t="inlineStr">
        <is>
          <t>Black</t>
        </is>
      </c>
      <c r="I19" s="7">
        <f>IMAGE("https://images.lululemon.com/is/image/lululemon/0001",1)</f>
        <v/>
      </c>
      <c r="J19" s="7" t="inlineStr">
        <is>
          <t>M</t>
        </is>
      </c>
      <c r="K19" s="7" t="inlineStr">
        <is>
          <t>82/1025</t>
        </is>
      </c>
      <c r="L19" s="7" t="inlineStr">
        <is>
          <t>Yes</t>
        </is>
      </c>
      <c r="M19" s="7" t="inlineStr">
        <is>
          <t>Athlete backed, performance driven. This elevated version of our most versatile short was designed for maximum comfort and zero distractions.</t>
        </is>
      </c>
      <c r="N19" s="7" t="inlineStr">
        <is>
          <t>Pace-Breaker-Short-5-Lined-Update</t>
        </is>
      </c>
      <c r="O19" s="7" t="inlineStr">
        <is>
          <t>Athletic Shorts, Liner Shorts, Track Shorts</t>
        </is>
      </c>
    </row>
    <row r="20" ht="80" customHeight="1">
      <c r="A20" s="4">
        <f>IMAGE("https://images.lululemon.com/is/image/lululemon/LM7B83S_0001_1?wid=320&amp;op_usm=0.8",1)</f>
        <v/>
      </c>
      <c r="B20" s="4" t="inlineStr">
        <is>
          <t>Pace Breaker Lined Short 5"</t>
        </is>
      </c>
      <c r="C20" s="4" t="inlineStr">
        <is>
          <t>147004582</t>
        </is>
      </c>
      <c r="D20" s="4" t="inlineStr">
        <is>
          <t>147004582-black</t>
        </is>
      </c>
      <c r="E20" s="4" t="inlineStr">
        <is>
          <t>Pace Breaker Short 5" *Lined BLK S</t>
        </is>
      </c>
      <c r="F20" s="4" t="inlineStr">
        <is>
          <t>$78.00</t>
        </is>
      </c>
      <c r="G20" s="4" t="inlineStr">
        <is>
          <t>$39.00</t>
        </is>
      </c>
      <c r="H20" s="4" t="inlineStr">
        <is>
          <t>Black</t>
        </is>
      </c>
      <c r="I20" s="4">
        <f>IMAGE("https://images.lululemon.com/is/image/lululemon/0001",1)</f>
        <v/>
      </c>
      <c r="J20" s="4" t="inlineStr">
        <is>
          <t>L</t>
        </is>
      </c>
      <c r="K20" s="4" t="inlineStr">
        <is>
          <t>136/1025</t>
        </is>
      </c>
      <c r="L20" s="4" t="inlineStr">
        <is>
          <t>Yes</t>
        </is>
      </c>
      <c r="M20" s="4" t="inlineStr">
        <is>
          <t>Athlete backed, performance driven. This elevated version of our most versatile short was designed for maximum comfort and zero distractions.</t>
        </is>
      </c>
      <c r="N20" s="4" t="inlineStr">
        <is>
          <t>Pace-Breaker-Short-5-Lined-Update</t>
        </is>
      </c>
      <c r="O20" s="4" t="inlineStr">
        <is>
          <t>Athletic Shorts, Liner Shorts, Track Shorts</t>
        </is>
      </c>
    </row>
    <row r="21" ht="80" customHeight="1">
      <c r="A21" s="7">
        <f>IMAGE("https://images.lululemon.com/is/image/lululemon/LM7B83S_0001_1?wid=320&amp;op_usm=0.8",1)</f>
        <v/>
      </c>
      <c r="B21" s="7" t="inlineStr">
        <is>
          <t>Pace Breaker Lined Short 5"</t>
        </is>
      </c>
      <c r="C21" s="7" t="inlineStr">
        <is>
          <t>147004647</t>
        </is>
      </c>
      <c r="D21" s="7" t="inlineStr">
        <is>
          <t>147004647-black</t>
        </is>
      </c>
      <c r="E21" s="7" t="inlineStr">
        <is>
          <t>Pace Breaker Short 5" *Lined BLK S</t>
        </is>
      </c>
      <c r="F21" s="7" t="inlineStr">
        <is>
          <t>$78.00</t>
        </is>
      </c>
      <c r="G21" s="7" t="inlineStr">
        <is>
          <t>$39.00</t>
        </is>
      </c>
      <c r="H21" s="7" t="inlineStr">
        <is>
          <t>Black</t>
        </is>
      </c>
      <c r="I21" s="7">
        <f>IMAGE("https://images.lululemon.com/is/image/lululemon/0001",1)</f>
        <v/>
      </c>
      <c r="J21" s="7" t="inlineStr">
        <is>
          <t>XL</t>
        </is>
      </c>
      <c r="K21" s="7" t="inlineStr">
        <is>
          <t>276/1025</t>
        </is>
      </c>
      <c r="L21" s="7" t="inlineStr">
        <is>
          <t>Yes</t>
        </is>
      </c>
      <c r="M21" s="7" t="inlineStr">
        <is>
          <t>Athlete backed, performance driven. This elevated version of our most versatile short was designed for maximum comfort and zero distractions.</t>
        </is>
      </c>
      <c r="N21" s="7" t="inlineStr">
        <is>
          <t>Pace-Breaker-Short-5-Lined-Update</t>
        </is>
      </c>
      <c r="O21" s="7" t="inlineStr">
        <is>
          <t>Athletic Shorts, Liner Shorts, Track Shorts</t>
        </is>
      </c>
    </row>
    <row r="22" ht="80" customHeight="1">
      <c r="A22" s="4">
        <f>IMAGE("https://images.lululemon.com/is/image/lululemon/LM7B83S_0001_1?wid=320&amp;op_usm=0.8",1)</f>
        <v/>
      </c>
      <c r="B22" s="4" t="inlineStr">
        <is>
          <t>Pace Breaker Lined Short 5"</t>
        </is>
      </c>
      <c r="C22" s="4" t="inlineStr">
        <is>
          <t>147004685</t>
        </is>
      </c>
      <c r="D22" s="4" t="inlineStr">
        <is>
          <t>147004685-black</t>
        </is>
      </c>
      <c r="E22" s="4" t="inlineStr">
        <is>
          <t>Pace Breaker Short 5" *Lined BLK S</t>
        </is>
      </c>
      <c r="F22" s="4" t="inlineStr">
        <is>
          <t>$78.00</t>
        </is>
      </c>
      <c r="G22" s="4" t="inlineStr">
        <is>
          <t>$39.00</t>
        </is>
      </c>
      <c r="H22" s="4" t="inlineStr">
        <is>
          <t>Black</t>
        </is>
      </c>
      <c r="I22" s="4">
        <f>IMAGE("https://images.lululemon.com/is/image/lululemon/0001",1)</f>
        <v/>
      </c>
      <c r="J22" s="4" t="inlineStr">
        <is>
          <t>XXL</t>
        </is>
      </c>
      <c r="K22" s="4" t="inlineStr">
        <is>
          <t>95/1025</t>
        </is>
      </c>
      <c r="L22" s="4" t="inlineStr">
        <is>
          <t>Yes</t>
        </is>
      </c>
      <c r="M22" s="4" t="inlineStr">
        <is>
          <t>Athlete backed, performance driven. This elevated version of our most versatile short was designed for maximum comfort and zero distractions.</t>
        </is>
      </c>
      <c r="N22" s="4" t="inlineStr">
        <is>
          <t>Pace-Breaker-Short-5-Lined-Update</t>
        </is>
      </c>
      <c r="O22" s="4" t="inlineStr">
        <is>
          <t>Athletic Shorts, Liner Shorts, Track Shorts</t>
        </is>
      </c>
    </row>
    <row r="23" ht="80" customHeight="1">
      <c r="A23" s="7">
        <f>IMAGE("https://images.lululemon.com/is/image/lululemon/LM7B83S_0001_1?wid=320&amp;op_usm=0.8",1)</f>
        <v/>
      </c>
      <c r="B23" s="7" t="inlineStr">
        <is>
          <t>Pace Breaker Lined Short 5"</t>
        </is>
      </c>
      <c r="C23" s="7" t="inlineStr">
        <is>
          <t>158023108</t>
        </is>
      </c>
      <c r="D23" s="7" t="inlineStr">
        <is>
          <t>158023108-sinatrablue</t>
        </is>
      </c>
      <c r="E23" s="7" t="inlineStr">
        <is>
          <t>Pace Breaker Short 5" *Lined BLK S</t>
        </is>
      </c>
      <c r="F23" s="7" t="inlineStr">
        <is>
          <t>$78.00</t>
        </is>
      </c>
      <c r="G23" s="7" t="inlineStr">
        <is>
          <t>$39.00</t>
        </is>
      </c>
      <c r="H23" s="7" t="inlineStr">
        <is>
          <t>Sinatra Blue</t>
        </is>
      </c>
      <c r="I23" s="7">
        <f>IMAGE("https://images.lululemon.com/is/image/lululemon/33068",1)</f>
        <v/>
      </c>
      <c r="J23" s="7" t="inlineStr">
        <is>
          <t>S</t>
        </is>
      </c>
      <c r="K23" s="7" t="inlineStr">
        <is>
          <t>47/1025</t>
        </is>
      </c>
      <c r="L23" s="7" t="inlineStr">
        <is>
          <t>Yes</t>
        </is>
      </c>
      <c r="M23" s="7" t="inlineStr">
        <is>
          <t>Athlete backed, performance driven. This elevated version of our most versatile short was designed for maximum comfort and zero distractions.</t>
        </is>
      </c>
      <c r="N23" s="7" t="inlineStr">
        <is>
          <t>Pace-Breaker-Short-5-Lined-Update</t>
        </is>
      </c>
      <c r="O23" s="7" t="inlineStr">
        <is>
          <t>Athletic Shorts, Liner Shorts, Track Shorts</t>
        </is>
      </c>
    </row>
    <row r="24" ht="80" customHeight="1">
      <c r="A24" s="4">
        <f>IMAGE("https://images.lululemon.com/is/image/lululemon/LM7B83S_0001_1?wid=320&amp;op_usm=0.8",1)</f>
        <v/>
      </c>
      <c r="B24" s="4" t="inlineStr">
        <is>
          <t>Pace Breaker Lined Short 5"</t>
        </is>
      </c>
      <c r="C24" s="4" t="inlineStr">
        <is>
          <t>158023084</t>
        </is>
      </c>
      <c r="D24" s="4" t="inlineStr">
        <is>
          <t>158023084-sinatrablue</t>
        </is>
      </c>
      <c r="E24" s="4" t="inlineStr">
        <is>
          <t>Pace Breaker Short 5" *Lined BLK S</t>
        </is>
      </c>
      <c r="F24" s="4" t="inlineStr">
        <is>
          <t>$78.00</t>
        </is>
      </c>
      <c r="G24" s="4" t="inlineStr">
        <is>
          <t>$39.00</t>
        </is>
      </c>
      <c r="H24" s="4" t="inlineStr">
        <is>
          <t>Sinatra Blue</t>
        </is>
      </c>
      <c r="I24" s="4">
        <f>IMAGE("https://images.lululemon.com/is/image/lululemon/33068",1)</f>
        <v/>
      </c>
      <c r="J24" s="4" t="inlineStr">
        <is>
          <t>M</t>
        </is>
      </c>
      <c r="K24" s="4" t="inlineStr">
        <is>
          <t>129/1025</t>
        </is>
      </c>
      <c r="L24" s="4" t="inlineStr">
        <is>
          <t>Yes</t>
        </is>
      </c>
      <c r="M24" s="4" t="inlineStr">
        <is>
          <t>Athlete backed, performance driven. This elevated version of our most versatile short was designed for maximum comfort and zero distractions.</t>
        </is>
      </c>
      <c r="N24" s="4" t="inlineStr">
        <is>
          <t>Pace-Breaker-Short-5-Lined-Update</t>
        </is>
      </c>
      <c r="O24" s="4" t="inlineStr">
        <is>
          <t>Athletic Shorts, Liner Shorts, Track Shorts</t>
        </is>
      </c>
    </row>
    <row r="25" ht="80" customHeight="1">
      <c r="A25" s="7">
        <f>IMAGE("https://images.lululemon.com/is/image/lululemon/LM7B83S_0001_1?wid=320&amp;op_usm=0.8",1)</f>
        <v/>
      </c>
      <c r="B25" s="7" t="inlineStr">
        <is>
          <t>Pace Breaker Lined Short 5"</t>
        </is>
      </c>
      <c r="C25" s="7" t="inlineStr">
        <is>
          <t>158023058</t>
        </is>
      </c>
      <c r="D25" s="7" t="inlineStr">
        <is>
          <t>158023058-sinatrablue</t>
        </is>
      </c>
      <c r="E25" s="7" t="inlineStr">
        <is>
          <t>Pace Breaker Short 5" *Lined BLK S</t>
        </is>
      </c>
      <c r="F25" s="7" t="inlineStr">
        <is>
          <t>$78.00</t>
        </is>
      </c>
      <c r="G25" s="7" t="inlineStr">
        <is>
          <t>$39.00</t>
        </is>
      </c>
      <c r="H25" s="7" t="inlineStr">
        <is>
          <t>Sinatra Blue</t>
        </is>
      </c>
      <c r="I25" s="7">
        <f>IMAGE("https://images.lululemon.com/is/image/lululemon/33068",1)</f>
        <v/>
      </c>
      <c r="J25" s="7" t="inlineStr">
        <is>
          <t>L</t>
        </is>
      </c>
      <c r="K25" s="7" t="inlineStr">
        <is>
          <t>130/1025</t>
        </is>
      </c>
      <c r="L25" s="7" t="inlineStr">
        <is>
          <t>Yes</t>
        </is>
      </c>
      <c r="M25" s="7" t="inlineStr">
        <is>
          <t>Athlete backed, performance driven. This elevated version of our most versatile short was designed for maximum comfort and zero distractions.</t>
        </is>
      </c>
      <c r="N25" s="7" t="inlineStr">
        <is>
          <t>Pace-Breaker-Short-5-Lined-Update</t>
        </is>
      </c>
      <c r="O25" s="7" t="inlineStr">
        <is>
          <t>Athletic Shorts, Liner Shorts, Track Shorts</t>
        </is>
      </c>
    </row>
    <row r="26" ht="80" customHeight="1">
      <c r="A26" s="4">
        <f>IMAGE("https://images.lululemon.com/is/image/lululemon/LM7B83S_0001_1?wid=320&amp;op_usm=0.8",1)</f>
        <v/>
      </c>
      <c r="B26" s="4" t="inlineStr">
        <is>
          <t>Pace Breaker Lined Short 5"</t>
        </is>
      </c>
      <c r="C26" s="4" t="inlineStr">
        <is>
          <t>158023130</t>
        </is>
      </c>
      <c r="D26" s="4" t="inlineStr">
        <is>
          <t>158023130-sinatrablue</t>
        </is>
      </c>
      <c r="E26" s="4" t="inlineStr">
        <is>
          <t>Pace Breaker Short 5" *Lined BLK S</t>
        </is>
      </c>
      <c r="F26" s="4" t="inlineStr">
        <is>
          <t>$78.00</t>
        </is>
      </c>
      <c r="G26" s="4" t="inlineStr">
        <is>
          <t>$39.00</t>
        </is>
      </c>
      <c r="H26" s="4" t="inlineStr">
        <is>
          <t>Sinatra Blue</t>
        </is>
      </c>
      <c r="I26" s="4">
        <f>IMAGE("https://images.lululemon.com/is/image/lululemon/33068",1)</f>
        <v/>
      </c>
      <c r="J26" s="4" t="inlineStr">
        <is>
          <t>XL</t>
        </is>
      </c>
      <c r="K26" s="4" t="inlineStr">
        <is>
          <t>76/1025</t>
        </is>
      </c>
      <c r="L26" s="4" t="inlineStr">
        <is>
          <t>Yes</t>
        </is>
      </c>
      <c r="M26" s="4" t="inlineStr">
        <is>
          <t>Athlete backed, performance driven. This elevated version of our most versatile short was designed for maximum comfort and zero distractions.</t>
        </is>
      </c>
      <c r="N26" s="4" t="inlineStr">
        <is>
          <t>Pace-Breaker-Short-5-Lined-Update</t>
        </is>
      </c>
      <c r="O26" s="4" t="inlineStr">
        <is>
          <t>Athletic Shorts, Liner Shorts, Track Shorts</t>
        </is>
      </c>
    </row>
    <row r="27" ht="80" customHeight="1">
      <c r="A27" s="5">
        <f>IMAGE("https://images.lululemon.com/is/image/lululemon/LM7B83S_0001_1?wid=320&amp;op_usm=0.8",1)</f>
        <v/>
      </c>
      <c r="B27" s="5" t="inlineStr">
        <is>
          <t>Pace Breaker Lined Short 5"</t>
        </is>
      </c>
      <c r="C27" s="5" t="inlineStr">
        <is>
          <t>158023153</t>
        </is>
      </c>
      <c r="D27" s="5" t="inlineStr">
        <is>
          <t>158023153-sinatrablue</t>
        </is>
      </c>
      <c r="E27" s="5" t="inlineStr">
        <is>
          <t>Pace Breaker Short 5" *Lined BLK S</t>
        </is>
      </c>
      <c r="F27" s="5" t="inlineStr">
        <is>
          <t>$78.00</t>
        </is>
      </c>
      <c r="G27" s="5" t="inlineStr">
        <is>
          <t>$39.00</t>
        </is>
      </c>
      <c r="H27" s="5" t="inlineStr">
        <is>
          <t>Sinatra Blue</t>
        </is>
      </c>
      <c r="I27" s="5">
        <f>IMAGE("https://images.lululemon.com/is/image/lululemon/33068",1)</f>
        <v/>
      </c>
      <c r="J27" s="5" t="inlineStr">
        <is>
          <t>XXL</t>
        </is>
      </c>
      <c r="K27" s="5" t="inlineStr">
        <is>
          <t>19/1025</t>
        </is>
      </c>
      <c r="L27" s="5" t="inlineStr">
        <is>
          <t>Yes</t>
        </is>
      </c>
      <c r="M27" s="5" t="inlineStr">
        <is>
          <t>Athlete backed, performance driven. This elevated version of our most versatile short was designed for maximum comfort and zero distractions.</t>
        </is>
      </c>
      <c r="N27" s="5" t="inlineStr">
        <is>
          <t>Pace-Breaker-Short-5-Lined-Update</t>
        </is>
      </c>
      <c r="O27" s="5" t="inlineStr">
        <is>
          <t>Athletic Shorts, Liner Shorts, Track Shorts</t>
        </is>
      </c>
    </row>
    <row r="28" ht="80" customHeight="1">
      <c r="A28" s="4">
        <f>IMAGE("https://images.lululemon.com/is/image/lululemon/LM4AMYS_0001_1?wid=320&amp;op_usm=0.8",1)</f>
        <v/>
      </c>
      <c r="B28" s="4" t="inlineStr">
        <is>
          <t>Down for It All Vest</t>
        </is>
      </c>
      <c r="C28" s="4" t="inlineStr">
        <is>
          <t>147151678</t>
        </is>
      </c>
      <c r="D28" s="4" t="inlineStr">
        <is>
          <t>147151678-black</t>
        </is>
      </c>
      <c r="E28" s="4" t="inlineStr">
        <is>
          <t>Down for It All Vest BLK S</t>
        </is>
      </c>
      <c r="F28" s="4" t="inlineStr">
        <is>
          <t>$168.00</t>
        </is>
      </c>
      <c r="G28" s="4" t="inlineStr">
        <is>
          <t>$84.00</t>
        </is>
      </c>
      <c r="H28" s="4" t="inlineStr">
        <is>
          <t>Black</t>
        </is>
      </c>
      <c r="I28" s="4">
        <f>IMAGE("https://images.lululemon.com/is/image/lululemon/0001",1)</f>
        <v/>
      </c>
      <c r="J28" s="4" t="inlineStr">
        <is>
          <t>S</t>
        </is>
      </c>
      <c r="K28" s="4" t="inlineStr">
        <is>
          <t>14/286</t>
        </is>
      </c>
      <c r="L28" s="4" t="inlineStr">
        <is>
          <t>Yes</t>
        </is>
      </c>
      <c r="M28" s="4" t="inlineStr">
        <is>
          <t>When temperature drops, this water-resistant vest keeps up. Lightweight goose down helps keep you warm, while stretchy fabric panels let you move with ease.</t>
        </is>
      </c>
      <c r="N28" s="4" t="inlineStr">
        <is>
          <t>Down-For-It-All-Vest-M</t>
        </is>
      </c>
      <c r="O28" s="4" t="inlineStr">
        <is>
          <t>Puffer Jackets, Vests, Athletic Jackets</t>
        </is>
      </c>
    </row>
    <row r="29" ht="80" customHeight="1">
      <c r="A29" s="7">
        <f>IMAGE("https://images.lululemon.com/is/image/lululemon/LM4AMYS_0001_1?wid=320&amp;op_usm=0.8",1)</f>
        <v/>
      </c>
      <c r="B29" s="7" t="inlineStr">
        <is>
          <t>Down for It All Vest</t>
        </is>
      </c>
      <c r="C29" s="7" t="inlineStr">
        <is>
          <t>147151675</t>
        </is>
      </c>
      <c r="D29" s="7" t="inlineStr">
        <is>
          <t>147151675-black</t>
        </is>
      </c>
      <c r="E29" s="7" t="inlineStr">
        <is>
          <t>Down for It All Vest BLK S</t>
        </is>
      </c>
      <c r="F29" s="7" t="inlineStr">
        <is>
          <t>$168.00</t>
        </is>
      </c>
      <c r="G29" s="7" t="inlineStr">
        <is>
          <t>$84.00</t>
        </is>
      </c>
      <c r="H29" s="7" t="inlineStr">
        <is>
          <t>Black</t>
        </is>
      </c>
      <c r="I29" s="7">
        <f>IMAGE("https://images.lululemon.com/is/image/lululemon/0001",1)</f>
        <v/>
      </c>
      <c r="J29" s="7" t="inlineStr">
        <is>
          <t>M</t>
        </is>
      </c>
      <c r="K29" s="7" t="inlineStr">
        <is>
          <t>35/286</t>
        </is>
      </c>
      <c r="L29" s="7" t="inlineStr">
        <is>
          <t>Yes</t>
        </is>
      </c>
      <c r="M29" s="7" t="inlineStr">
        <is>
          <t>When temperature drops, this water-resistant vest keeps up. Lightweight goose down helps keep you warm, while stretchy fabric panels let you move with ease.</t>
        </is>
      </c>
      <c r="N29" s="7" t="inlineStr">
        <is>
          <t>Down-For-It-All-Vest-M</t>
        </is>
      </c>
      <c r="O29" s="7" t="inlineStr">
        <is>
          <t>Puffer Jackets, Vests, Athletic Jackets</t>
        </is>
      </c>
    </row>
    <row r="30" ht="80" customHeight="1">
      <c r="A30" s="4">
        <f>IMAGE("https://images.lululemon.com/is/image/lululemon/LM4AMYS_0001_1?wid=320&amp;op_usm=0.8",1)</f>
        <v/>
      </c>
      <c r="B30" s="4" t="inlineStr">
        <is>
          <t>Down for It All Vest</t>
        </is>
      </c>
      <c r="C30" s="4" t="inlineStr">
        <is>
          <t>147151672</t>
        </is>
      </c>
      <c r="D30" s="4" t="inlineStr">
        <is>
          <t>147151672-black</t>
        </is>
      </c>
      <c r="E30" s="4" t="inlineStr">
        <is>
          <t>Down for It All Vest BLK S</t>
        </is>
      </c>
      <c r="F30" s="4" t="inlineStr">
        <is>
          <t>$168.00</t>
        </is>
      </c>
      <c r="G30" s="4" t="inlineStr">
        <is>
          <t>$84.00</t>
        </is>
      </c>
      <c r="H30" s="4" t="inlineStr">
        <is>
          <t>Black</t>
        </is>
      </c>
      <c r="I30" s="4">
        <f>IMAGE("https://images.lululemon.com/is/image/lululemon/0001",1)</f>
        <v/>
      </c>
      <c r="J30" s="4" t="inlineStr">
        <is>
          <t>L</t>
        </is>
      </c>
      <c r="K30" s="4" t="inlineStr">
        <is>
          <t>67/286</t>
        </is>
      </c>
      <c r="L30" s="4" t="inlineStr">
        <is>
          <t>Yes</t>
        </is>
      </c>
      <c r="M30" s="4" t="inlineStr">
        <is>
          <t>When temperature drops, this water-resistant vest keeps up. Lightweight goose down helps keep you warm, while stretchy fabric panels let you move with ease.</t>
        </is>
      </c>
      <c r="N30" s="4" t="inlineStr">
        <is>
          <t>Down-For-It-All-Vest-M</t>
        </is>
      </c>
      <c r="O30" s="4" t="inlineStr">
        <is>
          <t>Puffer Jackets, Vests, Athletic Jackets</t>
        </is>
      </c>
    </row>
    <row r="31" ht="80" customHeight="1">
      <c r="A31" s="7">
        <f>IMAGE("https://images.lululemon.com/is/image/lululemon/LM4AMYS_0001_1?wid=320&amp;op_usm=0.8",1)</f>
        <v/>
      </c>
      <c r="B31" s="7" t="inlineStr">
        <is>
          <t>Down for It All Vest</t>
        </is>
      </c>
      <c r="C31" s="7" t="inlineStr">
        <is>
          <t>147151681</t>
        </is>
      </c>
      <c r="D31" s="7" t="inlineStr">
        <is>
          <t>147151681-black</t>
        </is>
      </c>
      <c r="E31" s="7" t="inlineStr">
        <is>
          <t>Down for It All Vest BLK S</t>
        </is>
      </c>
      <c r="F31" s="7" t="inlineStr">
        <is>
          <t>$168.00</t>
        </is>
      </c>
      <c r="G31" s="7" t="inlineStr">
        <is>
          <t>$84.00</t>
        </is>
      </c>
      <c r="H31" s="7" t="inlineStr">
        <is>
          <t>Black</t>
        </is>
      </c>
      <c r="I31" s="7">
        <f>IMAGE("https://images.lululemon.com/is/image/lululemon/0001",1)</f>
        <v/>
      </c>
      <c r="J31" s="7" t="inlineStr">
        <is>
          <t>XL</t>
        </is>
      </c>
      <c r="K31" s="7" t="inlineStr">
        <is>
          <t>35/286</t>
        </is>
      </c>
      <c r="L31" s="7" t="inlineStr">
        <is>
          <t>Yes</t>
        </is>
      </c>
      <c r="M31" s="7" t="inlineStr">
        <is>
          <t>When temperature drops, this water-resistant vest keeps up. Lightweight goose down helps keep you warm, while stretchy fabric panels let you move with ease.</t>
        </is>
      </c>
      <c r="N31" s="7" t="inlineStr">
        <is>
          <t>Down-For-It-All-Vest-M</t>
        </is>
      </c>
      <c r="O31" s="7" t="inlineStr">
        <is>
          <t>Puffer Jackets, Vests, Athletic Jackets</t>
        </is>
      </c>
    </row>
    <row r="32" ht="80" customHeight="1">
      <c r="A32" s="4">
        <f>IMAGE("https://images.lululemon.com/is/image/lululemon/LM4AMYS_0001_1?wid=320&amp;op_usm=0.8",1)</f>
        <v/>
      </c>
      <c r="B32" s="4" t="inlineStr">
        <is>
          <t>Down for It All Vest</t>
        </is>
      </c>
      <c r="C32" s="4" t="inlineStr">
        <is>
          <t>147151687</t>
        </is>
      </c>
      <c r="D32" s="4" t="inlineStr">
        <is>
          <t>147151687-black</t>
        </is>
      </c>
      <c r="E32" s="4" t="inlineStr">
        <is>
          <t>Down for It All Vest BLK S</t>
        </is>
      </c>
      <c r="F32" s="4" t="inlineStr">
        <is>
          <t>$168.00</t>
        </is>
      </c>
      <c r="G32" s="4" t="inlineStr">
        <is>
          <t>$84.00</t>
        </is>
      </c>
      <c r="H32" s="4" t="inlineStr">
        <is>
          <t>Black</t>
        </is>
      </c>
      <c r="I32" s="4">
        <f>IMAGE("https://images.lululemon.com/is/image/lululemon/0001",1)</f>
        <v/>
      </c>
      <c r="J32" s="4" t="inlineStr">
        <is>
          <t>XXL</t>
        </is>
      </c>
      <c r="K32" s="4" t="inlineStr">
        <is>
          <t>11/286</t>
        </is>
      </c>
      <c r="L32" s="4" t="inlineStr">
        <is>
          <t>Yes</t>
        </is>
      </c>
      <c r="M32" s="4" t="inlineStr">
        <is>
          <t>When temperature drops, this water-resistant vest keeps up. Lightweight goose down helps keep you warm, while stretchy fabric panels let you move with ease.</t>
        </is>
      </c>
      <c r="N32" s="4" t="inlineStr">
        <is>
          <t>Down-For-It-All-Vest-M</t>
        </is>
      </c>
      <c r="O32" s="4" t="inlineStr">
        <is>
          <t>Puffer Jackets, Vests, Athletic Jackets</t>
        </is>
      </c>
    </row>
    <row r="33" ht="80" customHeight="1">
      <c r="A33" s="7">
        <f>IMAGE("https://images.lululemon.com/is/image/lululemon/LM4AMYS_0001_1?wid=320&amp;op_usm=0.8",1)</f>
        <v/>
      </c>
      <c r="B33" s="7" t="inlineStr">
        <is>
          <t>Down for It All Vest</t>
        </is>
      </c>
      <c r="C33" s="7" t="inlineStr">
        <is>
          <t>150050495</t>
        </is>
      </c>
      <c r="D33" s="7" t="inlineStr">
        <is>
          <t>150050495-carbondust</t>
        </is>
      </c>
      <c r="E33" s="7" t="inlineStr">
        <is>
          <t>Down for It All Vest BLK S</t>
        </is>
      </c>
      <c r="F33" s="7" t="inlineStr">
        <is>
          <t>$168.00</t>
        </is>
      </c>
      <c r="G33" s="7" t="inlineStr">
        <is>
          <t>$84.00</t>
        </is>
      </c>
      <c r="H33" s="7" t="inlineStr">
        <is>
          <t>Carbon Dust</t>
        </is>
      </c>
      <c r="I33" s="7">
        <f>IMAGE("https://images.lululemon.com/is/image/lululemon/35488",1)</f>
        <v/>
      </c>
      <c r="J33" s="7" t="inlineStr">
        <is>
          <t>S</t>
        </is>
      </c>
      <c r="K33" s="7" t="inlineStr">
        <is>
          <t>8/286</t>
        </is>
      </c>
      <c r="L33" s="7" t="inlineStr">
        <is>
          <t>Yes</t>
        </is>
      </c>
      <c r="M33" s="7" t="inlineStr">
        <is>
          <t>When temperature drops, this water-resistant vest keeps up. Lightweight goose down helps keep you warm, while stretchy fabric panels let you move with ease.</t>
        </is>
      </c>
      <c r="N33" s="7" t="inlineStr">
        <is>
          <t>Down-For-It-All-Vest-M</t>
        </is>
      </c>
      <c r="O33" s="7" t="inlineStr">
        <is>
          <t>Puffer Jackets, Vests, Athletic Jackets</t>
        </is>
      </c>
    </row>
    <row r="34" ht="80" customHeight="1">
      <c r="A34" s="4">
        <f>IMAGE("https://images.lululemon.com/is/image/lululemon/LM4AMYS_0001_1?wid=320&amp;op_usm=0.8",1)</f>
        <v/>
      </c>
      <c r="B34" s="4" t="inlineStr">
        <is>
          <t>Down for It All Vest</t>
        </is>
      </c>
      <c r="C34" s="4" t="inlineStr">
        <is>
          <t>150050489</t>
        </is>
      </c>
      <c r="D34" s="4" t="inlineStr">
        <is>
          <t>150050489-carbondust</t>
        </is>
      </c>
      <c r="E34" s="4" t="inlineStr">
        <is>
          <t>Down for It All Vest BLK S</t>
        </is>
      </c>
      <c r="F34" s="4" t="inlineStr">
        <is>
          <t>$168.00</t>
        </is>
      </c>
      <c r="G34" s="4" t="inlineStr">
        <is>
          <t>$84.00</t>
        </is>
      </c>
      <c r="H34" s="4" t="inlineStr">
        <is>
          <t>Carbon Dust</t>
        </is>
      </c>
      <c r="I34" s="4">
        <f>IMAGE("https://images.lululemon.com/is/image/lululemon/35488",1)</f>
        <v/>
      </c>
      <c r="J34" s="4" t="inlineStr">
        <is>
          <t>M</t>
        </is>
      </c>
      <c r="K34" s="4" t="inlineStr">
        <is>
          <t>31/286</t>
        </is>
      </c>
      <c r="L34" s="4" t="inlineStr">
        <is>
          <t>Yes</t>
        </is>
      </c>
      <c r="M34" s="4" t="inlineStr">
        <is>
          <t>When temperature drops, this water-resistant vest keeps up. Lightweight goose down helps keep you warm, while stretchy fabric panels let you move with ease.</t>
        </is>
      </c>
      <c r="N34" s="4" t="inlineStr">
        <is>
          <t>Down-For-It-All-Vest-M</t>
        </is>
      </c>
      <c r="O34" s="4" t="inlineStr">
        <is>
          <t>Puffer Jackets, Vests, Athletic Jackets</t>
        </is>
      </c>
    </row>
    <row r="35" ht="80" customHeight="1">
      <c r="A35" s="7">
        <f>IMAGE("https://images.lululemon.com/is/image/lululemon/LM4AMYS_0001_1?wid=320&amp;op_usm=0.8",1)</f>
        <v/>
      </c>
      <c r="B35" s="7" t="inlineStr">
        <is>
          <t>Down for It All Vest</t>
        </is>
      </c>
      <c r="C35" s="7" t="inlineStr">
        <is>
          <t>150050480</t>
        </is>
      </c>
      <c r="D35" s="7" t="inlineStr">
        <is>
          <t>150050480-carbondust</t>
        </is>
      </c>
      <c r="E35" s="7" t="inlineStr">
        <is>
          <t>Down for It All Vest BLK S</t>
        </is>
      </c>
      <c r="F35" s="7" t="inlineStr">
        <is>
          <t>$168.00</t>
        </is>
      </c>
      <c r="G35" s="7" t="inlineStr">
        <is>
          <t>$84.00</t>
        </is>
      </c>
      <c r="H35" s="7" t="inlineStr">
        <is>
          <t>Carbon Dust</t>
        </is>
      </c>
      <c r="I35" s="7">
        <f>IMAGE("https://images.lululemon.com/is/image/lululemon/35488",1)</f>
        <v/>
      </c>
      <c r="J35" s="7" t="inlineStr">
        <is>
          <t>L</t>
        </is>
      </c>
      <c r="K35" s="7" t="inlineStr">
        <is>
          <t>47/286</t>
        </is>
      </c>
      <c r="L35" s="7" t="inlineStr">
        <is>
          <t>Yes</t>
        </is>
      </c>
      <c r="M35" s="7" t="inlineStr">
        <is>
          <t>When temperature drops, this water-resistant vest keeps up. Lightweight goose down helps keep you warm, while stretchy fabric panels let you move with ease.</t>
        </is>
      </c>
      <c r="N35" s="7" t="inlineStr">
        <is>
          <t>Down-For-It-All-Vest-M</t>
        </is>
      </c>
      <c r="O35" s="7" t="inlineStr">
        <is>
          <t>Puffer Jackets, Vests, Athletic Jackets</t>
        </is>
      </c>
    </row>
    <row r="36" ht="80" customHeight="1">
      <c r="A36" s="4">
        <f>IMAGE("https://images.lululemon.com/is/image/lululemon/LM4AMYS_0001_1?wid=320&amp;op_usm=0.8",1)</f>
        <v/>
      </c>
      <c r="B36" s="4" t="inlineStr">
        <is>
          <t>Down for It All Vest</t>
        </is>
      </c>
      <c r="C36" s="4" t="inlineStr">
        <is>
          <t>150050503</t>
        </is>
      </c>
      <c r="D36" s="4" t="inlineStr">
        <is>
          <t>150050503-carbondust</t>
        </is>
      </c>
      <c r="E36" s="4" t="inlineStr">
        <is>
          <t>Down for It All Vest BLK S</t>
        </is>
      </c>
      <c r="F36" s="4" t="inlineStr">
        <is>
          <t>$168.00</t>
        </is>
      </c>
      <c r="G36" s="4" t="inlineStr">
        <is>
          <t>$84.00</t>
        </is>
      </c>
      <c r="H36" s="4" t="inlineStr">
        <is>
          <t>Carbon Dust</t>
        </is>
      </c>
      <c r="I36" s="4">
        <f>IMAGE("https://images.lululemon.com/is/image/lululemon/35488",1)</f>
        <v/>
      </c>
      <c r="J36" s="4" t="inlineStr">
        <is>
          <t>XL</t>
        </is>
      </c>
      <c r="K36" s="4" t="inlineStr">
        <is>
          <t>29/286</t>
        </is>
      </c>
      <c r="L36" s="4" t="inlineStr">
        <is>
          <t>Yes</t>
        </is>
      </c>
      <c r="M36" s="4" t="inlineStr">
        <is>
          <t>When temperature drops, this water-resistant vest keeps up. Lightweight goose down helps keep you warm, while stretchy fabric panels let you move with ease.</t>
        </is>
      </c>
      <c r="N36" s="4" t="inlineStr">
        <is>
          <t>Down-For-It-All-Vest-M</t>
        </is>
      </c>
      <c r="O36" s="4" t="inlineStr">
        <is>
          <t>Puffer Jackets, Vests, Athletic Jackets</t>
        </is>
      </c>
    </row>
    <row r="37" ht="80" customHeight="1">
      <c r="A37" s="5">
        <f>IMAGE("https://images.lululemon.com/is/image/lululemon/LM4AMYS_0001_1?wid=320&amp;op_usm=0.8",1)</f>
        <v/>
      </c>
      <c r="B37" s="5" t="inlineStr">
        <is>
          <t>Down for It All Vest</t>
        </is>
      </c>
      <c r="C37" s="5" t="inlineStr">
        <is>
          <t>150050522</t>
        </is>
      </c>
      <c r="D37" s="5" t="inlineStr">
        <is>
          <t>150050522-carbondust</t>
        </is>
      </c>
      <c r="E37" s="5" t="inlineStr">
        <is>
          <t>Down for It All Vest BLK S</t>
        </is>
      </c>
      <c r="F37" s="5" t="inlineStr">
        <is>
          <t>$168.00</t>
        </is>
      </c>
      <c r="G37" s="5" t="inlineStr">
        <is>
          <t>$84.00</t>
        </is>
      </c>
      <c r="H37" s="5" t="inlineStr">
        <is>
          <t>Carbon Dust</t>
        </is>
      </c>
      <c r="I37" s="5">
        <f>IMAGE("https://images.lululemon.com/is/image/lululemon/35488",1)</f>
        <v/>
      </c>
      <c r="J37" s="5" t="inlineStr">
        <is>
          <t>XXL</t>
        </is>
      </c>
      <c r="K37" s="5" t="inlineStr">
        <is>
          <t>9/286</t>
        </is>
      </c>
      <c r="L37" s="5" t="inlineStr">
        <is>
          <t>Yes</t>
        </is>
      </c>
      <c r="M37" s="5" t="inlineStr">
        <is>
          <t>When temperature drops, this water-resistant vest keeps up. Lightweight goose down helps keep you warm, while stretchy fabric panels let you move with ease.</t>
        </is>
      </c>
      <c r="N37" s="5" t="inlineStr">
        <is>
          <t>Down-For-It-All-Vest-M</t>
        </is>
      </c>
      <c r="O37" s="5" t="inlineStr">
        <is>
          <t>Puffer Jackets, Vests, Athletic Jackets</t>
        </is>
      </c>
    </row>
    <row r="38" ht="80" customHeight="1">
      <c r="A38" s="4">
        <f>IMAGE("https://images.lululemon.com/is/image/lululemon/LM7B80S_0001_1?wid=320&amp;op_usm=0.8",1)</f>
        <v/>
      </c>
      <c r="B38" s="4" t="inlineStr">
        <is>
          <t>Pace Breaker Linerless Short 7"</t>
        </is>
      </c>
      <c r="C38" s="4" t="inlineStr">
        <is>
          <t>158027412</t>
        </is>
      </c>
      <c r="D38" s="4" t="inlineStr">
        <is>
          <t>158027412-indochineblue</t>
        </is>
      </c>
      <c r="E38" s="4" t="inlineStr">
        <is>
          <t>Pace Breaker Short 7" *LL INCB XS</t>
        </is>
      </c>
      <c r="F38" s="4" t="inlineStr">
        <is>
          <t>$68.00</t>
        </is>
      </c>
      <c r="G38" s="4" t="inlineStr">
        <is>
          <t>$34.00</t>
        </is>
      </c>
      <c r="H38" s="4" t="inlineStr">
        <is>
          <t>Indochine Blue</t>
        </is>
      </c>
      <c r="I38" s="4">
        <f>IMAGE("https://images.lululemon.com/is/image/lululemon/28022",1)</f>
        <v/>
      </c>
      <c r="J38" s="4" t="inlineStr">
        <is>
          <t>XS</t>
        </is>
      </c>
      <c r="K38" s="4" t="inlineStr">
        <is>
          <t>1/5203</t>
        </is>
      </c>
      <c r="L38" s="4" t="inlineStr">
        <is>
          <t>Yes</t>
        </is>
      </c>
      <c r="M38" s="4" t="inlineStr">
        <is>
          <t>Athlete backed, performance driven. This elevated version of our most versatile short was designed for maximum comfort and zero distractions.</t>
        </is>
      </c>
      <c r="N38" s="4" t="inlineStr">
        <is>
          <t>Pace-Breaker-Short-Linerless-7-Update</t>
        </is>
      </c>
      <c r="O38" s="4" t="inlineStr">
        <is>
          <t>Athletic Shorts</t>
        </is>
      </c>
    </row>
    <row r="39" ht="80" customHeight="1">
      <c r="A39" s="7">
        <f>IMAGE("https://images.lululemon.com/is/image/lululemon/LM7B80S_0001_1?wid=320&amp;op_usm=0.8",1)</f>
        <v/>
      </c>
      <c r="B39" s="7" t="inlineStr">
        <is>
          <t>Pace Breaker Linerless Short 7"</t>
        </is>
      </c>
      <c r="C39" s="7" t="inlineStr">
        <is>
          <t>158027376</t>
        </is>
      </c>
      <c r="D39" s="7" t="inlineStr">
        <is>
          <t>158027376-indochineblue</t>
        </is>
      </c>
      <c r="E39" s="7" t="inlineStr">
        <is>
          <t>Pace Breaker Short 7" *LL INCB XS</t>
        </is>
      </c>
      <c r="F39" s="7" t="inlineStr">
        <is>
          <t>$68.00</t>
        </is>
      </c>
      <c r="G39" s="7" t="inlineStr">
        <is>
          <t>$34.00</t>
        </is>
      </c>
      <c r="H39" s="7" t="inlineStr">
        <is>
          <t>Indochine Blue</t>
        </is>
      </c>
      <c r="I39" s="7">
        <f>IMAGE("https://images.lululemon.com/is/image/lululemon/28022",1)</f>
        <v/>
      </c>
      <c r="J39" s="7" t="inlineStr">
        <is>
          <t>S</t>
        </is>
      </c>
      <c r="K39" s="7" t="inlineStr">
        <is>
          <t>95/5203</t>
        </is>
      </c>
      <c r="L39" s="7" t="inlineStr">
        <is>
          <t>Yes</t>
        </is>
      </c>
      <c r="M39" s="7" t="inlineStr">
        <is>
          <t>Athlete backed, performance driven. This elevated version of our most versatile short was designed for maximum comfort and zero distractions.</t>
        </is>
      </c>
      <c r="N39" s="7" t="inlineStr">
        <is>
          <t>Pace-Breaker-Short-Linerless-7-Update</t>
        </is>
      </c>
      <c r="O39" s="7" t="inlineStr">
        <is>
          <t>Athletic Shorts</t>
        </is>
      </c>
    </row>
    <row r="40" ht="80" customHeight="1">
      <c r="A40" s="4">
        <f>IMAGE("https://images.lululemon.com/is/image/lululemon/LM7B80S_0001_1?wid=320&amp;op_usm=0.8",1)</f>
        <v/>
      </c>
      <c r="B40" s="4" t="inlineStr">
        <is>
          <t>Pace Breaker Linerless Short 7"</t>
        </is>
      </c>
      <c r="C40" s="4" t="inlineStr">
        <is>
          <t>158027361</t>
        </is>
      </c>
      <c r="D40" s="4" t="inlineStr">
        <is>
          <t>158027361-indochineblue</t>
        </is>
      </c>
      <c r="E40" s="4" t="inlineStr">
        <is>
          <t>Pace Breaker Short 7" *LL INCB XS</t>
        </is>
      </c>
      <c r="F40" s="4" t="inlineStr">
        <is>
          <t>$68.00</t>
        </is>
      </c>
      <c r="G40" s="4" t="inlineStr">
        <is>
          <t>$34.00</t>
        </is>
      </c>
      <c r="H40" s="4" t="inlineStr">
        <is>
          <t>Indochine Blue</t>
        </is>
      </c>
      <c r="I40" s="4">
        <f>IMAGE("https://images.lululemon.com/is/image/lululemon/28022",1)</f>
        <v/>
      </c>
      <c r="J40" s="4" t="inlineStr">
        <is>
          <t>M</t>
        </is>
      </c>
      <c r="K40" s="4" t="inlineStr">
        <is>
          <t>257/5203</t>
        </is>
      </c>
      <c r="L40" s="4" t="inlineStr">
        <is>
          <t>Yes</t>
        </is>
      </c>
      <c r="M40" s="4" t="inlineStr">
        <is>
          <t>Athlete backed, performance driven. This elevated version of our most versatile short was designed for maximum comfort and zero distractions.</t>
        </is>
      </c>
      <c r="N40" s="4" t="inlineStr">
        <is>
          <t>Pace-Breaker-Short-Linerless-7-Update</t>
        </is>
      </c>
      <c r="O40" s="4" t="inlineStr">
        <is>
          <t>Athletic Shorts</t>
        </is>
      </c>
    </row>
    <row r="41" ht="80" customHeight="1">
      <c r="A41" s="7">
        <f>IMAGE("https://images.lululemon.com/is/image/lululemon/LM7B80S_0001_1?wid=320&amp;op_usm=0.8",1)</f>
        <v/>
      </c>
      <c r="B41" s="7" t="inlineStr">
        <is>
          <t>Pace Breaker Linerless Short 7"</t>
        </is>
      </c>
      <c r="C41" s="7" t="inlineStr">
        <is>
          <t>158027340</t>
        </is>
      </c>
      <c r="D41" s="7" t="inlineStr">
        <is>
          <t>158027340-indochineblue</t>
        </is>
      </c>
      <c r="E41" s="7" t="inlineStr">
        <is>
          <t>Pace Breaker Short 7" *LL INCB XS</t>
        </is>
      </c>
      <c r="F41" s="7" t="inlineStr">
        <is>
          <t>$68.00</t>
        </is>
      </c>
      <c r="G41" s="7" t="inlineStr">
        <is>
          <t>$34.00</t>
        </is>
      </c>
      <c r="H41" s="7" t="inlineStr">
        <is>
          <t>Indochine Blue</t>
        </is>
      </c>
      <c r="I41" s="7">
        <f>IMAGE("https://images.lululemon.com/is/image/lululemon/28022",1)</f>
        <v/>
      </c>
      <c r="J41" s="7" t="inlineStr">
        <is>
          <t>L</t>
        </is>
      </c>
      <c r="K41" s="7" t="inlineStr">
        <is>
          <t>257/5203</t>
        </is>
      </c>
      <c r="L41" s="7" t="inlineStr">
        <is>
          <t>Yes</t>
        </is>
      </c>
      <c r="M41" s="7" t="inlineStr">
        <is>
          <t>Athlete backed, performance driven. This elevated version of our most versatile short was designed for maximum comfort and zero distractions.</t>
        </is>
      </c>
      <c r="N41" s="7" t="inlineStr">
        <is>
          <t>Pace-Breaker-Short-Linerless-7-Update</t>
        </is>
      </c>
      <c r="O41" s="7" t="inlineStr">
        <is>
          <t>Athletic Shorts</t>
        </is>
      </c>
    </row>
    <row r="42" ht="80" customHeight="1">
      <c r="A42" s="4">
        <f>IMAGE("https://images.lululemon.com/is/image/lululemon/LM7B80S_0001_1?wid=320&amp;op_usm=0.8",1)</f>
        <v/>
      </c>
      <c r="B42" s="4" t="inlineStr">
        <is>
          <t>Pace Breaker Linerless Short 7"</t>
        </is>
      </c>
      <c r="C42" s="4" t="inlineStr">
        <is>
          <t>158027395</t>
        </is>
      </c>
      <c r="D42" s="4" t="inlineStr">
        <is>
          <t>158027395-indochineblue</t>
        </is>
      </c>
      <c r="E42" s="4" t="inlineStr">
        <is>
          <t>Pace Breaker Short 7" *LL INCB XS</t>
        </is>
      </c>
      <c r="F42" s="4" t="inlineStr">
        <is>
          <t>$68.00</t>
        </is>
      </c>
      <c r="G42" s="4" t="inlineStr">
        <is>
          <t>$34.00</t>
        </is>
      </c>
      <c r="H42" s="4" t="inlineStr">
        <is>
          <t>Indochine Blue</t>
        </is>
      </c>
      <c r="I42" s="4">
        <f>IMAGE("https://images.lululemon.com/is/image/lululemon/28022",1)</f>
        <v/>
      </c>
      <c r="J42" s="4" t="inlineStr">
        <is>
          <t>XL</t>
        </is>
      </c>
      <c r="K42" s="4" t="inlineStr">
        <is>
          <t>148/5203</t>
        </is>
      </c>
      <c r="L42" s="4" t="inlineStr">
        <is>
          <t>Yes</t>
        </is>
      </c>
      <c r="M42" s="4" t="inlineStr">
        <is>
          <t>Athlete backed, performance driven. This elevated version of our most versatile short was designed for maximum comfort and zero distractions.</t>
        </is>
      </c>
      <c r="N42" s="4" t="inlineStr">
        <is>
          <t>Pace-Breaker-Short-Linerless-7-Update</t>
        </is>
      </c>
      <c r="O42" s="4" t="inlineStr">
        <is>
          <t>Athletic Shorts</t>
        </is>
      </c>
    </row>
    <row r="43" ht="80" customHeight="1">
      <c r="A43" s="7">
        <f>IMAGE("https://images.lululemon.com/is/image/lululemon/LM7B80S_0001_1?wid=320&amp;op_usm=0.8",1)</f>
        <v/>
      </c>
      <c r="B43" s="7" t="inlineStr">
        <is>
          <t>Pace Breaker Linerless Short 7"</t>
        </is>
      </c>
      <c r="C43" s="7" t="inlineStr">
        <is>
          <t>158027431</t>
        </is>
      </c>
      <c r="D43" s="7" t="inlineStr">
        <is>
          <t>158027431-indochineblue</t>
        </is>
      </c>
      <c r="E43" s="7" t="inlineStr">
        <is>
          <t>Pace Breaker Short 7" *LL INCB XS</t>
        </is>
      </c>
      <c r="F43" s="7" t="inlineStr">
        <is>
          <t>$68.00</t>
        </is>
      </c>
      <c r="G43" s="7" t="inlineStr">
        <is>
          <t>$34.00</t>
        </is>
      </c>
      <c r="H43" s="7" t="inlineStr">
        <is>
          <t>Indochine Blue</t>
        </is>
      </c>
      <c r="I43" s="7">
        <f>IMAGE("https://images.lululemon.com/is/image/lululemon/28022",1)</f>
        <v/>
      </c>
      <c r="J43" s="7" t="inlineStr">
        <is>
          <t>XXL</t>
        </is>
      </c>
      <c r="K43" s="7" t="inlineStr">
        <is>
          <t>37/5203</t>
        </is>
      </c>
      <c r="L43" s="7" t="inlineStr">
        <is>
          <t>Yes</t>
        </is>
      </c>
      <c r="M43" s="7" t="inlineStr">
        <is>
          <t>Athlete backed, performance driven. This elevated version of our most versatile short was designed for maximum comfort and zero distractions.</t>
        </is>
      </c>
      <c r="N43" s="7" t="inlineStr">
        <is>
          <t>Pace-Breaker-Short-Linerless-7-Update</t>
        </is>
      </c>
      <c r="O43" s="7" t="inlineStr">
        <is>
          <t>Athletic Shorts</t>
        </is>
      </c>
    </row>
    <row r="44" ht="80" customHeight="1">
      <c r="A44" s="4">
        <f>IMAGE("https://images.lululemon.com/is/image/lululemon/LM7B80S_0001_1?wid=320&amp;op_usm=0.8",1)</f>
        <v/>
      </c>
      <c r="B44" s="4" t="inlineStr">
        <is>
          <t>Pace Breaker Linerless Short 7"</t>
        </is>
      </c>
      <c r="C44" s="4" t="inlineStr">
        <is>
          <t>158023237</t>
        </is>
      </c>
      <c r="D44" s="4" t="inlineStr">
        <is>
          <t>158023237-speckledheatherplummulti</t>
        </is>
      </c>
      <c r="E44" s="4" t="inlineStr">
        <is>
          <t>Pace Breaker Short 7" *LL INCB XS</t>
        </is>
      </c>
      <c r="F44" s="4" t="inlineStr">
        <is>
          <t>$68.00</t>
        </is>
      </c>
      <c r="G44" s="4" t="inlineStr">
        <is>
          <t>$34.00</t>
        </is>
      </c>
      <c r="H44" s="4" t="inlineStr">
        <is>
          <t>Speckled Heather Plum Multi</t>
        </is>
      </c>
      <c r="I44" s="4">
        <f>IMAGE("https://images.lululemon.com/is/image/lululemon/73339",1)</f>
        <v/>
      </c>
      <c r="J44" s="4" t="inlineStr">
        <is>
          <t>XS</t>
        </is>
      </c>
      <c r="K44" s="4" t="inlineStr">
        <is>
          <t>45/5203</t>
        </is>
      </c>
      <c r="L44" s="4" t="inlineStr">
        <is>
          <t>Yes</t>
        </is>
      </c>
      <c r="M44" s="4" t="inlineStr">
        <is>
          <t>Athlete backed, performance driven. This elevated version of our most versatile short was designed for maximum comfort and zero distractions.</t>
        </is>
      </c>
      <c r="N44" s="4" t="inlineStr">
        <is>
          <t>Pace-Breaker-Short-Linerless-7-Update</t>
        </is>
      </c>
      <c r="O44" s="4" t="inlineStr">
        <is>
          <t>Athletic Shorts</t>
        </is>
      </c>
    </row>
    <row r="45" ht="80" customHeight="1">
      <c r="A45" s="7">
        <f>IMAGE("https://images.lululemon.com/is/image/lululemon/LM7B80S_0001_1?wid=320&amp;op_usm=0.8",1)</f>
        <v/>
      </c>
      <c r="B45" s="7" t="inlineStr">
        <is>
          <t>Pace Breaker Linerless Short 7"</t>
        </is>
      </c>
      <c r="C45" s="7" t="inlineStr">
        <is>
          <t>158023201</t>
        </is>
      </c>
      <c r="D45" s="7" t="inlineStr">
        <is>
          <t>158023201-speckledheatherplummulti</t>
        </is>
      </c>
      <c r="E45" s="7" t="inlineStr">
        <is>
          <t>Pace Breaker Short 7" *LL INCB XS</t>
        </is>
      </c>
      <c r="F45" s="7" t="inlineStr">
        <is>
          <t>$68.00</t>
        </is>
      </c>
      <c r="G45" s="7" t="inlineStr">
        <is>
          <t>$34.00</t>
        </is>
      </c>
      <c r="H45" s="7" t="inlineStr">
        <is>
          <t>Speckled Heather Plum Multi</t>
        </is>
      </c>
      <c r="I45" s="7">
        <f>IMAGE("https://images.lululemon.com/is/image/lululemon/73339",1)</f>
        <v/>
      </c>
      <c r="J45" s="7" t="inlineStr">
        <is>
          <t>S</t>
        </is>
      </c>
      <c r="K45" s="7" t="inlineStr">
        <is>
          <t>120/5203</t>
        </is>
      </c>
      <c r="L45" s="7" t="inlineStr">
        <is>
          <t>Yes</t>
        </is>
      </c>
      <c r="M45" s="7" t="inlineStr">
        <is>
          <t>Athlete backed, performance driven. This elevated version of our most versatile short was designed for maximum comfort and zero distractions.</t>
        </is>
      </c>
      <c r="N45" s="7" t="inlineStr">
        <is>
          <t>Pace-Breaker-Short-Linerless-7-Update</t>
        </is>
      </c>
      <c r="O45" s="7" t="inlineStr">
        <is>
          <t>Athletic Shorts</t>
        </is>
      </c>
    </row>
    <row r="46" ht="80" customHeight="1">
      <c r="A46" s="4">
        <f>IMAGE("https://images.lululemon.com/is/image/lululemon/LM7B80S_0001_1?wid=320&amp;op_usm=0.8",1)</f>
        <v/>
      </c>
      <c r="B46" s="4" t="inlineStr">
        <is>
          <t>Pace Breaker Linerless Short 7"</t>
        </is>
      </c>
      <c r="C46" s="4" t="inlineStr">
        <is>
          <t>158023190</t>
        </is>
      </c>
      <c r="D46" s="4" t="inlineStr">
        <is>
          <t>158023190-speckledheatherplummulti</t>
        </is>
      </c>
      <c r="E46" s="4" t="inlineStr">
        <is>
          <t>Pace Breaker Short 7" *LL INCB XS</t>
        </is>
      </c>
      <c r="F46" s="4" t="inlineStr">
        <is>
          <t>$68.00</t>
        </is>
      </c>
      <c r="G46" s="4" t="inlineStr">
        <is>
          <t>$34.00</t>
        </is>
      </c>
      <c r="H46" s="4" t="inlineStr">
        <is>
          <t>Speckled Heather Plum Multi</t>
        </is>
      </c>
      <c r="I46" s="4">
        <f>IMAGE("https://images.lululemon.com/is/image/lululemon/73339",1)</f>
        <v/>
      </c>
      <c r="J46" s="4" t="inlineStr">
        <is>
          <t>M</t>
        </is>
      </c>
      <c r="K46" s="4" t="inlineStr">
        <is>
          <t>120/5203</t>
        </is>
      </c>
      <c r="L46" s="4" t="inlineStr">
        <is>
          <t>Yes</t>
        </is>
      </c>
      <c r="M46" s="4" t="inlineStr">
        <is>
          <t>Athlete backed, performance driven. This elevated version of our most versatile short was designed for maximum comfort and zero distractions.</t>
        </is>
      </c>
      <c r="N46" s="4" t="inlineStr">
        <is>
          <t>Pace-Breaker-Short-Linerless-7-Update</t>
        </is>
      </c>
      <c r="O46" s="4" t="inlineStr">
        <is>
          <t>Athletic Shorts</t>
        </is>
      </c>
    </row>
    <row r="47" ht="80" customHeight="1">
      <c r="A47" s="7">
        <f>IMAGE("https://images.lululemon.com/is/image/lululemon/LM7B80S_0001_1?wid=320&amp;op_usm=0.8",1)</f>
        <v/>
      </c>
      <c r="B47" s="7" t="inlineStr">
        <is>
          <t>Pace Breaker Linerless Short 7"</t>
        </is>
      </c>
      <c r="C47" s="7" t="inlineStr">
        <is>
          <t>158023170</t>
        </is>
      </c>
      <c r="D47" s="7" t="inlineStr">
        <is>
          <t>158023170-speckledheatherplummulti</t>
        </is>
      </c>
      <c r="E47" s="7" t="inlineStr">
        <is>
          <t>Pace Breaker Short 7" *LL INCB XS</t>
        </is>
      </c>
      <c r="F47" s="7" t="inlineStr">
        <is>
          <t>$68.00</t>
        </is>
      </c>
      <c r="G47" s="7" t="inlineStr">
        <is>
          <t>$34.00</t>
        </is>
      </c>
      <c r="H47" s="7" t="inlineStr">
        <is>
          <t>Speckled Heather Plum Multi</t>
        </is>
      </c>
      <c r="I47" s="7">
        <f>IMAGE("https://images.lululemon.com/is/image/lululemon/73339",1)</f>
        <v/>
      </c>
      <c r="J47" s="7" t="inlineStr">
        <is>
          <t>L</t>
        </is>
      </c>
      <c r="K47" s="7" t="inlineStr">
        <is>
          <t>66/5203</t>
        </is>
      </c>
      <c r="L47" s="7" t="inlineStr">
        <is>
          <t>Yes</t>
        </is>
      </c>
      <c r="M47" s="7" t="inlineStr">
        <is>
          <t>Athlete backed, performance driven. This elevated version of our most versatile short was designed for maximum comfort and zero distractions.</t>
        </is>
      </c>
      <c r="N47" s="7" t="inlineStr">
        <is>
          <t>Pace-Breaker-Short-Linerless-7-Update</t>
        </is>
      </c>
      <c r="O47" s="7" t="inlineStr">
        <is>
          <t>Athletic Shorts</t>
        </is>
      </c>
    </row>
    <row r="48" ht="80" customHeight="1">
      <c r="A48" s="4">
        <f>IMAGE("https://images.lululemon.com/is/image/lululemon/LM7B80S_0001_1?wid=320&amp;op_usm=0.8",1)</f>
        <v/>
      </c>
      <c r="B48" s="4" t="inlineStr">
        <is>
          <t>Pace Breaker Linerless Short 7"</t>
        </is>
      </c>
      <c r="C48" s="4" t="inlineStr">
        <is>
          <t>158023221</t>
        </is>
      </c>
      <c r="D48" s="4" t="inlineStr">
        <is>
          <t>158023221-speckledheatherplummulti</t>
        </is>
      </c>
      <c r="E48" s="4" t="inlineStr">
        <is>
          <t>Pace Breaker Short 7" *LL INCB XS</t>
        </is>
      </c>
      <c r="F48" s="4" t="inlineStr">
        <is>
          <t>$68.00</t>
        </is>
      </c>
      <c r="G48" s="4" t="inlineStr">
        <is>
          <t>$34.00</t>
        </is>
      </c>
      <c r="H48" s="4" t="inlineStr">
        <is>
          <t>Speckled Heather Plum Multi</t>
        </is>
      </c>
      <c r="I48" s="4">
        <f>IMAGE("https://images.lululemon.com/is/image/lululemon/73339",1)</f>
        <v/>
      </c>
      <c r="J48" s="4" t="inlineStr">
        <is>
          <t>XL</t>
        </is>
      </c>
      <c r="K48" s="4" t="inlineStr">
        <is>
          <t>15/5203</t>
        </is>
      </c>
      <c r="L48" s="4" t="inlineStr">
        <is>
          <t>Yes</t>
        </is>
      </c>
      <c r="M48" s="4" t="inlineStr">
        <is>
          <t>Athlete backed, performance driven. This elevated version of our most versatile short was designed for maximum comfort and zero distractions.</t>
        </is>
      </c>
      <c r="N48" s="4" t="inlineStr">
        <is>
          <t>Pace-Breaker-Short-Linerless-7-Update</t>
        </is>
      </c>
      <c r="O48" s="4" t="inlineStr">
        <is>
          <t>Athletic Shorts</t>
        </is>
      </c>
    </row>
    <row r="49" ht="80" customHeight="1">
      <c r="A49" s="7">
        <f>IMAGE("https://images.lululemon.com/is/image/lululemon/LM7B80S_0001_1?wid=320&amp;op_usm=0.8",1)</f>
        <v/>
      </c>
      <c r="B49" s="7" t="inlineStr">
        <is>
          <t>Pace Breaker Linerless Short 7"</t>
        </is>
      </c>
      <c r="C49" s="7" t="inlineStr">
        <is>
          <t>156489562</t>
        </is>
      </c>
      <c r="D49" s="7" t="inlineStr">
        <is>
          <t>156489562-foggreen</t>
        </is>
      </c>
      <c r="E49" s="7" t="inlineStr">
        <is>
          <t>Pace Breaker Short 7" *LL INCB XS</t>
        </is>
      </c>
      <c r="F49" s="7" t="inlineStr">
        <is>
          <t>$68.00</t>
        </is>
      </c>
      <c r="G49" s="7" t="inlineStr">
        <is>
          <t>$34.00</t>
        </is>
      </c>
      <c r="H49" s="7" t="inlineStr">
        <is>
          <t>Fog Green</t>
        </is>
      </c>
      <c r="I49" s="7">
        <f>IMAGE("https://images.lululemon.com/is/image/lululemon/70144",1)</f>
        <v/>
      </c>
      <c r="J49" s="7" t="inlineStr">
        <is>
          <t>XS</t>
        </is>
      </c>
      <c r="K49" s="7" t="inlineStr">
        <is>
          <t>55/5203</t>
        </is>
      </c>
      <c r="L49" s="7" t="inlineStr">
        <is>
          <t>Yes</t>
        </is>
      </c>
      <c r="M49" s="7" t="inlineStr">
        <is>
          <t>Athlete backed, performance driven. This elevated version of our most versatile short was designed for maximum comfort and zero distractions.</t>
        </is>
      </c>
      <c r="N49" s="7" t="inlineStr">
        <is>
          <t>Pace-Breaker-Short-Linerless-7-Update</t>
        </is>
      </c>
      <c r="O49" s="7" t="inlineStr">
        <is>
          <t>Athletic Shorts</t>
        </is>
      </c>
    </row>
    <row r="50" ht="80" customHeight="1">
      <c r="A50" s="4">
        <f>IMAGE("https://images.lululemon.com/is/image/lululemon/LM7B80S_0001_1?wid=320&amp;op_usm=0.8",1)</f>
        <v/>
      </c>
      <c r="B50" s="4" t="inlineStr">
        <is>
          <t>Pace Breaker Linerless Short 7"</t>
        </is>
      </c>
      <c r="C50" s="4" t="inlineStr">
        <is>
          <t>156489515</t>
        </is>
      </c>
      <c r="D50" s="4" t="inlineStr">
        <is>
          <t>156489515-foggreen</t>
        </is>
      </c>
      <c r="E50" s="4" t="inlineStr">
        <is>
          <t>Pace Breaker Short 7" *LL INCB XS</t>
        </is>
      </c>
      <c r="F50" s="4" t="inlineStr">
        <is>
          <t>$68.00</t>
        </is>
      </c>
      <c r="G50" s="4" t="inlineStr">
        <is>
          <t>$34.00</t>
        </is>
      </c>
      <c r="H50" s="4" t="inlineStr">
        <is>
          <t>Fog Green</t>
        </is>
      </c>
      <c r="I50" s="4">
        <f>IMAGE("https://images.lululemon.com/is/image/lululemon/70144",1)</f>
        <v/>
      </c>
      <c r="J50" s="4" t="inlineStr">
        <is>
          <t>S</t>
        </is>
      </c>
      <c r="K50" s="4" t="inlineStr">
        <is>
          <t>163/5203</t>
        </is>
      </c>
      <c r="L50" s="4" t="inlineStr">
        <is>
          <t>Yes</t>
        </is>
      </c>
      <c r="M50" s="4" t="inlineStr">
        <is>
          <t>Athlete backed, performance driven. This elevated version of our most versatile short was designed for maximum comfort and zero distractions.</t>
        </is>
      </c>
      <c r="N50" s="4" t="inlineStr">
        <is>
          <t>Pace-Breaker-Short-Linerless-7-Update</t>
        </is>
      </c>
      <c r="O50" s="4" t="inlineStr">
        <is>
          <t>Athletic Shorts</t>
        </is>
      </c>
    </row>
    <row r="51" ht="80" customHeight="1">
      <c r="A51" s="7">
        <f>IMAGE("https://images.lululemon.com/is/image/lululemon/LM7B80S_0001_1?wid=320&amp;op_usm=0.8",1)</f>
        <v/>
      </c>
      <c r="B51" s="7" t="inlineStr">
        <is>
          <t>Pace Breaker Linerless Short 7"</t>
        </is>
      </c>
      <c r="C51" s="7" t="inlineStr">
        <is>
          <t>156489489</t>
        </is>
      </c>
      <c r="D51" s="7" t="inlineStr">
        <is>
          <t>156489489-foggreen</t>
        </is>
      </c>
      <c r="E51" s="7" t="inlineStr">
        <is>
          <t>Pace Breaker Short 7" *LL INCB XS</t>
        </is>
      </c>
      <c r="F51" s="7" t="inlineStr">
        <is>
          <t>$68.00</t>
        </is>
      </c>
      <c r="G51" s="7" t="inlineStr">
        <is>
          <t>$34.00</t>
        </is>
      </c>
      <c r="H51" s="7" t="inlineStr">
        <is>
          <t>Fog Green</t>
        </is>
      </c>
      <c r="I51" s="7">
        <f>IMAGE("https://images.lululemon.com/is/image/lululemon/70144",1)</f>
        <v/>
      </c>
      <c r="J51" s="7" t="inlineStr">
        <is>
          <t>M</t>
        </is>
      </c>
      <c r="K51" s="7" t="inlineStr">
        <is>
          <t>177/5203</t>
        </is>
      </c>
      <c r="L51" s="7" t="inlineStr">
        <is>
          <t>Yes</t>
        </is>
      </c>
      <c r="M51" s="7" t="inlineStr">
        <is>
          <t>Athlete backed, performance driven. This elevated version of our most versatile short was designed for maximum comfort and zero distractions.</t>
        </is>
      </c>
      <c r="N51" s="7" t="inlineStr">
        <is>
          <t>Pace-Breaker-Short-Linerless-7-Update</t>
        </is>
      </c>
      <c r="O51" s="7" t="inlineStr">
        <is>
          <t>Athletic Shorts</t>
        </is>
      </c>
    </row>
    <row r="52" ht="80" customHeight="1">
      <c r="A52" s="4">
        <f>IMAGE("https://images.lululemon.com/is/image/lululemon/LM7B80S_0001_1?wid=320&amp;op_usm=0.8",1)</f>
        <v/>
      </c>
      <c r="B52" s="4" t="inlineStr">
        <is>
          <t>Pace Breaker Linerless Short 7"</t>
        </is>
      </c>
      <c r="C52" s="4" t="inlineStr">
        <is>
          <t>156489466</t>
        </is>
      </c>
      <c r="D52" s="4" t="inlineStr">
        <is>
          <t>156489466-foggreen</t>
        </is>
      </c>
      <c r="E52" s="4" t="inlineStr">
        <is>
          <t>Pace Breaker Short 7" *LL INCB XS</t>
        </is>
      </c>
      <c r="F52" s="4" t="inlineStr">
        <is>
          <t>$68.00</t>
        </is>
      </c>
      <c r="G52" s="4" t="inlineStr">
        <is>
          <t>$34.00</t>
        </is>
      </c>
      <c r="H52" s="4" t="inlineStr">
        <is>
          <t>Fog Green</t>
        </is>
      </c>
      <c r="I52" s="4">
        <f>IMAGE("https://images.lululemon.com/is/image/lululemon/70144",1)</f>
        <v/>
      </c>
      <c r="J52" s="4" t="inlineStr">
        <is>
          <t>L</t>
        </is>
      </c>
      <c r="K52" s="4" t="inlineStr">
        <is>
          <t>123/5203</t>
        </is>
      </c>
      <c r="L52" s="4" t="inlineStr">
        <is>
          <t>Yes</t>
        </is>
      </c>
      <c r="M52" s="4" t="inlineStr">
        <is>
          <t>Athlete backed, performance driven. This elevated version of our most versatile short was designed for maximum comfort and zero distractions.</t>
        </is>
      </c>
      <c r="N52" s="4" t="inlineStr">
        <is>
          <t>Pace-Breaker-Short-Linerless-7-Update</t>
        </is>
      </c>
      <c r="O52" s="4" t="inlineStr">
        <is>
          <t>Athletic Shorts</t>
        </is>
      </c>
    </row>
    <row r="53" ht="80" customHeight="1">
      <c r="A53" s="7">
        <f>IMAGE("https://images.lululemon.com/is/image/lululemon/LM7B80S_0001_1?wid=320&amp;op_usm=0.8",1)</f>
        <v/>
      </c>
      <c r="B53" s="7" t="inlineStr">
        <is>
          <t>Pace Breaker Linerless Short 7"</t>
        </is>
      </c>
      <c r="C53" s="7" t="inlineStr">
        <is>
          <t>156489539</t>
        </is>
      </c>
      <c r="D53" s="7" t="inlineStr">
        <is>
          <t>156489539-foggreen</t>
        </is>
      </c>
      <c r="E53" s="7" t="inlineStr">
        <is>
          <t>Pace Breaker Short 7" *LL INCB XS</t>
        </is>
      </c>
      <c r="F53" s="7" t="inlineStr">
        <is>
          <t>$68.00</t>
        </is>
      </c>
      <c r="G53" s="7" t="inlineStr">
        <is>
          <t>$34.00</t>
        </is>
      </c>
      <c r="H53" s="7" t="inlineStr">
        <is>
          <t>Fog Green</t>
        </is>
      </c>
      <c r="I53" s="7">
        <f>IMAGE("https://images.lululemon.com/is/image/lululemon/70144",1)</f>
        <v/>
      </c>
      <c r="J53" s="7" t="inlineStr">
        <is>
          <t>XL</t>
        </is>
      </c>
      <c r="K53" s="7" t="inlineStr">
        <is>
          <t>30/5203</t>
        </is>
      </c>
      <c r="L53" s="7" t="inlineStr">
        <is>
          <t>Yes</t>
        </is>
      </c>
      <c r="M53" s="7" t="inlineStr">
        <is>
          <t>Athlete backed, performance driven. This elevated version of our most versatile short was designed for maximum comfort and zero distractions.</t>
        </is>
      </c>
      <c r="N53" s="7" t="inlineStr">
        <is>
          <t>Pace-Breaker-Short-Linerless-7-Update</t>
        </is>
      </c>
      <c r="O53" s="7" t="inlineStr">
        <is>
          <t>Athletic Shorts</t>
        </is>
      </c>
    </row>
    <row r="54" ht="80" customHeight="1">
      <c r="A54" s="4">
        <f>IMAGE("https://images.lululemon.com/is/image/lululemon/LM7B80S_0001_1?wid=320&amp;op_usm=0.8",1)</f>
        <v/>
      </c>
      <c r="B54" s="4" t="inlineStr">
        <is>
          <t>Pace Breaker Linerless Short 7"</t>
        </is>
      </c>
      <c r="C54" s="4" t="inlineStr">
        <is>
          <t>156489584</t>
        </is>
      </c>
      <c r="D54" s="4" t="inlineStr">
        <is>
          <t>156489584-foggreen</t>
        </is>
      </c>
      <c r="E54" s="4" t="inlineStr">
        <is>
          <t>Pace Breaker Short 7" *LL INCB XS</t>
        </is>
      </c>
      <c r="F54" s="4" t="inlineStr">
        <is>
          <t>$68.00</t>
        </is>
      </c>
      <c r="G54" s="4" t="inlineStr">
        <is>
          <t>$34.00</t>
        </is>
      </c>
      <c r="H54" s="4" t="inlineStr">
        <is>
          <t>Fog Green</t>
        </is>
      </c>
      <c r="I54" s="4">
        <f>IMAGE("https://images.lululemon.com/is/image/lululemon/70144",1)</f>
        <v/>
      </c>
      <c r="J54" s="4" t="inlineStr">
        <is>
          <t>XXL</t>
        </is>
      </c>
      <c r="K54" s="4" t="inlineStr">
        <is>
          <t>1/5203</t>
        </is>
      </c>
      <c r="L54" s="4" t="inlineStr">
        <is>
          <t>Yes</t>
        </is>
      </c>
      <c r="M54" s="4" t="inlineStr">
        <is>
          <t>Athlete backed, performance driven. This elevated version of our most versatile short was designed for maximum comfort and zero distractions.</t>
        </is>
      </c>
      <c r="N54" s="4" t="inlineStr">
        <is>
          <t>Pace-Breaker-Short-Linerless-7-Update</t>
        </is>
      </c>
      <c r="O54" s="4" t="inlineStr">
        <is>
          <t>Athletic Shorts</t>
        </is>
      </c>
    </row>
    <row r="55" ht="80" customHeight="1">
      <c r="A55" s="7">
        <f>IMAGE("https://images.lululemon.com/is/image/lululemon/LM7B80S_0001_1?wid=320&amp;op_usm=0.8",1)</f>
        <v/>
      </c>
      <c r="B55" s="7" t="inlineStr">
        <is>
          <t>Pace Breaker Linerless Short 7"</t>
        </is>
      </c>
      <c r="C55" s="7" t="inlineStr">
        <is>
          <t>146054258</t>
        </is>
      </c>
      <c r="D55" s="7" t="inlineStr">
        <is>
          <t>146054258-black</t>
        </is>
      </c>
      <c r="E55" s="7" t="inlineStr">
        <is>
          <t>Pace Breaker Short 7" *LL INCB XS</t>
        </is>
      </c>
      <c r="F55" s="7" t="inlineStr">
        <is>
          <t>$68.00</t>
        </is>
      </c>
      <c r="G55" s="7" t="inlineStr">
        <is>
          <t>$34.00</t>
        </is>
      </c>
      <c r="H55" s="7" t="inlineStr">
        <is>
          <t>Black</t>
        </is>
      </c>
      <c r="I55" s="7">
        <f>IMAGE("https://images.lululemon.com/is/image/lululemon/0001",1)</f>
        <v/>
      </c>
      <c r="J55" s="7" t="inlineStr">
        <is>
          <t>S</t>
        </is>
      </c>
      <c r="K55" s="7" t="inlineStr">
        <is>
          <t>123/5203</t>
        </is>
      </c>
      <c r="L55" s="7" t="inlineStr">
        <is>
          <t>Yes</t>
        </is>
      </c>
      <c r="M55" s="7" t="inlineStr">
        <is>
          <t>Athlete backed, performance driven. This elevated version of our most versatile short was designed for maximum comfort and zero distractions.</t>
        </is>
      </c>
      <c r="N55" s="7" t="inlineStr">
        <is>
          <t>Pace-Breaker-Short-Linerless-7-Update</t>
        </is>
      </c>
      <c r="O55" s="7" t="inlineStr">
        <is>
          <t>Athletic Shorts</t>
        </is>
      </c>
    </row>
    <row r="56" ht="80" customHeight="1">
      <c r="A56" s="4">
        <f>IMAGE("https://images.lululemon.com/is/image/lululemon/LM7B80S_0001_1?wid=320&amp;op_usm=0.8",1)</f>
        <v/>
      </c>
      <c r="B56" s="4" t="inlineStr">
        <is>
          <t>Pace Breaker Linerless Short 7"</t>
        </is>
      </c>
      <c r="C56" s="4" t="inlineStr">
        <is>
          <t>146054254</t>
        </is>
      </c>
      <c r="D56" s="4" t="inlineStr">
        <is>
          <t>146054254-black</t>
        </is>
      </c>
      <c r="E56" s="4" t="inlineStr">
        <is>
          <t>Pace Breaker Short 7" *LL INCB XS</t>
        </is>
      </c>
      <c r="F56" s="4" t="inlineStr">
        <is>
          <t>$68.00</t>
        </is>
      </c>
      <c r="G56" s="4" t="inlineStr">
        <is>
          <t>$34.00</t>
        </is>
      </c>
      <c r="H56" s="4" t="inlineStr">
        <is>
          <t>Black</t>
        </is>
      </c>
      <c r="I56" s="4">
        <f>IMAGE("https://images.lululemon.com/is/image/lululemon/0001",1)</f>
        <v/>
      </c>
      <c r="J56" s="4" t="inlineStr">
        <is>
          <t>M</t>
        </is>
      </c>
      <c r="K56" s="4" t="inlineStr">
        <is>
          <t>704/5203</t>
        </is>
      </c>
      <c r="L56" s="4" t="inlineStr">
        <is>
          <t>Yes</t>
        </is>
      </c>
      <c r="M56" s="4" t="inlineStr">
        <is>
          <t>Athlete backed, performance driven. This elevated version of our most versatile short was designed for maximum comfort and zero distractions.</t>
        </is>
      </c>
      <c r="N56" s="4" t="inlineStr">
        <is>
          <t>Pace-Breaker-Short-Linerless-7-Update</t>
        </is>
      </c>
      <c r="O56" s="4" t="inlineStr">
        <is>
          <t>Athletic Shorts</t>
        </is>
      </c>
    </row>
    <row r="57" ht="80" customHeight="1">
      <c r="A57" s="7">
        <f>IMAGE("https://images.lululemon.com/is/image/lululemon/LM7B80S_0001_1?wid=320&amp;op_usm=0.8",1)</f>
        <v/>
      </c>
      <c r="B57" s="7" t="inlineStr">
        <is>
          <t>Pace Breaker Linerless Short 7"</t>
        </is>
      </c>
      <c r="C57" s="7" t="inlineStr">
        <is>
          <t>146054251</t>
        </is>
      </c>
      <c r="D57" s="7" t="inlineStr">
        <is>
          <t>146054251-black</t>
        </is>
      </c>
      <c r="E57" s="7" t="inlineStr">
        <is>
          <t>Pace Breaker Short 7" *LL INCB XS</t>
        </is>
      </c>
      <c r="F57" s="7" t="inlineStr">
        <is>
          <t>$68.00</t>
        </is>
      </c>
      <c r="G57" s="7" t="inlineStr">
        <is>
          <t>$34.00</t>
        </is>
      </c>
      <c r="H57" s="7" t="inlineStr">
        <is>
          <t>Black</t>
        </is>
      </c>
      <c r="I57" s="7">
        <f>IMAGE("https://images.lululemon.com/is/image/lululemon/0001",1)</f>
        <v/>
      </c>
      <c r="J57" s="7" t="inlineStr">
        <is>
          <t>L</t>
        </is>
      </c>
      <c r="K57" s="7" t="inlineStr">
        <is>
          <t>730/5203</t>
        </is>
      </c>
      <c r="L57" s="7" t="inlineStr">
        <is>
          <t>Yes</t>
        </is>
      </c>
      <c r="M57" s="7" t="inlineStr">
        <is>
          <t>Athlete backed, performance driven. This elevated version of our most versatile short was designed for maximum comfort and zero distractions.</t>
        </is>
      </c>
      <c r="N57" s="7" t="inlineStr">
        <is>
          <t>Pace-Breaker-Short-Linerless-7-Update</t>
        </is>
      </c>
      <c r="O57" s="7" t="inlineStr">
        <is>
          <t>Athletic Shorts</t>
        </is>
      </c>
    </row>
    <row r="58" ht="80" customHeight="1">
      <c r="A58" s="4">
        <f>IMAGE("https://images.lululemon.com/is/image/lululemon/LM7B80S_0001_1?wid=320&amp;op_usm=0.8",1)</f>
        <v/>
      </c>
      <c r="B58" s="4" t="inlineStr">
        <is>
          <t>Pace Breaker Linerless Short 7"</t>
        </is>
      </c>
      <c r="C58" s="4" t="inlineStr">
        <is>
          <t>146054261</t>
        </is>
      </c>
      <c r="D58" s="4" t="inlineStr">
        <is>
          <t>146054261-black</t>
        </is>
      </c>
      <c r="E58" s="4" t="inlineStr">
        <is>
          <t>Pace Breaker Short 7" *LL INCB XS</t>
        </is>
      </c>
      <c r="F58" s="4" t="inlineStr">
        <is>
          <t>$68.00</t>
        </is>
      </c>
      <c r="G58" s="4" t="inlineStr">
        <is>
          <t>$34.00</t>
        </is>
      </c>
      <c r="H58" s="4" t="inlineStr">
        <is>
          <t>Black</t>
        </is>
      </c>
      <c r="I58" s="4">
        <f>IMAGE("https://images.lululemon.com/is/image/lululemon/0001",1)</f>
        <v/>
      </c>
      <c r="J58" s="4" t="inlineStr">
        <is>
          <t>XL</t>
        </is>
      </c>
      <c r="K58" s="4" t="inlineStr">
        <is>
          <t>470/5203</t>
        </is>
      </c>
      <c r="L58" s="4" t="inlineStr">
        <is>
          <t>Yes</t>
        </is>
      </c>
      <c r="M58" s="4" t="inlineStr">
        <is>
          <t>Athlete backed, performance driven. This elevated version of our most versatile short was designed for maximum comfort and zero distractions.</t>
        </is>
      </c>
      <c r="N58" s="4" t="inlineStr">
        <is>
          <t>Pace-Breaker-Short-Linerless-7-Update</t>
        </is>
      </c>
      <c r="O58" s="4" t="inlineStr">
        <is>
          <t>Athletic Shorts</t>
        </is>
      </c>
    </row>
    <row r="59" ht="80" customHeight="1">
      <c r="A59" s="7">
        <f>IMAGE("https://images.lululemon.com/is/image/lululemon/LM7B80S_0001_1?wid=320&amp;op_usm=0.8",1)</f>
        <v/>
      </c>
      <c r="B59" s="7" t="inlineStr">
        <is>
          <t>Pace Breaker Linerless Short 7"</t>
        </is>
      </c>
      <c r="C59" s="7" t="inlineStr">
        <is>
          <t>146054268</t>
        </is>
      </c>
      <c r="D59" s="7" t="inlineStr">
        <is>
          <t>146054268-black</t>
        </is>
      </c>
      <c r="E59" s="7" t="inlineStr">
        <is>
          <t>Pace Breaker Short 7" *LL INCB XS</t>
        </is>
      </c>
      <c r="F59" s="7" t="inlineStr">
        <is>
          <t>$68.00</t>
        </is>
      </c>
      <c r="G59" s="7" t="inlineStr">
        <is>
          <t>$34.00</t>
        </is>
      </c>
      <c r="H59" s="7" t="inlineStr">
        <is>
          <t>Black</t>
        </is>
      </c>
      <c r="I59" s="7">
        <f>IMAGE("https://images.lululemon.com/is/image/lululemon/0001",1)</f>
        <v/>
      </c>
      <c r="J59" s="7" t="inlineStr">
        <is>
          <t>XXL</t>
        </is>
      </c>
      <c r="K59" s="7" t="inlineStr">
        <is>
          <t>13/5203</t>
        </is>
      </c>
      <c r="L59" s="7" t="inlineStr">
        <is>
          <t>Yes</t>
        </is>
      </c>
      <c r="M59" s="7" t="inlineStr">
        <is>
          <t>Athlete backed, performance driven. This elevated version of our most versatile short was designed for maximum comfort and zero distractions.</t>
        </is>
      </c>
      <c r="N59" s="7" t="inlineStr">
        <is>
          <t>Pace-Breaker-Short-Linerless-7-Update</t>
        </is>
      </c>
      <c r="O59" s="7" t="inlineStr">
        <is>
          <t>Athletic Shorts</t>
        </is>
      </c>
    </row>
    <row r="60" ht="80" customHeight="1">
      <c r="A60" s="4">
        <f>IMAGE("https://images.lululemon.com/is/image/lululemon/LM7B80S_0001_1?wid=320&amp;op_usm=0.8",1)</f>
        <v/>
      </c>
      <c r="B60" s="4" t="inlineStr">
        <is>
          <t>Pace Breaker Linerless Short 7"</t>
        </is>
      </c>
      <c r="C60" s="4" t="inlineStr">
        <is>
          <t>155857245</t>
        </is>
      </c>
      <c r="D60" s="4" t="inlineStr">
        <is>
          <t>155857245-sourgrape</t>
        </is>
      </c>
      <c r="E60" s="4" t="inlineStr">
        <is>
          <t>Pace Breaker Short 7" *LL INCB XS</t>
        </is>
      </c>
      <c r="F60" s="4" t="inlineStr">
        <is>
          <t>$68.00</t>
        </is>
      </c>
      <c r="G60" s="4" t="inlineStr">
        <is>
          <t>$34.00</t>
        </is>
      </c>
      <c r="H60" s="4" t="inlineStr">
        <is>
          <t>Sour Grape</t>
        </is>
      </c>
      <c r="I60" s="4">
        <f>IMAGE("https://images.lululemon.com/is/image/lululemon/69033",1)</f>
        <v/>
      </c>
      <c r="J60" s="4" t="inlineStr">
        <is>
          <t>S</t>
        </is>
      </c>
      <c r="K60" s="4" t="inlineStr">
        <is>
          <t>39/5203</t>
        </is>
      </c>
      <c r="L60" s="4" t="inlineStr">
        <is>
          <t>Yes</t>
        </is>
      </c>
      <c r="M60" s="4" t="inlineStr">
        <is>
          <t>Athlete backed, performance driven. This elevated version of our most versatile short was designed for maximum comfort and zero distractions.</t>
        </is>
      </c>
      <c r="N60" s="4" t="inlineStr">
        <is>
          <t>Pace-Breaker-Short-Linerless-7-Update</t>
        </is>
      </c>
      <c r="O60" s="4" t="inlineStr">
        <is>
          <t>Athletic Shorts</t>
        </is>
      </c>
    </row>
    <row r="61" ht="80" customHeight="1">
      <c r="A61" s="7">
        <f>IMAGE("https://images.lululemon.com/is/image/lululemon/LM7B80S_0001_1?wid=320&amp;op_usm=0.8",1)</f>
        <v/>
      </c>
      <c r="B61" s="7" t="inlineStr">
        <is>
          <t>Pace Breaker Linerless Short 7"</t>
        </is>
      </c>
      <c r="C61" s="7" t="inlineStr">
        <is>
          <t>155857229</t>
        </is>
      </c>
      <c r="D61" s="7" t="inlineStr">
        <is>
          <t>155857229-sourgrape</t>
        </is>
      </c>
      <c r="E61" s="7" t="inlineStr">
        <is>
          <t>Pace Breaker Short 7" *LL INCB XS</t>
        </is>
      </c>
      <c r="F61" s="7" t="inlineStr">
        <is>
          <t>$68.00</t>
        </is>
      </c>
      <c r="G61" s="7" t="inlineStr">
        <is>
          <t>$34.00</t>
        </is>
      </c>
      <c r="H61" s="7" t="inlineStr">
        <is>
          <t>Sour Grape</t>
        </is>
      </c>
      <c r="I61" s="7">
        <f>IMAGE("https://images.lululemon.com/is/image/lululemon/69033",1)</f>
        <v/>
      </c>
      <c r="J61" s="7" t="inlineStr">
        <is>
          <t>M</t>
        </is>
      </c>
      <c r="K61" s="7" t="inlineStr">
        <is>
          <t>138/5203</t>
        </is>
      </c>
      <c r="L61" s="7" t="inlineStr">
        <is>
          <t>Yes</t>
        </is>
      </c>
      <c r="M61" s="7" t="inlineStr">
        <is>
          <t>Athlete backed, performance driven. This elevated version of our most versatile short was designed for maximum comfort and zero distractions.</t>
        </is>
      </c>
      <c r="N61" s="7" t="inlineStr">
        <is>
          <t>Pace-Breaker-Short-Linerless-7-Update</t>
        </is>
      </c>
      <c r="O61" s="7" t="inlineStr">
        <is>
          <t>Athletic Shorts</t>
        </is>
      </c>
    </row>
    <row r="62" ht="80" customHeight="1">
      <c r="A62" s="4">
        <f>IMAGE("https://images.lululemon.com/is/image/lululemon/LM7B80S_0001_1?wid=320&amp;op_usm=0.8",1)</f>
        <v/>
      </c>
      <c r="B62" s="4" t="inlineStr">
        <is>
          <t>Pace Breaker Linerless Short 7"</t>
        </is>
      </c>
      <c r="C62" s="4" t="inlineStr">
        <is>
          <t>155857217</t>
        </is>
      </c>
      <c r="D62" s="4" t="inlineStr">
        <is>
          <t>155857217-sourgrape</t>
        </is>
      </c>
      <c r="E62" s="4" t="inlineStr">
        <is>
          <t>Pace Breaker Short 7" *LL INCB XS</t>
        </is>
      </c>
      <c r="F62" s="4" t="inlineStr">
        <is>
          <t>$68.00</t>
        </is>
      </c>
      <c r="G62" s="4" t="inlineStr">
        <is>
          <t>$34.00</t>
        </is>
      </c>
      <c r="H62" s="4" t="inlineStr">
        <is>
          <t>Sour Grape</t>
        </is>
      </c>
      <c r="I62" s="4">
        <f>IMAGE("https://images.lululemon.com/is/image/lululemon/69033",1)</f>
        <v/>
      </c>
      <c r="J62" s="4" t="inlineStr">
        <is>
          <t>L</t>
        </is>
      </c>
      <c r="K62" s="4" t="inlineStr">
        <is>
          <t>127/5203</t>
        </is>
      </c>
      <c r="L62" s="4" t="inlineStr">
        <is>
          <t>Yes</t>
        </is>
      </c>
      <c r="M62" s="4" t="inlineStr">
        <is>
          <t>Athlete backed, performance driven. This elevated version of our most versatile short was designed for maximum comfort and zero distractions.</t>
        </is>
      </c>
      <c r="N62" s="4" t="inlineStr">
        <is>
          <t>Pace-Breaker-Short-Linerless-7-Update</t>
        </is>
      </c>
      <c r="O62" s="4" t="inlineStr">
        <is>
          <t>Athletic Shorts</t>
        </is>
      </c>
    </row>
    <row r="63" ht="80" customHeight="1">
      <c r="A63" s="7">
        <f>IMAGE("https://images.lululemon.com/is/image/lululemon/LM7B80S_0001_1?wid=320&amp;op_usm=0.8",1)</f>
        <v/>
      </c>
      <c r="B63" s="7" t="inlineStr">
        <is>
          <t>Pace Breaker Linerless Short 7"</t>
        </is>
      </c>
      <c r="C63" s="7" t="inlineStr">
        <is>
          <t>155857257</t>
        </is>
      </c>
      <c r="D63" s="7" t="inlineStr">
        <is>
          <t>155857257-sourgrape</t>
        </is>
      </c>
      <c r="E63" s="7" t="inlineStr">
        <is>
          <t>Pace Breaker Short 7" *LL INCB XS</t>
        </is>
      </c>
      <c r="F63" s="7" t="inlineStr">
        <is>
          <t>$68.00</t>
        </is>
      </c>
      <c r="G63" s="7" t="inlineStr">
        <is>
          <t>$34.00</t>
        </is>
      </c>
      <c r="H63" s="7" t="inlineStr">
        <is>
          <t>Sour Grape</t>
        </is>
      </c>
      <c r="I63" s="7">
        <f>IMAGE("https://images.lululemon.com/is/image/lululemon/69033",1)</f>
        <v/>
      </c>
      <c r="J63" s="7" t="inlineStr">
        <is>
          <t>XL</t>
        </is>
      </c>
      <c r="K63" s="7" t="inlineStr">
        <is>
          <t>71/5203</t>
        </is>
      </c>
      <c r="L63" s="7" t="inlineStr">
        <is>
          <t>Yes</t>
        </is>
      </c>
      <c r="M63" s="7" t="inlineStr">
        <is>
          <t>Athlete backed, performance driven. This elevated version of our most versatile short was designed for maximum comfort and zero distractions.</t>
        </is>
      </c>
      <c r="N63" s="7" t="inlineStr">
        <is>
          <t>Pace-Breaker-Short-Linerless-7-Update</t>
        </is>
      </c>
      <c r="O63" s="7" t="inlineStr">
        <is>
          <t>Athletic Shorts</t>
        </is>
      </c>
    </row>
    <row r="64" ht="80" customHeight="1">
      <c r="A64" s="4">
        <f>IMAGE("https://images.lululemon.com/is/image/lululemon/LM7B80S_0001_1?wid=320&amp;op_usm=0.8",1)</f>
        <v/>
      </c>
      <c r="B64" s="4" t="inlineStr">
        <is>
          <t>Pace Breaker Linerless Short 7"</t>
        </is>
      </c>
      <c r="C64" s="4" t="inlineStr">
        <is>
          <t>155857287</t>
        </is>
      </c>
      <c r="D64" s="4" t="inlineStr">
        <is>
          <t>155857287-sourgrape</t>
        </is>
      </c>
      <c r="E64" s="4" t="inlineStr">
        <is>
          <t>Pace Breaker Short 7" *LL INCB XS</t>
        </is>
      </c>
      <c r="F64" s="4" t="inlineStr">
        <is>
          <t>$68.00</t>
        </is>
      </c>
      <c r="G64" s="4" t="inlineStr">
        <is>
          <t>$34.00</t>
        </is>
      </c>
      <c r="H64" s="4" t="inlineStr">
        <is>
          <t>Sour Grape</t>
        </is>
      </c>
      <c r="I64" s="4">
        <f>IMAGE("https://images.lululemon.com/is/image/lululemon/69033",1)</f>
        <v/>
      </c>
      <c r="J64" s="4" t="inlineStr">
        <is>
          <t>XXL</t>
        </is>
      </c>
      <c r="K64" s="4" t="inlineStr">
        <is>
          <t>15/5203</t>
        </is>
      </c>
      <c r="L64" s="4" t="inlineStr">
        <is>
          <t>Yes</t>
        </is>
      </c>
      <c r="M64" s="4" t="inlineStr">
        <is>
          <t>Athlete backed, performance driven. This elevated version of our most versatile short was designed for maximum comfort and zero distractions.</t>
        </is>
      </c>
      <c r="N64" s="4" t="inlineStr">
        <is>
          <t>Pace-Breaker-Short-Linerless-7-Update</t>
        </is>
      </c>
      <c r="O64" s="4" t="inlineStr">
        <is>
          <t>Athletic Shorts</t>
        </is>
      </c>
    </row>
    <row r="65" ht="80" customHeight="1">
      <c r="A65" s="7">
        <f>IMAGE("https://images.lululemon.com/is/image/lululemon/LM7B80S_0001_1?wid=320&amp;op_usm=0.8",1)</f>
        <v/>
      </c>
      <c r="B65" s="7" t="inlineStr">
        <is>
          <t>Pace Breaker Linerless Short 7"</t>
        </is>
      </c>
      <c r="C65" s="7" t="inlineStr">
        <is>
          <t>155864418</t>
        </is>
      </c>
      <c r="D65" s="7" t="inlineStr">
        <is>
          <t>155864418-lightivory</t>
        </is>
      </c>
      <c r="E65" s="7" t="inlineStr">
        <is>
          <t>Pace Breaker Short 7" *LL INCB XS</t>
        </is>
      </c>
      <c r="F65" s="7" t="inlineStr">
        <is>
          <t>$68.00</t>
        </is>
      </c>
      <c r="G65" s="7" t="inlineStr">
        <is>
          <t>$34.00</t>
        </is>
      </c>
      <c r="H65" s="7" t="inlineStr">
        <is>
          <t>Light Ivory</t>
        </is>
      </c>
      <c r="I65" s="7">
        <f>IMAGE("https://images.lululemon.com/is/image/lululemon/33454",1)</f>
        <v/>
      </c>
      <c r="J65" s="7" t="inlineStr">
        <is>
          <t>S</t>
        </is>
      </c>
      <c r="K65" s="7" t="inlineStr">
        <is>
          <t>15/5203</t>
        </is>
      </c>
      <c r="L65" s="7" t="inlineStr">
        <is>
          <t>Yes</t>
        </is>
      </c>
      <c r="M65" s="7" t="inlineStr">
        <is>
          <t>Athlete backed, performance driven. This elevated version of our most versatile short was designed for maximum comfort and zero distractions.</t>
        </is>
      </c>
      <c r="N65" s="7" t="inlineStr">
        <is>
          <t>Pace-Breaker-Short-Linerless-7-Update</t>
        </is>
      </c>
      <c r="O65" s="7" t="inlineStr">
        <is>
          <t>Athletic Shorts</t>
        </is>
      </c>
    </row>
    <row r="66" ht="80" customHeight="1">
      <c r="A66" s="4">
        <f>IMAGE("https://images.lululemon.com/is/image/lululemon/LM7B80S_0001_1?wid=320&amp;op_usm=0.8",1)</f>
        <v/>
      </c>
      <c r="B66" s="4" t="inlineStr">
        <is>
          <t>Pace Breaker Linerless Short 7"</t>
        </is>
      </c>
      <c r="C66" s="4" t="inlineStr">
        <is>
          <t>155864407</t>
        </is>
      </c>
      <c r="D66" s="4" t="inlineStr">
        <is>
          <t>155864407-lightivory</t>
        </is>
      </c>
      <c r="E66" s="4" t="inlineStr">
        <is>
          <t>Pace Breaker Short 7" *LL INCB XS</t>
        </is>
      </c>
      <c r="F66" s="4" t="inlineStr">
        <is>
          <t>$68.00</t>
        </is>
      </c>
      <c r="G66" s="4" t="inlineStr">
        <is>
          <t>$34.00</t>
        </is>
      </c>
      <c r="H66" s="4" t="inlineStr">
        <is>
          <t>Light Ivory</t>
        </is>
      </c>
      <c r="I66" s="4">
        <f>IMAGE("https://images.lululemon.com/is/image/lululemon/33454",1)</f>
        <v/>
      </c>
      <c r="J66" s="4" t="inlineStr">
        <is>
          <t>M</t>
        </is>
      </c>
      <c r="K66" s="4" t="inlineStr">
        <is>
          <t>20/5203</t>
        </is>
      </c>
      <c r="L66" s="4" t="inlineStr">
        <is>
          <t>Yes</t>
        </is>
      </c>
      <c r="M66" s="4" t="inlineStr">
        <is>
          <t>Athlete backed, performance driven. This elevated version of our most versatile short was designed for maximum comfort and zero distractions.</t>
        </is>
      </c>
      <c r="N66" s="4" t="inlineStr">
        <is>
          <t>Pace-Breaker-Short-Linerless-7-Update</t>
        </is>
      </c>
      <c r="O66" s="4" t="inlineStr">
        <is>
          <t>Athletic Shorts</t>
        </is>
      </c>
    </row>
    <row r="67" ht="80" customHeight="1">
      <c r="A67" s="7">
        <f>IMAGE("https://images.lululemon.com/is/image/lululemon/LM7B80S_0001_1?wid=320&amp;op_usm=0.8",1)</f>
        <v/>
      </c>
      <c r="B67" s="7" t="inlineStr">
        <is>
          <t>Pace Breaker Linerless Short 7"</t>
        </is>
      </c>
      <c r="C67" s="7" t="inlineStr">
        <is>
          <t>155864394</t>
        </is>
      </c>
      <c r="D67" s="7" t="inlineStr">
        <is>
          <t>155864394-lightivory</t>
        </is>
      </c>
      <c r="E67" s="7" t="inlineStr">
        <is>
          <t>Pace Breaker Short 7" *LL INCB XS</t>
        </is>
      </c>
      <c r="F67" s="7" t="inlineStr">
        <is>
          <t>$68.00</t>
        </is>
      </c>
      <c r="G67" s="7" t="inlineStr">
        <is>
          <t>$34.00</t>
        </is>
      </c>
      <c r="H67" s="7" t="inlineStr">
        <is>
          <t>Light Ivory</t>
        </is>
      </c>
      <c r="I67" s="7">
        <f>IMAGE("https://images.lululemon.com/is/image/lululemon/33454",1)</f>
        <v/>
      </c>
      <c r="J67" s="7" t="inlineStr">
        <is>
          <t>L</t>
        </is>
      </c>
      <c r="K67" s="7" t="inlineStr">
        <is>
          <t>62/5203</t>
        </is>
      </c>
      <c r="L67" s="7" t="inlineStr">
        <is>
          <t>Yes</t>
        </is>
      </c>
      <c r="M67" s="7" t="inlineStr">
        <is>
          <t>Athlete backed, performance driven. This elevated version of our most versatile short was designed for maximum comfort and zero distractions.</t>
        </is>
      </c>
      <c r="N67" s="7" t="inlineStr">
        <is>
          <t>Pace-Breaker-Short-Linerless-7-Update</t>
        </is>
      </c>
      <c r="O67" s="7" t="inlineStr">
        <is>
          <t>Athletic Shorts</t>
        </is>
      </c>
    </row>
    <row r="68" ht="80" customHeight="1">
      <c r="A68" s="4">
        <f>IMAGE("https://images.lululemon.com/is/image/lululemon/LM7B80S_0001_1?wid=320&amp;op_usm=0.8",1)</f>
        <v/>
      </c>
      <c r="B68" s="4" t="inlineStr">
        <is>
          <t>Pace Breaker Linerless Short 7"</t>
        </is>
      </c>
      <c r="C68" s="4" t="inlineStr">
        <is>
          <t>155864431</t>
        </is>
      </c>
      <c r="D68" s="4" t="inlineStr">
        <is>
          <t>155864431-lightivory</t>
        </is>
      </c>
      <c r="E68" s="4" t="inlineStr">
        <is>
          <t>Pace Breaker Short 7" *LL INCB XS</t>
        </is>
      </c>
      <c r="F68" s="4" t="inlineStr">
        <is>
          <t>$68.00</t>
        </is>
      </c>
      <c r="G68" s="4" t="inlineStr">
        <is>
          <t>$34.00</t>
        </is>
      </c>
      <c r="H68" s="4" t="inlineStr">
        <is>
          <t>Light Ivory</t>
        </is>
      </c>
      <c r="I68" s="4">
        <f>IMAGE("https://images.lululemon.com/is/image/lululemon/33454",1)</f>
        <v/>
      </c>
      <c r="J68" s="4" t="inlineStr">
        <is>
          <t>XL</t>
        </is>
      </c>
      <c r="K68" s="4" t="inlineStr">
        <is>
          <t>30/5203</t>
        </is>
      </c>
      <c r="L68" s="4" t="inlineStr">
        <is>
          <t>Yes</t>
        </is>
      </c>
      <c r="M68" s="4" t="inlineStr">
        <is>
          <t>Athlete backed, performance driven. This elevated version of our most versatile short was designed for maximum comfort and zero distractions.</t>
        </is>
      </c>
      <c r="N68" s="4" t="inlineStr">
        <is>
          <t>Pace-Breaker-Short-Linerless-7-Update</t>
        </is>
      </c>
      <c r="O68" s="4" t="inlineStr">
        <is>
          <t>Athletic Shorts</t>
        </is>
      </c>
    </row>
    <row r="69" ht="80" customHeight="1">
      <c r="A69" s="7">
        <f>IMAGE("https://images.lululemon.com/is/image/lululemon/LM7B80S_0001_1?wid=320&amp;op_usm=0.8",1)</f>
        <v/>
      </c>
      <c r="B69" s="7" t="inlineStr">
        <is>
          <t>Pace Breaker Linerless Short 7"</t>
        </is>
      </c>
      <c r="C69" s="7" t="inlineStr">
        <is>
          <t>155864450</t>
        </is>
      </c>
      <c r="D69" s="7" t="inlineStr">
        <is>
          <t>155864450-lightivory</t>
        </is>
      </c>
      <c r="E69" s="7" t="inlineStr">
        <is>
          <t>Pace Breaker Short 7" *LL INCB XS</t>
        </is>
      </c>
      <c r="F69" s="7" t="inlineStr">
        <is>
          <t>$68.00</t>
        </is>
      </c>
      <c r="G69" s="7" t="inlineStr">
        <is>
          <t>$34.00</t>
        </is>
      </c>
      <c r="H69" s="7" t="inlineStr">
        <is>
          <t>Light Ivory</t>
        </is>
      </c>
      <c r="I69" s="7">
        <f>IMAGE("https://images.lululemon.com/is/image/lululemon/33454",1)</f>
        <v/>
      </c>
      <c r="J69" s="7" t="inlineStr">
        <is>
          <t>XXL</t>
        </is>
      </c>
      <c r="K69" s="7" t="inlineStr">
        <is>
          <t>11/5203</t>
        </is>
      </c>
      <c r="L69" s="7" t="inlineStr">
        <is>
          <t>Yes</t>
        </is>
      </c>
      <c r="M69" s="7" t="inlineStr">
        <is>
          <t>Athlete backed, performance driven. This elevated version of our most versatile short was designed for maximum comfort and zero distractions.</t>
        </is>
      </c>
      <c r="N69" s="7" t="inlineStr">
        <is>
          <t>Pace-Breaker-Short-Linerless-7-Update</t>
        </is>
      </c>
      <c r="O69" s="7" t="inlineStr">
        <is>
          <t>Athletic Shorts</t>
        </is>
      </c>
    </row>
    <row r="70" ht="80" customHeight="1">
      <c r="A70" s="4">
        <f>IMAGE("https://images.lululemon.com/is/image/lululemon/LM7B80S_0001_1?wid=320&amp;op_usm=0.8",1)</f>
        <v/>
      </c>
      <c r="B70" s="4" t="inlineStr">
        <is>
          <t>Pace Breaker Linerless Short 7"</t>
        </is>
      </c>
      <c r="C70" s="4" t="inlineStr">
        <is>
          <t>155857468</t>
        </is>
      </c>
      <c r="D70" s="4" t="inlineStr">
        <is>
          <t>155857468-solargrey</t>
        </is>
      </c>
      <c r="E70" s="4" t="inlineStr">
        <is>
          <t>Pace Breaker Short 7" *LL INCB XS</t>
        </is>
      </c>
      <c r="F70" s="4" t="inlineStr">
        <is>
          <t>$68.00</t>
        </is>
      </c>
      <c r="G70" s="4" t="inlineStr">
        <is>
          <t>$34.00</t>
        </is>
      </c>
      <c r="H70" s="4" t="inlineStr">
        <is>
          <t>Solar Grey</t>
        </is>
      </c>
      <c r="I70" s="4">
        <f>IMAGE("https://images.lululemon.com/is/image/lululemon/38426",1)</f>
        <v/>
      </c>
      <c r="J70" s="4" t="inlineStr">
        <is>
          <t>S</t>
        </is>
      </c>
      <c r="K70" s="4" t="inlineStr">
        <is>
          <t>22/5203</t>
        </is>
      </c>
      <c r="L70" s="4" t="inlineStr">
        <is>
          <t>Yes</t>
        </is>
      </c>
      <c r="M70" s="4" t="inlineStr">
        <is>
          <t>Athlete backed, performance driven. This elevated version of our most versatile short was designed for maximum comfort and zero distractions.</t>
        </is>
      </c>
      <c r="N70" s="4" t="inlineStr">
        <is>
          <t>Pace-Breaker-Short-Linerless-7-Update</t>
        </is>
      </c>
      <c r="O70" s="4" t="inlineStr">
        <is>
          <t>Athletic Shorts</t>
        </is>
      </c>
    </row>
    <row r="71" ht="80" customHeight="1">
      <c r="A71" s="7">
        <f>IMAGE("https://images.lululemon.com/is/image/lululemon/LM7B80S_0001_1?wid=320&amp;op_usm=0.8",1)</f>
        <v/>
      </c>
      <c r="B71" s="7" t="inlineStr">
        <is>
          <t>Pace Breaker Linerless Short 7"</t>
        </is>
      </c>
      <c r="C71" s="7" t="inlineStr">
        <is>
          <t>155857457</t>
        </is>
      </c>
      <c r="D71" s="7" t="inlineStr">
        <is>
          <t>155857457-solargrey</t>
        </is>
      </c>
      <c r="E71" s="7" t="inlineStr">
        <is>
          <t>Pace Breaker Short 7" *LL INCB XS</t>
        </is>
      </c>
      <c r="F71" s="7" t="inlineStr">
        <is>
          <t>$68.00</t>
        </is>
      </c>
      <c r="G71" s="7" t="inlineStr">
        <is>
          <t>$34.00</t>
        </is>
      </c>
      <c r="H71" s="7" t="inlineStr">
        <is>
          <t>Solar Grey</t>
        </is>
      </c>
      <c r="I71" s="7">
        <f>IMAGE("https://images.lululemon.com/is/image/lululemon/38426",1)</f>
        <v/>
      </c>
      <c r="J71" s="7" t="inlineStr">
        <is>
          <t>M</t>
        </is>
      </c>
      <c r="K71" s="7" t="inlineStr">
        <is>
          <t>82/5203</t>
        </is>
      </c>
      <c r="L71" s="7" t="inlineStr">
        <is>
          <t>Yes</t>
        </is>
      </c>
      <c r="M71" s="7" t="inlineStr">
        <is>
          <t>Athlete backed, performance driven. This elevated version of our most versatile short was designed for maximum comfort and zero distractions.</t>
        </is>
      </c>
      <c r="N71" s="7" t="inlineStr">
        <is>
          <t>Pace-Breaker-Short-Linerless-7-Update</t>
        </is>
      </c>
      <c r="O71" s="7" t="inlineStr">
        <is>
          <t>Athletic Shorts</t>
        </is>
      </c>
    </row>
    <row r="72" ht="80" customHeight="1">
      <c r="A72" s="4">
        <f>IMAGE("https://images.lululemon.com/is/image/lululemon/LM7B80S_0001_1?wid=320&amp;op_usm=0.8",1)</f>
        <v/>
      </c>
      <c r="B72" s="4" t="inlineStr">
        <is>
          <t>Pace Breaker Linerless Short 7"</t>
        </is>
      </c>
      <c r="C72" s="4" t="inlineStr">
        <is>
          <t>155857441</t>
        </is>
      </c>
      <c r="D72" s="4" t="inlineStr">
        <is>
          <t>155857441-solargrey</t>
        </is>
      </c>
      <c r="E72" s="4" t="inlineStr">
        <is>
          <t>Pace Breaker Short 7" *LL INCB XS</t>
        </is>
      </c>
      <c r="F72" s="4" t="inlineStr">
        <is>
          <t>$68.00</t>
        </is>
      </c>
      <c r="G72" s="4" t="inlineStr">
        <is>
          <t>$34.00</t>
        </is>
      </c>
      <c r="H72" s="4" t="inlineStr">
        <is>
          <t>Solar Grey</t>
        </is>
      </c>
      <c r="I72" s="4">
        <f>IMAGE("https://images.lululemon.com/is/image/lululemon/38426",1)</f>
        <v/>
      </c>
      <c r="J72" s="4" t="inlineStr">
        <is>
          <t>L</t>
        </is>
      </c>
      <c r="K72" s="4" t="inlineStr">
        <is>
          <t>74/5203</t>
        </is>
      </c>
      <c r="L72" s="4" t="inlineStr">
        <is>
          <t>Yes</t>
        </is>
      </c>
      <c r="M72" s="4" t="inlineStr">
        <is>
          <t>Athlete backed, performance driven. This elevated version of our most versatile short was designed for maximum comfort and zero distractions.</t>
        </is>
      </c>
      <c r="N72" s="4" t="inlineStr">
        <is>
          <t>Pace-Breaker-Short-Linerless-7-Update</t>
        </is>
      </c>
      <c r="O72" s="4" t="inlineStr">
        <is>
          <t>Athletic Shorts</t>
        </is>
      </c>
    </row>
    <row r="73" ht="80" customHeight="1">
      <c r="A73" s="7">
        <f>IMAGE("https://images.lululemon.com/is/image/lululemon/LM7B80S_0001_1?wid=320&amp;op_usm=0.8",1)</f>
        <v/>
      </c>
      <c r="B73" s="7" t="inlineStr">
        <is>
          <t>Pace Breaker Linerless Short 7"</t>
        </is>
      </c>
      <c r="C73" s="7" t="inlineStr">
        <is>
          <t>155857481</t>
        </is>
      </c>
      <c r="D73" s="7" t="inlineStr">
        <is>
          <t>155857481-solargrey</t>
        </is>
      </c>
      <c r="E73" s="7" t="inlineStr">
        <is>
          <t>Pace Breaker Short 7" *LL INCB XS</t>
        </is>
      </c>
      <c r="F73" s="7" t="inlineStr">
        <is>
          <t>$68.00</t>
        </is>
      </c>
      <c r="G73" s="7" t="inlineStr">
        <is>
          <t>$34.00</t>
        </is>
      </c>
      <c r="H73" s="7" t="inlineStr">
        <is>
          <t>Solar Grey</t>
        </is>
      </c>
      <c r="I73" s="7">
        <f>IMAGE("https://images.lululemon.com/is/image/lululemon/38426",1)</f>
        <v/>
      </c>
      <c r="J73" s="7" t="inlineStr">
        <is>
          <t>XL</t>
        </is>
      </c>
      <c r="K73" s="7" t="inlineStr">
        <is>
          <t>42/5203</t>
        </is>
      </c>
      <c r="L73" s="7" t="inlineStr">
        <is>
          <t>Yes</t>
        </is>
      </c>
      <c r="M73" s="7" t="inlineStr">
        <is>
          <t>Athlete backed, performance driven. This elevated version of our most versatile short was designed for maximum comfort and zero distractions.</t>
        </is>
      </c>
      <c r="N73" s="7" t="inlineStr">
        <is>
          <t>Pace-Breaker-Short-Linerless-7-Update</t>
        </is>
      </c>
      <c r="O73" s="7" t="inlineStr">
        <is>
          <t>Athletic Shorts</t>
        </is>
      </c>
    </row>
    <row r="74" ht="80" customHeight="1">
      <c r="A74" s="4">
        <f>IMAGE("https://images.lululemon.com/is/image/lululemon/LM7B80S_0001_1?wid=320&amp;op_usm=0.8",1)</f>
        <v/>
      </c>
      <c r="B74" s="4" t="inlineStr">
        <is>
          <t>Pace Breaker Linerless Short 7"</t>
        </is>
      </c>
      <c r="C74" s="4" t="inlineStr">
        <is>
          <t>155857508</t>
        </is>
      </c>
      <c r="D74" s="4" t="inlineStr">
        <is>
          <t>155857508-solargrey</t>
        </is>
      </c>
      <c r="E74" s="4" t="inlineStr">
        <is>
          <t>Pace Breaker Short 7" *LL INCB XS</t>
        </is>
      </c>
      <c r="F74" s="4" t="inlineStr">
        <is>
          <t>$68.00</t>
        </is>
      </c>
      <c r="G74" s="4" t="inlineStr">
        <is>
          <t>$34.00</t>
        </is>
      </c>
      <c r="H74" s="4" t="inlineStr">
        <is>
          <t>Solar Grey</t>
        </is>
      </c>
      <c r="I74" s="4">
        <f>IMAGE("https://images.lululemon.com/is/image/lululemon/38426",1)</f>
        <v/>
      </c>
      <c r="J74" s="4" t="inlineStr">
        <is>
          <t>XXL</t>
        </is>
      </c>
      <c r="K74" s="4" t="inlineStr">
        <is>
          <t>12/5203</t>
        </is>
      </c>
      <c r="L74" s="4" t="inlineStr">
        <is>
          <t>Yes</t>
        </is>
      </c>
      <c r="M74" s="4" t="inlineStr">
        <is>
          <t>Athlete backed, performance driven. This elevated version of our most versatile short was designed for maximum comfort and zero distractions.</t>
        </is>
      </c>
      <c r="N74" s="4" t="inlineStr">
        <is>
          <t>Pace-Breaker-Short-Linerless-7-Update</t>
        </is>
      </c>
      <c r="O74" s="4" t="inlineStr">
        <is>
          <t>Athletic Shorts</t>
        </is>
      </c>
    </row>
    <row r="75" ht="80" customHeight="1">
      <c r="A75" s="7">
        <f>IMAGE("https://images.lululemon.com/is/image/lululemon/LM7B80S_0001_1?wid=320&amp;op_usm=0.8",1)</f>
        <v/>
      </c>
      <c r="B75" s="7" t="inlineStr">
        <is>
          <t>Pace Breaker Linerless Short 7"</t>
        </is>
      </c>
      <c r="C75" s="7" t="inlineStr">
        <is>
          <t>157708186</t>
        </is>
      </c>
      <c r="D75" s="7" t="inlineStr">
        <is>
          <t>157708186-sereneblue</t>
        </is>
      </c>
      <c r="E75" s="7" t="inlineStr">
        <is>
          <t>Pace Breaker Short 7" *LL INCB XS</t>
        </is>
      </c>
      <c r="F75" s="7" t="inlineStr">
        <is>
          <t>$68.00</t>
        </is>
      </c>
      <c r="G75" s="7" t="inlineStr">
        <is>
          <t>$34.00</t>
        </is>
      </c>
      <c r="H75" s="7" t="inlineStr">
        <is>
          <t>Serene Blue</t>
        </is>
      </c>
      <c r="I75" s="7">
        <f>IMAGE("https://images.lululemon.com/is/image/lululemon/32507",1)</f>
        <v/>
      </c>
      <c r="J75" s="7" t="inlineStr">
        <is>
          <t>S</t>
        </is>
      </c>
      <c r="K75" s="7" t="inlineStr">
        <is>
          <t>47/5203</t>
        </is>
      </c>
      <c r="L75" s="7" t="inlineStr">
        <is>
          <t>Yes</t>
        </is>
      </c>
      <c r="M75" s="7" t="inlineStr">
        <is>
          <t>Athlete backed, performance driven. This elevated version of our most versatile short was designed for maximum comfort and zero distractions.</t>
        </is>
      </c>
      <c r="N75" s="7" t="inlineStr">
        <is>
          <t>Pace-Breaker-Short-Linerless-7-Update</t>
        </is>
      </c>
      <c r="O75" s="7" t="inlineStr">
        <is>
          <t>Athletic Shorts</t>
        </is>
      </c>
    </row>
    <row r="76" ht="80" customHeight="1">
      <c r="A76" s="4">
        <f>IMAGE("https://images.lululemon.com/is/image/lululemon/LM7B80S_0001_1?wid=320&amp;op_usm=0.8",1)</f>
        <v/>
      </c>
      <c r="B76" s="4" t="inlineStr">
        <is>
          <t>Pace Breaker Linerless Short 7"</t>
        </is>
      </c>
      <c r="C76" s="4" t="inlineStr">
        <is>
          <t>157708169</t>
        </is>
      </c>
      <c r="D76" s="4" t="inlineStr">
        <is>
          <t>157708169-sereneblue</t>
        </is>
      </c>
      <c r="E76" s="4" t="inlineStr">
        <is>
          <t>Pace Breaker Short 7" *LL INCB XS</t>
        </is>
      </c>
      <c r="F76" s="4" t="inlineStr">
        <is>
          <t>$68.00</t>
        </is>
      </c>
      <c r="G76" s="4" t="inlineStr">
        <is>
          <t>$34.00</t>
        </is>
      </c>
      <c r="H76" s="4" t="inlineStr">
        <is>
          <t>Serene Blue</t>
        </is>
      </c>
      <c r="I76" s="4">
        <f>IMAGE("https://images.lululemon.com/is/image/lululemon/32507",1)</f>
        <v/>
      </c>
      <c r="J76" s="4" t="inlineStr">
        <is>
          <t>M</t>
        </is>
      </c>
      <c r="K76" s="4" t="inlineStr">
        <is>
          <t>102/5203</t>
        </is>
      </c>
      <c r="L76" s="4" t="inlineStr">
        <is>
          <t>Yes</t>
        </is>
      </c>
      <c r="M76" s="4" t="inlineStr">
        <is>
          <t>Athlete backed, performance driven. This elevated version of our most versatile short was designed for maximum comfort and zero distractions.</t>
        </is>
      </c>
      <c r="N76" s="4" t="inlineStr">
        <is>
          <t>Pace-Breaker-Short-Linerless-7-Update</t>
        </is>
      </c>
      <c r="O76" s="4" t="inlineStr">
        <is>
          <t>Athletic Shorts</t>
        </is>
      </c>
    </row>
    <row r="77" ht="80" customHeight="1">
      <c r="A77" s="7">
        <f>IMAGE("https://images.lululemon.com/is/image/lululemon/LM7B80S_0001_1?wid=320&amp;op_usm=0.8",1)</f>
        <v/>
      </c>
      <c r="B77" s="7" t="inlineStr">
        <is>
          <t>Pace Breaker Linerless Short 7"</t>
        </is>
      </c>
      <c r="C77" s="7" t="inlineStr">
        <is>
          <t>157708154</t>
        </is>
      </c>
      <c r="D77" s="7" t="inlineStr">
        <is>
          <t>157708154-sereneblue</t>
        </is>
      </c>
      <c r="E77" s="7" t="inlineStr">
        <is>
          <t>Pace Breaker Short 7" *LL INCB XS</t>
        </is>
      </c>
      <c r="F77" s="7" t="inlineStr">
        <is>
          <t>$68.00</t>
        </is>
      </c>
      <c r="G77" s="7" t="inlineStr">
        <is>
          <t>$34.00</t>
        </is>
      </c>
      <c r="H77" s="7" t="inlineStr">
        <is>
          <t>Serene Blue</t>
        </is>
      </c>
      <c r="I77" s="7">
        <f>IMAGE("https://images.lululemon.com/is/image/lululemon/32507",1)</f>
        <v/>
      </c>
      <c r="J77" s="7" t="inlineStr">
        <is>
          <t>L</t>
        </is>
      </c>
      <c r="K77" s="7" t="inlineStr">
        <is>
          <t>101/5203</t>
        </is>
      </c>
      <c r="L77" s="7" t="inlineStr">
        <is>
          <t>Yes</t>
        </is>
      </c>
      <c r="M77" s="7" t="inlineStr">
        <is>
          <t>Athlete backed, performance driven. This elevated version of our most versatile short was designed for maximum comfort and zero distractions.</t>
        </is>
      </c>
      <c r="N77" s="7" t="inlineStr">
        <is>
          <t>Pace-Breaker-Short-Linerless-7-Update</t>
        </is>
      </c>
      <c r="O77" s="7" t="inlineStr">
        <is>
          <t>Athletic Shorts</t>
        </is>
      </c>
    </row>
    <row r="78" ht="80" customHeight="1">
      <c r="A78" s="4">
        <f>IMAGE("https://images.lululemon.com/is/image/lululemon/LM7B80S_0001_1?wid=320&amp;op_usm=0.8",1)</f>
        <v/>
      </c>
      <c r="B78" s="4" t="inlineStr">
        <is>
          <t>Pace Breaker Linerless Short 7"</t>
        </is>
      </c>
      <c r="C78" s="4" t="inlineStr">
        <is>
          <t>157708203</t>
        </is>
      </c>
      <c r="D78" s="4" t="inlineStr">
        <is>
          <t>157708203-sereneblue</t>
        </is>
      </c>
      <c r="E78" s="4" t="inlineStr">
        <is>
          <t>Pace Breaker Short 7" *LL INCB XS</t>
        </is>
      </c>
      <c r="F78" s="4" t="inlineStr">
        <is>
          <t>$68.00</t>
        </is>
      </c>
      <c r="G78" s="4" t="inlineStr">
        <is>
          <t>$34.00</t>
        </is>
      </c>
      <c r="H78" s="4" t="inlineStr">
        <is>
          <t>Serene Blue</t>
        </is>
      </c>
      <c r="I78" s="4">
        <f>IMAGE("https://images.lululemon.com/is/image/lululemon/32507",1)</f>
        <v/>
      </c>
      <c r="J78" s="4" t="inlineStr">
        <is>
          <t>XL</t>
        </is>
      </c>
      <c r="K78" s="4" t="inlineStr">
        <is>
          <t>59/5203</t>
        </is>
      </c>
      <c r="L78" s="4" t="inlineStr">
        <is>
          <t>Yes</t>
        </is>
      </c>
      <c r="M78" s="4" t="inlineStr">
        <is>
          <t>Athlete backed, performance driven. This elevated version of our most versatile short was designed for maximum comfort and zero distractions.</t>
        </is>
      </c>
      <c r="N78" s="4" t="inlineStr">
        <is>
          <t>Pace-Breaker-Short-Linerless-7-Update</t>
        </is>
      </c>
      <c r="O78" s="4" t="inlineStr">
        <is>
          <t>Athletic Shorts</t>
        </is>
      </c>
    </row>
    <row r="79" ht="80" customHeight="1">
      <c r="A79" s="7">
        <f>IMAGE("https://images.lululemon.com/is/image/lululemon/LM7B80S_0001_1?wid=320&amp;op_usm=0.8",1)</f>
        <v/>
      </c>
      <c r="B79" s="7" t="inlineStr">
        <is>
          <t>Pace Breaker Linerless Short 7"</t>
        </is>
      </c>
      <c r="C79" s="7" t="inlineStr">
        <is>
          <t>157708235</t>
        </is>
      </c>
      <c r="D79" s="7" t="inlineStr">
        <is>
          <t>157708235-sereneblue</t>
        </is>
      </c>
      <c r="E79" s="7" t="inlineStr">
        <is>
          <t>Pace Breaker Short 7" *LL INCB XS</t>
        </is>
      </c>
      <c r="F79" s="7" t="inlineStr">
        <is>
          <t>$68.00</t>
        </is>
      </c>
      <c r="G79" s="7" t="inlineStr">
        <is>
          <t>$34.00</t>
        </is>
      </c>
      <c r="H79" s="7" t="inlineStr">
        <is>
          <t>Serene Blue</t>
        </is>
      </c>
      <c r="I79" s="7">
        <f>IMAGE("https://images.lululemon.com/is/image/lululemon/32507",1)</f>
        <v/>
      </c>
      <c r="J79" s="7" t="inlineStr">
        <is>
          <t>XXL</t>
        </is>
      </c>
      <c r="K79" s="7" t="inlineStr">
        <is>
          <t>18/5203</t>
        </is>
      </c>
      <c r="L79" s="7" t="inlineStr">
        <is>
          <t>Yes</t>
        </is>
      </c>
      <c r="M79" s="7" t="inlineStr">
        <is>
          <t>Athlete backed, performance driven. This elevated version of our most versatile short was designed for maximum comfort and zero distractions.</t>
        </is>
      </c>
      <c r="N79" s="7" t="inlineStr">
        <is>
          <t>Pace-Breaker-Short-Linerless-7-Update</t>
        </is>
      </c>
      <c r="O79" s="7" t="inlineStr">
        <is>
          <t>Athletic Shorts</t>
        </is>
      </c>
    </row>
    <row r="80" ht="80" customHeight="1">
      <c r="A80" s="4">
        <f>IMAGE("https://images.lululemon.com/is/image/lululemon/LM7B80S_0001_1?wid=320&amp;op_usm=0.8",1)</f>
        <v/>
      </c>
      <c r="B80" s="4" t="inlineStr">
        <is>
          <t>Pace Breaker Linerless Short 7"</t>
        </is>
      </c>
      <c r="C80" s="4" t="inlineStr">
        <is>
          <t>157710491</t>
        </is>
      </c>
      <c r="D80" s="4" t="inlineStr">
        <is>
          <t>157710491-redclay</t>
        </is>
      </c>
      <c r="E80" s="4" t="inlineStr">
        <is>
          <t>Pace Breaker Short 7" *LL INCB XS</t>
        </is>
      </c>
      <c r="F80" s="4" t="inlineStr">
        <is>
          <t>$68.00</t>
        </is>
      </c>
      <c r="G80" s="4" t="inlineStr">
        <is>
          <t>$34.00</t>
        </is>
      </c>
      <c r="H80" s="4" t="inlineStr">
        <is>
          <t>Red Clay</t>
        </is>
      </c>
      <c r="I80" s="4">
        <f>IMAGE("https://images.lululemon.com/is/image/lululemon/71169",1)</f>
        <v/>
      </c>
      <c r="J80" s="4" t="inlineStr">
        <is>
          <t>S</t>
        </is>
      </c>
      <c r="K80" s="4" t="inlineStr">
        <is>
          <t>36/5203</t>
        </is>
      </c>
      <c r="L80" s="4" t="inlineStr">
        <is>
          <t>Yes</t>
        </is>
      </c>
      <c r="M80" s="4" t="inlineStr">
        <is>
          <t>Athlete backed, performance driven. This elevated version of our most versatile short was designed for maximum comfort and zero distractions.</t>
        </is>
      </c>
      <c r="N80" s="4" t="inlineStr">
        <is>
          <t>Pace-Breaker-Short-Linerless-7-Update</t>
        </is>
      </c>
      <c r="O80" s="4" t="inlineStr">
        <is>
          <t>Athletic Shorts</t>
        </is>
      </c>
    </row>
    <row r="81" ht="80" customHeight="1">
      <c r="A81" s="7">
        <f>IMAGE("https://images.lululemon.com/is/image/lululemon/LM7B80S_0001_1?wid=320&amp;op_usm=0.8",1)</f>
        <v/>
      </c>
      <c r="B81" s="7" t="inlineStr">
        <is>
          <t>Pace Breaker Linerless Short 7"</t>
        </is>
      </c>
      <c r="C81" s="7" t="inlineStr">
        <is>
          <t>157710490</t>
        </is>
      </c>
      <c r="D81" s="7" t="inlineStr">
        <is>
          <t>157710490-redclay</t>
        </is>
      </c>
      <c r="E81" s="7" t="inlineStr">
        <is>
          <t>Pace Breaker Short 7" *LL INCB XS</t>
        </is>
      </c>
      <c r="F81" s="7" t="inlineStr">
        <is>
          <t>$68.00</t>
        </is>
      </c>
      <c r="G81" s="7" t="inlineStr">
        <is>
          <t>$34.00</t>
        </is>
      </c>
      <c r="H81" s="7" t="inlineStr">
        <is>
          <t>Red Clay</t>
        </is>
      </c>
      <c r="I81" s="7">
        <f>IMAGE("https://images.lululemon.com/is/image/lululemon/71169",1)</f>
        <v/>
      </c>
      <c r="J81" s="7" t="inlineStr">
        <is>
          <t>M</t>
        </is>
      </c>
      <c r="K81" s="7" t="inlineStr">
        <is>
          <t>35/5203</t>
        </is>
      </c>
      <c r="L81" s="7" t="inlineStr">
        <is>
          <t>Yes</t>
        </is>
      </c>
      <c r="M81" s="7" t="inlineStr">
        <is>
          <t>Athlete backed, performance driven. This elevated version of our most versatile short was designed for maximum comfort and zero distractions.</t>
        </is>
      </c>
      <c r="N81" s="7" t="inlineStr">
        <is>
          <t>Pace-Breaker-Short-Linerless-7-Update</t>
        </is>
      </c>
      <c r="O81" s="7" t="inlineStr">
        <is>
          <t>Athletic Shorts</t>
        </is>
      </c>
    </row>
    <row r="82" ht="80" customHeight="1">
      <c r="A82" s="4">
        <f>IMAGE("https://images.lululemon.com/is/image/lululemon/LM7B80S_0001_1?wid=320&amp;op_usm=0.8",1)</f>
        <v/>
      </c>
      <c r="B82" s="4" t="inlineStr">
        <is>
          <t>Pace Breaker Linerless Short 7"</t>
        </is>
      </c>
      <c r="C82" s="4" t="inlineStr">
        <is>
          <t>157710488</t>
        </is>
      </c>
      <c r="D82" s="4" t="inlineStr">
        <is>
          <t>157710488-redclay</t>
        </is>
      </c>
      <c r="E82" s="4" t="inlineStr">
        <is>
          <t>Pace Breaker Short 7" *LL INCB XS</t>
        </is>
      </c>
      <c r="F82" s="4" t="inlineStr">
        <is>
          <t>$68.00</t>
        </is>
      </c>
      <c r="G82" s="4" t="inlineStr">
        <is>
          <t>$34.00</t>
        </is>
      </c>
      <c r="H82" s="4" t="inlineStr">
        <is>
          <t>Red Clay</t>
        </is>
      </c>
      <c r="I82" s="4">
        <f>IMAGE("https://images.lululemon.com/is/image/lululemon/71169",1)</f>
        <v/>
      </c>
      <c r="J82" s="4" t="inlineStr">
        <is>
          <t>L</t>
        </is>
      </c>
      <c r="K82" s="4" t="inlineStr">
        <is>
          <t>92/5203</t>
        </is>
      </c>
      <c r="L82" s="4" t="inlineStr">
        <is>
          <t>Yes</t>
        </is>
      </c>
      <c r="M82" s="4" t="inlineStr">
        <is>
          <t>Athlete backed, performance driven. This elevated version of our most versatile short was designed for maximum comfort and zero distractions.</t>
        </is>
      </c>
      <c r="N82" s="4" t="inlineStr">
        <is>
          <t>Pace-Breaker-Short-Linerless-7-Update</t>
        </is>
      </c>
      <c r="O82" s="4" t="inlineStr">
        <is>
          <t>Athletic Shorts</t>
        </is>
      </c>
    </row>
    <row r="83" ht="80" customHeight="1">
      <c r="A83" s="7">
        <f>IMAGE("https://images.lululemon.com/is/image/lululemon/LM7B80S_0001_1?wid=320&amp;op_usm=0.8",1)</f>
        <v/>
      </c>
      <c r="B83" s="7" t="inlineStr">
        <is>
          <t>Pace Breaker Linerless Short 7"</t>
        </is>
      </c>
      <c r="C83" s="7" t="inlineStr">
        <is>
          <t>157710493</t>
        </is>
      </c>
      <c r="D83" s="7" t="inlineStr">
        <is>
          <t>157710493-redclay</t>
        </is>
      </c>
      <c r="E83" s="7" t="inlineStr">
        <is>
          <t>Pace Breaker Short 7" *LL INCB XS</t>
        </is>
      </c>
      <c r="F83" s="7" t="inlineStr">
        <is>
          <t>$68.00</t>
        </is>
      </c>
      <c r="G83" s="7" t="inlineStr">
        <is>
          <t>$34.00</t>
        </is>
      </c>
      <c r="H83" s="7" t="inlineStr">
        <is>
          <t>Red Clay</t>
        </is>
      </c>
      <c r="I83" s="7">
        <f>IMAGE("https://images.lululemon.com/is/image/lululemon/71169",1)</f>
        <v/>
      </c>
      <c r="J83" s="7" t="inlineStr">
        <is>
          <t>XL</t>
        </is>
      </c>
      <c r="K83" s="7" t="inlineStr">
        <is>
          <t>48/5203</t>
        </is>
      </c>
      <c r="L83" s="7" t="inlineStr">
        <is>
          <t>Yes</t>
        </is>
      </c>
      <c r="M83" s="7" t="inlineStr">
        <is>
          <t>Athlete backed, performance driven. This elevated version of our most versatile short was designed for maximum comfort and zero distractions.</t>
        </is>
      </c>
      <c r="N83" s="7" t="inlineStr">
        <is>
          <t>Pace-Breaker-Short-Linerless-7-Update</t>
        </is>
      </c>
      <c r="O83" s="7" t="inlineStr">
        <is>
          <t>Athletic Shorts</t>
        </is>
      </c>
    </row>
    <row r="84" ht="80" customHeight="1">
      <c r="A84" s="4">
        <f>IMAGE("https://images.lululemon.com/is/image/lululemon/LM7B80S_0001_1?wid=320&amp;op_usm=0.8",1)</f>
        <v/>
      </c>
      <c r="B84" s="4" t="inlineStr">
        <is>
          <t>Pace Breaker Linerless Short 7"</t>
        </is>
      </c>
      <c r="C84" s="4" t="inlineStr">
        <is>
          <t>157710497</t>
        </is>
      </c>
      <c r="D84" s="4" t="inlineStr">
        <is>
          <t>157710497-redclay</t>
        </is>
      </c>
      <c r="E84" s="4" t="inlineStr">
        <is>
          <t>Pace Breaker Short 7" *LL INCB XS</t>
        </is>
      </c>
      <c r="F84" s="4" t="inlineStr">
        <is>
          <t>$68.00</t>
        </is>
      </c>
      <c r="G84" s="4" t="inlineStr">
        <is>
          <t>$34.00</t>
        </is>
      </c>
      <c r="H84" s="4" t="inlineStr">
        <is>
          <t>Red Clay</t>
        </is>
      </c>
      <c r="I84" s="4">
        <f>IMAGE("https://images.lululemon.com/is/image/lululemon/71169",1)</f>
        <v/>
      </c>
      <c r="J84" s="4" t="inlineStr">
        <is>
          <t>XXL</t>
        </is>
      </c>
      <c r="K84" s="4" t="inlineStr">
        <is>
          <t>10/5203</t>
        </is>
      </c>
      <c r="L84" s="4" t="inlineStr">
        <is>
          <t>Yes</t>
        </is>
      </c>
      <c r="M84" s="4" t="inlineStr">
        <is>
          <t>Athlete backed, performance driven. This elevated version of our most versatile short was designed for maximum comfort and zero distractions.</t>
        </is>
      </c>
      <c r="N84" s="4" t="inlineStr">
        <is>
          <t>Pace-Breaker-Short-Linerless-7-Update</t>
        </is>
      </c>
      <c r="O84" s="4" t="inlineStr">
        <is>
          <t>Athletic Shorts</t>
        </is>
      </c>
    </row>
    <row r="85" ht="80" customHeight="1">
      <c r="A85" s="7">
        <f>IMAGE("https://images.lululemon.com/is/image/lululemon/LM7B80S_0001_1?wid=320&amp;op_usm=0.8",1)</f>
        <v/>
      </c>
      <c r="B85" s="7" t="inlineStr">
        <is>
          <t>Pace Breaker Linerless Short 7"</t>
        </is>
      </c>
      <c r="C85" s="7" t="inlineStr">
        <is>
          <t>158097865</t>
        </is>
      </c>
      <c r="D85" s="7" t="inlineStr">
        <is>
          <t>158097865-ultraplum</t>
        </is>
      </c>
      <c r="E85" s="7" t="inlineStr">
        <is>
          <t>Pace Breaker Short 7" *LL INCB XS</t>
        </is>
      </c>
      <c r="F85" s="7" t="inlineStr">
        <is>
          <t>$68.00</t>
        </is>
      </c>
      <c r="G85" s="7" t="inlineStr">
        <is>
          <t>$34.00</t>
        </is>
      </c>
      <c r="H85" s="7" t="inlineStr">
        <is>
          <t>Ultra Plum</t>
        </is>
      </c>
      <c r="I85" s="7">
        <f>IMAGE("https://images.lululemon.com/is/image/lululemon/72716",1)</f>
        <v/>
      </c>
      <c r="J85" s="7" t="inlineStr">
        <is>
          <t>S</t>
        </is>
      </c>
      <c r="K85" s="7" t="inlineStr">
        <is>
          <t>19/5203</t>
        </is>
      </c>
      <c r="L85" s="7" t="inlineStr">
        <is>
          <t>Yes</t>
        </is>
      </c>
      <c r="M85" s="7" t="inlineStr">
        <is>
          <t>Athlete backed, performance driven. This elevated version of our most versatile short was designed for maximum comfort and zero distractions.</t>
        </is>
      </c>
      <c r="N85" s="7" t="inlineStr">
        <is>
          <t>Pace-Breaker-Short-Linerless-7-Update</t>
        </is>
      </c>
      <c r="O85" s="7" t="inlineStr">
        <is>
          <t>Athletic Shorts</t>
        </is>
      </c>
    </row>
    <row r="86" ht="80" customHeight="1">
      <c r="A86" s="4">
        <f>IMAGE("https://images.lululemon.com/is/image/lululemon/LM7B80S_0001_1?wid=320&amp;op_usm=0.8",1)</f>
        <v/>
      </c>
      <c r="B86" s="4" t="inlineStr">
        <is>
          <t>Pace Breaker Linerless Short 7"</t>
        </is>
      </c>
      <c r="C86" s="4" t="inlineStr">
        <is>
          <t>158097841</t>
        </is>
      </c>
      <c r="D86" s="4" t="inlineStr">
        <is>
          <t>158097841-ultraplum</t>
        </is>
      </c>
      <c r="E86" s="4" t="inlineStr">
        <is>
          <t>Pace Breaker Short 7" *LL INCB XS</t>
        </is>
      </c>
      <c r="F86" s="4" t="inlineStr">
        <is>
          <t>$68.00</t>
        </is>
      </c>
      <c r="G86" s="4" t="inlineStr">
        <is>
          <t>$34.00</t>
        </is>
      </c>
      <c r="H86" s="4" t="inlineStr">
        <is>
          <t>Ultra Plum</t>
        </is>
      </c>
      <c r="I86" s="4">
        <f>IMAGE("https://images.lululemon.com/is/image/lululemon/72716",1)</f>
        <v/>
      </c>
      <c r="J86" s="4" t="inlineStr">
        <is>
          <t>M</t>
        </is>
      </c>
      <c r="K86" s="4" t="inlineStr">
        <is>
          <t>73/5203</t>
        </is>
      </c>
      <c r="L86" s="4" t="inlineStr">
        <is>
          <t>Yes</t>
        </is>
      </c>
      <c r="M86" s="4" t="inlineStr">
        <is>
          <t>Athlete backed, performance driven. This elevated version of our most versatile short was designed for maximum comfort and zero distractions.</t>
        </is>
      </c>
      <c r="N86" s="4" t="inlineStr">
        <is>
          <t>Pace-Breaker-Short-Linerless-7-Update</t>
        </is>
      </c>
      <c r="O86" s="4" t="inlineStr">
        <is>
          <t>Athletic Shorts</t>
        </is>
      </c>
    </row>
    <row r="87" ht="80" customHeight="1">
      <c r="A87" s="7">
        <f>IMAGE("https://images.lululemon.com/is/image/lululemon/LM7B80S_0001_1?wid=320&amp;op_usm=0.8",1)</f>
        <v/>
      </c>
      <c r="B87" s="7" t="inlineStr">
        <is>
          <t>Pace Breaker Linerless Short 7"</t>
        </is>
      </c>
      <c r="C87" s="7" t="inlineStr">
        <is>
          <t>158097816</t>
        </is>
      </c>
      <c r="D87" s="7" t="inlineStr">
        <is>
          <t>158097816-ultraplum</t>
        </is>
      </c>
      <c r="E87" s="7" t="inlineStr">
        <is>
          <t>Pace Breaker Short 7" *LL INCB XS</t>
        </is>
      </c>
      <c r="F87" s="7" t="inlineStr">
        <is>
          <t>$68.00</t>
        </is>
      </c>
      <c r="G87" s="7" t="inlineStr">
        <is>
          <t>$34.00</t>
        </is>
      </c>
      <c r="H87" s="7" t="inlineStr">
        <is>
          <t>Ultra Plum</t>
        </is>
      </c>
      <c r="I87" s="7">
        <f>IMAGE("https://images.lululemon.com/is/image/lululemon/72716",1)</f>
        <v/>
      </c>
      <c r="J87" s="7" t="inlineStr">
        <is>
          <t>L</t>
        </is>
      </c>
      <c r="K87" s="7" t="inlineStr">
        <is>
          <t>51/5203</t>
        </is>
      </c>
      <c r="L87" s="7" t="inlineStr">
        <is>
          <t>Yes</t>
        </is>
      </c>
      <c r="M87" s="7" t="inlineStr">
        <is>
          <t>Athlete backed, performance driven. This elevated version of our most versatile short was designed for maximum comfort and zero distractions.</t>
        </is>
      </c>
      <c r="N87" s="7" t="inlineStr">
        <is>
          <t>Pace-Breaker-Short-Linerless-7-Update</t>
        </is>
      </c>
      <c r="O87" s="7" t="inlineStr">
        <is>
          <t>Athletic Shorts</t>
        </is>
      </c>
    </row>
    <row r="88" ht="80" customHeight="1">
      <c r="A88" s="6">
        <f>IMAGE("https://images.lululemon.com/is/image/lululemon/LM7B80S_0001_1?wid=320&amp;op_usm=0.8",1)</f>
        <v/>
      </c>
      <c r="B88" s="6" t="inlineStr">
        <is>
          <t>Pace Breaker Linerless Short 7"</t>
        </is>
      </c>
      <c r="C88" s="6" t="inlineStr">
        <is>
          <t>158097890</t>
        </is>
      </c>
      <c r="D88" s="6" t="inlineStr">
        <is>
          <t>158097890-ultraplum</t>
        </is>
      </c>
      <c r="E88" s="6" t="inlineStr">
        <is>
          <t>Pace Breaker Short 7" *LL INCB XS</t>
        </is>
      </c>
      <c r="F88" s="6" t="inlineStr">
        <is>
          <t>$68.00</t>
        </is>
      </c>
      <c r="G88" s="6" t="inlineStr">
        <is>
          <t>$34.00</t>
        </is>
      </c>
      <c r="H88" s="6" t="inlineStr">
        <is>
          <t>Ultra Plum</t>
        </is>
      </c>
      <c r="I88" s="6">
        <f>IMAGE("https://images.lululemon.com/is/image/lululemon/72716",1)</f>
        <v/>
      </c>
      <c r="J88" s="6" t="inlineStr">
        <is>
          <t>XL</t>
        </is>
      </c>
      <c r="K88" s="6" t="inlineStr">
        <is>
          <t>2/5203</t>
        </is>
      </c>
      <c r="L88" s="6" t="inlineStr">
        <is>
          <t>Yes</t>
        </is>
      </c>
      <c r="M88" s="6" t="inlineStr">
        <is>
          <t>Athlete backed, performance driven. This elevated version of our most versatile short was designed for maximum comfort and zero distractions.</t>
        </is>
      </c>
      <c r="N88" s="6" t="inlineStr">
        <is>
          <t>Pace-Breaker-Short-Linerless-7-Update</t>
        </is>
      </c>
      <c r="O88" s="6" t="inlineStr">
        <is>
          <t>Athletic Shorts</t>
        </is>
      </c>
    </row>
    <row r="89" ht="80" customHeight="1">
      <c r="A89" s="5">
        <f>IMAGE("https://images.lululemon.com/is/image/lululemon/LU9AY5S_072992_1?wid=320&amp;op_usm=0.8",1)</f>
        <v/>
      </c>
      <c r="B89" s="5" t="inlineStr">
        <is>
          <t>The (Small) Towel</t>
        </is>
      </c>
      <c r="C89" s="5" t="inlineStr">
        <is>
          <t>157743699</t>
        </is>
      </c>
      <c r="D89" s="5" t="inlineStr">
        <is>
          <t>157743699-meadowhazeminigreymulti</t>
        </is>
      </c>
      <c r="E89" s="5" t="inlineStr">
        <is>
          <t>The (Small) Towel MHMG ONE SIZE</t>
        </is>
      </c>
      <c r="F89" s="5" t="inlineStr">
        <is>
          <t>$22.00</t>
        </is>
      </c>
      <c r="G89" s="5" t="inlineStr">
        <is>
          <t>$11.00</t>
        </is>
      </c>
      <c r="H89" s="5" t="inlineStr">
        <is>
          <t>Meadow Haze Mini Grey Multi</t>
        </is>
      </c>
      <c r="I89" s="5">
        <f>IMAGE("https://images.lululemon.com/is/image/lululemon/72992",1)</f>
        <v/>
      </c>
      <c r="J89" s="5" t="inlineStr">
        <is>
          <t>O/S</t>
        </is>
      </c>
      <c r="K89" s="5" t="inlineStr">
        <is>
          <t>170/170</t>
        </is>
      </c>
      <c r="L89" s="5" t="inlineStr">
        <is>
          <t>Yes</t>
        </is>
      </c>
      <c r="M89" s="5" t="inlineStr">
        <is>
          <t>This absorbent microfibre towel likes hot yoga, indoor cycling classes, and the gym. Sounds like you've got a lot in common!</t>
        </is>
      </c>
      <c r="N89" s="5" t="inlineStr">
        <is>
          <t>The-Small-Towel</t>
        </is>
      </c>
      <c r="O89" s="5" t="inlineStr">
        <is>
          <t>Towels</t>
        </is>
      </c>
    </row>
    <row r="90" ht="80" customHeight="1">
      <c r="A90" s="4">
        <f>IMAGE("https://images.lululemon.com/is/image/lululemon/LW9FOPS_0001_1?wid=320&amp;op_usm=0.8",1)</f>
        <v/>
      </c>
      <c r="B90" s="4" t="inlineStr">
        <is>
          <t>Women's Fast and Free Fleece Running Gloves</t>
        </is>
      </c>
      <c r="C90" s="4" t="inlineStr">
        <is>
          <t>154525191</t>
        </is>
      </c>
      <c r="D90" s="4" t="inlineStr">
        <is>
          <t>154525191-black</t>
        </is>
      </c>
      <c r="E90" s="4" t="inlineStr">
        <is>
          <t>Fast and Free Fleece Run Gloves W BLK XS</t>
        </is>
      </c>
      <c r="F90" s="4" t="inlineStr">
        <is>
          <t>$42.00</t>
        </is>
      </c>
      <c r="G90" s="4" t="inlineStr">
        <is>
          <t>$21.00</t>
        </is>
      </c>
      <c r="H90" s="4" t="inlineStr">
        <is>
          <t>Black</t>
        </is>
      </c>
      <c r="I90" s="4">
        <f>IMAGE("https://images.lululemon.com/is/image/lululemon/0001",1)</f>
        <v/>
      </c>
      <c r="J90" s="4" t="inlineStr">
        <is>
          <t>XS</t>
        </is>
      </c>
      <c r="K90" s="4" t="inlineStr">
        <is>
          <t>82/355</t>
        </is>
      </c>
      <c r="L90" s="4" t="inlineStr">
        <is>
          <t>Yes</t>
        </is>
      </c>
      <c r="M90" s="4" t="inlineStr">
        <is>
          <t>Cold hands can take your run off-track. Keep them warm while you clock miles in these fleece gloves made with screen-friendly technology.</t>
        </is>
      </c>
      <c r="N90" s="4" t="inlineStr">
        <is>
          <t>W-Fast-and-Free-Fleece-Run-Gloves</t>
        </is>
      </c>
      <c r="O90" s="4" t="inlineStr"/>
    </row>
    <row r="91" ht="80" customHeight="1">
      <c r="A91" s="7">
        <f>IMAGE("https://images.lululemon.com/is/image/lululemon/LW9FOPS_0001_1?wid=320&amp;op_usm=0.8",1)</f>
        <v/>
      </c>
      <c r="B91" s="7" t="inlineStr">
        <is>
          <t>Women's Fast and Free Fleece Running Gloves</t>
        </is>
      </c>
      <c r="C91" s="7" t="inlineStr">
        <is>
          <t>154525188</t>
        </is>
      </c>
      <c r="D91" s="7" t="inlineStr">
        <is>
          <t>154525188-black</t>
        </is>
      </c>
      <c r="E91" s="7" t="inlineStr">
        <is>
          <t>Fast and Free Fleece Run Gloves W BLK XS</t>
        </is>
      </c>
      <c r="F91" s="7" t="inlineStr">
        <is>
          <t>$42.00</t>
        </is>
      </c>
      <c r="G91" s="7" t="inlineStr">
        <is>
          <t>$21.00</t>
        </is>
      </c>
      <c r="H91" s="7" t="inlineStr">
        <is>
          <t>Black</t>
        </is>
      </c>
      <c r="I91" s="7">
        <f>IMAGE("https://images.lululemon.com/is/image/lululemon/0001",1)</f>
        <v/>
      </c>
      <c r="J91" s="7" t="inlineStr">
        <is>
          <t>S</t>
        </is>
      </c>
      <c r="K91" s="7" t="inlineStr">
        <is>
          <t>69/355</t>
        </is>
      </c>
      <c r="L91" s="7" t="inlineStr">
        <is>
          <t>Yes</t>
        </is>
      </c>
      <c r="M91" s="7" t="inlineStr">
        <is>
          <t>Cold hands can take your run off-track. Keep them warm while you clock miles in these fleece gloves made with screen-friendly technology.</t>
        </is>
      </c>
      <c r="N91" s="7" t="inlineStr">
        <is>
          <t>W-Fast-and-Free-Fleece-Run-Gloves</t>
        </is>
      </c>
      <c r="O91" s="7" t="inlineStr"/>
    </row>
    <row r="92" ht="80" customHeight="1">
      <c r="A92" s="4">
        <f>IMAGE("https://images.lululemon.com/is/image/lululemon/LW9FOPS_0001_1?wid=320&amp;op_usm=0.8",1)</f>
        <v/>
      </c>
      <c r="B92" s="4" t="inlineStr">
        <is>
          <t>Women's Fast and Free Fleece Running Gloves</t>
        </is>
      </c>
      <c r="C92" s="4" t="inlineStr">
        <is>
          <t>154525186</t>
        </is>
      </c>
      <c r="D92" s="4" t="inlineStr">
        <is>
          <t>154525186-black</t>
        </is>
      </c>
      <c r="E92" s="4" t="inlineStr">
        <is>
          <t>Fast and Free Fleece Run Gloves W BLK XS</t>
        </is>
      </c>
      <c r="F92" s="4" t="inlineStr">
        <is>
          <t>$42.00</t>
        </is>
      </c>
      <c r="G92" s="4" t="inlineStr">
        <is>
          <t>$21.00</t>
        </is>
      </c>
      <c r="H92" s="4" t="inlineStr">
        <is>
          <t>Black</t>
        </is>
      </c>
      <c r="I92" s="4">
        <f>IMAGE("https://images.lululemon.com/is/image/lululemon/0001",1)</f>
        <v/>
      </c>
      <c r="J92" s="4" t="inlineStr">
        <is>
          <t>M</t>
        </is>
      </c>
      <c r="K92" s="4" t="inlineStr">
        <is>
          <t>18/355</t>
        </is>
      </c>
      <c r="L92" s="4" t="inlineStr">
        <is>
          <t>Yes</t>
        </is>
      </c>
      <c r="M92" s="4" t="inlineStr">
        <is>
          <t>Cold hands can take your run off-track. Keep them warm while you clock miles in these fleece gloves made with screen-friendly technology.</t>
        </is>
      </c>
      <c r="N92" s="4" t="inlineStr">
        <is>
          <t>W-Fast-and-Free-Fleece-Run-Gloves</t>
        </is>
      </c>
      <c r="O92" s="4" t="inlineStr"/>
    </row>
    <row r="93" ht="80" customHeight="1">
      <c r="A93" s="5">
        <f>IMAGE("https://images.lululemon.com/is/image/lululemon/LW9FOPS_0001_1?wid=320&amp;op_usm=0.8",1)</f>
        <v/>
      </c>
      <c r="B93" s="5" t="inlineStr">
        <is>
          <t>Women's Fast and Free Fleece Running Gloves</t>
        </is>
      </c>
      <c r="C93" s="5" t="inlineStr">
        <is>
          <t>154525185</t>
        </is>
      </c>
      <c r="D93" s="5" t="inlineStr">
        <is>
          <t>154525185-black</t>
        </is>
      </c>
      <c r="E93" s="5" t="inlineStr">
        <is>
          <t>Fast and Free Fleece Run Gloves W BLK XS</t>
        </is>
      </c>
      <c r="F93" s="5" t="inlineStr">
        <is>
          <t>$42.00</t>
        </is>
      </c>
      <c r="G93" s="5" t="inlineStr">
        <is>
          <t>$21.00</t>
        </is>
      </c>
      <c r="H93" s="5" t="inlineStr">
        <is>
          <t>Black</t>
        </is>
      </c>
      <c r="I93" s="5">
        <f>IMAGE("https://images.lululemon.com/is/image/lululemon/0001",1)</f>
        <v/>
      </c>
      <c r="J93" s="5" t="inlineStr">
        <is>
          <t>L</t>
        </is>
      </c>
      <c r="K93" s="5" t="inlineStr">
        <is>
          <t>186/355</t>
        </is>
      </c>
      <c r="L93" s="5" t="inlineStr">
        <is>
          <t>Yes</t>
        </is>
      </c>
      <c r="M93" s="5" t="inlineStr">
        <is>
          <t>Cold hands can take your run off-track. Keep them warm while you clock miles in these fleece gloves made with screen-friendly technology.</t>
        </is>
      </c>
      <c r="N93" s="5" t="inlineStr">
        <is>
          <t>W-Fast-and-Free-Fleece-Run-Gloves</t>
        </is>
      </c>
      <c r="O93" s="5" t="inlineStr"/>
    </row>
    <row r="94" ht="80" customHeight="1">
      <c r="A94" s="6">
        <f>IMAGE("https://images.lululemon.com/is/image/lululemon/LU9B94S_065048_1?wid=320&amp;op_usm=0.8",1)</f>
        <v/>
      </c>
      <c r="B94" s="6" t="inlineStr">
        <is>
          <t>The Foldable Mat 6.5mm</t>
        </is>
      </c>
      <c r="C94" s="6" t="inlineStr">
        <is>
          <t>150350151</t>
        </is>
      </c>
      <c r="D94" s="6" t="inlineStr">
        <is>
          <t>150350151-traversegrey/black</t>
        </is>
      </c>
      <c r="E94" s="6" t="inlineStr">
        <is>
          <t>The Foldable Mat 6.5mm TVSG/BLK ONE SIZE</t>
        </is>
      </c>
      <c r="F94" s="6" t="inlineStr">
        <is>
          <t>$118.00</t>
        </is>
      </c>
      <c r="G94" s="6" t="inlineStr">
        <is>
          <t>$59.00</t>
        </is>
      </c>
      <c r="H94" s="6" t="inlineStr">
        <is>
          <t>Traverse Grey/Black</t>
        </is>
      </c>
      <c r="I94" s="6">
        <f>IMAGE("https://images.lululemon.com/is/image/lululemon/65048",1)</f>
        <v/>
      </c>
      <c r="J94" s="6" t="inlineStr">
        <is>
          <t>O/S</t>
        </is>
      </c>
      <c r="K94" s="6" t="inlineStr">
        <is>
          <t>311/311</t>
        </is>
      </c>
      <c r="L94" s="6" t="inlineStr">
        <is>
          <t>Yes</t>
        </is>
      </c>
      <c r="M94" s="6" t="inlineStr">
        <is>
          <t>Take your practice to new heights. This yoga mat stacks up (or folds down) for a fully personalized practice.</t>
        </is>
      </c>
      <c r="N94" s="6" t="inlineStr">
        <is>
          <t>The-Foldable-Mat</t>
        </is>
      </c>
      <c r="O94" s="6" t="inlineStr"/>
    </row>
    <row r="95" ht="80" customHeight="1">
      <c r="A95" s="7">
        <f>IMAGE("https://images.lululemon.com/is/image/lululemon/LM7BNQS_033454_1?wid=320&amp;op_usm=0.8",1)</f>
        <v/>
      </c>
      <c r="B95" s="7" t="inlineStr">
        <is>
          <t>ABC WovenAir Pull-On Short 7"</t>
        </is>
      </c>
      <c r="C95" s="7" t="inlineStr">
        <is>
          <t>155750388</t>
        </is>
      </c>
      <c r="D95" s="7" t="inlineStr">
        <is>
          <t>155750388-lightivory</t>
        </is>
      </c>
      <c r="E95" s="7" t="inlineStr">
        <is>
          <t>ABC WovenAir™ Pull-On Short 7" LTIV S</t>
        </is>
      </c>
      <c r="F95" s="7" t="inlineStr">
        <is>
          <t>$78.00</t>
        </is>
      </c>
      <c r="G95" s="7" t="inlineStr">
        <is>
          <t>$39.00</t>
        </is>
      </c>
      <c r="H95" s="7" t="inlineStr">
        <is>
          <t>Light Ivory</t>
        </is>
      </c>
      <c r="I95" s="7">
        <f>IMAGE("https://images.lululemon.com/is/image/lululemon/33454",1)</f>
        <v/>
      </c>
      <c r="J95" s="7" t="inlineStr">
        <is>
          <t>S</t>
        </is>
      </c>
      <c r="K95" s="7" t="inlineStr">
        <is>
          <t>14/89</t>
        </is>
      </c>
      <c r="L95" s="7" t="inlineStr">
        <is>
          <t>Yes</t>
        </is>
      </c>
      <c r="M95" s="7" t="inlineStr">
        <is>
          <t>Comfort that won't quit. Made from our naturally breathable WovenAir™ fabric, these shorts make warm days feel easy breezy.</t>
        </is>
      </c>
      <c r="N95" s="7" t="inlineStr">
        <is>
          <t>ABC-WovenAir-Pull-On-Short-7</t>
        </is>
      </c>
      <c r="O95" s="7" t="inlineStr"/>
    </row>
    <row r="96" ht="80" customHeight="1">
      <c r="A96" s="4">
        <f>IMAGE("https://images.lululemon.com/is/image/lululemon/LM7BNQS_033454_1?wid=320&amp;op_usm=0.8",1)</f>
        <v/>
      </c>
      <c r="B96" s="4" t="inlineStr">
        <is>
          <t>ABC WovenAir Pull-On Short 7"</t>
        </is>
      </c>
      <c r="C96" s="4" t="inlineStr">
        <is>
          <t>155750380</t>
        </is>
      </c>
      <c r="D96" s="4" t="inlineStr">
        <is>
          <t>155750380-lightivory</t>
        </is>
      </c>
      <c r="E96" s="4" t="inlineStr">
        <is>
          <t>ABC WovenAir™ Pull-On Short 7" LTIV S</t>
        </is>
      </c>
      <c r="F96" s="4" t="inlineStr">
        <is>
          <t>$78.00</t>
        </is>
      </c>
      <c r="G96" s="4" t="inlineStr">
        <is>
          <t>$39.00</t>
        </is>
      </c>
      <c r="H96" s="4" t="inlineStr">
        <is>
          <t>Light Ivory</t>
        </is>
      </c>
      <c r="I96" s="4">
        <f>IMAGE("https://images.lululemon.com/is/image/lululemon/33454",1)</f>
        <v/>
      </c>
      <c r="J96" s="4" t="inlineStr">
        <is>
          <t>M</t>
        </is>
      </c>
      <c r="K96" s="4" t="inlineStr">
        <is>
          <t>29/89</t>
        </is>
      </c>
      <c r="L96" s="4" t="inlineStr">
        <is>
          <t>Yes</t>
        </is>
      </c>
      <c r="M96" s="4" t="inlineStr">
        <is>
          <t>Comfort that won't quit. Made from our naturally breathable WovenAir™ fabric, these shorts make warm days feel easy breezy.</t>
        </is>
      </c>
      <c r="N96" s="4" t="inlineStr">
        <is>
          <t>ABC-WovenAir-Pull-On-Short-7</t>
        </is>
      </c>
      <c r="O96" s="4" t="inlineStr"/>
    </row>
    <row r="97" ht="80" customHeight="1">
      <c r="A97" s="7">
        <f>IMAGE("https://images.lululemon.com/is/image/lululemon/LM7BNQS_033454_1?wid=320&amp;op_usm=0.8",1)</f>
        <v/>
      </c>
      <c r="B97" s="7" t="inlineStr">
        <is>
          <t>ABC WovenAir Pull-On Short 7"</t>
        </is>
      </c>
      <c r="C97" s="7" t="inlineStr">
        <is>
          <t>155750369</t>
        </is>
      </c>
      <c r="D97" s="7" t="inlineStr">
        <is>
          <t>155750369-lightivory</t>
        </is>
      </c>
      <c r="E97" s="7" t="inlineStr">
        <is>
          <t>ABC WovenAir™ Pull-On Short 7" LTIV S</t>
        </is>
      </c>
      <c r="F97" s="7" t="inlineStr">
        <is>
          <t>$78.00</t>
        </is>
      </c>
      <c r="G97" s="7" t="inlineStr">
        <is>
          <t>$39.00</t>
        </is>
      </c>
      <c r="H97" s="7" t="inlineStr">
        <is>
          <t>Light Ivory</t>
        </is>
      </c>
      <c r="I97" s="7">
        <f>IMAGE("https://images.lululemon.com/is/image/lululemon/33454",1)</f>
        <v/>
      </c>
      <c r="J97" s="7" t="inlineStr">
        <is>
          <t>L</t>
        </is>
      </c>
      <c r="K97" s="7" t="inlineStr">
        <is>
          <t>31/89</t>
        </is>
      </c>
      <c r="L97" s="7" t="inlineStr">
        <is>
          <t>Yes</t>
        </is>
      </c>
      <c r="M97" s="7" t="inlineStr">
        <is>
          <t>Comfort that won't quit. Made from our naturally breathable WovenAir™ fabric, these shorts make warm days feel easy breezy.</t>
        </is>
      </c>
      <c r="N97" s="7" t="inlineStr">
        <is>
          <t>ABC-WovenAir-Pull-On-Short-7</t>
        </is>
      </c>
      <c r="O97" s="7" t="inlineStr"/>
    </row>
    <row r="98" ht="80" customHeight="1">
      <c r="A98" s="4">
        <f>IMAGE("https://images.lululemon.com/is/image/lululemon/LM7BNQS_033454_1?wid=320&amp;op_usm=0.8",1)</f>
        <v/>
      </c>
      <c r="B98" s="4" t="inlineStr">
        <is>
          <t>ABC WovenAir Pull-On Short 7"</t>
        </is>
      </c>
      <c r="C98" s="4" t="inlineStr">
        <is>
          <t>155750398</t>
        </is>
      </c>
      <c r="D98" s="4" t="inlineStr">
        <is>
          <t>155750398-lightivory</t>
        </is>
      </c>
      <c r="E98" s="4" t="inlineStr">
        <is>
          <t>ABC WovenAir™ Pull-On Short 7" LTIV S</t>
        </is>
      </c>
      <c r="F98" s="4" t="inlineStr">
        <is>
          <t>$78.00</t>
        </is>
      </c>
      <c r="G98" s="4" t="inlineStr">
        <is>
          <t>$39.00</t>
        </is>
      </c>
      <c r="H98" s="4" t="inlineStr">
        <is>
          <t>Light Ivory</t>
        </is>
      </c>
      <c r="I98" s="4">
        <f>IMAGE("https://images.lululemon.com/is/image/lululemon/33454",1)</f>
        <v/>
      </c>
      <c r="J98" s="4" t="inlineStr">
        <is>
          <t>XL</t>
        </is>
      </c>
      <c r="K98" s="4" t="inlineStr">
        <is>
          <t>10/89</t>
        </is>
      </c>
      <c r="L98" s="4" t="inlineStr">
        <is>
          <t>Yes</t>
        </is>
      </c>
      <c r="M98" s="4" t="inlineStr">
        <is>
          <t>Comfort that won't quit. Made from our naturally breathable WovenAir™ fabric, these shorts make warm days feel easy breezy.</t>
        </is>
      </c>
      <c r="N98" s="4" t="inlineStr">
        <is>
          <t>ABC-WovenAir-Pull-On-Short-7</t>
        </is>
      </c>
      <c r="O98" s="4" t="inlineStr"/>
    </row>
    <row r="99" ht="80" customHeight="1">
      <c r="A99" s="5">
        <f>IMAGE("https://images.lululemon.com/is/image/lululemon/LM7BNQS_033454_1?wid=320&amp;op_usm=0.8",1)</f>
        <v/>
      </c>
      <c r="B99" s="5" t="inlineStr">
        <is>
          <t>ABC WovenAir Pull-On Short 7"</t>
        </is>
      </c>
      <c r="C99" s="5" t="inlineStr">
        <is>
          <t>155750417</t>
        </is>
      </c>
      <c r="D99" s="5" t="inlineStr">
        <is>
          <t>155750417-lightivory</t>
        </is>
      </c>
      <c r="E99" s="5" t="inlineStr">
        <is>
          <t>ABC WovenAir™ Pull-On Short 7" LTIV S</t>
        </is>
      </c>
      <c r="F99" s="5" t="inlineStr">
        <is>
          <t>$78.00</t>
        </is>
      </c>
      <c r="G99" s="5" t="inlineStr">
        <is>
          <t>$39.00</t>
        </is>
      </c>
      <c r="H99" s="5" t="inlineStr">
        <is>
          <t>Light Ivory</t>
        </is>
      </c>
      <c r="I99" s="5">
        <f>IMAGE("https://images.lululemon.com/is/image/lululemon/33454",1)</f>
        <v/>
      </c>
      <c r="J99" s="5" t="inlineStr">
        <is>
          <t>XXL</t>
        </is>
      </c>
      <c r="K99" s="5" t="inlineStr">
        <is>
          <t>5/89</t>
        </is>
      </c>
      <c r="L99" s="5" t="inlineStr">
        <is>
          <t>Yes</t>
        </is>
      </c>
      <c r="M99" s="5" t="inlineStr">
        <is>
          <t>Comfort that won't quit. Made from our naturally breathable WovenAir™ fabric, these shorts make warm days feel easy breezy.</t>
        </is>
      </c>
      <c r="N99" s="5" t="inlineStr">
        <is>
          <t>ABC-WovenAir-Pull-On-Short-7</t>
        </is>
      </c>
      <c r="O99" s="5" t="inlineStr"/>
    </row>
    <row r="100" ht="80" customHeight="1">
      <c r="A100" s="4">
        <f>IMAGE("https://images.lululemon.com/is/image/lululemon/LM7BI2S_0001_1?wid=320&amp;op_usm=0.8",1)</f>
        <v/>
      </c>
      <c r="B100" s="4" t="inlineStr">
        <is>
          <t>Soft Jersey Short 5"</t>
        </is>
      </c>
      <c r="C100" s="4" t="inlineStr">
        <is>
          <t>148230763</t>
        </is>
      </c>
      <c r="D100" s="4" t="inlineStr">
        <is>
          <t>148230763-black</t>
        </is>
      </c>
      <c r="E100" s="4" t="inlineStr">
        <is>
          <t>Soft Jersey Short 5" BLK S</t>
        </is>
      </c>
      <c r="F100" s="4" t="inlineStr">
        <is>
          <t>$68.00</t>
        </is>
      </c>
      <c r="G100" s="4" t="inlineStr">
        <is>
          <t>$34.00</t>
        </is>
      </c>
      <c r="H100" s="4" t="inlineStr">
        <is>
          <t>Black</t>
        </is>
      </c>
      <c r="I100" s="4">
        <f>IMAGE("https://images.lululemon.com/is/image/lululemon/0001",1)</f>
        <v/>
      </c>
      <c r="J100" s="4" t="inlineStr">
        <is>
          <t>S</t>
        </is>
      </c>
      <c r="K100" s="4" t="inlineStr">
        <is>
          <t>21/1006</t>
        </is>
      </c>
      <c r="L100" s="4" t="inlineStr">
        <is>
          <t>Yes</t>
        </is>
      </c>
      <c r="M100" s="4" t="inlineStr">
        <is>
          <t>Rest and reset. These lightweight shorts have a brushed interior that makes downtime irresistible.</t>
        </is>
      </c>
      <c r="N100" s="4" t="inlineStr">
        <is>
          <t>Soft-Jersey-Short-5</t>
        </is>
      </c>
      <c r="O100" s="4" t="inlineStr">
        <is>
          <t>Sweat Shorts</t>
        </is>
      </c>
    </row>
    <row r="101" ht="80" customHeight="1">
      <c r="A101" s="7">
        <f>IMAGE("https://images.lululemon.com/is/image/lululemon/LM7BI2S_0001_1?wid=320&amp;op_usm=0.8",1)</f>
        <v/>
      </c>
      <c r="B101" s="7" t="inlineStr">
        <is>
          <t>Soft Jersey Short 5"</t>
        </is>
      </c>
      <c r="C101" s="7" t="inlineStr">
        <is>
          <t>148230759</t>
        </is>
      </c>
      <c r="D101" s="7" t="inlineStr">
        <is>
          <t>148230759-black</t>
        </is>
      </c>
      <c r="E101" s="7" t="inlineStr">
        <is>
          <t>Soft Jersey Short 5" BLK S</t>
        </is>
      </c>
      <c r="F101" s="7" t="inlineStr">
        <is>
          <t>$68.00</t>
        </is>
      </c>
      <c r="G101" s="7" t="inlineStr">
        <is>
          <t>$34.00</t>
        </is>
      </c>
      <c r="H101" s="7" t="inlineStr">
        <is>
          <t>Black</t>
        </is>
      </c>
      <c r="I101" s="7">
        <f>IMAGE("https://images.lululemon.com/is/image/lululemon/0001",1)</f>
        <v/>
      </c>
      <c r="J101" s="7" t="inlineStr">
        <is>
          <t>M</t>
        </is>
      </c>
      <c r="K101" s="7" t="inlineStr">
        <is>
          <t>111/1006</t>
        </is>
      </c>
      <c r="L101" s="7" t="inlineStr">
        <is>
          <t>Yes</t>
        </is>
      </c>
      <c r="M101" s="7" t="inlineStr">
        <is>
          <t>Rest and reset. These lightweight shorts have a brushed interior that makes downtime irresistible.</t>
        </is>
      </c>
      <c r="N101" s="7" t="inlineStr">
        <is>
          <t>Soft-Jersey-Short-5</t>
        </is>
      </c>
      <c r="O101" s="7" t="inlineStr">
        <is>
          <t>Sweat Shorts</t>
        </is>
      </c>
    </row>
    <row r="102" ht="80" customHeight="1">
      <c r="A102" s="4">
        <f>IMAGE("https://images.lululemon.com/is/image/lululemon/LM7BI2S_0001_1?wid=320&amp;op_usm=0.8",1)</f>
        <v/>
      </c>
      <c r="B102" s="4" t="inlineStr">
        <is>
          <t>Soft Jersey Short 5"</t>
        </is>
      </c>
      <c r="C102" s="4" t="inlineStr">
        <is>
          <t>148230754</t>
        </is>
      </c>
      <c r="D102" s="4" t="inlineStr">
        <is>
          <t>148230754-black</t>
        </is>
      </c>
      <c r="E102" s="4" t="inlineStr">
        <is>
          <t>Soft Jersey Short 5" BLK S</t>
        </is>
      </c>
      <c r="F102" s="4" t="inlineStr">
        <is>
          <t>$68.00</t>
        </is>
      </c>
      <c r="G102" s="4" t="inlineStr">
        <is>
          <t>$34.00</t>
        </is>
      </c>
      <c r="H102" s="4" t="inlineStr">
        <is>
          <t>Black</t>
        </is>
      </c>
      <c r="I102" s="4">
        <f>IMAGE("https://images.lululemon.com/is/image/lululemon/0001",1)</f>
        <v/>
      </c>
      <c r="J102" s="4" t="inlineStr">
        <is>
          <t>L</t>
        </is>
      </c>
      <c r="K102" s="4" t="inlineStr">
        <is>
          <t>126/1006</t>
        </is>
      </c>
      <c r="L102" s="4" t="inlineStr">
        <is>
          <t>Yes</t>
        </is>
      </c>
      <c r="M102" s="4" t="inlineStr">
        <is>
          <t>Rest and reset. These lightweight shorts have a brushed interior that makes downtime irresistible.</t>
        </is>
      </c>
      <c r="N102" s="4" t="inlineStr">
        <is>
          <t>Soft-Jersey-Short-5</t>
        </is>
      </c>
      <c r="O102" s="4" t="inlineStr">
        <is>
          <t>Sweat Shorts</t>
        </is>
      </c>
    </row>
    <row r="103" ht="80" customHeight="1">
      <c r="A103" s="7">
        <f>IMAGE("https://images.lululemon.com/is/image/lululemon/LM7BI2S_0001_1?wid=320&amp;op_usm=0.8",1)</f>
        <v/>
      </c>
      <c r="B103" s="7" t="inlineStr">
        <is>
          <t>Soft Jersey Short 5"</t>
        </is>
      </c>
      <c r="C103" s="7" t="inlineStr">
        <is>
          <t>148230766</t>
        </is>
      </c>
      <c r="D103" s="7" t="inlineStr">
        <is>
          <t>148230766-black</t>
        </is>
      </c>
      <c r="E103" s="7" t="inlineStr">
        <is>
          <t>Soft Jersey Short 5" BLK S</t>
        </is>
      </c>
      <c r="F103" s="7" t="inlineStr">
        <is>
          <t>$68.00</t>
        </is>
      </c>
      <c r="G103" s="7" t="inlineStr">
        <is>
          <t>$34.00</t>
        </is>
      </c>
      <c r="H103" s="7" t="inlineStr">
        <is>
          <t>Black</t>
        </is>
      </c>
      <c r="I103" s="7">
        <f>IMAGE("https://images.lululemon.com/is/image/lululemon/0001",1)</f>
        <v/>
      </c>
      <c r="J103" s="7" t="inlineStr">
        <is>
          <t>XL</t>
        </is>
      </c>
      <c r="K103" s="7" t="inlineStr">
        <is>
          <t>54/1006</t>
        </is>
      </c>
      <c r="L103" s="7" t="inlineStr">
        <is>
          <t>Yes</t>
        </is>
      </c>
      <c r="M103" s="7" t="inlineStr">
        <is>
          <t>Rest and reset. These lightweight shorts have a brushed interior that makes downtime irresistible.</t>
        </is>
      </c>
      <c r="N103" s="7" t="inlineStr">
        <is>
          <t>Soft-Jersey-Short-5</t>
        </is>
      </c>
      <c r="O103" s="7" t="inlineStr">
        <is>
          <t>Sweat Shorts</t>
        </is>
      </c>
    </row>
    <row r="104" ht="80" customHeight="1">
      <c r="A104" s="4">
        <f>IMAGE("https://images.lululemon.com/is/image/lululemon/LM7BI2S_0001_1?wid=320&amp;op_usm=0.8",1)</f>
        <v/>
      </c>
      <c r="B104" s="4" t="inlineStr">
        <is>
          <t>Soft Jersey Short 5"</t>
        </is>
      </c>
      <c r="C104" s="4" t="inlineStr">
        <is>
          <t>148230775</t>
        </is>
      </c>
      <c r="D104" s="4" t="inlineStr">
        <is>
          <t>148230775-black</t>
        </is>
      </c>
      <c r="E104" s="4" t="inlineStr">
        <is>
          <t>Soft Jersey Short 5" BLK S</t>
        </is>
      </c>
      <c r="F104" s="4" t="inlineStr">
        <is>
          <t>$68.00</t>
        </is>
      </c>
      <c r="G104" s="4" t="inlineStr">
        <is>
          <t>$34.00</t>
        </is>
      </c>
      <c r="H104" s="4" t="inlineStr">
        <is>
          <t>Black</t>
        </is>
      </c>
      <c r="I104" s="4">
        <f>IMAGE("https://images.lululemon.com/is/image/lululemon/0001",1)</f>
        <v/>
      </c>
      <c r="J104" s="4" t="inlineStr">
        <is>
          <t>XXL</t>
        </is>
      </c>
      <c r="K104" s="4" t="inlineStr">
        <is>
          <t>5/1006</t>
        </is>
      </c>
      <c r="L104" s="4" t="inlineStr">
        <is>
          <t>Yes</t>
        </is>
      </c>
      <c r="M104" s="4" t="inlineStr">
        <is>
          <t>Rest and reset. These lightweight shorts have a brushed interior that makes downtime irresistible.</t>
        </is>
      </c>
      <c r="N104" s="4" t="inlineStr">
        <is>
          <t>Soft-Jersey-Short-5</t>
        </is>
      </c>
      <c r="O104" s="4" t="inlineStr">
        <is>
          <t>Sweat Shorts</t>
        </is>
      </c>
    </row>
    <row r="105" ht="80" customHeight="1">
      <c r="A105" s="7">
        <f>IMAGE("https://images.lululemon.com/is/image/lululemon/LM7BI2S_0001_1?wid=320&amp;op_usm=0.8",1)</f>
        <v/>
      </c>
      <c r="B105" s="7" t="inlineStr">
        <is>
          <t>Soft Jersey Short 5"</t>
        </is>
      </c>
      <c r="C105" s="7" t="inlineStr">
        <is>
          <t>149875492</t>
        </is>
      </c>
      <c r="D105" s="7" t="inlineStr">
        <is>
          <t>149875492-heatheredblack/heatheredgraphitegrey</t>
        </is>
      </c>
      <c r="E105" s="7" t="inlineStr">
        <is>
          <t>Soft Jersey Short 5" BLK S</t>
        </is>
      </c>
      <c r="F105" s="7" t="inlineStr">
        <is>
          <t>$68.00</t>
        </is>
      </c>
      <c r="G105" s="7" t="inlineStr">
        <is>
          <t>$34.00</t>
        </is>
      </c>
      <c r="H105" s="7" t="inlineStr">
        <is>
          <t>Heathered Black/Heathered Graphite Grey</t>
        </is>
      </c>
      <c r="I105" s="7">
        <f>IMAGE("https://images.lululemon.com/is/image/lululemon/64587",1)</f>
        <v/>
      </c>
      <c r="J105" s="7" t="inlineStr">
        <is>
          <t>S</t>
        </is>
      </c>
      <c r="K105" s="7" t="inlineStr">
        <is>
          <t>44/1006</t>
        </is>
      </c>
      <c r="L105" s="7" t="inlineStr">
        <is>
          <t>Yes</t>
        </is>
      </c>
      <c r="M105" s="7" t="inlineStr">
        <is>
          <t>Rest and reset. These lightweight shorts have a brushed interior that makes downtime irresistible.</t>
        </is>
      </c>
      <c r="N105" s="7" t="inlineStr">
        <is>
          <t>Soft-Jersey-Short-5</t>
        </is>
      </c>
      <c r="O105" s="7" t="inlineStr">
        <is>
          <t>Sweat Shorts</t>
        </is>
      </c>
    </row>
    <row r="106" ht="80" customHeight="1">
      <c r="A106" s="4">
        <f>IMAGE("https://images.lululemon.com/is/image/lululemon/LM7BI2S_0001_1?wid=320&amp;op_usm=0.8",1)</f>
        <v/>
      </c>
      <c r="B106" s="4" t="inlineStr">
        <is>
          <t>Soft Jersey Short 5"</t>
        </is>
      </c>
      <c r="C106" s="4" t="inlineStr">
        <is>
          <t>149875489</t>
        </is>
      </c>
      <c r="D106" s="4" t="inlineStr">
        <is>
          <t>149875489-heatheredblack/heatheredgraphitegrey</t>
        </is>
      </c>
      <c r="E106" s="4" t="inlineStr">
        <is>
          <t>Soft Jersey Short 5" BLK S</t>
        </is>
      </c>
      <c r="F106" s="4" t="inlineStr">
        <is>
          <t>$68.00</t>
        </is>
      </c>
      <c r="G106" s="4" t="inlineStr">
        <is>
          <t>$34.00</t>
        </is>
      </c>
      <c r="H106" s="4" t="inlineStr">
        <is>
          <t>Heathered Black/Heathered Graphite Grey</t>
        </is>
      </c>
      <c r="I106" s="4">
        <f>IMAGE("https://images.lululemon.com/is/image/lululemon/64587",1)</f>
        <v/>
      </c>
      <c r="J106" s="4" t="inlineStr">
        <is>
          <t>M</t>
        </is>
      </c>
      <c r="K106" s="4" t="inlineStr">
        <is>
          <t>166/1006</t>
        </is>
      </c>
      <c r="L106" s="4" t="inlineStr">
        <is>
          <t>Yes</t>
        </is>
      </c>
      <c r="M106" s="4" t="inlineStr">
        <is>
          <t>Rest and reset. These lightweight shorts have a brushed interior that makes downtime irresistible.</t>
        </is>
      </c>
      <c r="N106" s="4" t="inlineStr">
        <is>
          <t>Soft-Jersey-Short-5</t>
        </is>
      </c>
      <c r="O106" s="4" t="inlineStr">
        <is>
          <t>Sweat Shorts</t>
        </is>
      </c>
    </row>
    <row r="107" ht="80" customHeight="1">
      <c r="A107" s="7">
        <f>IMAGE("https://images.lululemon.com/is/image/lululemon/LM7BI2S_0001_1?wid=320&amp;op_usm=0.8",1)</f>
        <v/>
      </c>
      <c r="B107" s="7" t="inlineStr">
        <is>
          <t>Soft Jersey Short 5"</t>
        </is>
      </c>
      <c r="C107" s="7" t="inlineStr">
        <is>
          <t>149875485</t>
        </is>
      </c>
      <c r="D107" s="7" t="inlineStr">
        <is>
          <t>149875485-heatheredblack/heatheredgraphitegrey</t>
        </is>
      </c>
      <c r="E107" s="7" t="inlineStr">
        <is>
          <t>Soft Jersey Short 5" BLK S</t>
        </is>
      </c>
      <c r="F107" s="7" t="inlineStr">
        <is>
          <t>$68.00</t>
        </is>
      </c>
      <c r="G107" s="7" t="inlineStr">
        <is>
          <t>$34.00</t>
        </is>
      </c>
      <c r="H107" s="7" t="inlineStr">
        <is>
          <t>Heathered Black/Heathered Graphite Grey</t>
        </is>
      </c>
      <c r="I107" s="7">
        <f>IMAGE("https://images.lululemon.com/is/image/lululemon/64587",1)</f>
        <v/>
      </c>
      <c r="J107" s="7" t="inlineStr">
        <is>
          <t>L</t>
        </is>
      </c>
      <c r="K107" s="7" t="inlineStr">
        <is>
          <t>197/1006</t>
        </is>
      </c>
      <c r="L107" s="7" t="inlineStr">
        <is>
          <t>Yes</t>
        </is>
      </c>
      <c r="M107" s="7" t="inlineStr">
        <is>
          <t>Rest and reset. These lightweight shorts have a brushed interior that makes downtime irresistible.</t>
        </is>
      </c>
      <c r="N107" s="7" t="inlineStr">
        <is>
          <t>Soft-Jersey-Short-5</t>
        </is>
      </c>
      <c r="O107" s="7" t="inlineStr">
        <is>
          <t>Sweat Shorts</t>
        </is>
      </c>
    </row>
    <row r="108" ht="80" customHeight="1">
      <c r="A108" s="4">
        <f>IMAGE("https://images.lululemon.com/is/image/lululemon/LM7BI2S_0001_1?wid=320&amp;op_usm=0.8",1)</f>
        <v/>
      </c>
      <c r="B108" s="4" t="inlineStr">
        <is>
          <t>Soft Jersey Short 5"</t>
        </is>
      </c>
      <c r="C108" s="4" t="inlineStr">
        <is>
          <t>149875496</t>
        </is>
      </c>
      <c r="D108" s="4" t="inlineStr">
        <is>
          <t>149875496-heatheredblack/heatheredgraphitegrey</t>
        </is>
      </c>
      <c r="E108" s="4" t="inlineStr">
        <is>
          <t>Soft Jersey Short 5" BLK S</t>
        </is>
      </c>
      <c r="F108" s="4" t="inlineStr">
        <is>
          <t>$68.00</t>
        </is>
      </c>
      <c r="G108" s="4" t="inlineStr">
        <is>
          <t>$34.00</t>
        </is>
      </c>
      <c r="H108" s="4" t="inlineStr">
        <is>
          <t>Heathered Black/Heathered Graphite Grey</t>
        </is>
      </c>
      <c r="I108" s="4">
        <f>IMAGE("https://images.lululemon.com/is/image/lululemon/64587",1)</f>
        <v/>
      </c>
      <c r="J108" s="4" t="inlineStr">
        <is>
          <t>XL</t>
        </is>
      </c>
      <c r="K108" s="4" t="inlineStr">
        <is>
          <t>111/1006</t>
        </is>
      </c>
      <c r="L108" s="4" t="inlineStr">
        <is>
          <t>Yes</t>
        </is>
      </c>
      <c r="M108" s="4" t="inlineStr">
        <is>
          <t>Rest and reset. These lightweight shorts have a brushed interior that makes downtime irresistible.</t>
        </is>
      </c>
      <c r="N108" s="4" t="inlineStr">
        <is>
          <t>Soft-Jersey-Short-5</t>
        </is>
      </c>
      <c r="O108" s="4" t="inlineStr">
        <is>
          <t>Sweat Shorts</t>
        </is>
      </c>
    </row>
    <row r="109" ht="80" customHeight="1">
      <c r="A109" s="7">
        <f>IMAGE("https://images.lululemon.com/is/image/lululemon/LM7BI2S_0001_1?wid=320&amp;op_usm=0.8",1)</f>
        <v/>
      </c>
      <c r="B109" s="7" t="inlineStr">
        <is>
          <t>Soft Jersey Short 5"</t>
        </is>
      </c>
      <c r="C109" s="7" t="inlineStr">
        <is>
          <t>149875500</t>
        </is>
      </c>
      <c r="D109" s="7" t="inlineStr">
        <is>
          <t>149875500-heatheredblack/heatheredgraphitegrey</t>
        </is>
      </c>
      <c r="E109" s="7" t="inlineStr">
        <is>
          <t>Soft Jersey Short 5" BLK S</t>
        </is>
      </c>
      <c r="F109" s="7" t="inlineStr">
        <is>
          <t>$68.00</t>
        </is>
      </c>
      <c r="G109" s="7" t="inlineStr">
        <is>
          <t>$34.00</t>
        </is>
      </c>
      <c r="H109" s="7" t="inlineStr">
        <is>
          <t>Heathered Black/Heathered Graphite Grey</t>
        </is>
      </c>
      <c r="I109" s="7">
        <f>IMAGE("https://images.lululemon.com/is/image/lululemon/64587",1)</f>
        <v/>
      </c>
      <c r="J109" s="7" t="inlineStr">
        <is>
          <t>XXL</t>
        </is>
      </c>
      <c r="K109" s="7" t="inlineStr">
        <is>
          <t>19/1006</t>
        </is>
      </c>
      <c r="L109" s="7" t="inlineStr">
        <is>
          <t>Yes</t>
        </is>
      </c>
      <c r="M109" s="7" t="inlineStr">
        <is>
          <t>Rest and reset. These lightweight shorts have a brushed interior that makes downtime irresistible.</t>
        </is>
      </c>
      <c r="N109" s="7" t="inlineStr">
        <is>
          <t>Soft-Jersey-Short-5</t>
        </is>
      </c>
      <c r="O109" s="7" t="inlineStr">
        <is>
          <t>Sweat Shorts</t>
        </is>
      </c>
    </row>
    <row r="110" ht="80" customHeight="1">
      <c r="A110" s="4">
        <f>IMAGE("https://images.lululemon.com/is/image/lululemon/LM7BI2S_0001_1?wid=320&amp;op_usm=0.8",1)</f>
        <v/>
      </c>
      <c r="B110" s="4" t="inlineStr">
        <is>
          <t>Soft Jersey Short 5"</t>
        </is>
      </c>
      <c r="C110" s="4" t="inlineStr">
        <is>
          <t>148231470</t>
        </is>
      </c>
      <c r="D110" s="4" t="inlineStr">
        <is>
          <t>148231470-heatheredvapor/heatheredsilverdrop</t>
        </is>
      </c>
      <c r="E110" s="4" t="inlineStr">
        <is>
          <t>Soft Jersey Short 5" BLK S</t>
        </is>
      </c>
      <c r="F110" s="4" t="inlineStr">
        <is>
          <t>$68.00</t>
        </is>
      </c>
      <c r="G110" s="4" t="inlineStr">
        <is>
          <t>$34.00</t>
        </is>
      </c>
      <c r="H110" s="4" t="inlineStr">
        <is>
          <t>Heathered Vapor/Heathered Silver Drop</t>
        </is>
      </c>
      <c r="I110" s="4">
        <f>IMAGE("https://images.lululemon.com/is/image/lululemon/63781",1)</f>
        <v/>
      </c>
      <c r="J110" s="4" t="inlineStr">
        <is>
          <t>S</t>
        </is>
      </c>
      <c r="K110" s="4" t="inlineStr">
        <is>
          <t>14/1006</t>
        </is>
      </c>
      <c r="L110" s="4" t="inlineStr">
        <is>
          <t>Yes</t>
        </is>
      </c>
      <c r="M110" s="4" t="inlineStr">
        <is>
          <t>Rest and reset. These lightweight shorts have a brushed interior that makes downtime irresistible.</t>
        </is>
      </c>
      <c r="N110" s="4" t="inlineStr">
        <is>
          <t>Soft-Jersey-Short-5</t>
        </is>
      </c>
      <c r="O110" s="4" t="inlineStr">
        <is>
          <t>Sweat Shorts</t>
        </is>
      </c>
    </row>
    <row r="111" ht="80" customHeight="1">
      <c r="A111" s="7">
        <f>IMAGE("https://images.lululemon.com/is/image/lululemon/LM7BI2S_0001_1?wid=320&amp;op_usm=0.8",1)</f>
        <v/>
      </c>
      <c r="B111" s="7" t="inlineStr">
        <is>
          <t>Soft Jersey Short 5"</t>
        </is>
      </c>
      <c r="C111" s="7" t="inlineStr">
        <is>
          <t>148231468</t>
        </is>
      </c>
      <c r="D111" s="7" t="inlineStr">
        <is>
          <t>148231468-heatheredvapor/heatheredsilverdrop</t>
        </is>
      </c>
      <c r="E111" s="7" t="inlineStr">
        <is>
          <t>Soft Jersey Short 5" BLK S</t>
        </is>
      </c>
      <c r="F111" s="7" t="inlineStr">
        <is>
          <t>$68.00</t>
        </is>
      </c>
      <c r="G111" s="7" t="inlineStr">
        <is>
          <t>$34.00</t>
        </is>
      </c>
      <c r="H111" s="7" t="inlineStr">
        <is>
          <t>Heathered Vapor/Heathered Silver Drop</t>
        </is>
      </c>
      <c r="I111" s="7">
        <f>IMAGE("https://images.lululemon.com/is/image/lululemon/63781",1)</f>
        <v/>
      </c>
      <c r="J111" s="7" t="inlineStr">
        <is>
          <t>M</t>
        </is>
      </c>
      <c r="K111" s="7" t="inlineStr">
        <is>
          <t>40/1006</t>
        </is>
      </c>
      <c r="L111" s="7" t="inlineStr">
        <is>
          <t>Yes</t>
        </is>
      </c>
      <c r="M111" s="7" t="inlineStr">
        <is>
          <t>Rest and reset. These lightweight shorts have a brushed interior that makes downtime irresistible.</t>
        </is>
      </c>
      <c r="N111" s="7" t="inlineStr">
        <is>
          <t>Soft-Jersey-Short-5</t>
        </is>
      </c>
      <c r="O111" s="7" t="inlineStr">
        <is>
          <t>Sweat Shorts</t>
        </is>
      </c>
    </row>
    <row r="112" ht="80" customHeight="1">
      <c r="A112" s="4">
        <f>IMAGE("https://images.lululemon.com/is/image/lululemon/LM7BI2S_0001_1?wid=320&amp;op_usm=0.8",1)</f>
        <v/>
      </c>
      <c r="B112" s="4" t="inlineStr">
        <is>
          <t>Soft Jersey Short 5"</t>
        </is>
      </c>
      <c r="C112" s="4" t="inlineStr">
        <is>
          <t>148231466</t>
        </is>
      </c>
      <c r="D112" s="4" t="inlineStr">
        <is>
          <t>148231466-heatheredvapor/heatheredsilverdrop</t>
        </is>
      </c>
      <c r="E112" s="4" t="inlineStr">
        <is>
          <t>Soft Jersey Short 5" BLK S</t>
        </is>
      </c>
      <c r="F112" s="4" t="inlineStr">
        <is>
          <t>$68.00</t>
        </is>
      </c>
      <c r="G112" s="4" t="inlineStr">
        <is>
          <t>$34.00</t>
        </is>
      </c>
      <c r="H112" s="4" t="inlineStr">
        <is>
          <t>Heathered Vapor/Heathered Silver Drop</t>
        </is>
      </c>
      <c r="I112" s="4">
        <f>IMAGE("https://images.lululemon.com/is/image/lululemon/63781",1)</f>
        <v/>
      </c>
      <c r="J112" s="4" t="inlineStr">
        <is>
          <t>L</t>
        </is>
      </c>
      <c r="K112" s="4" t="inlineStr">
        <is>
          <t>61/1006</t>
        </is>
      </c>
      <c r="L112" s="4" t="inlineStr">
        <is>
          <t>Yes</t>
        </is>
      </c>
      <c r="M112" s="4" t="inlineStr">
        <is>
          <t>Rest and reset. These lightweight shorts have a brushed interior that makes downtime irresistible.</t>
        </is>
      </c>
      <c r="N112" s="4" t="inlineStr">
        <is>
          <t>Soft-Jersey-Short-5</t>
        </is>
      </c>
      <c r="O112" s="4" t="inlineStr">
        <is>
          <t>Sweat Shorts</t>
        </is>
      </c>
    </row>
    <row r="113" ht="80" customHeight="1">
      <c r="A113" s="7">
        <f>IMAGE("https://images.lululemon.com/is/image/lululemon/LM7BI2S_0001_1?wid=320&amp;op_usm=0.8",1)</f>
        <v/>
      </c>
      <c r="B113" s="7" t="inlineStr">
        <is>
          <t>Soft Jersey Short 5"</t>
        </is>
      </c>
      <c r="C113" s="7" t="inlineStr">
        <is>
          <t>148231473</t>
        </is>
      </c>
      <c r="D113" s="7" t="inlineStr">
        <is>
          <t>148231473-heatheredvapor/heatheredsilverdrop</t>
        </is>
      </c>
      <c r="E113" s="7" t="inlineStr">
        <is>
          <t>Soft Jersey Short 5" BLK S</t>
        </is>
      </c>
      <c r="F113" s="7" t="inlineStr">
        <is>
          <t>$68.00</t>
        </is>
      </c>
      <c r="G113" s="7" t="inlineStr">
        <is>
          <t>$34.00</t>
        </is>
      </c>
      <c r="H113" s="7" t="inlineStr">
        <is>
          <t>Heathered Vapor/Heathered Silver Drop</t>
        </is>
      </c>
      <c r="I113" s="7">
        <f>IMAGE("https://images.lululemon.com/is/image/lululemon/63781",1)</f>
        <v/>
      </c>
      <c r="J113" s="7" t="inlineStr">
        <is>
          <t>XL</t>
        </is>
      </c>
      <c r="K113" s="7" t="inlineStr">
        <is>
          <t>33/1006</t>
        </is>
      </c>
      <c r="L113" s="7" t="inlineStr">
        <is>
          <t>Yes</t>
        </is>
      </c>
      <c r="M113" s="7" t="inlineStr">
        <is>
          <t>Rest and reset. These lightweight shorts have a brushed interior that makes downtime irresistible.</t>
        </is>
      </c>
      <c r="N113" s="7" t="inlineStr">
        <is>
          <t>Soft-Jersey-Short-5</t>
        </is>
      </c>
      <c r="O113" s="7" t="inlineStr">
        <is>
          <t>Sweat Shorts</t>
        </is>
      </c>
    </row>
    <row r="114" ht="80" customHeight="1">
      <c r="A114" s="6">
        <f>IMAGE("https://images.lululemon.com/is/image/lululemon/LM7BI2S_0001_1?wid=320&amp;op_usm=0.8",1)</f>
        <v/>
      </c>
      <c r="B114" s="6" t="inlineStr">
        <is>
          <t>Soft Jersey Short 5"</t>
        </is>
      </c>
      <c r="C114" s="6" t="inlineStr">
        <is>
          <t>148231478</t>
        </is>
      </c>
      <c r="D114" s="6" t="inlineStr">
        <is>
          <t>148231478-heatheredvapor/heatheredsilverdrop</t>
        </is>
      </c>
      <c r="E114" s="6" t="inlineStr">
        <is>
          <t>Soft Jersey Short 5" BLK S</t>
        </is>
      </c>
      <c r="F114" s="6" t="inlineStr">
        <is>
          <t>$68.00</t>
        </is>
      </c>
      <c r="G114" s="6" t="inlineStr">
        <is>
          <t>$34.00</t>
        </is>
      </c>
      <c r="H114" s="6" t="inlineStr">
        <is>
          <t>Heathered Vapor/Heathered Silver Drop</t>
        </is>
      </c>
      <c r="I114" s="6">
        <f>IMAGE("https://images.lululemon.com/is/image/lululemon/63781",1)</f>
        <v/>
      </c>
      <c r="J114" s="6" t="inlineStr">
        <is>
          <t>XXL</t>
        </is>
      </c>
      <c r="K114" s="6" t="inlineStr">
        <is>
          <t>4/1006</t>
        </is>
      </c>
      <c r="L114" s="6" t="inlineStr">
        <is>
          <t>Yes</t>
        </is>
      </c>
      <c r="M114" s="6" t="inlineStr">
        <is>
          <t>Rest and reset. These lightweight shorts have a brushed interior that makes downtime irresistible.</t>
        </is>
      </c>
      <c r="N114" s="6" t="inlineStr">
        <is>
          <t>Soft-Jersey-Short-5</t>
        </is>
      </c>
      <c r="O114" s="6" t="inlineStr">
        <is>
          <t>Sweat Shorts</t>
        </is>
      </c>
    </row>
    <row r="115" ht="80" customHeight="1">
      <c r="A115" s="7">
        <f>IMAGE("https://images.lululemon.com/is/image/lululemon/LM7B74S_0001_1?wid=320&amp;op_usm=0.8",1)</f>
        <v/>
      </c>
      <c r="B115" s="7" t="inlineStr">
        <is>
          <t>Fast and Free Half Tight 8"</t>
        </is>
      </c>
      <c r="C115" s="7" t="inlineStr">
        <is>
          <t>146403282</t>
        </is>
      </c>
      <c r="D115" s="7" t="inlineStr">
        <is>
          <t>146403282-black</t>
        </is>
      </c>
      <c r="E115" s="7" t="inlineStr">
        <is>
          <t>Fast and Free Half Tight 8" BLK L</t>
        </is>
      </c>
      <c r="F115" s="7" t="inlineStr">
        <is>
          <t>$98.00</t>
        </is>
      </c>
      <c r="G115" s="7" t="inlineStr">
        <is>
          <t>$49.00</t>
        </is>
      </c>
      <c r="H115" s="7" t="inlineStr">
        <is>
          <t>Black</t>
        </is>
      </c>
      <c r="I115" s="7">
        <f>IMAGE("https://images.lululemon.com/is/image/lululemon/0001",1)</f>
        <v/>
      </c>
      <c r="J115" s="7" t="inlineStr">
        <is>
          <t>L</t>
        </is>
      </c>
      <c r="K115" s="7" t="inlineStr">
        <is>
          <t>13/42</t>
        </is>
      </c>
      <c r="L115" s="7" t="inlineStr">
        <is>
          <t>Yes</t>
        </is>
      </c>
      <c r="M115" s="7" t="inlineStr">
        <is>
          <t>100% pure freedom. These sleek run shorts have a mesh fabric back panel for breezy ventilation.</t>
        </is>
      </c>
      <c r="N115" s="7" t="inlineStr">
        <is>
          <t>Fast-And-Free-Half-Tight-8</t>
        </is>
      </c>
      <c r="O115" s="7" t="inlineStr">
        <is>
          <t>Base Layers, Athletic Shorts</t>
        </is>
      </c>
    </row>
    <row r="116" ht="80" customHeight="1">
      <c r="A116" s="4">
        <f>IMAGE("https://images.lululemon.com/is/image/lululemon/LM7B74S_0001_1?wid=320&amp;op_usm=0.8",1)</f>
        <v/>
      </c>
      <c r="B116" s="4" t="inlineStr">
        <is>
          <t>Fast and Free Half Tight 8"</t>
        </is>
      </c>
      <c r="C116" s="4" t="inlineStr">
        <is>
          <t>146403294</t>
        </is>
      </c>
      <c r="D116" s="4" t="inlineStr">
        <is>
          <t>146403294-black</t>
        </is>
      </c>
      <c r="E116" s="4" t="inlineStr">
        <is>
          <t>Fast and Free Half Tight 8" BLK L</t>
        </is>
      </c>
      <c r="F116" s="4" t="inlineStr">
        <is>
          <t>$98.00</t>
        </is>
      </c>
      <c r="G116" s="4" t="inlineStr">
        <is>
          <t>$49.00</t>
        </is>
      </c>
      <c r="H116" s="4" t="inlineStr">
        <is>
          <t>Black</t>
        </is>
      </c>
      <c r="I116" s="4">
        <f>IMAGE("https://images.lululemon.com/is/image/lululemon/0001",1)</f>
        <v/>
      </c>
      <c r="J116" s="4" t="inlineStr">
        <is>
          <t>XL</t>
        </is>
      </c>
      <c r="K116" s="4" t="inlineStr">
        <is>
          <t>16/42</t>
        </is>
      </c>
      <c r="L116" s="4" t="inlineStr">
        <is>
          <t>Yes</t>
        </is>
      </c>
      <c r="M116" s="4" t="inlineStr">
        <is>
          <t>100% pure freedom. These sleek run shorts have a mesh fabric back panel for breezy ventilation.</t>
        </is>
      </c>
      <c r="N116" s="4" t="inlineStr">
        <is>
          <t>Fast-And-Free-Half-Tight-8</t>
        </is>
      </c>
      <c r="O116" s="4" t="inlineStr">
        <is>
          <t>Base Layers, Athletic Shorts</t>
        </is>
      </c>
    </row>
    <row r="117" ht="80" customHeight="1">
      <c r="A117" s="5">
        <f>IMAGE("https://images.lululemon.com/is/image/lululemon/LM7B74S_0001_1?wid=320&amp;op_usm=0.8",1)</f>
        <v/>
      </c>
      <c r="B117" s="5" t="inlineStr">
        <is>
          <t>Fast and Free Half Tight 8"</t>
        </is>
      </c>
      <c r="C117" s="5" t="inlineStr">
        <is>
          <t>146403302</t>
        </is>
      </c>
      <c r="D117" s="5" t="inlineStr">
        <is>
          <t>146403302-black</t>
        </is>
      </c>
      <c r="E117" s="5" t="inlineStr">
        <is>
          <t>Fast and Free Half Tight 8" BLK L</t>
        </is>
      </c>
      <c r="F117" s="5" t="inlineStr">
        <is>
          <t>$98.00</t>
        </is>
      </c>
      <c r="G117" s="5" t="inlineStr">
        <is>
          <t>$49.00</t>
        </is>
      </c>
      <c r="H117" s="5" t="inlineStr">
        <is>
          <t>Black</t>
        </is>
      </c>
      <c r="I117" s="5">
        <f>IMAGE("https://images.lululemon.com/is/image/lululemon/0001",1)</f>
        <v/>
      </c>
      <c r="J117" s="5" t="inlineStr">
        <is>
          <t>XXL</t>
        </is>
      </c>
      <c r="K117" s="5" t="inlineStr">
        <is>
          <t>13/42</t>
        </is>
      </c>
      <c r="L117" s="5" t="inlineStr">
        <is>
          <t>Yes</t>
        </is>
      </c>
      <c r="M117" s="5" t="inlineStr">
        <is>
          <t>100% pure freedom. These sleek run shorts have a mesh fabric back panel for breezy ventilation.</t>
        </is>
      </c>
      <c r="N117" s="5" t="inlineStr">
        <is>
          <t>Fast-And-Free-Half-Tight-8</t>
        </is>
      </c>
      <c r="O117" s="5" t="inlineStr">
        <is>
          <t>Base Layers, Athletic Shorts</t>
        </is>
      </c>
    </row>
    <row r="118" ht="80" customHeight="1">
      <c r="A118" s="6">
        <f>IMAGE("https://images.lululemon.com/is/image/lululemon/LU9BE3S_0001_1?wid=320&amp;op_usm=0.8",1)</f>
        <v/>
      </c>
      <c r="B118" s="6" t="inlineStr">
        <is>
          <t>Everywhere Belt Bag 1L *Clear</t>
        </is>
      </c>
      <c r="C118" s="6" t="inlineStr">
        <is>
          <t>147475064</t>
        </is>
      </c>
      <c r="D118" s="6" t="inlineStr">
        <is>
          <t>147475064-black</t>
        </is>
      </c>
      <c r="E118" s="6" t="inlineStr">
        <is>
          <t>Everywhere Belt Bag *Clear BLK ONE SIZE</t>
        </is>
      </c>
      <c r="F118" s="6" t="inlineStr">
        <is>
          <t>$38.00</t>
        </is>
      </c>
      <c r="G118" s="6" t="inlineStr">
        <is>
          <t>$19.00</t>
        </is>
      </c>
      <c r="H118" s="6" t="inlineStr">
        <is>
          <t>Black</t>
        </is>
      </c>
      <c r="I118" s="6">
        <f>IMAGE("https://images.lululemon.com/is/image/lululemon/0001",1)</f>
        <v/>
      </c>
      <c r="J118" s="6" t="inlineStr">
        <is>
          <t>O/S</t>
        </is>
      </c>
      <c r="K118" s="6" t="inlineStr">
        <is>
          <t>419/419</t>
        </is>
      </c>
      <c r="L118" s="6" t="inlineStr">
        <is>
          <t>Yes</t>
        </is>
      </c>
      <c r="M118" s="6" t="inlineStr">
        <is>
          <t>Stadium ready. Whether you're heading to a concert or cheering on your home team, this transparent belt bag keeps your belongings visible so lineups are a breeze.</t>
        </is>
      </c>
      <c r="N118" s="6" t="inlineStr">
        <is>
          <t>Clear-Belt-Bag-Logo-1L</t>
        </is>
      </c>
      <c r="O118" s="6" t="inlineStr">
        <is>
          <t>Belt Bags, Crossbody Bags</t>
        </is>
      </c>
    </row>
    <row r="119" ht="80" customHeight="1">
      <c r="A119" s="7">
        <f>IMAGE("https://images.lululemon.com/is/image/lululemon/LM7BGUS_038470_1?wid=320&amp;op_usm=0.8",1)</f>
        <v/>
      </c>
      <c r="B119" s="7" t="inlineStr">
        <is>
          <t>ABC Classic-Fit Short 7" *WovenAir</t>
        </is>
      </c>
      <c r="C119" s="7" t="inlineStr">
        <is>
          <t>155802290</t>
        </is>
      </c>
      <c r="D119" s="7" t="inlineStr">
        <is>
          <t>155802290-truenavy</t>
        </is>
      </c>
      <c r="E119" s="7" t="inlineStr">
        <is>
          <t>ABC Classic-Fit Short 7" *WovenAir™ TRNV 28</t>
        </is>
      </c>
      <c r="F119" s="7" t="inlineStr">
        <is>
          <t>$88.00</t>
        </is>
      </c>
      <c r="G119" s="7" t="inlineStr">
        <is>
          <t>$44.00</t>
        </is>
      </c>
      <c r="H119" s="7" t="inlineStr">
        <is>
          <t>True Navy</t>
        </is>
      </c>
      <c r="I119" s="7">
        <f>IMAGE("https://images.lululemon.com/is/image/lululemon/31382",1)</f>
        <v/>
      </c>
      <c r="J119" s="7" t="inlineStr">
        <is>
          <t>28</t>
        </is>
      </c>
      <c r="K119" s="7" t="inlineStr">
        <is>
          <t>12/1022</t>
        </is>
      </c>
      <c r="L119" s="7" t="inlineStr">
        <is>
          <t>Yes</t>
        </is>
      </c>
      <c r="M119" s="7" t="inlineStr">
        <is>
          <t>Welcome to the all-day comfort club. Streamlined yet technical, these shorts elevate any look.</t>
        </is>
      </c>
      <c r="N119" s="7" t="inlineStr">
        <is>
          <t>ABC-Classic-Fit-Short-7-WovenAir</t>
        </is>
      </c>
      <c r="O119" s="7" t="inlineStr">
        <is>
          <t>Chino Shorts</t>
        </is>
      </c>
    </row>
    <row r="120" ht="80" customHeight="1">
      <c r="A120" s="4">
        <f>IMAGE("https://images.lululemon.com/is/image/lululemon/LM7BGUS_038470_1?wid=320&amp;op_usm=0.8",1)</f>
        <v/>
      </c>
      <c r="B120" s="4" t="inlineStr">
        <is>
          <t>ABC Classic-Fit Short 7" *WovenAir</t>
        </is>
      </c>
      <c r="C120" s="4" t="inlineStr">
        <is>
          <t>155802292</t>
        </is>
      </c>
      <c r="D120" s="4" t="inlineStr">
        <is>
          <t>155802292-truenavy</t>
        </is>
      </c>
      <c r="E120" s="4" t="inlineStr">
        <is>
          <t>ABC Classic-Fit Short 7" *WovenAir™ TRNV 28</t>
        </is>
      </c>
      <c r="F120" s="4" t="inlineStr">
        <is>
          <t>$88.00</t>
        </is>
      </c>
      <c r="G120" s="4" t="inlineStr">
        <is>
          <t>$44.00</t>
        </is>
      </c>
      <c r="H120" s="4" t="inlineStr">
        <is>
          <t>True Navy</t>
        </is>
      </c>
      <c r="I120" s="4">
        <f>IMAGE("https://images.lululemon.com/is/image/lululemon/31382",1)</f>
        <v/>
      </c>
      <c r="J120" s="4" t="inlineStr">
        <is>
          <t>30</t>
        </is>
      </c>
      <c r="K120" s="4" t="inlineStr">
        <is>
          <t>44/1022</t>
        </is>
      </c>
      <c r="L120" s="4" t="inlineStr">
        <is>
          <t>Yes</t>
        </is>
      </c>
      <c r="M120" s="4" t="inlineStr">
        <is>
          <t>Welcome to the all-day comfort club. Streamlined yet technical, these shorts elevate any look.</t>
        </is>
      </c>
      <c r="N120" s="4" t="inlineStr">
        <is>
          <t>ABC-Classic-Fit-Short-7-WovenAir</t>
        </is>
      </c>
      <c r="O120" s="4" t="inlineStr">
        <is>
          <t>Chino Shorts</t>
        </is>
      </c>
    </row>
    <row r="121" ht="80" customHeight="1">
      <c r="A121" s="7">
        <f>IMAGE("https://images.lululemon.com/is/image/lululemon/LM7BGUS_038470_1?wid=320&amp;op_usm=0.8",1)</f>
        <v/>
      </c>
      <c r="B121" s="7" t="inlineStr">
        <is>
          <t>ABC Classic-Fit Short 7" *WovenAir</t>
        </is>
      </c>
      <c r="C121" s="7" t="inlineStr">
        <is>
          <t>155802293</t>
        </is>
      </c>
      <c r="D121" s="7" t="inlineStr">
        <is>
          <t>155802293-truenavy</t>
        </is>
      </c>
      <c r="E121" s="7" t="inlineStr">
        <is>
          <t>ABC Classic-Fit Short 7" *WovenAir™ TRNV 28</t>
        </is>
      </c>
      <c r="F121" s="7" t="inlineStr">
        <is>
          <t>$88.00</t>
        </is>
      </c>
      <c r="G121" s="7" t="inlineStr">
        <is>
          <t>$44.00</t>
        </is>
      </c>
      <c r="H121" s="7" t="inlineStr">
        <is>
          <t>True Navy</t>
        </is>
      </c>
      <c r="I121" s="7">
        <f>IMAGE("https://images.lululemon.com/is/image/lululemon/31382",1)</f>
        <v/>
      </c>
      <c r="J121" s="7" t="inlineStr">
        <is>
          <t>31</t>
        </is>
      </c>
      <c r="K121" s="7" t="inlineStr">
        <is>
          <t>19/1022</t>
        </is>
      </c>
      <c r="L121" s="7" t="inlineStr">
        <is>
          <t>Yes</t>
        </is>
      </c>
      <c r="M121" s="7" t="inlineStr">
        <is>
          <t>Welcome to the all-day comfort club. Streamlined yet technical, these shorts elevate any look.</t>
        </is>
      </c>
      <c r="N121" s="7" t="inlineStr">
        <is>
          <t>ABC-Classic-Fit-Short-7-WovenAir</t>
        </is>
      </c>
      <c r="O121" s="7" t="inlineStr">
        <is>
          <t>Chino Shorts</t>
        </is>
      </c>
    </row>
    <row r="122" ht="80" customHeight="1">
      <c r="A122" s="4">
        <f>IMAGE("https://images.lululemon.com/is/image/lululemon/LM7BGUS_038470_1?wid=320&amp;op_usm=0.8",1)</f>
        <v/>
      </c>
      <c r="B122" s="4" t="inlineStr">
        <is>
          <t>ABC Classic-Fit Short 7" *WovenAir</t>
        </is>
      </c>
      <c r="C122" s="4" t="inlineStr">
        <is>
          <t>155802294</t>
        </is>
      </c>
      <c r="D122" s="4" t="inlineStr">
        <is>
          <t>155802294-truenavy</t>
        </is>
      </c>
      <c r="E122" s="4" t="inlineStr">
        <is>
          <t>ABC Classic-Fit Short 7" *WovenAir™ TRNV 28</t>
        </is>
      </c>
      <c r="F122" s="4" t="inlineStr">
        <is>
          <t>$88.00</t>
        </is>
      </c>
      <c r="G122" s="4" t="inlineStr">
        <is>
          <t>$44.00</t>
        </is>
      </c>
      <c r="H122" s="4" t="inlineStr">
        <is>
          <t>True Navy</t>
        </is>
      </c>
      <c r="I122" s="4">
        <f>IMAGE("https://images.lululemon.com/is/image/lululemon/31382",1)</f>
        <v/>
      </c>
      <c r="J122" s="4" t="inlineStr">
        <is>
          <t>32</t>
        </is>
      </c>
      <c r="K122" s="4" t="inlineStr">
        <is>
          <t>129/1022</t>
        </is>
      </c>
      <c r="L122" s="4" t="inlineStr">
        <is>
          <t>Yes</t>
        </is>
      </c>
      <c r="M122" s="4" t="inlineStr">
        <is>
          <t>Welcome to the all-day comfort club. Streamlined yet technical, these shorts elevate any look.</t>
        </is>
      </c>
      <c r="N122" s="4" t="inlineStr">
        <is>
          <t>ABC-Classic-Fit-Short-7-WovenAir</t>
        </is>
      </c>
      <c r="O122" s="4" t="inlineStr">
        <is>
          <t>Chino Shorts</t>
        </is>
      </c>
    </row>
    <row r="123" ht="80" customHeight="1">
      <c r="A123" s="7">
        <f>IMAGE("https://images.lululemon.com/is/image/lululemon/LM7BGUS_038470_1?wid=320&amp;op_usm=0.8",1)</f>
        <v/>
      </c>
      <c r="B123" s="7" t="inlineStr">
        <is>
          <t>ABC Classic-Fit Short 7" *WovenAir</t>
        </is>
      </c>
      <c r="C123" s="7" t="inlineStr">
        <is>
          <t>155802295</t>
        </is>
      </c>
      <c r="D123" s="7" t="inlineStr">
        <is>
          <t>155802295-truenavy</t>
        </is>
      </c>
      <c r="E123" s="7" t="inlineStr">
        <is>
          <t>ABC Classic-Fit Short 7" *WovenAir™ TRNV 28</t>
        </is>
      </c>
      <c r="F123" s="7" t="inlineStr">
        <is>
          <t>$88.00</t>
        </is>
      </c>
      <c r="G123" s="7" t="inlineStr">
        <is>
          <t>$44.00</t>
        </is>
      </c>
      <c r="H123" s="7" t="inlineStr">
        <is>
          <t>True Navy</t>
        </is>
      </c>
      <c r="I123" s="7">
        <f>IMAGE("https://images.lululemon.com/is/image/lululemon/31382",1)</f>
        <v/>
      </c>
      <c r="J123" s="7" t="inlineStr">
        <is>
          <t>33</t>
        </is>
      </c>
      <c r="K123" s="7" t="inlineStr">
        <is>
          <t>55/1022</t>
        </is>
      </c>
      <c r="L123" s="7" t="inlineStr">
        <is>
          <t>Yes</t>
        </is>
      </c>
      <c r="M123" s="7" t="inlineStr">
        <is>
          <t>Welcome to the all-day comfort club. Streamlined yet technical, these shorts elevate any look.</t>
        </is>
      </c>
      <c r="N123" s="7" t="inlineStr">
        <is>
          <t>ABC-Classic-Fit-Short-7-WovenAir</t>
        </is>
      </c>
      <c r="O123" s="7" t="inlineStr">
        <is>
          <t>Chino Shorts</t>
        </is>
      </c>
    </row>
    <row r="124" ht="80" customHeight="1">
      <c r="A124" s="4">
        <f>IMAGE("https://images.lululemon.com/is/image/lululemon/LM7BGUS_038470_1?wid=320&amp;op_usm=0.8",1)</f>
        <v/>
      </c>
      <c r="B124" s="4" t="inlineStr">
        <is>
          <t>ABC Classic-Fit Short 7" *WovenAir</t>
        </is>
      </c>
      <c r="C124" s="4" t="inlineStr">
        <is>
          <t>155802296</t>
        </is>
      </c>
      <c r="D124" s="4" t="inlineStr">
        <is>
          <t>155802296-truenavy</t>
        </is>
      </c>
      <c r="E124" s="4" t="inlineStr">
        <is>
          <t>ABC Classic-Fit Short 7" *WovenAir™ TRNV 28</t>
        </is>
      </c>
      <c r="F124" s="4" t="inlineStr">
        <is>
          <t>$88.00</t>
        </is>
      </c>
      <c r="G124" s="4" t="inlineStr">
        <is>
          <t>$44.00</t>
        </is>
      </c>
      <c r="H124" s="4" t="inlineStr">
        <is>
          <t>True Navy</t>
        </is>
      </c>
      <c r="I124" s="4">
        <f>IMAGE("https://images.lululemon.com/is/image/lululemon/31382",1)</f>
        <v/>
      </c>
      <c r="J124" s="4" t="inlineStr">
        <is>
          <t>34</t>
        </is>
      </c>
      <c r="K124" s="4" t="inlineStr">
        <is>
          <t>139/1022</t>
        </is>
      </c>
      <c r="L124" s="4" t="inlineStr">
        <is>
          <t>Yes</t>
        </is>
      </c>
      <c r="M124" s="4" t="inlineStr">
        <is>
          <t>Welcome to the all-day comfort club. Streamlined yet technical, these shorts elevate any look.</t>
        </is>
      </c>
      <c r="N124" s="4" t="inlineStr">
        <is>
          <t>ABC-Classic-Fit-Short-7-WovenAir</t>
        </is>
      </c>
      <c r="O124" s="4" t="inlineStr">
        <is>
          <t>Chino Shorts</t>
        </is>
      </c>
    </row>
    <row r="125" ht="80" customHeight="1">
      <c r="A125" s="7">
        <f>IMAGE("https://images.lululemon.com/is/image/lululemon/LM7BGUS_038470_1?wid=320&amp;op_usm=0.8",1)</f>
        <v/>
      </c>
      <c r="B125" s="7" t="inlineStr">
        <is>
          <t>ABC Classic-Fit Short 7" *WovenAir</t>
        </is>
      </c>
      <c r="C125" s="7" t="inlineStr">
        <is>
          <t>155802298</t>
        </is>
      </c>
      <c r="D125" s="7" t="inlineStr">
        <is>
          <t>155802298-truenavy</t>
        </is>
      </c>
      <c r="E125" s="7" t="inlineStr">
        <is>
          <t>ABC Classic-Fit Short 7" *WovenAir™ TRNV 28</t>
        </is>
      </c>
      <c r="F125" s="7" t="inlineStr">
        <is>
          <t>$88.00</t>
        </is>
      </c>
      <c r="G125" s="7" t="inlineStr">
        <is>
          <t>$44.00</t>
        </is>
      </c>
      <c r="H125" s="7" t="inlineStr">
        <is>
          <t>True Navy</t>
        </is>
      </c>
      <c r="I125" s="7">
        <f>IMAGE("https://images.lululemon.com/is/image/lululemon/31382",1)</f>
        <v/>
      </c>
      <c r="J125" s="7" t="inlineStr">
        <is>
          <t>36</t>
        </is>
      </c>
      <c r="K125" s="7" t="inlineStr">
        <is>
          <t>123/1022</t>
        </is>
      </c>
      <c r="L125" s="7" t="inlineStr">
        <is>
          <t>Yes</t>
        </is>
      </c>
      <c r="M125" s="7" t="inlineStr">
        <is>
          <t>Welcome to the all-day comfort club. Streamlined yet technical, these shorts elevate any look.</t>
        </is>
      </c>
      <c r="N125" s="7" t="inlineStr">
        <is>
          <t>ABC-Classic-Fit-Short-7-WovenAir</t>
        </is>
      </c>
      <c r="O125" s="7" t="inlineStr">
        <is>
          <t>Chino Shorts</t>
        </is>
      </c>
    </row>
    <row r="126" ht="80" customHeight="1">
      <c r="A126" s="4">
        <f>IMAGE("https://images.lululemon.com/is/image/lululemon/LM7BGUS_038470_1?wid=320&amp;op_usm=0.8",1)</f>
        <v/>
      </c>
      <c r="B126" s="4" t="inlineStr">
        <is>
          <t>ABC Classic-Fit Short 7" *WovenAir</t>
        </is>
      </c>
      <c r="C126" s="4" t="inlineStr">
        <is>
          <t>155802300</t>
        </is>
      </c>
      <c r="D126" s="4" t="inlineStr">
        <is>
          <t>155802300-truenavy</t>
        </is>
      </c>
      <c r="E126" s="4" t="inlineStr">
        <is>
          <t>ABC Classic-Fit Short 7" *WovenAir™ TRNV 28</t>
        </is>
      </c>
      <c r="F126" s="4" t="inlineStr">
        <is>
          <t>$88.00</t>
        </is>
      </c>
      <c r="G126" s="4" t="inlineStr">
        <is>
          <t>$44.00</t>
        </is>
      </c>
      <c r="H126" s="4" t="inlineStr">
        <is>
          <t>True Navy</t>
        </is>
      </c>
      <c r="I126" s="4">
        <f>IMAGE("https://images.lululemon.com/is/image/lululemon/31382",1)</f>
        <v/>
      </c>
      <c r="J126" s="4" t="inlineStr">
        <is>
          <t>38</t>
        </is>
      </c>
      <c r="K126" s="4" t="inlineStr">
        <is>
          <t>83/1022</t>
        </is>
      </c>
      <c r="L126" s="4" t="inlineStr">
        <is>
          <t>Yes</t>
        </is>
      </c>
      <c r="M126" s="4" t="inlineStr">
        <is>
          <t>Welcome to the all-day comfort club. Streamlined yet technical, these shorts elevate any look.</t>
        </is>
      </c>
      <c r="N126" s="4" t="inlineStr">
        <is>
          <t>ABC-Classic-Fit-Short-7-WovenAir</t>
        </is>
      </c>
      <c r="O126" s="4" t="inlineStr">
        <is>
          <t>Chino Shorts</t>
        </is>
      </c>
    </row>
    <row r="127" ht="80" customHeight="1">
      <c r="A127" s="7">
        <f>IMAGE("https://images.lululemon.com/is/image/lululemon/LM7BGUS_038470_1?wid=320&amp;op_usm=0.8",1)</f>
        <v/>
      </c>
      <c r="B127" s="7" t="inlineStr">
        <is>
          <t>ABC Classic-Fit Short 7" *WovenAir</t>
        </is>
      </c>
      <c r="C127" s="7" t="inlineStr">
        <is>
          <t>155802302</t>
        </is>
      </c>
      <c r="D127" s="7" t="inlineStr">
        <is>
          <t>155802302-truenavy</t>
        </is>
      </c>
      <c r="E127" s="7" t="inlineStr">
        <is>
          <t>ABC Classic-Fit Short 7" *WovenAir™ TRNV 28</t>
        </is>
      </c>
      <c r="F127" s="7" t="inlineStr">
        <is>
          <t>$88.00</t>
        </is>
      </c>
      <c r="G127" s="7" t="inlineStr">
        <is>
          <t>$44.00</t>
        </is>
      </c>
      <c r="H127" s="7" t="inlineStr">
        <is>
          <t>True Navy</t>
        </is>
      </c>
      <c r="I127" s="7">
        <f>IMAGE("https://images.lululemon.com/is/image/lululemon/31382",1)</f>
        <v/>
      </c>
      <c r="J127" s="7" t="inlineStr">
        <is>
          <t>40</t>
        </is>
      </c>
      <c r="K127" s="7" t="inlineStr">
        <is>
          <t>36/1022</t>
        </is>
      </c>
      <c r="L127" s="7" t="inlineStr">
        <is>
          <t>Yes</t>
        </is>
      </c>
      <c r="M127" s="7" t="inlineStr">
        <is>
          <t>Welcome to the all-day comfort club. Streamlined yet technical, these shorts elevate any look.</t>
        </is>
      </c>
      <c r="N127" s="7" t="inlineStr">
        <is>
          <t>ABC-Classic-Fit-Short-7-WovenAir</t>
        </is>
      </c>
      <c r="O127" s="7" t="inlineStr">
        <is>
          <t>Chino Shorts</t>
        </is>
      </c>
    </row>
    <row r="128" ht="80" customHeight="1">
      <c r="A128" s="4">
        <f>IMAGE("https://images.lululemon.com/is/image/lululemon/LM7BGUS_038470_1?wid=320&amp;op_usm=0.8",1)</f>
        <v/>
      </c>
      <c r="B128" s="4" t="inlineStr">
        <is>
          <t>ABC Classic-Fit Short 7" *WovenAir</t>
        </is>
      </c>
      <c r="C128" s="4" t="inlineStr">
        <is>
          <t>155802314</t>
        </is>
      </c>
      <c r="D128" s="4" t="inlineStr">
        <is>
          <t>155802314-lightivory</t>
        </is>
      </c>
      <c r="E128" s="4" t="inlineStr">
        <is>
          <t>ABC Classic-Fit Short 7" *WovenAir™ TRNV 28</t>
        </is>
      </c>
      <c r="F128" s="4" t="inlineStr">
        <is>
          <t>$88.00</t>
        </is>
      </c>
      <c r="G128" s="4" t="inlineStr">
        <is>
          <t>$44.00</t>
        </is>
      </c>
      <c r="H128" s="4" t="inlineStr">
        <is>
          <t>Light Ivory</t>
        </is>
      </c>
      <c r="I128" s="4">
        <f>IMAGE("https://images.lululemon.com/is/image/lululemon/33454",1)</f>
        <v/>
      </c>
      <c r="J128" s="4" t="inlineStr">
        <is>
          <t>30</t>
        </is>
      </c>
      <c r="K128" s="4" t="inlineStr">
        <is>
          <t>21/1022</t>
        </is>
      </c>
      <c r="L128" s="4" t="inlineStr">
        <is>
          <t>Yes</t>
        </is>
      </c>
      <c r="M128" s="4" t="inlineStr">
        <is>
          <t>Welcome to the all-day comfort club. Streamlined yet technical, these shorts elevate any look.</t>
        </is>
      </c>
      <c r="N128" s="4" t="inlineStr">
        <is>
          <t>ABC-Classic-Fit-Short-7-WovenAir</t>
        </is>
      </c>
      <c r="O128" s="4" t="inlineStr">
        <is>
          <t>Chino Shorts</t>
        </is>
      </c>
    </row>
    <row r="129" ht="80" customHeight="1">
      <c r="A129" s="7">
        <f>IMAGE("https://images.lululemon.com/is/image/lululemon/LM7BGUS_038470_1?wid=320&amp;op_usm=0.8",1)</f>
        <v/>
      </c>
      <c r="B129" s="7" t="inlineStr">
        <is>
          <t>ABC Classic-Fit Short 7" *WovenAir</t>
        </is>
      </c>
      <c r="C129" s="7" t="inlineStr">
        <is>
          <t>155802315</t>
        </is>
      </c>
      <c r="D129" s="7" t="inlineStr">
        <is>
          <t>155802315-lightivory</t>
        </is>
      </c>
      <c r="E129" s="7" t="inlineStr">
        <is>
          <t>ABC Classic-Fit Short 7" *WovenAir™ TRNV 28</t>
        </is>
      </c>
      <c r="F129" s="7" t="inlineStr">
        <is>
          <t>$88.00</t>
        </is>
      </c>
      <c r="G129" s="7" t="inlineStr">
        <is>
          <t>$44.00</t>
        </is>
      </c>
      <c r="H129" s="7" t="inlineStr">
        <is>
          <t>Light Ivory</t>
        </is>
      </c>
      <c r="I129" s="7">
        <f>IMAGE("https://images.lululemon.com/is/image/lululemon/33454",1)</f>
        <v/>
      </c>
      <c r="J129" s="7" t="inlineStr">
        <is>
          <t>31</t>
        </is>
      </c>
      <c r="K129" s="7" t="inlineStr">
        <is>
          <t>8/1022</t>
        </is>
      </c>
      <c r="L129" s="7" t="inlineStr">
        <is>
          <t>Yes</t>
        </is>
      </c>
      <c r="M129" s="7" t="inlineStr">
        <is>
          <t>Welcome to the all-day comfort club. Streamlined yet technical, these shorts elevate any look.</t>
        </is>
      </c>
      <c r="N129" s="7" t="inlineStr">
        <is>
          <t>ABC-Classic-Fit-Short-7-WovenAir</t>
        </is>
      </c>
      <c r="O129" s="7" t="inlineStr">
        <is>
          <t>Chino Shorts</t>
        </is>
      </c>
    </row>
    <row r="130" ht="80" customHeight="1">
      <c r="A130" s="4">
        <f>IMAGE("https://images.lululemon.com/is/image/lululemon/LM7BGUS_038470_1?wid=320&amp;op_usm=0.8",1)</f>
        <v/>
      </c>
      <c r="B130" s="4" t="inlineStr">
        <is>
          <t>ABC Classic-Fit Short 7" *WovenAir</t>
        </is>
      </c>
      <c r="C130" s="4" t="inlineStr">
        <is>
          <t>155802316</t>
        </is>
      </c>
      <c r="D130" s="4" t="inlineStr">
        <is>
          <t>155802316-lightivory</t>
        </is>
      </c>
      <c r="E130" s="4" t="inlineStr">
        <is>
          <t>ABC Classic-Fit Short 7" *WovenAir™ TRNV 28</t>
        </is>
      </c>
      <c r="F130" s="4" t="inlineStr">
        <is>
          <t>$88.00</t>
        </is>
      </c>
      <c r="G130" s="4" t="inlineStr">
        <is>
          <t>$44.00</t>
        </is>
      </c>
      <c r="H130" s="4" t="inlineStr">
        <is>
          <t>Light Ivory</t>
        </is>
      </c>
      <c r="I130" s="4">
        <f>IMAGE("https://images.lululemon.com/is/image/lululemon/33454",1)</f>
        <v/>
      </c>
      <c r="J130" s="4" t="inlineStr">
        <is>
          <t>32</t>
        </is>
      </c>
      <c r="K130" s="4" t="inlineStr">
        <is>
          <t>55/1022</t>
        </is>
      </c>
      <c r="L130" s="4" t="inlineStr">
        <is>
          <t>Yes</t>
        </is>
      </c>
      <c r="M130" s="4" t="inlineStr">
        <is>
          <t>Welcome to the all-day comfort club. Streamlined yet technical, these shorts elevate any look.</t>
        </is>
      </c>
      <c r="N130" s="4" t="inlineStr">
        <is>
          <t>ABC-Classic-Fit-Short-7-WovenAir</t>
        </is>
      </c>
      <c r="O130" s="4" t="inlineStr">
        <is>
          <t>Chino Shorts</t>
        </is>
      </c>
    </row>
    <row r="131" ht="80" customHeight="1">
      <c r="A131" s="7">
        <f>IMAGE("https://images.lululemon.com/is/image/lululemon/LM7BGUS_038470_1?wid=320&amp;op_usm=0.8",1)</f>
        <v/>
      </c>
      <c r="B131" s="7" t="inlineStr">
        <is>
          <t>ABC Classic-Fit Short 7" *WovenAir</t>
        </is>
      </c>
      <c r="C131" s="7" t="inlineStr">
        <is>
          <t>155802317</t>
        </is>
      </c>
      <c r="D131" s="7" t="inlineStr">
        <is>
          <t>155802317-lightivory</t>
        </is>
      </c>
      <c r="E131" s="7" t="inlineStr">
        <is>
          <t>ABC Classic-Fit Short 7" *WovenAir™ TRNV 28</t>
        </is>
      </c>
      <c r="F131" s="7" t="inlineStr">
        <is>
          <t>$88.00</t>
        </is>
      </c>
      <c r="G131" s="7" t="inlineStr">
        <is>
          <t>$44.00</t>
        </is>
      </c>
      <c r="H131" s="7" t="inlineStr">
        <is>
          <t>Light Ivory</t>
        </is>
      </c>
      <c r="I131" s="7">
        <f>IMAGE("https://images.lululemon.com/is/image/lululemon/33454",1)</f>
        <v/>
      </c>
      <c r="J131" s="7" t="inlineStr">
        <is>
          <t>33</t>
        </is>
      </c>
      <c r="K131" s="7" t="inlineStr">
        <is>
          <t>35/1022</t>
        </is>
      </c>
      <c r="L131" s="7" t="inlineStr">
        <is>
          <t>Yes</t>
        </is>
      </c>
      <c r="M131" s="7" t="inlineStr">
        <is>
          <t>Welcome to the all-day comfort club. Streamlined yet technical, these shorts elevate any look.</t>
        </is>
      </c>
      <c r="N131" s="7" t="inlineStr">
        <is>
          <t>ABC-Classic-Fit-Short-7-WovenAir</t>
        </is>
      </c>
      <c r="O131" s="7" t="inlineStr">
        <is>
          <t>Chino Shorts</t>
        </is>
      </c>
    </row>
    <row r="132" ht="80" customHeight="1">
      <c r="A132" s="4">
        <f>IMAGE("https://images.lululemon.com/is/image/lululemon/LM7BGUS_038470_1?wid=320&amp;op_usm=0.8",1)</f>
        <v/>
      </c>
      <c r="B132" s="4" t="inlineStr">
        <is>
          <t>ABC Classic-Fit Short 7" *WovenAir</t>
        </is>
      </c>
      <c r="C132" s="4" t="inlineStr">
        <is>
          <t>155802318</t>
        </is>
      </c>
      <c r="D132" s="4" t="inlineStr">
        <is>
          <t>155802318-lightivory</t>
        </is>
      </c>
      <c r="E132" s="4" t="inlineStr">
        <is>
          <t>ABC Classic-Fit Short 7" *WovenAir™ TRNV 28</t>
        </is>
      </c>
      <c r="F132" s="4" t="inlineStr">
        <is>
          <t>$88.00</t>
        </is>
      </c>
      <c r="G132" s="4" t="inlineStr">
        <is>
          <t>$44.00</t>
        </is>
      </c>
      <c r="H132" s="4" t="inlineStr">
        <is>
          <t>Light Ivory</t>
        </is>
      </c>
      <c r="I132" s="4">
        <f>IMAGE("https://images.lululemon.com/is/image/lululemon/33454",1)</f>
        <v/>
      </c>
      <c r="J132" s="4" t="inlineStr">
        <is>
          <t>34</t>
        </is>
      </c>
      <c r="K132" s="4" t="inlineStr">
        <is>
          <t>80/1022</t>
        </is>
      </c>
      <c r="L132" s="4" t="inlineStr">
        <is>
          <t>Yes</t>
        </is>
      </c>
      <c r="M132" s="4" t="inlineStr">
        <is>
          <t>Welcome to the all-day comfort club. Streamlined yet technical, these shorts elevate any look.</t>
        </is>
      </c>
      <c r="N132" s="4" t="inlineStr">
        <is>
          <t>ABC-Classic-Fit-Short-7-WovenAir</t>
        </is>
      </c>
      <c r="O132" s="4" t="inlineStr">
        <is>
          <t>Chino Shorts</t>
        </is>
      </c>
    </row>
    <row r="133" ht="80" customHeight="1">
      <c r="A133" s="7">
        <f>IMAGE("https://images.lululemon.com/is/image/lululemon/LM7BGUS_038470_1?wid=320&amp;op_usm=0.8",1)</f>
        <v/>
      </c>
      <c r="B133" s="7" t="inlineStr">
        <is>
          <t>ABC Classic-Fit Short 7" *WovenAir</t>
        </is>
      </c>
      <c r="C133" s="7" t="inlineStr">
        <is>
          <t>155802320</t>
        </is>
      </c>
      <c r="D133" s="7" t="inlineStr">
        <is>
          <t>155802320-lightivory</t>
        </is>
      </c>
      <c r="E133" s="7" t="inlineStr">
        <is>
          <t>ABC Classic-Fit Short 7" *WovenAir™ TRNV 28</t>
        </is>
      </c>
      <c r="F133" s="7" t="inlineStr">
        <is>
          <t>$88.00</t>
        </is>
      </c>
      <c r="G133" s="7" t="inlineStr">
        <is>
          <t>$44.00</t>
        </is>
      </c>
      <c r="H133" s="7" t="inlineStr">
        <is>
          <t>Light Ivory</t>
        </is>
      </c>
      <c r="I133" s="7">
        <f>IMAGE("https://images.lululemon.com/is/image/lululemon/33454",1)</f>
        <v/>
      </c>
      <c r="J133" s="7" t="inlineStr">
        <is>
          <t>36</t>
        </is>
      </c>
      <c r="K133" s="7" t="inlineStr">
        <is>
          <t>28/1022</t>
        </is>
      </c>
      <c r="L133" s="7" t="inlineStr">
        <is>
          <t>Yes</t>
        </is>
      </c>
      <c r="M133" s="7" t="inlineStr">
        <is>
          <t>Welcome to the all-day comfort club. Streamlined yet technical, these shorts elevate any look.</t>
        </is>
      </c>
      <c r="N133" s="7" t="inlineStr">
        <is>
          <t>ABC-Classic-Fit-Short-7-WovenAir</t>
        </is>
      </c>
      <c r="O133" s="7" t="inlineStr">
        <is>
          <t>Chino Shorts</t>
        </is>
      </c>
    </row>
    <row r="134" ht="80" customHeight="1">
      <c r="A134" s="4">
        <f>IMAGE("https://images.lululemon.com/is/image/lululemon/LM7BGUS_038470_1?wid=320&amp;op_usm=0.8",1)</f>
        <v/>
      </c>
      <c r="B134" s="4" t="inlineStr">
        <is>
          <t>ABC Classic-Fit Short 7" *WovenAir</t>
        </is>
      </c>
      <c r="C134" s="4" t="inlineStr">
        <is>
          <t>155802322</t>
        </is>
      </c>
      <c r="D134" s="4" t="inlineStr">
        <is>
          <t>155802322-lightivory</t>
        </is>
      </c>
      <c r="E134" s="4" t="inlineStr">
        <is>
          <t>ABC Classic-Fit Short 7" *WovenAir™ TRNV 28</t>
        </is>
      </c>
      <c r="F134" s="4" t="inlineStr">
        <is>
          <t>$88.00</t>
        </is>
      </c>
      <c r="G134" s="4" t="inlineStr">
        <is>
          <t>$44.00</t>
        </is>
      </c>
      <c r="H134" s="4" t="inlineStr">
        <is>
          <t>Light Ivory</t>
        </is>
      </c>
      <c r="I134" s="4">
        <f>IMAGE("https://images.lululemon.com/is/image/lululemon/33454",1)</f>
        <v/>
      </c>
      <c r="J134" s="4" t="inlineStr">
        <is>
          <t>38</t>
        </is>
      </c>
      <c r="K134" s="4" t="inlineStr">
        <is>
          <t>58/1022</t>
        </is>
      </c>
      <c r="L134" s="4" t="inlineStr">
        <is>
          <t>Yes</t>
        </is>
      </c>
      <c r="M134" s="4" t="inlineStr">
        <is>
          <t>Welcome to the all-day comfort club. Streamlined yet technical, these shorts elevate any look.</t>
        </is>
      </c>
      <c r="N134" s="4" t="inlineStr">
        <is>
          <t>ABC-Classic-Fit-Short-7-WovenAir</t>
        </is>
      </c>
      <c r="O134" s="4" t="inlineStr">
        <is>
          <t>Chino Shorts</t>
        </is>
      </c>
    </row>
    <row r="135" ht="80" customHeight="1">
      <c r="A135" s="7">
        <f>IMAGE("https://images.lululemon.com/is/image/lululemon/LM7BGUS_038470_1?wid=320&amp;op_usm=0.8",1)</f>
        <v/>
      </c>
      <c r="B135" s="7" t="inlineStr">
        <is>
          <t>ABC Classic-Fit Short 7" *WovenAir</t>
        </is>
      </c>
      <c r="C135" s="7" t="inlineStr">
        <is>
          <t>155802324</t>
        </is>
      </c>
      <c r="D135" s="7" t="inlineStr">
        <is>
          <t>155802324-lightivory</t>
        </is>
      </c>
      <c r="E135" s="7" t="inlineStr">
        <is>
          <t>ABC Classic-Fit Short 7" *WovenAir™ TRNV 28</t>
        </is>
      </c>
      <c r="F135" s="7" t="inlineStr">
        <is>
          <t>$88.00</t>
        </is>
      </c>
      <c r="G135" s="7" t="inlineStr">
        <is>
          <t>$44.00</t>
        </is>
      </c>
      <c r="H135" s="7" t="inlineStr">
        <is>
          <t>Light Ivory</t>
        </is>
      </c>
      <c r="I135" s="7">
        <f>IMAGE("https://images.lululemon.com/is/image/lululemon/33454",1)</f>
        <v/>
      </c>
      <c r="J135" s="7" t="inlineStr">
        <is>
          <t>40</t>
        </is>
      </c>
      <c r="K135" s="7" t="inlineStr">
        <is>
          <t>27/1022</t>
        </is>
      </c>
      <c r="L135" s="7" t="inlineStr">
        <is>
          <t>Yes</t>
        </is>
      </c>
      <c r="M135" s="7" t="inlineStr">
        <is>
          <t>Welcome to the all-day comfort club. Streamlined yet technical, these shorts elevate any look.</t>
        </is>
      </c>
      <c r="N135" s="7" t="inlineStr">
        <is>
          <t>ABC-Classic-Fit-Short-7-WovenAir</t>
        </is>
      </c>
      <c r="O135" s="7" t="inlineStr">
        <is>
          <t>Chino Shorts</t>
        </is>
      </c>
    </row>
    <row r="136" ht="80" customHeight="1">
      <c r="A136" s="4">
        <f>IMAGE("https://images.lululemon.com/is/image/lululemon/LM7BGUS_038470_1?wid=320&amp;op_usm=0.8",1)</f>
        <v/>
      </c>
      <c r="B136" s="4" t="inlineStr">
        <is>
          <t>ABC Classic-Fit Short 7" *WovenAir</t>
        </is>
      </c>
      <c r="C136" s="4" t="inlineStr">
        <is>
          <t>153300229</t>
        </is>
      </c>
      <c r="D136" s="4" t="inlineStr">
        <is>
          <t>153300229-oasisblue</t>
        </is>
      </c>
      <c r="E136" s="4" t="inlineStr">
        <is>
          <t>ABC Classic-Fit Short 7" *WovenAir™ TRNV 28</t>
        </is>
      </c>
      <c r="F136" s="4" t="inlineStr">
        <is>
          <t>$88.00</t>
        </is>
      </c>
      <c r="G136" s="4" t="inlineStr">
        <is>
          <t>$44.00</t>
        </is>
      </c>
      <c r="H136" s="4" t="inlineStr">
        <is>
          <t>Oasis Blue</t>
        </is>
      </c>
      <c r="I136" s="4">
        <f>IMAGE("https://images.lululemon.com/is/image/lululemon/38470",1)</f>
        <v/>
      </c>
      <c r="J136" s="4" t="inlineStr">
        <is>
          <t>36</t>
        </is>
      </c>
      <c r="K136" s="4" t="inlineStr">
        <is>
          <t>30/1022</t>
        </is>
      </c>
      <c r="L136" s="4" t="inlineStr">
        <is>
          <t>Yes</t>
        </is>
      </c>
      <c r="M136" s="4" t="inlineStr">
        <is>
          <t>Welcome to the all-day comfort club. Streamlined yet technical, these shorts elevate any look.</t>
        </is>
      </c>
      <c r="N136" s="4" t="inlineStr">
        <is>
          <t>ABC-Classic-Fit-Short-7-WovenAir</t>
        </is>
      </c>
      <c r="O136" s="4" t="inlineStr">
        <is>
          <t>Chino Shorts</t>
        </is>
      </c>
    </row>
    <row r="137" ht="80" customHeight="1">
      <c r="A137" s="7">
        <f>IMAGE("https://images.lululemon.com/is/image/lululemon/LM7BGUS_038470_1?wid=320&amp;op_usm=0.8",1)</f>
        <v/>
      </c>
      <c r="B137" s="7" t="inlineStr">
        <is>
          <t>ABC Classic-Fit Short 7" *WovenAir</t>
        </is>
      </c>
      <c r="C137" s="7" t="inlineStr">
        <is>
          <t>153300231</t>
        </is>
      </c>
      <c r="D137" s="7" t="inlineStr">
        <is>
          <t>153300231-oasisblue</t>
        </is>
      </c>
      <c r="E137" s="7" t="inlineStr">
        <is>
          <t>ABC Classic-Fit Short 7" *WovenAir™ TRNV 28</t>
        </is>
      </c>
      <c r="F137" s="7" t="inlineStr">
        <is>
          <t>$88.00</t>
        </is>
      </c>
      <c r="G137" s="7" t="inlineStr">
        <is>
          <t>$44.00</t>
        </is>
      </c>
      <c r="H137" s="7" t="inlineStr">
        <is>
          <t>Oasis Blue</t>
        </is>
      </c>
      <c r="I137" s="7">
        <f>IMAGE("https://images.lululemon.com/is/image/lululemon/38470",1)</f>
        <v/>
      </c>
      <c r="J137" s="7" t="inlineStr">
        <is>
          <t>38</t>
        </is>
      </c>
      <c r="K137" s="7" t="inlineStr">
        <is>
          <t>34/1022</t>
        </is>
      </c>
      <c r="L137" s="7" t="inlineStr">
        <is>
          <t>Yes</t>
        </is>
      </c>
      <c r="M137" s="7" t="inlineStr">
        <is>
          <t>Welcome to the all-day comfort club. Streamlined yet technical, these shorts elevate any look.</t>
        </is>
      </c>
      <c r="N137" s="7" t="inlineStr">
        <is>
          <t>ABC-Classic-Fit-Short-7-WovenAir</t>
        </is>
      </c>
      <c r="O137" s="7" t="inlineStr">
        <is>
          <t>Chino Shorts</t>
        </is>
      </c>
    </row>
    <row r="138" ht="80" customHeight="1">
      <c r="A138" s="6">
        <f>IMAGE("https://images.lululemon.com/is/image/lululemon/LM7BGUS_038470_1?wid=320&amp;op_usm=0.8",1)</f>
        <v/>
      </c>
      <c r="B138" s="6" t="inlineStr">
        <is>
          <t>ABC Classic-Fit Short 7" *WovenAir</t>
        </is>
      </c>
      <c r="C138" s="6" t="inlineStr">
        <is>
          <t>153300233</t>
        </is>
      </c>
      <c r="D138" s="6" t="inlineStr">
        <is>
          <t>153300233-oasisblue</t>
        </is>
      </c>
      <c r="E138" s="6" t="inlineStr">
        <is>
          <t>ABC Classic-Fit Short 7" *WovenAir™ TRNV 28</t>
        </is>
      </c>
      <c r="F138" s="6" t="inlineStr">
        <is>
          <t>$88.00</t>
        </is>
      </c>
      <c r="G138" s="6" t="inlineStr">
        <is>
          <t>$44.00</t>
        </is>
      </c>
      <c r="H138" s="6" t="inlineStr">
        <is>
          <t>Oasis Blue</t>
        </is>
      </c>
      <c r="I138" s="6">
        <f>IMAGE("https://images.lululemon.com/is/image/lululemon/38470",1)</f>
        <v/>
      </c>
      <c r="J138" s="6" t="inlineStr">
        <is>
          <t>40</t>
        </is>
      </c>
      <c r="K138" s="6" t="inlineStr">
        <is>
          <t>6/1022</t>
        </is>
      </c>
      <c r="L138" s="6" t="inlineStr">
        <is>
          <t>Yes</t>
        </is>
      </c>
      <c r="M138" s="6" t="inlineStr">
        <is>
          <t>Welcome to the all-day comfort club. Streamlined yet technical, these shorts elevate any look.</t>
        </is>
      </c>
      <c r="N138" s="6" t="inlineStr">
        <is>
          <t>ABC-Classic-Fit-Short-7-WovenAir</t>
        </is>
      </c>
      <c r="O138" s="6" t="inlineStr">
        <is>
          <t>Chino Shorts</t>
        </is>
      </c>
    </row>
    <row r="139" ht="80" customHeight="1">
      <c r="A139" s="7">
        <f>IMAGE("https://images.lululemon.com/is/image/lululemon/LM5BL1S_049106_1?wid=320&amp;op_usm=0.8",1)</f>
        <v/>
      </c>
      <c r="B139" s="7" t="inlineStr">
        <is>
          <t>Textured Spacer Relaxed Straight Pant</t>
        </is>
      </c>
      <c r="C139" s="7" t="inlineStr">
        <is>
          <t>158026304</t>
        </is>
      </c>
      <c r="D139" s="7" t="inlineStr">
        <is>
          <t>158026304-rainforestgreen</t>
        </is>
      </c>
      <c r="E139" s="7" t="inlineStr">
        <is>
          <t>Textured Spacer Relaxed Straight Pant RNFG S</t>
        </is>
      </c>
      <c r="F139" s="7" t="inlineStr">
        <is>
          <t>$148.00</t>
        </is>
      </c>
      <c r="G139" s="7" t="inlineStr">
        <is>
          <t>$74.00</t>
        </is>
      </c>
      <c r="H139" s="7" t="inlineStr">
        <is>
          <t>Rainforest Green</t>
        </is>
      </c>
      <c r="I139" s="7">
        <f>IMAGE("https://images.lululemon.com/is/image/lululemon/49106",1)</f>
        <v/>
      </c>
      <c r="J139" s="7" t="inlineStr">
        <is>
          <t>S</t>
        </is>
      </c>
      <c r="K139" s="7" t="inlineStr">
        <is>
          <t>21/301</t>
        </is>
      </c>
      <c r="L139" s="7" t="inlineStr">
        <is>
          <t>Yes</t>
        </is>
      </c>
      <c r="M139" s="7" t="inlineStr">
        <is>
          <t>Warm up and cool down in comfort. These textured pants are made of four-way stretch, quick-drying fabric—making it easy to go from stretch to sweat to street.</t>
        </is>
      </c>
      <c r="N139" s="7" t="inlineStr">
        <is>
          <t>Textured-Spacer-Relaxed-Straight-Pant</t>
        </is>
      </c>
      <c r="O139" s="7" t="inlineStr"/>
    </row>
    <row r="140" ht="80" customHeight="1">
      <c r="A140" s="4">
        <f>IMAGE("https://images.lululemon.com/is/image/lululemon/LM5BL1S_049106_1?wid=320&amp;op_usm=0.8",1)</f>
        <v/>
      </c>
      <c r="B140" s="4" t="inlineStr">
        <is>
          <t>Textured Spacer Relaxed Straight Pant</t>
        </is>
      </c>
      <c r="C140" s="4" t="inlineStr">
        <is>
          <t>158026289</t>
        </is>
      </c>
      <c r="D140" s="4" t="inlineStr">
        <is>
          <t>158026289-rainforestgreen</t>
        </is>
      </c>
      <c r="E140" s="4" t="inlineStr">
        <is>
          <t>Textured Spacer Relaxed Straight Pant RNFG S</t>
        </is>
      </c>
      <c r="F140" s="4" t="inlineStr">
        <is>
          <t>$148.00</t>
        </is>
      </c>
      <c r="G140" s="4" t="inlineStr">
        <is>
          <t>$74.00</t>
        </is>
      </c>
      <c r="H140" s="4" t="inlineStr">
        <is>
          <t>Rainforest Green</t>
        </is>
      </c>
      <c r="I140" s="4">
        <f>IMAGE("https://images.lululemon.com/is/image/lululemon/49106",1)</f>
        <v/>
      </c>
      <c r="J140" s="4" t="inlineStr">
        <is>
          <t>M</t>
        </is>
      </c>
      <c r="K140" s="4" t="inlineStr">
        <is>
          <t>45/301</t>
        </is>
      </c>
      <c r="L140" s="4" t="inlineStr">
        <is>
          <t>Yes</t>
        </is>
      </c>
      <c r="M140" s="4" t="inlineStr">
        <is>
          <t>Warm up and cool down in comfort. These textured pants are made of four-way stretch, quick-drying fabric—making it easy to go from stretch to sweat to street.</t>
        </is>
      </c>
      <c r="N140" s="4" t="inlineStr">
        <is>
          <t>Textured-Spacer-Relaxed-Straight-Pant</t>
        </is>
      </c>
      <c r="O140" s="4" t="inlineStr"/>
    </row>
    <row r="141" ht="80" customHeight="1">
      <c r="A141" s="7">
        <f>IMAGE("https://images.lululemon.com/is/image/lululemon/LM5BL1S_049106_1?wid=320&amp;op_usm=0.8",1)</f>
        <v/>
      </c>
      <c r="B141" s="7" t="inlineStr">
        <is>
          <t>Textured Spacer Relaxed Straight Pant</t>
        </is>
      </c>
      <c r="C141" s="7" t="inlineStr">
        <is>
          <t>158026266</t>
        </is>
      </c>
      <c r="D141" s="7" t="inlineStr">
        <is>
          <t>158026266-rainforestgreen</t>
        </is>
      </c>
      <c r="E141" s="7" t="inlineStr">
        <is>
          <t>Textured Spacer Relaxed Straight Pant RNFG S</t>
        </is>
      </c>
      <c r="F141" s="7" t="inlineStr">
        <is>
          <t>$148.00</t>
        </is>
      </c>
      <c r="G141" s="7" t="inlineStr">
        <is>
          <t>$74.00</t>
        </is>
      </c>
      <c r="H141" s="7" t="inlineStr">
        <is>
          <t>Rainforest Green</t>
        </is>
      </c>
      <c r="I141" s="7">
        <f>IMAGE("https://images.lululemon.com/is/image/lululemon/49106",1)</f>
        <v/>
      </c>
      <c r="J141" s="7" t="inlineStr">
        <is>
          <t>L</t>
        </is>
      </c>
      <c r="K141" s="7" t="inlineStr">
        <is>
          <t>41/301</t>
        </is>
      </c>
      <c r="L141" s="7" t="inlineStr">
        <is>
          <t>Yes</t>
        </is>
      </c>
      <c r="M141" s="7" t="inlineStr">
        <is>
          <t>Warm up and cool down in comfort. These textured pants are made of four-way stretch, quick-drying fabric—making it easy to go from stretch to sweat to street.</t>
        </is>
      </c>
      <c r="N141" s="7" t="inlineStr">
        <is>
          <t>Textured-Spacer-Relaxed-Straight-Pant</t>
        </is>
      </c>
      <c r="O141" s="7" t="inlineStr"/>
    </row>
    <row r="142" ht="80" customHeight="1">
      <c r="A142" s="4">
        <f>IMAGE("https://images.lululemon.com/is/image/lululemon/LM5BL1S_049106_1?wid=320&amp;op_usm=0.8",1)</f>
        <v/>
      </c>
      <c r="B142" s="4" t="inlineStr">
        <is>
          <t>Textured Spacer Relaxed Straight Pant</t>
        </is>
      </c>
      <c r="C142" s="4" t="inlineStr">
        <is>
          <t>158026322</t>
        </is>
      </c>
      <c r="D142" s="4" t="inlineStr">
        <is>
          <t>158026322-rainforestgreen</t>
        </is>
      </c>
      <c r="E142" s="4" t="inlineStr">
        <is>
          <t>Textured Spacer Relaxed Straight Pant RNFG S</t>
        </is>
      </c>
      <c r="F142" s="4" t="inlineStr">
        <is>
          <t>$148.00</t>
        </is>
      </c>
      <c r="G142" s="4" t="inlineStr">
        <is>
          <t>$74.00</t>
        </is>
      </c>
      <c r="H142" s="4" t="inlineStr">
        <is>
          <t>Rainforest Green</t>
        </is>
      </c>
      <c r="I142" s="4">
        <f>IMAGE("https://images.lululemon.com/is/image/lululemon/49106",1)</f>
        <v/>
      </c>
      <c r="J142" s="4" t="inlineStr">
        <is>
          <t>XL</t>
        </is>
      </c>
      <c r="K142" s="4" t="inlineStr">
        <is>
          <t>31/301</t>
        </is>
      </c>
      <c r="L142" s="4" t="inlineStr">
        <is>
          <t>Yes</t>
        </is>
      </c>
      <c r="M142" s="4" t="inlineStr">
        <is>
          <t>Warm up and cool down in comfort. These textured pants are made of four-way stretch, quick-drying fabric—making it easy to go from stretch to sweat to street.</t>
        </is>
      </c>
      <c r="N142" s="4" t="inlineStr">
        <is>
          <t>Textured-Spacer-Relaxed-Straight-Pant</t>
        </is>
      </c>
      <c r="O142" s="4" t="inlineStr"/>
    </row>
    <row r="143" ht="80" customHeight="1">
      <c r="A143" s="7">
        <f>IMAGE("https://images.lululemon.com/is/image/lululemon/LM5BL1S_049106_1?wid=320&amp;op_usm=0.8",1)</f>
        <v/>
      </c>
      <c r="B143" s="7" t="inlineStr">
        <is>
          <t>Textured Spacer Relaxed Straight Pant</t>
        </is>
      </c>
      <c r="C143" s="7" t="inlineStr">
        <is>
          <t>158026360</t>
        </is>
      </c>
      <c r="D143" s="7" t="inlineStr">
        <is>
          <t>158026360-rainforestgreen</t>
        </is>
      </c>
      <c r="E143" s="7" t="inlineStr">
        <is>
          <t>Textured Spacer Relaxed Straight Pant RNFG S</t>
        </is>
      </c>
      <c r="F143" s="7" t="inlineStr">
        <is>
          <t>$148.00</t>
        </is>
      </c>
      <c r="G143" s="7" t="inlineStr">
        <is>
          <t>$74.00</t>
        </is>
      </c>
      <c r="H143" s="7" t="inlineStr">
        <is>
          <t>Rainforest Green</t>
        </is>
      </c>
      <c r="I143" s="7">
        <f>IMAGE("https://images.lululemon.com/is/image/lululemon/49106",1)</f>
        <v/>
      </c>
      <c r="J143" s="7" t="inlineStr">
        <is>
          <t>XXL</t>
        </is>
      </c>
      <c r="K143" s="7" t="inlineStr">
        <is>
          <t>12/301</t>
        </is>
      </c>
      <c r="L143" s="7" t="inlineStr">
        <is>
          <t>Yes</t>
        </is>
      </c>
      <c r="M143" s="7" t="inlineStr">
        <is>
          <t>Warm up and cool down in comfort. These textured pants are made of four-way stretch, quick-drying fabric—making it easy to go from stretch to sweat to street.</t>
        </is>
      </c>
      <c r="N143" s="7" t="inlineStr">
        <is>
          <t>Textured-Spacer-Relaxed-Straight-Pant</t>
        </is>
      </c>
      <c r="O143" s="7" t="inlineStr"/>
    </row>
    <row r="144" ht="80" customHeight="1">
      <c r="A144" s="4">
        <f>IMAGE("https://images.lululemon.com/is/image/lululemon/LM5BL1S_049106_1?wid=320&amp;op_usm=0.8",1)</f>
        <v/>
      </c>
      <c r="B144" s="4" t="inlineStr">
        <is>
          <t>Textured Spacer Relaxed Straight Pant</t>
        </is>
      </c>
      <c r="C144" s="4" t="inlineStr">
        <is>
          <t>158026521</t>
        </is>
      </c>
      <c r="D144" s="4" t="inlineStr">
        <is>
          <t>158026521-walnutcrunch</t>
        </is>
      </c>
      <c r="E144" s="4" t="inlineStr">
        <is>
          <t>Textured Spacer Relaxed Straight Pant RNFG S</t>
        </is>
      </c>
      <c r="F144" s="4" t="inlineStr">
        <is>
          <t>$148.00</t>
        </is>
      </c>
      <c r="G144" s="4" t="inlineStr">
        <is>
          <t>$74.00</t>
        </is>
      </c>
      <c r="H144" s="4" t="inlineStr">
        <is>
          <t>Walnut Crunch</t>
        </is>
      </c>
      <c r="I144" s="4">
        <f>IMAGE("https://images.lululemon.com/is/image/lululemon/72761",1)</f>
        <v/>
      </c>
      <c r="J144" s="4" t="inlineStr">
        <is>
          <t>S</t>
        </is>
      </c>
      <c r="K144" s="4" t="inlineStr">
        <is>
          <t>18/301</t>
        </is>
      </c>
      <c r="L144" s="4" t="inlineStr">
        <is>
          <t>Yes</t>
        </is>
      </c>
      <c r="M144" s="4" t="inlineStr">
        <is>
          <t>Warm up and cool down in comfort. These textured pants are made of four-way stretch, quick-drying fabric—making it easy to go from stretch to sweat to street.</t>
        </is>
      </c>
      <c r="N144" s="4" t="inlineStr">
        <is>
          <t>Textured-Spacer-Relaxed-Straight-Pant</t>
        </is>
      </c>
      <c r="O144" s="4" t="inlineStr"/>
    </row>
    <row r="145" ht="80" customHeight="1">
      <c r="A145" s="7">
        <f>IMAGE("https://images.lululemon.com/is/image/lululemon/LM5BL1S_049106_1?wid=320&amp;op_usm=0.8",1)</f>
        <v/>
      </c>
      <c r="B145" s="7" t="inlineStr">
        <is>
          <t>Textured Spacer Relaxed Straight Pant</t>
        </is>
      </c>
      <c r="C145" s="7" t="inlineStr">
        <is>
          <t>158026500</t>
        </is>
      </c>
      <c r="D145" s="7" t="inlineStr">
        <is>
          <t>158026500-walnutcrunch</t>
        </is>
      </c>
      <c r="E145" s="7" t="inlineStr">
        <is>
          <t>Textured Spacer Relaxed Straight Pant RNFG S</t>
        </is>
      </c>
      <c r="F145" s="7" t="inlineStr">
        <is>
          <t>$148.00</t>
        </is>
      </c>
      <c r="G145" s="7" t="inlineStr">
        <is>
          <t>$74.00</t>
        </is>
      </c>
      <c r="H145" s="7" t="inlineStr">
        <is>
          <t>Walnut Crunch</t>
        </is>
      </c>
      <c r="I145" s="7">
        <f>IMAGE("https://images.lululemon.com/is/image/lululemon/72761",1)</f>
        <v/>
      </c>
      <c r="J145" s="7" t="inlineStr">
        <is>
          <t>M</t>
        </is>
      </c>
      <c r="K145" s="7" t="inlineStr">
        <is>
          <t>46/301</t>
        </is>
      </c>
      <c r="L145" s="7" t="inlineStr">
        <is>
          <t>Yes</t>
        </is>
      </c>
      <c r="M145" s="7" t="inlineStr">
        <is>
          <t>Warm up and cool down in comfort. These textured pants are made of four-way stretch, quick-drying fabric—making it easy to go from stretch to sweat to street.</t>
        </is>
      </c>
      <c r="N145" s="7" t="inlineStr">
        <is>
          <t>Textured-Spacer-Relaxed-Straight-Pant</t>
        </is>
      </c>
      <c r="O145" s="7" t="inlineStr"/>
    </row>
    <row r="146" ht="80" customHeight="1">
      <c r="A146" s="4">
        <f>IMAGE("https://images.lululemon.com/is/image/lululemon/LM5BL1S_049106_1?wid=320&amp;op_usm=0.8",1)</f>
        <v/>
      </c>
      <c r="B146" s="4" t="inlineStr">
        <is>
          <t>Textured Spacer Relaxed Straight Pant</t>
        </is>
      </c>
      <c r="C146" s="4" t="inlineStr">
        <is>
          <t>158026483</t>
        </is>
      </c>
      <c r="D146" s="4" t="inlineStr">
        <is>
          <t>158026483-walnutcrunch</t>
        </is>
      </c>
      <c r="E146" s="4" t="inlineStr">
        <is>
          <t>Textured Spacer Relaxed Straight Pant RNFG S</t>
        </is>
      </c>
      <c r="F146" s="4" t="inlineStr">
        <is>
          <t>$148.00</t>
        </is>
      </c>
      <c r="G146" s="4" t="inlineStr">
        <is>
          <t>$74.00</t>
        </is>
      </c>
      <c r="H146" s="4" t="inlineStr">
        <is>
          <t>Walnut Crunch</t>
        </is>
      </c>
      <c r="I146" s="4">
        <f>IMAGE("https://images.lululemon.com/is/image/lululemon/72761",1)</f>
        <v/>
      </c>
      <c r="J146" s="4" t="inlineStr">
        <is>
          <t>L</t>
        </is>
      </c>
      <c r="K146" s="4" t="inlineStr">
        <is>
          <t>51/301</t>
        </is>
      </c>
      <c r="L146" s="4" t="inlineStr">
        <is>
          <t>Yes</t>
        </is>
      </c>
      <c r="M146" s="4" t="inlineStr">
        <is>
          <t>Warm up and cool down in comfort. These textured pants are made of four-way stretch, quick-drying fabric—making it easy to go from stretch to sweat to street.</t>
        </is>
      </c>
      <c r="N146" s="4" t="inlineStr">
        <is>
          <t>Textured-Spacer-Relaxed-Straight-Pant</t>
        </is>
      </c>
      <c r="O146" s="4" t="inlineStr"/>
    </row>
    <row r="147" ht="80" customHeight="1">
      <c r="A147" s="7">
        <f>IMAGE("https://images.lululemon.com/is/image/lululemon/LM5BL1S_049106_1?wid=320&amp;op_usm=0.8",1)</f>
        <v/>
      </c>
      <c r="B147" s="7" t="inlineStr">
        <is>
          <t>Textured Spacer Relaxed Straight Pant</t>
        </is>
      </c>
      <c r="C147" s="7" t="inlineStr">
        <is>
          <t>158026542</t>
        </is>
      </c>
      <c r="D147" s="7" t="inlineStr">
        <is>
          <t>158026542-walnutcrunch</t>
        </is>
      </c>
      <c r="E147" s="7" t="inlineStr">
        <is>
          <t>Textured Spacer Relaxed Straight Pant RNFG S</t>
        </is>
      </c>
      <c r="F147" s="7" t="inlineStr">
        <is>
          <t>$148.00</t>
        </is>
      </c>
      <c r="G147" s="7" t="inlineStr">
        <is>
          <t>$74.00</t>
        </is>
      </c>
      <c r="H147" s="7" t="inlineStr">
        <is>
          <t>Walnut Crunch</t>
        </is>
      </c>
      <c r="I147" s="7">
        <f>IMAGE("https://images.lululemon.com/is/image/lululemon/72761",1)</f>
        <v/>
      </c>
      <c r="J147" s="7" t="inlineStr">
        <is>
          <t>XL</t>
        </is>
      </c>
      <c r="K147" s="7" t="inlineStr">
        <is>
          <t>26/301</t>
        </is>
      </c>
      <c r="L147" s="7" t="inlineStr">
        <is>
          <t>Yes</t>
        </is>
      </c>
      <c r="M147" s="7" t="inlineStr">
        <is>
          <t>Warm up and cool down in comfort. These textured pants are made of four-way stretch, quick-drying fabric—making it easy to go from stretch to sweat to street.</t>
        </is>
      </c>
      <c r="N147" s="7" t="inlineStr">
        <is>
          <t>Textured-Spacer-Relaxed-Straight-Pant</t>
        </is>
      </c>
      <c r="O147" s="7" t="inlineStr"/>
    </row>
    <row r="148" ht="80" customHeight="1">
      <c r="A148" s="6">
        <f>IMAGE("https://images.lululemon.com/is/image/lululemon/LM5BL1S_049106_1?wid=320&amp;op_usm=0.8",1)</f>
        <v/>
      </c>
      <c r="B148" s="6" t="inlineStr">
        <is>
          <t>Textured Spacer Relaxed Straight Pant</t>
        </is>
      </c>
      <c r="C148" s="6" t="inlineStr">
        <is>
          <t>158026575</t>
        </is>
      </c>
      <c r="D148" s="6" t="inlineStr">
        <is>
          <t>158026575-walnutcrunch</t>
        </is>
      </c>
      <c r="E148" s="6" t="inlineStr">
        <is>
          <t>Textured Spacer Relaxed Straight Pant RNFG S</t>
        </is>
      </c>
      <c r="F148" s="6" t="inlineStr">
        <is>
          <t>$148.00</t>
        </is>
      </c>
      <c r="G148" s="6" t="inlineStr">
        <is>
          <t>$74.00</t>
        </is>
      </c>
      <c r="H148" s="6" t="inlineStr">
        <is>
          <t>Walnut Crunch</t>
        </is>
      </c>
      <c r="I148" s="6">
        <f>IMAGE("https://images.lululemon.com/is/image/lululemon/72761",1)</f>
        <v/>
      </c>
      <c r="J148" s="6" t="inlineStr">
        <is>
          <t>XXL</t>
        </is>
      </c>
      <c r="K148" s="6" t="inlineStr">
        <is>
          <t>10/301</t>
        </is>
      </c>
      <c r="L148" s="6" t="inlineStr">
        <is>
          <t>Yes</t>
        </is>
      </c>
      <c r="M148" s="6" t="inlineStr">
        <is>
          <t>Warm up and cool down in comfort. These textured pants are made of four-way stretch, quick-drying fabric—making it easy to go from stretch to sweat to street.</t>
        </is>
      </c>
      <c r="N148" s="6" t="inlineStr">
        <is>
          <t>Textured-Spacer-Relaxed-Straight-Pant</t>
        </is>
      </c>
      <c r="O148" s="6" t="inlineStr"/>
    </row>
    <row r="149" ht="80" customHeight="1">
      <c r="A149" s="7">
        <f>IMAGE("https://images.lululemon.com/is/image/lululemon/LM3GB5S_0001_1?wid=320&amp;op_usm=0.8",1)</f>
        <v/>
      </c>
      <c r="B149" s="7" t="inlineStr">
        <is>
          <t>Men's ShowZero™ Classic-Fit Polo Shirt</t>
        </is>
      </c>
      <c r="C149" s="7" t="inlineStr">
        <is>
          <t>157708243</t>
        </is>
      </c>
      <c r="D149" s="7" t="inlineStr">
        <is>
          <t>157708243-black</t>
        </is>
      </c>
      <c r="E149" s="7" t="inlineStr">
        <is>
          <t>ShowZero™ Classic-Fit Polo BLK S</t>
        </is>
      </c>
      <c r="F149" s="7" t="inlineStr">
        <is>
          <t>$98.00</t>
        </is>
      </c>
      <c r="G149" s="7" t="inlineStr">
        <is>
          <t>$49.00</t>
        </is>
      </c>
      <c r="H149" s="7" t="inlineStr">
        <is>
          <t>Black</t>
        </is>
      </c>
      <c r="I149" s="7">
        <f>IMAGE("https://images.lululemon.com/is/image/lululemon/0001",1)</f>
        <v/>
      </c>
      <c r="J149" s="7" t="inlineStr">
        <is>
          <t>S</t>
        </is>
      </c>
      <c r="K149" s="7" t="inlineStr">
        <is>
          <t>22/905</t>
        </is>
      </c>
      <c r="L149" s="7" t="inlineStr">
        <is>
          <t>Yes</t>
        </is>
      </c>
      <c r="M149" s="7" t="inlineStr">
        <is>
          <t>Our little secret. This polo's sleek fabric harnesses the power of ShowZero™ technology to virtually eliminate the appearance of sweat on the outside, keeping you confident for tee offs, takeoffs, and everything in between.</t>
        </is>
      </c>
      <c r="N149" s="7" t="inlineStr">
        <is>
          <t>Mens-ShowZero-Classic-Fit-Polo-Shirt</t>
        </is>
      </c>
      <c r="O149" s="7" t="inlineStr"/>
    </row>
    <row r="150" ht="80" customHeight="1">
      <c r="A150" s="4">
        <f>IMAGE("https://images.lululemon.com/is/image/lululemon/LM3GB5S_0001_1?wid=320&amp;op_usm=0.8",1)</f>
        <v/>
      </c>
      <c r="B150" s="4" t="inlineStr">
        <is>
          <t>Men's ShowZero™ Classic-Fit Polo Shirt</t>
        </is>
      </c>
      <c r="C150" s="4" t="inlineStr">
        <is>
          <t>157708238</t>
        </is>
      </c>
      <c r="D150" s="4" t="inlineStr">
        <is>
          <t>157708238-black</t>
        </is>
      </c>
      <c r="E150" s="4" t="inlineStr">
        <is>
          <t>ShowZero™ Classic-Fit Polo BLK S</t>
        </is>
      </c>
      <c r="F150" s="4" t="inlineStr">
        <is>
          <t>$98.00</t>
        </is>
      </c>
      <c r="G150" s="4" t="inlineStr">
        <is>
          <t>$49.00</t>
        </is>
      </c>
      <c r="H150" s="4" t="inlineStr">
        <is>
          <t>Black</t>
        </is>
      </c>
      <c r="I150" s="4">
        <f>IMAGE("https://images.lululemon.com/is/image/lululemon/0001",1)</f>
        <v/>
      </c>
      <c r="J150" s="4" t="inlineStr">
        <is>
          <t>M</t>
        </is>
      </c>
      <c r="K150" s="4" t="inlineStr">
        <is>
          <t>59/905</t>
        </is>
      </c>
      <c r="L150" s="4" t="inlineStr">
        <is>
          <t>Yes</t>
        </is>
      </c>
      <c r="M150" s="4" t="inlineStr">
        <is>
          <t>Our little secret. This polo's sleek fabric harnesses the power of ShowZero™ technology to virtually eliminate the appearance of sweat on the outside, keeping you confident for tee offs, takeoffs, and everything in between.</t>
        </is>
      </c>
      <c r="N150" s="4" t="inlineStr">
        <is>
          <t>Mens-ShowZero-Classic-Fit-Polo-Shirt</t>
        </is>
      </c>
      <c r="O150" s="4" t="inlineStr"/>
    </row>
    <row r="151" ht="80" customHeight="1">
      <c r="A151" s="7">
        <f>IMAGE("https://images.lululemon.com/is/image/lululemon/LM3GB5S_0001_1?wid=320&amp;op_usm=0.8",1)</f>
        <v/>
      </c>
      <c r="B151" s="7" t="inlineStr">
        <is>
          <t>Men's ShowZero™ Classic-Fit Polo Shirt</t>
        </is>
      </c>
      <c r="C151" s="7" t="inlineStr">
        <is>
          <t>157708225</t>
        </is>
      </c>
      <c r="D151" s="7" t="inlineStr">
        <is>
          <t>157708225-black</t>
        </is>
      </c>
      <c r="E151" s="7" t="inlineStr">
        <is>
          <t>ShowZero™ Classic-Fit Polo BLK S</t>
        </is>
      </c>
      <c r="F151" s="7" t="inlineStr">
        <is>
          <t>$98.00</t>
        </is>
      </c>
      <c r="G151" s="7" t="inlineStr">
        <is>
          <t>$49.00</t>
        </is>
      </c>
      <c r="H151" s="7" t="inlineStr">
        <is>
          <t>Black</t>
        </is>
      </c>
      <c r="I151" s="7">
        <f>IMAGE("https://images.lululemon.com/is/image/lululemon/0001",1)</f>
        <v/>
      </c>
      <c r="J151" s="7" t="inlineStr">
        <is>
          <t>L</t>
        </is>
      </c>
      <c r="K151" s="7" t="inlineStr">
        <is>
          <t>77/905</t>
        </is>
      </c>
      <c r="L151" s="7" t="inlineStr">
        <is>
          <t>Yes</t>
        </is>
      </c>
      <c r="M151" s="7" t="inlineStr">
        <is>
          <t>Our little secret. This polo's sleek fabric harnesses the power of ShowZero™ technology to virtually eliminate the appearance of sweat on the outside, keeping you confident for tee offs, takeoffs, and everything in between.</t>
        </is>
      </c>
      <c r="N151" s="7" t="inlineStr">
        <is>
          <t>Mens-ShowZero-Classic-Fit-Polo-Shirt</t>
        </is>
      </c>
      <c r="O151" s="7" t="inlineStr"/>
    </row>
    <row r="152" ht="80" customHeight="1">
      <c r="A152" s="4">
        <f>IMAGE("https://images.lululemon.com/is/image/lululemon/LM3GB5S_0001_1?wid=320&amp;op_usm=0.8",1)</f>
        <v/>
      </c>
      <c r="B152" s="4" t="inlineStr">
        <is>
          <t>Men's ShowZero™ Classic-Fit Polo Shirt</t>
        </is>
      </c>
      <c r="C152" s="4" t="inlineStr">
        <is>
          <t>157708257</t>
        </is>
      </c>
      <c r="D152" s="4" t="inlineStr">
        <is>
          <t>157708257-black</t>
        </is>
      </c>
      <c r="E152" s="4" t="inlineStr">
        <is>
          <t>ShowZero™ Classic-Fit Polo BLK S</t>
        </is>
      </c>
      <c r="F152" s="4" t="inlineStr">
        <is>
          <t>$98.00</t>
        </is>
      </c>
      <c r="G152" s="4" t="inlineStr">
        <is>
          <t>$49.00</t>
        </is>
      </c>
      <c r="H152" s="4" t="inlineStr">
        <is>
          <t>Black</t>
        </is>
      </c>
      <c r="I152" s="4">
        <f>IMAGE("https://images.lululemon.com/is/image/lululemon/0001",1)</f>
        <v/>
      </c>
      <c r="J152" s="4" t="inlineStr">
        <is>
          <t>XL</t>
        </is>
      </c>
      <c r="K152" s="4" t="inlineStr">
        <is>
          <t>51/905</t>
        </is>
      </c>
      <c r="L152" s="4" t="inlineStr">
        <is>
          <t>Yes</t>
        </is>
      </c>
      <c r="M152" s="4" t="inlineStr">
        <is>
          <t>Our little secret. This polo's sleek fabric harnesses the power of ShowZero™ technology to virtually eliminate the appearance of sweat on the outside, keeping you confident for tee offs, takeoffs, and everything in between.</t>
        </is>
      </c>
      <c r="N152" s="4" t="inlineStr">
        <is>
          <t>Mens-ShowZero-Classic-Fit-Polo-Shirt</t>
        </is>
      </c>
      <c r="O152" s="4" t="inlineStr"/>
    </row>
    <row r="153" ht="80" customHeight="1">
      <c r="A153" s="7">
        <f>IMAGE("https://images.lululemon.com/is/image/lululemon/LM3GB5S_0001_1?wid=320&amp;op_usm=0.8",1)</f>
        <v/>
      </c>
      <c r="B153" s="7" t="inlineStr">
        <is>
          <t>Men's ShowZero™ Classic-Fit Polo Shirt</t>
        </is>
      </c>
      <c r="C153" s="7" t="inlineStr">
        <is>
          <t>157708262</t>
        </is>
      </c>
      <c r="D153" s="7" t="inlineStr">
        <is>
          <t>157708262-black</t>
        </is>
      </c>
      <c r="E153" s="7" t="inlineStr">
        <is>
          <t>ShowZero™ Classic-Fit Polo BLK S</t>
        </is>
      </c>
      <c r="F153" s="7" t="inlineStr">
        <is>
          <t>$98.00</t>
        </is>
      </c>
      <c r="G153" s="7" t="inlineStr">
        <is>
          <t>$49.00</t>
        </is>
      </c>
      <c r="H153" s="7" t="inlineStr">
        <is>
          <t>Black</t>
        </is>
      </c>
      <c r="I153" s="7">
        <f>IMAGE("https://images.lululemon.com/is/image/lululemon/0001",1)</f>
        <v/>
      </c>
      <c r="J153" s="7" t="inlineStr">
        <is>
          <t>XXL</t>
        </is>
      </c>
      <c r="K153" s="7" t="inlineStr">
        <is>
          <t>12/905</t>
        </is>
      </c>
      <c r="L153" s="7" t="inlineStr">
        <is>
          <t>Yes</t>
        </is>
      </c>
      <c r="M153" s="7" t="inlineStr">
        <is>
          <t>Our little secret. This polo's sleek fabric harnesses the power of ShowZero™ technology to virtually eliminate the appearance of sweat on the outside, keeping you confident for tee offs, takeoffs, and everything in between.</t>
        </is>
      </c>
      <c r="N153" s="7" t="inlineStr">
        <is>
          <t>Mens-ShowZero-Classic-Fit-Polo-Shirt</t>
        </is>
      </c>
      <c r="O153" s="7" t="inlineStr"/>
    </row>
    <row r="154" ht="80" customHeight="1">
      <c r="A154" s="4">
        <f>IMAGE("https://images.lululemon.com/is/image/lululemon/LM3GB5S_0001_1?wid=320&amp;op_usm=0.8",1)</f>
        <v/>
      </c>
      <c r="B154" s="4" t="inlineStr">
        <is>
          <t>Men's ShowZero™ Classic-Fit Polo Shirt</t>
        </is>
      </c>
      <c r="C154" s="4" t="inlineStr">
        <is>
          <t>158100451</t>
        </is>
      </c>
      <c r="D154" s="4" t="inlineStr">
        <is>
          <t>158100451-rawlinen</t>
        </is>
      </c>
      <c r="E154" s="4" t="inlineStr">
        <is>
          <t>ShowZero™ Classic-Fit Polo BLK S</t>
        </is>
      </c>
      <c r="F154" s="4" t="inlineStr">
        <is>
          <t>$98.00</t>
        </is>
      </c>
      <c r="G154" s="4" t="inlineStr">
        <is>
          <t>$49.00</t>
        </is>
      </c>
      <c r="H154" s="4" t="inlineStr">
        <is>
          <t>Raw Linen</t>
        </is>
      </c>
      <c r="I154" s="4">
        <f>IMAGE("https://images.lululemon.com/is/image/lululemon/48432",1)</f>
        <v/>
      </c>
      <c r="J154" s="4" t="inlineStr">
        <is>
          <t>S</t>
        </is>
      </c>
      <c r="K154" s="4" t="inlineStr">
        <is>
          <t>45/905</t>
        </is>
      </c>
      <c r="L154" s="4" t="inlineStr">
        <is>
          <t>Yes</t>
        </is>
      </c>
      <c r="M154" s="4" t="inlineStr">
        <is>
          <t>Our little secret. This polo's sleek fabric harnesses the power of ShowZero™ technology to virtually eliminate the appearance of sweat on the outside, keeping you confident for tee offs, takeoffs, and everything in between.</t>
        </is>
      </c>
      <c r="N154" s="4" t="inlineStr">
        <is>
          <t>Mens-ShowZero-Classic-Fit-Polo-Shirt</t>
        </is>
      </c>
      <c r="O154" s="4" t="inlineStr"/>
    </row>
    <row r="155" ht="80" customHeight="1">
      <c r="A155" s="7">
        <f>IMAGE("https://images.lululemon.com/is/image/lululemon/LM3GB5S_0001_1?wid=320&amp;op_usm=0.8",1)</f>
        <v/>
      </c>
      <c r="B155" s="7" t="inlineStr">
        <is>
          <t>Men's ShowZero™ Classic-Fit Polo Shirt</t>
        </is>
      </c>
      <c r="C155" s="7" t="inlineStr">
        <is>
          <t>158100445</t>
        </is>
      </c>
      <c r="D155" s="7" t="inlineStr">
        <is>
          <t>158100445-rawlinen</t>
        </is>
      </c>
      <c r="E155" s="7" t="inlineStr">
        <is>
          <t>ShowZero™ Classic-Fit Polo BLK S</t>
        </is>
      </c>
      <c r="F155" s="7" t="inlineStr">
        <is>
          <t>$98.00</t>
        </is>
      </c>
      <c r="G155" s="7" t="inlineStr">
        <is>
          <t>$49.00</t>
        </is>
      </c>
      <c r="H155" s="7" t="inlineStr">
        <is>
          <t>Raw Linen</t>
        </is>
      </c>
      <c r="I155" s="7">
        <f>IMAGE("https://images.lululemon.com/is/image/lululemon/48432",1)</f>
        <v/>
      </c>
      <c r="J155" s="7" t="inlineStr">
        <is>
          <t>M</t>
        </is>
      </c>
      <c r="K155" s="7" t="inlineStr">
        <is>
          <t>137/905</t>
        </is>
      </c>
      <c r="L155" s="7" t="inlineStr">
        <is>
          <t>Yes</t>
        </is>
      </c>
      <c r="M155" s="7" t="inlineStr">
        <is>
          <t>Our little secret. This polo's sleek fabric harnesses the power of ShowZero™ technology to virtually eliminate the appearance of sweat on the outside, keeping you confident for tee offs, takeoffs, and everything in between.</t>
        </is>
      </c>
      <c r="N155" s="7" t="inlineStr">
        <is>
          <t>Mens-ShowZero-Classic-Fit-Polo-Shirt</t>
        </is>
      </c>
      <c r="O155" s="7" t="inlineStr"/>
    </row>
    <row r="156" ht="80" customHeight="1">
      <c r="A156" s="4">
        <f>IMAGE("https://images.lululemon.com/is/image/lululemon/LM3GB5S_0001_1?wid=320&amp;op_usm=0.8",1)</f>
        <v/>
      </c>
      <c r="B156" s="4" t="inlineStr">
        <is>
          <t>Men's ShowZero™ Classic-Fit Polo Shirt</t>
        </is>
      </c>
      <c r="C156" s="4" t="inlineStr">
        <is>
          <t>158100436</t>
        </is>
      </c>
      <c r="D156" s="4" t="inlineStr">
        <is>
          <t>158100436-rawlinen</t>
        </is>
      </c>
      <c r="E156" s="4" t="inlineStr">
        <is>
          <t>ShowZero™ Classic-Fit Polo BLK S</t>
        </is>
      </c>
      <c r="F156" s="4" t="inlineStr">
        <is>
          <t>$98.00</t>
        </is>
      </c>
      <c r="G156" s="4" t="inlineStr">
        <is>
          <t>$49.00</t>
        </is>
      </c>
      <c r="H156" s="4" t="inlineStr">
        <is>
          <t>Raw Linen</t>
        </is>
      </c>
      <c r="I156" s="4">
        <f>IMAGE("https://images.lululemon.com/is/image/lululemon/48432",1)</f>
        <v/>
      </c>
      <c r="J156" s="4" t="inlineStr">
        <is>
          <t>L</t>
        </is>
      </c>
      <c r="K156" s="4" t="inlineStr">
        <is>
          <t>176/905</t>
        </is>
      </c>
      <c r="L156" s="4" t="inlineStr">
        <is>
          <t>Yes</t>
        </is>
      </c>
      <c r="M156" s="4" t="inlineStr">
        <is>
          <t>Our little secret. This polo's sleek fabric harnesses the power of ShowZero™ technology to virtually eliminate the appearance of sweat on the outside, keeping you confident for tee offs, takeoffs, and everything in between.</t>
        </is>
      </c>
      <c r="N156" s="4" t="inlineStr">
        <is>
          <t>Mens-ShowZero-Classic-Fit-Polo-Shirt</t>
        </is>
      </c>
      <c r="O156" s="4" t="inlineStr"/>
    </row>
    <row r="157" ht="80" customHeight="1">
      <c r="A157" s="7">
        <f>IMAGE("https://images.lululemon.com/is/image/lululemon/LM3GB5S_0001_1?wid=320&amp;op_usm=0.8",1)</f>
        <v/>
      </c>
      <c r="B157" s="7" t="inlineStr">
        <is>
          <t>Men's ShowZero™ Classic-Fit Polo Shirt</t>
        </is>
      </c>
      <c r="C157" s="7" t="inlineStr">
        <is>
          <t>158100460</t>
        </is>
      </c>
      <c r="D157" s="7" t="inlineStr">
        <is>
          <t>158100460-rawlinen</t>
        </is>
      </c>
      <c r="E157" s="7" t="inlineStr">
        <is>
          <t>ShowZero™ Classic-Fit Polo BLK S</t>
        </is>
      </c>
      <c r="F157" s="7" t="inlineStr">
        <is>
          <t>$98.00</t>
        </is>
      </c>
      <c r="G157" s="7" t="inlineStr">
        <is>
          <t>$49.00</t>
        </is>
      </c>
      <c r="H157" s="7" t="inlineStr">
        <is>
          <t>Raw Linen</t>
        </is>
      </c>
      <c r="I157" s="7">
        <f>IMAGE("https://images.lululemon.com/is/image/lululemon/48432",1)</f>
        <v/>
      </c>
      <c r="J157" s="7" t="inlineStr">
        <is>
          <t>XL</t>
        </is>
      </c>
      <c r="K157" s="7" t="inlineStr">
        <is>
          <t>116/905</t>
        </is>
      </c>
      <c r="L157" s="7" t="inlineStr">
        <is>
          <t>Yes</t>
        </is>
      </c>
      <c r="M157" s="7" t="inlineStr">
        <is>
          <t>Our little secret. This polo's sleek fabric harnesses the power of ShowZero™ technology to virtually eliminate the appearance of sweat on the outside, keeping you confident for tee offs, takeoffs, and everything in between.</t>
        </is>
      </c>
      <c r="N157" s="7" t="inlineStr">
        <is>
          <t>Mens-ShowZero-Classic-Fit-Polo-Shirt</t>
        </is>
      </c>
      <c r="O157" s="7" t="inlineStr"/>
    </row>
    <row r="158" ht="80" customHeight="1">
      <c r="A158" s="4">
        <f>IMAGE("https://images.lululemon.com/is/image/lululemon/LM3GB5S_0001_1?wid=320&amp;op_usm=0.8",1)</f>
        <v/>
      </c>
      <c r="B158" s="4" t="inlineStr">
        <is>
          <t>Men's ShowZero™ Classic-Fit Polo Shirt</t>
        </is>
      </c>
      <c r="C158" s="4" t="inlineStr">
        <is>
          <t>158100477</t>
        </is>
      </c>
      <c r="D158" s="4" t="inlineStr">
        <is>
          <t>158100477-rawlinen</t>
        </is>
      </c>
      <c r="E158" s="4" t="inlineStr">
        <is>
          <t>ShowZero™ Classic-Fit Polo BLK S</t>
        </is>
      </c>
      <c r="F158" s="4" t="inlineStr">
        <is>
          <t>$98.00</t>
        </is>
      </c>
      <c r="G158" s="4" t="inlineStr">
        <is>
          <t>$49.00</t>
        </is>
      </c>
      <c r="H158" s="4" t="inlineStr">
        <is>
          <t>Raw Linen</t>
        </is>
      </c>
      <c r="I158" s="4">
        <f>IMAGE("https://images.lululemon.com/is/image/lululemon/48432",1)</f>
        <v/>
      </c>
      <c r="J158" s="4" t="inlineStr">
        <is>
          <t>XXL</t>
        </is>
      </c>
      <c r="K158" s="4" t="inlineStr">
        <is>
          <t>39/905</t>
        </is>
      </c>
      <c r="L158" s="4" t="inlineStr">
        <is>
          <t>Yes</t>
        </is>
      </c>
      <c r="M158" s="4" t="inlineStr">
        <is>
          <t>Our little secret. This polo's sleek fabric harnesses the power of ShowZero™ technology to virtually eliminate the appearance of sweat on the outside, keeping you confident for tee offs, takeoffs, and everything in between.</t>
        </is>
      </c>
      <c r="N158" s="4" t="inlineStr">
        <is>
          <t>Mens-ShowZero-Classic-Fit-Polo-Shirt</t>
        </is>
      </c>
      <c r="O158" s="4" t="inlineStr"/>
    </row>
    <row r="159" ht="80" customHeight="1">
      <c r="A159" s="7">
        <f>IMAGE("https://images.lululemon.com/is/image/lululemon/LM3GB5S_0001_1?wid=320&amp;op_usm=0.8",1)</f>
        <v/>
      </c>
      <c r="B159" s="7" t="inlineStr">
        <is>
          <t>Men's ShowZero™ Classic-Fit Polo Shirt</t>
        </is>
      </c>
      <c r="C159" s="7" t="inlineStr">
        <is>
          <t>158100297</t>
        </is>
      </c>
      <c r="D159" s="7" t="inlineStr">
        <is>
          <t>158100297-pelican</t>
        </is>
      </c>
      <c r="E159" s="7" t="inlineStr">
        <is>
          <t>ShowZero™ Classic-Fit Polo BLK S</t>
        </is>
      </c>
      <c r="F159" s="7" t="inlineStr">
        <is>
          <t>$98.00</t>
        </is>
      </c>
      <c r="G159" s="7" t="inlineStr">
        <is>
          <t>$49.00</t>
        </is>
      </c>
      <c r="H159" s="7" t="inlineStr">
        <is>
          <t>Pelican</t>
        </is>
      </c>
      <c r="I159" s="7">
        <f>IMAGE("https://images.lululemon.com/is/image/lululemon/27401",1)</f>
        <v/>
      </c>
      <c r="J159" s="7" t="inlineStr">
        <is>
          <t>S</t>
        </is>
      </c>
      <c r="K159" s="7" t="inlineStr">
        <is>
          <t>14/905</t>
        </is>
      </c>
      <c r="L159" s="7" t="inlineStr">
        <is>
          <t>Yes</t>
        </is>
      </c>
      <c r="M159" s="7" t="inlineStr">
        <is>
          <t>Our little secret. This polo's sleek fabric harnesses the power of ShowZero™ technology to virtually eliminate the appearance of sweat on the outside, keeping you confident for tee offs, takeoffs, and everything in between.</t>
        </is>
      </c>
      <c r="N159" s="7" t="inlineStr">
        <is>
          <t>Mens-ShowZero-Classic-Fit-Polo-Shirt</t>
        </is>
      </c>
      <c r="O159" s="7" t="inlineStr"/>
    </row>
    <row r="160" ht="80" customHeight="1">
      <c r="A160" s="4">
        <f>IMAGE("https://images.lululemon.com/is/image/lululemon/LM3GB5S_0001_1?wid=320&amp;op_usm=0.8",1)</f>
        <v/>
      </c>
      <c r="B160" s="4" t="inlineStr">
        <is>
          <t>Men's ShowZero™ Classic-Fit Polo Shirt</t>
        </is>
      </c>
      <c r="C160" s="4" t="inlineStr">
        <is>
          <t>158100281</t>
        </is>
      </c>
      <c r="D160" s="4" t="inlineStr">
        <is>
          <t>158100281-pelican</t>
        </is>
      </c>
      <c r="E160" s="4" t="inlineStr">
        <is>
          <t>ShowZero™ Classic-Fit Polo BLK S</t>
        </is>
      </c>
      <c r="F160" s="4" t="inlineStr">
        <is>
          <t>$98.00</t>
        </is>
      </c>
      <c r="G160" s="4" t="inlineStr">
        <is>
          <t>$49.00</t>
        </is>
      </c>
      <c r="H160" s="4" t="inlineStr">
        <is>
          <t>Pelican</t>
        </is>
      </c>
      <c r="I160" s="4">
        <f>IMAGE("https://images.lululemon.com/is/image/lululemon/27401",1)</f>
        <v/>
      </c>
      <c r="J160" s="4" t="inlineStr">
        <is>
          <t>M</t>
        </is>
      </c>
      <c r="K160" s="4" t="inlineStr">
        <is>
          <t>45/905</t>
        </is>
      </c>
      <c r="L160" s="4" t="inlineStr">
        <is>
          <t>Yes</t>
        </is>
      </c>
      <c r="M160" s="4" t="inlineStr">
        <is>
          <t>Our little secret. This polo's sleek fabric harnesses the power of ShowZero™ technology to virtually eliminate the appearance of sweat on the outside, keeping you confident for tee offs, takeoffs, and everything in between.</t>
        </is>
      </c>
      <c r="N160" s="4" t="inlineStr">
        <is>
          <t>Mens-ShowZero-Classic-Fit-Polo-Shirt</t>
        </is>
      </c>
      <c r="O160" s="4" t="inlineStr"/>
    </row>
    <row r="161" ht="80" customHeight="1">
      <c r="A161" s="7">
        <f>IMAGE("https://images.lululemon.com/is/image/lululemon/LM3GB5S_0001_1?wid=320&amp;op_usm=0.8",1)</f>
        <v/>
      </c>
      <c r="B161" s="7" t="inlineStr">
        <is>
          <t>Men's ShowZero™ Classic-Fit Polo Shirt</t>
        </is>
      </c>
      <c r="C161" s="7" t="inlineStr">
        <is>
          <t>158100259</t>
        </is>
      </c>
      <c r="D161" s="7" t="inlineStr">
        <is>
          <t>158100259-pelican</t>
        </is>
      </c>
      <c r="E161" s="7" t="inlineStr">
        <is>
          <t>ShowZero™ Classic-Fit Polo BLK S</t>
        </is>
      </c>
      <c r="F161" s="7" t="inlineStr">
        <is>
          <t>$98.00</t>
        </is>
      </c>
      <c r="G161" s="7" t="inlineStr">
        <is>
          <t>$49.00</t>
        </is>
      </c>
      <c r="H161" s="7" t="inlineStr">
        <is>
          <t>Pelican</t>
        </is>
      </c>
      <c r="I161" s="7">
        <f>IMAGE("https://images.lululemon.com/is/image/lululemon/27401",1)</f>
        <v/>
      </c>
      <c r="J161" s="7" t="inlineStr">
        <is>
          <t>L</t>
        </is>
      </c>
      <c r="K161" s="7" t="inlineStr">
        <is>
          <t>56/905</t>
        </is>
      </c>
      <c r="L161" s="7" t="inlineStr">
        <is>
          <t>Yes</t>
        </is>
      </c>
      <c r="M161" s="7" t="inlineStr">
        <is>
          <t>Our little secret. This polo's sleek fabric harnesses the power of ShowZero™ technology to virtually eliminate the appearance of sweat on the outside, keeping you confident for tee offs, takeoffs, and everything in between.</t>
        </is>
      </c>
      <c r="N161" s="7" t="inlineStr">
        <is>
          <t>Mens-ShowZero-Classic-Fit-Polo-Shirt</t>
        </is>
      </c>
      <c r="O161" s="7" t="inlineStr"/>
    </row>
    <row r="162" ht="80" customHeight="1">
      <c r="A162" s="4">
        <f>IMAGE("https://images.lululemon.com/is/image/lululemon/LM3GB5S_0001_1?wid=320&amp;op_usm=0.8",1)</f>
        <v/>
      </c>
      <c r="B162" s="4" t="inlineStr">
        <is>
          <t>Men's ShowZero™ Classic-Fit Polo Shirt</t>
        </is>
      </c>
      <c r="C162" s="4" t="inlineStr">
        <is>
          <t>158100314</t>
        </is>
      </c>
      <c r="D162" s="4" t="inlineStr">
        <is>
          <t>158100314-pelican</t>
        </is>
      </c>
      <c r="E162" s="4" t="inlineStr">
        <is>
          <t>ShowZero™ Classic-Fit Polo BLK S</t>
        </is>
      </c>
      <c r="F162" s="4" t="inlineStr">
        <is>
          <t>$98.00</t>
        </is>
      </c>
      <c r="G162" s="4" t="inlineStr">
        <is>
          <t>$49.00</t>
        </is>
      </c>
      <c r="H162" s="4" t="inlineStr">
        <is>
          <t>Pelican</t>
        </is>
      </c>
      <c r="I162" s="4">
        <f>IMAGE("https://images.lululemon.com/is/image/lululemon/27401",1)</f>
        <v/>
      </c>
      <c r="J162" s="4" t="inlineStr">
        <is>
          <t>XL</t>
        </is>
      </c>
      <c r="K162" s="4" t="inlineStr">
        <is>
          <t>41/905</t>
        </is>
      </c>
      <c r="L162" s="4" t="inlineStr">
        <is>
          <t>Yes</t>
        </is>
      </c>
      <c r="M162" s="4" t="inlineStr">
        <is>
          <t>Our little secret. This polo's sleek fabric harnesses the power of ShowZero™ technology to virtually eliminate the appearance of sweat on the outside, keeping you confident for tee offs, takeoffs, and everything in between.</t>
        </is>
      </c>
      <c r="N162" s="4" t="inlineStr">
        <is>
          <t>Mens-ShowZero-Classic-Fit-Polo-Shirt</t>
        </is>
      </c>
      <c r="O162" s="4" t="inlineStr"/>
    </row>
    <row r="163" ht="80" customHeight="1">
      <c r="A163" s="5">
        <f>IMAGE("https://images.lululemon.com/is/image/lululemon/LM3GB5S_0001_1?wid=320&amp;op_usm=0.8",1)</f>
        <v/>
      </c>
      <c r="B163" s="5" t="inlineStr">
        <is>
          <t>Men's ShowZero™ Classic-Fit Polo Shirt</t>
        </is>
      </c>
      <c r="C163" s="5" t="inlineStr">
        <is>
          <t>158100348</t>
        </is>
      </c>
      <c r="D163" s="5" t="inlineStr">
        <is>
          <t>158100348-pelican</t>
        </is>
      </c>
      <c r="E163" s="5" t="inlineStr">
        <is>
          <t>ShowZero™ Classic-Fit Polo BLK S</t>
        </is>
      </c>
      <c r="F163" s="5" t="inlineStr">
        <is>
          <t>$98.00</t>
        </is>
      </c>
      <c r="G163" s="5" t="inlineStr">
        <is>
          <t>$49.00</t>
        </is>
      </c>
      <c r="H163" s="5" t="inlineStr">
        <is>
          <t>Pelican</t>
        </is>
      </c>
      <c r="I163" s="5">
        <f>IMAGE("https://images.lululemon.com/is/image/lululemon/27401",1)</f>
        <v/>
      </c>
      <c r="J163" s="5" t="inlineStr">
        <is>
          <t>XXL</t>
        </is>
      </c>
      <c r="K163" s="5" t="inlineStr">
        <is>
          <t>15/905</t>
        </is>
      </c>
      <c r="L163" s="5" t="inlineStr">
        <is>
          <t>Yes</t>
        </is>
      </c>
      <c r="M163" s="5" t="inlineStr">
        <is>
          <t>Our little secret. This polo's sleek fabric harnesses the power of ShowZero™ technology to virtually eliminate the appearance of sweat on the outside, keeping you confident for tee offs, takeoffs, and everything in between.</t>
        </is>
      </c>
      <c r="N163" s="5" t="inlineStr">
        <is>
          <t>Mens-ShowZero-Classic-Fit-Polo-Shirt</t>
        </is>
      </c>
      <c r="O163" s="5" t="inlineStr"/>
    </row>
    <row r="164" ht="80" customHeight="1">
      <c r="A164" s="4">
        <f>IMAGE("https://images.lululemon.com/is/image/lululemon/LU9CLAS_0024_1?wid=320&amp;op_usm=0.8",1)</f>
        <v/>
      </c>
      <c r="B164" s="4" t="inlineStr">
        <is>
          <t>Unisex Daily Essential Crew Socks *Stripe</t>
        </is>
      </c>
      <c r="C164" s="4" t="inlineStr">
        <is>
          <t>155775205</t>
        </is>
      </c>
      <c r="D164" s="4" t="inlineStr">
        <is>
          <t>155775205-white/black</t>
        </is>
      </c>
      <c r="E164" s="4" t="inlineStr">
        <is>
          <t>Daily Essential Socks WHT/BLK S</t>
        </is>
      </c>
      <c r="F164" s="4" t="inlineStr">
        <is>
          <t>$14.00</t>
        </is>
      </c>
      <c r="G164" s="4" t="inlineStr">
        <is>
          <t>$7.00</t>
        </is>
      </c>
      <c r="H164" s="4" t="inlineStr">
        <is>
          <t>White/Black</t>
        </is>
      </c>
      <c r="I164" s="4">
        <f>IMAGE("https://images.lululemon.com/is/image/lululemon/0024",1)</f>
        <v/>
      </c>
      <c r="J164" s="4" t="inlineStr">
        <is>
          <t>S</t>
        </is>
      </c>
      <c r="K164" s="4" t="inlineStr">
        <is>
          <t>103/1221</t>
        </is>
      </c>
      <c r="L164" s="4" t="inlineStr">
        <is>
          <t>Yes</t>
        </is>
      </c>
      <c r="M164" s="4" t="inlineStr">
        <is>
          <t>Top drawer comfort. These soft cotton socks combine integrated arch support and plush cushioning.</t>
        </is>
      </c>
      <c r="N164" s="4" t="inlineStr">
        <is>
          <t>Unisex-Daily-Essential-Crew-Socks-Stripe</t>
        </is>
      </c>
      <c r="O164" s="4" t="inlineStr">
        <is>
          <t>Crew Socks</t>
        </is>
      </c>
    </row>
    <row r="165" ht="80" customHeight="1">
      <c r="A165" s="7">
        <f>IMAGE("https://images.lululemon.com/is/image/lululemon/LU9CLAS_0024_1?wid=320&amp;op_usm=0.8",1)</f>
        <v/>
      </c>
      <c r="B165" s="7" t="inlineStr">
        <is>
          <t>Unisex Daily Essential Crew Socks *Stripe</t>
        </is>
      </c>
      <c r="C165" s="7" t="inlineStr">
        <is>
          <t>155775194</t>
        </is>
      </c>
      <c r="D165" s="7" t="inlineStr">
        <is>
          <t>155775194-white/black</t>
        </is>
      </c>
      <c r="E165" s="7" t="inlineStr">
        <is>
          <t>Daily Essential Socks WHT/BLK S</t>
        </is>
      </c>
      <c r="F165" s="7" t="inlineStr">
        <is>
          <t>$14.00</t>
        </is>
      </c>
      <c r="G165" s="7" t="inlineStr">
        <is>
          <t>$7.00</t>
        </is>
      </c>
      <c r="H165" s="7" t="inlineStr">
        <is>
          <t>White/Black</t>
        </is>
      </c>
      <c r="I165" s="7">
        <f>IMAGE("https://images.lululemon.com/is/image/lululemon/0024",1)</f>
        <v/>
      </c>
      <c r="J165" s="7" t="inlineStr">
        <is>
          <t>M</t>
        </is>
      </c>
      <c r="K165" s="7" t="inlineStr">
        <is>
          <t>234/1221</t>
        </is>
      </c>
      <c r="L165" s="7" t="inlineStr">
        <is>
          <t>Yes</t>
        </is>
      </c>
      <c r="M165" s="7" t="inlineStr">
        <is>
          <t>Top drawer comfort. These soft cotton socks combine integrated arch support and plush cushioning.</t>
        </is>
      </c>
      <c r="N165" s="7" t="inlineStr">
        <is>
          <t>Unisex-Daily-Essential-Crew-Socks-Stripe</t>
        </is>
      </c>
      <c r="O165" s="7" t="inlineStr">
        <is>
          <t>Crew Socks</t>
        </is>
      </c>
    </row>
    <row r="166" ht="80" customHeight="1">
      <c r="A166" s="4">
        <f>IMAGE("https://images.lululemon.com/is/image/lululemon/LU9CLAS_0024_1?wid=320&amp;op_usm=0.8",1)</f>
        <v/>
      </c>
      <c r="B166" s="4" t="inlineStr">
        <is>
          <t>Unisex Daily Essential Crew Socks *Stripe</t>
        </is>
      </c>
      <c r="C166" s="4" t="inlineStr">
        <is>
          <t>155775183</t>
        </is>
      </c>
      <c r="D166" s="4" t="inlineStr">
        <is>
          <t>155775183-white/black</t>
        </is>
      </c>
      <c r="E166" s="4" t="inlineStr">
        <is>
          <t>Daily Essential Socks WHT/BLK S</t>
        </is>
      </c>
      <c r="F166" s="4" t="inlineStr">
        <is>
          <t>$14.00</t>
        </is>
      </c>
      <c r="G166" s="4" t="inlineStr">
        <is>
          <t>$7.00</t>
        </is>
      </c>
      <c r="H166" s="4" t="inlineStr">
        <is>
          <t>White/Black</t>
        </is>
      </c>
      <c r="I166" s="4">
        <f>IMAGE("https://images.lululemon.com/is/image/lululemon/0024",1)</f>
        <v/>
      </c>
      <c r="J166" s="4" t="inlineStr">
        <is>
          <t>L</t>
        </is>
      </c>
      <c r="K166" s="4" t="inlineStr">
        <is>
          <t>216/1221</t>
        </is>
      </c>
      <c r="L166" s="4" t="inlineStr">
        <is>
          <t>Yes</t>
        </is>
      </c>
      <c r="M166" s="4" t="inlineStr">
        <is>
          <t>Top drawer comfort. These soft cotton socks combine integrated arch support and plush cushioning.</t>
        </is>
      </c>
      <c r="N166" s="4" t="inlineStr">
        <is>
          <t>Unisex-Daily-Essential-Crew-Socks-Stripe</t>
        </is>
      </c>
      <c r="O166" s="4" t="inlineStr">
        <is>
          <t>Crew Socks</t>
        </is>
      </c>
    </row>
    <row r="167" ht="80" customHeight="1">
      <c r="A167" s="7">
        <f>IMAGE("https://images.lululemon.com/is/image/lululemon/LU9CLAS_0024_1?wid=320&amp;op_usm=0.8",1)</f>
        <v/>
      </c>
      <c r="B167" s="7" t="inlineStr">
        <is>
          <t>Unisex Daily Essential Crew Socks *Stripe</t>
        </is>
      </c>
      <c r="C167" s="7" t="inlineStr">
        <is>
          <t>155775212</t>
        </is>
      </c>
      <c r="D167" s="7" t="inlineStr">
        <is>
          <t>155775212-white/black</t>
        </is>
      </c>
      <c r="E167" s="7" t="inlineStr">
        <is>
          <t>Daily Essential Socks WHT/BLK S</t>
        </is>
      </c>
      <c r="F167" s="7" t="inlineStr">
        <is>
          <t>$14.00</t>
        </is>
      </c>
      <c r="G167" s="7" t="inlineStr">
        <is>
          <t>$7.00</t>
        </is>
      </c>
      <c r="H167" s="7" t="inlineStr">
        <is>
          <t>White/Black</t>
        </is>
      </c>
      <c r="I167" s="7">
        <f>IMAGE("https://images.lululemon.com/is/image/lululemon/0024",1)</f>
        <v/>
      </c>
      <c r="J167" s="7" t="inlineStr">
        <is>
          <t>XL</t>
        </is>
      </c>
      <c r="K167" s="7" t="inlineStr">
        <is>
          <t>75/1221</t>
        </is>
      </c>
      <c r="L167" s="7" t="inlineStr">
        <is>
          <t>Yes</t>
        </is>
      </c>
      <c r="M167" s="7" t="inlineStr">
        <is>
          <t>Top drawer comfort. These soft cotton socks combine integrated arch support and plush cushioning.</t>
        </is>
      </c>
      <c r="N167" s="7" t="inlineStr">
        <is>
          <t>Unisex-Daily-Essential-Crew-Socks-Stripe</t>
        </is>
      </c>
      <c r="O167" s="7" t="inlineStr">
        <is>
          <t>Crew Socks</t>
        </is>
      </c>
    </row>
    <row r="168" ht="80" customHeight="1">
      <c r="A168" s="4">
        <f>IMAGE("https://images.lululemon.com/is/image/lululemon/LU9CLAS_0024_1?wid=320&amp;op_usm=0.8",1)</f>
        <v/>
      </c>
      <c r="B168" s="4" t="inlineStr">
        <is>
          <t>Unisex Daily Essential Crew Socks *Stripe</t>
        </is>
      </c>
      <c r="C168" s="4" t="inlineStr">
        <is>
          <t>155788850</t>
        </is>
      </c>
      <c r="D168" s="4" t="inlineStr">
        <is>
          <t>155788850-white/rainforestgreen</t>
        </is>
      </c>
      <c r="E168" s="4" t="inlineStr">
        <is>
          <t>Daily Essential Socks WHT/BLK S</t>
        </is>
      </c>
      <c r="F168" s="4" t="inlineStr">
        <is>
          <t>$14.00</t>
        </is>
      </c>
      <c r="G168" s="4" t="inlineStr">
        <is>
          <t>$7.00</t>
        </is>
      </c>
      <c r="H168" s="4" t="inlineStr">
        <is>
          <t>White/Rainforest Green</t>
        </is>
      </c>
      <c r="I168" s="4">
        <f>IMAGE("https://images.lululemon.com/is/image/lululemon/69946",1)</f>
        <v/>
      </c>
      <c r="J168" s="4" t="inlineStr">
        <is>
          <t>S</t>
        </is>
      </c>
      <c r="K168" s="4" t="inlineStr">
        <is>
          <t>67/1221</t>
        </is>
      </c>
      <c r="L168" s="4" t="inlineStr">
        <is>
          <t>Yes</t>
        </is>
      </c>
      <c r="M168" s="4" t="inlineStr">
        <is>
          <t>Top drawer comfort. These soft cotton socks combine integrated arch support and plush cushioning.</t>
        </is>
      </c>
      <c r="N168" s="4" t="inlineStr">
        <is>
          <t>Unisex-Daily-Essential-Crew-Socks-Stripe</t>
        </is>
      </c>
      <c r="O168" s="4" t="inlineStr">
        <is>
          <t>Crew Socks</t>
        </is>
      </c>
    </row>
    <row r="169" ht="80" customHeight="1">
      <c r="A169" s="7">
        <f>IMAGE("https://images.lululemon.com/is/image/lululemon/LU9CLAS_0024_1?wid=320&amp;op_usm=0.8",1)</f>
        <v/>
      </c>
      <c r="B169" s="7" t="inlineStr">
        <is>
          <t>Unisex Daily Essential Crew Socks *Stripe</t>
        </is>
      </c>
      <c r="C169" s="7" t="inlineStr">
        <is>
          <t>155788849</t>
        </is>
      </c>
      <c r="D169" s="7" t="inlineStr">
        <is>
          <t>155788849-white/rainforestgreen</t>
        </is>
      </c>
      <c r="E169" s="7" t="inlineStr">
        <is>
          <t>Daily Essential Socks WHT/BLK S</t>
        </is>
      </c>
      <c r="F169" s="7" t="inlineStr">
        <is>
          <t>$14.00</t>
        </is>
      </c>
      <c r="G169" s="7" t="inlineStr">
        <is>
          <t>$7.00</t>
        </is>
      </c>
      <c r="H169" s="7" t="inlineStr">
        <is>
          <t>White/Rainforest Green</t>
        </is>
      </c>
      <c r="I169" s="7">
        <f>IMAGE("https://images.lululemon.com/is/image/lululemon/69946",1)</f>
        <v/>
      </c>
      <c r="J169" s="7" t="inlineStr">
        <is>
          <t>M</t>
        </is>
      </c>
      <c r="K169" s="7" t="inlineStr">
        <is>
          <t>145/1221</t>
        </is>
      </c>
      <c r="L169" s="7" t="inlineStr">
        <is>
          <t>Yes</t>
        </is>
      </c>
      <c r="M169" s="7" t="inlineStr">
        <is>
          <t>Top drawer comfort. These soft cotton socks combine integrated arch support and plush cushioning.</t>
        </is>
      </c>
      <c r="N169" s="7" t="inlineStr">
        <is>
          <t>Unisex-Daily-Essential-Crew-Socks-Stripe</t>
        </is>
      </c>
      <c r="O169" s="7" t="inlineStr">
        <is>
          <t>Crew Socks</t>
        </is>
      </c>
    </row>
    <row r="170" ht="80" customHeight="1">
      <c r="A170" s="4">
        <f>IMAGE("https://images.lululemon.com/is/image/lululemon/LU9CLAS_0024_1?wid=320&amp;op_usm=0.8",1)</f>
        <v/>
      </c>
      <c r="B170" s="4" t="inlineStr">
        <is>
          <t>Unisex Daily Essential Crew Socks *Stripe</t>
        </is>
      </c>
      <c r="C170" s="4" t="inlineStr">
        <is>
          <t>155788847</t>
        </is>
      </c>
      <c r="D170" s="4" t="inlineStr">
        <is>
          <t>155788847-white/rainforestgreen</t>
        </is>
      </c>
      <c r="E170" s="4" t="inlineStr">
        <is>
          <t>Daily Essential Socks WHT/BLK S</t>
        </is>
      </c>
      <c r="F170" s="4" t="inlineStr">
        <is>
          <t>$14.00</t>
        </is>
      </c>
      <c r="G170" s="4" t="inlineStr">
        <is>
          <t>$7.00</t>
        </is>
      </c>
      <c r="H170" s="4" t="inlineStr">
        <is>
          <t>White/Rainforest Green</t>
        </is>
      </c>
      <c r="I170" s="4">
        <f>IMAGE("https://images.lululemon.com/is/image/lululemon/69946",1)</f>
        <v/>
      </c>
      <c r="J170" s="4" t="inlineStr">
        <is>
          <t>L</t>
        </is>
      </c>
      <c r="K170" s="4" t="inlineStr">
        <is>
          <t>124/1221</t>
        </is>
      </c>
      <c r="L170" s="4" t="inlineStr">
        <is>
          <t>Yes</t>
        </is>
      </c>
      <c r="M170" s="4" t="inlineStr">
        <is>
          <t>Top drawer comfort. These soft cotton socks combine integrated arch support and plush cushioning.</t>
        </is>
      </c>
      <c r="N170" s="4" t="inlineStr">
        <is>
          <t>Unisex-Daily-Essential-Crew-Socks-Stripe</t>
        </is>
      </c>
      <c r="O170" s="4" t="inlineStr">
        <is>
          <t>Crew Socks</t>
        </is>
      </c>
    </row>
    <row r="171" ht="80" customHeight="1">
      <c r="A171" s="7">
        <f>IMAGE("https://images.lululemon.com/is/image/lululemon/LU9CLAS_0024_1?wid=320&amp;op_usm=0.8",1)</f>
        <v/>
      </c>
      <c r="B171" s="7" t="inlineStr">
        <is>
          <t>Unisex Daily Essential Crew Socks *Stripe</t>
        </is>
      </c>
      <c r="C171" s="7" t="inlineStr">
        <is>
          <t>155788852</t>
        </is>
      </c>
      <c r="D171" s="7" t="inlineStr">
        <is>
          <t>155788852-white/rainforestgreen</t>
        </is>
      </c>
      <c r="E171" s="7" t="inlineStr">
        <is>
          <t>Daily Essential Socks WHT/BLK S</t>
        </is>
      </c>
      <c r="F171" s="7" t="inlineStr">
        <is>
          <t>$14.00</t>
        </is>
      </c>
      <c r="G171" s="7" t="inlineStr">
        <is>
          <t>$7.00</t>
        </is>
      </c>
      <c r="H171" s="7" t="inlineStr">
        <is>
          <t>White/Rainforest Green</t>
        </is>
      </c>
      <c r="I171" s="7">
        <f>IMAGE("https://images.lululemon.com/is/image/lululemon/69946",1)</f>
        <v/>
      </c>
      <c r="J171" s="7" t="inlineStr">
        <is>
          <t>XL</t>
        </is>
      </c>
      <c r="K171" s="7" t="inlineStr">
        <is>
          <t>41/1221</t>
        </is>
      </c>
      <c r="L171" s="7" t="inlineStr">
        <is>
          <t>Yes</t>
        </is>
      </c>
      <c r="M171" s="7" t="inlineStr">
        <is>
          <t>Top drawer comfort. These soft cotton socks combine integrated arch support and plush cushioning.</t>
        </is>
      </c>
      <c r="N171" s="7" t="inlineStr">
        <is>
          <t>Unisex-Daily-Essential-Crew-Socks-Stripe</t>
        </is>
      </c>
      <c r="O171" s="7" t="inlineStr">
        <is>
          <t>Crew Socks</t>
        </is>
      </c>
    </row>
    <row r="172" ht="80" customHeight="1">
      <c r="A172" s="4">
        <f>IMAGE("https://images.lululemon.com/is/image/lululemon/LU9CLAS_0024_1?wid=320&amp;op_usm=0.8",1)</f>
        <v/>
      </c>
      <c r="B172" s="4" t="inlineStr">
        <is>
          <t>Unisex Daily Essential Crew Socks *Stripe</t>
        </is>
      </c>
      <c r="C172" s="4" t="inlineStr">
        <is>
          <t>157768641</t>
        </is>
      </c>
      <c r="D172" s="4" t="inlineStr">
        <is>
          <t>157768641-white/riverside</t>
        </is>
      </c>
      <c r="E172" s="4" t="inlineStr">
        <is>
          <t>Daily Essential Socks WHT/BLK S</t>
        </is>
      </c>
      <c r="F172" s="4" t="inlineStr">
        <is>
          <t>$14.00</t>
        </is>
      </c>
      <c r="G172" s="4" t="inlineStr">
        <is>
          <t>$7.00</t>
        </is>
      </c>
      <c r="H172" s="4" t="inlineStr">
        <is>
          <t>White/Riverside</t>
        </is>
      </c>
      <c r="I172" s="4">
        <f>IMAGE("https://images.lululemon.com/is/image/lululemon/74939",1)</f>
        <v/>
      </c>
      <c r="J172" s="4" t="inlineStr">
        <is>
          <t>S</t>
        </is>
      </c>
      <c r="K172" s="4" t="inlineStr">
        <is>
          <t>37/1221</t>
        </is>
      </c>
      <c r="L172" s="4" t="inlineStr">
        <is>
          <t>Yes</t>
        </is>
      </c>
      <c r="M172" s="4" t="inlineStr">
        <is>
          <t>Top drawer comfort. These soft cotton socks combine integrated arch support and plush cushioning.</t>
        </is>
      </c>
      <c r="N172" s="4" t="inlineStr">
        <is>
          <t>Unisex-Daily-Essential-Crew-Socks-Stripe</t>
        </is>
      </c>
      <c r="O172" s="4" t="inlineStr">
        <is>
          <t>Crew Socks</t>
        </is>
      </c>
    </row>
    <row r="173" ht="80" customHeight="1">
      <c r="A173" s="7">
        <f>IMAGE("https://images.lululemon.com/is/image/lululemon/LU9CLAS_0024_1?wid=320&amp;op_usm=0.8",1)</f>
        <v/>
      </c>
      <c r="B173" s="7" t="inlineStr">
        <is>
          <t>Unisex Daily Essential Crew Socks *Stripe</t>
        </is>
      </c>
      <c r="C173" s="7" t="inlineStr">
        <is>
          <t>157768640</t>
        </is>
      </c>
      <c r="D173" s="7" t="inlineStr">
        <is>
          <t>157768640-white/riverside</t>
        </is>
      </c>
      <c r="E173" s="7" t="inlineStr">
        <is>
          <t>Daily Essential Socks WHT/BLK S</t>
        </is>
      </c>
      <c r="F173" s="7" t="inlineStr">
        <is>
          <t>$14.00</t>
        </is>
      </c>
      <c r="G173" s="7" t="inlineStr">
        <is>
          <t>$7.00</t>
        </is>
      </c>
      <c r="H173" s="7" t="inlineStr">
        <is>
          <t>White/Riverside</t>
        </is>
      </c>
      <c r="I173" s="7">
        <f>IMAGE("https://images.lululemon.com/is/image/lululemon/74939",1)</f>
        <v/>
      </c>
      <c r="J173" s="7" t="inlineStr">
        <is>
          <t>M</t>
        </is>
      </c>
      <c r="K173" s="7" t="inlineStr">
        <is>
          <t>78/1221</t>
        </is>
      </c>
      <c r="L173" s="7" t="inlineStr">
        <is>
          <t>Yes</t>
        </is>
      </c>
      <c r="M173" s="7" t="inlineStr">
        <is>
          <t>Top drawer comfort. These soft cotton socks combine integrated arch support and plush cushioning.</t>
        </is>
      </c>
      <c r="N173" s="7" t="inlineStr">
        <is>
          <t>Unisex-Daily-Essential-Crew-Socks-Stripe</t>
        </is>
      </c>
      <c r="O173" s="7" t="inlineStr">
        <is>
          <t>Crew Socks</t>
        </is>
      </c>
    </row>
    <row r="174" ht="80" customHeight="1">
      <c r="A174" s="4">
        <f>IMAGE("https://images.lululemon.com/is/image/lululemon/LU9CLAS_0024_1?wid=320&amp;op_usm=0.8",1)</f>
        <v/>
      </c>
      <c r="B174" s="4" t="inlineStr">
        <is>
          <t>Unisex Daily Essential Crew Socks *Stripe</t>
        </is>
      </c>
      <c r="C174" s="4" t="inlineStr">
        <is>
          <t>157768639</t>
        </is>
      </c>
      <c r="D174" s="4" t="inlineStr">
        <is>
          <t>157768639-white/riverside</t>
        </is>
      </c>
      <c r="E174" s="4" t="inlineStr">
        <is>
          <t>Daily Essential Socks WHT/BLK S</t>
        </is>
      </c>
      <c r="F174" s="4" t="inlineStr">
        <is>
          <t>$14.00</t>
        </is>
      </c>
      <c r="G174" s="4" t="inlineStr">
        <is>
          <t>$7.00</t>
        </is>
      </c>
      <c r="H174" s="4" t="inlineStr">
        <is>
          <t>White/Riverside</t>
        </is>
      </c>
      <c r="I174" s="4">
        <f>IMAGE("https://images.lululemon.com/is/image/lululemon/74939",1)</f>
        <v/>
      </c>
      <c r="J174" s="4" t="inlineStr">
        <is>
          <t>L</t>
        </is>
      </c>
      <c r="K174" s="4" t="inlineStr">
        <is>
          <t>70/1221</t>
        </is>
      </c>
      <c r="L174" s="4" t="inlineStr">
        <is>
          <t>Yes</t>
        </is>
      </c>
      <c r="M174" s="4" t="inlineStr">
        <is>
          <t>Top drawer comfort. These soft cotton socks combine integrated arch support and plush cushioning.</t>
        </is>
      </c>
      <c r="N174" s="4" t="inlineStr">
        <is>
          <t>Unisex-Daily-Essential-Crew-Socks-Stripe</t>
        </is>
      </c>
      <c r="O174" s="4" t="inlineStr">
        <is>
          <t>Crew Socks</t>
        </is>
      </c>
    </row>
    <row r="175" ht="80" customHeight="1">
      <c r="A175" s="5">
        <f>IMAGE("https://images.lululemon.com/is/image/lululemon/LU9CLAS_0024_1?wid=320&amp;op_usm=0.8",1)</f>
        <v/>
      </c>
      <c r="B175" s="5" t="inlineStr">
        <is>
          <t>Unisex Daily Essential Crew Socks *Stripe</t>
        </is>
      </c>
      <c r="C175" s="5" t="inlineStr">
        <is>
          <t>157768642</t>
        </is>
      </c>
      <c r="D175" s="5" t="inlineStr">
        <is>
          <t>157768642-white/riverside</t>
        </is>
      </c>
      <c r="E175" s="5" t="inlineStr">
        <is>
          <t>Daily Essential Socks WHT/BLK S</t>
        </is>
      </c>
      <c r="F175" s="5" t="inlineStr">
        <is>
          <t>$14.00</t>
        </is>
      </c>
      <c r="G175" s="5" t="inlineStr">
        <is>
          <t>$7.00</t>
        </is>
      </c>
      <c r="H175" s="5" t="inlineStr">
        <is>
          <t>White/Riverside</t>
        </is>
      </c>
      <c r="I175" s="5">
        <f>IMAGE("https://images.lululemon.com/is/image/lululemon/74939",1)</f>
        <v/>
      </c>
      <c r="J175" s="5" t="inlineStr">
        <is>
          <t>XL</t>
        </is>
      </c>
      <c r="K175" s="5" t="inlineStr">
        <is>
          <t>31/1221</t>
        </is>
      </c>
      <c r="L175" s="5" t="inlineStr">
        <is>
          <t>Yes</t>
        </is>
      </c>
      <c r="M175" s="5" t="inlineStr">
        <is>
          <t>Top drawer comfort. These soft cotton socks combine integrated arch support and plush cushioning.</t>
        </is>
      </c>
      <c r="N175" s="5" t="inlineStr">
        <is>
          <t>Unisex-Daily-Essential-Crew-Socks-Stripe</t>
        </is>
      </c>
      <c r="O175" s="5" t="inlineStr">
        <is>
          <t>Crew Socks</t>
        </is>
      </c>
    </row>
    <row r="176" ht="80" customHeight="1">
      <c r="A176" s="4">
        <f>IMAGE("https://images.lululemon.com/is/image/lululemon/LM9AWSS_0001_1?wid=320&amp;op_usm=0.8",1)</f>
        <v/>
      </c>
      <c r="B176" s="4" t="inlineStr">
        <is>
          <t>Men's Fast and Free Insulated Running Gloves</t>
        </is>
      </c>
      <c r="C176" s="4" t="inlineStr">
        <is>
          <t>154901007</t>
        </is>
      </c>
      <c r="D176" s="4" t="inlineStr">
        <is>
          <t>154901007-black</t>
        </is>
      </c>
      <c r="E176" s="4" t="inlineStr">
        <is>
          <t>Fast and Free Insulated Run Gloves M BLK S</t>
        </is>
      </c>
      <c r="F176" s="4" t="inlineStr">
        <is>
          <t>$58.00</t>
        </is>
      </c>
      <c r="G176" s="4" t="inlineStr">
        <is>
          <t>$29.00</t>
        </is>
      </c>
      <c r="H176" s="4" t="inlineStr">
        <is>
          <t>Black</t>
        </is>
      </c>
      <c r="I176" s="4">
        <f>IMAGE("https://images.lululemon.com/is/image/lululemon/0001",1)</f>
        <v/>
      </c>
      <c r="J176" s="4" t="inlineStr">
        <is>
          <t>S</t>
        </is>
      </c>
      <c r="K176" s="4" t="inlineStr">
        <is>
          <t>13/142</t>
        </is>
      </c>
      <c r="L176" s="4" t="inlineStr">
        <is>
          <t>Yes</t>
        </is>
      </c>
      <c r="M176" s="4" t="inlineStr">
        <is>
          <t>Cold run, warm hands. These mid-weight gloves have a packable water-repellent hood and tech-friendly fingers.</t>
        </is>
      </c>
      <c r="N176" s="4" t="inlineStr">
        <is>
          <t>M-Fast-and-Free-Insulated-Running-Gloves</t>
        </is>
      </c>
      <c r="O176" s="4" t="inlineStr"/>
    </row>
    <row r="177" ht="80" customHeight="1">
      <c r="A177" s="7">
        <f>IMAGE("https://images.lululemon.com/is/image/lululemon/LM9AWSS_0001_1?wid=320&amp;op_usm=0.8",1)</f>
        <v/>
      </c>
      <c r="B177" s="7" t="inlineStr">
        <is>
          <t>Men's Fast and Free Insulated Running Gloves</t>
        </is>
      </c>
      <c r="C177" s="7" t="inlineStr">
        <is>
          <t>154901005</t>
        </is>
      </c>
      <c r="D177" s="7" t="inlineStr">
        <is>
          <t>154901005-black</t>
        </is>
      </c>
      <c r="E177" s="7" t="inlineStr">
        <is>
          <t>Fast and Free Insulated Run Gloves M BLK S</t>
        </is>
      </c>
      <c r="F177" s="7" t="inlineStr">
        <is>
          <t>$58.00</t>
        </is>
      </c>
      <c r="G177" s="7" t="inlineStr">
        <is>
          <t>$29.00</t>
        </is>
      </c>
      <c r="H177" s="7" t="inlineStr">
        <is>
          <t>Black</t>
        </is>
      </c>
      <c r="I177" s="7">
        <f>IMAGE("https://images.lululemon.com/is/image/lululemon/0001",1)</f>
        <v/>
      </c>
      <c r="J177" s="7" t="inlineStr">
        <is>
          <t>M</t>
        </is>
      </c>
      <c r="K177" s="7" t="inlineStr">
        <is>
          <t>42/142</t>
        </is>
      </c>
      <c r="L177" s="7" t="inlineStr">
        <is>
          <t>Yes</t>
        </is>
      </c>
      <c r="M177" s="7" t="inlineStr">
        <is>
          <t>Cold run, warm hands. These mid-weight gloves have a packable water-repellent hood and tech-friendly fingers.</t>
        </is>
      </c>
      <c r="N177" s="7" t="inlineStr">
        <is>
          <t>M-Fast-and-Free-Insulated-Running-Gloves</t>
        </is>
      </c>
      <c r="O177" s="7" t="inlineStr"/>
    </row>
    <row r="178" ht="80" customHeight="1">
      <c r="A178" s="4">
        <f>IMAGE("https://images.lululemon.com/is/image/lululemon/LM9AWSS_0001_1?wid=320&amp;op_usm=0.8",1)</f>
        <v/>
      </c>
      <c r="B178" s="4" t="inlineStr">
        <is>
          <t>Men's Fast and Free Insulated Running Gloves</t>
        </is>
      </c>
      <c r="C178" s="4" t="inlineStr">
        <is>
          <t>154901002</t>
        </is>
      </c>
      <c r="D178" s="4" t="inlineStr">
        <is>
          <t>154901002-black</t>
        </is>
      </c>
      <c r="E178" s="4" t="inlineStr">
        <is>
          <t>Fast and Free Insulated Run Gloves M BLK S</t>
        </is>
      </c>
      <c r="F178" s="4" t="inlineStr">
        <is>
          <t>$58.00</t>
        </is>
      </c>
      <c r="G178" s="4" t="inlineStr">
        <is>
          <t>$29.00</t>
        </is>
      </c>
      <c r="H178" s="4" t="inlineStr">
        <is>
          <t>Black</t>
        </is>
      </c>
      <c r="I178" s="4">
        <f>IMAGE("https://images.lululemon.com/is/image/lululemon/0001",1)</f>
        <v/>
      </c>
      <c r="J178" s="4" t="inlineStr">
        <is>
          <t>L</t>
        </is>
      </c>
      <c r="K178" s="4" t="inlineStr">
        <is>
          <t>46/142</t>
        </is>
      </c>
      <c r="L178" s="4" t="inlineStr">
        <is>
          <t>Yes</t>
        </is>
      </c>
      <c r="M178" s="4" t="inlineStr">
        <is>
          <t>Cold run, warm hands. These mid-weight gloves have a packable water-repellent hood and tech-friendly fingers.</t>
        </is>
      </c>
      <c r="N178" s="4" t="inlineStr">
        <is>
          <t>M-Fast-and-Free-Insulated-Running-Gloves</t>
        </is>
      </c>
      <c r="O178" s="4" t="inlineStr"/>
    </row>
    <row r="179" ht="80" customHeight="1">
      <c r="A179" s="5">
        <f>IMAGE("https://images.lululemon.com/is/image/lululemon/LM9AWSS_0001_1?wid=320&amp;op_usm=0.8",1)</f>
        <v/>
      </c>
      <c r="B179" s="5" t="inlineStr">
        <is>
          <t>Men's Fast and Free Insulated Running Gloves</t>
        </is>
      </c>
      <c r="C179" s="5" t="inlineStr">
        <is>
          <t>154901008</t>
        </is>
      </c>
      <c r="D179" s="5" t="inlineStr">
        <is>
          <t>154901008-black</t>
        </is>
      </c>
      <c r="E179" s="5" t="inlineStr">
        <is>
          <t>Fast and Free Insulated Run Gloves M BLK S</t>
        </is>
      </c>
      <c r="F179" s="5" t="inlineStr">
        <is>
          <t>$58.00</t>
        </is>
      </c>
      <c r="G179" s="5" t="inlineStr">
        <is>
          <t>$29.00</t>
        </is>
      </c>
      <c r="H179" s="5" t="inlineStr">
        <is>
          <t>Black</t>
        </is>
      </c>
      <c r="I179" s="5">
        <f>IMAGE("https://images.lululemon.com/is/image/lululemon/0001",1)</f>
        <v/>
      </c>
      <c r="J179" s="5" t="inlineStr">
        <is>
          <t>XL</t>
        </is>
      </c>
      <c r="K179" s="5" t="inlineStr">
        <is>
          <t>41/142</t>
        </is>
      </c>
      <c r="L179" s="5" t="inlineStr">
        <is>
          <t>Yes</t>
        </is>
      </c>
      <c r="M179" s="5" t="inlineStr">
        <is>
          <t>Cold run, warm hands. These mid-weight gloves have a packable water-repellent hood and tech-friendly fingers.</t>
        </is>
      </c>
      <c r="N179" s="5" t="inlineStr">
        <is>
          <t>M-Fast-and-Free-Insulated-Running-Gloves</t>
        </is>
      </c>
      <c r="O179" s="5" t="inlineStr"/>
    </row>
    <row r="180" ht="80" customHeight="1">
      <c r="A180" s="4">
        <f>IMAGE("https://images.lululemon.com/is/image/lululemon/LM3FTWS_0001_1?wid=320&amp;op_usm=0.8",1)</f>
        <v/>
      </c>
      <c r="B180" s="4" t="inlineStr">
        <is>
          <t>Rulu Fleece Half-Zip Long-Sleeve Shirt</t>
        </is>
      </c>
      <c r="C180" s="4" t="inlineStr">
        <is>
          <t>157707221</t>
        </is>
      </c>
      <c r="D180" s="4" t="inlineStr">
        <is>
          <t>157707221-black</t>
        </is>
      </c>
      <c r="E180" s="4" t="inlineStr">
        <is>
          <t>Rulu Fleece Half-Zip Long Sleeve BLK S</t>
        </is>
      </c>
      <c r="F180" s="4" t="inlineStr">
        <is>
          <t>$118.00</t>
        </is>
      </c>
      <c r="G180" s="4" t="inlineStr">
        <is>
          <t>$59.00</t>
        </is>
      </c>
      <c r="H180" s="4" t="inlineStr">
        <is>
          <t>Black</t>
        </is>
      </c>
      <c r="I180" s="4">
        <f>IMAGE("https://images.lululemon.com/is/image/lululemon/0001",1)</f>
        <v/>
      </c>
      <c r="J180" s="4" t="inlineStr">
        <is>
          <t>S</t>
        </is>
      </c>
      <c r="K180" s="4" t="inlineStr">
        <is>
          <t>23/617</t>
        </is>
      </c>
      <c r="L180" s="4" t="inlineStr">
        <is>
          <t>Yes</t>
        </is>
      </c>
      <c r="M180" s="4" t="inlineStr">
        <is>
          <t>Make cold days count. Warm Rulu™ fleece fabric on this versatile layer keeps the chills out so you can run, play, and stay out longer.</t>
        </is>
      </c>
      <c r="N180" s="4" t="inlineStr">
        <is>
          <t>Rulu-Fleece-Half-Zip-Long-Sleeve-Shirt</t>
        </is>
      </c>
      <c r="O180" s="4" t="inlineStr">
        <is>
          <t>Half Zip Sweatshirts, Quarter Zip Sweatshirts</t>
        </is>
      </c>
    </row>
    <row r="181" ht="80" customHeight="1">
      <c r="A181" s="7">
        <f>IMAGE("https://images.lululemon.com/is/image/lululemon/LM3FTWS_0001_1?wid=320&amp;op_usm=0.8",1)</f>
        <v/>
      </c>
      <c r="B181" s="7" t="inlineStr">
        <is>
          <t>Rulu Fleece Half-Zip Long-Sleeve Shirt</t>
        </is>
      </c>
      <c r="C181" s="7" t="inlineStr">
        <is>
          <t>157707207</t>
        </is>
      </c>
      <c r="D181" s="7" t="inlineStr">
        <is>
          <t>157707207-black</t>
        </is>
      </c>
      <c r="E181" s="7" t="inlineStr">
        <is>
          <t>Rulu Fleece Half-Zip Long Sleeve BLK S</t>
        </is>
      </c>
      <c r="F181" s="7" t="inlineStr">
        <is>
          <t>$118.00</t>
        </is>
      </c>
      <c r="G181" s="7" t="inlineStr">
        <is>
          <t>$59.00</t>
        </is>
      </c>
      <c r="H181" s="7" t="inlineStr">
        <is>
          <t>Black</t>
        </is>
      </c>
      <c r="I181" s="7">
        <f>IMAGE("https://images.lululemon.com/is/image/lululemon/0001",1)</f>
        <v/>
      </c>
      <c r="J181" s="7" t="inlineStr">
        <is>
          <t>M</t>
        </is>
      </c>
      <c r="K181" s="7" t="inlineStr">
        <is>
          <t>68/617</t>
        </is>
      </c>
      <c r="L181" s="7" t="inlineStr">
        <is>
          <t>Yes</t>
        </is>
      </c>
      <c r="M181" s="7" t="inlineStr">
        <is>
          <t>Make cold days count. Warm Rulu™ fleece fabric on this versatile layer keeps the chills out so you can run, play, and stay out longer.</t>
        </is>
      </c>
      <c r="N181" s="7" t="inlineStr">
        <is>
          <t>Rulu-Fleece-Half-Zip-Long-Sleeve-Shirt</t>
        </is>
      </c>
      <c r="O181" s="7" t="inlineStr">
        <is>
          <t>Half Zip Sweatshirts, Quarter Zip Sweatshirts</t>
        </is>
      </c>
    </row>
    <row r="182" ht="80" customHeight="1">
      <c r="A182" s="4">
        <f>IMAGE("https://images.lululemon.com/is/image/lululemon/LM3FTWS_0001_1?wid=320&amp;op_usm=0.8",1)</f>
        <v/>
      </c>
      <c r="B182" s="4" t="inlineStr">
        <is>
          <t>Rulu Fleece Half-Zip Long-Sleeve Shirt</t>
        </is>
      </c>
      <c r="C182" s="4" t="inlineStr">
        <is>
          <t>157707194</t>
        </is>
      </c>
      <c r="D182" s="4" t="inlineStr">
        <is>
          <t>157707194-black</t>
        </is>
      </c>
      <c r="E182" s="4" t="inlineStr">
        <is>
          <t>Rulu Fleece Half-Zip Long Sleeve BLK S</t>
        </is>
      </c>
      <c r="F182" s="4" t="inlineStr">
        <is>
          <t>$118.00</t>
        </is>
      </c>
      <c r="G182" s="4" t="inlineStr">
        <is>
          <t>$59.00</t>
        </is>
      </c>
      <c r="H182" s="4" t="inlineStr">
        <is>
          <t>Black</t>
        </is>
      </c>
      <c r="I182" s="4">
        <f>IMAGE("https://images.lululemon.com/is/image/lululemon/0001",1)</f>
        <v/>
      </c>
      <c r="J182" s="4" t="inlineStr">
        <is>
          <t>L</t>
        </is>
      </c>
      <c r="K182" s="4" t="inlineStr">
        <is>
          <t>100/617</t>
        </is>
      </c>
      <c r="L182" s="4" t="inlineStr">
        <is>
          <t>Yes</t>
        </is>
      </c>
      <c r="M182" s="4" t="inlineStr">
        <is>
          <t>Make cold days count. Warm Rulu™ fleece fabric on this versatile layer keeps the chills out so you can run, play, and stay out longer.</t>
        </is>
      </c>
      <c r="N182" s="4" t="inlineStr">
        <is>
          <t>Rulu-Fleece-Half-Zip-Long-Sleeve-Shirt</t>
        </is>
      </c>
      <c r="O182" s="4" t="inlineStr">
        <is>
          <t>Half Zip Sweatshirts, Quarter Zip Sweatshirts</t>
        </is>
      </c>
    </row>
    <row r="183" ht="80" customHeight="1">
      <c r="A183" s="7">
        <f>IMAGE("https://images.lululemon.com/is/image/lululemon/LM3FTWS_0001_1?wid=320&amp;op_usm=0.8",1)</f>
        <v/>
      </c>
      <c r="B183" s="7" t="inlineStr">
        <is>
          <t>Rulu Fleece Half-Zip Long-Sleeve Shirt</t>
        </is>
      </c>
      <c r="C183" s="7" t="inlineStr">
        <is>
          <t>157707231</t>
        </is>
      </c>
      <c r="D183" s="7" t="inlineStr">
        <is>
          <t>157707231-black</t>
        </is>
      </c>
      <c r="E183" s="7" t="inlineStr">
        <is>
          <t>Rulu Fleece Half-Zip Long Sleeve BLK S</t>
        </is>
      </c>
      <c r="F183" s="7" t="inlineStr">
        <is>
          <t>$118.00</t>
        </is>
      </c>
      <c r="G183" s="7" t="inlineStr">
        <is>
          <t>$59.00</t>
        </is>
      </c>
      <c r="H183" s="7" t="inlineStr">
        <is>
          <t>Black</t>
        </is>
      </c>
      <c r="I183" s="7">
        <f>IMAGE("https://images.lululemon.com/is/image/lululemon/0001",1)</f>
        <v/>
      </c>
      <c r="J183" s="7" t="inlineStr">
        <is>
          <t>XL</t>
        </is>
      </c>
      <c r="K183" s="7" t="inlineStr">
        <is>
          <t>66/617</t>
        </is>
      </c>
      <c r="L183" s="7" t="inlineStr">
        <is>
          <t>Yes</t>
        </is>
      </c>
      <c r="M183" s="7" t="inlineStr">
        <is>
          <t>Make cold days count. Warm Rulu™ fleece fabric on this versatile layer keeps the chills out so you can run, play, and stay out longer.</t>
        </is>
      </c>
      <c r="N183" s="7" t="inlineStr">
        <is>
          <t>Rulu-Fleece-Half-Zip-Long-Sleeve-Shirt</t>
        </is>
      </c>
      <c r="O183" s="7" t="inlineStr">
        <is>
          <t>Half Zip Sweatshirts, Quarter Zip Sweatshirts</t>
        </is>
      </c>
    </row>
    <row r="184" ht="80" customHeight="1">
      <c r="A184" s="4">
        <f>IMAGE("https://images.lululemon.com/is/image/lululemon/LM3FTWS_0001_1?wid=320&amp;op_usm=0.8",1)</f>
        <v/>
      </c>
      <c r="B184" s="4" t="inlineStr">
        <is>
          <t>Rulu Fleece Half-Zip Long-Sleeve Shirt</t>
        </is>
      </c>
      <c r="C184" s="4" t="inlineStr">
        <is>
          <t>157707243</t>
        </is>
      </c>
      <c r="D184" s="4" t="inlineStr">
        <is>
          <t>157707243-black</t>
        </is>
      </c>
      <c r="E184" s="4" t="inlineStr">
        <is>
          <t>Rulu Fleece Half-Zip Long Sleeve BLK S</t>
        </is>
      </c>
      <c r="F184" s="4" t="inlineStr">
        <is>
          <t>$118.00</t>
        </is>
      </c>
      <c r="G184" s="4" t="inlineStr">
        <is>
          <t>$59.00</t>
        </is>
      </c>
      <c r="H184" s="4" t="inlineStr">
        <is>
          <t>Black</t>
        </is>
      </c>
      <c r="I184" s="4">
        <f>IMAGE("https://images.lululemon.com/is/image/lululemon/0001",1)</f>
        <v/>
      </c>
      <c r="J184" s="4" t="inlineStr">
        <is>
          <t>XXL</t>
        </is>
      </c>
      <c r="K184" s="4" t="inlineStr">
        <is>
          <t>31/617</t>
        </is>
      </c>
      <c r="L184" s="4" t="inlineStr">
        <is>
          <t>Yes</t>
        </is>
      </c>
      <c r="M184" s="4" t="inlineStr">
        <is>
          <t>Make cold days count. Warm Rulu™ fleece fabric on this versatile layer keeps the chills out so you can run, play, and stay out longer.</t>
        </is>
      </c>
      <c r="N184" s="4" t="inlineStr">
        <is>
          <t>Rulu-Fleece-Half-Zip-Long-Sleeve-Shirt</t>
        </is>
      </c>
      <c r="O184" s="4" t="inlineStr">
        <is>
          <t>Half Zip Sweatshirts, Quarter Zip Sweatshirts</t>
        </is>
      </c>
    </row>
    <row r="185" ht="80" customHeight="1">
      <c r="A185" s="7">
        <f>IMAGE("https://images.lululemon.com/is/image/lululemon/LM3FTWS_0001_1?wid=320&amp;op_usm=0.8",1)</f>
        <v/>
      </c>
      <c r="B185" s="7" t="inlineStr">
        <is>
          <t>Rulu Fleece Half-Zip Long-Sleeve Shirt</t>
        </is>
      </c>
      <c r="C185" s="7" t="inlineStr">
        <is>
          <t>158026487</t>
        </is>
      </c>
      <c r="D185" s="7" t="inlineStr">
        <is>
          <t>158026487-plum</t>
        </is>
      </c>
      <c r="E185" s="7" t="inlineStr">
        <is>
          <t>Rulu Fleece Half-Zip Long Sleeve BLK S</t>
        </is>
      </c>
      <c r="F185" s="7" t="inlineStr">
        <is>
          <t>$118.00</t>
        </is>
      </c>
      <c r="G185" s="7" t="inlineStr">
        <is>
          <t>$59.00</t>
        </is>
      </c>
      <c r="H185" s="7" t="inlineStr">
        <is>
          <t>Plum</t>
        </is>
      </c>
      <c r="I185" s="7">
        <f>IMAGE("https://images.lululemon.com/is/image/lululemon/0010",1)</f>
        <v/>
      </c>
      <c r="J185" s="7" t="inlineStr">
        <is>
          <t>S</t>
        </is>
      </c>
      <c r="K185" s="7" t="inlineStr">
        <is>
          <t>12/617</t>
        </is>
      </c>
      <c r="L185" s="7" t="inlineStr">
        <is>
          <t>Yes</t>
        </is>
      </c>
      <c r="M185" s="7" t="inlineStr">
        <is>
          <t>Make cold days count. Warm Rulu™ fleece fabric on this versatile layer keeps the chills out so you can run, play, and stay out longer.</t>
        </is>
      </c>
      <c r="N185" s="7" t="inlineStr">
        <is>
          <t>Rulu-Fleece-Half-Zip-Long-Sleeve-Shirt</t>
        </is>
      </c>
      <c r="O185" s="7" t="inlineStr">
        <is>
          <t>Half Zip Sweatshirts, Quarter Zip Sweatshirts</t>
        </is>
      </c>
    </row>
    <row r="186" ht="80" customHeight="1">
      <c r="A186" s="4">
        <f>IMAGE("https://images.lululemon.com/is/image/lululemon/LM3FTWS_0001_1?wid=320&amp;op_usm=0.8",1)</f>
        <v/>
      </c>
      <c r="B186" s="4" t="inlineStr">
        <is>
          <t>Rulu Fleece Half-Zip Long-Sleeve Shirt</t>
        </is>
      </c>
      <c r="C186" s="4" t="inlineStr">
        <is>
          <t>158026472</t>
        </is>
      </c>
      <c r="D186" s="4" t="inlineStr">
        <is>
          <t>158026472-plum</t>
        </is>
      </c>
      <c r="E186" s="4" t="inlineStr">
        <is>
          <t>Rulu Fleece Half-Zip Long Sleeve BLK S</t>
        </is>
      </c>
      <c r="F186" s="4" t="inlineStr">
        <is>
          <t>$118.00</t>
        </is>
      </c>
      <c r="G186" s="4" t="inlineStr">
        <is>
          <t>$59.00</t>
        </is>
      </c>
      <c r="H186" s="4" t="inlineStr">
        <is>
          <t>Plum</t>
        </is>
      </c>
      <c r="I186" s="4">
        <f>IMAGE("https://images.lululemon.com/is/image/lululemon/0010",1)</f>
        <v/>
      </c>
      <c r="J186" s="4" t="inlineStr">
        <is>
          <t>M</t>
        </is>
      </c>
      <c r="K186" s="4" t="inlineStr">
        <is>
          <t>36/617</t>
        </is>
      </c>
      <c r="L186" s="4" t="inlineStr">
        <is>
          <t>Yes</t>
        </is>
      </c>
      <c r="M186" s="4" t="inlineStr">
        <is>
          <t>Make cold days count. Warm Rulu™ fleece fabric on this versatile layer keeps the chills out so you can run, play, and stay out longer.</t>
        </is>
      </c>
      <c r="N186" s="4" t="inlineStr">
        <is>
          <t>Rulu-Fleece-Half-Zip-Long-Sleeve-Shirt</t>
        </is>
      </c>
      <c r="O186" s="4" t="inlineStr">
        <is>
          <t>Half Zip Sweatshirts, Quarter Zip Sweatshirts</t>
        </is>
      </c>
    </row>
    <row r="187" ht="80" customHeight="1">
      <c r="A187" s="7">
        <f>IMAGE("https://images.lululemon.com/is/image/lululemon/LM3FTWS_0001_1?wid=320&amp;op_usm=0.8",1)</f>
        <v/>
      </c>
      <c r="B187" s="7" t="inlineStr">
        <is>
          <t>Rulu Fleece Half-Zip Long-Sleeve Shirt</t>
        </is>
      </c>
      <c r="C187" s="7" t="inlineStr">
        <is>
          <t>158026460</t>
        </is>
      </c>
      <c r="D187" s="7" t="inlineStr">
        <is>
          <t>158026460-plum</t>
        </is>
      </c>
      <c r="E187" s="7" t="inlineStr">
        <is>
          <t>Rulu Fleece Half-Zip Long Sleeve BLK S</t>
        </is>
      </c>
      <c r="F187" s="7" t="inlineStr">
        <is>
          <t>$118.00</t>
        </is>
      </c>
      <c r="G187" s="7" t="inlineStr">
        <is>
          <t>$59.00</t>
        </is>
      </c>
      <c r="H187" s="7" t="inlineStr">
        <is>
          <t>Plum</t>
        </is>
      </c>
      <c r="I187" s="7">
        <f>IMAGE("https://images.lululemon.com/is/image/lululemon/0010",1)</f>
        <v/>
      </c>
      <c r="J187" s="7" t="inlineStr">
        <is>
          <t>L</t>
        </is>
      </c>
      <c r="K187" s="7" t="inlineStr">
        <is>
          <t>60/617</t>
        </is>
      </c>
      <c r="L187" s="7" t="inlineStr">
        <is>
          <t>Yes</t>
        </is>
      </c>
      <c r="M187" s="7" t="inlineStr">
        <is>
          <t>Make cold days count. Warm Rulu™ fleece fabric on this versatile layer keeps the chills out so you can run, play, and stay out longer.</t>
        </is>
      </c>
      <c r="N187" s="7" t="inlineStr">
        <is>
          <t>Rulu-Fleece-Half-Zip-Long-Sleeve-Shirt</t>
        </is>
      </c>
      <c r="O187" s="7" t="inlineStr">
        <is>
          <t>Half Zip Sweatshirts, Quarter Zip Sweatshirts</t>
        </is>
      </c>
    </row>
    <row r="188" ht="80" customHeight="1">
      <c r="A188" s="4">
        <f>IMAGE("https://images.lululemon.com/is/image/lululemon/LM3FTWS_0001_1?wid=320&amp;op_usm=0.8",1)</f>
        <v/>
      </c>
      <c r="B188" s="4" t="inlineStr">
        <is>
          <t>Rulu Fleece Half-Zip Long-Sleeve Shirt</t>
        </is>
      </c>
      <c r="C188" s="4" t="inlineStr">
        <is>
          <t>158026498</t>
        </is>
      </c>
      <c r="D188" s="4" t="inlineStr">
        <is>
          <t>158026498-plum</t>
        </is>
      </c>
      <c r="E188" s="4" t="inlineStr">
        <is>
          <t>Rulu Fleece Half-Zip Long Sleeve BLK S</t>
        </is>
      </c>
      <c r="F188" s="4" t="inlineStr">
        <is>
          <t>$118.00</t>
        </is>
      </c>
      <c r="G188" s="4" t="inlineStr">
        <is>
          <t>$59.00</t>
        </is>
      </c>
      <c r="H188" s="4" t="inlineStr">
        <is>
          <t>Plum</t>
        </is>
      </c>
      <c r="I188" s="4">
        <f>IMAGE("https://images.lululemon.com/is/image/lululemon/0010",1)</f>
        <v/>
      </c>
      <c r="J188" s="4" t="inlineStr">
        <is>
          <t>XL</t>
        </is>
      </c>
      <c r="K188" s="4" t="inlineStr">
        <is>
          <t>41/617</t>
        </is>
      </c>
      <c r="L188" s="4" t="inlineStr">
        <is>
          <t>Yes</t>
        </is>
      </c>
      <c r="M188" s="4" t="inlineStr">
        <is>
          <t>Make cold days count. Warm Rulu™ fleece fabric on this versatile layer keeps the chills out so you can run, play, and stay out longer.</t>
        </is>
      </c>
      <c r="N188" s="4" t="inlineStr">
        <is>
          <t>Rulu-Fleece-Half-Zip-Long-Sleeve-Shirt</t>
        </is>
      </c>
      <c r="O188" s="4" t="inlineStr">
        <is>
          <t>Half Zip Sweatshirts, Quarter Zip Sweatshirts</t>
        </is>
      </c>
    </row>
    <row r="189" ht="80" customHeight="1">
      <c r="A189" s="7">
        <f>IMAGE("https://images.lululemon.com/is/image/lululemon/LM3FTWS_0001_1?wid=320&amp;op_usm=0.8",1)</f>
        <v/>
      </c>
      <c r="B189" s="7" t="inlineStr">
        <is>
          <t>Rulu Fleece Half-Zip Long-Sleeve Shirt</t>
        </is>
      </c>
      <c r="C189" s="7" t="inlineStr">
        <is>
          <t>158026524</t>
        </is>
      </c>
      <c r="D189" s="7" t="inlineStr">
        <is>
          <t>158026524-plum</t>
        </is>
      </c>
      <c r="E189" s="7" t="inlineStr">
        <is>
          <t>Rulu Fleece Half-Zip Long Sleeve BLK S</t>
        </is>
      </c>
      <c r="F189" s="7" t="inlineStr">
        <is>
          <t>$118.00</t>
        </is>
      </c>
      <c r="G189" s="7" t="inlineStr">
        <is>
          <t>$59.00</t>
        </is>
      </c>
      <c r="H189" s="7" t="inlineStr">
        <is>
          <t>Plum</t>
        </is>
      </c>
      <c r="I189" s="7">
        <f>IMAGE("https://images.lululemon.com/is/image/lululemon/0010",1)</f>
        <v/>
      </c>
      <c r="J189" s="7" t="inlineStr">
        <is>
          <t>XXL</t>
        </is>
      </c>
      <c r="K189" s="7" t="inlineStr">
        <is>
          <t>19/617</t>
        </is>
      </c>
      <c r="L189" s="7" t="inlineStr">
        <is>
          <t>Yes</t>
        </is>
      </c>
      <c r="M189" s="7" t="inlineStr">
        <is>
          <t>Make cold days count. Warm Rulu™ fleece fabric on this versatile layer keeps the chills out so you can run, play, and stay out longer.</t>
        </is>
      </c>
      <c r="N189" s="7" t="inlineStr">
        <is>
          <t>Rulu-Fleece-Half-Zip-Long-Sleeve-Shirt</t>
        </is>
      </c>
      <c r="O189" s="7" t="inlineStr">
        <is>
          <t>Half Zip Sweatshirts, Quarter Zip Sweatshirts</t>
        </is>
      </c>
    </row>
    <row r="190" ht="80" customHeight="1">
      <c r="A190" s="4">
        <f>IMAGE("https://images.lululemon.com/is/image/lululemon/LM3FTWS_0001_1?wid=320&amp;op_usm=0.8",1)</f>
        <v/>
      </c>
      <c r="B190" s="4" t="inlineStr">
        <is>
          <t>Rulu Fleece Half-Zip Long-Sleeve Shirt</t>
        </is>
      </c>
      <c r="C190" s="4" t="inlineStr">
        <is>
          <t>157700850</t>
        </is>
      </c>
      <c r="D190" s="4" t="inlineStr">
        <is>
          <t>157700850-warmashgrey</t>
        </is>
      </c>
      <c r="E190" s="4" t="inlineStr">
        <is>
          <t>Rulu Fleece Half-Zip Long Sleeve BLK S</t>
        </is>
      </c>
      <c r="F190" s="4" t="inlineStr">
        <is>
          <t>$118.00</t>
        </is>
      </c>
      <c r="G190" s="4" t="inlineStr">
        <is>
          <t>$59.00</t>
        </is>
      </c>
      <c r="H190" s="4" t="inlineStr">
        <is>
          <t>Warm Ash Grey</t>
        </is>
      </c>
      <c r="I190" s="4">
        <f>IMAGE("https://images.lululemon.com/is/image/lululemon/70108",1)</f>
        <v/>
      </c>
      <c r="J190" s="4" t="inlineStr">
        <is>
          <t>S</t>
        </is>
      </c>
      <c r="K190" s="4" t="inlineStr">
        <is>
          <t>15/617</t>
        </is>
      </c>
      <c r="L190" s="4" t="inlineStr">
        <is>
          <t>Yes</t>
        </is>
      </c>
      <c r="M190" s="4" t="inlineStr">
        <is>
          <t>Make cold days count. Warm Rulu™ fleece fabric on this versatile layer keeps the chills out so you can run, play, and stay out longer.</t>
        </is>
      </c>
      <c r="N190" s="4" t="inlineStr">
        <is>
          <t>Rulu-Fleece-Half-Zip-Long-Sleeve-Shirt</t>
        </is>
      </c>
      <c r="O190" s="4" t="inlineStr">
        <is>
          <t>Half Zip Sweatshirts, Quarter Zip Sweatshirts</t>
        </is>
      </c>
    </row>
    <row r="191" ht="80" customHeight="1">
      <c r="A191" s="7">
        <f>IMAGE("https://images.lululemon.com/is/image/lululemon/LM3FTWS_0001_1?wid=320&amp;op_usm=0.8",1)</f>
        <v/>
      </c>
      <c r="B191" s="7" t="inlineStr">
        <is>
          <t>Rulu Fleece Half-Zip Long-Sleeve Shirt</t>
        </is>
      </c>
      <c r="C191" s="7" t="inlineStr">
        <is>
          <t>157700847</t>
        </is>
      </c>
      <c r="D191" s="7" t="inlineStr">
        <is>
          <t>157700847-warmashgrey</t>
        </is>
      </c>
      <c r="E191" s="7" t="inlineStr">
        <is>
          <t>Rulu Fleece Half-Zip Long Sleeve BLK S</t>
        </is>
      </c>
      <c r="F191" s="7" t="inlineStr">
        <is>
          <t>$118.00</t>
        </is>
      </c>
      <c r="G191" s="7" t="inlineStr">
        <is>
          <t>$59.00</t>
        </is>
      </c>
      <c r="H191" s="7" t="inlineStr">
        <is>
          <t>Warm Ash Grey</t>
        </is>
      </c>
      <c r="I191" s="7">
        <f>IMAGE("https://images.lululemon.com/is/image/lululemon/70108",1)</f>
        <v/>
      </c>
      <c r="J191" s="7" t="inlineStr">
        <is>
          <t>M</t>
        </is>
      </c>
      <c r="K191" s="7" t="inlineStr">
        <is>
          <t>36/617</t>
        </is>
      </c>
      <c r="L191" s="7" t="inlineStr">
        <is>
          <t>Yes</t>
        </is>
      </c>
      <c r="M191" s="7" t="inlineStr">
        <is>
          <t>Make cold days count. Warm Rulu™ fleece fabric on this versatile layer keeps the chills out so you can run, play, and stay out longer.</t>
        </is>
      </c>
      <c r="N191" s="7" t="inlineStr">
        <is>
          <t>Rulu-Fleece-Half-Zip-Long-Sleeve-Shirt</t>
        </is>
      </c>
      <c r="O191" s="7" t="inlineStr">
        <is>
          <t>Half Zip Sweatshirts, Quarter Zip Sweatshirts</t>
        </is>
      </c>
    </row>
    <row r="192" ht="80" customHeight="1">
      <c r="A192" s="4">
        <f>IMAGE("https://images.lululemon.com/is/image/lululemon/LM3FTWS_0001_1?wid=320&amp;op_usm=0.8",1)</f>
        <v/>
      </c>
      <c r="B192" s="4" t="inlineStr">
        <is>
          <t>Rulu Fleece Half-Zip Long-Sleeve Shirt</t>
        </is>
      </c>
      <c r="C192" s="4" t="inlineStr">
        <is>
          <t>157700845</t>
        </is>
      </c>
      <c r="D192" s="4" t="inlineStr">
        <is>
          <t>157700845-warmashgrey</t>
        </is>
      </c>
      <c r="E192" s="4" t="inlineStr">
        <is>
          <t>Rulu Fleece Half-Zip Long Sleeve BLK S</t>
        </is>
      </c>
      <c r="F192" s="4" t="inlineStr">
        <is>
          <t>$118.00</t>
        </is>
      </c>
      <c r="G192" s="4" t="inlineStr">
        <is>
          <t>$59.00</t>
        </is>
      </c>
      <c r="H192" s="4" t="inlineStr">
        <is>
          <t>Warm Ash Grey</t>
        </is>
      </c>
      <c r="I192" s="4">
        <f>IMAGE("https://images.lululemon.com/is/image/lululemon/70108",1)</f>
        <v/>
      </c>
      <c r="J192" s="4" t="inlineStr">
        <is>
          <t>L</t>
        </is>
      </c>
      <c r="K192" s="4" t="inlineStr">
        <is>
          <t>52/617</t>
        </is>
      </c>
      <c r="L192" s="4" t="inlineStr">
        <is>
          <t>Yes</t>
        </is>
      </c>
      <c r="M192" s="4" t="inlineStr">
        <is>
          <t>Make cold days count. Warm Rulu™ fleece fabric on this versatile layer keeps the chills out so you can run, play, and stay out longer.</t>
        </is>
      </c>
      <c r="N192" s="4" t="inlineStr">
        <is>
          <t>Rulu-Fleece-Half-Zip-Long-Sleeve-Shirt</t>
        </is>
      </c>
      <c r="O192" s="4" t="inlineStr">
        <is>
          <t>Half Zip Sweatshirts, Quarter Zip Sweatshirts</t>
        </is>
      </c>
    </row>
    <row r="193" ht="80" customHeight="1">
      <c r="A193" s="7">
        <f>IMAGE("https://images.lululemon.com/is/image/lululemon/LM3FTWS_0001_1?wid=320&amp;op_usm=0.8",1)</f>
        <v/>
      </c>
      <c r="B193" s="7" t="inlineStr">
        <is>
          <t>Rulu Fleece Half-Zip Long-Sleeve Shirt</t>
        </is>
      </c>
      <c r="C193" s="7" t="inlineStr">
        <is>
          <t>157700852</t>
        </is>
      </c>
      <c r="D193" s="7" t="inlineStr">
        <is>
          <t>157700852-warmashgrey</t>
        </is>
      </c>
      <c r="E193" s="7" t="inlineStr">
        <is>
          <t>Rulu Fleece Half-Zip Long Sleeve BLK S</t>
        </is>
      </c>
      <c r="F193" s="7" t="inlineStr">
        <is>
          <t>$118.00</t>
        </is>
      </c>
      <c r="G193" s="7" t="inlineStr">
        <is>
          <t>$59.00</t>
        </is>
      </c>
      <c r="H193" s="7" t="inlineStr">
        <is>
          <t>Warm Ash Grey</t>
        </is>
      </c>
      <c r="I193" s="7">
        <f>IMAGE("https://images.lululemon.com/is/image/lululemon/70108",1)</f>
        <v/>
      </c>
      <c r="J193" s="7" t="inlineStr">
        <is>
          <t>XL</t>
        </is>
      </c>
      <c r="K193" s="7" t="inlineStr">
        <is>
          <t>42/617</t>
        </is>
      </c>
      <c r="L193" s="7" t="inlineStr">
        <is>
          <t>Yes</t>
        </is>
      </c>
      <c r="M193" s="7" t="inlineStr">
        <is>
          <t>Make cold days count. Warm Rulu™ fleece fabric on this versatile layer keeps the chills out so you can run, play, and stay out longer.</t>
        </is>
      </c>
      <c r="N193" s="7" t="inlineStr">
        <is>
          <t>Rulu-Fleece-Half-Zip-Long-Sleeve-Shirt</t>
        </is>
      </c>
      <c r="O193" s="7" t="inlineStr">
        <is>
          <t>Half Zip Sweatshirts, Quarter Zip Sweatshirts</t>
        </is>
      </c>
    </row>
    <row r="194" ht="80" customHeight="1">
      <c r="A194" s="6">
        <f>IMAGE("https://images.lululemon.com/is/image/lululemon/LM3FTWS_0001_1?wid=320&amp;op_usm=0.8",1)</f>
        <v/>
      </c>
      <c r="B194" s="6" t="inlineStr">
        <is>
          <t>Rulu Fleece Half-Zip Long-Sleeve Shirt</t>
        </is>
      </c>
      <c r="C194" s="6" t="inlineStr">
        <is>
          <t>157700856</t>
        </is>
      </c>
      <c r="D194" s="6" t="inlineStr">
        <is>
          <t>157700856-warmashgrey</t>
        </is>
      </c>
      <c r="E194" s="6" t="inlineStr">
        <is>
          <t>Rulu Fleece Half-Zip Long Sleeve BLK S</t>
        </is>
      </c>
      <c r="F194" s="6" t="inlineStr">
        <is>
          <t>$118.00</t>
        </is>
      </c>
      <c r="G194" s="6" t="inlineStr">
        <is>
          <t>$59.00</t>
        </is>
      </c>
      <c r="H194" s="6" t="inlineStr">
        <is>
          <t>Warm Ash Grey</t>
        </is>
      </c>
      <c r="I194" s="6">
        <f>IMAGE("https://images.lululemon.com/is/image/lululemon/70108",1)</f>
        <v/>
      </c>
      <c r="J194" s="6" t="inlineStr">
        <is>
          <t>XXL</t>
        </is>
      </c>
      <c r="K194" s="6" t="inlineStr">
        <is>
          <t>16/617</t>
        </is>
      </c>
      <c r="L194" s="6" t="inlineStr">
        <is>
          <t>Yes</t>
        </is>
      </c>
      <c r="M194" s="6" t="inlineStr">
        <is>
          <t>Make cold days count. Warm Rulu™ fleece fabric on this versatile layer keeps the chills out so you can run, play, and stay out longer.</t>
        </is>
      </c>
      <c r="N194" s="6" t="inlineStr">
        <is>
          <t>Rulu-Fleece-Half-Zip-Long-Sleeve-Shirt</t>
        </is>
      </c>
      <c r="O194" s="6" t="inlineStr">
        <is>
          <t>Half Zip Sweatshirts, Quarter Zip Sweatshirts</t>
        </is>
      </c>
    </row>
    <row r="195" ht="80" customHeight="1">
      <c r="A195" s="7">
        <f>IMAGE("https://images.lululemon.com/is/image/lululemon/LU9CPQS_0001_1?wid=320&amp;op_usm=0.8",1)</f>
        <v/>
      </c>
      <c r="B195" s="7" t="inlineStr">
        <is>
          <t>Unisex Power Stride Tab Socks</t>
        </is>
      </c>
      <c r="C195" s="7" t="inlineStr">
        <is>
          <t>156701189</t>
        </is>
      </c>
      <c r="D195" s="7" t="inlineStr">
        <is>
          <t>156701189-black</t>
        </is>
      </c>
      <c r="E195" s="7" t="inlineStr">
        <is>
          <t>Power Stride Socks BLK S</t>
        </is>
      </c>
      <c r="F195" s="7" t="inlineStr">
        <is>
          <t>$14.00</t>
        </is>
      </c>
      <c r="G195" s="7" t="inlineStr">
        <is>
          <t>$7.00</t>
        </is>
      </c>
      <c r="H195" s="7" t="inlineStr">
        <is>
          <t>Black</t>
        </is>
      </c>
      <c r="I195" s="7">
        <f>IMAGE("https://images.lululemon.com/is/image/lululemon/0001",1)</f>
        <v/>
      </c>
      <c r="J195" s="7" t="inlineStr">
        <is>
          <t>S</t>
        </is>
      </c>
      <c r="K195" s="7" t="inlineStr">
        <is>
          <t>144/636</t>
        </is>
      </c>
      <c r="L195" s="7" t="inlineStr">
        <is>
          <t>Yes</t>
        </is>
      </c>
      <c r="M195" s="7" t="inlineStr">
        <is>
          <t>Set the groundwork for a strong workout. We updated our versatile performance socks with intentional cushioning and enhanced breathability so you can move more comfortably.</t>
        </is>
      </c>
      <c r="N195" s="7" t="inlineStr">
        <is>
          <t>Unisex-Power-Stride-Tab-Socks</t>
        </is>
      </c>
      <c r="O195" s="7" t="inlineStr">
        <is>
          <t>Ankle Socks</t>
        </is>
      </c>
    </row>
    <row r="196" ht="80" customHeight="1">
      <c r="A196" s="4">
        <f>IMAGE("https://images.lululemon.com/is/image/lululemon/LU9CPQS_0001_1?wid=320&amp;op_usm=0.8",1)</f>
        <v/>
      </c>
      <c r="B196" s="4" t="inlineStr">
        <is>
          <t>Unisex Power Stride Tab Socks</t>
        </is>
      </c>
      <c r="C196" s="4" t="inlineStr">
        <is>
          <t>156701188</t>
        </is>
      </c>
      <c r="D196" s="4" t="inlineStr">
        <is>
          <t>156701188-black</t>
        </is>
      </c>
      <c r="E196" s="4" t="inlineStr">
        <is>
          <t>Power Stride Socks BLK S</t>
        </is>
      </c>
      <c r="F196" s="4" t="inlineStr">
        <is>
          <t>$14.00</t>
        </is>
      </c>
      <c r="G196" s="4" t="inlineStr">
        <is>
          <t>$7.00</t>
        </is>
      </c>
      <c r="H196" s="4" t="inlineStr">
        <is>
          <t>Black</t>
        </is>
      </c>
      <c r="I196" s="4">
        <f>IMAGE("https://images.lululemon.com/is/image/lululemon/0001",1)</f>
        <v/>
      </c>
      <c r="J196" s="4" t="inlineStr">
        <is>
          <t>M</t>
        </is>
      </c>
      <c r="K196" s="4" t="inlineStr">
        <is>
          <t>289/636</t>
        </is>
      </c>
      <c r="L196" s="4" t="inlineStr">
        <is>
          <t>Yes</t>
        </is>
      </c>
      <c r="M196" s="4" t="inlineStr">
        <is>
          <t>Set the groundwork for a strong workout. We updated our versatile performance socks with intentional cushioning and enhanced breathability so you can move more comfortably.</t>
        </is>
      </c>
      <c r="N196" s="4" t="inlineStr">
        <is>
          <t>Unisex-Power-Stride-Tab-Socks</t>
        </is>
      </c>
      <c r="O196" s="4" t="inlineStr">
        <is>
          <t>Ankle Socks</t>
        </is>
      </c>
    </row>
    <row r="197" ht="80" customHeight="1">
      <c r="A197" s="7">
        <f>IMAGE("https://images.lululemon.com/is/image/lululemon/LU9CPQS_0001_1?wid=320&amp;op_usm=0.8",1)</f>
        <v/>
      </c>
      <c r="B197" s="7" t="inlineStr">
        <is>
          <t>Unisex Power Stride Tab Socks</t>
        </is>
      </c>
      <c r="C197" s="7" t="inlineStr">
        <is>
          <t>156701187</t>
        </is>
      </c>
      <c r="D197" s="7" t="inlineStr">
        <is>
          <t>156701187-black</t>
        </is>
      </c>
      <c r="E197" s="7" t="inlineStr">
        <is>
          <t>Power Stride Socks BLK S</t>
        </is>
      </c>
      <c r="F197" s="7" t="inlineStr">
        <is>
          <t>$14.00</t>
        </is>
      </c>
      <c r="G197" s="7" t="inlineStr">
        <is>
          <t>$7.00</t>
        </is>
      </c>
      <c r="H197" s="7" t="inlineStr">
        <is>
          <t>Black</t>
        </is>
      </c>
      <c r="I197" s="7">
        <f>IMAGE("https://images.lululemon.com/is/image/lululemon/0001",1)</f>
        <v/>
      </c>
      <c r="J197" s="7" t="inlineStr">
        <is>
          <t>L</t>
        </is>
      </c>
      <c r="K197" s="7" t="inlineStr">
        <is>
          <t>193/636</t>
        </is>
      </c>
      <c r="L197" s="7" t="inlineStr">
        <is>
          <t>Yes</t>
        </is>
      </c>
      <c r="M197" s="7" t="inlineStr">
        <is>
          <t>Set the groundwork for a strong workout. We updated our versatile performance socks with intentional cushioning and enhanced breathability so you can move more comfortably.</t>
        </is>
      </c>
      <c r="N197" s="7" t="inlineStr">
        <is>
          <t>Unisex-Power-Stride-Tab-Socks</t>
        </is>
      </c>
      <c r="O197" s="7" t="inlineStr">
        <is>
          <t>Ankle Socks</t>
        </is>
      </c>
    </row>
    <row r="198" ht="80" customHeight="1">
      <c r="A198" s="6">
        <f>IMAGE("https://images.lululemon.com/is/image/lululemon/LU9CPQS_0001_1?wid=320&amp;op_usm=0.8",1)</f>
        <v/>
      </c>
      <c r="B198" s="6" t="inlineStr">
        <is>
          <t>Unisex Power Stride Tab Socks</t>
        </is>
      </c>
      <c r="C198" s="6" t="inlineStr">
        <is>
          <t>156701190</t>
        </is>
      </c>
      <c r="D198" s="6" t="inlineStr">
        <is>
          <t>156701190-black</t>
        </is>
      </c>
      <c r="E198" s="6" t="inlineStr">
        <is>
          <t>Power Stride Socks BLK S</t>
        </is>
      </c>
      <c r="F198" s="6" t="inlineStr">
        <is>
          <t>$14.00</t>
        </is>
      </c>
      <c r="G198" s="6" t="inlineStr">
        <is>
          <t>$7.00</t>
        </is>
      </c>
      <c r="H198" s="6" t="inlineStr">
        <is>
          <t>Black</t>
        </is>
      </c>
      <c r="I198" s="6">
        <f>IMAGE("https://images.lululemon.com/is/image/lululemon/0001",1)</f>
        <v/>
      </c>
      <c r="J198" s="6" t="inlineStr">
        <is>
          <t>XL</t>
        </is>
      </c>
      <c r="K198" s="6" t="inlineStr">
        <is>
          <t>10/636</t>
        </is>
      </c>
      <c r="L198" s="6" t="inlineStr">
        <is>
          <t>Yes</t>
        </is>
      </c>
      <c r="M198" s="6" t="inlineStr">
        <is>
          <t>Set the groundwork for a strong workout. We updated our versatile performance socks with intentional cushioning and enhanced breathability so you can move more comfortably.</t>
        </is>
      </c>
      <c r="N198" s="6" t="inlineStr">
        <is>
          <t>Unisex-Power-Stride-Tab-Socks</t>
        </is>
      </c>
      <c r="O198" s="6" t="inlineStr">
        <is>
          <t>Ankle Socks</t>
        </is>
      </c>
    </row>
    <row r="199" ht="80" customHeight="1">
      <c r="A199" s="7">
        <f>IMAGE("https://images.lululemon.com/is/image/lululemon/LM5AOBS_020111_1?wid=320&amp;op_usm=0.8",1)</f>
        <v/>
      </c>
      <c r="B199" s="7" t="inlineStr">
        <is>
          <t>Textured Double-Knit Cotton Jogger *Regular</t>
        </is>
      </c>
      <c r="C199" s="7" t="inlineStr">
        <is>
          <t>148301881</t>
        </is>
      </c>
      <c r="D199" s="7" t="inlineStr">
        <is>
          <t>148301881-heatheredtruenavy/black</t>
        </is>
      </c>
      <c r="E199" s="7" t="inlineStr">
        <is>
          <t>Textured Double-Knit Cotton Jogger *Reg HTTN/BLK S</t>
        </is>
      </c>
      <c r="F199" s="7" t="inlineStr">
        <is>
          <t>$128.00</t>
        </is>
      </c>
      <c r="G199" s="7" t="inlineStr">
        <is>
          <t>$64.00</t>
        </is>
      </c>
      <c r="H199" s="7" t="inlineStr">
        <is>
          <t>Heathered True Navy/Black</t>
        </is>
      </c>
      <c r="I199" s="7">
        <f>IMAGE("https://images.lululemon.com/is/image/lululemon/36170",1)</f>
        <v/>
      </c>
      <c r="J199" s="7" t="inlineStr">
        <is>
          <t>S</t>
        </is>
      </c>
      <c r="K199" s="7" t="inlineStr">
        <is>
          <t>27/406</t>
        </is>
      </c>
      <c r="L199" s="7" t="inlineStr">
        <is>
          <t>Yes</t>
        </is>
      </c>
      <c r="M199" s="7" t="inlineStr">
        <is>
          <t>From warm-up to wind-down, these textured, cotton-blend joggers deliver non-stop breathable comfort.</t>
        </is>
      </c>
      <c r="N199" s="7" t="inlineStr">
        <is>
          <t>Textured-Double-Knit-Cotton-Jogger</t>
        </is>
      </c>
      <c r="O199" s="7" t="inlineStr"/>
    </row>
    <row r="200" ht="80" customHeight="1">
      <c r="A200" s="4">
        <f>IMAGE("https://images.lululemon.com/is/image/lululemon/LM5AOBS_020111_1?wid=320&amp;op_usm=0.8",1)</f>
        <v/>
      </c>
      <c r="B200" s="4" t="inlineStr">
        <is>
          <t>Textured Double-Knit Cotton Jogger *Regular</t>
        </is>
      </c>
      <c r="C200" s="4" t="inlineStr">
        <is>
          <t>148301874</t>
        </is>
      </c>
      <c r="D200" s="4" t="inlineStr">
        <is>
          <t>148301874-heatheredtruenavy/black</t>
        </is>
      </c>
      <c r="E200" s="4" t="inlineStr">
        <is>
          <t>Textured Double-Knit Cotton Jogger *Reg HTTN/BLK S</t>
        </is>
      </c>
      <c r="F200" s="4" t="inlineStr">
        <is>
          <t>$128.00</t>
        </is>
      </c>
      <c r="G200" s="4" t="inlineStr">
        <is>
          <t>$64.00</t>
        </is>
      </c>
      <c r="H200" s="4" t="inlineStr">
        <is>
          <t>Heathered True Navy/Black</t>
        </is>
      </c>
      <c r="I200" s="4">
        <f>IMAGE("https://images.lululemon.com/is/image/lululemon/36170",1)</f>
        <v/>
      </c>
      <c r="J200" s="4" t="inlineStr">
        <is>
          <t>M</t>
        </is>
      </c>
      <c r="K200" s="4" t="inlineStr">
        <is>
          <t>40/406</t>
        </is>
      </c>
      <c r="L200" s="4" t="inlineStr">
        <is>
          <t>Yes</t>
        </is>
      </c>
      <c r="M200" s="4" t="inlineStr">
        <is>
          <t>From warm-up to wind-down, these textured, cotton-blend joggers deliver non-stop breathable comfort.</t>
        </is>
      </c>
      <c r="N200" s="4" t="inlineStr">
        <is>
          <t>Textured-Double-Knit-Cotton-Jogger</t>
        </is>
      </c>
      <c r="O200" s="4" t="inlineStr"/>
    </row>
    <row r="201" ht="80" customHeight="1">
      <c r="A201" s="7">
        <f>IMAGE("https://images.lululemon.com/is/image/lululemon/LM5AOBS_020111_1?wid=320&amp;op_usm=0.8",1)</f>
        <v/>
      </c>
      <c r="B201" s="7" t="inlineStr">
        <is>
          <t>Textured Double-Knit Cotton Jogger *Regular</t>
        </is>
      </c>
      <c r="C201" s="7" t="inlineStr">
        <is>
          <t>148301867</t>
        </is>
      </c>
      <c r="D201" s="7" t="inlineStr">
        <is>
          <t>148301867-heatheredtruenavy/black</t>
        </is>
      </c>
      <c r="E201" s="7" t="inlineStr">
        <is>
          <t>Textured Double-Knit Cotton Jogger *Reg HTTN/BLK S</t>
        </is>
      </c>
      <c r="F201" s="7" t="inlineStr">
        <is>
          <t>$128.00</t>
        </is>
      </c>
      <c r="G201" s="7" t="inlineStr">
        <is>
          <t>$64.00</t>
        </is>
      </c>
      <c r="H201" s="7" t="inlineStr">
        <is>
          <t>Heathered True Navy/Black</t>
        </is>
      </c>
      <c r="I201" s="7">
        <f>IMAGE("https://images.lululemon.com/is/image/lululemon/36170",1)</f>
        <v/>
      </c>
      <c r="J201" s="7" t="inlineStr">
        <is>
          <t>L</t>
        </is>
      </c>
      <c r="K201" s="7" t="inlineStr">
        <is>
          <t>62/406</t>
        </is>
      </c>
      <c r="L201" s="7" t="inlineStr">
        <is>
          <t>Yes</t>
        </is>
      </c>
      <c r="M201" s="7" t="inlineStr">
        <is>
          <t>From warm-up to wind-down, these textured, cotton-blend joggers deliver non-stop breathable comfort.</t>
        </is>
      </c>
      <c r="N201" s="7" t="inlineStr">
        <is>
          <t>Textured-Double-Knit-Cotton-Jogger</t>
        </is>
      </c>
      <c r="O201" s="7" t="inlineStr"/>
    </row>
    <row r="202" ht="80" customHeight="1">
      <c r="A202" s="4">
        <f>IMAGE("https://images.lululemon.com/is/image/lululemon/LM5AOBS_020111_1?wid=320&amp;op_usm=0.8",1)</f>
        <v/>
      </c>
      <c r="B202" s="4" t="inlineStr">
        <is>
          <t>Textured Double-Knit Cotton Jogger *Regular</t>
        </is>
      </c>
      <c r="C202" s="4" t="inlineStr">
        <is>
          <t>148301886</t>
        </is>
      </c>
      <c r="D202" s="4" t="inlineStr">
        <is>
          <t>148301886-heatheredtruenavy/black</t>
        </is>
      </c>
      <c r="E202" s="4" t="inlineStr">
        <is>
          <t>Textured Double-Knit Cotton Jogger *Reg HTTN/BLK S</t>
        </is>
      </c>
      <c r="F202" s="4" t="inlineStr">
        <is>
          <t>$128.00</t>
        </is>
      </c>
      <c r="G202" s="4" t="inlineStr">
        <is>
          <t>$64.00</t>
        </is>
      </c>
      <c r="H202" s="4" t="inlineStr">
        <is>
          <t>Heathered True Navy/Black</t>
        </is>
      </c>
      <c r="I202" s="4">
        <f>IMAGE("https://images.lululemon.com/is/image/lululemon/36170",1)</f>
        <v/>
      </c>
      <c r="J202" s="4" t="inlineStr">
        <is>
          <t>XL</t>
        </is>
      </c>
      <c r="K202" s="4" t="inlineStr">
        <is>
          <t>43/406</t>
        </is>
      </c>
      <c r="L202" s="4" t="inlineStr">
        <is>
          <t>Yes</t>
        </is>
      </c>
      <c r="M202" s="4" t="inlineStr">
        <is>
          <t>From warm-up to wind-down, these textured, cotton-blend joggers deliver non-stop breathable comfort.</t>
        </is>
      </c>
      <c r="N202" s="4" t="inlineStr">
        <is>
          <t>Textured-Double-Knit-Cotton-Jogger</t>
        </is>
      </c>
      <c r="O202" s="4" t="inlineStr"/>
    </row>
    <row r="203" ht="80" customHeight="1">
      <c r="A203" s="7">
        <f>IMAGE("https://images.lululemon.com/is/image/lululemon/LM5AOBS_020111_1?wid=320&amp;op_usm=0.8",1)</f>
        <v/>
      </c>
      <c r="B203" s="7" t="inlineStr">
        <is>
          <t>Textured Double-Knit Cotton Jogger *Regular</t>
        </is>
      </c>
      <c r="C203" s="7" t="inlineStr">
        <is>
          <t>148301898</t>
        </is>
      </c>
      <c r="D203" s="7" t="inlineStr">
        <is>
          <t>148301898-heatheredtruenavy/black</t>
        </is>
      </c>
      <c r="E203" s="7" t="inlineStr">
        <is>
          <t>Textured Double-Knit Cotton Jogger *Reg HTTN/BLK S</t>
        </is>
      </c>
      <c r="F203" s="7" t="inlineStr">
        <is>
          <t>$128.00</t>
        </is>
      </c>
      <c r="G203" s="7" t="inlineStr">
        <is>
          <t>$64.00</t>
        </is>
      </c>
      <c r="H203" s="7" t="inlineStr">
        <is>
          <t>Heathered True Navy/Black</t>
        </is>
      </c>
      <c r="I203" s="7">
        <f>IMAGE("https://images.lululemon.com/is/image/lululemon/36170",1)</f>
        <v/>
      </c>
      <c r="J203" s="7" t="inlineStr">
        <is>
          <t>XXL</t>
        </is>
      </c>
      <c r="K203" s="7" t="inlineStr">
        <is>
          <t>35/406</t>
        </is>
      </c>
      <c r="L203" s="7" t="inlineStr">
        <is>
          <t>Yes</t>
        </is>
      </c>
      <c r="M203" s="7" t="inlineStr">
        <is>
          <t>From warm-up to wind-down, these textured, cotton-blend joggers deliver non-stop breathable comfort.</t>
        </is>
      </c>
      <c r="N203" s="7" t="inlineStr">
        <is>
          <t>Textured-Double-Knit-Cotton-Jogger</t>
        </is>
      </c>
      <c r="O203" s="7" t="inlineStr"/>
    </row>
    <row r="204" ht="80" customHeight="1">
      <c r="A204" s="4">
        <f>IMAGE("https://images.lululemon.com/is/image/lululemon/LM5AOBS_020111_1?wid=320&amp;op_usm=0.8",1)</f>
        <v/>
      </c>
      <c r="B204" s="4" t="inlineStr">
        <is>
          <t>Textured Double-Knit Cotton Jogger *Regular</t>
        </is>
      </c>
      <c r="C204" s="4" t="inlineStr">
        <is>
          <t>148302125</t>
        </is>
      </c>
      <c r="D204" s="4" t="inlineStr">
        <is>
          <t>148302125-classicnavy</t>
        </is>
      </c>
      <c r="E204" s="4" t="inlineStr">
        <is>
          <t>Textured Double-Knit Cotton Jogger *Reg HTTN/BLK S</t>
        </is>
      </c>
      <c r="F204" s="4" t="inlineStr">
        <is>
          <t>$128.00</t>
        </is>
      </c>
      <c r="G204" s="4" t="inlineStr">
        <is>
          <t>$64.00</t>
        </is>
      </c>
      <c r="H204" s="4" t="inlineStr">
        <is>
          <t>Classic Navy</t>
        </is>
      </c>
      <c r="I204" s="4">
        <f>IMAGE("https://images.lululemon.com/is/image/lululemon/20111",1)</f>
        <v/>
      </c>
      <c r="J204" s="4" t="inlineStr">
        <is>
          <t>M</t>
        </is>
      </c>
      <c r="K204" s="4" t="inlineStr">
        <is>
          <t>9/406</t>
        </is>
      </c>
      <c r="L204" s="4" t="inlineStr">
        <is>
          <t>Yes</t>
        </is>
      </c>
      <c r="M204" s="4" t="inlineStr">
        <is>
          <t>From warm-up to wind-down, these textured, cotton-blend joggers deliver non-stop breathable comfort.</t>
        </is>
      </c>
      <c r="N204" s="4" t="inlineStr">
        <is>
          <t>Textured-Double-Knit-Cotton-Jogger</t>
        </is>
      </c>
      <c r="O204" s="4" t="inlineStr"/>
    </row>
    <row r="205" ht="80" customHeight="1">
      <c r="A205" s="7">
        <f>IMAGE("https://images.lululemon.com/is/image/lululemon/LM5AOBS_020111_1?wid=320&amp;op_usm=0.8",1)</f>
        <v/>
      </c>
      <c r="B205" s="7" t="inlineStr">
        <is>
          <t>Textured Double-Knit Cotton Jogger *Regular</t>
        </is>
      </c>
      <c r="C205" s="7" t="inlineStr">
        <is>
          <t>148302119</t>
        </is>
      </c>
      <c r="D205" s="7" t="inlineStr">
        <is>
          <t>148302119-classicnavy</t>
        </is>
      </c>
      <c r="E205" s="7" t="inlineStr">
        <is>
          <t>Textured Double-Knit Cotton Jogger *Reg HTTN/BLK S</t>
        </is>
      </c>
      <c r="F205" s="7" t="inlineStr">
        <is>
          <t>$128.00</t>
        </is>
      </c>
      <c r="G205" s="7" t="inlineStr">
        <is>
          <t>$64.00</t>
        </is>
      </c>
      <c r="H205" s="7" t="inlineStr">
        <is>
          <t>Classic Navy</t>
        </is>
      </c>
      <c r="I205" s="7">
        <f>IMAGE("https://images.lululemon.com/is/image/lululemon/20111",1)</f>
        <v/>
      </c>
      <c r="J205" s="7" t="inlineStr">
        <is>
          <t>L</t>
        </is>
      </c>
      <c r="K205" s="7" t="inlineStr">
        <is>
          <t>99/406</t>
        </is>
      </c>
      <c r="L205" s="7" t="inlineStr">
        <is>
          <t>Yes</t>
        </is>
      </c>
      <c r="M205" s="7" t="inlineStr">
        <is>
          <t>From warm-up to wind-down, these textured, cotton-blend joggers deliver non-stop breathable comfort.</t>
        </is>
      </c>
      <c r="N205" s="7" t="inlineStr">
        <is>
          <t>Textured-Double-Knit-Cotton-Jogger</t>
        </is>
      </c>
      <c r="O205" s="7" t="inlineStr"/>
    </row>
    <row r="206" ht="80" customHeight="1">
      <c r="A206" s="4">
        <f>IMAGE("https://images.lululemon.com/is/image/lululemon/LM5AOBS_020111_1?wid=320&amp;op_usm=0.8",1)</f>
        <v/>
      </c>
      <c r="B206" s="4" t="inlineStr">
        <is>
          <t>Textured Double-Knit Cotton Jogger *Regular</t>
        </is>
      </c>
      <c r="C206" s="4" t="inlineStr">
        <is>
          <t>148302132</t>
        </is>
      </c>
      <c r="D206" s="4" t="inlineStr">
        <is>
          <t>148302132-classicnavy</t>
        </is>
      </c>
      <c r="E206" s="4" t="inlineStr">
        <is>
          <t>Textured Double-Knit Cotton Jogger *Reg HTTN/BLK S</t>
        </is>
      </c>
      <c r="F206" s="4" t="inlineStr">
        <is>
          <t>$128.00</t>
        </is>
      </c>
      <c r="G206" s="4" t="inlineStr">
        <is>
          <t>$64.00</t>
        </is>
      </c>
      <c r="H206" s="4" t="inlineStr">
        <is>
          <t>Classic Navy</t>
        </is>
      </c>
      <c r="I206" s="4">
        <f>IMAGE("https://images.lululemon.com/is/image/lululemon/20111",1)</f>
        <v/>
      </c>
      <c r="J206" s="4" t="inlineStr">
        <is>
          <t>XL</t>
        </is>
      </c>
      <c r="K206" s="4" t="inlineStr">
        <is>
          <t>53/406</t>
        </is>
      </c>
      <c r="L206" s="4" t="inlineStr">
        <is>
          <t>Yes</t>
        </is>
      </c>
      <c r="M206" s="4" t="inlineStr">
        <is>
          <t>From warm-up to wind-down, these textured, cotton-blend joggers deliver non-stop breathable comfort.</t>
        </is>
      </c>
      <c r="N206" s="4" t="inlineStr">
        <is>
          <t>Textured-Double-Knit-Cotton-Jogger</t>
        </is>
      </c>
      <c r="O206" s="4" t="inlineStr"/>
    </row>
    <row r="207" ht="80" customHeight="1">
      <c r="A207" s="5">
        <f>IMAGE("https://images.lululemon.com/is/image/lululemon/LM5AOBS_020111_1?wid=320&amp;op_usm=0.8",1)</f>
        <v/>
      </c>
      <c r="B207" s="5" t="inlineStr">
        <is>
          <t>Textured Double-Knit Cotton Jogger *Regular</t>
        </is>
      </c>
      <c r="C207" s="5" t="inlineStr">
        <is>
          <t>148302145</t>
        </is>
      </c>
      <c r="D207" s="5" t="inlineStr">
        <is>
          <t>148302145-classicnavy</t>
        </is>
      </c>
      <c r="E207" s="5" t="inlineStr">
        <is>
          <t>Textured Double-Knit Cotton Jogger *Reg HTTN/BLK S</t>
        </is>
      </c>
      <c r="F207" s="5" t="inlineStr">
        <is>
          <t>$128.00</t>
        </is>
      </c>
      <c r="G207" s="5" t="inlineStr">
        <is>
          <t>$64.00</t>
        </is>
      </c>
      <c r="H207" s="5" t="inlineStr">
        <is>
          <t>Classic Navy</t>
        </is>
      </c>
      <c r="I207" s="5">
        <f>IMAGE("https://images.lululemon.com/is/image/lululemon/20111",1)</f>
        <v/>
      </c>
      <c r="J207" s="5" t="inlineStr">
        <is>
          <t>XXL</t>
        </is>
      </c>
      <c r="K207" s="5" t="inlineStr">
        <is>
          <t>38/406</t>
        </is>
      </c>
      <c r="L207" s="5" t="inlineStr">
        <is>
          <t>Yes</t>
        </is>
      </c>
      <c r="M207" s="5" t="inlineStr">
        <is>
          <t>From warm-up to wind-down, these textured, cotton-blend joggers deliver non-stop breathable comfort.</t>
        </is>
      </c>
      <c r="N207" s="5" t="inlineStr">
        <is>
          <t>Textured-Double-Knit-Cotton-Jogger</t>
        </is>
      </c>
      <c r="O207" s="5" t="inlineStr"/>
    </row>
    <row r="208" ht="80" customHeight="1">
      <c r="A208" s="4">
        <f>IMAGE("https://images.lululemon.com/is/image/lululemon/LM3FDUS_0001_1?wid=320&amp;op_usm=0.8",1)</f>
        <v/>
      </c>
      <c r="B208" s="4" t="inlineStr">
        <is>
          <t>Smooth Spacer Classic-Fit Crew</t>
        </is>
      </c>
      <c r="C208" s="4" t="inlineStr">
        <is>
          <t>151655099</t>
        </is>
      </c>
      <c r="D208" s="4" t="inlineStr">
        <is>
          <t>151655099-black</t>
        </is>
      </c>
      <c r="E208" s="4" t="inlineStr">
        <is>
          <t>Smooth Spacer Crew BLK S</t>
        </is>
      </c>
      <c r="F208" s="4" t="inlineStr">
        <is>
          <t>$128.00</t>
        </is>
      </c>
      <c r="G208" s="4" t="inlineStr">
        <is>
          <t>$64.00</t>
        </is>
      </c>
      <c r="H208" s="4" t="inlineStr">
        <is>
          <t>Black</t>
        </is>
      </c>
      <c r="I208" s="4">
        <f>IMAGE("https://images.lululemon.com/is/image/lululemon/0001",1)</f>
        <v/>
      </c>
      <c r="J208" s="4" t="inlineStr">
        <is>
          <t>S</t>
        </is>
      </c>
      <c r="K208" s="4" t="inlineStr">
        <is>
          <t>16/804</t>
        </is>
      </c>
      <c r="L208" s="4" t="inlineStr">
        <is>
          <t>Yes</t>
        </is>
      </c>
      <c r="M208" s="4" t="inlineStr">
        <is>
          <t>Instant recovery mode. Fast-drying fabric on this crew is soft on the outside and sleek next to skin for that perfect cool-down feeling.</t>
        </is>
      </c>
      <c r="N208" s="4" t="inlineStr">
        <is>
          <t>Smooth-Spacer-Classic-Fit-Crew</t>
        </is>
      </c>
      <c r="O208" s="4" t="inlineStr">
        <is>
          <t>Crewneck Sweatshirts</t>
        </is>
      </c>
    </row>
    <row r="209" ht="80" customHeight="1">
      <c r="A209" s="7">
        <f>IMAGE("https://images.lululemon.com/is/image/lululemon/LM3FDUS_0001_1?wid=320&amp;op_usm=0.8",1)</f>
        <v/>
      </c>
      <c r="B209" s="7" t="inlineStr">
        <is>
          <t>Smooth Spacer Classic-Fit Crew</t>
        </is>
      </c>
      <c r="C209" s="7" t="inlineStr">
        <is>
          <t>151655093</t>
        </is>
      </c>
      <c r="D209" s="7" t="inlineStr">
        <is>
          <t>151655093-black</t>
        </is>
      </c>
      <c r="E209" s="7" t="inlineStr">
        <is>
          <t>Smooth Spacer Crew BLK S</t>
        </is>
      </c>
      <c r="F209" s="7" t="inlineStr">
        <is>
          <t>$128.00</t>
        </is>
      </c>
      <c r="G209" s="7" t="inlineStr">
        <is>
          <t>$64.00</t>
        </is>
      </c>
      <c r="H209" s="7" t="inlineStr">
        <is>
          <t>Black</t>
        </is>
      </c>
      <c r="I209" s="7">
        <f>IMAGE("https://images.lululemon.com/is/image/lululemon/0001",1)</f>
        <v/>
      </c>
      <c r="J209" s="7" t="inlineStr">
        <is>
          <t>M</t>
        </is>
      </c>
      <c r="K209" s="7" t="inlineStr">
        <is>
          <t>36/804</t>
        </is>
      </c>
      <c r="L209" s="7" t="inlineStr">
        <is>
          <t>Yes</t>
        </is>
      </c>
      <c r="M209" s="7" t="inlineStr">
        <is>
          <t>Instant recovery mode. Fast-drying fabric on this crew is soft on the outside and sleek next to skin for that perfect cool-down feeling.</t>
        </is>
      </c>
      <c r="N209" s="7" t="inlineStr">
        <is>
          <t>Smooth-Spacer-Classic-Fit-Crew</t>
        </is>
      </c>
      <c r="O209" s="7" t="inlineStr">
        <is>
          <t>Crewneck Sweatshirts</t>
        </is>
      </c>
    </row>
    <row r="210" ht="80" customHeight="1">
      <c r="A210" s="4">
        <f>IMAGE("https://images.lululemon.com/is/image/lululemon/LM3FDUS_0001_1?wid=320&amp;op_usm=0.8",1)</f>
        <v/>
      </c>
      <c r="B210" s="4" t="inlineStr">
        <is>
          <t>Smooth Spacer Classic-Fit Crew</t>
        </is>
      </c>
      <c r="C210" s="4" t="inlineStr">
        <is>
          <t>151655091</t>
        </is>
      </c>
      <c r="D210" s="4" t="inlineStr">
        <is>
          <t>151655091-black</t>
        </is>
      </c>
      <c r="E210" s="4" t="inlineStr">
        <is>
          <t>Smooth Spacer Crew BLK S</t>
        </is>
      </c>
      <c r="F210" s="4" t="inlineStr">
        <is>
          <t>$128.00</t>
        </is>
      </c>
      <c r="G210" s="4" t="inlineStr">
        <is>
          <t>$64.00</t>
        </is>
      </c>
      <c r="H210" s="4" t="inlineStr">
        <is>
          <t>Black</t>
        </is>
      </c>
      <c r="I210" s="4">
        <f>IMAGE("https://images.lululemon.com/is/image/lululemon/0001",1)</f>
        <v/>
      </c>
      <c r="J210" s="4" t="inlineStr">
        <is>
          <t>L</t>
        </is>
      </c>
      <c r="K210" s="4" t="inlineStr">
        <is>
          <t>41/804</t>
        </is>
      </c>
      <c r="L210" s="4" t="inlineStr">
        <is>
          <t>Yes</t>
        </is>
      </c>
      <c r="M210" s="4" t="inlineStr">
        <is>
          <t>Instant recovery mode. Fast-drying fabric on this crew is soft on the outside and sleek next to skin for that perfect cool-down feeling.</t>
        </is>
      </c>
      <c r="N210" s="4" t="inlineStr">
        <is>
          <t>Smooth-Spacer-Classic-Fit-Crew</t>
        </is>
      </c>
      <c r="O210" s="4" t="inlineStr">
        <is>
          <t>Crewneck Sweatshirts</t>
        </is>
      </c>
    </row>
    <row r="211" ht="80" customHeight="1">
      <c r="A211" s="7">
        <f>IMAGE("https://images.lululemon.com/is/image/lululemon/LM3FDUS_0001_1?wid=320&amp;op_usm=0.8",1)</f>
        <v/>
      </c>
      <c r="B211" s="7" t="inlineStr">
        <is>
          <t>Smooth Spacer Classic-Fit Crew</t>
        </is>
      </c>
      <c r="C211" s="7" t="inlineStr">
        <is>
          <t>151655100</t>
        </is>
      </c>
      <c r="D211" s="7" t="inlineStr">
        <is>
          <t>151655100-black</t>
        </is>
      </c>
      <c r="E211" s="7" t="inlineStr">
        <is>
          <t>Smooth Spacer Crew BLK S</t>
        </is>
      </c>
      <c r="F211" s="7" t="inlineStr">
        <is>
          <t>$128.00</t>
        </is>
      </c>
      <c r="G211" s="7" t="inlineStr">
        <is>
          <t>$64.00</t>
        </is>
      </c>
      <c r="H211" s="7" t="inlineStr">
        <is>
          <t>Black</t>
        </is>
      </c>
      <c r="I211" s="7">
        <f>IMAGE("https://images.lululemon.com/is/image/lululemon/0001",1)</f>
        <v/>
      </c>
      <c r="J211" s="7" t="inlineStr">
        <is>
          <t>XL</t>
        </is>
      </c>
      <c r="K211" s="7" t="inlineStr">
        <is>
          <t>34/804</t>
        </is>
      </c>
      <c r="L211" s="7" t="inlineStr">
        <is>
          <t>Yes</t>
        </is>
      </c>
      <c r="M211" s="7" t="inlineStr">
        <is>
          <t>Instant recovery mode. Fast-drying fabric on this crew is soft on the outside and sleek next to skin for that perfect cool-down feeling.</t>
        </is>
      </c>
      <c r="N211" s="7" t="inlineStr">
        <is>
          <t>Smooth-Spacer-Classic-Fit-Crew</t>
        </is>
      </c>
      <c r="O211" s="7" t="inlineStr">
        <is>
          <t>Crewneck Sweatshirts</t>
        </is>
      </c>
    </row>
    <row r="212" ht="80" customHeight="1">
      <c r="A212" s="4">
        <f>IMAGE("https://images.lululemon.com/is/image/lululemon/LM3FDUS_0001_1?wid=320&amp;op_usm=0.8",1)</f>
        <v/>
      </c>
      <c r="B212" s="4" t="inlineStr">
        <is>
          <t>Smooth Spacer Classic-Fit Crew</t>
        </is>
      </c>
      <c r="C212" s="4" t="inlineStr">
        <is>
          <t>151655108</t>
        </is>
      </c>
      <c r="D212" s="4" t="inlineStr">
        <is>
          <t>151655108-black</t>
        </is>
      </c>
      <c r="E212" s="4" t="inlineStr">
        <is>
          <t>Smooth Spacer Crew BLK S</t>
        </is>
      </c>
      <c r="F212" s="4" t="inlineStr">
        <is>
          <t>$128.00</t>
        </is>
      </c>
      <c r="G212" s="4" t="inlineStr">
        <is>
          <t>$64.00</t>
        </is>
      </c>
      <c r="H212" s="4" t="inlineStr">
        <is>
          <t>Black</t>
        </is>
      </c>
      <c r="I212" s="4">
        <f>IMAGE("https://images.lululemon.com/is/image/lululemon/0001",1)</f>
        <v/>
      </c>
      <c r="J212" s="4" t="inlineStr">
        <is>
          <t>XXL</t>
        </is>
      </c>
      <c r="K212" s="4" t="inlineStr">
        <is>
          <t>15/804</t>
        </is>
      </c>
      <c r="L212" s="4" t="inlineStr">
        <is>
          <t>Yes</t>
        </is>
      </c>
      <c r="M212" s="4" t="inlineStr">
        <is>
          <t>Instant recovery mode. Fast-drying fabric on this crew is soft on the outside and sleek next to skin for that perfect cool-down feeling.</t>
        </is>
      </c>
      <c r="N212" s="4" t="inlineStr">
        <is>
          <t>Smooth-Spacer-Classic-Fit-Crew</t>
        </is>
      </c>
      <c r="O212" s="4" t="inlineStr">
        <is>
          <t>Crewneck Sweatshirts</t>
        </is>
      </c>
    </row>
    <row r="213" ht="80" customHeight="1">
      <c r="A213" s="7">
        <f>IMAGE("https://images.lululemon.com/is/image/lululemon/LM3FDUS_0001_1?wid=320&amp;op_usm=0.8",1)</f>
        <v/>
      </c>
      <c r="B213" s="7" t="inlineStr">
        <is>
          <t>Smooth Spacer Classic-Fit Crew</t>
        </is>
      </c>
      <c r="C213" s="7" t="inlineStr">
        <is>
          <t>151654800</t>
        </is>
      </c>
      <c r="D213" s="7" t="inlineStr">
        <is>
          <t>151654800-heatheredcoreultralightgrey</t>
        </is>
      </c>
      <c r="E213" s="7" t="inlineStr">
        <is>
          <t>Smooth Spacer Crew BLK S</t>
        </is>
      </c>
      <c r="F213" s="7" t="inlineStr">
        <is>
          <t>$128.00</t>
        </is>
      </c>
      <c r="G213" s="7" t="inlineStr">
        <is>
          <t>$64.00</t>
        </is>
      </c>
      <c r="H213" s="7" t="inlineStr">
        <is>
          <t>Heathered Core Ultra Light Grey</t>
        </is>
      </c>
      <c r="I213" s="7">
        <f>IMAGE("https://images.lululemon.com/is/image/lululemon/32493",1)</f>
        <v/>
      </c>
      <c r="J213" s="7" t="inlineStr">
        <is>
          <t>S</t>
        </is>
      </c>
      <c r="K213" s="7" t="inlineStr">
        <is>
          <t>32/804</t>
        </is>
      </c>
      <c r="L213" s="7" t="inlineStr">
        <is>
          <t>Yes</t>
        </is>
      </c>
      <c r="M213" s="7" t="inlineStr">
        <is>
          <t>Instant recovery mode. Fast-drying fabric on this crew is soft on the outside and sleek next to skin for that perfect cool-down feeling.</t>
        </is>
      </c>
      <c r="N213" s="7" t="inlineStr">
        <is>
          <t>Smooth-Spacer-Classic-Fit-Crew</t>
        </is>
      </c>
      <c r="O213" s="7" t="inlineStr">
        <is>
          <t>Crewneck Sweatshirts</t>
        </is>
      </c>
    </row>
    <row r="214" ht="80" customHeight="1">
      <c r="A214" s="4">
        <f>IMAGE("https://images.lululemon.com/is/image/lululemon/LM3FDUS_0001_1?wid=320&amp;op_usm=0.8",1)</f>
        <v/>
      </c>
      <c r="B214" s="4" t="inlineStr">
        <is>
          <t>Smooth Spacer Classic-Fit Crew</t>
        </is>
      </c>
      <c r="C214" s="4" t="inlineStr">
        <is>
          <t>151654794</t>
        </is>
      </c>
      <c r="D214" s="4" t="inlineStr">
        <is>
          <t>151654794-heatheredcoreultralightgrey</t>
        </is>
      </c>
      <c r="E214" s="4" t="inlineStr">
        <is>
          <t>Smooth Spacer Crew BLK S</t>
        </is>
      </c>
      <c r="F214" s="4" t="inlineStr">
        <is>
          <t>$128.00</t>
        </is>
      </c>
      <c r="G214" s="4" t="inlineStr">
        <is>
          <t>$64.00</t>
        </is>
      </c>
      <c r="H214" s="4" t="inlineStr">
        <is>
          <t>Heathered Core Ultra Light Grey</t>
        </is>
      </c>
      <c r="I214" s="4">
        <f>IMAGE("https://images.lululemon.com/is/image/lululemon/32493",1)</f>
        <v/>
      </c>
      <c r="J214" s="4" t="inlineStr">
        <is>
          <t>M</t>
        </is>
      </c>
      <c r="K214" s="4" t="inlineStr">
        <is>
          <t>64/804</t>
        </is>
      </c>
      <c r="L214" s="4" t="inlineStr">
        <is>
          <t>Yes</t>
        </is>
      </c>
      <c r="M214" s="4" t="inlineStr">
        <is>
          <t>Instant recovery mode. Fast-drying fabric on this crew is soft on the outside and sleek next to skin for that perfect cool-down feeling.</t>
        </is>
      </c>
      <c r="N214" s="4" t="inlineStr">
        <is>
          <t>Smooth-Spacer-Classic-Fit-Crew</t>
        </is>
      </c>
      <c r="O214" s="4" t="inlineStr">
        <is>
          <t>Crewneck Sweatshirts</t>
        </is>
      </c>
    </row>
    <row r="215" ht="80" customHeight="1">
      <c r="A215" s="7">
        <f>IMAGE("https://images.lululemon.com/is/image/lululemon/LM3FDUS_0001_1?wid=320&amp;op_usm=0.8",1)</f>
        <v/>
      </c>
      <c r="B215" s="7" t="inlineStr">
        <is>
          <t>Smooth Spacer Classic-Fit Crew</t>
        </is>
      </c>
      <c r="C215" s="7" t="inlineStr">
        <is>
          <t>151654788</t>
        </is>
      </c>
      <c r="D215" s="7" t="inlineStr">
        <is>
          <t>151654788-heatheredcoreultralightgrey</t>
        </is>
      </c>
      <c r="E215" s="7" t="inlineStr">
        <is>
          <t>Smooth Spacer Crew BLK S</t>
        </is>
      </c>
      <c r="F215" s="7" t="inlineStr">
        <is>
          <t>$128.00</t>
        </is>
      </c>
      <c r="G215" s="7" t="inlineStr">
        <is>
          <t>$64.00</t>
        </is>
      </c>
      <c r="H215" s="7" t="inlineStr">
        <is>
          <t>Heathered Core Ultra Light Grey</t>
        </is>
      </c>
      <c r="I215" s="7">
        <f>IMAGE("https://images.lululemon.com/is/image/lululemon/32493",1)</f>
        <v/>
      </c>
      <c r="J215" s="7" t="inlineStr">
        <is>
          <t>L</t>
        </is>
      </c>
      <c r="K215" s="7" t="inlineStr">
        <is>
          <t>76/804</t>
        </is>
      </c>
      <c r="L215" s="7" t="inlineStr">
        <is>
          <t>Yes</t>
        </is>
      </c>
      <c r="M215" s="7" t="inlineStr">
        <is>
          <t>Instant recovery mode. Fast-drying fabric on this crew is soft on the outside and sleek next to skin for that perfect cool-down feeling.</t>
        </is>
      </c>
      <c r="N215" s="7" t="inlineStr">
        <is>
          <t>Smooth-Spacer-Classic-Fit-Crew</t>
        </is>
      </c>
      <c r="O215" s="7" t="inlineStr">
        <is>
          <t>Crewneck Sweatshirts</t>
        </is>
      </c>
    </row>
    <row r="216" ht="80" customHeight="1">
      <c r="A216" s="4">
        <f>IMAGE("https://images.lululemon.com/is/image/lululemon/LM3FDUS_0001_1?wid=320&amp;op_usm=0.8",1)</f>
        <v/>
      </c>
      <c r="B216" s="4" t="inlineStr">
        <is>
          <t>Smooth Spacer Classic-Fit Crew</t>
        </is>
      </c>
      <c r="C216" s="4" t="inlineStr">
        <is>
          <t>151654805</t>
        </is>
      </c>
      <c r="D216" s="4" t="inlineStr">
        <is>
          <t>151654805-heatheredcoreultralightgrey</t>
        </is>
      </c>
      <c r="E216" s="4" t="inlineStr">
        <is>
          <t>Smooth Spacer Crew BLK S</t>
        </is>
      </c>
      <c r="F216" s="4" t="inlineStr">
        <is>
          <t>$128.00</t>
        </is>
      </c>
      <c r="G216" s="4" t="inlineStr">
        <is>
          <t>$64.00</t>
        </is>
      </c>
      <c r="H216" s="4" t="inlineStr">
        <is>
          <t>Heathered Core Ultra Light Grey</t>
        </is>
      </c>
      <c r="I216" s="4">
        <f>IMAGE("https://images.lululemon.com/is/image/lululemon/32493",1)</f>
        <v/>
      </c>
      <c r="J216" s="4" t="inlineStr">
        <is>
          <t>XL</t>
        </is>
      </c>
      <c r="K216" s="4" t="inlineStr">
        <is>
          <t>62/804</t>
        </is>
      </c>
      <c r="L216" s="4" t="inlineStr">
        <is>
          <t>Yes</t>
        </is>
      </c>
      <c r="M216" s="4" t="inlineStr">
        <is>
          <t>Instant recovery mode. Fast-drying fabric on this crew is soft on the outside and sleek next to skin for that perfect cool-down feeling.</t>
        </is>
      </c>
      <c r="N216" s="4" t="inlineStr">
        <is>
          <t>Smooth-Spacer-Classic-Fit-Crew</t>
        </is>
      </c>
      <c r="O216" s="4" t="inlineStr">
        <is>
          <t>Crewneck Sweatshirts</t>
        </is>
      </c>
    </row>
    <row r="217" ht="80" customHeight="1">
      <c r="A217" s="7">
        <f>IMAGE("https://images.lululemon.com/is/image/lululemon/LM3FDUS_0001_1?wid=320&amp;op_usm=0.8",1)</f>
        <v/>
      </c>
      <c r="B217" s="7" t="inlineStr">
        <is>
          <t>Smooth Spacer Classic-Fit Crew</t>
        </is>
      </c>
      <c r="C217" s="7" t="inlineStr">
        <is>
          <t>151654817</t>
        </is>
      </c>
      <c r="D217" s="7" t="inlineStr">
        <is>
          <t>151654817-heatheredcoreultralightgrey</t>
        </is>
      </c>
      <c r="E217" s="7" t="inlineStr">
        <is>
          <t>Smooth Spacer Crew BLK S</t>
        </is>
      </c>
      <c r="F217" s="7" t="inlineStr">
        <is>
          <t>$128.00</t>
        </is>
      </c>
      <c r="G217" s="7" t="inlineStr">
        <is>
          <t>$64.00</t>
        </is>
      </c>
      <c r="H217" s="7" t="inlineStr">
        <is>
          <t>Heathered Core Ultra Light Grey</t>
        </is>
      </c>
      <c r="I217" s="7">
        <f>IMAGE("https://images.lululemon.com/is/image/lululemon/32493",1)</f>
        <v/>
      </c>
      <c r="J217" s="7" t="inlineStr">
        <is>
          <t>XXL</t>
        </is>
      </c>
      <c r="K217" s="7" t="inlineStr">
        <is>
          <t>28/804</t>
        </is>
      </c>
      <c r="L217" s="7" t="inlineStr">
        <is>
          <t>Yes</t>
        </is>
      </c>
      <c r="M217" s="7" t="inlineStr">
        <is>
          <t>Instant recovery mode. Fast-drying fabric on this crew is soft on the outside and sleek next to skin for that perfect cool-down feeling.</t>
        </is>
      </c>
      <c r="N217" s="7" t="inlineStr">
        <is>
          <t>Smooth-Spacer-Classic-Fit-Crew</t>
        </is>
      </c>
      <c r="O217" s="7" t="inlineStr">
        <is>
          <t>Crewneck Sweatshirts</t>
        </is>
      </c>
    </row>
    <row r="218" ht="80" customHeight="1">
      <c r="A218" s="4">
        <f>IMAGE("https://images.lululemon.com/is/image/lululemon/LM3FDUS_0001_1?wid=320&amp;op_usm=0.8",1)</f>
        <v/>
      </c>
      <c r="B218" s="4" t="inlineStr">
        <is>
          <t>Smooth Spacer Classic-Fit Crew</t>
        </is>
      </c>
      <c r="C218" s="4" t="inlineStr">
        <is>
          <t>157676517</t>
        </is>
      </c>
      <c r="D218" s="4" t="inlineStr">
        <is>
          <t>157676517-warmashgrey</t>
        </is>
      </c>
      <c r="E218" s="4" t="inlineStr">
        <is>
          <t>Smooth Spacer Crew BLK S</t>
        </is>
      </c>
      <c r="F218" s="4" t="inlineStr">
        <is>
          <t>$128.00</t>
        </is>
      </c>
      <c r="G218" s="4" t="inlineStr">
        <is>
          <t>$64.00</t>
        </is>
      </c>
      <c r="H218" s="4" t="inlineStr">
        <is>
          <t>Warm Ash Grey</t>
        </is>
      </c>
      <c r="I218" s="4">
        <f>IMAGE("https://images.lululemon.com/is/image/lululemon/70108",1)</f>
        <v/>
      </c>
      <c r="J218" s="4" t="inlineStr">
        <is>
          <t>S</t>
        </is>
      </c>
      <c r="K218" s="4" t="inlineStr">
        <is>
          <t>29/804</t>
        </is>
      </c>
      <c r="L218" s="4" t="inlineStr">
        <is>
          <t>Yes</t>
        </is>
      </c>
      <c r="M218" s="4" t="inlineStr">
        <is>
          <t>Instant recovery mode. Fast-drying fabric on this crew is soft on the outside and sleek next to skin for that perfect cool-down feeling.</t>
        </is>
      </c>
      <c r="N218" s="4" t="inlineStr">
        <is>
          <t>Smooth-Spacer-Classic-Fit-Crew</t>
        </is>
      </c>
      <c r="O218" s="4" t="inlineStr">
        <is>
          <t>Crewneck Sweatshirts</t>
        </is>
      </c>
    </row>
    <row r="219" ht="80" customHeight="1">
      <c r="A219" s="7">
        <f>IMAGE("https://images.lululemon.com/is/image/lululemon/LM3FDUS_0001_1?wid=320&amp;op_usm=0.8",1)</f>
        <v/>
      </c>
      <c r="B219" s="7" t="inlineStr">
        <is>
          <t>Smooth Spacer Classic-Fit Crew</t>
        </is>
      </c>
      <c r="C219" s="7" t="inlineStr">
        <is>
          <t>157676507</t>
        </is>
      </c>
      <c r="D219" s="7" t="inlineStr">
        <is>
          <t>157676507-warmashgrey</t>
        </is>
      </c>
      <c r="E219" s="7" t="inlineStr">
        <is>
          <t>Smooth Spacer Crew BLK S</t>
        </is>
      </c>
      <c r="F219" s="7" t="inlineStr">
        <is>
          <t>$128.00</t>
        </is>
      </c>
      <c r="G219" s="7" t="inlineStr">
        <is>
          <t>$64.00</t>
        </is>
      </c>
      <c r="H219" s="7" t="inlineStr">
        <is>
          <t>Warm Ash Grey</t>
        </is>
      </c>
      <c r="I219" s="7">
        <f>IMAGE("https://images.lululemon.com/is/image/lululemon/70108",1)</f>
        <v/>
      </c>
      <c r="J219" s="7" t="inlineStr">
        <is>
          <t>M</t>
        </is>
      </c>
      <c r="K219" s="7" t="inlineStr">
        <is>
          <t>100/804</t>
        </is>
      </c>
      <c r="L219" s="7" t="inlineStr">
        <is>
          <t>Yes</t>
        </is>
      </c>
      <c r="M219" s="7" t="inlineStr">
        <is>
          <t>Instant recovery mode. Fast-drying fabric on this crew is soft on the outside and sleek next to skin for that perfect cool-down feeling.</t>
        </is>
      </c>
      <c r="N219" s="7" t="inlineStr">
        <is>
          <t>Smooth-Spacer-Classic-Fit-Crew</t>
        </is>
      </c>
      <c r="O219" s="7" t="inlineStr">
        <is>
          <t>Crewneck Sweatshirts</t>
        </is>
      </c>
    </row>
    <row r="220" ht="80" customHeight="1">
      <c r="A220" s="4">
        <f>IMAGE("https://images.lululemon.com/is/image/lululemon/LM3FDUS_0001_1?wid=320&amp;op_usm=0.8",1)</f>
        <v/>
      </c>
      <c r="B220" s="4" t="inlineStr">
        <is>
          <t>Smooth Spacer Classic-Fit Crew</t>
        </is>
      </c>
      <c r="C220" s="4" t="inlineStr">
        <is>
          <t>157676494</t>
        </is>
      </c>
      <c r="D220" s="4" t="inlineStr">
        <is>
          <t>157676494-warmashgrey</t>
        </is>
      </c>
      <c r="E220" s="4" t="inlineStr">
        <is>
          <t>Smooth Spacer Crew BLK S</t>
        </is>
      </c>
      <c r="F220" s="4" t="inlineStr">
        <is>
          <t>$128.00</t>
        </is>
      </c>
      <c r="G220" s="4" t="inlineStr">
        <is>
          <t>$64.00</t>
        </is>
      </c>
      <c r="H220" s="4" t="inlineStr">
        <is>
          <t>Warm Ash Grey</t>
        </is>
      </c>
      <c r="I220" s="4">
        <f>IMAGE("https://images.lululemon.com/is/image/lululemon/70108",1)</f>
        <v/>
      </c>
      <c r="J220" s="4" t="inlineStr">
        <is>
          <t>L</t>
        </is>
      </c>
      <c r="K220" s="4" t="inlineStr">
        <is>
          <t>140/804</t>
        </is>
      </c>
      <c r="L220" s="4" t="inlineStr">
        <is>
          <t>Yes</t>
        </is>
      </c>
      <c r="M220" s="4" t="inlineStr">
        <is>
          <t>Instant recovery mode. Fast-drying fabric on this crew is soft on the outside and sleek next to skin for that perfect cool-down feeling.</t>
        </is>
      </c>
      <c r="N220" s="4" t="inlineStr">
        <is>
          <t>Smooth-Spacer-Classic-Fit-Crew</t>
        </is>
      </c>
      <c r="O220" s="4" t="inlineStr">
        <is>
          <t>Crewneck Sweatshirts</t>
        </is>
      </c>
    </row>
    <row r="221" ht="80" customHeight="1">
      <c r="A221" s="7">
        <f>IMAGE("https://images.lululemon.com/is/image/lululemon/LM3FDUS_0001_1?wid=320&amp;op_usm=0.8",1)</f>
        <v/>
      </c>
      <c r="B221" s="7" t="inlineStr">
        <is>
          <t>Smooth Spacer Classic-Fit Crew</t>
        </is>
      </c>
      <c r="C221" s="7" t="inlineStr">
        <is>
          <t>157676530</t>
        </is>
      </c>
      <c r="D221" s="7" t="inlineStr">
        <is>
          <t>157676530-warmashgrey</t>
        </is>
      </c>
      <c r="E221" s="7" t="inlineStr">
        <is>
          <t>Smooth Spacer Crew BLK S</t>
        </is>
      </c>
      <c r="F221" s="7" t="inlineStr">
        <is>
          <t>$128.00</t>
        </is>
      </c>
      <c r="G221" s="7" t="inlineStr">
        <is>
          <t>$64.00</t>
        </is>
      </c>
      <c r="H221" s="7" t="inlineStr">
        <is>
          <t>Warm Ash Grey</t>
        </is>
      </c>
      <c r="I221" s="7">
        <f>IMAGE("https://images.lululemon.com/is/image/lululemon/70108",1)</f>
        <v/>
      </c>
      <c r="J221" s="7" t="inlineStr">
        <is>
          <t>XL</t>
        </is>
      </c>
      <c r="K221" s="7" t="inlineStr">
        <is>
          <t>94/804</t>
        </is>
      </c>
      <c r="L221" s="7" t="inlineStr">
        <is>
          <t>Yes</t>
        </is>
      </c>
      <c r="M221" s="7" t="inlineStr">
        <is>
          <t>Instant recovery mode. Fast-drying fabric on this crew is soft on the outside and sleek next to skin for that perfect cool-down feeling.</t>
        </is>
      </c>
      <c r="N221" s="7" t="inlineStr">
        <is>
          <t>Smooth-Spacer-Classic-Fit-Crew</t>
        </is>
      </c>
      <c r="O221" s="7" t="inlineStr">
        <is>
          <t>Crewneck Sweatshirts</t>
        </is>
      </c>
    </row>
    <row r="222" ht="80" customHeight="1">
      <c r="A222" s="6">
        <f>IMAGE("https://images.lululemon.com/is/image/lululemon/LM3FDUS_0001_1?wid=320&amp;op_usm=0.8",1)</f>
        <v/>
      </c>
      <c r="B222" s="6" t="inlineStr">
        <is>
          <t>Smooth Spacer Classic-Fit Crew</t>
        </is>
      </c>
      <c r="C222" s="6" t="inlineStr">
        <is>
          <t>157676549</t>
        </is>
      </c>
      <c r="D222" s="6" t="inlineStr">
        <is>
          <t>157676549-warmashgrey</t>
        </is>
      </c>
      <c r="E222" s="6" t="inlineStr">
        <is>
          <t>Smooth Spacer Crew BLK S</t>
        </is>
      </c>
      <c r="F222" s="6" t="inlineStr">
        <is>
          <t>$128.00</t>
        </is>
      </c>
      <c r="G222" s="6" t="inlineStr">
        <is>
          <t>$64.00</t>
        </is>
      </c>
      <c r="H222" s="6" t="inlineStr">
        <is>
          <t>Warm Ash Grey</t>
        </is>
      </c>
      <c r="I222" s="6">
        <f>IMAGE("https://images.lululemon.com/is/image/lululemon/70108",1)</f>
        <v/>
      </c>
      <c r="J222" s="6" t="inlineStr">
        <is>
          <t>XXL</t>
        </is>
      </c>
      <c r="K222" s="6" t="inlineStr">
        <is>
          <t>37/804</t>
        </is>
      </c>
      <c r="L222" s="6" t="inlineStr">
        <is>
          <t>Yes</t>
        </is>
      </c>
      <c r="M222" s="6" t="inlineStr">
        <is>
          <t>Instant recovery mode. Fast-drying fabric on this crew is soft on the outside and sleek next to skin for that perfect cool-down feeling.</t>
        </is>
      </c>
      <c r="N222" s="6" t="inlineStr">
        <is>
          <t>Smooth-Spacer-Classic-Fit-Crew</t>
        </is>
      </c>
      <c r="O222" s="6" t="inlineStr">
        <is>
          <t>Crewneck Sweatshirts</t>
        </is>
      </c>
    </row>
    <row r="223" ht="80" customHeight="1">
      <c r="A223" s="5">
        <f>IMAGE("https://images.lululemon.com/is/image/lululemon/LU9ALIS_0001_1?wid=320&amp;op_usm=0.8",1)</f>
        <v/>
      </c>
      <c r="B223" s="5" t="inlineStr">
        <is>
          <t>Resistance Band Set</t>
        </is>
      </c>
      <c r="C223" s="5" t="inlineStr">
        <is>
          <t>142350264</t>
        </is>
      </c>
      <c r="D223" s="5" t="inlineStr">
        <is>
          <t>142350264-black</t>
        </is>
      </c>
      <c r="E223" s="5" t="inlineStr">
        <is>
          <t>Resistance Band Set BLK ONE SIZE</t>
        </is>
      </c>
      <c r="F223" s="5" t="inlineStr">
        <is>
          <t>$58.00</t>
        </is>
      </c>
      <c r="G223" s="5" t="inlineStr">
        <is>
          <t>$29.00</t>
        </is>
      </c>
      <c r="H223" s="5" t="inlineStr">
        <is>
          <t>Black</t>
        </is>
      </c>
      <c r="I223" s="5">
        <f>IMAGE("https://images.lululemon.com/is/image/lululemon/0001",1)</f>
        <v/>
      </c>
      <c r="J223" s="5" t="inlineStr">
        <is>
          <t>O/S</t>
        </is>
      </c>
      <c r="K223" s="5" t="inlineStr">
        <is>
          <t>298/298</t>
        </is>
      </c>
      <c r="L223" s="5" t="inlineStr">
        <is>
          <t>Yes</t>
        </is>
      </c>
      <c r="M223" s="5" t="inlineStr">
        <is>
          <t>Push, pull, strengthen, and tone—this resistance band set can handle it all. Switch between low, medium, and high resistance levels for a customized workout.</t>
        </is>
      </c>
      <c r="N223" s="5" t="inlineStr">
        <is>
          <t>Resistance-Bands-3-Pack</t>
        </is>
      </c>
      <c r="O223" s="5" t="inlineStr">
        <is>
          <t>Resistance Bands</t>
        </is>
      </c>
    </row>
    <row r="224" ht="80" customHeight="1">
      <c r="A224" s="4">
        <f>IMAGE("https://images.lululemon.com/is/image/lululemon/LU9BUMS_031382_1?wid=320&amp;op_usm=0.8",1)</f>
        <v/>
      </c>
      <c r="B224" s="4" t="inlineStr">
        <is>
          <t>Classic Ball Cap</t>
        </is>
      </c>
      <c r="C224" s="4" t="inlineStr">
        <is>
          <t>153836695</t>
        </is>
      </c>
      <c r="D224" s="4" t="inlineStr">
        <is>
          <t>153836695-truenavy</t>
        </is>
      </c>
      <c r="E224" s="4" t="inlineStr">
        <is>
          <t>Unisex Classic Ball Cap TRNV S/M</t>
        </is>
      </c>
      <c r="F224" s="4" t="inlineStr">
        <is>
          <t>$38.00</t>
        </is>
      </c>
      <c r="G224" s="4" t="inlineStr">
        <is>
          <t>$19.00</t>
        </is>
      </c>
      <c r="H224" s="4" t="inlineStr">
        <is>
          <t>True Navy</t>
        </is>
      </c>
      <c r="I224" s="4">
        <f>IMAGE("https://images.lululemon.com/is/image/lululemon/31382",1)</f>
        <v/>
      </c>
      <c r="J224" s="4" t="inlineStr">
        <is>
          <t>S/M</t>
        </is>
      </c>
      <c r="K224" s="4" t="inlineStr">
        <is>
          <t>163/3712</t>
        </is>
      </c>
      <c r="L224" s="4" t="inlineStr">
        <is>
          <t>Yes</t>
        </is>
      </c>
      <c r="M224" s="4" t="inlineStr">
        <is>
          <t>Anywhere, anytime. This soft, lightweight cap is a year-round favourite for days on the go.</t>
        </is>
      </c>
      <c r="N224" s="4" t="inlineStr">
        <is>
          <t>Soft-Cap</t>
        </is>
      </c>
      <c r="O224" s="4" t="inlineStr">
        <is>
          <t>Caps</t>
        </is>
      </c>
    </row>
    <row r="225" ht="80" customHeight="1">
      <c r="A225" s="7">
        <f>IMAGE("https://images.lululemon.com/is/image/lululemon/LU9BUMS_031382_1?wid=320&amp;op_usm=0.8",1)</f>
        <v/>
      </c>
      <c r="B225" s="7" t="inlineStr">
        <is>
          <t>Classic Ball Cap</t>
        </is>
      </c>
      <c r="C225" s="7" t="inlineStr">
        <is>
          <t>153836676</t>
        </is>
      </c>
      <c r="D225" s="7" t="inlineStr">
        <is>
          <t>153836676-truenavy</t>
        </is>
      </c>
      <c r="E225" s="7" t="inlineStr">
        <is>
          <t>Unisex Classic Ball Cap TRNV S/M</t>
        </is>
      </c>
      <c r="F225" s="7" t="inlineStr">
        <is>
          <t>$38.00</t>
        </is>
      </c>
      <c r="G225" s="7" t="inlineStr">
        <is>
          <t>$19.00</t>
        </is>
      </c>
      <c r="H225" s="7" t="inlineStr">
        <is>
          <t>True Navy</t>
        </is>
      </c>
      <c r="I225" s="7">
        <f>IMAGE("https://images.lululemon.com/is/image/lululemon/31382",1)</f>
        <v/>
      </c>
      <c r="J225" s="7" t="inlineStr">
        <is>
          <t>L/XL</t>
        </is>
      </c>
      <c r="K225" s="7" t="inlineStr">
        <is>
          <t>176/3712</t>
        </is>
      </c>
      <c r="L225" s="7" t="inlineStr">
        <is>
          <t>Yes</t>
        </is>
      </c>
      <c r="M225" s="7" t="inlineStr">
        <is>
          <t>Anywhere, anytime. This soft, lightweight cap is a year-round favourite for days on the go.</t>
        </is>
      </c>
      <c r="N225" s="7" t="inlineStr">
        <is>
          <t>Soft-Cap</t>
        </is>
      </c>
      <c r="O225" s="7" t="inlineStr">
        <is>
          <t>Caps</t>
        </is>
      </c>
    </row>
    <row r="226" ht="80" customHeight="1">
      <c r="A226" s="4">
        <f>IMAGE("https://images.lululemon.com/is/image/lululemon/LU9BUMS_031382_1?wid=320&amp;op_usm=0.8",1)</f>
        <v/>
      </c>
      <c r="B226" s="4" t="inlineStr">
        <is>
          <t>Classic Ball Cap</t>
        </is>
      </c>
      <c r="C226" s="4" t="inlineStr">
        <is>
          <t>150051019</t>
        </is>
      </c>
      <c r="D226" s="4" t="inlineStr">
        <is>
          <t>150051019-white</t>
        </is>
      </c>
      <c r="E226" s="4" t="inlineStr">
        <is>
          <t>Unisex Classic Ball Cap TRNV S/M</t>
        </is>
      </c>
      <c r="F226" s="4" t="inlineStr">
        <is>
          <t>$38.00</t>
        </is>
      </c>
      <c r="G226" s="4" t="inlineStr">
        <is>
          <t>$19.00</t>
        </is>
      </c>
      <c r="H226" s="4" t="inlineStr">
        <is>
          <t>White</t>
        </is>
      </c>
      <c r="I226" s="4">
        <f>IMAGE("https://images.lululemon.com/is/image/lululemon/0002",1)</f>
        <v/>
      </c>
      <c r="J226" s="4" t="inlineStr">
        <is>
          <t>S/M</t>
        </is>
      </c>
      <c r="K226" s="4" t="inlineStr">
        <is>
          <t>712/3712</t>
        </is>
      </c>
      <c r="L226" s="4" t="inlineStr">
        <is>
          <t>Yes</t>
        </is>
      </c>
      <c r="M226" s="4" t="inlineStr">
        <is>
          <t>Anywhere, anytime. This soft, lightweight cap is a year-round favourite for days on the go.</t>
        </is>
      </c>
      <c r="N226" s="4" t="inlineStr">
        <is>
          <t>Soft-Cap</t>
        </is>
      </c>
      <c r="O226" s="4" t="inlineStr">
        <is>
          <t>Caps</t>
        </is>
      </c>
    </row>
    <row r="227" ht="80" customHeight="1">
      <c r="A227" s="7">
        <f>IMAGE("https://images.lululemon.com/is/image/lululemon/LU9BUMS_031382_1?wid=320&amp;op_usm=0.8",1)</f>
        <v/>
      </c>
      <c r="B227" s="7" t="inlineStr">
        <is>
          <t>Classic Ball Cap</t>
        </is>
      </c>
      <c r="C227" s="7" t="inlineStr">
        <is>
          <t>150051008</t>
        </is>
      </c>
      <c r="D227" s="7" t="inlineStr">
        <is>
          <t>150051008-white</t>
        </is>
      </c>
      <c r="E227" s="7" t="inlineStr">
        <is>
          <t>Unisex Classic Ball Cap TRNV S/M</t>
        </is>
      </c>
      <c r="F227" s="7" t="inlineStr">
        <is>
          <t>$38.00</t>
        </is>
      </c>
      <c r="G227" s="7" t="inlineStr">
        <is>
          <t>$19.00</t>
        </is>
      </c>
      <c r="H227" s="7" t="inlineStr">
        <is>
          <t>White</t>
        </is>
      </c>
      <c r="I227" s="7">
        <f>IMAGE("https://images.lululemon.com/is/image/lululemon/0002",1)</f>
        <v/>
      </c>
      <c r="J227" s="7" t="inlineStr">
        <is>
          <t>L/XL</t>
        </is>
      </c>
      <c r="K227" s="7" t="inlineStr">
        <is>
          <t>622/3712</t>
        </is>
      </c>
      <c r="L227" s="7" t="inlineStr">
        <is>
          <t>Yes</t>
        </is>
      </c>
      <c r="M227" s="7" t="inlineStr">
        <is>
          <t>Anywhere, anytime. This soft, lightweight cap is a year-round favourite for days on the go.</t>
        </is>
      </c>
      <c r="N227" s="7" t="inlineStr">
        <is>
          <t>Soft-Cap</t>
        </is>
      </c>
      <c r="O227" s="7" t="inlineStr">
        <is>
          <t>Caps</t>
        </is>
      </c>
    </row>
    <row r="228" ht="80" customHeight="1">
      <c r="A228" s="4">
        <f>IMAGE("https://images.lululemon.com/is/image/lululemon/LU9BUMS_031382_1?wid=320&amp;op_usm=0.8",1)</f>
        <v/>
      </c>
      <c r="B228" s="4" t="inlineStr">
        <is>
          <t>Classic Ball Cap</t>
        </is>
      </c>
      <c r="C228" s="4" t="inlineStr">
        <is>
          <t>150050995</t>
        </is>
      </c>
      <c r="D228" s="4" t="inlineStr">
        <is>
          <t>150050995-black</t>
        </is>
      </c>
      <c r="E228" s="4" t="inlineStr">
        <is>
          <t>Unisex Classic Ball Cap TRNV S/M</t>
        </is>
      </c>
      <c r="F228" s="4" t="inlineStr">
        <is>
          <t>$38.00</t>
        </is>
      </c>
      <c r="G228" s="4" t="inlineStr">
        <is>
          <t>$19.00</t>
        </is>
      </c>
      <c r="H228" s="4" t="inlineStr">
        <is>
          <t>Black</t>
        </is>
      </c>
      <c r="I228" s="4">
        <f>IMAGE("https://images.lululemon.com/is/image/lululemon/0001",1)</f>
        <v/>
      </c>
      <c r="J228" s="4" t="inlineStr">
        <is>
          <t>S/M</t>
        </is>
      </c>
      <c r="K228" s="4" t="inlineStr">
        <is>
          <t>964/3712</t>
        </is>
      </c>
      <c r="L228" s="4" t="inlineStr">
        <is>
          <t>Yes</t>
        </is>
      </c>
      <c r="M228" s="4" t="inlineStr">
        <is>
          <t>Anywhere, anytime. This soft, lightweight cap is a year-round favourite for days on the go.</t>
        </is>
      </c>
      <c r="N228" s="4" t="inlineStr">
        <is>
          <t>Soft-Cap</t>
        </is>
      </c>
      <c r="O228" s="4" t="inlineStr">
        <is>
          <t>Caps</t>
        </is>
      </c>
    </row>
    <row r="229" ht="80" customHeight="1">
      <c r="A229" s="7">
        <f>IMAGE("https://images.lululemon.com/is/image/lululemon/LU9BUMS_031382_1?wid=320&amp;op_usm=0.8",1)</f>
        <v/>
      </c>
      <c r="B229" s="7" t="inlineStr">
        <is>
          <t>Classic Ball Cap</t>
        </is>
      </c>
      <c r="C229" s="7" t="inlineStr">
        <is>
          <t>150050988</t>
        </is>
      </c>
      <c r="D229" s="7" t="inlineStr">
        <is>
          <t>150050988-black</t>
        </is>
      </c>
      <c r="E229" s="7" t="inlineStr">
        <is>
          <t>Unisex Classic Ball Cap TRNV S/M</t>
        </is>
      </c>
      <c r="F229" s="7" t="inlineStr">
        <is>
          <t>$38.00</t>
        </is>
      </c>
      <c r="G229" s="7" t="inlineStr">
        <is>
          <t>$19.00</t>
        </is>
      </c>
      <c r="H229" s="7" t="inlineStr">
        <is>
          <t>Black</t>
        </is>
      </c>
      <c r="I229" s="7">
        <f>IMAGE("https://images.lululemon.com/is/image/lululemon/0001",1)</f>
        <v/>
      </c>
      <c r="J229" s="7" t="inlineStr">
        <is>
          <t>L/XL</t>
        </is>
      </c>
      <c r="K229" s="7" t="inlineStr">
        <is>
          <t>856/3712</t>
        </is>
      </c>
      <c r="L229" s="7" t="inlineStr">
        <is>
          <t>Yes</t>
        </is>
      </c>
      <c r="M229" s="7" t="inlineStr">
        <is>
          <t>Anywhere, anytime. This soft, lightweight cap is a year-round favourite for days on the go.</t>
        </is>
      </c>
      <c r="N229" s="7" t="inlineStr">
        <is>
          <t>Soft-Cap</t>
        </is>
      </c>
      <c r="O229" s="7" t="inlineStr">
        <is>
          <t>Caps</t>
        </is>
      </c>
    </row>
    <row r="230" ht="80" customHeight="1">
      <c r="A230" s="4">
        <f>IMAGE("https://images.lululemon.com/is/image/lululemon/LU9BUMS_031382_1?wid=320&amp;op_usm=0.8",1)</f>
        <v/>
      </c>
      <c r="B230" s="4" t="inlineStr">
        <is>
          <t>Classic Ball Cap</t>
        </is>
      </c>
      <c r="C230" s="4" t="inlineStr">
        <is>
          <t>155725378</t>
        </is>
      </c>
      <c r="D230" s="4" t="inlineStr">
        <is>
          <t>155725378-lightivory</t>
        </is>
      </c>
      <c r="E230" s="4" t="inlineStr">
        <is>
          <t>Unisex Classic Ball Cap TRNV S/M</t>
        </is>
      </c>
      <c r="F230" s="4" t="inlineStr">
        <is>
          <t>$38.00</t>
        </is>
      </c>
      <c r="G230" s="4" t="inlineStr">
        <is>
          <t>$19.00</t>
        </is>
      </c>
      <c r="H230" s="4" t="inlineStr">
        <is>
          <t>Light Ivory</t>
        </is>
      </c>
      <c r="I230" s="4">
        <f>IMAGE("https://images.lululemon.com/is/image/lululemon/33454",1)</f>
        <v/>
      </c>
      <c r="J230" s="4" t="inlineStr">
        <is>
          <t>S/M</t>
        </is>
      </c>
      <c r="K230" s="4" t="inlineStr">
        <is>
          <t>80/3712</t>
        </is>
      </c>
      <c r="L230" s="4" t="inlineStr">
        <is>
          <t>Yes</t>
        </is>
      </c>
      <c r="M230" s="4" t="inlineStr">
        <is>
          <t>Anywhere, anytime. This soft, lightweight cap is a year-round favourite for days on the go.</t>
        </is>
      </c>
      <c r="N230" s="4" t="inlineStr">
        <is>
          <t>Soft-Cap</t>
        </is>
      </c>
      <c r="O230" s="4" t="inlineStr">
        <is>
          <t>Caps</t>
        </is>
      </c>
    </row>
    <row r="231" ht="80" customHeight="1">
      <c r="A231" s="5">
        <f>IMAGE("https://images.lululemon.com/is/image/lululemon/LU9BUMS_031382_1?wid=320&amp;op_usm=0.8",1)</f>
        <v/>
      </c>
      <c r="B231" s="5" t="inlineStr">
        <is>
          <t>Classic Ball Cap</t>
        </is>
      </c>
      <c r="C231" s="5" t="inlineStr">
        <is>
          <t>155725366</t>
        </is>
      </c>
      <c r="D231" s="5" t="inlineStr">
        <is>
          <t>155725366-lightivory</t>
        </is>
      </c>
      <c r="E231" s="5" t="inlineStr">
        <is>
          <t>Unisex Classic Ball Cap TRNV S/M</t>
        </is>
      </c>
      <c r="F231" s="5" t="inlineStr">
        <is>
          <t>$38.00</t>
        </is>
      </c>
      <c r="G231" s="5" t="inlineStr">
        <is>
          <t>$19.00</t>
        </is>
      </c>
      <c r="H231" s="5" t="inlineStr">
        <is>
          <t>Light Ivory</t>
        </is>
      </c>
      <c r="I231" s="5">
        <f>IMAGE("https://images.lululemon.com/is/image/lululemon/33454",1)</f>
        <v/>
      </c>
      <c r="J231" s="5" t="inlineStr">
        <is>
          <t>L/XL</t>
        </is>
      </c>
      <c r="K231" s="5" t="inlineStr">
        <is>
          <t>139/3712</t>
        </is>
      </c>
      <c r="L231" s="5" t="inlineStr">
        <is>
          <t>Yes</t>
        </is>
      </c>
      <c r="M231" s="5" t="inlineStr">
        <is>
          <t>Anywhere, anytime. This soft, lightweight cap is a year-round favourite for days on the go.</t>
        </is>
      </c>
      <c r="N231" s="5" t="inlineStr">
        <is>
          <t>Soft-Cap</t>
        </is>
      </c>
      <c r="O231" s="5" t="inlineStr">
        <is>
          <t>Caps</t>
        </is>
      </c>
    </row>
    <row r="232" ht="80" customHeight="1">
      <c r="A232" s="4">
        <f>IMAGE("https://images.lululemon.com/is/image/lululemon/LU9CMAS_071473_1?wid=320&amp;op_usm=0.8",1)</f>
        <v/>
      </c>
      <c r="B232" s="4" t="inlineStr">
        <is>
          <t>Everywhere Backpack 22L</t>
        </is>
      </c>
      <c r="C232" s="4" t="inlineStr">
        <is>
          <t>156527940</t>
        </is>
      </c>
      <c r="D232" s="4" t="inlineStr">
        <is>
          <t>156527940-vapor/sheeroak</t>
        </is>
      </c>
      <c r="E232" s="4" t="inlineStr">
        <is>
          <t>Everywhere Backpack VPOR/SHOK ONE SIZE</t>
        </is>
      </c>
      <c r="F232" s="4" t="inlineStr">
        <is>
          <t>$78.00</t>
        </is>
      </c>
      <c r="G232" s="4" t="inlineStr">
        <is>
          <t>$39.00</t>
        </is>
      </c>
      <c r="H232" s="4" t="inlineStr">
        <is>
          <t>Vapor/Sheer Oak</t>
        </is>
      </c>
      <c r="I232" s="4">
        <f>IMAGE("https://images.lululemon.com/is/image/lululemon/71473",1)</f>
        <v/>
      </c>
      <c r="J232" s="4" t="inlineStr">
        <is>
          <t>O/S</t>
        </is>
      </c>
      <c r="K232" s="4" t="inlineStr">
        <is>
          <t>53/9167</t>
        </is>
      </c>
      <c r="L232" s="4" t="inlineStr">
        <is>
          <t>Yes</t>
        </is>
      </c>
      <c r="M232" s="4" t="inlineStr">
        <is>
          <t>Not your average backpack. With an internal laptop sleeve and side water bottle pockets, this one ticks the boxes for school, work, and travel.</t>
        </is>
      </c>
      <c r="N232" s="4" t="inlineStr">
        <is>
          <t>Everywhere-Backpack-22L</t>
        </is>
      </c>
      <c r="O232" s="4" t="inlineStr">
        <is>
          <t>Backpacks</t>
        </is>
      </c>
    </row>
    <row r="233" ht="80" customHeight="1">
      <c r="A233" s="7">
        <f>IMAGE("https://images.lululemon.com/is/image/lululemon/LU9CMAS_071473_1?wid=320&amp;op_usm=0.8",1)</f>
        <v/>
      </c>
      <c r="B233" s="7" t="inlineStr">
        <is>
          <t>Everywhere Backpack 22L</t>
        </is>
      </c>
      <c r="C233" s="7" t="inlineStr">
        <is>
          <t>157678353</t>
        </is>
      </c>
      <c r="D233" s="7" t="inlineStr">
        <is>
          <t>157678353-truenavy</t>
        </is>
      </c>
      <c r="E233" s="7" t="inlineStr">
        <is>
          <t>Everywhere Backpack VPOR/SHOK ONE SIZE</t>
        </is>
      </c>
      <c r="F233" s="7" t="inlineStr">
        <is>
          <t>$78.00</t>
        </is>
      </c>
      <c r="G233" s="7" t="inlineStr">
        <is>
          <t>$39.00</t>
        </is>
      </c>
      <c r="H233" s="7" t="inlineStr">
        <is>
          <t>True Navy</t>
        </is>
      </c>
      <c r="I233" s="7">
        <f>IMAGE("https://images.lululemon.com/is/image/lululemon/31382",1)</f>
        <v/>
      </c>
      <c r="J233" s="7" t="inlineStr">
        <is>
          <t>O/S</t>
        </is>
      </c>
      <c r="K233" s="7" t="inlineStr">
        <is>
          <t>113/9167</t>
        </is>
      </c>
      <c r="L233" s="7" t="inlineStr">
        <is>
          <t>Yes</t>
        </is>
      </c>
      <c r="M233" s="7" t="inlineStr">
        <is>
          <t>Not your average backpack. With an internal laptop sleeve and side water bottle pockets, this one ticks the boxes for school, work, and travel.</t>
        </is>
      </c>
      <c r="N233" s="7" t="inlineStr">
        <is>
          <t>Everywhere-Backpack-22L</t>
        </is>
      </c>
      <c r="O233" s="7" t="inlineStr">
        <is>
          <t>Backpacks</t>
        </is>
      </c>
    </row>
    <row r="234" ht="80" customHeight="1">
      <c r="A234" s="6">
        <f>IMAGE("https://images.lululemon.com/is/image/lululemon/LU9CMAS_071473_1?wid=320&amp;op_usm=0.8",1)</f>
        <v/>
      </c>
      <c r="B234" s="6" t="inlineStr">
        <is>
          <t>Everywhere Backpack 22L</t>
        </is>
      </c>
      <c r="C234" s="6" t="inlineStr">
        <is>
          <t>157678371</t>
        </is>
      </c>
      <c r="D234" s="6" t="inlineStr">
        <is>
          <t>157678371-black/graphitegrey</t>
        </is>
      </c>
      <c r="E234" s="6" t="inlineStr">
        <is>
          <t>Everywhere Backpack VPOR/SHOK ONE SIZE</t>
        </is>
      </c>
      <c r="F234" s="6" t="inlineStr">
        <is>
          <t>$78.00</t>
        </is>
      </c>
      <c r="G234" s="6" t="inlineStr">
        <is>
          <t>$39.00</t>
        </is>
      </c>
      <c r="H234" s="6" t="inlineStr">
        <is>
          <t>Black/Graphite Grey</t>
        </is>
      </c>
      <c r="I234" s="6">
        <f>IMAGE("https://images.lululemon.com/is/image/lululemon/43646",1)</f>
        <v/>
      </c>
      <c r="J234" s="6" t="inlineStr">
        <is>
          <t>O/S</t>
        </is>
      </c>
      <c r="K234" s="6" t="inlineStr">
        <is>
          <t>9001/9167</t>
        </is>
      </c>
      <c r="L234" s="6" t="inlineStr">
        <is>
          <t>Yes</t>
        </is>
      </c>
      <c r="M234" s="6" t="inlineStr">
        <is>
          <t>Not your average backpack. With an internal laptop sleeve and side water bottle pockets, this one ticks the boxes for school, work, and travel.</t>
        </is>
      </c>
      <c r="N234" s="6" t="inlineStr">
        <is>
          <t>Everywhere-Backpack-22L</t>
        </is>
      </c>
      <c r="O234" s="6" t="inlineStr">
        <is>
          <t>Backpacks</t>
        </is>
      </c>
    </row>
    <row r="235" ht="80" customHeight="1">
      <c r="A235" s="7">
        <f>IMAGE("https://images.lululemon.com/is/image/lululemon/LM5AWXS_0001_1?wid=320&amp;op_usm=0.8",1)</f>
        <v/>
      </c>
      <c r="B235" s="7" t="inlineStr">
        <is>
          <t>ABC Slim-Fit Golf Trouser 32L</t>
        </is>
      </c>
      <c r="C235" s="7" t="inlineStr">
        <is>
          <t>155783514</t>
        </is>
      </c>
      <c r="D235" s="7" t="inlineStr">
        <is>
          <t>155783514-rainforestgreen</t>
        </is>
      </c>
      <c r="E235" s="7" t="inlineStr">
        <is>
          <t>ABC Slim-Fit Golf Trouser 32L RNFG 28</t>
        </is>
      </c>
      <c r="F235" s="7" t="inlineStr">
        <is>
          <t>$148.00</t>
        </is>
      </c>
      <c r="G235" s="7" t="inlineStr">
        <is>
          <t>$74.00</t>
        </is>
      </c>
      <c r="H235" s="7" t="inlineStr">
        <is>
          <t>Rainforest Green</t>
        </is>
      </c>
      <c r="I235" s="7">
        <f>IMAGE("https://images.lululemon.com/is/image/lululemon/49106",1)</f>
        <v/>
      </c>
      <c r="J235" s="7" t="inlineStr">
        <is>
          <t>28</t>
        </is>
      </c>
      <c r="K235" s="7" t="inlineStr">
        <is>
          <t>13/2426</t>
        </is>
      </c>
      <c r="L235" s="7" t="inlineStr">
        <is>
          <t>Yes</t>
        </is>
      </c>
      <c r="M235" s="7" t="inlineStr">
        <is>
          <t>From first swing to the final round, these golf pants are at the top of their game. Integrated ventilation and stretch fabric deliver comfort that lasts on and off the course.</t>
        </is>
      </c>
      <c r="N235" s="7" t="inlineStr">
        <is>
          <t>ABC-Slim-Fit-Golf-Trouser-32L</t>
        </is>
      </c>
      <c r="O235" s="7" t="inlineStr">
        <is>
          <t>Chinos</t>
        </is>
      </c>
    </row>
    <row r="236" ht="80" customHeight="1">
      <c r="A236" s="4">
        <f>IMAGE("https://images.lululemon.com/is/image/lululemon/LM5AWXS_0001_1?wid=320&amp;op_usm=0.8",1)</f>
        <v/>
      </c>
      <c r="B236" s="4" t="inlineStr">
        <is>
          <t>ABC Slim-Fit Golf Trouser 32L</t>
        </is>
      </c>
      <c r="C236" s="4" t="inlineStr">
        <is>
          <t>155783518</t>
        </is>
      </c>
      <c r="D236" s="4" t="inlineStr">
        <is>
          <t>155783518-rainforestgreen</t>
        </is>
      </c>
      <c r="E236" s="4" t="inlineStr">
        <is>
          <t>ABC Slim-Fit Golf Trouser 32L RNFG 28</t>
        </is>
      </c>
      <c r="F236" s="4" t="inlineStr">
        <is>
          <t>$148.00</t>
        </is>
      </c>
      <c r="G236" s="4" t="inlineStr">
        <is>
          <t>$74.00</t>
        </is>
      </c>
      <c r="H236" s="4" t="inlineStr">
        <is>
          <t>Rainforest Green</t>
        </is>
      </c>
      <c r="I236" s="4">
        <f>IMAGE("https://images.lululemon.com/is/image/lululemon/49106",1)</f>
        <v/>
      </c>
      <c r="J236" s="4" t="inlineStr">
        <is>
          <t>30</t>
        </is>
      </c>
      <c r="K236" s="4" t="inlineStr">
        <is>
          <t>44/2426</t>
        </is>
      </c>
      <c r="L236" s="4" t="inlineStr">
        <is>
          <t>Yes</t>
        </is>
      </c>
      <c r="M236" s="4" t="inlineStr">
        <is>
          <t>From first swing to the final round, these golf pants are at the top of their game. Integrated ventilation and stretch fabric deliver comfort that lasts on and off the course.</t>
        </is>
      </c>
      <c r="N236" s="4" t="inlineStr">
        <is>
          <t>ABC-Slim-Fit-Golf-Trouser-32L</t>
        </is>
      </c>
      <c r="O236" s="4" t="inlineStr">
        <is>
          <t>Chinos</t>
        </is>
      </c>
    </row>
    <row r="237" ht="80" customHeight="1">
      <c r="A237" s="7">
        <f>IMAGE("https://images.lululemon.com/is/image/lululemon/LM5AWXS_0001_1?wid=320&amp;op_usm=0.8",1)</f>
        <v/>
      </c>
      <c r="B237" s="7" t="inlineStr">
        <is>
          <t>ABC Slim-Fit Golf Trouser 32L</t>
        </is>
      </c>
      <c r="C237" s="7" t="inlineStr">
        <is>
          <t>155783520</t>
        </is>
      </c>
      <c r="D237" s="7" t="inlineStr">
        <is>
          <t>155783520-rainforestgreen</t>
        </is>
      </c>
      <c r="E237" s="7" t="inlineStr">
        <is>
          <t>ABC Slim-Fit Golf Trouser 32L RNFG 28</t>
        </is>
      </c>
      <c r="F237" s="7" t="inlineStr">
        <is>
          <t>$148.00</t>
        </is>
      </c>
      <c r="G237" s="7" t="inlineStr">
        <is>
          <t>$74.00</t>
        </is>
      </c>
      <c r="H237" s="7" t="inlineStr">
        <is>
          <t>Rainforest Green</t>
        </is>
      </c>
      <c r="I237" s="7">
        <f>IMAGE("https://images.lululemon.com/is/image/lululemon/49106",1)</f>
        <v/>
      </c>
      <c r="J237" s="7" t="inlineStr">
        <is>
          <t>31</t>
        </is>
      </c>
      <c r="K237" s="7" t="inlineStr">
        <is>
          <t>5/2426</t>
        </is>
      </c>
      <c r="L237" s="7" t="inlineStr">
        <is>
          <t>Yes</t>
        </is>
      </c>
      <c r="M237" s="7" t="inlineStr">
        <is>
          <t>From first swing to the final round, these golf pants are at the top of their game. Integrated ventilation and stretch fabric deliver comfort that lasts on and off the course.</t>
        </is>
      </c>
      <c r="N237" s="7" t="inlineStr">
        <is>
          <t>ABC-Slim-Fit-Golf-Trouser-32L</t>
        </is>
      </c>
      <c r="O237" s="7" t="inlineStr">
        <is>
          <t>Chinos</t>
        </is>
      </c>
    </row>
    <row r="238" ht="80" customHeight="1">
      <c r="A238" s="4">
        <f>IMAGE("https://images.lululemon.com/is/image/lululemon/LM5AWXS_0001_1?wid=320&amp;op_usm=0.8",1)</f>
        <v/>
      </c>
      <c r="B238" s="4" t="inlineStr">
        <is>
          <t>ABC Slim-Fit Golf Trouser 32L</t>
        </is>
      </c>
      <c r="C238" s="4" t="inlineStr">
        <is>
          <t>155783521</t>
        </is>
      </c>
      <c r="D238" s="4" t="inlineStr">
        <is>
          <t>155783521-rainforestgreen</t>
        </is>
      </c>
      <c r="E238" s="4" t="inlineStr">
        <is>
          <t>ABC Slim-Fit Golf Trouser 32L RNFG 28</t>
        </is>
      </c>
      <c r="F238" s="4" t="inlineStr">
        <is>
          <t>$148.00</t>
        </is>
      </c>
      <c r="G238" s="4" t="inlineStr">
        <is>
          <t>$74.00</t>
        </is>
      </c>
      <c r="H238" s="4" t="inlineStr">
        <is>
          <t>Rainforest Green</t>
        </is>
      </c>
      <c r="I238" s="4">
        <f>IMAGE("https://images.lululemon.com/is/image/lululemon/49106",1)</f>
        <v/>
      </c>
      <c r="J238" s="4" t="inlineStr">
        <is>
          <t>32</t>
        </is>
      </c>
      <c r="K238" s="4" t="inlineStr">
        <is>
          <t>86/2426</t>
        </is>
      </c>
      <c r="L238" s="4" t="inlineStr">
        <is>
          <t>Yes</t>
        </is>
      </c>
      <c r="M238" s="4" t="inlineStr">
        <is>
          <t>From first swing to the final round, these golf pants are at the top of their game. Integrated ventilation and stretch fabric deliver comfort that lasts on and off the course.</t>
        </is>
      </c>
      <c r="N238" s="4" t="inlineStr">
        <is>
          <t>ABC-Slim-Fit-Golf-Trouser-32L</t>
        </is>
      </c>
      <c r="O238" s="4" t="inlineStr">
        <is>
          <t>Chinos</t>
        </is>
      </c>
    </row>
    <row r="239" ht="80" customHeight="1">
      <c r="A239" s="7">
        <f>IMAGE("https://images.lululemon.com/is/image/lululemon/LM5AWXS_0001_1?wid=320&amp;op_usm=0.8",1)</f>
        <v/>
      </c>
      <c r="B239" s="7" t="inlineStr">
        <is>
          <t>ABC Slim-Fit Golf Trouser 32L</t>
        </is>
      </c>
      <c r="C239" s="7" t="inlineStr">
        <is>
          <t>155783522</t>
        </is>
      </c>
      <c r="D239" s="7" t="inlineStr">
        <is>
          <t>155783522-rainforestgreen</t>
        </is>
      </c>
      <c r="E239" s="7" t="inlineStr">
        <is>
          <t>ABC Slim-Fit Golf Trouser 32L RNFG 28</t>
        </is>
      </c>
      <c r="F239" s="7" t="inlineStr">
        <is>
          <t>$148.00</t>
        </is>
      </c>
      <c r="G239" s="7" t="inlineStr">
        <is>
          <t>$74.00</t>
        </is>
      </c>
      <c r="H239" s="7" t="inlineStr">
        <is>
          <t>Rainforest Green</t>
        </is>
      </c>
      <c r="I239" s="7">
        <f>IMAGE("https://images.lululemon.com/is/image/lululemon/49106",1)</f>
        <v/>
      </c>
      <c r="J239" s="7" t="inlineStr">
        <is>
          <t>33</t>
        </is>
      </c>
      <c r="K239" s="7" t="inlineStr">
        <is>
          <t>39/2426</t>
        </is>
      </c>
      <c r="L239" s="7" t="inlineStr">
        <is>
          <t>Yes</t>
        </is>
      </c>
      <c r="M239" s="7" t="inlineStr">
        <is>
          <t>From first swing to the final round, these golf pants are at the top of their game. Integrated ventilation and stretch fabric deliver comfort that lasts on and off the course.</t>
        </is>
      </c>
      <c r="N239" s="7" t="inlineStr">
        <is>
          <t>ABC-Slim-Fit-Golf-Trouser-32L</t>
        </is>
      </c>
      <c r="O239" s="7" t="inlineStr">
        <is>
          <t>Chinos</t>
        </is>
      </c>
    </row>
    <row r="240" ht="80" customHeight="1">
      <c r="A240" s="4">
        <f>IMAGE("https://images.lululemon.com/is/image/lululemon/LM5AWXS_0001_1?wid=320&amp;op_usm=0.8",1)</f>
        <v/>
      </c>
      <c r="B240" s="4" t="inlineStr">
        <is>
          <t>ABC Slim-Fit Golf Trouser 32L</t>
        </is>
      </c>
      <c r="C240" s="4" t="inlineStr">
        <is>
          <t>155783523</t>
        </is>
      </c>
      <c r="D240" s="4" t="inlineStr">
        <is>
          <t>155783523-rainforestgreen</t>
        </is>
      </c>
      <c r="E240" s="4" t="inlineStr">
        <is>
          <t>ABC Slim-Fit Golf Trouser 32L RNFG 28</t>
        </is>
      </c>
      <c r="F240" s="4" t="inlineStr">
        <is>
          <t>$148.00</t>
        </is>
      </c>
      <c r="G240" s="4" t="inlineStr">
        <is>
          <t>$74.00</t>
        </is>
      </c>
      <c r="H240" s="4" t="inlineStr">
        <is>
          <t>Rainforest Green</t>
        </is>
      </c>
      <c r="I240" s="4">
        <f>IMAGE("https://images.lululemon.com/is/image/lululemon/49106",1)</f>
        <v/>
      </c>
      <c r="J240" s="4" t="inlineStr">
        <is>
          <t>34</t>
        </is>
      </c>
      <c r="K240" s="4" t="inlineStr">
        <is>
          <t>100/2426</t>
        </is>
      </c>
      <c r="L240" s="4" t="inlineStr">
        <is>
          <t>Yes</t>
        </is>
      </c>
      <c r="M240" s="4" t="inlineStr">
        <is>
          <t>From first swing to the final round, these golf pants are at the top of their game. Integrated ventilation and stretch fabric deliver comfort that lasts on and off the course.</t>
        </is>
      </c>
      <c r="N240" s="4" t="inlineStr">
        <is>
          <t>ABC-Slim-Fit-Golf-Trouser-32L</t>
        </is>
      </c>
      <c r="O240" s="4" t="inlineStr">
        <is>
          <t>Chinos</t>
        </is>
      </c>
    </row>
    <row r="241" ht="80" customHeight="1">
      <c r="A241" s="7">
        <f>IMAGE("https://images.lululemon.com/is/image/lululemon/LM5AWXS_0001_1?wid=320&amp;op_usm=0.8",1)</f>
        <v/>
      </c>
      <c r="B241" s="7" t="inlineStr">
        <is>
          <t>ABC Slim-Fit Golf Trouser 32L</t>
        </is>
      </c>
      <c r="C241" s="7" t="inlineStr">
        <is>
          <t>155783525</t>
        </is>
      </c>
      <c r="D241" s="7" t="inlineStr">
        <is>
          <t>155783525-rainforestgreen</t>
        </is>
      </c>
      <c r="E241" s="7" t="inlineStr">
        <is>
          <t>ABC Slim-Fit Golf Trouser 32L RNFG 28</t>
        </is>
      </c>
      <c r="F241" s="7" t="inlineStr">
        <is>
          <t>$148.00</t>
        </is>
      </c>
      <c r="G241" s="7" t="inlineStr">
        <is>
          <t>$74.00</t>
        </is>
      </c>
      <c r="H241" s="7" t="inlineStr">
        <is>
          <t>Rainforest Green</t>
        </is>
      </c>
      <c r="I241" s="7">
        <f>IMAGE("https://images.lululemon.com/is/image/lululemon/49106",1)</f>
        <v/>
      </c>
      <c r="J241" s="7" t="inlineStr">
        <is>
          <t>36</t>
        </is>
      </c>
      <c r="K241" s="7" t="inlineStr">
        <is>
          <t>88/2426</t>
        </is>
      </c>
      <c r="L241" s="7" t="inlineStr">
        <is>
          <t>Yes</t>
        </is>
      </c>
      <c r="M241" s="7" t="inlineStr">
        <is>
          <t>From first swing to the final round, these golf pants are at the top of their game. Integrated ventilation and stretch fabric deliver comfort that lasts on and off the course.</t>
        </is>
      </c>
      <c r="N241" s="7" t="inlineStr">
        <is>
          <t>ABC-Slim-Fit-Golf-Trouser-32L</t>
        </is>
      </c>
      <c r="O241" s="7" t="inlineStr">
        <is>
          <t>Chinos</t>
        </is>
      </c>
    </row>
    <row r="242" ht="80" customHeight="1">
      <c r="A242" s="4">
        <f>IMAGE("https://images.lululemon.com/is/image/lululemon/LM5AWXS_0001_1?wid=320&amp;op_usm=0.8",1)</f>
        <v/>
      </c>
      <c r="B242" s="4" t="inlineStr">
        <is>
          <t>ABC Slim-Fit Golf Trouser 32L</t>
        </is>
      </c>
      <c r="C242" s="4" t="inlineStr">
        <is>
          <t>155783527</t>
        </is>
      </c>
      <c r="D242" s="4" t="inlineStr">
        <is>
          <t>155783527-rainforestgreen</t>
        </is>
      </c>
      <c r="E242" s="4" t="inlineStr">
        <is>
          <t>ABC Slim-Fit Golf Trouser 32L RNFG 28</t>
        </is>
      </c>
      <c r="F242" s="4" t="inlineStr">
        <is>
          <t>$148.00</t>
        </is>
      </c>
      <c r="G242" s="4" t="inlineStr">
        <is>
          <t>$74.00</t>
        </is>
      </c>
      <c r="H242" s="4" t="inlineStr">
        <is>
          <t>Rainforest Green</t>
        </is>
      </c>
      <c r="I242" s="4">
        <f>IMAGE("https://images.lululemon.com/is/image/lululemon/49106",1)</f>
        <v/>
      </c>
      <c r="J242" s="4" t="inlineStr">
        <is>
          <t>38</t>
        </is>
      </c>
      <c r="K242" s="4" t="inlineStr">
        <is>
          <t>46/2426</t>
        </is>
      </c>
      <c r="L242" s="4" t="inlineStr">
        <is>
          <t>Yes</t>
        </is>
      </c>
      <c r="M242" s="4" t="inlineStr">
        <is>
          <t>From first swing to the final round, these golf pants are at the top of their game. Integrated ventilation and stretch fabric deliver comfort that lasts on and off the course.</t>
        </is>
      </c>
      <c r="N242" s="4" t="inlineStr">
        <is>
          <t>ABC-Slim-Fit-Golf-Trouser-32L</t>
        </is>
      </c>
      <c r="O242" s="4" t="inlineStr">
        <is>
          <t>Chinos</t>
        </is>
      </c>
    </row>
    <row r="243" ht="80" customHeight="1">
      <c r="A243" s="7">
        <f>IMAGE("https://images.lululemon.com/is/image/lululemon/LM5AWXS_0001_1?wid=320&amp;op_usm=0.8",1)</f>
        <v/>
      </c>
      <c r="B243" s="7" t="inlineStr">
        <is>
          <t>ABC Slim-Fit Golf Trouser 32L</t>
        </is>
      </c>
      <c r="C243" s="7" t="inlineStr">
        <is>
          <t>155783529</t>
        </is>
      </c>
      <c r="D243" s="7" t="inlineStr">
        <is>
          <t>155783529-rainforestgreen</t>
        </is>
      </c>
      <c r="E243" s="7" t="inlineStr">
        <is>
          <t>ABC Slim-Fit Golf Trouser 32L RNFG 28</t>
        </is>
      </c>
      <c r="F243" s="7" t="inlineStr">
        <is>
          <t>$148.00</t>
        </is>
      </c>
      <c r="G243" s="7" t="inlineStr">
        <is>
          <t>$74.00</t>
        </is>
      </c>
      <c r="H243" s="7" t="inlineStr">
        <is>
          <t>Rainforest Green</t>
        </is>
      </c>
      <c r="I243" s="7">
        <f>IMAGE("https://images.lululemon.com/is/image/lululemon/49106",1)</f>
        <v/>
      </c>
      <c r="J243" s="7" t="inlineStr">
        <is>
          <t>40</t>
        </is>
      </c>
      <c r="K243" s="7" t="inlineStr">
        <is>
          <t>22/2426</t>
        </is>
      </c>
      <c r="L243" s="7" t="inlineStr">
        <is>
          <t>Yes</t>
        </is>
      </c>
      <c r="M243" s="7" t="inlineStr">
        <is>
          <t>From first swing to the final round, these golf pants are at the top of their game. Integrated ventilation and stretch fabric deliver comfort that lasts on and off the course.</t>
        </is>
      </c>
      <c r="N243" s="7" t="inlineStr">
        <is>
          <t>ABC-Slim-Fit-Golf-Trouser-32L</t>
        </is>
      </c>
      <c r="O243" s="7" t="inlineStr">
        <is>
          <t>Chinos</t>
        </is>
      </c>
    </row>
    <row r="244" ht="80" customHeight="1">
      <c r="A244" s="4">
        <f>IMAGE("https://images.lululemon.com/is/image/lululemon/LM5AWXS_0001_1?wid=320&amp;op_usm=0.8",1)</f>
        <v/>
      </c>
      <c r="B244" s="4" t="inlineStr">
        <is>
          <t>ABC Slim-Fit Golf Trouser 32L</t>
        </is>
      </c>
      <c r="C244" s="4" t="inlineStr">
        <is>
          <t>153125282</t>
        </is>
      </c>
      <c r="D244" s="4" t="inlineStr">
        <is>
          <t>153125282-truenavy</t>
        </is>
      </c>
      <c r="E244" s="4" t="inlineStr">
        <is>
          <t>ABC Slim-Fit Golf Trouser 32L RNFG 28</t>
        </is>
      </c>
      <c r="F244" s="4" t="inlineStr">
        <is>
          <t>$148.00</t>
        </is>
      </c>
      <c r="G244" s="4" t="inlineStr">
        <is>
          <t>$74.00</t>
        </is>
      </c>
      <c r="H244" s="4" t="inlineStr">
        <is>
          <t>True Navy</t>
        </is>
      </c>
      <c r="I244" s="4">
        <f>IMAGE("https://images.lululemon.com/is/image/lululemon/31382",1)</f>
        <v/>
      </c>
      <c r="J244" s="4" t="inlineStr">
        <is>
          <t>28</t>
        </is>
      </c>
      <c r="K244" s="4" t="inlineStr">
        <is>
          <t>15/2426</t>
        </is>
      </c>
      <c r="L244" s="4" t="inlineStr">
        <is>
          <t>Yes</t>
        </is>
      </c>
      <c r="M244" s="4" t="inlineStr">
        <is>
          <t>From first swing to the final round, these golf pants are at the top of their game. Integrated ventilation and stretch fabric deliver comfort that lasts on and off the course.</t>
        </is>
      </c>
      <c r="N244" s="4" t="inlineStr">
        <is>
          <t>ABC-Slim-Fit-Golf-Trouser-32L</t>
        </is>
      </c>
      <c r="O244" s="4" t="inlineStr">
        <is>
          <t>Chinos</t>
        </is>
      </c>
    </row>
    <row r="245" ht="80" customHeight="1">
      <c r="A245" s="7">
        <f>IMAGE("https://images.lululemon.com/is/image/lululemon/LM5AWXS_0001_1?wid=320&amp;op_usm=0.8",1)</f>
        <v/>
      </c>
      <c r="B245" s="7" t="inlineStr">
        <is>
          <t>ABC Slim-Fit Golf Trouser 32L</t>
        </is>
      </c>
      <c r="C245" s="7" t="inlineStr">
        <is>
          <t>153125306</t>
        </is>
      </c>
      <c r="D245" s="7" t="inlineStr">
        <is>
          <t>153125306-truenavy</t>
        </is>
      </c>
      <c r="E245" s="7" t="inlineStr">
        <is>
          <t>ABC Slim-Fit Golf Trouser 32L RNFG 28</t>
        </is>
      </c>
      <c r="F245" s="7" t="inlineStr">
        <is>
          <t>$148.00</t>
        </is>
      </c>
      <c r="G245" s="7" t="inlineStr">
        <is>
          <t>$74.00</t>
        </is>
      </c>
      <c r="H245" s="7" t="inlineStr">
        <is>
          <t>True Navy</t>
        </is>
      </c>
      <c r="I245" s="7">
        <f>IMAGE("https://images.lululemon.com/is/image/lululemon/31382",1)</f>
        <v/>
      </c>
      <c r="J245" s="7" t="inlineStr">
        <is>
          <t>30</t>
        </is>
      </c>
      <c r="K245" s="7" t="inlineStr">
        <is>
          <t>41/2426</t>
        </is>
      </c>
      <c r="L245" s="7" t="inlineStr">
        <is>
          <t>Yes</t>
        </is>
      </c>
      <c r="M245" s="7" t="inlineStr">
        <is>
          <t>From first swing to the final round, these golf pants are at the top of their game. Integrated ventilation and stretch fabric deliver comfort that lasts on and off the course.</t>
        </is>
      </c>
      <c r="N245" s="7" t="inlineStr">
        <is>
          <t>ABC-Slim-Fit-Golf-Trouser-32L</t>
        </is>
      </c>
      <c r="O245" s="7" t="inlineStr">
        <is>
          <t>Chinos</t>
        </is>
      </c>
    </row>
    <row r="246" ht="80" customHeight="1">
      <c r="A246" s="4">
        <f>IMAGE("https://images.lululemon.com/is/image/lululemon/LM5AWXS_0001_1?wid=320&amp;op_usm=0.8",1)</f>
        <v/>
      </c>
      <c r="B246" s="4" t="inlineStr">
        <is>
          <t>ABC Slim-Fit Golf Trouser 32L</t>
        </is>
      </c>
      <c r="C246" s="4" t="inlineStr">
        <is>
          <t>153125318</t>
        </is>
      </c>
      <c r="D246" s="4" t="inlineStr">
        <is>
          <t>153125318-truenavy</t>
        </is>
      </c>
      <c r="E246" s="4" t="inlineStr">
        <is>
          <t>ABC Slim-Fit Golf Trouser 32L RNFG 28</t>
        </is>
      </c>
      <c r="F246" s="4" t="inlineStr">
        <is>
          <t>$148.00</t>
        </is>
      </c>
      <c r="G246" s="4" t="inlineStr">
        <is>
          <t>$74.00</t>
        </is>
      </c>
      <c r="H246" s="4" t="inlineStr">
        <is>
          <t>True Navy</t>
        </is>
      </c>
      <c r="I246" s="4">
        <f>IMAGE("https://images.lululemon.com/is/image/lululemon/31382",1)</f>
        <v/>
      </c>
      <c r="J246" s="4" t="inlineStr">
        <is>
          <t>31</t>
        </is>
      </c>
      <c r="K246" s="4" t="inlineStr">
        <is>
          <t>23/2426</t>
        </is>
      </c>
      <c r="L246" s="4" t="inlineStr">
        <is>
          <t>Yes</t>
        </is>
      </c>
      <c r="M246" s="4" t="inlineStr">
        <is>
          <t>From first swing to the final round, these golf pants are at the top of their game. Integrated ventilation and stretch fabric deliver comfort that lasts on and off the course.</t>
        </is>
      </c>
      <c r="N246" s="4" t="inlineStr">
        <is>
          <t>ABC-Slim-Fit-Golf-Trouser-32L</t>
        </is>
      </c>
      <c r="O246" s="4" t="inlineStr">
        <is>
          <t>Chinos</t>
        </is>
      </c>
    </row>
    <row r="247" ht="80" customHeight="1">
      <c r="A247" s="7">
        <f>IMAGE("https://images.lululemon.com/is/image/lululemon/LM5AWXS_0001_1?wid=320&amp;op_usm=0.8",1)</f>
        <v/>
      </c>
      <c r="B247" s="7" t="inlineStr">
        <is>
          <t>ABC Slim-Fit Golf Trouser 32L</t>
        </is>
      </c>
      <c r="C247" s="7" t="inlineStr">
        <is>
          <t>153125328</t>
        </is>
      </c>
      <c r="D247" s="7" t="inlineStr">
        <is>
          <t>153125328-truenavy</t>
        </is>
      </c>
      <c r="E247" s="7" t="inlineStr">
        <is>
          <t>ABC Slim-Fit Golf Trouser 32L RNFG 28</t>
        </is>
      </c>
      <c r="F247" s="7" t="inlineStr">
        <is>
          <t>$148.00</t>
        </is>
      </c>
      <c r="G247" s="7" t="inlineStr">
        <is>
          <t>$74.00</t>
        </is>
      </c>
      <c r="H247" s="7" t="inlineStr">
        <is>
          <t>True Navy</t>
        </is>
      </c>
      <c r="I247" s="7">
        <f>IMAGE("https://images.lululemon.com/is/image/lululemon/31382",1)</f>
        <v/>
      </c>
      <c r="J247" s="7" t="inlineStr">
        <is>
          <t>32</t>
        </is>
      </c>
      <c r="K247" s="7" t="inlineStr">
        <is>
          <t>86/2426</t>
        </is>
      </c>
      <c r="L247" s="7" t="inlineStr">
        <is>
          <t>Yes</t>
        </is>
      </c>
      <c r="M247" s="7" t="inlineStr">
        <is>
          <t>From first swing to the final round, these golf pants are at the top of their game. Integrated ventilation and stretch fabric deliver comfort that lasts on and off the course.</t>
        </is>
      </c>
      <c r="N247" s="7" t="inlineStr">
        <is>
          <t>ABC-Slim-Fit-Golf-Trouser-32L</t>
        </is>
      </c>
      <c r="O247" s="7" t="inlineStr">
        <is>
          <t>Chinos</t>
        </is>
      </c>
    </row>
    <row r="248" ht="80" customHeight="1">
      <c r="A248" s="4">
        <f>IMAGE("https://images.lululemon.com/is/image/lululemon/LM5AWXS_0001_1?wid=320&amp;op_usm=0.8",1)</f>
        <v/>
      </c>
      <c r="B248" s="4" t="inlineStr">
        <is>
          <t>ABC Slim-Fit Golf Trouser 32L</t>
        </is>
      </c>
      <c r="C248" s="4" t="inlineStr">
        <is>
          <t>153125337</t>
        </is>
      </c>
      <c r="D248" s="4" t="inlineStr">
        <is>
          <t>153125337-truenavy</t>
        </is>
      </c>
      <c r="E248" s="4" t="inlineStr">
        <is>
          <t>ABC Slim-Fit Golf Trouser 32L RNFG 28</t>
        </is>
      </c>
      <c r="F248" s="4" t="inlineStr">
        <is>
          <t>$148.00</t>
        </is>
      </c>
      <c r="G248" s="4" t="inlineStr">
        <is>
          <t>$74.00</t>
        </is>
      </c>
      <c r="H248" s="4" t="inlineStr">
        <is>
          <t>True Navy</t>
        </is>
      </c>
      <c r="I248" s="4">
        <f>IMAGE("https://images.lululemon.com/is/image/lululemon/31382",1)</f>
        <v/>
      </c>
      <c r="J248" s="4" t="inlineStr">
        <is>
          <t>33</t>
        </is>
      </c>
      <c r="K248" s="4" t="inlineStr">
        <is>
          <t>40/2426</t>
        </is>
      </c>
      <c r="L248" s="4" t="inlineStr">
        <is>
          <t>Yes</t>
        </is>
      </c>
      <c r="M248" s="4" t="inlineStr">
        <is>
          <t>From first swing to the final round, these golf pants are at the top of their game. Integrated ventilation and stretch fabric deliver comfort that lasts on and off the course.</t>
        </is>
      </c>
      <c r="N248" s="4" t="inlineStr">
        <is>
          <t>ABC-Slim-Fit-Golf-Trouser-32L</t>
        </is>
      </c>
      <c r="O248" s="4" t="inlineStr">
        <is>
          <t>Chinos</t>
        </is>
      </c>
    </row>
    <row r="249" ht="80" customHeight="1">
      <c r="A249" s="7">
        <f>IMAGE("https://images.lululemon.com/is/image/lululemon/LM5AWXS_0001_1?wid=320&amp;op_usm=0.8",1)</f>
        <v/>
      </c>
      <c r="B249" s="7" t="inlineStr">
        <is>
          <t>ABC Slim-Fit Golf Trouser 32L</t>
        </is>
      </c>
      <c r="C249" s="7" t="inlineStr">
        <is>
          <t>153125346</t>
        </is>
      </c>
      <c r="D249" s="7" t="inlineStr">
        <is>
          <t>153125346-truenavy</t>
        </is>
      </c>
      <c r="E249" s="7" t="inlineStr">
        <is>
          <t>ABC Slim-Fit Golf Trouser 32L RNFG 28</t>
        </is>
      </c>
      <c r="F249" s="7" t="inlineStr">
        <is>
          <t>$148.00</t>
        </is>
      </c>
      <c r="G249" s="7" t="inlineStr">
        <is>
          <t>$74.00</t>
        </is>
      </c>
      <c r="H249" s="7" t="inlineStr">
        <is>
          <t>True Navy</t>
        </is>
      </c>
      <c r="I249" s="7">
        <f>IMAGE("https://images.lululemon.com/is/image/lululemon/31382",1)</f>
        <v/>
      </c>
      <c r="J249" s="7" t="inlineStr">
        <is>
          <t>34</t>
        </is>
      </c>
      <c r="K249" s="7" t="inlineStr">
        <is>
          <t>102/2426</t>
        </is>
      </c>
      <c r="L249" s="7" t="inlineStr">
        <is>
          <t>Yes</t>
        </is>
      </c>
      <c r="M249" s="7" t="inlineStr">
        <is>
          <t>From first swing to the final round, these golf pants are at the top of their game. Integrated ventilation and stretch fabric deliver comfort that lasts on and off the course.</t>
        </is>
      </c>
      <c r="N249" s="7" t="inlineStr">
        <is>
          <t>ABC-Slim-Fit-Golf-Trouser-32L</t>
        </is>
      </c>
      <c r="O249" s="7" t="inlineStr">
        <is>
          <t>Chinos</t>
        </is>
      </c>
    </row>
    <row r="250" ht="80" customHeight="1">
      <c r="A250" s="4">
        <f>IMAGE("https://images.lululemon.com/is/image/lululemon/LM5AWXS_0001_1?wid=320&amp;op_usm=0.8",1)</f>
        <v/>
      </c>
      <c r="B250" s="4" t="inlineStr">
        <is>
          <t>ABC Slim-Fit Golf Trouser 32L</t>
        </is>
      </c>
      <c r="C250" s="4" t="inlineStr">
        <is>
          <t>153125368</t>
        </is>
      </c>
      <c r="D250" s="4" t="inlineStr">
        <is>
          <t>153125368-truenavy</t>
        </is>
      </c>
      <c r="E250" s="4" t="inlineStr">
        <is>
          <t>ABC Slim-Fit Golf Trouser 32L RNFG 28</t>
        </is>
      </c>
      <c r="F250" s="4" t="inlineStr">
        <is>
          <t>$148.00</t>
        </is>
      </c>
      <c r="G250" s="4" t="inlineStr">
        <is>
          <t>$74.00</t>
        </is>
      </c>
      <c r="H250" s="4" t="inlineStr">
        <is>
          <t>True Navy</t>
        </is>
      </c>
      <c r="I250" s="4">
        <f>IMAGE("https://images.lululemon.com/is/image/lululemon/31382",1)</f>
        <v/>
      </c>
      <c r="J250" s="4" t="inlineStr">
        <is>
          <t>36</t>
        </is>
      </c>
      <c r="K250" s="4" t="inlineStr">
        <is>
          <t>86/2426</t>
        </is>
      </c>
      <c r="L250" s="4" t="inlineStr">
        <is>
          <t>Yes</t>
        </is>
      </c>
      <c r="M250" s="4" t="inlineStr">
        <is>
          <t>From first swing to the final round, these golf pants are at the top of their game. Integrated ventilation and stretch fabric deliver comfort that lasts on and off the course.</t>
        </is>
      </c>
      <c r="N250" s="4" t="inlineStr">
        <is>
          <t>ABC-Slim-Fit-Golf-Trouser-32L</t>
        </is>
      </c>
      <c r="O250" s="4" t="inlineStr">
        <is>
          <t>Chinos</t>
        </is>
      </c>
    </row>
    <row r="251" ht="80" customHeight="1">
      <c r="A251" s="7">
        <f>IMAGE("https://images.lululemon.com/is/image/lululemon/LM5AWXS_0001_1?wid=320&amp;op_usm=0.8",1)</f>
        <v/>
      </c>
      <c r="B251" s="7" t="inlineStr">
        <is>
          <t>ABC Slim-Fit Golf Trouser 32L</t>
        </is>
      </c>
      <c r="C251" s="7" t="inlineStr">
        <is>
          <t>153125389</t>
        </is>
      </c>
      <c r="D251" s="7" t="inlineStr">
        <is>
          <t>153125389-truenavy</t>
        </is>
      </c>
      <c r="E251" s="7" t="inlineStr">
        <is>
          <t>ABC Slim-Fit Golf Trouser 32L RNFG 28</t>
        </is>
      </c>
      <c r="F251" s="7" t="inlineStr">
        <is>
          <t>$148.00</t>
        </is>
      </c>
      <c r="G251" s="7" t="inlineStr">
        <is>
          <t>$74.00</t>
        </is>
      </c>
      <c r="H251" s="7" t="inlineStr">
        <is>
          <t>True Navy</t>
        </is>
      </c>
      <c r="I251" s="7">
        <f>IMAGE("https://images.lululemon.com/is/image/lululemon/31382",1)</f>
        <v/>
      </c>
      <c r="J251" s="7" t="inlineStr">
        <is>
          <t>38</t>
        </is>
      </c>
      <c r="K251" s="7" t="inlineStr">
        <is>
          <t>52/2426</t>
        </is>
      </c>
      <c r="L251" s="7" t="inlineStr">
        <is>
          <t>Yes</t>
        </is>
      </c>
      <c r="M251" s="7" t="inlineStr">
        <is>
          <t>From first swing to the final round, these golf pants are at the top of their game. Integrated ventilation and stretch fabric deliver comfort that lasts on and off the course.</t>
        </is>
      </c>
      <c r="N251" s="7" t="inlineStr">
        <is>
          <t>ABC-Slim-Fit-Golf-Trouser-32L</t>
        </is>
      </c>
      <c r="O251" s="7" t="inlineStr">
        <is>
          <t>Chinos</t>
        </is>
      </c>
    </row>
    <row r="252" ht="80" customHeight="1">
      <c r="A252" s="4">
        <f>IMAGE("https://images.lululemon.com/is/image/lululemon/LM5AWXS_0001_1?wid=320&amp;op_usm=0.8",1)</f>
        <v/>
      </c>
      <c r="B252" s="4" t="inlineStr">
        <is>
          <t>ABC Slim-Fit Golf Trouser 32L</t>
        </is>
      </c>
      <c r="C252" s="4" t="inlineStr">
        <is>
          <t>153125409</t>
        </is>
      </c>
      <c r="D252" s="4" t="inlineStr">
        <is>
          <t>153125409-truenavy</t>
        </is>
      </c>
      <c r="E252" s="4" t="inlineStr">
        <is>
          <t>ABC Slim-Fit Golf Trouser 32L RNFG 28</t>
        </is>
      </c>
      <c r="F252" s="4" t="inlineStr">
        <is>
          <t>$148.00</t>
        </is>
      </c>
      <c r="G252" s="4" t="inlineStr">
        <is>
          <t>$74.00</t>
        </is>
      </c>
      <c r="H252" s="4" t="inlineStr">
        <is>
          <t>True Navy</t>
        </is>
      </c>
      <c r="I252" s="4">
        <f>IMAGE("https://images.lululemon.com/is/image/lululemon/31382",1)</f>
        <v/>
      </c>
      <c r="J252" s="4" t="inlineStr">
        <is>
          <t>40</t>
        </is>
      </c>
      <c r="K252" s="4" t="inlineStr">
        <is>
          <t>25/2426</t>
        </is>
      </c>
      <c r="L252" s="4" t="inlineStr">
        <is>
          <t>Yes</t>
        </is>
      </c>
      <c r="M252" s="4" t="inlineStr">
        <is>
          <t>From first swing to the final round, these golf pants are at the top of their game. Integrated ventilation and stretch fabric deliver comfort that lasts on and off the course.</t>
        </is>
      </c>
      <c r="N252" s="4" t="inlineStr">
        <is>
          <t>ABC-Slim-Fit-Golf-Trouser-32L</t>
        </is>
      </c>
      <c r="O252" s="4" t="inlineStr">
        <is>
          <t>Chinos</t>
        </is>
      </c>
    </row>
    <row r="253" ht="80" customHeight="1">
      <c r="A253" s="7">
        <f>IMAGE("https://images.lululemon.com/is/image/lululemon/LM5AWXS_0001_1?wid=320&amp;op_usm=0.8",1)</f>
        <v/>
      </c>
      <c r="B253" s="7" t="inlineStr">
        <is>
          <t>ABC Slim-Fit Golf Trouser 32L</t>
        </is>
      </c>
      <c r="C253" s="7" t="inlineStr">
        <is>
          <t>155701754</t>
        </is>
      </c>
      <c r="D253" s="7" t="inlineStr">
        <is>
          <t>155701754-white</t>
        </is>
      </c>
      <c r="E253" s="7" t="inlineStr">
        <is>
          <t>ABC Slim-Fit Golf Trouser 32L RNFG 28</t>
        </is>
      </c>
      <c r="F253" s="7" t="inlineStr">
        <is>
          <t>$148.00</t>
        </is>
      </c>
      <c r="G253" s="7" t="inlineStr">
        <is>
          <t>$74.00</t>
        </is>
      </c>
      <c r="H253" s="7" t="inlineStr">
        <is>
          <t>White</t>
        </is>
      </c>
      <c r="I253" s="7">
        <f>IMAGE("https://images.lululemon.com/is/image/lululemon/0002",1)</f>
        <v/>
      </c>
      <c r="J253" s="7" t="inlineStr">
        <is>
          <t>28</t>
        </is>
      </c>
      <c r="K253" s="7" t="inlineStr">
        <is>
          <t>12/2426</t>
        </is>
      </c>
      <c r="L253" s="7" t="inlineStr">
        <is>
          <t>Yes</t>
        </is>
      </c>
      <c r="M253" s="7" t="inlineStr">
        <is>
          <t>From first swing to the final round, these golf pants are at the top of their game. Integrated ventilation and stretch fabric deliver comfort that lasts on and off the course.</t>
        </is>
      </c>
      <c r="N253" s="7" t="inlineStr">
        <is>
          <t>ABC-Slim-Fit-Golf-Trouser-32L</t>
        </is>
      </c>
      <c r="O253" s="7" t="inlineStr">
        <is>
          <t>Chinos</t>
        </is>
      </c>
    </row>
    <row r="254" ht="80" customHeight="1">
      <c r="A254" s="4">
        <f>IMAGE("https://images.lululemon.com/is/image/lululemon/LM5AWXS_0001_1?wid=320&amp;op_usm=0.8",1)</f>
        <v/>
      </c>
      <c r="B254" s="4" t="inlineStr">
        <is>
          <t>ABC Slim-Fit Golf Trouser 32L</t>
        </is>
      </c>
      <c r="C254" s="4" t="inlineStr">
        <is>
          <t>155701777</t>
        </is>
      </c>
      <c r="D254" s="4" t="inlineStr">
        <is>
          <t>155701777-white</t>
        </is>
      </c>
      <c r="E254" s="4" t="inlineStr">
        <is>
          <t>ABC Slim-Fit Golf Trouser 32L RNFG 28</t>
        </is>
      </c>
      <c r="F254" s="4" t="inlineStr">
        <is>
          <t>$148.00</t>
        </is>
      </c>
      <c r="G254" s="4" t="inlineStr">
        <is>
          <t>$74.00</t>
        </is>
      </c>
      <c r="H254" s="4" t="inlineStr">
        <is>
          <t>White</t>
        </is>
      </c>
      <c r="I254" s="4">
        <f>IMAGE("https://images.lululemon.com/is/image/lululemon/0002",1)</f>
        <v/>
      </c>
      <c r="J254" s="4" t="inlineStr">
        <is>
          <t>30</t>
        </is>
      </c>
      <c r="K254" s="4" t="inlineStr">
        <is>
          <t>48/2426</t>
        </is>
      </c>
      <c r="L254" s="4" t="inlineStr">
        <is>
          <t>Yes</t>
        </is>
      </c>
      <c r="M254" s="4" t="inlineStr">
        <is>
          <t>From first swing to the final round, these golf pants are at the top of their game. Integrated ventilation and stretch fabric deliver comfort that lasts on and off the course.</t>
        </is>
      </c>
      <c r="N254" s="4" t="inlineStr">
        <is>
          <t>ABC-Slim-Fit-Golf-Trouser-32L</t>
        </is>
      </c>
      <c r="O254" s="4" t="inlineStr">
        <is>
          <t>Chinos</t>
        </is>
      </c>
    </row>
    <row r="255" ht="80" customHeight="1">
      <c r="A255" s="7">
        <f>IMAGE("https://images.lululemon.com/is/image/lululemon/LM5AWXS_0001_1?wid=320&amp;op_usm=0.8",1)</f>
        <v/>
      </c>
      <c r="B255" s="7" t="inlineStr">
        <is>
          <t>ABC Slim-Fit Golf Trouser 32L</t>
        </is>
      </c>
      <c r="C255" s="7" t="inlineStr">
        <is>
          <t>155701788</t>
        </is>
      </c>
      <c r="D255" s="7" t="inlineStr">
        <is>
          <t>155701788-white</t>
        </is>
      </c>
      <c r="E255" s="7" t="inlineStr">
        <is>
          <t>ABC Slim-Fit Golf Trouser 32L RNFG 28</t>
        </is>
      </c>
      <c r="F255" s="7" t="inlineStr">
        <is>
          <t>$148.00</t>
        </is>
      </c>
      <c r="G255" s="7" t="inlineStr">
        <is>
          <t>$74.00</t>
        </is>
      </c>
      <c r="H255" s="7" t="inlineStr">
        <is>
          <t>White</t>
        </is>
      </c>
      <c r="I255" s="7">
        <f>IMAGE("https://images.lululemon.com/is/image/lululemon/0002",1)</f>
        <v/>
      </c>
      <c r="J255" s="7" t="inlineStr">
        <is>
          <t>31</t>
        </is>
      </c>
      <c r="K255" s="7" t="inlineStr">
        <is>
          <t>24/2426</t>
        </is>
      </c>
      <c r="L255" s="7" t="inlineStr">
        <is>
          <t>Yes</t>
        </is>
      </c>
      <c r="M255" s="7" t="inlineStr">
        <is>
          <t>From first swing to the final round, these golf pants are at the top of their game. Integrated ventilation and stretch fabric deliver comfort that lasts on and off the course.</t>
        </is>
      </c>
      <c r="N255" s="7" t="inlineStr">
        <is>
          <t>ABC-Slim-Fit-Golf-Trouser-32L</t>
        </is>
      </c>
      <c r="O255" s="7" t="inlineStr">
        <is>
          <t>Chinos</t>
        </is>
      </c>
    </row>
    <row r="256" ht="80" customHeight="1">
      <c r="A256" s="4">
        <f>IMAGE("https://images.lululemon.com/is/image/lululemon/LM5AWXS_0001_1?wid=320&amp;op_usm=0.8",1)</f>
        <v/>
      </c>
      <c r="B256" s="4" t="inlineStr">
        <is>
          <t>ABC Slim-Fit Golf Trouser 32L</t>
        </is>
      </c>
      <c r="C256" s="4" t="inlineStr">
        <is>
          <t>155701799</t>
        </is>
      </c>
      <c r="D256" s="4" t="inlineStr">
        <is>
          <t>155701799-white</t>
        </is>
      </c>
      <c r="E256" s="4" t="inlineStr">
        <is>
          <t>ABC Slim-Fit Golf Trouser 32L RNFG 28</t>
        </is>
      </c>
      <c r="F256" s="4" t="inlineStr">
        <is>
          <t>$148.00</t>
        </is>
      </c>
      <c r="G256" s="4" t="inlineStr">
        <is>
          <t>$74.00</t>
        </is>
      </c>
      <c r="H256" s="4" t="inlineStr">
        <is>
          <t>White</t>
        </is>
      </c>
      <c r="I256" s="4">
        <f>IMAGE("https://images.lululemon.com/is/image/lululemon/0002",1)</f>
        <v/>
      </c>
      <c r="J256" s="4" t="inlineStr">
        <is>
          <t>32</t>
        </is>
      </c>
      <c r="K256" s="4" t="inlineStr">
        <is>
          <t>101/2426</t>
        </is>
      </c>
      <c r="L256" s="4" t="inlineStr">
        <is>
          <t>Yes</t>
        </is>
      </c>
      <c r="M256" s="4" t="inlineStr">
        <is>
          <t>From first swing to the final round, these golf pants are at the top of their game. Integrated ventilation and stretch fabric deliver comfort that lasts on and off the course.</t>
        </is>
      </c>
      <c r="N256" s="4" t="inlineStr">
        <is>
          <t>ABC-Slim-Fit-Golf-Trouser-32L</t>
        </is>
      </c>
      <c r="O256" s="4" t="inlineStr">
        <is>
          <t>Chinos</t>
        </is>
      </c>
    </row>
    <row r="257" ht="80" customHeight="1">
      <c r="A257" s="7">
        <f>IMAGE("https://images.lululemon.com/is/image/lululemon/LM5AWXS_0001_1?wid=320&amp;op_usm=0.8",1)</f>
        <v/>
      </c>
      <c r="B257" s="7" t="inlineStr">
        <is>
          <t>ABC Slim-Fit Golf Trouser 32L</t>
        </is>
      </c>
      <c r="C257" s="7" t="inlineStr">
        <is>
          <t>155701813</t>
        </is>
      </c>
      <c r="D257" s="7" t="inlineStr">
        <is>
          <t>155701813-white</t>
        </is>
      </c>
      <c r="E257" s="7" t="inlineStr">
        <is>
          <t>ABC Slim-Fit Golf Trouser 32L RNFG 28</t>
        </is>
      </c>
      <c r="F257" s="7" t="inlineStr">
        <is>
          <t>$148.00</t>
        </is>
      </c>
      <c r="G257" s="7" t="inlineStr">
        <is>
          <t>$74.00</t>
        </is>
      </c>
      <c r="H257" s="7" t="inlineStr">
        <is>
          <t>White</t>
        </is>
      </c>
      <c r="I257" s="7">
        <f>IMAGE("https://images.lululemon.com/is/image/lululemon/0002",1)</f>
        <v/>
      </c>
      <c r="J257" s="7" t="inlineStr">
        <is>
          <t>33</t>
        </is>
      </c>
      <c r="K257" s="7" t="inlineStr">
        <is>
          <t>46/2426</t>
        </is>
      </c>
      <c r="L257" s="7" t="inlineStr">
        <is>
          <t>Yes</t>
        </is>
      </c>
      <c r="M257" s="7" t="inlineStr">
        <is>
          <t>From first swing to the final round, these golf pants are at the top of their game. Integrated ventilation and stretch fabric deliver comfort that lasts on and off the course.</t>
        </is>
      </c>
      <c r="N257" s="7" t="inlineStr">
        <is>
          <t>ABC-Slim-Fit-Golf-Trouser-32L</t>
        </is>
      </c>
      <c r="O257" s="7" t="inlineStr">
        <is>
          <t>Chinos</t>
        </is>
      </c>
    </row>
    <row r="258" ht="80" customHeight="1">
      <c r="A258" s="4">
        <f>IMAGE("https://images.lululemon.com/is/image/lululemon/LM5AWXS_0001_1?wid=320&amp;op_usm=0.8",1)</f>
        <v/>
      </c>
      <c r="B258" s="4" t="inlineStr">
        <is>
          <t>ABC Slim-Fit Golf Trouser 32L</t>
        </is>
      </c>
      <c r="C258" s="4" t="inlineStr">
        <is>
          <t>155701824</t>
        </is>
      </c>
      <c r="D258" s="4" t="inlineStr">
        <is>
          <t>155701824-white</t>
        </is>
      </c>
      <c r="E258" s="4" t="inlineStr">
        <is>
          <t>ABC Slim-Fit Golf Trouser 32L RNFG 28</t>
        </is>
      </c>
      <c r="F258" s="4" t="inlineStr">
        <is>
          <t>$148.00</t>
        </is>
      </c>
      <c r="G258" s="4" t="inlineStr">
        <is>
          <t>$74.00</t>
        </is>
      </c>
      <c r="H258" s="4" t="inlineStr">
        <is>
          <t>White</t>
        </is>
      </c>
      <c r="I258" s="4">
        <f>IMAGE("https://images.lululemon.com/is/image/lululemon/0002",1)</f>
        <v/>
      </c>
      <c r="J258" s="4" t="inlineStr">
        <is>
          <t>34</t>
        </is>
      </c>
      <c r="K258" s="4" t="inlineStr">
        <is>
          <t>115/2426</t>
        </is>
      </c>
      <c r="L258" s="4" t="inlineStr">
        <is>
          <t>Yes</t>
        </is>
      </c>
      <c r="M258" s="4" t="inlineStr">
        <is>
          <t>From first swing to the final round, these golf pants are at the top of their game. Integrated ventilation and stretch fabric deliver comfort that lasts on and off the course.</t>
        </is>
      </c>
      <c r="N258" s="4" t="inlineStr">
        <is>
          <t>ABC-Slim-Fit-Golf-Trouser-32L</t>
        </is>
      </c>
      <c r="O258" s="4" t="inlineStr">
        <is>
          <t>Chinos</t>
        </is>
      </c>
    </row>
    <row r="259" ht="80" customHeight="1">
      <c r="A259" s="7">
        <f>IMAGE("https://images.lululemon.com/is/image/lululemon/LM5AWXS_0001_1?wid=320&amp;op_usm=0.8",1)</f>
        <v/>
      </c>
      <c r="B259" s="7" t="inlineStr">
        <is>
          <t>ABC Slim-Fit Golf Trouser 32L</t>
        </is>
      </c>
      <c r="C259" s="7" t="inlineStr">
        <is>
          <t>155701844</t>
        </is>
      </c>
      <c r="D259" s="7" t="inlineStr">
        <is>
          <t>155701844-white</t>
        </is>
      </c>
      <c r="E259" s="7" t="inlineStr">
        <is>
          <t>ABC Slim-Fit Golf Trouser 32L RNFG 28</t>
        </is>
      </c>
      <c r="F259" s="7" t="inlineStr">
        <is>
          <t>$148.00</t>
        </is>
      </c>
      <c r="G259" s="7" t="inlineStr">
        <is>
          <t>$74.00</t>
        </is>
      </c>
      <c r="H259" s="7" t="inlineStr">
        <is>
          <t>White</t>
        </is>
      </c>
      <c r="I259" s="7">
        <f>IMAGE("https://images.lululemon.com/is/image/lululemon/0002",1)</f>
        <v/>
      </c>
      <c r="J259" s="7" t="inlineStr">
        <is>
          <t>36</t>
        </is>
      </c>
      <c r="K259" s="7" t="inlineStr">
        <is>
          <t>98/2426</t>
        </is>
      </c>
      <c r="L259" s="7" t="inlineStr">
        <is>
          <t>Yes</t>
        </is>
      </c>
      <c r="M259" s="7" t="inlineStr">
        <is>
          <t>From first swing to the final round, these golf pants are at the top of their game. Integrated ventilation and stretch fabric deliver comfort that lasts on and off the course.</t>
        </is>
      </c>
      <c r="N259" s="7" t="inlineStr">
        <is>
          <t>ABC-Slim-Fit-Golf-Trouser-32L</t>
        </is>
      </c>
      <c r="O259" s="7" t="inlineStr">
        <is>
          <t>Chinos</t>
        </is>
      </c>
    </row>
    <row r="260" ht="80" customHeight="1">
      <c r="A260" s="4">
        <f>IMAGE("https://images.lululemon.com/is/image/lululemon/LM5AWXS_0001_1?wid=320&amp;op_usm=0.8",1)</f>
        <v/>
      </c>
      <c r="B260" s="4" t="inlineStr">
        <is>
          <t>ABC Slim-Fit Golf Trouser 32L</t>
        </is>
      </c>
      <c r="C260" s="4" t="inlineStr">
        <is>
          <t>155701862</t>
        </is>
      </c>
      <c r="D260" s="4" t="inlineStr">
        <is>
          <t>155701862-white</t>
        </is>
      </c>
      <c r="E260" s="4" t="inlineStr">
        <is>
          <t>ABC Slim-Fit Golf Trouser 32L RNFG 28</t>
        </is>
      </c>
      <c r="F260" s="4" t="inlineStr">
        <is>
          <t>$148.00</t>
        </is>
      </c>
      <c r="G260" s="4" t="inlineStr">
        <is>
          <t>$74.00</t>
        </is>
      </c>
      <c r="H260" s="4" t="inlineStr">
        <is>
          <t>White</t>
        </is>
      </c>
      <c r="I260" s="4">
        <f>IMAGE("https://images.lululemon.com/is/image/lululemon/0002",1)</f>
        <v/>
      </c>
      <c r="J260" s="4" t="inlineStr">
        <is>
          <t>38</t>
        </is>
      </c>
      <c r="K260" s="4" t="inlineStr">
        <is>
          <t>55/2426</t>
        </is>
      </c>
      <c r="L260" s="4" t="inlineStr">
        <is>
          <t>Yes</t>
        </is>
      </c>
      <c r="M260" s="4" t="inlineStr">
        <is>
          <t>From first swing to the final round, these golf pants are at the top of their game. Integrated ventilation and stretch fabric deliver comfort that lasts on and off the course.</t>
        </is>
      </c>
      <c r="N260" s="4" t="inlineStr">
        <is>
          <t>ABC-Slim-Fit-Golf-Trouser-32L</t>
        </is>
      </c>
      <c r="O260" s="4" t="inlineStr">
        <is>
          <t>Chinos</t>
        </is>
      </c>
    </row>
    <row r="261" ht="80" customHeight="1">
      <c r="A261" s="7">
        <f>IMAGE("https://images.lululemon.com/is/image/lululemon/LM5AWXS_0001_1?wid=320&amp;op_usm=0.8",1)</f>
        <v/>
      </c>
      <c r="B261" s="7" t="inlineStr">
        <is>
          <t>ABC Slim-Fit Golf Trouser 32L</t>
        </is>
      </c>
      <c r="C261" s="7" t="inlineStr">
        <is>
          <t>155701879</t>
        </is>
      </c>
      <c r="D261" s="7" t="inlineStr">
        <is>
          <t>155701879-white</t>
        </is>
      </c>
      <c r="E261" s="7" t="inlineStr">
        <is>
          <t>ABC Slim-Fit Golf Trouser 32L RNFG 28</t>
        </is>
      </c>
      <c r="F261" s="7" t="inlineStr">
        <is>
          <t>$148.00</t>
        </is>
      </c>
      <c r="G261" s="7" t="inlineStr">
        <is>
          <t>$74.00</t>
        </is>
      </c>
      <c r="H261" s="7" t="inlineStr">
        <is>
          <t>White</t>
        </is>
      </c>
      <c r="I261" s="7">
        <f>IMAGE("https://images.lululemon.com/is/image/lululemon/0002",1)</f>
        <v/>
      </c>
      <c r="J261" s="7" t="inlineStr">
        <is>
          <t>40</t>
        </is>
      </c>
      <c r="K261" s="7" t="inlineStr">
        <is>
          <t>27/2426</t>
        </is>
      </c>
      <c r="L261" s="7" t="inlineStr">
        <is>
          <t>Yes</t>
        </is>
      </c>
      <c r="M261" s="7" t="inlineStr">
        <is>
          <t>From first swing to the final round, these golf pants are at the top of their game. Integrated ventilation and stretch fabric deliver comfort that lasts on and off the course.</t>
        </is>
      </c>
      <c r="N261" s="7" t="inlineStr">
        <is>
          <t>ABC-Slim-Fit-Golf-Trouser-32L</t>
        </is>
      </c>
      <c r="O261" s="7" t="inlineStr">
        <is>
          <t>Chinos</t>
        </is>
      </c>
    </row>
    <row r="262" ht="80" customHeight="1">
      <c r="A262" s="4">
        <f>IMAGE("https://images.lululemon.com/is/image/lululemon/LM5AWXS_0001_1?wid=320&amp;op_usm=0.8",1)</f>
        <v/>
      </c>
      <c r="B262" s="4" t="inlineStr">
        <is>
          <t>ABC Slim-Fit Golf Trouser 32L</t>
        </is>
      </c>
      <c r="C262" s="4" t="inlineStr">
        <is>
          <t>157704967</t>
        </is>
      </c>
      <c r="D262" s="4" t="inlineStr">
        <is>
          <t>157704967-foggreen</t>
        </is>
      </c>
      <c r="E262" s="4" t="inlineStr">
        <is>
          <t>ABC Slim-Fit Golf Trouser 32L RNFG 28</t>
        </is>
      </c>
      <c r="F262" s="4" t="inlineStr">
        <is>
          <t>$148.00</t>
        </is>
      </c>
      <c r="G262" s="4" t="inlineStr">
        <is>
          <t>$74.00</t>
        </is>
      </c>
      <c r="H262" s="4" t="inlineStr">
        <is>
          <t>Fog Green</t>
        </is>
      </c>
      <c r="I262" s="4">
        <f>IMAGE("https://images.lululemon.com/is/image/lululemon/70144",1)</f>
        <v/>
      </c>
      <c r="J262" s="4" t="inlineStr">
        <is>
          <t>28</t>
        </is>
      </c>
      <c r="K262" s="4" t="inlineStr">
        <is>
          <t>1/2426</t>
        </is>
      </c>
      <c r="L262" s="4" t="inlineStr">
        <is>
          <t>Yes</t>
        </is>
      </c>
      <c r="M262" s="4" t="inlineStr">
        <is>
          <t>From first swing to the final round, these golf pants are at the top of their game. Integrated ventilation and stretch fabric deliver comfort that lasts on and off the course.</t>
        </is>
      </c>
      <c r="N262" s="4" t="inlineStr">
        <is>
          <t>ABC-Slim-Fit-Golf-Trouser-32L</t>
        </is>
      </c>
      <c r="O262" s="4" t="inlineStr">
        <is>
          <t>Chinos</t>
        </is>
      </c>
    </row>
    <row r="263" ht="80" customHeight="1">
      <c r="A263" s="7">
        <f>IMAGE("https://images.lululemon.com/is/image/lululemon/LM5AWXS_0001_1?wid=320&amp;op_usm=0.8",1)</f>
        <v/>
      </c>
      <c r="B263" s="7" t="inlineStr">
        <is>
          <t>ABC Slim-Fit Golf Trouser 32L</t>
        </is>
      </c>
      <c r="C263" s="7" t="inlineStr">
        <is>
          <t>157704987</t>
        </is>
      </c>
      <c r="D263" s="7" t="inlineStr">
        <is>
          <t>157704987-foggreen</t>
        </is>
      </c>
      <c r="E263" s="7" t="inlineStr">
        <is>
          <t>ABC Slim-Fit Golf Trouser 32L RNFG 28</t>
        </is>
      </c>
      <c r="F263" s="7" t="inlineStr">
        <is>
          <t>$148.00</t>
        </is>
      </c>
      <c r="G263" s="7" t="inlineStr">
        <is>
          <t>$74.00</t>
        </is>
      </c>
      <c r="H263" s="7" t="inlineStr">
        <is>
          <t>Fog Green</t>
        </is>
      </c>
      <c r="I263" s="7">
        <f>IMAGE("https://images.lululemon.com/is/image/lululemon/70144",1)</f>
        <v/>
      </c>
      <c r="J263" s="7" t="inlineStr">
        <is>
          <t>30</t>
        </is>
      </c>
      <c r="K263" s="7" t="inlineStr">
        <is>
          <t>9/2426</t>
        </is>
      </c>
      <c r="L263" s="7" t="inlineStr">
        <is>
          <t>Yes</t>
        </is>
      </c>
      <c r="M263" s="7" t="inlineStr">
        <is>
          <t>From first swing to the final round, these golf pants are at the top of their game. Integrated ventilation and stretch fabric deliver comfort that lasts on and off the course.</t>
        </is>
      </c>
      <c r="N263" s="7" t="inlineStr">
        <is>
          <t>ABC-Slim-Fit-Golf-Trouser-32L</t>
        </is>
      </c>
      <c r="O263" s="7" t="inlineStr">
        <is>
          <t>Chinos</t>
        </is>
      </c>
    </row>
    <row r="264" ht="80" customHeight="1">
      <c r="A264" s="4">
        <f>IMAGE("https://images.lululemon.com/is/image/lululemon/LM5AWXS_0001_1?wid=320&amp;op_usm=0.8",1)</f>
        <v/>
      </c>
      <c r="B264" s="4" t="inlineStr">
        <is>
          <t>ABC Slim-Fit Golf Trouser 32L</t>
        </is>
      </c>
      <c r="C264" s="4" t="inlineStr">
        <is>
          <t>157704995</t>
        </is>
      </c>
      <c r="D264" s="4" t="inlineStr">
        <is>
          <t>157704995-foggreen</t>
        </is>
      </c>
      <c r="E264" s="4" t="inlineStr">
        <is>
          <t>ABC Slim-Fit Golf Trouser 32L RNFG 28</t>
        </is>
      </c>
      <c r="F264" s="4" t="inlineStr">
        <is>
          <t>$148.00</t>
        </is>
      </c>
      <c r="G264" s="4" t="inlineStr">
        <is>
          <t>$74.00</t>
        </is>
      </c>
      <c r="H264" s="4" t="inlineStr">
        <is>
          <t>Fog Green</t>
        </is>
      </c>
      <c r="I264" s="4">
        <f>IMAGE("https://images.lululemon.com/is/image/lululemon/70144",1)</f>
        <v/>
      </c>
      <c r="J264" s="4" t="inlineStr">
        <is>
          <t>31</t>
        </is>
      </c>
      <c r="K264" s="4" t="inlineStr">
        <is>
          <t>6/2426</t>
        </is>
      </c>
      <c r="L264" s="4" t="inlineStr">
        <is>
          <t>Yes</t>
        </is>
      </c>
      <c r="M264" s="4" t="inlineStr">
        <is>
          <t>From first swing to the final round, these golf pants are at the top of their game. Integrated ventilation and stretch fabric deliver comfort that lasts on and off the course.</t>
        </is>
      </c>
      <c r="N264" s="4" t="inlineStr">
        <is>
          <t>ABC-Slim-Fit-Golf-Trouser-32L</t>
        </is>
      </c>
      <c r="O264" s="4" t="inlineStr">
        <is>
          <t>Chinos</t>
        </is>
      </c>
    </row>
    <row r="265" ht="80" customHeight="1">
      <c r="A265" s="7">
        <f>IMAGE("https://images.lululemon.com/is/image/lululemon/LM5AWXS_0001_1?wid=320&amp;op_usm=0.8",1)</f>
        <v/>
      </c>
      <c r="B265" s="7" t="inlineStr">
        <is>
          <t>ABC Slim-Fit Golf Trouser 32L</t>
        </is>
      </c>
      <c r="C265" s="7" t="inlineStr">
        <is>
          <t>157705004</t>
        </is>
      </c>
      <c r="D265" s="7" t="inlineStr">
        <is>
          <t>157705004-foggreen</t>
        </is>
      </c>
      <c r="E265" s="7" t="inlineStr">
        <is>
          <t>ABC Slim-Fit Golf Trouser 32L RNFG 28</t>
        </is>
      </c>
      <c r="F265" s="7" t="inlineStr">
        <is>
          <t>$148.00</t>
        </is>
      </c>
      <c r="G265" s="7" t="inlineStr">
        <is>
          <t>$74.00</t>
        </is>
      </c>
      <c r="H265" s="7" t="inlineStr">
        <is>
          <t>Fog Green</t>
        </is>
      </c>
      <c r="I265" s="7">
        <f>IMAGE("https://images.lululemon.com/is/image/lululemon/70144",1)</f>
        <v/>
      </c>
      <c r="J265" s="7" t="inlineStr">
        <is>
          <t>32</t>
        </is>
      </c>
      <c r="K265" s="7" t="inlineStr">
        <is>
          <t>15/2426</t>
        </is>
      </c>
      <c r="L265" s="7" t="inlineStr">
        <is>
          <t>Yes</t>
        </is>
      </c>
      <c r="M265" s="7" t="inlineStr">
        <is>
          <t>From first swing to the final round, these golf pants are at the top of their game. Integrated ventilation and stretch fabric deliver comfort that lasts on and off the course.</t>
        </is>
      </c>
      <c r="N265" s="7" t="inlineStr">
        <is>
          <t>ABC-Slim-Fit-Golf-Trouser-32L</t>
        </is>
      </c>
      <c r="O265" s="7" t="inlineStr">
        <is>
          <t>Chinos</t>
        </is>
      </c>
    </row>
    <row r="266" ht="80" customHeight="1">
      <c r="A266" s="4">
        <f>IMAGE("https://images.lululemon.com/is/image/lululemon/LM5AWXS_0001_1?wid=320&amp;op_usm=0.8",1)</f>
        <v/>
      </c>
      <c r="B266" s="4" t="inlineStr">
        <is>
          <t>ABC Slim-Fit Golf Trouser 32L</t>
        </is>
      </c>
      <c r="C266" s="4" t="inlineStr">
        <is>
          <t>157705011</t>
        </is>
      </c>
      <c r="D266" s="4" t="inlineStr">
        <is>
          <t>157705011-foggreen</t>
        </is>
      </c>
      <c r="E266" s="4" t="inlineStr">
        <is>
          <t>ABC Slim-Fit Golf Trouser 32L RNFG 28</t>
        </is>
      </c>
      <c r="F266" s="4" t="inlineStr">
        <is>
          <t>$148.00</t>
        </is>
      </c>
      <c r="G266" s="4" t="inlineStr">
        <is>
          <t>$74.00</t>
        </is>
      </c>
      <c r="H266" s="4" t="inlineStr">
        <is>
          <t>Fog Green</t>
        </is>
      </c>
      <c r="I266" s="4">
        <f>IMAGE("https://images.lululemon.com/is/image/lululemon/70144",1)</f>
        <v/>
      </c>
      <c r="J266" s="4" t="inlineStr">
        <is>
          <t>33</t>
        </is>
      </c>
      <c r="K266" s="4" t="inlineStr">
        <is>
          <t>8/2426</t>
        </is>
      </c>
      <c r="L266" s="4" t="inlineStr">
        <is>
          <t>Yes</t>
        </is>
      </c>
      <c r="M266" s="4" t="inlineStr">
        <is>
          <t>From first swing to the final round, these golf pants are at the top of their game. Integrated ventilation and stretch fabric deliver comfort that lasts on and off the course.</t>
        </is>
      </c>
      <c r="N266" s="4" t="inlineStr">
        <is>
          <t>ABC-Slim-Fit-Golf-Trouser-32L</t>
        </is>
      </c>
      <c r="O266" s="4" t="inlineStr">
        <is>
          <t>Chinos</t>
        </is>
      </c>
    </row>
    <row r="267" ht="80" customHeight="1">
      <c r="A267" s="7">
        <f>IMAGE("https://images.lululemon.com/is/image/lululemon/LM5AWXS_0001_1?wid=320&amp;op_usm=0.8",1)</f>
        <v/>
      </c>
      <c r="B267" s="7" t="inlineStr">
        <is>
          <t>ABC Slim-Fit Golf Trouser 32L</t>
        </is>
      </c>
      <c r="C267" s="7" t="inlineStr">
        <is>
          <t>157705020</t>
        </is>
      </c>
      <c r="D267" s="7" t="inlineStr">
        <is>
          <t>157705020-foggreen</t>
        </is>
      </c>
      <c r="E267" s="7" t="inlineStr">
        <is>
          <t>ABC Slim-Fit Golf Trouser 32L RNFG 28</t>
        </is>
      </c>
      <c r="F267" s="7" t="inlineStr">
        <is>
          <t>$148.00</t>
        </is>
      </c>
      <c r="G267" s="7" t="inlineStr">
        <is>
          <t>$74.00</t>
        </is>
      </c>
      <c r="H267" s="7" t="inlineStr">
        <is>
          <t>Fog Green</t>
        </is>
      </c>
      <c r="I267" s="7">
        <f>IMAGE("https://images.lululemon.com/is/image/lululemon/70144",1)</f>
        <v/>
      </c>
      <c r="J267" s="7" t="inlineStr">
        <is>
          <t>34</t>
        </is>
      </c>
      <c r="K267" s="7" t="inlineStr">
        <is>
          <t>21/2426</t>
        </is>
      </c>
      <c r="L267" s="7" t="inlineStr">
        <is>
          <t>Yes</t>
        </is>
      </c>
      <c r="M267" s="7" t="inlineStr">
        <is>
          <t>From first swing to the final round, these golf pants are at the top of their game. Integrated ventilation and stretch fabric deliver comfort that lasts on and off the course.</t>
        </is>
      </c>
      <c r="N267" s="7" t="inlineStr">
        <is>
          <t>ABC-Slim-Fit-Golf-Trouser-32L</t>
        </is>
      </c>
      <c r="O267" s="7" t="inlineStr">
        <is>
          <t>Chinos</t>
        </is>
      </c>
    </row>
    <row r="268" ht="80" customHeight="1">
      <c r="A268" s="4">
        <f>IMAGE("https://images.lululemon.com/is/image/lululemon/LM5AWXS_0001_1?wid=320&amp;op_usm=0.8",1)</f>
        <v/>
      </c>
      <c r="B268" s="4" t="inlineStr">
        <is>
          <t>ABC Slim-Fit Golf Trouser 32L</t>
        </is>
      </c>
      <c r="C268" s="4" t="inlineStr">
        <is>
          <t>157705039</t>
        </is>
      </c>
      <c r="D268" s="4" t="inlineStr">
        <is>
          <t>157705039-foggreen</t>
        </is>
      </c>
      <c r="E268" s="4" t="inlineStr">
        <is>
          <t>ABC Slim-Fit Golf Trouser 32L RNFG 28</t>
        </is>
      </c>
      <c r="F268" s="4" t="inlineStr">
        <is>
          <t>$148.00</t>
        </is>
      </c>
      <c r="G268" s="4" t="inlineStr">
        <is>
          <t>$74.00</t>
        </is>
      </c>
      <c r="H268" s="4" t="inlineStr">
        <is>
          <t>Fog Green</t>
        </is>
      </c>
      <c r="I268" s="4">
        <f>IMAGE("https://images.lululemon.com/is/image/lululemon/70144",1)</f>
        <v/>
      </c>
      <c r="J268" s="4" t="inlineStr">
        <is>
          <t>36</t>
        </is>
      </c>
      <c r="K268" s="4" t="inlineStr">
        <is>
          <t>19/2426</t>
        </is>
      </c>
      <c r="L268" s="4" t="inlineStr">
        <is>
          <t>Yes</t>
        </is>
      </c>
      <c r="M268" s="4" t="inlineStr">
        <is>
          <t>From first swing to the final round, these golf pants are at the top of their game. Integrated ventilation and stretch fabric deliver comfort that lasts on and off the course.</t>
        </is>
      </c>
      <c r="N268" s="4" t="inlineStr">
        <is>
          <t>ABC-Slim-Fit-Golf-Trouser-32L</t>
        </is>
      </c>
      <c r="O268" s="4" t="inlineStr">
        <is>
          <t>Chinos</t>
        </is>
      </c>
    </row>
    <row r="269" ht="80" customHeight="1">
      <c r="A269" s="7">
        <f>IMAGE("https://images.lululemon.com/is/image/lululemon/LM5AWXS_0001_1?wid=320&amp;op_usm=0.8",1)</f>
        <v/>
      </c>
      <c r="B269" s="7" t="inlineStr">
        <is>
          <t>ABC Slim-Fit Golf Trouser 32L</t>
        </is>
      </c>
      <c r="C269" s="7" t="inlineStr">
        <is>
          <t>157705055</t>
        </is>
      </c>
      <c r="D269" s="7" t="inlineStr">
        <is>
          <t>157705055-foggreen</t>
        </is>
      </c>
      <c r="E269" s="7" t="inlineStr">
        <is>
          <t>ABC Slim-Fit Golf Trouser 32L RNFG 28</t>
        </is>
      </c>
      <c r="F269" s="7" t="inlineStr">
        <is>
          <t>$148.00</t>
        </is>
      </c>
      <c r="G269" s="7" t="inlineStr">
        <is>
          <t>$74.00</t>
        </is>
      </c>
      <c r="H269" s="7" t="inlineStr">
        <is>
          <t>Fog Green</t>
        </is>
      </c>
      <c r="I269" s="7">
        <f>IMAGE("https://images.lululemon.com/is/image/lululemon/70144",1)</f>
        <v/>
      </c>
      <c r="J269" s="7" t="inlineStr">
        <is>
          <t>38</t>
        </is>
      </c>
      <c r="K269" s="7" t="inlineStr">
        <is>
          <t>13/2426</t>
        </is>
      </c>
      <c r="L269" s="7" t="inlineStr">
        <is>
          <t>Yes</t>
        </is>
      </c>
      <c r="M269" s="7" t="inlineStr">
        <is>
          <t>From first swing to the final round, these golf pants are at the top of their game. Integrated ventilation and stretch fabric deliver comfort that lasts on and off the course.</t>
        </is>
      </c>
      <c r="N269" s="7" t="inlineStr">
        <is>
          <t>ABC-Slim-Fit-Golf-Trouser-32L</t>
        </is>
      </c>
      <c r="O269" s="7" t="inlineStr">
        <is>
          <t>Chinos</t>
        </is>
      </c>
    </row>
    <row r="270" ht="80" customHeight="1">
      <c r="A270" s="4">
        <f>IMAGE("https://images.lululemon.com/is/image/lululemon/LM5AWXS_0001_1?wid=320&amp;op_usm=0.8",1)</f>
        <v/>
      </c>
      <c r="B270" s="4" t="inlineStr">
        <is>
          <t>ABC Slim-Fit Golf Trouser 32L</t>
        </is>
      </c>
      <c r="C270" s="4" t="inlineStr">
        <is>
          <t>157705074</t>
        </is>
      </c>
      <c r="D270" s="4" t="inlineStr">
        <is>
          <t>157705074-foggreen</t>
        </is>
      </c>
      <c r="E270" s="4" t="inlineStr">
        <is>
          <t>ABC Slim-Fit Golf Trouser 32L RNFG 28</t>
        </is>
      </c>
      <c r="F270" s="4" t="inlineStr">
        <is>
          <t>$148.00</t>
        </is>
      </c>
      <c r="G270" s="4" t="inlineStr">
        <is>
          <t>$74.00</t>
        </is>
      </c>
      <c r="H270" s="4" t="inlineStr">
        <is>
          <t>Fog Green</t>
        </is>
      </c>
      <c r="I270" s="4">
        <f>IMAGE("https://images.lululemon.com/is/image/lululemon/70144",1)</f>
        <v/>
      </c>
      <c r="J270" s="4" t="inlineStr">
        <is>
          <t>40</t>
        </is>
      </c>
      <c r="K270" s="4" t="inlineStr">
        <is>
          <t>5/2426</t>
        </is>
      </c>
      <c r="L270" s="4" t="inlineStr">
        <is>
          <t>Yes</t>
        </is>
      </c>
      <c r="M270" s="4" t="inlineStr">
        <is>
          <t>From first swing to the final round, these golf pants are at the top of their game. Integrated ventilation and stretch fabric deliver comfort that lasts on and off the course.</t>
        </is>
      </c>
      <c r="N270" s="4" t="inlineStr">
        <is>
          <t>ABC-Slim-Fit-Golf-Trouser-32L</t>
        </is>
      </c>
      <c r="O270" s="4" t="inlineStr">
        <is>
          <t>Chinos</t>
        </is>
      </c>
    </row>
    <row r="271" ht="80" customHeight="1">
      <c r="A271" s="7">
        <f>IMAGE("https://images.lululemon.com/is/image/lululemon/LM5AWXS_0001_1?wid=320&amp;op_usm=0.8",1)</f>
        <v/>
      </c>
      <c r="B271" s="7" t="inlineStr">
        <is>
          <t>ABC Slim-Fit Golf Trouser 32L</t>
        </is>
      </c>
      <c r="C271" s="7" t="inlineStr">
        <is>
          <t>156481426</t>
        </is>
      </c>
      <c r="D271" s="7" t="inlineStr">
        <is>
          <t>156481426-clubblue</t>
        </is>
      </c>
      <c r="E271" s="7" t="inlineStr">
        <is>
          <t>ABC Slim-Fit Golf Trouser 32L RNFG 28</t>
        </is>
      </c>
      <c r="F271" s="7" t="inlineStr">
        <is>
          <t>$148.00</t>
        </is>
      </c>
      <c r="G271" s="7" t="inlineStr">
        <is>
          <t>$74.00</t>
        </is>
      </c>
      <c r="H271" s="7" t="inlineStr">
        <is>
          <t>Club Blue</t>
        </is>
      </c>
      <c r="I271" s="7">
        <f>IMAGE("https://images.lululemon.com/is/image/lululemon/68578",1)</f>
        <v/>
      </c>
      <c r="J271" s="7" t="inlineStr">
        <is>
          <t>28</t>
        </is>
      </c>
      <c r="K271" s="7" t="inlineStr">
        <is>
          <t>4/2426</t>
        </is>
      </c>
      <c r="L271" s="7" t="inlineStr">
        <is>
          <t>Yes</t>
        </is>
      </c>
      <c r="M271" s="7" t="inlineStr">
        <is>
          <t>From first swing to the final round, these golf pants are at the top of their game. Integrated ventilation and stretch fabric deliver comfort that lasts on and off the course.</t>
        </is>
      </c>
      <c r="N271" s="7" t="inlineStr">
        <is>
          <t>ABC-Slim-Fit-Golf-Trouser-32L</t>
        </is>
      </c>
      <c r="O271" s="7" t="inlineStr">
        <is>
          <t>Chinos</t>
        </is>
      </c>
    </row>
    <row r="272" ht="80" customHeight="1">
      <c r="A272" s="4">
        <f>IMAGE("https://images.lululemon.com/is/image/lululemon/LM5AWXS_0001_1?wid=320&amp;op_usm=0.8",1)</f>
        <v/>
      </c>
      <c r="B272" s="4" t="inlineStr">
        <is>
          <t>ABC Slim-Fit Golf Trouser 32L</t>
        </is>
      </c>
      <c r="C272" s="4" t="inlineStr">
        <is>
          <t>156481438</t>
        </is>
      </c>
      <c r="D272" s="4" t="inlineStr">
        <is>
          <t>156481438-clubblue</t>
        </is>
      </c>
      <c r="E272" s="4" t="inlineStr">
        <is>
          <t>ABC Slim-Fit Golf Trouser 32L RNFG 28</t>
        </is>
      </c>
      <c r="F272" s="4" t="inlineStr">
        <is>
          <t>$148.00</t>
        </is>
      </c>
      <c r="G272" s="4" t="inlineStr">
        <is>
          <t>$74.00</t>
        </is>
      </c>
      <c r="H272" s="4" t="inlineStr">
        <is>
          <t>Club Blue</t>
        </is>
      </c>
      <c r="I272" s="4">
        <f>IMAGE("https://images.lululemon.com/is/image/lululemon/68578",1)</f>
        <v/>
      </c>
      <c r="J272" s="4" t="inlineStr">
        <is>
          <t>30</t>
        </is>
      </c>
      <c r="K272" s="4" t="inlineStr">
        <is>
          <t>15/2426</t>
        </is>
      </c>
      <c r="L272" s="4" t="inlineStr">
        <is>
          <t>Yes</t>
        </is>
      </c>
      <c r="M272" s="4" t="inlineStr">
        <is>
          <t>From first swing to the final round, these golf pants are at the top of their game. Integrated ventilation and stretch fabric deliver comfort that lasts on and off the course.</t>
        </is>
      </c>
      <c r="N272" s="4" t="inlineStr">
        <is>
          <t>ABC-Slim-Fit-Golf-Trouser-32L</t>
        </is>
      </c>
      <c r="O272" s="4" t="inlineStr">
        <is>
          <t>Chinos</t>
        </is>
      </c>
    </row>
    <row r="273" ht="80" customHeight="1">
      <c r="A273" s="7">
        <f>IMAGE("https://images.lululemon.com/is/image/lululemon/LM5AWXS_0001_1?wid=320&amp;op_usm=0.8",1)</f>
        <v/>
      </c>
      <c r="B273" s="7" t="inlineStr">
        <is>
          <t>ABC Slim-Fit Golf Trouser 32L</t>
        </is>
      </c>
      <c r="C273" s="7" t="inlineStr">
        <is>
          <t>156481444</t>
        </is>
      </c>
      <c r="D273" s="7" t="inlineStr">
        <is>
          <t>156481444-clubblue</t>
        </is>
      </c>
      <c r="E273" s="7" t="inlineStr">
        <is>
          <t>ABC Slim-Fit Golf Trouser 32L RNFG 28</t>
        </is>
      </c>
      <c r="F273" s="7" t="inlineStr">
        <is>
          <t>$148.00</t>
        </is>
      </c>
      <c r="G273" s="7" t="inlineStr">
        <is>
          <t>$74.00</t>
        </is>
      </c>
      <c r="H273" s="7" t="inlineStr">
        <is>
          <t>Club Blue</t>
        </is>
      </c>
      <c r="I273" s="7">
        <f>IMAGE("https://images.lululemon.com/is/image/lululemon/68578",1)</f>
        <v/>
      </c>
      <c r="J273" s="7" t="inlineStr">
        <is>
          <t>31</t>
        </is>
      </c>
      <c r="K273" s="7" t="inlineStr">
        <is>
          <t>10/2426</t>
        </is>
      </c>
      <c r="L273" s="7" t="inlineStr">
        <is>
          <t>Yes</t>
        </is>
      </c>
      <c r="M273" s="7" t="inlineStr">
        <is>
          <t>From first swing to the final round, these golf pants are at the top of their game. Integrated ventilation and stretch fabric deliver comfort that lasts on and off the course.</t>
        </is>
      </c>
      <c r="N273" s="7" t="inlineStr">
        <is>
          <t>ABC-Slim-Fit-Golf-Trouser-32L</t>
        </is>
      </c>
      <c r="O273" s="7" t="inlineStr">
        <is>
          <t>Chinos</t>
        </is>
      </c>
    </row>
    <row r="274" ht="80" customHeight="1">
      <c r="A274" s="4">
        <f>IMAGE("https://images.lululemon.com/is/image/lululemon/LM5AWXS_0001_1?wid=320&amp;op_usm=0.8",1)</f>
        <v/>
      </c>
      <c r="B274" s="4" t="inlineStr">
        <is>
          <t>ABC Slim-Fit Golf Trouser 32L</t>
        </is>
      </c>
      <c r="C274" s="4" t="inlineStr">
        <is>
          <t>156481449</t>
        </is>
      </c>
      <c r="D274" s="4" t="inlineStr">
        <is>
          <t>156481449-clubblue</t>
        </is>
      </c>
      <c r="E274" s="4" t="inlineStr">
        <is>
          <t>ABC Slim-Fit Golf Trouser 32L RNFG 28</t>
        </is>
      </c>
      <c r="F274" s="4" t="inlineStr">
        <is>
          <t>$148.00</t>
        </is>
      </c>
      <c r="G274" s="4" t="inlineStr">
        <is>
          <t>$74.00</t>
        </is>
      </c>
      <c r="H274" s="4" t="inlineStr">
        <is>
          <t>Club Blue</t>
        </is>
      </c>
      <c r="I274" s="4">
        <f>IMAGE("https://images.lululemon.com/is/image/lululemon/68578",1)</f>
        <v/>
      </c>
      <c r="J274" s="4" t="inlineStr">
        <is>
          <t>32</t>
        </is>
      </c>
      <c r="K274" s="4" t="inlineStr">
        <is>
          <t>36/2426</t>
        </is>
      </c>
      <c r="L274" s="4" t="inlineStr">
        <is>
          <t>Yes</t>
        </is>
      </c>
      <c r="M274" s="4" t="inlineStr">
        <is>
          <t>From first swing to the final round, these golf pants are at the top of their game. Integrated ventilation and stretch fabric deliver comfort that lasts on and off the course.</t>
        </is>
      </c>
      <c r="N274" s="4" t="inlineStr">
        <is>
          <t>ABC-Slim-Fit-Golf-Trouser-32L</t>
        </is>
      </c>
      <c r="O274" s="4" t="inlineStr">
        <is>
          <t>Chinos</t>
        </is>
      </c>
    </row>
    <row r="275" ht="80" customHeight="1">
      <c r="A275" s="7">
        <f>IMAGE("https://images.lululemon.com/is/image/lululemon/LM5AWXS_0001_1?wid=320&amp;op_usm=0.8",1)</f>
        <v/>
      </c>
      <c r="B275" s="7" t="inlineStr">
        <is>
          <t>ABC Slim-Fit Golf Trouser 32L</t>
        </is>
      </c>
      <c r="C275" s="7" t="inlineStr">
        <is>
          <t>156481454</t>
        </is>
      </c>
      <c r="D275" s="7" t="inlineStr">
        <is>
          <t>156481454-clubblue</t>
        </is>
      </c>
      <c r="E275" s="7" t="inlineStr">
        <is>
          <t>ABC Slim-Fit Golf Trouser 32L RNFG 28</t>
        </is>
      </c>
      <c r="F275" s="7" t="inlineStr">
        <is>
          <t>$148.00</t>
        </is>
      </c>
      <c r="G275" s="7" t="inlineStr">
        <is>
          <t>$74.00</t>
        </is>
      </c>
      <c r="H275" s="7" t="inlineStr">
        <is>
          <t>Club Blue</t>
        </is>
      </c>
      <c r="I275" s="7">
        <f>IMAGE("https://images.lululemon.com/is/image/lululemon/68578",1)</f>
        <v/>
      </c>
      <c r="J275" s="7" t="inlineStr">
        <is>
          <t>33</t>
        </is>
      </c>
      <c r="K275" s="7" t="inlineStr">
        <is>
          <t>21/2426</t>
        </is>
      </c>
      <c r="L275" s="7" t="inlineStr">
        <is>
          <t>Yes</t>
        </is>
      </c>
      <c r="M275" s="7" t="inlineStr">
        <is>
          <t>From first swing to the final round, these golf pants are at the top of their game. Integrated ventilation and stretch fabric deliver comfort that lasts on and off the course.</t>
        </is>
      </c>
      <c r="N275" s="7" t="inlineStr">
        <is>
          <t>ABC-Slim-Fit-Golf-Trouser-32L</t>
        </is>
      </c>
      <c r="O275" s="7" t="inlineStr">
        <is>
          <t>Chinos</t>
        </is>
      </c>
    </row>
    <row r="276" ht="80" customHeight="1">
      <c r="A276" s="4">
        <f>IMAGE("https://images.lululemon.com/is/image/lululemon/LM5AWXS_0001_1?wid=320&amp;op_usm=0.8",1)</f>
        <v/>
      </c>
      <c r="B276" s="4" t="inlineStr">
        <is>
          <t>ABC Slim-Fit Golf Trouser 32L</t>
        </is>
      </c>
      <c r="C276" s="4" t="inlineStr">
        <is>
          <t>156481459</t>
        </is>
      </c>
      <c r="D276" s="4" t="inlineStr">
        <is>
          <t>156481459-clubblue</t>
        </is>
      </c>
      <c r="E276" s="4" t="inlineStr">
        <is>
          <t>ABC Slim-Fit Golf Trouser 32L RNFG 28</t>
        </is>
      </c>
      <c r="F276" s="4" t="inlineStr">
        <is>
          <t>$148.00</t>
        </is>
      </c>
      <c r="G276" s="4" t="inlineStr">
        <is>
          <t>$74.00</t>
        </is>
      </c>
      <c r="H276" s="4" t="inlineStr">
        <is>
          <t>Club Blue</t>
        </is>
      </c>
      <c r="I276" s="4">
        <f>IMAGE("https://images.lululemon.com/is/image/lululemon/68578",1)</f>
        <v/>
      </c>
      <c r="J276" s="4" t="inlineStr">
        <is>
          <t>34</t>
        </is>
      </c>
      <c r="K276" s="4" t="inlineStr">
        <is>
          <t>43/2426</t>
        </is>
      </c>
      <c r="L276" s="4" t="inlineStr">
        <is>
          <t>Yes</t>
        </is>
      </c>
      <c r="M276" s="4" t="inlineStr">
        <is>
          <t>From first swing to the final round, these golf pants are at the top of their game. Integrated ventilation and stretch fabric deliver comfort that lasts on and off the course.</t>
        </is>
      </c>
      <c r="N276" s="4" t="inlineStr">
        <is>
          <t>ABC-Slim-Fit-Golf-Trouser-32L</t>
        </is>
      </c>
      <c r="O276" s="4" t="inlineStr">
        <is>
          <t>Chinos</t>
        </is>
      </c>
    </row>
    <row r="277" ht="80" customHeight="1">
      <c r="A277" s="7">
        <f>IMAGE("https://images.lululemon.com/is/image/lululemon/LM5AWXS_0001_1?wid=320&amp;op_usm=0.8",1)</f>
        <v/>
      </c>
      <c r="B277" s="7" t="inlineStr">
        <is>
          <t>ABC Slim-Fit Golf Trouser 32L</t>
        </is>
      </c>
      <c r="C277" s="7" t="inlineStr">
        <is>
          <t>156481467</t>
        </is>
      </c>
      <c r="D277" s="7" t="inlineStr">
        <is>
          <t>156481467-clubblue</t>
        </is>
      </c>
      <c r="E277" s="7" t="inlineStr">
        <is>
          <t>ABC Slim-Fit Golf Trouser 32L RNFG 28</t>
        </is>
      </c>
      <c r="F277" s="7" t="inlineStr">
        <is>
          <t>$148.00</t>
        </is>
      </c>
      <c r="G277" s="7" t="inlineStr">
        <is>
          <t>$74.00</t>
        </is>
      </c>
      <c r="H277" s="7" t="inlineStr">
        <is>
          <t>Club Blue</t>
        </is>
      </c>
      <c r="I277" s="7">
        <f>IMAGE("https://images.lululemon.com/is/image/lululemon/68578",1)</f>
        <v/>
      </c>
      <c r="J277" s="7" t="inlineStr">
        <is>
          <t>36</t>
        </is>
      </c>
      <c r="K277" s="7" t="inlineStr">
        <is>
          <t>36/2426</t>
        </is>
      </c>
      <c r="L277" s="7" t="inlineStr">
        <is>
          <t>Yes</t>
        </is>
      </c>
      <c r="M277" s="7" t="inlineStr">
        <is>
          <t>From first swing to the final round, these golf pants are at the top of their game. Integrated ventilation and stretch fabric deliver comfort that lasts on and off the course.</t>
        </is>
      </c>
      <c r="N277" s="7" t="inlineStr">
        <is>
          <t>ABC-Slim-Fit-Golf-Trouser-32L</t>
        </is>
      </c>
      <c r="O277" s="7" t="inlineStr">
        <is>
          <t>Chinos</t>
        </is>
      </c>
    </row>
    <row r="278" ht="80" customHeight="1">
      <c r="A278" s="4">
        <f>IMAGE("https://images.lululemon.com/is/image/lululemon/LM5AWXS_0001_1?wid=320&amp;op_usm=0.8",1)</f>
        <v/>
      </c>
      <c r="B278" s="4" t="inlineStr">
        <is>
          <t>ABC Slim-Fit Golf Trouser 32L</t>
        </is>
      </c>
      <c r="C278" s="4" t="inlineStr">
        <is>
          <t>156481475</t>
        </is>
      </c>
      <c r="D278" s="4" t="inlineStr">
        <is>
          <t>156481475-clubblue</t>
        </is>
      </c>
      <c r="E278" s="4" t="inlineStr">
        <is>
          <t>ABC Slim-Fit Golf Trouser 32L RNFG 28</t>
        </is>
      </c>
      <c r="F278" s="4" t="inlineStr">
        <is>
          <t>$148.00</t>
        </is>
      </c>
      <c r="G278" s="4" t="inlineStr">
        <is>
          <t>$74.00</t>
        </is>
      </c>
      <c r="H278" s="4" t="inlineStr">
        <is>
          <t>Club Blue</t>
        </is>
      </c>
      <c r="I278" s="4">
        <f>IMAGE("https://images.lululemon.com/is/image/lululemon/68578",1)</f>
        <v/>
      </c>
      <c r="J278" s="4" t="inlineStr">
        <is>
          <t>38</t>
        </is>
      </c>
      <c r="K278" s="4" t="inlineStr">
        <is>
          <t>21/2426</t>
        </is>
      </c>
      <c r="L278" s="4" t="inlineStr">
        <is>
          <t>Yes</t>
        </is>
      </c>
      <c r="M278" s="4" t="inlineStr">
        <is>
          <t>From first swing to the final round, these golf pants are at the top of their game. Integrated ventilation and stretch fabric deliver comfort that lasts on and off the course.</t>
        </is>
      </c>
      <c r="N278" s="4" t="inlineStr">
        <is>
          <t>ABC-Slim-Fit-Golf-Trouser-32L</t>
        </is>
      </c>
      <c r="O278" s="4" t="inlineStr">
        <is>
          <t>Chinos</t>
        </is>
      </c>
    </row>
    <row r="279" ht="80" customHeight="1">
      <c r="A279" s="7">
        <f>IMAGE("https://images.lululemon.com/is/image/lululemon/LM5AWXS_0001_1?wid=320&amp;op_usm=0.8",1)</f>
        <v/>
      </c>
      <c r="B279" s="7" t="inlineStr">
        <is>
          <t>ABC Slim-Fit Golf Trouser 32L</t>
        </is>
      </c>
      <c r="C279" s="7" t="inlineStr">
        <is>
          <t>156481485</t>
        </is>
      </c>
      <c r="D279" s="7" t="inlineStr">
        <is>
          <t>156481485-clubblue</t>
        </is>
      </c>
      <c r="E279" s="7" t="inlineStr">
        <is>
          <t>ABC Slim-Fit Golf Trouser 32L RNFG 28</t>
        </is>
      </c>
      <c r="F279" s="7" t="inlineStr">
        <is>
          <t>$148.00</t>
        </is>
      </c>
      <c r="G279" s="7" t="inlineStr">
        <is>
          <t>$74.00</t>
        </is>
      </c>
      <c r="H279" s="7" t="inlineStr">
        <is>
          <t>Club Blue</t>
        </is>
      </c>
      <c r="I279" s="7">
        <f>IMAGE("https://images.lululemon.com/is/image/lululemon/68578",1)</f>
        <v/>
      </c>
      <c r="J279" s="7" t="inlineStr">
        <is>
          <t>40</t>
        </is>
      </c>
      <c r="K279" s="7" t="inlineStr">
        <is>
          <t>7/2426</t>
        </is>
      </c>
      <c r="L279" s="7" t="inlineStr">
        <is>
          <t>Yes</t>
        </is>
      </c>
      <c r="M279" s="7" t="inlineStr">
        <is>
          <t>From first swing to the final round, these golf pants are at the top of their game. Integrated ventilation and stretch fabric deliver comfort that lasts on and off the course.</t>
        </is>
      </c>
      <c r="N279" s="7" t="inlineStr">
        <is>
          <t>ABC-Slim-Fit-Golf-Trouser-32L</t>
        </is>
      </c>
      <c r="O279" s="7" t="inlineStr">
        <is>
          <t>Chinos</t>
        </is>
      </c>
    </row>
    <row r="280" ht="80" customHeight="1">
      <c r="A280" s="4">
        <f>IMAGE("https://images.lululemon.com/is/image/lululemon/LM5AWXS_0001_1?wid=320&amp;op_usm=0.8",1)</f>
        <v/>
      </c>
      <c r="B280" s="4" t="inlineStr">
        <is>
          <t>ABC Slim-Fit Golf Trouser 32L</t>
        </is>
      </c>
      <c r="C280" s="4" t="inlineStr">
        <is>
          <t>158020257</t>
        </is>
      </c>
      <c r="D280" s="4" t="inlineStr">
        <is>
          <t>158020257-onyxgrey</t>
        </is>
      </c>
      <c r="E280" s="4" t="inlineStr">
        <is>
          <t>ABC Slim-Fit Golf Trouser 32L RNFG 28</t>
        </is>
      </c>
      <c r="F280" s="4" t="inlineStr">
        <is>
          <t>$148.00</t>
        </is>
      </c>
      <c r="G280" s="4" t="inlineStr">
        <is>
          <t>$74.00</t>
        </is>
      </c>
      <c r="H280" s="4" t="inlineStr">
        <is>
          <t>Onyx Grey</t>
        </is>
      </c>
      <c r="I280" s="4">
        <f>IMAGE("https://images.lululemon.com/is/image/lululemon/72760",1)</f>
        <v/>
      </c>
      <c r="J280" s="4" t="inlineStr">
        <is>
          <t>28</t>
        </is>
      </c>
      <c r="K280" s="4" t="inlineStr">
        <is>
          <t>2/2426</t>
        </is>
      </c>
      <c r="L280" s="4" t="inlineStr">
        <is>
          <t>Yes</t>
        </is>
      </c>
      <c r="M280" s="4" t="inlineStr">
        <is>
          <t>From first swing to the final round, these golf pants are at the top of their game. Integrated ventilation and stretch fabric deliver comfort that lasts on and off the course.</t>
        </is>
      </c>
      <c r="N280" s="4" t="inlineStr">
        <is>
          <t>ABC-Slim-Fit-Golf-Trouser-32L</t>
        </is>
      </c>
      <c r="O280" s="4" t="inlineStr">
        <is>
          <t>Chinos</t>
        </is>
      </c>
    </row>
    <row r="281" ht="80" customHeight="1">
      <c r="A281" s="7">
        <f>IMAGE("https://images.lululemon.com/is/image/lululemon/LM5AWXS_0001_1?wid=320&amp;op_usm=0.8",1)</f>
        <v/>
      </c>
      <c r="B281" s="7" t="inlineStr">
        <is>
          <t>ABC Slim-Fit Golf Trouser 32L</t>
        </is>
      </c>
      <c r="C281" s="7" t="inlineStr">
        <is>
          <t>158020285</t>
        </is>
      </c>
      <c r="D281" s="7" t="inlineStr">
        <is>
          <t>158020285-onyxgrey</t>
        </is>
      </c>
      <c r="E281" s="7" t="inlineStr">
        <is>
          <t>ABC Slim-Fit Golf Trouser 32L RNFG 28</t>
        </is>
      </c>
      <c r="F281" s="7" t="inlineStr">
        <is>
          <t>$148.00</t>
        </is>
      </c>
      <c r="G281" s="7" t="inlineStr">
        <is>
          <t>$74.00</t>
        </is>
      </c>
      <c r="H281" s="7" t="inlineStr">
        <is>
          <t>Onyx Grey</t>
        </is>
      </c>
      <c r="I281" s="7">
        <f>IMAGE("https://images.lululemon.com/is/image/lululemon/72760",1)</f>
        <v/>
      </c>
      <c r="J281" s="7" t="inlineStr">
        <is>
          <t>30</t>
        </is>
      </c>
      <c r="K281" s="7" t="inlineStr">
        <is>
          <t>14/2426</t>
        </is>
      </c>
      <c r="L281" s="7" t="inlineStr">
        <is>
          <t>Yes</t>
        </is>
      </c>
      <c r="M281" s="7" t="inlineStr">
        <is>
          <t>From first swing to the final round, these golf pants are at the top of their game. Integrated ventilation and stretch fabric deliver comfort that lasts on and off the course.</t>
        </is>
      </c>
      <c r="N281" s="7" t="inlineStr">
        <is>
          <t>ABC-Slim-Fit-Golf-Trouser-32L</t>
        </is>
      </c>
      <c r="O281" s="7" t="inlineStr">
        <is>
          <t>Chinos</t>
        </is>
      </c>
    </row>
    <row r="282" ht="80" customHeight="1">
      <c r="A282" s="4">
        <f>IMAGE("https://images.lululemon.com/is/image/lululemon/LM5AWXS_0001_1?wid=320&amp;op_usm=0.8",1)</f>
        <v/>
      </c>
      <c r="B282" s="4" t="inlineStr">
        <is>
          <t>ABC Slim-Fit Golf Trouser 32L</t>
        </is>
      </c>
      <c r="C282" s="4" t="inlineStr">
        <is>
          <t>158020299</t>
        </is>
      </c>
      <c r="D282" s="4" t="inlineStr">
        <is>
          <t>158020299-onyxgrey</t>
        </is>
      </c>
      <c r="E282" s="4" t="inlineStr">
        <is>
          <t>ABC Slim-Fit Golf Trouser 32L RNFG 28</t>
        </is>
      </c>
      <c r="F282" s="4" t="inlineStr">
        <is>
          <t>$148.00</t>
        </is>
      </c>
      <c r="G282" s="4" t="inlineStr">
        <is>
          <t>$74.00</t>
        </is>
      </c>
      <c r="H282" s="4" t="inlineStr">
        <is>
          <t>Onyx Grey</t>
        </is>
      </c>
      <c r="I282" s="4">
        <f>IMAGE("https://images.lululemon.com/is/image/lululemon/72760",1)</f>
        <v/>
      </c>
      <c r="J282" s="4" t="inlineStr">
        <is>
          <t>31</t>
        </is>
      </c>
      <c r="K282" s="4" t="inlineStr">
        <is>
          <t>9/2426</t>
        </is>
      </c>
      <c r="L282" s="4" t="inlineStr">
        <is>
          <t>Yes</t>
        </is>
      </c>
      <c r="M282" s="4" t="inlineStr">
        <is>
          <t>From first swing to the final round, these golf pants are at the top of their game. Integrated ventilation and stretch fabric deliver comfort that lasts on and off the course.</t>
        </is>
      </c>
      <c r="N282" s="4" t="inlineStr">
        <is>
          <t>ABC-Slim-Fit-Golf-Trouser-32L</t>
        </is>
      </c>
      <c r="O282" s="4" t="inlineStr">
        <is>
          <t>Chinos</t>
        </is>
      </c>
    </row>
    <row r="283" ht="80" customHeight="1">
      <c r="A283" s="7">
        <f>IMAGE("https://images.lululemon.com/is/image/lululemon/LM5AWXS_0001_1?wid=320&amp;op_usm=0.8",1)</f>
        <v/>
      </c>
      <c r="B283" s="7" t="inlineStr">
        <is>
          <t>ABC Slim-Fit Golf Trouser 32L</t>
        </is>
      </c>
      <c r="C283" s="7" t="inlineStr">
        <is>
          <t>158020312</t>
        </is>
      </c>
      <c r="D283" s="7" t="inlineStr">
        <is>
          <t>158020312-onyxgrey</t>
        </is>
      </c>
      <c r="E283" s="7" t="inlineStr">
        <is>
          <t>ABC Slim-Fit Golf Trouser 32L RNFG 28</t>
        </is>
      </c>
      <c r="F283" s="7" t="inlineStr">
        <is>
          <t>$148.00</t>
        </is>
      </c>
      <c r="G283" s="7" t="inlineStr">
        <is>
          <t>$74.00</t>
        </is>
      </c>
      <c r="H283" s="7" t="inlineStr">
        <is>
          <t>Onyx Grey</t>
        </is>
      </c>
      <c r="I283" s="7">
        <f>IMAGE("https://images.lululemon.com/is/image/lululemon/72760",1)</f>
        <v/>
      </c>
      <c r="J283" s="7" t="inlineStr">
        <is>
          <t>32</t>
        </is>
      </c>
      <c r="K283" s="7" t="inlineStr">
        <is>
          <t>28/2426</t>
        </is>
      </c>
      <c r="L283" s="7" t="inlineStr">
        <is>
          <t>Yes</t>
        </is>
      </c>
      <c r="M283" s="7" t="inlineStr">
        <is>
          <t>From first swing to the final round, these golf pants are at the top of their game. Integrated ventilation and stretch fabric deliver comfort that lasts on and off the course.</t>
        </is>
      </c>
      <c r="N283" s="7" t="inlineStr">
        <is>
          <t>ABC-Slim-Fit-Golf-Trouser-32L</t>
        </is>
      </c>
      <c r="O283" s="7" t="inlineStr">
        <is>
          <t>Chinos</t>
        </is>
      </c>
    </row>
    <row r="284" ht="80" customHeight="1">
      <c r="A284" s="4">
        <f>IMAGE("https://images.lululemon.com/is/image/lululemon/LM5AWXS_0001_1?wid=320&amp;op_usm=0.8",1)</f>
        <v/>
      </c>
      <c r="B284" s="4" t="inlineStr">
        <is>
          <t>ABC Slim-Fit Golf Trouser 32L</t>
        </is>
      </c>
      <c r="C284" s="4" t="inlineStr">
        <is>
          <t>158020325</t>
        </is>
      </c>
      <c r="D284" s="4" t="inlineStr">
        <is>
          <t>158020325-onyxgrey</t>
        </is>
      </c>
      <c r="E284" s="4" t="inlineStr">
        <is>
          <t>ABC Slim-Fit Golf Trouser 32L RNFG 28</t>
        </is>
      </c>
      <c r="F284" s="4" t="inlineStr">
        <is>
          <t>$148.00</t>
        </is>
      </c>
      <c r="G284" s="4" t="inlineStr">
        <is>
          <t>$74.00</t>
        </is>
      </c>
      <c r="H284" s="4" t="inlineStr">
        <is>
          <t>Onyx Grey</t>
        </is>
      </c>
      <c r="I284" s="4">
        <f>IMAGE("https://images.lululemon.com/is/image/lululemon/72760",1)</f>
        <v/>
      </c>
      <c r="J284" s="4" t="inlineStr">
        <is>
          <t>33</t>
        </is>
      </c>
      <c r="K284" s="4" t="inlineStr">
        <is>
          <t>18/2426</t>
        </is>
      </c>
      <c r="L284" s="4" t="inlineStr">
        <is>
          <t>Yes</t>
        </is>
      </c>
      <c r="M284" s="4" t="inlineStr">
        <is>
          <t>From first swing to the final round, these golf pants are at the top of their game. Integrated ventilation and stretch fabric deliver comfort that lasts on and off the course.</t>
        </is>
      </c>
      <c r="N284" s="4" t="inlineStr">
        <is>
          <t>ABC-Slim-Fit-Golf-Trouser-32L</t>
        </is>
      </c>
      <c r="O284" s="4" t="inlineStr">
        <is>
          <t>Chinos</t>
        </is>
      </c>
    </row>
    <row r="285" ht="80" customHeight="1">
      <c r="A285" s="7">
        <f>IMAGE("https://images.lululemon.com/is/image/lululemon/LM5AWXS_0001_1?wid=320&amp;op_usm=0.8",1)</f>
        <v/>
      </c>
      <c r="B285" s="7" t="inlineStr">
        <is>
          <t>ABC Slim-Fit Golf Trouser 32L</t>
        </is>
      </c>
      <c r="C285" s="7" t="inlineStr">
        <is>
          <t>158020337</t>
        </is>
      </c>
      <c r="D285" s="7" t="inlineStr">
        <is>
          <t>158020337-onyxgrey</t>
        </is>
      </c>
      <c r="E285" s="7" t="inlineStr">
        <is>
          <t>ABC Slim-Fit Golf Trouser 32L RNFG 28</t>
        </is>
      </c>
      <c r="F285" s="7" t="inlineStr">
        <is>
          <t>$148.00</t>
        </is>
      </c>
      <c r="G285" s="7" t="inlineStr">
        <is>
          <t>$74.00</t>
        </is>
      </c>
      <c r="H285" s="7" t="inlineStr">
        <is>
          <t>Onyx Grey</t>
        </is>
      </c>
      <c r="I285" s="7">
        <f>IMAGE("https://images.lululemon.com/is/image/lululemon/72760",1)</f>
        <v/>
      </c>
      <c r="J285" s="7" t="inlineStr">
        <is>
          <t>34</t>
        </is>
      </c>
      <c r="K285" s="7" t="inlineStr">
        <is>
          <t>38/2426</t>
        </is>
      </c>
      <c r="L285" s="7" t="inlineStr">
        <is>
          <t>Yes</t>
        </is>
      </c>
      <c r="M285" s="7" t="inlineStr">
        <is>
          <t>From first swing to the final round, these golf pants are at the top of their game. Integrated ventilation and stretch fabric deliver comfort that lasts on and off the course.</t>
        </is>
      </c>
      <c r="N285" s="7" t="inlineStr">
        <is>
          <t>ABC-Slim-Fit-Golf-Trouser-32L</t>
        </is>
      </c>
      <c r="O285" s="7" t="inlineStr">
        <is>
          <t>Chinos</t>
        </is>
      </c>
    </row>
    <row r="286" ht="80" customHeight="1">
      <c r="A286" s="4">
        <f>IMAGE("https://images.lululemon.com/is/image/lululemon/LM5AWXS_0001_1?wid=320&amp;op_usm=0.8",1)</f>
        <v/>
      </c>
      <c r="B286" s="4" t="inlineStr">
        <is>
          <t>ABC Slim-Fit Golf Trouser 32L</t>
        </is>
      </c>
      <c r="C286" s="4" t="inlineStr">
        <is>
          <t>158020366</t>
        </is>
      </c>
      <c r="D286" s="4" t="inlineStr">
        <is>
          <t>158020366-onyxgrey</t>
        </is>
      </c>
      <c r="E286" s="4" t="inlineStr">
        <is>
          <t>ABC Slim-Fit Golf Trouser 32L RNFG 28</t>
        </is>
      </c>
      <c r="F286" s="4" t="inlineStr">
        <is>
          <t>$148.00</t>
        </is>
      </c>
      <c r="G286" s="4" t="inlineStr">
        <is>
          <t>$74.00</t>
        </is>
      </c>
      <c r="H286" s="4" t="inlineStr">
        <is>
          <t>Onyx Grey</t>
        </is>
      </c>
      <c r="I286" s="4">
        <f>IMAGE("https://images.lululemon.com/is/image/lululemon/72760",1)</f>
        <v/>
      </c>
      <c r="J286" s="4" t="inlineStr">
        <is>
          <t>36</t>
        </is>
      </c>
      <c r="K286" s="4" t="inlineStr">
        <is>
          <t>29/2426</t>
        </is>
      </c>
      <c r="L286" s="4" t="inlineStr">
        <is>
          <t>Yes</t>
        </is>
      </c>
      <c r="M286" s="4" t="inlineStr">
        <is>
          <t>From first swing to the final round, these golf pants are at the top of their game. Integrated ventilation and stretch fabric deliver comfort that lasts on and off the course.</t>
        </is>
      </c>
      <c r="N286" s="4" t="inlineStr">
        <is>
          <t>ABC-Slim-Fit-Golf-Trouser-32L</t>
        </is>
      </c>
      <c r="O286" s="4" t="inlineStr">
        <is>
          <t>Chinos</t>
        </is>
      </c>
    </row>
    <row r="287" ht="80" customHeight="1">
      <c r="A287" s="7">
        <f>IMAGE("https://images.lululemon.com/is/image/lululemon/LM5AWXS_0001_1?wid=320&amp;op_usm=0.8",1)</f>
        <v/>
      </c>
      <c r="B287" s="7" t="inlineStr">
        <is>
          <t>ABC Slim-Fit Golf Trouser 32L</t>
        </is>
      </c>
      <c r="C287" s="7" t="inlineStr">
        <is>
          <t>158020379</t>
        </is>
      </c>
      <c r="D287" s="7" t="inlineStr">
        <is>
          <t>158020379-onyxgrey</t>
        </is>
      </c>
      <c r="E287" s="7" t="inlineStr">
        <is>
          <t>ABC Slim-Fit Golf Trouser 32L RNFG 28</t>
        </is>
      </c>
      <c r="F287" s="7" t="inlineStr">
        <is>
          <t>$148.00</t>
        </is>
      </c>
      <c r="G287" s="7" t="inlineStr">
        <is>
          <t>$74.00</t>
        </is>
      </c>
      <c r="H287" s="7" t="inlineStr">
        <is>
          <t>Onyx Grey</t>
        </is>
      </c>
      <c r="I287" s="7">
        <f>IMAGE("https://images.lululemon.com/is/image/lululemon/72760",1)</f>
        <v/>
      </c>
      <c r="J287" s="7" t="inlineStr">
        <is>
          <t>38</t>
        </is>
      </c>
      <c r="K287" s="7" t="inlineStr">
        <is>
          <t>18/2426</t>
        </is>
      </c>
      <c r="L287" s="7" t="inlineStr">
        <is>
          <t>Yes</t>
        </is>
      </c>
      <c r="M287" s="7" t="inlineStr">
        <is>
          <t>From first swing to the final round, these golf pants are at the top of their game. Integrated ventilation and stretch fabric deliver comfort that lasts on and off the course.</t>
        </is>
      </c>
      <c r="N287" s="7" t="inlineStr">
        <is>
          <t>ABC-Slim-Fit-Golf-Trouser-32L</t>
        </is>
      </c>
      <c r="O287" s="7" t="inlineStr">
        <is>
          <t>Chinos</t>
        </is>
      </c>
    </row>
    <row r="288" ht="80" customHeight="1">
      <c r="A288" s="4">
        <f>IMAGE("https://images.lululemon.com/is/image/lululemon/LM5AWXS_0001_1?wid=320&amp;op_usm=0.8",1)</f>
        <v/>
      </c>
      <c r="B288" s="4" t="inlineStr">
        <is>
          <t>ABC Slim-Fit Golf Trouser 32L</t>
        </is>
      </c>
      <c r="C288" s="4" t="inlineStr">
        <is>
          <t>158020392</t>
        </is>
      </c>
      <c r="D288" s="4" t="inlineStr">
        <is>
          <t>158020392-onyxgrey</t>
        </is>
      </c>
      <c r="E288" s="4" t="inlineStr">
        <is>
          <t>ABC Slim-Fit Golf Trouser 32L RNFG 28</t>
        </is>
      </c>
      <c r="F288" s="4" t="inlineStr">
        <is>
          <t>$148.00</t>
        </is>
      </c>
      <c r="G288" s="4" t="inlineStr">
        <is>
          <t>$74.00</t>
        </is>
      </c>
      <c r="H288" s="4" t="inlineStr">
        <is>
          <t>Onyx Grey</t>
        </is>
      </c>
      <c r="I288" s="4">
        <f>IMAGE("https://images.lululemon.com/is/image/lululemon/72760",1)</f>
        <v/>
      </c>
      <c r="J288" s="4" t="inlineStr">
        <is>
          <t>40</t>
        </is>
      </c>
      <c r="K288" s="4" t="inlineStr">
        <is>
          <t>7/2426</t>
        </is>
      </c>
      <c r="L288" s="4" t="inlineStr">
        <is>
          <t>Yes</t>
        </is>
      </c>
      <c r="M288" s="4" t="inlineStr">
        <is>
          <t>From first swing to the final round, these golf pants are at the top of their game. Integrated ventilation and stretch fabric deliver comfort that lasts on and off the course.</t>
        </is>
      </c>
      <c r="N288" s="4" t="inlineStr">
        <is>
          <t>ABC-Slim-Fit-Golf-Trouser-32L</t>
        </is>
      </c>
      <c r="O288" s="4" t="inlineStr">
        <is>
          <t>Chinos</t>
        </is>
      </c>
    </row>
    <row r="289" ht="80" customHeight="1">
      <c r="A289" s="7">
        <f>IMAGE("https://images.lululemon.com/is/image/lululemon/LM5AWXS_0001_1?wid=320&amp;op_usm=0.8",1)</f>
        <v/>
      </c>
      <c r="B289" s="7" t="inlineStr">
        <is>
          <t>ABC Slim-Fit Golf Trouser 32L</t>
        </is>
      </c>
      <c r="C289" s="7" t="inlineStr">
        <is>
          <t>157704825</t>
        </is>
      </c>
      <c r="D289" s="7" t="inlineStr">
        <is>
          <t>157704825-lightivory</t>
        </is>
      </c>
      <c r="E289" s="7" t="inlineStr">
        <is>
          <t>ABC Slim-Fit Golf Trouser 32L RNFG 28</t>
        </is>
      </c>
      <c r="F289" s="7" t="inlineStr">
        <is>
          <t>$148.00</t>
        </is>
      </c>
      <c r="G289" s="7" t="inlineStr">
        <is>
          <t>$74.00</t>
        </is>
      </c>
      <c r="H289" s="7" t="inlineStr">
        <is>
          <t>Light Ivory</t>
        </is>
      </c>
      <c r="I289" s="7">
        <f>IMAGE("https://images.lululemon.com/is/image/lululemon/33454",1)</f>
        <v/>
      </c>
      <c r="J289" s="7" t="inlineStr">
        <is>
          <t>28</t>
        </is>
      </c>
      <c r="K289" s="7" t="inlineStr">
        <is>
          <t>4/2426</t>
        </is>
      </c>
      <c r="L289" s="7" t="inlineStr">
        <is>
          <t>Yes</t>
        </is>
      </c>
      <c r="M289" s="7" t="inlineStr">
        <is>
          <t>From first swing to the final round, these golf pants are at the top of their game. Integrated ventilation and stretch fabric deliver comfort that lasts on and off the course.</t>
        </is>
      </c>
      <c r="N289" s="7" t="inlineStr">
        <is>
          <t>ABC-Slim-Fit-Golf-Trouser-32L</t>
        </is>
      </c>
      <c r="O289" s="7" t="inlineStr">
        <is>
          <t>Chinos</t>
        </is>
      </c>
    </row>
    <row r="290" ht="80" customHeight="1">
      <c r="A290" s="4">
        <f>IMAGE("https://images.lululemon.com/is/image/lululemon/LM5AWXS_0001_1?wid=320&amp;op_usm=0.8",1)</f>
        <v/>
      </c>
      <c r="B290" s="4" t="inlineStr">
        <is>
          <t>ABC Slim-Fit Golf Trouser 32L</t>
        </is>
      </c>
      <c r="C290" s="4" t="inlineStr">
        <is>
          <t>157704842</t>
        </is>
      </c>
      <c r="D290" s="4" t="inlineStr">
        <is>
          <t>157704842-lightivory</t>
        </is>
      </c>
      <c r="E290" s="4" t="inlineStr">
        <is>
          <t>ABC Slim-Fit Golf Trouser 32L RNFG 28</t>
        </is>
      </c>
      <c r="F290" s="4" t="inlineStr">
        <is>
          <t>$148.00</t>
        </is>
      </c>
      <c r="G290" s="4" t="inlineStr">
        <is>
          <t>$74.00</t>
        </is>
      </c>
      <c r="H290" s="4" t="inlineStr">
        <is>
          <t>Light Ivory</t>
        </is>
      </c>
      <c r="I290" s="4">
        <f>IMAGE("https://images.lululemon.com/is/image/lululemon/33454",1)</f>
        <v/>
      </c>
      <c r="J290" s="4" t="inlineStr">
        <is>
          <t>30</t>
        </is>
      </c>
      <c r="K290" s="4" t="inlineStr">
        <is>
          <t>18/2426</t>
        </is>
      </c>
      <c r="L290" s="4" t="inlineStr">
        <is>
          <t>Yes</t>
        </is>
      </c>
      <c r="M290" s="4" t="inlineStr">
        <is>
          <t>From first swing to the final round, these golf pants are at the top of their game. Integrated ventilation and stretch fabric deliver comfort that lasts on and off the course.</t>
        </is>
      </c>
      <c r="N290" s="4" t="inlineStr">
        <is>
          <t>ABC-Slim-Fit-Golf-Trouser-32L</t>
        </is>
      </c>
      <c r="O290" s="4" t="inlineStr">
        <is>
          <t>Chinos</t>
        </is>
      </c>
    </row>
    <row r="291" ht="80" customHeight="1">
      <c r="A291" s="7">
        <f>IMAGE("https://images.lululemon.com/is/image/lululemon/LM5AWXS_0001_1?wid=320&amp;op_usm=0.8",1)</f>
        <v/>
      </c>
      <c r="B291" s="7" t="inlineStr">
        <is>
          <t>ABC Slim-Fit Golf Trouser 32L</t>
        </is>
      </c>
      <c r="C291" s="7" t="inlineStr">
        <is>
          <t>157704852</t>
        </is>
      </c>
      <c r="D291" s="7" t="inlineStr">
        <is>
          <t>157704852-lightivory</t>
        </is>
      </c>
      <c r="E291" s="7" t="inlineStr">
        <is>
          <t>ABC Slim-Fit Golf Trouser 32L RNFG 28</t>
        </is>
      </c>
      <c r="F291" s="7" t="inlineStr">
        <is>
          <t>$148.00</t>
        </is>
      </c>
      <c r="G291" s="7" t="inlineStr">
        <is>
          <t>$74.00</t>
        </is>
      </c>
      <c r="H291" s="7" t="inlineStr">
        <is>
          <t>Light Ivory</t>
        </is>
      </c>
      <c r="I291" s="7">
        <f>IMAGE("https://images.lululemon.com/is/image/lululemon/33454",1)</f>
        <v/>
      </c>
      <c r="J291" s="7" t="inlineStr">
        <is>
          <t>31</t>
        </is>
      </c>
      <c r="K291" s="7" t="inlineStr">
        <is>
          <t>12/2426</t>
        </is>
      </c>
      <c r="L291" s="7" t="inlineStr">
        <is>
          <t>Yes</t>
        </is>
      </c>
      <c r="M291" s="7" t="inlineStr">
        <is>
          <t>From first swing to the final round, these golf pants are at the top of their game. Integrated ventilation and stretch fabric deliver comfort that lasts on and off the course.</t>
        </is>
      </c>
      <c r="N291" s="7" t="inlineStr">
        <is>
          <t>ABC-Slim-Fit-Golf-Trouser-32L</t>
        </is>
      </c>
      <c r="O291" s="7" t="inlineStr">
        <is>
          <t>Chinos</t>
        </is>
      </c>
    </row>
    <row r="292" ht="80" customHeight="1">
      <c r="A292" s="4">
        <f>IMAGE("https://images.lululemon.com/is/image/lululemon/LM5AWXS_0001_1?wid=320&amp;op_usm=0.8",1)</f>
        <v/>
      </c>
      <c r="B292" s="4" t="inlineStr">
        <is>
          <t>ABC Slim-Fit Golf Trouser 32L</t>
        </is>
      </c>
      <c r="C292" s="4" t="inlineStr">
        <is>
          <t>157704863</t>
        </is>
      </c>
      <c r="D292" s="4" t="inlineStr">
        <is>
          <t>157704863-lightivory</t>
        </is>
      </c>
      <c r="E292" s="4" t="inlineStr">
        <is>
          <t>ABC Slim-Fit Golf Trouser 32L RNFG 28</t>
        </is>
      </c>
      <c r="F292" s="4" t="inlineStr">
        <is>
          <t>$148.00</t>
        </is>
      </c>
      <c r="G292" s="4" t="inlineStr">
        <is>
          <t>$74.00</t>
        </is>
      </c>
      <c r="H292" s="4" t="inlineStr">
        <is>
          <t>Light Ivory</t>
        </is>
      </c>
      <c r="I292" s="4">
        <f>IMAGE("https://images.lululemon.com/is/image/lululemon/33454",1)</f>
        <v/>
      </c>
      <c r="J292" s="4" t="inlineStr">
        <is>
          <t>32</t>
        </is>
      </c>
      <c r="K292" s="4" t="inlineStr">
        <is>
          <t>40/2426</t>
        </is>
      </c>
      <c r="L292" s="4" t="inlineStr">
        <is>
          <t>Yes</t>
        </is>
      </c>
      <c r="M292" s="4" t="inlineStr">
        <is>
          <t>From first swing to the final round, these golf pants are at the top of their game. Integrated ventilation and stretch fabric deliver comfort that lasts on and off the course.</t>
        </is>
      </c>
      <c r="N292" s="4" t="inlineStr">
        <is>
          <t>ABC-Slim-Fit-Golf-Trouser-32L</t>
        </is>
      </c>
      <c r="O292" s="4" t="inlineStr">
        <is>
          <t>Chinos</t>
        </is>
      </c>
    </row>
    <row r="293" ht="80" customHeight="1">
      <c r="A293" s="7">
        <f>IMAGE("https://images.lululemon.com/is/image/lululemon/LM5AWXS_0001_1?wid=320&amp;op_usm=0.8",1)</f>
        <v/>
      </c>
      <c r="B293" s="7" t="inlineStr">
        <is>
          <t>ABC Slim-Fit Golf Trouser 32L</t>
        </is>
      </c>
      <c r="C293" s="7" t="inlineStr">
        <is>
          <t>157704874</t>
        </is>
      </c>
      <c r="D293" s="7" t="inlineStr">
        <is>
          <t>157704874-lightivory</t>
        </is>
      </c>
      <c r="E293" s="7" t="inlineStr">
        <is>
          <t>ABC Slim-Fit Golf Trouser 32L RNFG 28</t>
        </is>
      </c>
      <c r="F293" s="7" t="inlineStr">
        <is>
          <t>$148.00</t>
        </is>
      </c>
      <c r="G293" s="7" t="inlineStr">
        <is>
          <t>$74.00</t>
        </is>
      </c>
      <c r="H293" s="7" t="inlineStr">
        <is>
          <t>Light Ivory</t>
        </is>
      </c>
      <c r="I293" s="7">
        <f>IMAGE("https://images.lululemon.com/is/image/lululemon/33454",1)</f>
        <v/>
      </c>
      <c r="J293" s="7" t="inlineStr">
        <is>
          <t>33</t>
        </is>
      </c>
      <c r="K293" s="7" t="inlineStr">
        <is>
          <t>23/2426</t>
        </is>
      </c>
      <c r="L293" s="7" t="inlineStr">
        <is>
          <t>Yes</t>
        </is>
      </c>
      <c r="M293" s="7" t="inlineStr">
        <is>
          <t>From first swing to the final round, these golf pants are at the top of their game. Integrated ventilation and stretch fabric deliver comfort that lasts on and off the course.</t>
        </is>
      </c>
      <c r="N293" s="7" t="inlineStr">
        <is>
          <t>ABC-Slim-Fit-Golf-Trouser-32L</t>
        </is>
      </c>
      <c r="O293" s="7" t="inlineStr">
        <is>
          <t>Chinos</t>
        </is>
      </c>
    </row>
    <row r="294" ht="80" customHeight="1">
      <c r="A294" s="4">
        <f>IMAGE("https://images.lululemon.com/is/image/lululemon/LM5AWXS_0001_1?wid=320&amp;op_usm=0.8",1)</f>
        <v/>
      </c>
      <c r="B294" s="4" t="inlineStr">
        <is>
          <t>ABC Slim-Fit Golf Trouser 32L</t>
        </is>
      </c>
      <c r="C294" s="4" t="inlineStr">
        <is>
          <t>157704884</t>
        </is>
      </c>
      <c r="D294" s="4" t="inlineStr">
        <is>
          <t>157704884-lightivory</t>
        </is>
      </c>
      <c r="E294" s="4" t="inlineStr">
        <is>
          <t>ABC Slim-Fit Golf Trouser 32L RNFG 28</t>
        </is>
      </c>
      <c r="F294" s="4" t="inlineStr">
        <is>
          <t>$148.00</t>
        </is>
      </c>
      <c r="G294" s="4" t="inlineStr">
        <is>
          <t>$74.00</t>
        </is>
      </c>
      <c r="H294" s="4" t="inlineStr">
        <is>
          <t>Light Ivory</t>
        </is>
      </c>
      <c r="I294" s="4">
        <f>IMAGE("https://images.lululemon.com/is/image/lululemon/33454",1)</f>
        <v/>
      </c>
      <c r="J294" s="4" t="inlineStr">
        <is>
          <t>34</t>
        </is>
      </c>
      <c r="K294" s="4" t="inlineStr">
        <is>
          <t>50/2426</t>
        </is>
      </c>
      <c r="L294" s="4" t="inlineStr">
        <is>
          <t>Yes</t>
        </is>
      </c>
      <c r="M294" s="4" t="inlineStr">
        <is>
          <t>From first swing to the final round, these golf pants are at the top of their game. Integrated ventilation and stretch fabric deliver comfort that lasts on and off the course.</t>
        </is>
      </c>
      <c r="N294" s="4" t="inlineStr">
        <is>
          <t>ABC-Slim-Fit-Golf-Trouser-32L</t>
        </is>
      </c>
      <c r="O294" s="4" t="inlineStr">
        <is>
          <t>Chinos</t>
        </is>
      </c>
    </row>
    <row r="295" ht="80" customHeight="1">
      <c r="A295" s="7">
        <f>IMAGE("https://images.lululemon.com/is/image/lululemon/LM5AWXS_0001_1?wid=320&amp;op_usm=0.8",1)</f>
        <v/>
      </c>
      <c r="B295" s="7" t="inlineStr">
        <is>
          <t>ABC Slim-Fit Golf Trouser 32L</t>
        </is>
      </c>
      <c r="C295" s="7" t="inlineStr">
        <is>
          <t>157704902</t>
        </is>
      </c>
      <c r="D295" s="7" t="inlineStr">
        <is>
          <t>157704902-lightivory</t>
        </is>
      </c>
      <c r="E295" s="7" t="inlineStr">
        <is>
          <t>ABC Slim-Fit Golf Trouser 32L RNFG 28</t>
        </is>
      </c>
      <c r="F295" s="7" t="inlineStr">
        <is>
          <t>$148.00</t>
        </is>
      </c>
      <c r="G295" s="7" t="inlineStr">
        <is>
          <t>$74.00</t>
        </is>
      </c>
      <c r="H295" s="7" t="inlineStr">
        <is>
          <t>Light Ivory</t>
        </is>
      </c>
      <c r="I295" s="7">
        <f>IMAGE("https://images.lululemon.com/is/image/lululemon/33454",1)</f>
        <v/>
      </c>
      <c r="J295" s="7" t="inlineStr">
        <is>
          <t>36</t>
        </is>
      </c>
      <c r="K295" s="7" t="inlineStr">
        <is>
          <t>41/2426</t>
        </is>
      </c>
      <c r="L295" s="7" t="inlineStr">
        <is>
          <t>Yes</t>
        </is>
      </c>
      <c r="M295" s="7" t="inlineStr">
        <is>
          <t>From first swing to the final round, these golf pants are at the top of their game. Integrated ventilation and stretch fabric deliver comfort that lasts on and off the course.</t>
        </is>
      </c>
      <c r="N295" s="7" t="inlineStr">
        <is>
          <t>ABC-Slim-Fit-Golf-Trouser-32L</t>
        </is>
      </c>
      <c r="O295" s="7" t="inlineStr">
        <is>
          <t>Chinos</t>
        </is>
      </c>
    </row>
    <row r="296" ht="80" customHeight="1">
      <c r="A296" s="4">
        <f>IMAGE("https://images.lululemon.com/is/image/lululemon/LM5AWXS_0001_1?wid=320&amp;op_usm=0.8",1)</f>
        <v/>
      </c>
      <c r="B296" s="4" t="inlineStr">
        <is>
          <t>ABC Slim-Fit Golf Trouser 32L</t>
        </is>
      </c>
      <c r="C296" s="4" t="inlineStr">
        <is>
          <t>157704923</t>
        </is>
      </c>
      <c r="D296" s="4" t="inlineStr">
        <is>
          <t>157704923-lightivory</t>
        </is>
      </c>
      <c r="E296" s="4" t="inlineStr">
        <is>
          <t>ABC Slim-Fit Golf Trouser 32L RNFG 28</t>
        </is>
      </c>
      <c r="F296" s="4" t="inlineStr">
        <is>
          <t>$148.00</t>
        </is>
      </c>
      <c r="G296" s="4" t="inlineStr">
        <is>
          <t>$74.00</t>
        </is>
      </c>
      <c r="H296" s="4" t="inlineStr">
        <is>
          <t>Light Ivory</t>
        </is>
      </c>
      <c r="I296" s="4">
        <f>IMAGE("https://images.lululemon.com/is/image/lululemon/33454",1)</f>
        <v/>
      </c>
      <c r="J296" s="4" t="inlineStr">
        <is>
          <t>38</t>
        </is>
      </c>
      <c r="K296" s="4" t="inlineStr">
        <is>
          <t>23/2426</t>
        </is>
      </c>
      <c r="L296" s="4" t="inlineStr">
        <is>
          <t>Yes</t>
        </is>
      </c>
      <c r="M296" s="4" t="inlineStr">
        <is>
          <t>From first swing to the final round, these golf pants are at the top of their game. Integrated ventilation and stretch fabric deliver comfort that lasts on and off the course.</t>
        </is>
      </c>
      <c r="N296" s="4" t="inlineStr">
        <is>
          <t>ABC-Slim-Fit-Golf-Trouser-32L</t>
        </is>
      </c>
      <c r="O296" s="4" t="inlineStr">
        <is>
          <t>Chinos</t>
        </is>
      </c>
    </row>
    <row r="297" ht="80" customHeight="1">
      <c r="A297" s="7">
        <f>IMAGE("https://images.lululemon.com/is/image/lululemon/LM5AWXS_0001_1?wid=320&amp;op_usm=0.8",1)</f>
        <v/>
      </c>
      <c r="B297" s="7" t="inlineStr">
        <is>
          <t>ABC Slim-Fit Golf Trouser 32L</t>
        </is>
      </c>
      <c r="C297" s="7" t="inlineStr">
        <is>
          <t>157704943</t>
        </is>
      </c>
      <c r="D297" s="7" t="inlineStr">
        <is>
          <t>157704943-lightivory</t>
        </is>
      </c>
      <c r="E297" s="7" t="inlineStr">
        <is>
          <t>ABC Slim-Fit Golf Trouser 32L RNFG 28</t>
        </is>
      </c>
      <c r="F297" s="7" t="inlineStr">
        <is>
          <t>$148.00</t>
        </is>
      </c>
      <c r="G297" s="7" t="inlineStr">
        <is>
          <t>$74.00</t>
        </is>
      </c>
      <c r="H297" s="7" t="inlineStr">
        <is>
          <t>Light Ivory</t>
        </is>
      </c>
      <c r="I297" s="7">
        <f>IMAGE("https://images.lululemon.com/is/image/lululemon/33454",1)</f>
        <v/>
      </c>
      <c r="J297" s="7" t="inlineStr">
        <is>
          <t>40</t>
        </is>
      </c>
      <c r="K297" s="7" t="inlineStr">
        <is>
          <t>9/2426</t>
        </is>
      </c>
      <c r="L297" s="7" t="inlineStr">
        <is>
          <t>Yes</t>
        </is>
      </c>
      <c r="M297" s="7" t="inlineStr">
        <is>
          <t>From first swing to the final round, these golf pants are at the top of their game. Integrated ventilation and stretch fabric deliver comfort that lasts on and off the course.</t>
        </is>
      </c>
      <c r="N297" s="7" t="inlineStr">
        <is>
          <t>ABC-Slim-Fit-Golf-Trouser-32L</t>
        </is>
      </c>
      <c r="O297" s="7" t="inlineStr">
        <is>
          <t>Chinos</t>
        </is>
      </c>
    </row>
    <row r="298" ht="80" customHeight="1">
      <c r="A298" s="4">
        <f>IMAGE("https://images.lululemon.com/is/image/lululemon/LM5AWXS_0001_1?wid=320&amp;op_usm=0.8",1)</f>
        <v/>
      </c>
      <c r="B298" s="4" t="inlineStr">
        <is>
          <t>ABC Slim-Fit Golf Trouser 32L</t>
        </is>
      </c>
      <c r="C298" s="4" t="inlineStr">
        <is>
          <t>153830111</t>
        </is>
      </c>
      <c r="D298" s="4" t="inlineStr">
        <is>
          <t>153830111-black</t>
        </is>
      </c>
      <c r="E298" s="4" t="inlineStr">
        <is>
          <t>ABC Slim-Fit Golf Trouser 32L RNFG 28</t>
        </is>
      </c>
      <c r="F298" s="4" t="inlineStr">
        <is>
          <t>$148.00</t>
        </is>
      </c>
      <c r="G298" s="4" t="inlineStr">
        <is>
          <t>$74.00</t>
        </is>
      </c>
      <c r="H298" s="4" t="inlineStr">
        <is>
          <t>Black</t>
        </is>
      </c>
      <c r="I298" s="4">
        <f>IMAGE("https://images.lululemon.com/is/image/lululemon/0001",1)</f>
        <v/>
      </c>
      <c r="J298" s="4" t="inlineStr">
        <is>
          <t>30</t>
        </is>
      </c>
      <c r="K298" s="4" t="inlineStr">
        <is>
          <t>19/2426</t>
        </is>
      </c>
      <c r="L298" s="4" t="inlineStr">
        <is>
          <t>Yes</t>
        </is>
      </c>
      <c r="M298" s="4" t="inlineStr">
        <is>
          <t>From first swing to the final round, these golf pants are at the top of their game. Integrated ventilation and stretch fabric deliver comfort that lasts on and off the course.</t>
        </is>
      </c>
      <c r="N298" s="4" t="inlineStr">
        <is>
          <t>ABC-Slim-Fit-Golf-Trouser-32L</t>
        </is>
      </c>
      <c r="O298" s="4" t="inlineStr">
        <is>
          <t>Chinos</t>
        </is>
      </c>
    </row>
    <row r="299" ht="80" customHeight="1">
      <c r="A299" s="7">
        <f>IMAGE("https://images.lululemon.com/is/image/lululemon/LM5AWXS_0001_1?wid=320&amp;op_usm=0.8",1)</f>
        <v/>
      </c>
      <c r="B299" s="7" t="inlineStr">
        <is>
          <t>ABC Slim-Fit Golf Trouser 32L</t>
        </is>
      </c>
      <c r="C299" s="7" t="inlineStr">
        <is>
          <t>153830118</t>
        </is>
      </c>
      <c r="D299" s="7" t="inlineStr">
        <is>
          <t>153830118-black</t>
        </is>
      </c>
      <c r="E299" s="7" t="inlineStr">
        <is>
          <t>ABC Slim-Fit Golf Trouser 32L RNFG 28</t>
        </is>
      </c>
      <c r="F299" s="7" t="inlineStr">
        <is>
          <t>$148.00</t>
        </is>
      </c>
      <c r="G299" s="7" t="inlineStr">
        <is>
          <t>$74.00</t>
        </is>
      </c>
      <c r="H299" s="7" t="inlineStr">
        <is>
          <t>Black</t>
        </is>
      </c>
      <c r="I299" s="7">
        <f>IMAGE("https://images.lululemon.com/is/image/lululemon/0001",1)</f>
        <v/>
      </c>
      <c r="J299" s="7" t="inlineStr">
        <is>
          <t>31</t>
        </is>
      </c>
      <c r="K299" s="7" t="inlineStr">
        <is>
          <t>8/2426</t>
        </is>
      </c>
      <c r="L299" s="7" t="inlineStr">
        <is>
          <t>Yes</t>
        </is>
      </c>
      <c r="M299" s="7" t="inlineStr">
        <is>
          <t>From first swing to the final round, these golf pants are at the top of their game. Integrated ventilation and stretch fabric deliver comfort that lasts on and off the course.</t>
        </is>
      </c>
      <c r="N299" s="7" t="inlineStr">
        <is>
          <t>ABC-Slim-Fit-Golf-Trouser-32L</t>
        </is>
      </c>
      <c r="O299" s="7" t="inlineStr">
        <is>
          <t>Chinos</t>
        </is>
      </c>
    </row>
    <row r="300" ht="80" customHeight="1">
      <c r="A300" s="4">
        <f>IMAGE("https://images.lululemon.com/is/image/lululemon/LM5AWXS_0001_1?wid=320&amp;op_usm=0.8",1)</f>
        <v/>
      </c>
      <c r="B300" s="4" t="inlineStr">
        <is>
          <t>ABC Slim-Fit Golf Trouser 32L</t>
        </is>
      </c>
      <c r="C300" s="4" t="inlineStr">
        <is>
          <t>153830123</t>
        </is>
      </c>
      <c r="D300" s="4" t="inlineStr">
        <is>
          <t>153830123-black</t>
        </is>
      </c>
      <c r="E300" s="4" t="inlineStr">
        <is>
          <t>ABC Slim-Fit Golf Trouser 32L RNFG 28</t>
        </is>
      </c>
      <c r="F300" s="4" t="inlineStr">
        <is>
          <t>$148.00</t>
        </is>
      </c>
      <c r="G300" s="4" t="inlineStr">
        <is>
          <t>$74.00</t>
        </is>
      </c>
      <c r="H300" s="4" t="inlineStr">
        <is>
          <t>Black</t>
        </is>
      </c>
      <c r="I300" s="4">
        <f>IMAGE("https://images.lululemon.com/is/image/lululemon/0001",1)</f>
        <v/>
      </c>
      <c r="J300" s="4" t="inlineStr">
        <is>
          <t>32</t>
        </is>
      </c>
      <c r="K300" s="4" t="inlineStr">
        <is>
          <t>42/2426</t>
        </is>
      </c>
      <c r="L300" s="4" t="inlineStr">
        <is>
          <t>Yes</t>
        </is>
      </c>
      <c r="M300" s="4" t="inlineStr">
        <is>
          <t>From first swing to the final round, these golf pants are at the top of their game. Integrated ventilation and stretch fabric deliver comfort that lasts on and off the course.</t>
        </is>
      </c>
      <c r="N300" s="4" t="inlineStr">
        <is>
          <t>ABC-Slim-Fit-Golf-Trouser-32L</t>
        </is>
      </c>
      <c r="O300" s="4" t="inlineStr">
        <is>
          <t>Chinos</t>
        </is>
      </c>
    </row>
    <row r="301" ht="80" customHeight="1">
      <c r="A301" s="7">
        <f>IMAGE("https://images.lululemon.com/is/image/lululemon/LM5AWXS_0001_1?wid=320&amp;op_usm=0.8",1)</f>
        <v/>
      </c>
      <c r="B301" s="7" t="inlineStr">
        <is>
          <t>ABC Slim-Fit Golf Trouser 32L</t>
        </is>
      </c>
      <c r="C301" s="7" t="inlineStr">
        <is>
          <t>153830129</t>
        </is>
      </c>
      <c r="D301" s="7" t="inlineStr">
        <is>
          <t>153830129-black</t>
        </is>
      </c>
      <c r="E301" s="7" t="inlineStr">
        <is>
          <t>ABC Slim-Fit Golf Trouser 32L RNFG 28</t>
        </is>
      </c>
      <c r="F301" s="7" t="inlineStr">
        <is>
          <t>$148.00</t>
        </is>
      </c>
      <c r="G301" s="7" t="inlineStr">
        <is>
          <t>$74.00</t>
        </is>
      </c>
      <c r="H301" s="7" t="inlineStr">
        <is>
          <t>Black</t>
        </is>
      </c>
      <c r="I301" s="7">
        <f>IMAGE("https://images.lululemon.com/is/image/lululemon/0001",1)</f>
        <v/>
      </c>
      <c r="J301" s="7" t="inlineStr">
        <is>
          <t>33</t>
        </is>
      </c>
      <c r="K301" s="7" t="inlineStr">
        <is>
          <t>26/2426</t>
        </is>
      </c>
      <c r="L301" s="7" t="inlineStr">
        <is>
          <t>Yes</t>
        </is>
      </c>
      <c r="M301" s="7" t="inlineStr">
        <is>
          <t>From first swing to the final round, these golf pants are at the top of their game. Integrated ventilation and stretch fabric deliver comfort that lasts on and off the course.</t>
        </is>
      </c>
      <c r="N301" s="7" t="inlineStr">
        <is>
          <t>ABC-Slim-Fit-Golf-Trouser-32L</t>
        </is>
      </c>
      <c r="O301" s="7" t="inlineStr">
        <is>
          <t>Chinos</t>
        </is>
      </c>
    </row>
    <row r="302" ht="80" customHeight="1">
      <c r="A302" s="4">
        <f>IMAGE("https://images.lululemon.com/is/image/lululemon/LM5AWXS_0001_1?wid=320&amp;op_usm=0.8",1)</f>
        <v/>
      </c>
      <c r="B302" s="4" t="inlineStr">
        <is>
          <t>ABC Slim-Fit Golf Trouser 32L</t>
        </is>
      </c>
      <c r="C302" s="4" t="inlineStr">
        <is>
          <t>153830134</t>
        </is>
      </c>
      <c r="D302" s="4" t="inlineStr">
        <is>
          <t>153830134-black</t>
        </is>
      </c>
      <c r="E302" s="4" t="inlineStr">
        <is>
          <t>ABC Slim-Fit Golf Trouser 32L RNFG 28</t>
        </is>
      </c>
      <c r="F302" s="4" t="inlineStr">
        <is>
          <t>$148.00</t>
        </is>
      </c>
      <c r="G302" s="4" t="inlineStr">
        <is>
          <t>$74.00</t>
        </is>
      </c>
      <c r="H302" s="4" t="inlineStr">
        <is>
          <t>Black</t>
        </is>
      </c>
      <c r="I302" s="4">
        <f>IMAGE("https://images.lululemon.com/is/image/lululemon/0001",1)</f>
        <v/>
      </c>
      <c r="J302" s="4" t="inlineStr">
        <is>
          <t>34</t>
        </is>
      </c>
      <c r="K302" s="4" t="inlineStr">
        <is>
          <t>83/2426</t>
        </is>
      </c>
      <c r="L302" s="4" t="inlineStr">
        <is>
          <t>Yes</t>
        </is>
      </c>
      <c r="M302" s="4" t="inlineStr">
        <is>
          <t>From first swing to the final round, these golf pants are at the top of their game. Integrated ventilation and stretch fabric deliver comfort that lasts on and off the course.</t>
        </is>
      </c>
      <c r="N302" s="4" t="inlineStr">
        <is>
          <t>ABC-Slim-Fit-Golf-Trouser-32L</t>
        </is>
      </c>
      <c r="O302" s="4" t="inlineStr">
        <is>
          <t>Chinos</t>
        </is>
      </c>
    </row>
    <row r="303" ht="80" customHeight="1">
      <c r="A303" s="7">
        <f>IMAGE("https://images.lululemon.com/is/image/lululemon/LM5AWXS_0001_1?wid=320&amp;op_usm=0.8",1)</f>
        <v/>
      </c>
      <c r="B303" s="7" t="inlineStr">
        <is>
          <t>ABC Slim-Fit Golf Trouser 32L</t>
        </is>
      </c>
      <c r="C303" s="7" t="inlineStr">
        <is>
          <t>153830145</t>
        </is>
      </c>
      <c r="D303" s="7" t="inlineStr">
        <is>
          <t>153830145-black</t>
        </is>
      </c>
      <c r="E303" s="7" t="inlineStr">
        <is>
          <t>ABC Slim-Fit Golf Trouser 32L RNFG 28</t>
        </is>
      </c>
      <c r="F303" s="7" t="inlineStr">
        <is>
          <t>$148.00</t>
        </is>
      </c>
      <c r="G303" s="7" t="inlineStr">
        <is>
          <t>$74.00</t>
        </is>
      </c>
      <c r="H303" s="7" t="inlineStr">
        <is>
          <t>Black</t>
        </is>
      </c>
      <c r="I303" s="7">
        <f>IMAGE("https://images.lululemon.com/is/image/lululemon/0001",1)</f>
        <v/>
      </c>
      <c r="J303" s="7" t="inlineStr">
        <is>
          <t>36</t>
        </is>
      </c>
      <c r="K303" s="7" t="inlineStr">
        <is>
          <t>72/2426</t>
        </is>
      </c>
      <c r="L303" s="7" t="inlineStr">
        <is>
          <t>Yes</t>
        </is>
      </c>
      <c r="M303" s="7" t="inlineStr">
        <is>
          <t>From first swing to the final round, these golf pants are at the top of their game. Integrated ventilation and stretch fabric deliver comfort that lasts on and off the course.</t>
        </is>
      </c>
      <c r="N303" s="7" t="inlineStr">
        <is>
          <t>ABC-Slim-Fit-Golf-Trouser-32L</t>
        </is>
      </c>
      <c r="O303" s="7" t="inlineStr">
        <is>
          <t>Chinos</t>
        </is>
      </c>
    </row>
    <row r="304" ht="80" customHeight="1">
      <c r="A304" s="4">
        <f>IMAGE("https://images.lululemon.com/is/image/lululemon/LM5AWXS_0001_1?wid=320&amp;op_usm=0.8",1)</f>
        <v/>
      </c>
      <c r="B304" s="4" t="inlineStr">
        <is>
          <t>ABC Slim-Fit Golf Trouser 32L</t>
        </is>
      </c>
      <c r="C304" s="4" t="inlineStr">
        <is>
          <t>153830156</t>
        </is>
      </c>
      <c r="D304" s="4" t="inlineStr">
        <is>
          <t>153830156-black</t>
        </is>
      </c>
      <c r="E304" s="4" t="inlineStr">
        <is>
          <t>ABC Slim-Fit Golf Trouser 32L RNFG 28</t>
        </is>
      </c>
      <c r="F304" s="4" t="inlineStr">
        <is>
          <t>$148.00</t>
        </is>
      </c>
      <c r="G304" s="4" t="inlineStr">
        <is>
          <t>$74.00</t>
        </is>
      </c>
      <c r="H304" s="4" t="inlineStr">
        <is>
          <t>Black</t>
        </is>
      </c>
      <c r="I304" s="4">
        <f>IMAGE("https://images.lululemon.com/is/image/lululemon/0001",1)</f>
        <v/>
      </c>
      <c r="J304" s="4" t="inlineStr">
        <is>
          <t>38</t>
        </is>
      </c>
      <c r="K304" s="4" t="inlineStr">
        <is>
          <t>47/2426</t>
        </is>
      </c>
      <c r="L304" s="4" t="inlineStr">
        <is>
          <t>Yes</t>
        </is>
      </c>
      <c r="M304" s="4" t="inlineStr">
        <is>
          <t>From first swing to the final round, these golf pants are at the top of their game. Integrated ventilation and stretch fabric deliver comfort that lasts on and off the course.</t>
        </is>
      </c>
      <c r="N304" s="4" t="inlineStr">
        <is>
          <t>ABC-Slim-Fit-Golf-Trouser-32L</t>
        </is>
      </c>
      <c r="O304" s="4" t="inlineStr">
        <is>
          <t>Chinos</t>
        </is>
      </c>
    </row>
    <row r="305" ht="80" customHeight="1">
      <c r="A305" s="5">
        <f>IMAGE("https://images.lululemon.com/is/image/lululemon/LM5AWXS_0001_1?wid=320&amp;op_usm=0.8",1)</f>
        <v/>
      </c>
      <c r="B305" s="5" t="inlineStr">
        <is>
          <t>ABC Slim-Fit Golf Trouser 32L</t>
        </is>
      </c>
      <c r="C305" s="5" t="inlineStr">
        <is>
          <t>153830167</t>
        </is>
      </c>
      <c r="D305" s="5" t="inlineStr">
        <is>
          <t>153830167-black</t>
        </is>
      </c>
      <c r="E305" s="5" t="inlineStr">
        <is>
          <t>ABC Slim-Fit Golf Trouser 32L RNFG 28</t>
        </is>
      </c>
      <c r="F305" s="5" t="inlineStr">
        <is>
          <t>$148.00</t>
        </is>
      </c>
      <c r="G305" s="5" t="inlineStr">
        <is>
          <t>$74.00</t>
        </is>
      </c>
      <c r="H305" s="5" t="inlineStr">
        <is>
          <t>Black</t>
        </is>
      </c>
      <c r="I305" s="5">
        <f>IMAGE("https://images.lululemon.com/is/image/lululemon/0001",1)</f>
        <v/>
      </c>
      <c r="J305" s="5" t="inlineStr">
        <is>
          <t>40</t>
        </is>
      </c>
      <c r="K305" s="5" t="inlineStr">
        <is>
          <t>17/2426</t>
        </is>
      </c>
      <c r="L305" s="5" t="inlineStr">
        <is>
          <t>Yes</t>
        </is>
      </c>
      <c r="M305" s="5" t="inlineStr">
        <is>
          <t>From first swing to the final round, these golf pants are at the top of their game. Integrated ventilation and stretch fabric deliver comfort that lasts on and off the course.</t>
        </is>
      </c>
      <c r="N305" s="5" t="inlineStr">
        <is>
          <t>ABC-Slim-Fit-Golf-Trouser-32L</t>
        </is>
      </c>
      <c r="O305" s="5" t="inlineStr">
        <is>
          <t>Chinos</t>
        </is>
      </c>
    </row>
    <row r="306" ht="80" customHeight="1">
      <c r="A306" s="4">
        <f>IMAGE("https://images.lululemon.com/is/image/lululemon/LM5BBQS_0001_1?wid=320&amp;op_usm=0.8",1)</f>
        <v/>
      </c>
      <c r="B306" s="4" t="inlineStr">
        <is>
          <t>Textured Spacer Classic-Fit Pant</t>
        </is>
      </c>
      <c r="C306" s="4" t="inlineStr">
        <is>
          <t>154836176</t>
        </is>
      </c>
      <c r="D306" s="4" t="inlineStr">
        <is>
          <t>154836176-oilgrey</t>
        </is>
      </c>
      <c r="E306" s="4" t="inlineStr">
        <is>
          <t>Textured Spacer Classic-Fit Pant OLBL S</t>
        </is>
      </c>
      <c r="F306" s="4" t="inlineStr">
        <is>
          <t>$128.00</t>
        </is>
      </c>
      <c r="G306" s="4" t="inlineStr">
        <is>
          <t>$64.00</t>
        </is>
      </c>
      <c r="H306" s="4" t="inlineStr">
        <is>
          <t>Oil Grey</t>
        </is>
      </c>
      <c r="I306" s="4">
        <f>IMAGE("https://images.lululemon.com/is/image/lululemon/33123",1)</f>
        <v/>
      </c>
      <c r="J306" s="4" t="inlineStr">
        <is>
          <t>S</t>
        </is>
      </c>
      <c r="K306" s="4" t="inlineStr">
        <is>
          <t>90/1498</t>
        </is>
      </c>
      <c r="L306" s="4" t="inlineStr">
        <is>
          <t>Yes</t>
        </is>
      </c>
      <c r="M306" s="4" t="inlineStr">
        <is>
          <t>Technical comfort at its finest. These pants use spacer construction to create a warm, lofty fabric that feels soft with a slightly structured look.</t>
        </is>
      </c>
      <c r="N306" s="4" t="inlineStr">
        <is>
          <t>Textured-Spacer-Classic-Fit-Pant</t>
        </is>
      </c>
      <c r="O306" s="4" t="inlineStr"/>
    </row>
    <row r="307" ht="80" customHeight="1">
      <c r="A307" s="7">
        <f>IMAGE("https://images.lululemon.com/is/image/lululemon/LM5BBQS_0001_1?wid=320&amp;op_usm=0.8",1)</f>
        <v/>
      </c>
      <c r="B307" s="7" t="inlineStr">
        <is>
          <t>Textured Spacer Classic-Fit Pant</t>
        </is>
      </c>
      <c r="C307" s="7" t="inlineStr">
        <is>
          <t>154836170</t>
        </is>
      </c>
      <c r="D307" s="7" t="inlineStr">
        <is>
          <t>154836170-oilgrey</t>
        </is>
      </c>
      <c r="E307" s="7" t="inlineStr">
        <is>
          <t>Textured Spacer Classic-Fit Pant OLBL S</t>
        </is>
      </c>
      <c r="F307" s="7" t="inlineStr">
        <is>
          <t>$128.00</t>
        </is>
      </c>
      <c r="G307" s="7" t="inlineStr">
        <is>
          <t>$64.00</t>
        </is>
      </c>
      <c r="H307" s="7" t="inlineStr">
        <is>
          <t>Oil Grey</t>
        </is>
      </c>
      <c r="I307" s="7">
        <f>IMAGE("https://images.lululemon.com/is/image/lululemon/33123",1)</f>
        <v/>
      </c>
      <c r="J307" s="7" t="inlineStr">
        <is>
          <t>M</t>
        </is>
      </c>
      <c r="K307" s="7" t="inlineStr">
        <is>
          <t>266/1498</t>
        </is>
      </c>
      <c r="L307" s="7" t="inlineStr">
        <is>
          <t>Yes</t>
        </is>
      </c>
      <c r="M307" s="7" t="inlineStr">
        <is>
          <t>Technical comfort at its finest. These pants use spacer construction to create a warm, lofty fabric that feels soft with a slightly structured look.</t>
        </is>
      </c>
      <c r="N307" s="7" t="inlineStr">
        <is>
          <t>Textured-Spacer-Classic-Fit-Pant</t>
        </is>
      </c>
      <c r="O307" s="7" t="inlineStr"/>
    </row>
    <row r="308" ht="80" customHeight="1">
      <c r="A308" s="4">
        <f>IMAGE("https://images.lululemon.com/is/image/lululemon/LM5BBQS_0001_1?wid=320&amp;op_usm=0.8",1)</f>
        <v/>
      </c>
      <c r="B308" s="4" t="inlineStr">
        <is>
          <t>Textured Spacer Classic-Fit Pant</t>
        </is>
      </c>
      <c r="C308" s="4" t="inlineStr">
        <is>
          <t>154836166</t>
        </is>
      </c>
      <c r="D308" s="4" t="inlineStr">
        <is>
          <t>154836166-oilgrey</t>
        </is>
      </c>
      <c r="E308" s="4" t="inlineStr">
        <is>
          <t>Textured Spacer Classic-Fit Pant OLBL S</t>
        </is>
      </c>
      <c r="F308" s="4" t="inlineStr">
        <is>
          <t>$128.00</t>
        </is>
      </c>
      <c r="G308" s="4" t="inlineStr">
        <is>
          <t>$64.00</t>
        </is>
      </c>
      <c r="H308" s="4" t="inlineStr">
        <is>
          <t>Oil Grey</t>
        </is>
      </c>
      <c r="I308" s="4">
        <f>IMAGE("https://images.lululemon.com/is/image/lululemon/33123",1)</f>
        <v/>
      </c>
      <c r="J308" s="4" t="inlineStr">
        <is>
          <t>L</t>
        </is>
      </c>
      <c r="K308" s="4" t="inlineStr">
        <is>
          <t>297/1498</t>
        </is>
      </c>
      <c r="L308" s="4" t="inlineStr">
        <is>
          <t>Yes</t>
        </is>
      </c>
      <c r="M308" s="4" t="inlineStr">
        <is>
          <t>Technical comfort at its finest. These pants use spacer construction to create a warm, lofty fabric that feels soft with a slightly structured look.</t>
        </is>
      </c>
      <c r="N308" s="4" t="inlineStr">
        <is>
          <t>Textured-Spacer-Classic-Fit-Pant</t>
        </is>
      </c>
      <c r="O308" s="4" t="inlineStr"/>
    </row>
    <row r="309" ht="80" customHeight="1">
      <c r="A309" s="7">
        <f>IMAGE("https://images.lululemon.com/is/image/lululemon/LM5BBQS_0001_1?wid=320&amp;op_usm=0.8",1)</f>
        <v/>
      </c>
      <c r="B309" s="7" t="inlineStr">
        <is>
          <t>Textured Spacer Classic-Fit Pant</t>
        </is>
      </c>
      <c r="C309" s="7" t="inlineStr">
        <is>
          <t>154836180</t>
        </is>
      </c>
      <c r="D309" s="7" t="inlineStr">
        <is>
          <t>154836180-oilgrey</t>
        </is>
      </c>
      <c r="E309" s="7" t="inlineStr">
        <is>
          <t>Textured Spacer Classic-Fit Pant OLBL S</t>
        </is>
      </c>
      <c r="F309" s="7" t="inlineStr">
        <is>
          <t>$128.00</t>
        </is>
      </c>
      <c r="G309" s="7" t="inlineStr">
        <is>
          <t>$64.00</t>
        </is>
      </c>
      <c r="H309" s="7" t="inlineStr">
        <is>
          <t>Oil Grey</t>
        </is>
      </c>
      <c r="I309" s="7">
        <f>IMAGE("https://images.lululemon.com/is/image/lululemon/33123",1)</f>
        <v/>
      </c>
      <c r="J309" s="7" t="inlineStr">
        <is>
          <t>XL</t>
        </is>
      </c>
      <c r="K309" s="7" t="inlineStr">
        <is>
          <t>161/1498</t>
        </is>
      </c>
      <c r="L309" s="7" t="inlineStr">
        <is>
          <t>Yes</t>
        </is>
      </c>
      <c r="M309" s="7" t="inlineStr">
        <is>
          <t>Technical comfort at its finest. These pants use spacer construction to create a warm, lofty fabric that feels soft with a slightly structured look.</t>
        </is>
      </c>
      <c r="N309" s="7" t="inlineStr">
        <is>
          <t>Textured-Spacer-Classic-Fit-Pant</t>
        </is>
      </c>
      <c r="O309" s="7" t="inlineStr"/>
    </row>
    <row r="310" ht="80" customHeight="1">
      <c r="A310" s="4">
        <f>IMAGE("https://images.lululemon.com/is/image/lululemon/LM5BBQS_0001_1?wid=320&amp;op_usm=0.8",1)</f>
        <v/>
      </c>
      <c r="B310" s="4" t="inlineStr">
        <is>
          <t>Textured Spacer Classic-Fit Pant</t>
        </is>
      </c>
      <c r="C310" s="4" t="inlineStr">
        <is>
          <t>154836189</t>
        </is>
      </c>
      <c r="D310" s="4" t="inlineStr">
        <is>
          <t>154836189-oilgrey</t>
        </is>
      </c>
      <c r="E310" s="4" t="inlineStr">
        <is>
          <t>Textured Spacer Classic-Fit Pant OLBL S</t>
        </is>
      </c>
      <c r="F310" s="4" t="inlineStr">
        <is>
          <t>$128.00</t>
        </is>
      </c>
      <c r="G310" s="4" t="inlineStr">
        <is>
          <t>$64.00</t>
        </is>
      </c>
      <c r="H310" s="4" t="inlineStr">
        <is>
          <t>Oil Grey</t>
        </is>
      </c>
      <c r="I310" s="4">
        <f>IMAGE("https://images.lululemon.com/is/image/lululemon/33123",1)</f>
        <v/>
      </c>
      <c r="J310" s="4" t="inlineStr">
        <is>
          <t>XXL</t>
        </is>
      </c>
      <c r="K310" s="4" t="inlineStr">
        <is>
          <t>40/1498</t>
        </is>
      </c>
      <c r="L310" s="4" t="inlineStr">
        <is>
          <t>Yes</t>
        </is>
      </c>
      <c r="M310" s="4" t="inlineStr">
        <is>
          <t>Technical comfort at its finest. These pants use spacer construction to create a warm, lofty fabric that feels soft with a slightly structured look.</t>
        </is>
      </c>
      <c r="N310" s="4" t="inlineStr">
        <is>
          <t>Textured-Spacer-Classic-Fit-Pant</t>
        </is>
      </c>
      <c r="O310" s="4" t="inlineStr"/>
    </row>
    <row r="311" ht="80" customHeight="1">
      <c r="A311" s="7">
        <f>IMAGE("https://images.lululemon.com/is/image/lululemon/LM5BBQS_0001_1?wid=320&amp;op_usm=0.8",1)</f>
        <v/>
      </c>
      <c r="B311" s="7" t="inlineStr">
        <is>
          <t>Textured Spacer Classic-Fit Pant</t>
        </is>
      </c>
      <c r="C311" s="7" t="inlineStr">
        <is>
          <t>154836122</t>
        </is>
      </c>
      <c r="D311" s="7" t="inlineStr">
        <is>
          <t>154836122-black</t>
        </is>
      </c>
      <c r="E311" s="7" t="inlineStr">
        <is>
          <t>Textured Spacer Classic-Fit Pant OLBL S</t>
        </is>
      </c>
      <c r="F311" s="7" t="inlineStr">
        <is>
          <t>$128.00</t>
        </is>
      </c>
      <c r="G311" s="7" t="inlineStr">
        <is>
          <t>$64.00</t>
        </is>
      </c>
      <c r="H311" s="7" t="inlineStr">
        <is>
          <t>Black</t>
        </is>
      </c>
      <c r="I311" s="7">
        <f>IMAGE("https://images.lululemon.com/is/image/lululemon/0001",1)</f>
        <v/>
      </c>
      <c r="J311" s="7" t="inlineStr">
        <is>
          <t>S</t>
        </is>
      </c>
      <c r="K311" s="7" t="inlineStr">
        <is>
          <t>69/1498</t>
        </is>
      </c>
      <c r="L311" s="7" t="inlineStr">
        <is>
          <t>Yes</t>
        </is>
      </c>
      <c r="M311" s="7" t="inlineStr">
        <is>
          <t>Technical comfort at its finest. These pants use spacer construction to create a warm, lofty fabric that feels soft with a slightly structured look.</t>
        </is>
      </c>
      <c r="N311" s="7" t="inlineStr">
        <is>
          <t>Textured-Spacer-Classic-Fit-Pant</t>
        </is>
      </c>
      <c r="O311" s="7" t="inlineStr"/>
    </row>
    <row r="312" ht="80" customHeight="1">
      <c r="A312" s="4">
        <f>IMAGE("https://images.lululemon.com/is/image/lululemon/LM5BBQS_0001_1?wid=320&amp;op_usm=0.8",1)</f>
        <v/>
      </c>
      <c r="B312" s="4" t="inlineStr">
        <is>
          <t>Textured Spacer Classic-Fit Pant</t>
        </is>
      </c>
      <c r="C312" s="4" t="inlineStr">
        <is>
          <t>154836116</t>
        </is>
      </c>
      <c r="D312" s="4" t="inlineStr">
        <is>
          <t>154836116-black</t>
        </is>
      </c>
      <c r="E312" s="4" t="inlineStr">
        <is>
          <t>Textured Spacer Classic-Fit Pant OLBL S</t>
        </is>
      </c>
      <c r="F312" s="4" t="inlineStr">
        <is>
          <t>$128.00</t>
        </is>
      </c>
      <c r="G312" s="4" t="inlineStr">
        <is>
          <t>$64.00</t>
        </is>
      </c>
      <c r="H312" s="4" t="inlineStr">
        <is>
          <t>Black</t>
        </is>
      </c>
      <c r="I312" s="4">
        <f>IMAGE("https://images.lululemon.com/is/image/lululemon/0001",1)</f>
        <v/>
      </c>
      <c r="J312" s="4" t="inlineStr">
        <is>
          <t>M</t>
        </is>
      </c>
      <c r="K312" s="4" t="inlineStr">
        <is>
          <t>210/1498</t>
        </is>
      </c>
      <c r="L312" s="4" t="inlineStr">
        <is>
          <t>Yes</t>
        </is>
      </c>
      <c r="M312" s="4" t="inlineStr">
        <is>
          <t>Technical comfort at its finest. These pants use spacer construction to create a warm, lofty fabric that feels soft with a slightly structured look.</t>
        </is>
      </c>
      <c r="N312" s="4" t="inlineStr">
        <is>
          <t>Textured-Spacer-Classic-Fit-Pant</t>
        </is>
      </c>
      <c r="O312" s="4" t="inlineStr"/>
    </row>
    <row r="313" ht="80" customHeight="1">
      <c r="A313" s="7">
        <f>IMAGE("https://images.lululemon.com/is/image/lululemon/LM5BBQS_0001_1?wid=320&amp;op_usm=0.8",1)</f>
        <v/>
      </c>
      <c r="B313" s="7" t="inlineStr">
        <is>
          <t>Textured Spacer Classic-Fit Pant</t>
        </is>
      </c>
      <c r="C313" s="7" t="inlineStr">
        <is>
          <t>154836112</t>
        </is>
      </c>
      <c r="D313" s="7" t="inlineStr">
        <is>
          <t>154836112-black</t>
        </is>
      </c>
      <c r="E313" s="7" t="inlineStr">
        <is>
          <t>Textured Spacer Classic-Fit Pant OLBL S</t>
        </is>
      </c>
      <c r="F313" s="7" t="inlineStr">
        <is>
          <t>$128.00</t>
        </is>
      </c>
      <c r="G313" s="7" t="inlineStr">
        <is>
          <t>$64.00</t>
        </is>
      </c>
      <c r="H313" s="7" t="inlineStr">
        <is>
          <t>Black</t>
        </is>
      </c>
      <c r="I313" s="7">
        <f>IMAGE("https://images.lululemon.com/is/image/lululemon/0001",1)</f>
        <v/>
      </c>
      <c r="J313" s="7" t="inlineStr">
        <is>
          <t>L</t>
        </is>
      </c>
      <c r="K313" s="7" t="inlineStr">
        <is>
          <t>227/1498</t>
        </is>
      </c>
      <c r="L313" s="7" t="inlineStr">
        <is>
          <t>Yes</t>
        </is>
      </c>
      <c r="M313" s="7" t="inlineStr">
        <is>
          <t>Technical comfort at its finest. These pants use spacer construction to create a warm, lofty fabric that feels soft with a slightly structured look.</t>
        </is>
      </c>
      <c r="N313" s="7" t="inlineStr">
        <is>
          <t>Textured-Spacer-Classic-Fit-Pant</t>
        </is>
      </c>
      <c r="O313" s="7" t="inlineStr"/>
    </row>
    <row r="314" ht="80" customHeight="1">
      <c r="A314" s="4">
        <f>IMAGE("https://images.lululemon.com/is/image/lululemon/LM5BBQS_0001_1?wid=320&amp;op_usm=0.8",1)</f>
        <v/>
      </c>
      <c r="B314" s="4" t="inlineStr">
        <is>
          <t>Textured Spacer Classic-Fit Pant</t>
        </is>
      </c>
      <c r="C314" s="4" t="inlineStr">
        <is>
          <t>154836125</t>
        </is>
      </c>
      <c r="D314" s="4" t="inlineStr">
        <is>
          <t>154836125-black</t>
        </is>
      </c>
      <c r="E314" s="4" t="inlineStr">
        <is>
          <t>Textured Spacer Classic-Fit Pant OLBL S</t>
        </is>
      </c>
      <c r="F314" s="4" t="inlineStr">
        <is>
          <t>$128.00</t>
        </is>
      </c>
      <c r="G314" s="4" t="inlineStr">
        <is>
          <t>$64.00</t>
        </is>
      </c>
      <c r="H314" s="4" t="inlineStr">
        <is>
          <t>Black</t>
        </is>
      </c>
      <c r="I314" s="4">
        <f>IMAGE("https://images.lululemon.com/is/image/lululemon/0001",1)</f>
        <v/>
      </c>
      <c r="J314" s="4" t="inlineStr">
        <is>
          <t>XL</t>
        </is>
      </c>
      <c r="K314" s="4" t="inlineStr">
        <is>
          <t>114/1498</t>
        </is>
      </c>
      <c r="L314" s="4" t="inlineStr">
        <is>
          <t>Yes</t>
        </is>
      </c>
      <c r="M314" s="4" t="inlineStr">
        <is>
          <t>Technical comfort at its finest. These pants use spacer construction to create a warm, lofty fabric that feels soft with a slightly structured look.</t>
        </is>
      </c>
      <c r="N314" s="4" t="inlineStr">
        <is>
          <t>Textured-Spacer-Classic-Fit-Pant</t>
        </is>
      </c>
      <c r="O314" s="4" t="inlineStr"/>
    </row>
    <row r="315" ht="80" customHeight="1">
      <c r="A315" s="5">
        <f>IMAGE("https://images.lululemon.com/is/image/lululemon/LM5BBQS_0001_1?wid=320&amp;op_usm=0.8",1)</f>
        <v/>
      </c>
      <c r="B315" s="5" t="inlineStr">
        <is>
          <t>Textured Spacer Classic-Fit Pant</t>
        </is>
      </c>
      <c r="C315" s="5" t="inlineStr">
        <is>
          <t>154836136</t>
        </is>
      </c>
      <c r="D315" s="5" t="inlineStr">
        <is>
          <t>154836136-black</t>
        </is>
      </c>
      <c r="E315" s="5" t="inlineStr">
        <is>
          <t>Textured Spacer Classic-Fit Pant OLBL S</t>
        </is>
      </c>
      <c r="F315" s="5" t="inlineStr">
        <is>
          <t>$128.00</t>
        </is>
      </c>
      <c r="G315" s="5" t="inlineStr">
        <is>
          <t>$64.00</t>
        </is>
      </c>
      <c r="H315" s="5" t="inlineStr">
        <is>
          <t>Black</t>
        </is>
      </c>
      <c r="I315" s="5">
        <f>IMAGE("https://images.lululemon.com/is/image/lululemon/0001",1)</f>
        <v/>
      </c>
      <c r="J315" s="5" t="inlineStr">
        <is>
          <t>XXL</t>
        </is>
      </c>
      <c r="K315" s="5" t="inlineStr">
        <is>
          <t>24/1498</t>
        </is>
      </c>
      <c r="L315" s="5" t="inlineStr">
        <is>
          <t>Yes</t>
        </is>
      </c>
      <c r="M315" s="5" t="inlineStr">
        <is>
          <t>Technical comfort at its finest. These pants use spacer construction to create a warm, lofty fabric that feels soft with a slightly structured look.</t>
        </is>
      </c>
      <c r="N315" s="5" t="inlineStr">
        <is>
          <t>Textured-Spacer-Classic-Fit-Pant</t>
        </is>
      </c>
      <c r="O315" s="5" t="inlineStr"/>
    </row>
    <row r="316" ht="80" customHeight="1">
      <c r="A316" s="4">
        <f>IMAGE("https://images.lululemon.com/is/image/lululemon/LM1279S_0001_1?wid=320&amp;op_usm=0.8",1)</f>
        <v/>
      </c>
      <c r="B316" s="4" t="inlineStr">
        <is>
          <t>License to Train Tank</t>
        </is>
      </c>
      <c r="C316" s="4" t="inlineStr">
        <is>
          <t>147001846</t>
        </is>
      </c>
      <c r="D316" s="4" t="inlineStr">
        <is>
          <t>147001846-black</t>
        </is>
      </c>
      <c r="E316" s="4" t="inlineStr">
        <is>
          <t>License to Train Tank BLK S</t>
        </is>
      </c>
      <c r="F316" s="4" t="inlineStr">
        <is>
          <t>$68.00</t>
        </is>
      </c>
      <c r="G316" s="4" t="inlineStr">
        <is>
          <t>$34.00</t>
        </is>
      </c>
      <c r="H316" s="4" t="inlineStr">
        <is>
          <t>Black</t>
        </is>
      </c>
      <c r="I316" s="4">
        <f>IMAGE("https://images.lululemon.com/is/image/lululemon/0001",1)</f>
        <v/>
      </c>
      <c r="J316" s="4" t="inlineStr">
        <is>
          <t>S</t>
        </is>
      </c>
      <c r="K316" s="4" t="inlineStr">
        <is>
          <t>24/415</t>
        </is>
      </c>
      <c r="L316" s="4" t="inlineStr">
        <is>
          <t>Yes</t>
        </is>
      </c>
      <c r="M316" s="4" t="inlineStr">
        <is>
          <t>All bets on sweat. Powered by anti-stink technology, this training top won't cling to sweaty skin so you can stay comfortable and focused.</t>
        </is>
      </c>
      <c r="N316" s="4" t="inlineStr">
        <is>
          <t>License-To-Train-Tank</t>
        </is>
      </c>
      <c r="O316" s="4" t="inlineStr"/>
    </row>
    <row r="317" ht="80" customHeight="1">
      <c r="A317" s="7">
        <f>IMAGE("https://images.lululemon.com/is/image/lululemon/LM1279S_0001_1?wid=320&amp;op_usm=0.8",1)</f>
        <v/>
      </c>
      <c r="B317" s="7" t="inlineStr">
        <is>
          <t>License to Train Tank</t>
        </is>
      </c>
      <c r="C317" s="7" t="inlineStr">
        <is>
          <t>147001836</t>
        </is>
      </c>
      <c r="D317" s="7" t="inlineStr">
        <is>
          <t>147001836-black</t>
        </is>
      </c>
      <c r="E317" s="7" t="inlineStr">
        <is>
          <t>License to Train Tank BLK S</t>
        </is>
      </c>
      <c r="F317" s="7" t="inlineStr">
        <is>
          <t>$68.00</t>
        </is>
      </c>
      <c r="G317" s="7" t="inlineStr">
        <is>
          <t>$34.00</t>
        </is>
      </c>
      <c r="H317" s="7" t="inlineStr">
        <is>
          <t>Black</t>
        </is>
      </c>
      <c r="I317" s="7">
        <f>IMAGE("https://images.lululemon.com/is/image/lululemon/0001",1)</f>
        <v/>
      </c>
      <c r="J317" s="7" t="inlineStr">
        <is>
          <t>M</t>
        </is>
      </c>
      <c r="K317" s="7" t="inlineStr">
        <is>
          <t>80/415</t>
        </is>
      </c>
      <c r="L317" s="7" t="inlineStr">
        <is>
          <t>Yes</t>
        </is>
      </c>
      <c r="M317" s="7" t="inlineStr">
        <is>
          <t>All bets on sweat. Powered by anti-stink technology, this training top won't cling to sweaty skin so you can stay comfortable and focused.</t>
        </is>
      </c>
      <c r="N317" s="7" t="inlineStr">
        <is>
          <t>License-To-Train-Tank</t>
        </is>
      </c>
      <c r="O317" s="7" t="inlineStr"/>
    </row>
    <row r="318" ht="80" customHeight="1">
      <c r="A318" s="4">
        <f>IMAGE("https://images.lululemon.com/is/image/lululemon/LM1279S_0001_1?wid=320&amp;op_usm=0.8",1)</f>
        <v/>
      </c>
      <c r="B318" s="4" t="inlineStr">
        <is>
          <t>License to Train Tank</t>
        </is>
      </c>
      <c r="C318" s="4" t="inlineStr">
        <is>
          <t>147001828</t>
        </is>
      </c>
      <c r="D318" s="4" t="inlineStr">
        <is>
          <t>147001828-black</t>
        </is>
      </c>
      <c r="E318" s="4" t="inlineStr">
        <is>
          <t>License to Train Tank BLK S</t>
        </is>
      </c>
      <c r="F318" s="4" t="inlineStr">
        <is>
          <t>$68.00</t>
        </is>
      </c>
      <c r="G318" s="4" t="inlineStr">
        <is>
          <t>$34.00</t>
        </is>
      </c>
      <c r="H318" s="4" t="inlineStr">
        <is>
          <t>Black</t>
        </is>
      </c>
      <c r="I318" s="4">
        <f>IMAGE("https://images.lululemon.com/is/image/lululemon/0001",1)</f>
        <v/>
      </c>
      <c r="J318" s="4" t="inlineStr">
        <is>
          <t>L</t>
        </is>
      </c>
      <c r="K318" s="4" t="inlineStr">
        <is>
          <t>110/415</t>
        </is>
      </c>
      <c r="L318" s="4" t="inlineStr">
        <is>
          <t>Yes</t>
        </is>
      </c>
      <c r="M318" s="4" t="inlineStr">
        <is>
          <t>All bets on sweat. Powered by anti-stink technology, this training top won't cling to sweaty skin so you can stay comfortable and focused.</t>
        </is>
      </c>
      <c r="N318" s="4" t="inlineStr">
        <is>
          <t>License-To-Train-Tank</t>
        </is>
      </c>
      <c r="O318" s="4" t="inlineStr"/>
    </row>
    <row r="319" ht="80" customHeight="1">
      <c r="A319" s="7">
        <f>IMAGE("https://images.lululemon.com/is/image/lululemon/LM1279S_0001_1?wid=320&amp;op_usm=0.8",1)</f>
        <v/>
      </c>
      <c r="B319" s="7" t="inlineStr">
        <is>
          <t>License to Train Tank</t>
        </is>
      </c>
      <c r="C319" s="7" t="inlineStr">
        <is>
          <t>147001855</t>
        </is>
      </c>
      <c r="D319" s="7" t="inlineStr">
        <is>
          <t>147001855-black</t>
        </is>
      </c>
      <c r="E319" s="7" t="inlineStr">
        <is>
          <t>License to Train Tank BLK S</t>
        </is>
      </c>
      <c r="F319" s="7" t="inlineStr">
        <is>
          <t>$68.00</t>
        </is>
      </c>
      <c r="G319" s="7" t="inlineStr">
        <is>
          <t>$34.00</t>
        </is>
      </c>
      <c r="H319" s="7" t="inlineStr">
        <is>
          <t>Black</t>
        </is>
      </c>
      <c r="I319" s="7">
        <f>IMAGE("https://images.lululemon.com/is/image/lululemon/0001",1)</f>
        <v/>
      </c>
      <c r="J319" s="7" t="inlineStr">
        <is>
          <t>XL</t>
        </is>
      </c>
      <c r="K319" s="7" t="inlineStr">
        <is>
          <t>53/415</t>
        </is>
      </c>
      <c r="L319" s="7" t="inlineStr">
        <is>
          <t>Yes</t>
        </is>
      </c>
      <c r="M319" s="7" t="inlineStr">
        <is>
          <t>All bets on sweat. Powered by anti-stink technology, this training top won't cling to sweaty skin so you can stay comfortable and focused.</t>
        </is>
      </c>
      <c r="N319" s="7" t="inlineStr">
        <is>
          <t>License-To-Train-Tank</t>
        </is>
      </c>
      <c r="O319" s="7" t="inlineStr"/>
    </row>
    <row r="320" ht="80" customHeight="1">
      <c r="A320" s="4">
        <f>IMAGE("https://images.lululemon.com/is/image/lululemon/LM1279S_0001_1?wid=320&amp;op_usm=0.8",1)</f>
        <v/>
      </c>
      <c r="B320" s="4" t="inlineStr">
        <is>
          <t>License to Train Tank</t>
        </is>
      </c>
      <c r="C320" s="4" t="inlineStr">
        <is>
          <t>147001876</t>
        </is>
      </c>
      <c r="D320" s="4" t="inlineStr">
        <is>
          <t>147001876-black</t>
        </is>
      </c>
      <c r="E320" s="4" t="inlineStr">
        <is>
          <t>License to Train Tank BLK S</t>
        </is>
      </c>
      <c r="F320" s="4" t="inlineStr">
        <is>
          <t>$68.00</t>
        </is>
      </c>
      <c r="G320" s="4" t="inlineStr">
        <is>
          <t>$34.00</t>
        </is>
      </c>
      <c r="H320" s="4" t="inlineStr">
        <is>
          <t>Black</t>
        </is>
      </c>
      <c r="I320" s="4">
        <f>IMAGE("https://images.lululemon.com/is/image/lululemon/0001",1)</f>
        <v/>
      </c>
      <c r="J320" s="4" t="inlineStr">
        <is>
          <t>XXL</t>
        </is>
      </c>
      <c r="K320" s="4" t="inlineStr">
        <is>
          <t>40/415</t>
        </is>
      </c>
      <c r="L320" s="4" t="inlineStr">
        <is>
          <t>Yes</t>
        </is>
      </c>
      <c r="M320" s="4" t="inlineStr">
        <is>
          <t>All bets on sweat. Powered by anti-stink technology, this training top won't cling to sweaty skin so you can stay comfortable and focused.</t>
        </is>
      </c>
      <c r="N320" s="4" t="inlineStr">
        <is>
          <t>License-To-Train-Tank</t>
        </is>
      </c>
      <c r="O320" s="4" t="inlineStr"/>
    </row>
    <row r="321" ht="80" customHeight="1">
      <c r="A321" s="7">
        <f>IMAGE("https://images.lululemon.com/is/image/lululemon/LM1279S_0001_1?wid=320&amp;op_usm=0.8",1)</f>
        <v/>
      </c>
      <c r="B321" s="7" t="inlineStr">
        <is>
          <t>License to Train Tank</t>
        </is>
      </c>
      <c r="C321" s="7" t="inlineStr">
        <is>
          <t>155775314</t>
        </is>
      </c>
      <c r="D321" s="7" t="inlineStr">
        <is>
          <t>155775314-heatheredsheeroak</t>
        </is>
      </c>
      <c r="E321" s="7" t="inlineStr">
        <is>
          <t>License to Train Tank BLK S</t>
        </is>
      </c>
      <c r="F321" s="7" t="inlineStr">
        <is>
          <t>$68.00</t>
        </is>
      </c>
      <c r="G321" s="7" t="inlineStr">
        <is>
          <t>$34.00</t>
        </is>
      </c>
      <c r="H321" s="7" t="inlineStr">
        <is>
          <t>HEATHERED SHEER OAK</t>
        </is>
      </c>
      <c r="I321" s="7">
        <f>IMAGE("https://images.lululemon.com/is/image/lululemon/69276",1)</f>
        <v/>
      </c>
      <c r="J321" s="7" t="inlineStr">
        <is>
          <t>L</t>
        </is>
      </c>
      <c r="K321" s="7" t="inlineStr">
        <is>
          <t>45/415</t>
        </is>
      </c>
      <c r="L321" s="7" t="inlineStr">
        <is>
          <t>Yes</t>
        </is>
      </c>
      <c r="M321" s="7" t="inlineStr">
        <is>
          <t>All bets on sweat. Powered by anti-stink technology, this training top won't cling to sweaty skin so you can stay comfortable and focused.</t>
        </is>
      </c>
      <c r="N321" s="7" t="inlineStr">
        <is>
          <t>License-To-Train-Tank</t>
        </is>
      </c>
      <c r="O321" s="7" t="inlineStr"/>
    </row>
    <row r="322" ht="80" customHeight="1">
      <c r="A322" s="4">
        <f>IMAGE("https://images.lululemon.com/is/image/lululemon/LM1279S_0001_1?wid=320&amp;op_usm=0.8",1)</f>
        <v/>
      </c>
      <c r="B322" s="4" t="inlineStr">
        <is>
          <t>License to Train Tank</t>
        </is>
      </c>
      <c r="C322" s="4" t="inlineStr">
        <is>
          <t>155775400</t>
        </is>
      </c>
      <c r="D322" s="4" t="inlineStr">
        <is>
          <t>155775400-heatheredsheeroak</t>
        </is>
      </c>
      <c r="E322" s="4" t="inlineStr">
        <is>
          <t>License to Train Tank BLK S</t>
        </is>
      </c>
      <c r="F322" s="4" t="inlineStr">
        <is>
          <t>$68.00</t>
        </is>
      </c>
      <c r="G322" s="4" t="inlineStr">
        <is>
          <t>$34.00</t>
        </is>
      </c>
      <c r="H322" s="4" t="inlineStr">
        <is>
          <t>HEATHERED SHEER OAK</t>
        </is>
      </c>
      <c r="I322" s="4">
        <f>IMAGE("https://images.lululemon.com/is/image/lululemon/69276",1)</f>
        <v/>
      </c>
      <c r="J322" s="4" t="inlineStr">
        <is>
          <t>XL</t>
        </is>
      </c>
      <c r="K322" s="4" t="inlineStr">
        <is>
          <t>40/415</t>
        </is>
      </c>
      <c r="L322" s="4" t="inlineStr">
        <is>
          <t>Yes</t>
        </is>
      </c>
      <c r="M322" s="4" t="inlineStr">
        <is>
          <t>All bets on sweat. Powered by anti-stink technology, this training top won't cling to sweaty skin so you can stay comfortable and focused.</t>
        </is>
      </c>
      <c r="N322" s="4" t="inlineStr">
        <is>
          <t>License-To-Train-Tank</t>
        </is>
      </c>
      <c r="O322" s="4" t="inlineStr"/>
    </row>
    <row r="323" ht="80" customHeight="1">
      <c r="A323" s="5">
        <f>IMAGE("https://images.lululemon.com/is/image/lululemon/LM1279S_0001_1?wid=320&amp;op_usm=0.8",1)</f>
        <v/>
      </c>
      <c r="B323" s="5" t="inlineStr">
        <is>
          <t>License to Train Tank</t>
        </is>
      </c>
      <c r="C323" s="5" t="inlineStr">
        <is>
          <t>155775448</t>
        </is>
      </c>
      <c r="D323" s="5" t="inlineStr">
        <is>
          <t>155775448-heatheredsheeroak</t>
        </is>
      </c>
      <c r="E323" s="5" t="inlineStr">
        <is>
          <t>License to Train Tank BLK S</t>
        </is>
      </c>
      <c r="F323" s="5" t="inlineStr">
        <is>
          <t>$68.00</t>
        </is>
      </c>
      <c r="G323" s="5" t="inlineStr">
        <is>
          <t>$34.00</t>
        </is>
      </c>
      <c r="H323" s="5" t="inlineStr">
        <is>
          <t>HEATHERED SHEER OAK</t>
        </is>
      </c>
      <c r="I323" s="5">
        <f>IMAGE("https://images.lululemon.com/is/image/lululemon/69276",1)</f>
        <v/>
      </c>
      <c r="J323" s="5" t="inlineStr">
        <is>
          <t>XXL</t>
        </is>
      </c>
      <c r="K323" s="5" t="inlineStr">
        <is>
          <t>23/415</t>
        </is>
      </c>
      <c r="L323" s="5" t="inlineStr">
        <is>
          <t>Yes</t>
        </is>
      </c>
      <c r="M323" s="5" t="inlineStr">
        <is>
          <t>All bets on sweat. Powered by anti-stink technology, this training top won't cling to sweaty skin so you can stay comfortable and focused.</t>
        </is>
      </c>
      <c r="N323" s="5" t="inlineStr">
        <is>
          <t>License-To-Train-Tank</t>
        </is>
      </c>
      <c r="O323" s="5" t="inlineStr"/>
    </row>
    <row r="324" ht="80" customHeight="1">
      <c r="A324" s="6">
        <f>IMAGE("https://images.lululemon.com/is/image/lululemon/LU9AI6S_0001_1?wid=320&amp;op_usm=0.8",1)</f>
        <v/>
      </c>
      <c r="B324" s="6" t="inlineStr">
        <is>
          <t>Loop It Up Mat Strap</t>
        </is>
      </c>
      <c r="C324" s="6" t="inlineStr">
        <is>
          <t>123000131</t>
        </is>
      </c>
      <c r="D324" s="6" t="inlineStr">
        <is>
          <t>123000131-black</t>
        </is>
      </c>
      <c r="E324" s="6" t="inlineStr">
        <is>
          <t>Loop It Up Mat Strap BLK ONE SIZE</t>
        </is>
      </c>
      <c r="F324" s="6" t="inlineStr">
        <is>
          <t>$24.00</t>
        </is>
      </c>
      <c r="G324" s="6" t="inlineStr">
        <is>
          <t>$12.00</t>
        </is>
      </c>
      <c r="H324" s="6" t="inlineStr">
        <is>
          <t>Black</t>
        </is>
      </c>
      <c r="I324" s="6">
        <f>IMAGE("https://images.lululemon.com/is/image/lululemon/0001",1)</f>
        <v/>
      </c>
      <c r="J324" s="6" t="inlineStr">
        <is>
          <t>O/S</t>
        </is>
      </c>
      <c r="K324" s="6" t="inlineStr">
        <is>
          <t>526/526</t>
        </is>
      </c>
      <c r="L324" s="6" t="inlineStr">
        <is>
          <t>Yes</t>
        </is>
      </c>
      <c r="M324" s="6" t="inlineStr">
        <is>
          <t>A no-fuss mat strap perfect for carrying, well, your mat. It doubles as a strap to help you stretch. How about that?</t>
        </is>
      </c>
      <c r="N324" s="6" t="inlineStr">
        <is>
          <t>Loop-It-Up-Mat-Strap-Cotton</t>
        </is>
      </c>
      <c r="O324" s="6" t="inlineStr">
        <is>
          <t>Mat Straps</t>
        </is>
      </c>
    </row>
    <row r="325" ht="80" customHeight="1">
      <c r="A325" s="7">
        <f>IMAGE("https://images.lululemon.com/is/image/lululemon/LU9AZ3S_0002_1?wid=320&amp;op_usm=0.8",1)</f>
        <v/>
      </c>
      <c r="B325" s="7" t="inlineStr">
        <is>
          <t>Everywhere Belt Bag 1L</t>
        </is>
      </c>
      <c r="C325" s="7" t="inlineStr">
        <is>
          <t>143483266</t>
        </is>
      </c>
      <c r="D325" s="7" t="inlineStr">
        <is>
          <t>143483266-white</t>
        </is>
      </c>
      <c r="E325" s="7" t="inlineStr">
        <is>
          <t>Everywhere Belt Bag WHT ONE SIZE</t>
        </is>
      </c>
      <c r="F325" s="7" t="inlineStr">
        <is>
          <t>$38.00</t>
        </is>
      </c>
      <c r="G325" s="7" t="inlineStr">
        <is>
          <t>$19.00</t>
        </is>
      </c>
      <c r="H325" s="7" t="inlineStr">
        <is>
          <t>White</t>
        </is>
      </c>
      <c r="I325" s="7">
        <f>IMAGE("https://images.lululemon.com/is/image/lululemon/0002",1)</f>
        <v/>
      </c>
      <c r="J325" s="7" t="inlineStr">
        <is>
          <t>O/S</t>
        </is>
      </c>
      <c r="K325" s="7" t="inlineStr">
        <is>
          <t>4220/17813</t>
        </is>
      </c>
      <c r="L325" s="7" t="inlineStr">
        <is>
          <t>Yes</t>
        </is>
      </c>
      <c r="M325" s="7" t="inlineStr">
        <is>
          <t>Phone, keys, wallet. Keep them close in this versatile belt bag that helps you get out the door and on to your next adventure.</t>
        </is>
      </c>
      <c r="N325" s="7" t="inlineStr">
        <is>
          <t>Everywhere-Belt-Bag</t>
        </is>
      </c>
      <c r="O325" s="7" t="inlineStr">
        <is>
          <t>Belt Bags, Crossbody Bags</t>
        </is>
      </c>
    </row>
    <row r="326" ht="80" customHeight="1">
      <c r="A326" s="4">
        <f>IMAGE("https://images.lululemon.com/is/image/lululemon/LU9AZ3S_0002_1?wid=320&amp;op_usm=0.8",1)</f>
        <v/>
      </c>
      <c r="B326" s="4" t="inlineStr">
        <is>
          <t>Everywhere Belt Bag 1L</t>
        </is>
      </c>
      <c r="C326" s="4" t="inlineStr">
        <is>
          <t>143483264</t>
        </is>
      </c>
      <c r="D326" s="4" t="inlineStr">
        <is>
          <t>143483264-truenavy</t>
        </is>
      </c>
      <c r="E326" s="4" t="inlineStr">
        <is>
          <t>Everywhere Belt Bag WHT ONE SIZE</t>
        </is>
      </c>
      <c r="F326" s="4" t="inlineStr">
        <is>
          <t>$38.00</t>
        </is>
      </c>
      <c r="G326" s="4" t="inlineStr">
        <is>
          <t>$19.00</t>
        </is>
      </c>
      <c r="H326" s="4" t="inlineStr">
        <is>
          <t>True Navy</t>
        </is>
      </c>
      <c r="I326" s="4">
        <f>IMAGE("https://images.lululemon.com/is/image/lululemon/31382",1)</f>
        <v/>
      </c>
      <c r="J326" s="4" t="inlineStr">
        <is>
          <t>O/S</t>
        </is>
      </c>
      <c r="K326" s="4" t="inlineStr">
        <is>
          <t>484/17813</t>
        </is>
      </c>
      <c r="L326" s="4" t="inlineStr">
        <is>
          <t>Yes</t>
        </is>
      </c>
      <c r="M326" s="4" t="inlineStr">
        <is>
          <t>Phone, keys, wallet. Keep them close in this versatile belt bag that helps you get out the door and on to your next adventure.</t>
        </is>
      </c>
      <c r="N326" s="4" t="inlineStr">
        <is>
          <t>Everywhere-Belt-Bag</t>
        </is>
      </c>
      <c r="O326" s="4" t="inlineStr">
        <is>
          <t>Belt Bags, Crossbody Bags</t>
        </is>
      </c>
    </row>
    <row r="327" ht="80" customHeight="1">
      <c r="A327" s="7">
        <f>IMAGE("https://images.lululemon.com/is/image/lululemon/LU9AZ3S_0002_1?wid=320&amp;op_usm=0.8",1)</f>
        <v/>
      </c>
      <c r="B327" s="7" t="inlineStr">
        <is>
          <t>Everywhere Belt Bag 1L</t>
        </is>
      </c>
      <c r="C327" s="7" t="inlineStr">
        <is>
          <t>149400162</t>
        </is>
      </c>
      <c r="D327" s="7" t="inlineStr">
        <is>
          <t>149400162-black/black</t>
        </is>
      </c>
      <c r="E327" s="7" t="inlineStr">
        <is>
          <t>Everywhere Belt Bag WHT ONE SIZE</t>
        </is>
      </c>
      <c r="F327" s="7" t="inlineStr">
        <is>
          <t>$38.00</t>
        </is>
      </c>
      <c r="G327" s="7" t="inlineStr">
        <is>
          <t>$19.00</t>
        </is>
      </c>
      <c r="H327" s="7" t="inlineStr">
        <is>
          <t>Black/Black</t>
        </is>
      </c>
      <c r="I327" s="7">
        <f>IMAGE("https://images.lululemon.com/is/image/lululemon/4780",1)</f>
        <v/>
      </c>
      <c r="J327" s="7" t="inlineStr">
        <is>
          <t>O/S</t>
        </is>
      </c>
      <c r="K327" s="7" t="inlineStr">
        <is>
          <t>826/17813</t>
        </is>
      </c>
      <c r="L327" s="7" t="inlineStr">
        <is>
          <t>Yes</t>
        </is>
      </c>
      <c r="M327" s="7" t="inlineStr">
        <is>
          <t>Phone, keys, wallet. Keep them close in this versatile belt bag that helps you get out the door and on to your next adventure.</t>
        </is>
      </c>
      <c r="N327" s="7" t="inlineStr">
        <is>
          <t>Everywhere-Belt-Bag</t>
        </is>
      </c>
      <c r="O327" s="7" t="inlineStr">
        <is>
          <t>Belt Bags, Crossbody Bags</t>
        </is>
      </c>
    </row>
    <row r="328" ht="80" customHeight="1">
      <c r="A328" s="4">
        <f>IMAGE("https://images.lululemon.com/is/image/lululemon/LU9AZ3S_0002_1?wid=320&amp;op_usm=0.8",1)</f>
        <v/>
      </c>
      <c r="B328" s="4" t="inlineStr">
        <is>
          <t>Everywhere Belt Bag 1L</t>
        </is>
      </c>
      <c r="C328" s="4" t="inlineStr">
        <is>
          <t>156527215</t>
        </is>
      </c>
      <c r="D328" s="4" t="inlineStr">
        <is>
          <t>156527215-raspberrycoulis</t>
        </is>
      </c>
      <c r="E328" s="4" t="inlineStr">
        <is>
          <t>Everywhere Belt Bag WHT ONE SIZE</t>
        </is>
      </c>
      <c r="F328" s="4" t="inlineStr">
        <is>
          <t>$38.00</t>
        </is>
      </c>
      <c r="G328" s="4" t="inlineStr">
        <is>
          <t>$19.00</t>
        </is>
      </c>
      <c r="H328" s="4" t="inlineStr">
        <is>
          <t>Raspberry coulis</t>
        </is>
      </c>
      <c r="I328" s="4">
        <f>IMAGE("https://images.lululemon.com/is/image/lululemon/62220",1)</f>
        <v/>
      </c>
      <c r="J328" s="4" t="inlineStr">
        <is>
          <t>O/S</t>
        </is>
      </c>
      <c r="K328" s="4" t="inlineStr">
        <is>
          <t>1008/17813</t>
        </is>
      </c>
      <c r="L328" s="4" t="inlineStr">
        <is>
          <t>Yes</t>
        </is>
      </c>
      <c r="M328" s="4" t="inlineStr">
        <is>
          <t>Phone, keys, wallet. Keep them close in this versatile belt bag that helps you get out the door and on to your next adventure.</t>
        </is>
      </c>
      <c r="N328" s="4" t="inlineStr">
        <is>
          <t>Everywhere-Belt-Bag</t>
        </is>
      </c>
      <c r="O328" s="4" t="inlineStr">
        <is>
          <t>Belt Bags, Crossbody Bags</t>
        </is>
      </c>
    </row>
    <row r="329" ht="80" customHeight="1">
      <c r="A329" s="7">
        <f>IMAGE("https://images.lululemon.com/is/image/lululemon/LU9AZ3S_0002_1?wid=320&amp;op_usm=0.8",1)</f>
        <v/>
      </c>
      <c r="B329" s="7" t="inlineStr">
        <is>
          <t>Everywhere Belt Bag 1L</t>
        </is>
      </c>
      <c r="C329" s="7" t="inlineStr">
        <is>
          <t>156375657</t>
        </is>
      </c>
      <c r="D329" s="7" t="inlineStr">
        <is>
          <t>156375657-poolparty</t>
        </is>
      </c>
      <c r="E329" s="7" t="inlineStr">
        <is>
          <t>Everywhere Belt Bag WHT ONE SIZE</t>
        </is>
      </c>
      <c r="F329" s="7" t="inlineStr">
        <is>
          <t>$38.00</t>
        </is>
      </c>
      <c r="G329" s="7" t="inlineStr">
        <is>
          <t>$19.00</t>
        </is>
      </c>
      <c r="H329" s="7" t="inlineStr">
        <is>
          <t>Pool Party</t>
        </is>
      </c>
      <c r="I329" s="7">
        <f>IMAGE("https://images.lululemon.com/is/image/lululemon/25461",1)</f>
        <v/>
      </c>
      <c r="J329" s="7" t="inlineStr">
        <is>
          <t>O/S</t>
        </is>
      </c>
      <c r="K329" s="7" t="inlineStr">
        <is>
          <t>3783/17813</t>
        </is>
      </c>
      <c r="L329" s="7" t="inlineStr">
        <is>
          <t>Yes</t>
        </is>
      </c>
      <c r="M329" s="7" t="inlineStr">
        <is>
          <t>Phone, keys, wallet. Keep them close in this versatile belt bag that helps you get out the door and on to your next adventure.</t>
        </is>
      </c>
      <c r="N329" s="7" t="inlineStr">
        <is>
          <t>Everywhere-Belt-Bag</t>
        </is>
      </c>
      <c r="O329" s="7" t="inlineStr">
        <is>
          <t>Belt Bags, Crossbody Bags</t>
        </is>
      </c>
    </row>
    <row r="330" ht="80" customHeight="1">
      <c r="A330" s="4">
        <f>IMAGE("https://images.lululemon.com/is/image/lululemon/LU9AZ3S_0002_1?wid=320&amp;op_usm=0.8",1)</f>
        <v/>
      </c>
      <c r="B330" s="4" t="inlineStr">
        <is>
          <t>Everywhere Belt Bag 1L</t>
        </is>
      </c>
      <c r="C330" s="4" t="inlineStr">
        <is>
          <t>156425981</t>
        </is>
      </c>
      <c r="D330" s="4" t="inlineStr">
        <is>
          <t>156425981-racewaygreen</t>
        </is>
      </c>
      <c r="E330" s="4" t="inlineStr">
        <is>
          <t>Everywhere Belt Bag WHT ONE SIZE</t>
        </is>
      </c>
      <c r="F330" s="4" t="inlineStr">
        <is>
          <t>$38.00</t>
        </is>
      </c>
      <c r="G330" s="4" t="inlineStr">
        <is>
          <t>$19.00</t>
        </is>
      </c>
      <c r="H330" s="4" t="inlineStr">
        <is>
          <t>Raceway Green</t>
        </is>
      </c>
      <c r="I330" s="4">
        <f>IMAGE("https://images.lululemon.com/is/image/lululemon/62468",1)</f>
        <v/>
      </c>
      <c r="J330" s="4" t="inlineStr">
        <is>
          <t>O/S</t>
        </is>
      </c>
      <c r="K330" s="4" t="inlineStr">
        <is>
          <t>3500/17813</t>
        </is>
      </c>
      <c r="L330" s="4" t="inlineStr">
        <is>
          <t>Yes</t>
        </is>
      </c>
      <c r="M330" s="4" t="inlineStr">
        <is>
          <t>Phone, keys, wallet. Keep them close in this versatile belt bag that helps you get out the door and on to your next adventure.</t>
        </is>
      </c>
      <c r="N330" s="4" t="inlineStr">
        <is>
          <t>Everywhere-Belt-Bag</t>
        </is>
      </c>
      <c r="O330" s="4" t="inlineStr">
        <is>
          <t>Belt Bags, Crossbody Bags</t>
        </is>
      </c>
    </row>
    <row r="331" ht="80" customHeight="1">
      <c r="A331" s="7">
        <f>IMAGE("https://images.lululemon.com/is/image/lululemon/LU9AZ3S_0002_1?wid=320&amp;op_usm=0.8",1)</f>
        <v/>
      </c>
      <c r="B331" s="7" t="inlineStr">
        <is>
          <t>Everywhere Belt Bag 1L</t>
        </is>
      </c>
      <c r="C331" s="7" t="inlineStr">
        <is>
          <t>156950705</t>
        </is>
      </c>
      <c r="D331" s="7" t="inlineStr">
        <is>
          <t>156950705-lightivory</t>
        </is>
      </c>
      <c r="E331" s="7" t="inlineStr">
        <is>
          <t>Everywhere Belt Bag WHT ONE SIZE</t>
        </is>
      </c>
      <c r="F331" s="7" t="inlineStr">
        <is>
          <t>$38.00</t>
        </is>
      </c>
      <c r="G331" s="7" t="inlineStr">
        <is>
          <t>$19.00</t>
        </is>
      </c>
      <c r="H331" s="7" t="inlineStr">
        <is>
          <t>Light Ivory</t>
        </is>
      </c>
      <c r="I331" s="7">
        <f>IMAGE("https://images.lululemon.com/is/image/lululemon/33454",1)</f>
        <v/>
      </c>
      <c r="J331" s="7" t="inlineStr">
        <is>
          <t>O/S</t>
        </is>
      </c>
      <c r="K331" s="7" t="inlineStr">
        <is>
          <t>339/17813</t>
        </is>
      </c>
      <c r="L331" s="7" t="inlineStr">
        <is>
          <t>Yes</t>
        </is>
      </c>
      <c r="M331" s="7" t="inlineStr">
        <is>
          <t>Phone, keys, wallet. Keep them close in this versatile belt bag that helps you get out the door and on to your next adventure.</t>
        </is>
      </c>
      <c r="N331" s="7" t="inlineStr">
        <is>
          <t>Everywhere-Belt-Bag</t>
        </is>
      </c>
      <c r="O331" s="7" t="inlineStr">
        <is>
          <t>Belt Bags, Crossbody Bags</t>
        </is>
      </c>
    </row>
    <row r="332" ht="80" customHeight="1">
      <c r="A332" s="4">
        <f>IMAGE("https://images.lululemon.com/is/image/lululemon/LU9AZ3S_0002_1?wid=320&amp;op_usm=0.8",1)</f>
        <v/>
      </c>
      <c r="B332" s="4" t="inlineStr">
        <is>
          <t>Everywhere Belt Bag 1L</t>
        </is>
      </c>
      <c r="C332" s="4" t="inlineStr">
        <is>
          <t>157550691</t>
        </is>
      </c>
      <c r="D332" s="4" t="inlineStr">
        <is>
          <t>157550691-sereneblue</t>
        </is>
      </c>
      <c r="E332" s="4" t="inlineStr">
        <is>
          <t>Everywhere Belt Bag WHT ONE SIZE</t>
        </is>
      </c>
      <c r="F332" s="4" t="inlineStr">
        <is>
          <t>$38.00</t>
        </is>
      </c>
      <c r="G332" s="4" t="inlineStr">
        <is>
          <t>$19.00</t>
        </is>
      </c>
      <c r="H332" s="4" t="inlineStr">
        <is>
          <t>Serene Blue</t>
        </is>
      </c>
      <c r="I332" s="4">
        <f>IMAGE("https://images.lululemon.com/is/image/lululemon/32507",1)</f>
        <v/>
      </c>
      <c r="J332" s="4" t="inlineStr">
        <is>
          <t>O/S</t>
        </is>
      </c>
      <c r="K332" s="4" t="inlineStr">
        <is>
          <t>251/17813</t>
        </is>
      </c>
      <c r="L332" s="4" t="inlineStr">
        <is>
          <t>Yes</t>
        </is>
      </c>
      <c r="M332" s="4" t="inlineStr">
        <is>
          <t>Phone, keys, wallet. Keep them close in this versatile belt bag that helps you get out the door and on to your next adventure.</t>
        </is>
      </c>
      <c r="N332" s="4" t="inlineStr">
        <is>
          <t>Everywhere-Belt-Bag</t>
        </is>
      </c>
      <c r="O332" s="4" t="inlineStr">
        <is>
          <t>Belt Bags, Crossbody Bags</t>
        </is>
      </c>
    </row>
    <row r="333" ht="80" customHeight="1">
      <c r="A333" s="7">
        <f>IMAGE("https://images.lululemon.com/is/image/lululemon/LU9AZ3S_0002_1?wid=320&amp;op_usm=0.8",1)</f>
        <v/>
      </c>
      <c r="B333" s="7" t="inlineStr">
        <is>
          <t>Everywhere Belt Bag 1L</t>
        </is>
      </c>
      <c r="C333" s="7" t="inlineStr">
        <is>
          <t>157550692</t>
        </is>
      </c>
      <c r="D333" s="7" t="inlineStr">
        <is>
          <t>157550692-bayleaf</t>
        </is>
      </c>
      <c r="E333" s="7" t="inlineStr">
        <is>
          <t>Everywhere Belt Bag WHT ONE SIZE</t>
        </is>
      </c>
      <c r="F333" s="7" t="inlineStr">
        <is>
          <t>$38.00</t>
        </is>
      </c>
      <c r="G333" s="7" t="inlineStr">
        <is>
          <t>$19.00</t>
        </is>
      </c>
      <c r="H333" s="7" t="inlineStr">
        <is>
          <t>Bay Leaf</t>
        </is>
      </c>
      <c r="I333" s="7">
        <f>IMAGE("https://images.lululemon.com/is/image/lululemon/62214",1)</f>
        <v/>
      </c>
      <c r="J333" s="7" t="inlineStr">
        <is>
          <t>O/S</t>
        </is>
      </c>
      <c r="K333" s="7" t="inlineStr">
        <is>
          <t>409/17813</t>
        </is>
      </c>
      <c r="L333" s="7" t="inlineStr">
        <is>
          <t>Yes</t>
        </is>
      </c>
      <c r="M333" s="7" t="inlineStr">
        <is>
          <t>Phone, keys, wallet. Keep them close in this versatile belt bag that helps you get out the door and on to your next adventure.</t>
        </is>
      </c>
      <c r="N333" s="7" t="inlineStr">
        <is>
          <t>Everywhere-Belt-Bag</t>
        </is>
      </c>
      <c r="O333" s="7" t="inlineStr">
        <is>
          <t>Belt Bags, Crossbody Bags</t>
        </is>
      </c>
    </row>
    <row r="334" ht="80" customHeight="1">
      <c r="A334" s="4">
        <f>IMAGE("https://images.lululemon.com/is/image/lululemon/LU9AZ3S_0002_1?wid=320&amp;op_usm=0.8",1)</f>
        <v/>
      </c>
      <c r="B334" s="4" t="inlineStr">
        <is>
          <t>Everywhere Belt Bag 1L</t>
        </is>
      </c>
      <c r="C334" s="4" t="inlineStr">
        <is>
          <t>157680324</t>
        </is>
      </c>
      <c r="D334" s="4" t="inlineStr">
        <is>
          <t>157680324-lululemonred</t>
        </is>
      </c>
      <c r="E334" s="4" t="inlineStr">
        <is>
          <t>Everywhere Belt Bag WHT ONE SIZE</t>
        </is>
      </c>
      <c r="F334" s="4" t="inlineStr">
        <is>
          <t>$38.00</t>
        </is>
      </c>
      <c r="G334" s="4" t="inlineStr">
        <is>
          <t>$19.00</t>
        </is>
      </c>
      <c r="H334" s="4" t="inlineStr">
        <is>
          <t>Lululemon Red</t>
        </is>
      </c>
      <c r="I334" s="4">
        <f>IMAGE("https://images.lululemon.com/is/image/lululemon/19295",1)</f>
        <v/>
      </c>
      <c r="J334" s="4" t="inlineStr">
        <is>
          <t>O/S</t>
        </is>
      </c>
      <c r="K334" s="4" t="inlineStr">
        <is>
          <t>953/17813</t>
        </is>
      </c>
      <c r="L334" s="4" t="inlineStr">
        <is>
          <t>Yes</t>
        </is>
      </c>
      <c r="M334" s="4" t="inlineStr">
        <is>
          <t>Phone, keys, wallet. Keep them close in this versatile belt bag that helps you get out the door and on to your next adventure.</t>
        </is>
      </c>
      <c r="N334" s="4" t="inlineStr">
        <is>
          <t>Everywhere-Belt-Bag</t>
        </is>
      </c>
      <c r="O334" s="4" t="inlineStr">
        <is>
          <t>Belt Bags, Crossbody Bags</t>
        </is>
      </c>
    </row>
    <row r="335" ht="80" customHeight="1">
      <c r="A335" s="7">
        <f>IMAGE("https://images.lululemon.com/is/image/lululemon/LU9AZ3S_0002_1?wid=320&amp;op_usm=0.8",1)</f>
        <v/>
      </c>
      <c r="B335" s="7" t="inlineStr">
        <is>
          <t>Everywhere Belt Bag 1L</t>
        </is>
      </c>
      <c r="C335" s="7" t="inlineStr">
        <is>
          <t>157704605</t>
        </is>
      </c>
      <c r="D335" s="7" t="inlineStr">
        <is>
          <t>157704605-rainforestgreen</t>
        </is>
      </c>
      <c r="E335" s="7" t="inlineStr">
        <is>
          <t>Everywhere Belt Bag WHT ONE SIZE</t>
        </is>
      </c>
      <c r="F335" s="7" t="inlineStr">
        <is>
          <t>$38.00</t>
        </is>
      </c>
      <c r="G335" s="7" t="inlineStr">
        <is>
          <t>$19.00</t>
        </is>
      </c>
      <c r="H335" s="7" t="inlineStr">
        <is>
          <t>Rainforest Green</t>
        </is>
      </c>
      <c r="I335" s="7">
        <f>IMAGE("https://images.lululemon.com/is/image/lululemon/49106",1)</f>
        <v/>
      </c>
      <c r="J335" s="7" t="inlineStr">
        <is>
          <t>O/S</t>
        </is>
      </c>
      <c r="K335" s="7" t="inlineStr">
        <is>
          <t>938/17813</t>
        </is>
      </c>
      <c r="L335" s="7" t="inlineStr">
        <is>
          <t>Yes</t>
        </is>
      </c>
      <c r="M335" s="7" t="inlineStr">
        <is>
          <t>Phone, keys, wallet. Keep them close in this versatile belt bag that helps you get out the door and on to your next adventure.</t>
        </is>
      </c>
      <c r="N335" s="7" t="inlineStr">
        <is>
          <t>Everywhere-Belt-Bag</t>
        </is>
      </c>
      <c r="O335" s="7" t="inlineStr">
        <is>
          <t>Belt Bags, Crossbody Bags</t>
        </is>
      </c>
    </row>
    <row r="336" ht="80" customHeight="1">
      <c r="A336" s="4">
        <f>IMAGE("https://images.lululemon.com/is/image/lululemon/LU9AZ3S_0002_1?wid=320&amp;op_usm=0.8",1)</f>
        <v/>
      </c>
      <c r="B336" s="4" t="inlineStr">
        <is>
          <t>Everywhere Belt Bag 1L</t>
        </is>
      </c>
      <c r="C336" s="4" t="inlineStr">
        <is>
          <t>158020309</t>
        </is>
      </c>
      <c r="D336" s="4" t="inlineStr">
        <is>
          <t>158020309-berryrumble</t>
        </is>
      </c>
      <c r="E336" s="4" t="inlineStr">
        <is>
          <t>Everywhere Belt Bag WHT ONE SIZE</t>
        </is>
      </c>
      <c r="F336" s="4" t="inlineStr">
        <is>
          <t>$38.00</t>
        </is>
      </c>
      <c r="G336" s="4" t="inlineStr">
        <is>
          <t>$19.00</t>
        </is>
      </c>
      <c r="H336" s="4" t="inlineStr">
        <is>
          <t>Berry Rumble</t>
        </is>
      </c>
      <c r="I336" s="4">
        <f>IMAGE("https://images.lululemon.com/is/image/lululemon/21363",1)</f>
        <v/>
      </c>
      <c r="J336" s="4" t="inlineStr">
        <is>
          <t>O/S</t>
        </is>
      </c>
      <c r="K336" s="4" t="inlineStr">
        <is>
          <t>760/17813</t>
        </is>
      </c>
      <c r="L336" s="4" t="inlineStr">
        <is>
          <t>Yes</t>
        </is>
      </c>
      <c r="M336" s="4" t="inlineStr">
        <is>
          <t>Phone, keys, wallet. Keep them close in this versatile belt bag that helps you get out the door and on to your next adventure.</t>
        </is>
      </c>
      <c r="N336" s="4" t="inlineStr">
        <is>
          <t>Everywhere-Belt-Bag</t>
        </is>
      </c>
      <c r="O336" s="4" t="inlineStr">
        <is>
          <t>Belt Bags, Crossbody Bags</t>
        </is>
      </c>
    </row>
    <row r="337" ht="80" customHeight="1">
      <c r="A337" s="5">
        <f>IMAGE("https://images.lululemon.com/is/image/lululemon/LU9AZ3S_0002_1?wid=320&amp;op_usm=0.8",1)</f>
        <v/>
      </c>
      <c r="B337" s="5" t="inlineStr">
        <is>
          <t>Everywhere Belt Bag 1L</t>
        </is>
      </c>
      <c r="C337" s="5" t="inlineStr">
        <is>
          <t>157677959</t>
        </is>
      </c>
      <c r="D337" s="5" t="inlineStr">
        <is>
          <t>157677959-warmashgrey</t>
        </is>
      </c>
      <c r="E337" s="5" t="inlineStr">
        <is>
          <t>Everywhere Belt Bag WHT ONE SIZE</t>
        </is>
      </c>
      <c r="F337" s="5" t="inlineStr">
        <is>
          <t>$38.00</t>
        </is>
      </c>
      <c r="G337" s="5" t="inlineStr">
        <is>
          <t>$19.00</t>
        </is>
      </c>
      <c r="H337" s="5" t="inlineStr">
        <is>
          <t>Warm Ash Grey</t>
        </is>
      </c>
      <c r="I337" s="5">
        <f>IMAGE("https://images.lululemon.com/is/image/lululemon/70108",1)</f>
        <v/>
      </c>
      <c r="J337" s="5" t="inlineStr">
        <is>
          <t>O/S</t>
        </is>
      </c>
      <c r="K337" s="5" t="inlineStr">
        <is>
          <t>342/17813</t>
        </is>
      </c>
      <c r="L337" s="5" t="inlineStr">
        <is>
          <t>Yes</t>
        </is>
      </c>
      <c r="M337" s="5" t="inlineStr">
        <is>
          <t>Phone, keys, wallet. Keep them close in this versatile belt bag that helps you get out the door and on to your next adventure.</t>
        </is>
      </c>
      <c r="N337" s="5" t="inlineStr">
        <is>
          <t>Everywhere-Belt-Bag</t>
        </is>
      </c>
      <c r="O337" s="5" t="inlineStr">
        <is>
          <t>Belt Bags, Crossbody Bags</t>
        </is>
      </c>
    </row>
    <row r="338" ht="80" customHeight="1">
      <c r="A338" s="4">
        <f>IMAGE("https://images.lululemon.com/is/image/lululemon/LU9CRIS_0001_1?wid=320&amp;op_usm=0.8",1)</f>
        <v/>
      </c>
      <c r="B338" s="4" t="inlineStr">
        <is>
          <t>Warm Revelation Beanie</t>
        </is>
      </c>
      <c r="C338" s="4" t="inlineStr">
        <is>
          <t>157702454</t>
        </is>
      </c>
      <c r="D338" s="4" t="inlineStr">
        <is>
          <t>157702454-black</t>
        </is>
      </c>
      <c r="E338" s="4" t="inlineStr">
        <is>
          <t>Warm Revelation Beanie BLK ONE SIZE</t>
        </is>
      </c>
      <c r="F338" s="4" t="inlineStr">
        <is>
          <t>$48.00</t>
        </is>
      </c>
      <c r="G338" s="4" t="inlineStr">
        <is>
          <t>$24.00</t>
        </is>
      </c>
      <c r="H338" s="4" t="inlineStr">
        <is>
          <t>Black</t>
        </is>
      </c>
      <c r="I338" s="4">
        <f>IMAGE("https://images.lululemon.com/is/image/lululemon/0001",1)</f>
        <v/>
      </c>
      <c r="J338" s="4" t="inlineStr">
        <is>
          <t>O/S</t>
        </is>
      </c>
      <c r="K338" s="4" t="inlineStr">
        <is>
          <t>76/993</t>
        </is>
      </c>
      <c r="L338" s="4" t="inlineStr">
        <is>
          <t>Yes</t>
        </is>
      </c>
      <c r="M338" s="4" t="inlineStr">
        <is>
          <t>Pop on this merino wool-blend beanie when the temperature drops to help keep you cozy on chilly days.</t>
        </is>
      </c>
      <c r="N338" s="4" t="inlineStr">
        <is>
          <t>Warm-Revelation-Beanie</t>
        </is>
      </c>
      <c r="O338" s="4" t="inlineStr">
        <is>
          <t>Beanies</t>
        </is>
      </c>
    </row>
    <row r="339" ht="80" customHeight="1">
      <c r="A339" s="7">
        <f>IMAGE("https://images.lululemon.com/is/image/lululemon/LU9CRIS_0001_1?wid=320&amp;op_usm=0.8",1)</f>
        <v/>
      </c>
      <c r="B339" s="7" t="inlineStr">
        <is>
          <t>Warm Revelation Beanie</t>
        </is>
      </c>
      <c r="C339" s="7" t="inlineStr">
        <is>
          <t>158019207</t>
        </is>
      </c>
      <c r="D339" s="7" t="inlineStr">
        <is>
          <t>158019207-indochineblue</t>
        </is>
      </c>
      <c r="E339" s="7" t="inlineStr">
        <is>
          <t>Warm Revelation Beanie BLK ONE SIZE</t>
        </is>
      </c>
      <c r="F339" s="7" t="inlineStr">
        <is>
          <t>$48.00</t>
        </is>
      </c>
      <c r="G339" s="7" t="inlineStr">
        <is>
          <t>$24.00</t>
        </is>
      </c>
      <c r="H339" s="7" t="inlineStr">
        <is>
          <t>Indochine Blue</t>
        </is>
      </c>
      <c r="I339" s="7">
        <f>IMAGE("https://images.lululemon.com/is/image/lululemon/28022",1)</f>
        <v/>
      </c>
      <c r="J339" s="7" t="inlineStr">
        <is>
          <t>O/S</t>
        </is>
      </c>
      <c r="K339" s="7" t="inlineStr">
        <is>
          <t>462/993</t>
        </is>
      </c>
      <c r="L339" s="7" t="inlineStr">
        <is>
          <t>Yes</t>
        </is>
      </c>
      <c r="M339" s="7" t="inlineStr">
        <is>
          <t>Pop on this merino wool-blend beanie when the temperature drops to help keep you cozy on chilly days.</t>
        </is>
      </c>
      <c r="N339" s="7" t="inlineStr">
        <is>
          <t>Warm-Revelation-Beanie</t>
        </is>
      </c>
      <c r="O339" s="7" t="inlineStr">
        <is>
          <t>Beanies</t>
        </is>
      </c>
    </row>
    <row r="340" ht="80" customHeight="1">
      <c r="A340" s="6">
        <f>IMAGE("https://images.lululemon.com/is/image/lululemon/LU9CRIS_0001_1?wid=320&amp;op_usm=0.8",1)</f>
        <v/>
      </c>
      <c r="B340" s="6" t="inlineStr">
        <is>
          <t>Warm Revelation Beanie</t>
        </is>
      </c>
      <c r="C340" s="6" t="inlineStr">
        <is>
          <t>158019229</t>
        </is>
      </c>
      <c r="D340" s="6" t="inlineStr">
        <is>
          <t>158019229-foggreen</t>
        </is>
      </c>
      <c r="E340" s="6" t="inlineStr">
        <is>
          <t>Warm Revelation Beanie BLK ONE SIZE</t>
        </is>
      </c>
      <c r="F340" s="6" t="inlineStr">
        <is>
          <t>$48.00</t>
        </is>
      </c>
      <c r="G340" s="6" t="inlineStr">
        <is>
          <t>$24.00</t>
        </is>
      </c>
      <c r="H340" s="6" t="inlineStr">
        <is>
          <t>Fog Green</t>
        </is>
      </c>
      <c r="I340" s="6">
        <f>IMAGE("https://images.lululemon.com/is/image/lululemon/70144",1)</f>
        <v/>
      </c>
      <c r="J340" s="6" t="inlineStr">
        <is>
          <t>O/S</t>
        </is>
      </c>
      <c r="K340" s="6" t="inlineStr">
        <is>
          <t>455/993</t>
        </is>
      </c>
      <c r="L340" s="6" t="inlineStr">
        <is>
          <t>Yes</t>
        </is>
      </c>
      <c r="M340" s="6" t="inlineStr">
        <is>
          <t>Pop on this merino wool-blend beanie when the temperature drops to help keep you cozy on chilly days.</t>
        </is>
      </c>
      <c r="N340" s="6" t="inlineStr">
        <is>
          <t>Warm-Revelation-Beanie</t>
        </is>
      </c>
      <c r="O340" s="6" t="inlineStr">
        <is>
          <t>Beanies</t>
        </is>
      </c>
    </row>
    <row r="341" ht="80" customHeight="1">
      <c r="A341" s="7">
        <f>IMAGE("https://images.lululemon.com/is/image/lululemon/LM3FV5S_0001_1?wid=320&amp;op_usm=0.8",1)</f>
        <v/>
      </c>
      <c r="B341" s="7" t="inlineStr">
        <is>
          <t>Textured Spacer Crewneck Pullover</t>
        </is>
      </c>
      <c r="C341" s="7" t="inlineStr">
        <is>
          <t>157713073</t>
        </is>
      </c>
      <c r="D341" s="7" t="inlineStr">
        <is>
          <t>157713073-black</t>
        </is>
      </c>
      <c r="E341" s="7" t="inlineStr">
        <is>
          <t>Textured Spacer Crewneck Pullover BLK S</t>
        </is>
      </c>
      <c r="F341" s="7" t="inlineStr">
        <is>
          <t>$128.00</t>
        </is>
      </c>
      <c r="G341" s="7" t="inlineStr">
        <is>
          <t>$64.00</t>
        </is>
      </c>
      <c r="H341" s="7" t="inlineStr">
        <is>
          <t>Black</t>
        </is>
      </c>
      <c r="I341" s="7">
        <f>IMAGE("https://images.lululemon.com/is/image/lululemon/0001",1)</f>
        <v/>
      </c>
      <c r="J341" s="7" t="inlineStr">
        <is>
          <t>S</t>
        </is>
      </c>
      <c r="K341" s="7" t="inlineStr">
        <is>
          <t>9/919</t>
        </is>
      </c>
      <c r="L341" s="7" t="inlineStr">
        <is>
          <t>Yes</t>
        </is>
      </c>
      <c r="M341" s="7" t="inlineStr">
        <is>
          <t>Warm up and cool down in comfort. This textured pullover is made of four-way stretch, quick-drying fabric—making it easy to go from stretch to sweat to street.</t>
        </is>
      </c>
      <c r="N341" s="7" t="inlineStr">
        <is>
          <t>Textured-Spacer-Crewneck-Pullover</t>
        </is>
      </c>
      <c r="O341" s="7" t="inlineStr">
        <is>
          <t>Crewneck Sweatshirts</t>
        </is>
      </c>
    </row>
    <row r="342" ht="80" customHeight="1">
      <c r="A342" s="4">
        <f>IMAGE("https://images.lululemon.com/is/image/lululemon/LM3FV5S_0001_1?wid=320&amp;op_usm=0.8",1)</f>
        <v/>
      </c>
      <c r="B342" s="4" t="inlineStr">
        <is>
          <t>Textured Spacer Crewneck Pullover</t>
        </is>
      </c>
      <c r="C342" s="4" t="inlineStr">
        <is>
          <t>157713061</t>
        </is>
      </c>
      <c r="D342" s="4" t="inlineStr">
        <is>
          <t>157713061-black</t>
        </is>
      </c>
      <c r="E342" s="4" t="inlineStr">
        <is>
          <t>Textured Spacer Crewneck Pullover BLK S</t>
        </is>
      </c>
      <c r="F342" s="4" t="inlineStr">
        <is>
          <t>$128.00</t>
        </is>
      </c>
      <c r="G342" s="4" t="inlineStr">
        <is>
          <t>$64.00</t>
        </is>
      </c>
      <c r="H342" s="4" t="inlineStr">
        <is>
          <t>Black</t>
        </is>
      </c>
      <c r="I342" s="4">
        <f>IMAGE("https://images.lululemon.com/is/image/lululemon/0001",1)</f>
        <v/>
      </c>
      <c r="J342" s="4" t="inlineStr">
        <is>
          <t>M</t>
        </is>
      </c>
      <c r="K342" s="4" t="inlineStr">
        <is>
          <t>28/919</t>
        </is>
      </c>
      <c r="L342" s="4" t="inlineStr">
        <is>
          <t>Yes</t>
        </is>
      </c>
      <c r="M342" s="4" t="inlineStr">
        <is>
          <t>Warm up and cool down in comfort. This textured pullover is made of four-way stretch, quick-drying fabric—making it easy to go from stretch to sweat to street.</t>
        </is>
      </c>
      <c r="N342" s="4" t="inlineStr">
        <is>
          <t>Textured-Spacer-Crewneck-Pullover</t>
        </is>
      </c>
      <c r="O342" s="4" t="inlineStr">
        <is>
          <t>Crewneck Sweatshirts</t>
        </is>
      </c>
    </row>
    <row r="343" ht="80" customHeight="1">
      <c r="A343" s="7">
        <f>IMAGE("https://images.lululemon.com/is/image/lululemon/LM3FV5S_0001_1?wid=320&amp;op_usm=0.8",1)</f>
        <v/>
      </c>
      <c r="B343" s="7" t="inlineStr">
        <is>
          <t>Textured Spacer Crewneck Pullover</t>
        </is>
      </c>
      <c r="C343" s="7" t="inlineStr">
        <is>
          <t>157713046</t>
        </is>
      </c>
      <c r="D343" s="7" t="inlineStr">
        <is>
          <t>157713046-black</t>
        </is>
      </c>
      <c r="E343" s="7" t="inlineStr">
        <is>
          <t>Textured Spacer Crewneck Pullover BLK S</t>
        </is>
      </c>
      <c r="F343" s="7" t="inlineStr">
        <is>
          <t>$128.00</t>
        </is>
      </c>
      <c r="G343" s="7" t="inlineStr">
        <is>
          <t>$64.00</t>
        </is>
      </c>
      <c r="H343" s="7" t="inlineStr">
        <is>
          <t>Black</t>
        </is>
      </c>
      <c r="I343" s="7">
        <f>IMAGE("https://images.lululemon.com/is/image/lululemon/0001",1)</f>
        <v/>
      </c>
      <c r="J343" s="7" t="inlineStr">
        <is>
          <t>L</t>
        </is>
      </c>
      <c r="K343" s="7" t="inlineStr">
        <is>
          <t>39/919</t>
        </is>
      </c>
      <c r="L343" s="7" t="inlineStr">
        <is>
          <t>Yes</t>
        </is>
      </c>
      <c r="M343" s="7" t="inlineStr">
        <is>
          <t>Warm up and cool down in comfort. This textured pullover is made of four-way stretch, quick-drying fabric—making it easy to go from stretch to sweat to street.</t>
        </is>
      </c>
      <c r="N343" s="7" t="inlineStr">
        <is>
          <t>Textured-Spacer-Crewneck-Pullover</t>
        </is>
      </c>
      <c r="O343" s="7" t="inlineStr">
        <is>
          <t>Crewneck Sweatshirts</t>
        </is>
      </c>
    </row>
    <row r="344" ht="80" customHeight="1">
      <c r="A344" s="4">
        <f>IMAGE("https://images.lululemon.com/is/image/lululemon/LM3FV5S_0001_1?wid=320&amp;op_usm=0.8",1)</f>
        <v/>
      </c>
      <c r="B344" s="4" t="inlineStr">
        <is>
          <t>Textured Spacer Crewneck Pullover</t>
        </is>
      </c>
      <c r="C344" s="4" t="inlineStr">
        <is>
          <t>157713085</t>
        </is>
      </c>
      <c r="D344" s="4" t="inlineStr">
        <is>
          <t>157713085-black</t>
        </is>
      </c>
      <c r="E344" s="4" t="inlineStr">
        <is>
          <t>Textured Spacer Crewneck Pullover BLK S</t>
        </is>
      </c>
      <c r="F344" s="4" t="inlineStr">
        <is>
          <t>$128.00</t>
        </is>
      </c>
      <c r="G344" s="4" t="inlineStr">
        <is>
          <t>$64.00</t>
        </is>
      </c>
      <c r="H344" s="4" t="inlineStr">
        <is>
          <t>Black</t>
        </is>
      </c>
      <c r="I344" s="4">
        <f>IMAGE("https://images.lululemon.com/is/image/lululemon/0001",1)</f>
        <v/>
      </c>
      <c r="J344" s="4" t="inlineStr">
        <is>
          <t>XL</t>
        </is>
      </c>
      <c r="K344" s="4" t="inlineStr">
        <is>
          <t>24/919</t>
        </is>
      </c>
      <c r="L344" s="4" t="inlineStr">
        <is>
          <t>Yes</t>
        </is>
      </c>
      <c r="M344" s="4" t="inlineStr">
        <is>
          <t>Warm up and cool down in comfort. This textured pullover is made of four-way stretch, quick-drying fabric—making it easy to go from stretch to sweat to street.</t>
        </is>
      </c>
      <c r="N344" s="4" t="inlineStr">
        <is>
          <t>Textured-Spacer-Crewneck-Pullover</t>
        </is>
      </c>
      <c r="O344" s="4" t="inlineStr">
        <is>
          <t>Crewneck Sweatshirts</t>
        </is>
      </c>
    </row>
    <row r="345" ht="80" customHeight="1">
      <c r="A345" s="7">
        <f>IMAGE("https://images.lululemon.com/is/image/lululemon/LM3FV5S_0001_1?wid=320&amp;op_usm=0.8",1)</f>
        <v/>
      </c>
      <c r="B345" s="7" t="inlineStr">
        <is>
          <t>Textured Spacer Crewneck Pullover</t>
        </is>
      </c>
      <c r="C345" s="7" t="inlineStr">
        <is>
          <t>157713115</t>
        </is>
      </c>
      <c r="D345" s="7" t="inlineStr">
        <is>
          <t>157713115-black</t>
        </is>
      </c>
      <c r="E345" s="7" t="inlineStr">
        <is>
          <t>Textured Spacer Crewneck Pullover BLK S</t>
        </is>
      </c>
      <c r="F345" s="7" t="inlineStr">
        <is>
          <t>$128.00</t>
        </is>
      </c>
      <c r="G345" s="7" t="inlineStr">
        <is>
          <t>$64.00</t>
        </is>
      </c>
      <c r="H345" s="7" t="inlineStr">
        <is>
          <t>Black</t>
        </is>
      </c>
      <c r="I345" s="7">
        <f>IMAGE("https://images.lululemon.com/is/image/lululemon/0001",1)</f>
        <v/>
      </c>
      <c r="J345" s="7" t="inlineStr">
        <is>
          <t>XXL</t>
        </is>
      </c>
      <c r="K345" s="7" t="inlineStr">
        <is>
          <t>4/919</t>
        </is>
      </c>
      <c r="L345" s="7" t="inlineStr">
        <is>
          <t>Yes</t>
        </is>
      </c>
      <c r="M345" s="7" t="inlineStr">
        <is>
          <t>Warm up and cool down in comfort. This textured pullover is made of four-way stretch, quick-drying fabric—making it easy to go from stretch to sweat to street.</t>
        </is>
      </c>
      <c r="N345" s="7" t="inlineStr">
        <is>
          <t>Textured-Spacer-Crewneck-Pullover</t>
        </is>
      </c>
      <c r="O345" s="7" t="inlineStr">
        <is>
          <t>Crewneck Sweatshirts</t>
        </is>
      </c>
    </row>
    <row r="346" ht="80" customHeight="1">
      <c r="A346" s="4">
        <f>IMAGE("https://images.lululemon.com/is/image/lululemon/LM3FV5S_0001_1?wid=320&amp;op_usm=0.8",1)</f>
        <v/>
      </c>
      <c r="B346" s="4" t="inlineStr">
        <is>
          <t>Textured Spacer Crewneck Pullover</t>
        </is>
      </c>
      <c r="C346" s="4" t="inlineStr">
        <is>
          <t>158028023</t>
        </is>
      </c>
      <c r="D346" s="4" t="inlineStr">
        <is>
          <t>158028023-pelican</t>
        </is>
      </c>
      <c r="E346" s="4" t="inlineStr">
        <is>
          <t>Textured Spacer Crewneck Pullover BLK S</t>
        </is>
      </c>
      <c r="F346" s="4" t="inlineStr">
        <is>
          <t>$128.00</t>
        </is>
      </c>
      <c r="G346" s="4" t="inlineStr">
        <is>
          <t>$64.00</t>
        </is>
      </c>
      <c r="H346" s="4" t="inlineStr">
        <is>
          <t>Pelican</t>
        </is>
      </c>
      <c r="I346" s="4">
        <f>IMAGE("https://images.lululemon.com/is/image/lululemon/27401",1)</f>
        <v/>
      </c>
      <c r="J346" s="4" t="inlineStr">
        <is>
          <t>S</t>
        </is>
      </c>
      <c r="K346" s="4" t="inlineStr">
        <is>
          <t>15/919</t>
        </is>
      </c>
      <c r="L346" s="4" t="inlineStr">
        <is>
          <t>Yes</t>
        </is>
      </c>
      <c r="M346" s="4" t="inlineStr">
        <is>
          <t>Warm up and cool down in comfort. This textured pullover is made of four-way stretch, quick-drying fabric—making it easy to go from stretch to sweat to street.</t>
        </is>
      </c>
      <c r="N346" s="4" t="inlineStr">
        <is>
          <t>Textured-Spacer-Crewneck-Pullover</t>
        </is>
      </c>
      <c r="O346" s="4" t="inlineStr">
        <is>
          <t>Crewneck Sweatshirts</t>
        </is>
      </c>
    </row>
    <row r="347" ht="80" customHeight="1">
      <c r="A347" s="7">
        <f>IMAGE("https://images.lululemon.com/is/image/lululemon/LM3FV5S_0001_1?wid=320&amp;op_usm=0.8",1)</f>
        <v/>
      </c>
      <c r="B347" s="7" t="inlineStr">
        <is>
          <t>Textured Spacer Crewneck Pullover</t>
        </is>
      </c>
      <c r="C347" s="7" t="inlineStr">
        <is>
          <t>158028000</t>
        </is>
      </c>
      <c r="D347" s="7" t="inlineStr">
        <is>
          <t>158028000-pelican</t>
        </is>
      </c>
      <c r="E347" s="7" t="inlineStr">
        <is>
          <t>Textured Spacer Crewneck Pullover BLK S</t>
        </is>
      </c>
      <c r="F347" s="7" t="inlineStr">
        <is>
          <t>$128.00</t>
        </is>
      </c>
      <c r="G347" s="7" t="inlineStr">
        <is>
          <t>$64.00</t>
        </is>
      </c>
      <c r="H347" s="7" t="inlineStr">
        <is>
          <t>Pelican</t>
        </is>
      </c>
      <c r="I347" s="7">
        <f>IMAGE("https://images.lululemon.com/is/image/lululemon/27401",1)</f>
        <v/>
      </c>
      <c r="J347" s="7" t="inlineStr">
        <is>
          <t>M</t>
        </is>
      </c>
      <c r="K347" s="7" t="inlineStr">
        <is>
          <t>44/919</t>
        </is>
      </c>
      <c r="L347" s="7" t="inlineStr">
        <is>
          <t>Yes</t>
        </is>
      </c>
      <c r="M347" s="7" t="inlineStr">
        <is>
          <t>Warm up and cool down in comfort. This textured pullover is made of four-way stretch, quick-drying fabric—making it easy to go from stretch to sweat to street.</t>
        </is>
      </c>
      <c r="N347" s="7" t="inlineStr">
        <is>
          <t>Textured-Spacer-Crewneck-Pullover</t>
        </is>
      </c>
      <c r="O347" s="7" t="inlineStr">
        <is>
          <t>Crewneck Sweatshirts</t>
        </is>
      </c>
    </row>
    <row r="348" ht="80" customHeight="1">
      <c r="A348" s="4">
        <f>IMAGE("https://images.lululemon.com/is/image/lululemon/LM3FV5S_0001_1?wid=320&amp;op_usm=0.8",1)</f>
        <v/>
      </c>
      <c r="B348" s="4" t="inlineStr">
        <is>
          <t>Textured Spacer Crewneck Pullover</t>
        </is>
      </c>
      <c r="C348" s="4" t="inlineStr">
        <is>
          <t>158027979</t>
        </is>
      </c>
      <c r="D348" s="4" t="inlineStr">
        <is>
          <t>158027979-pelican</t>
        </is>
      </c>
      <c r="E348" s="4" t="inlineStr">
        <is>
          <t>Textured Spacer Crewneck Pullover BLK S</t>
        </is>
      </c>
      <c r="F348" s="4" t="inlineStr">
        <is>
          <t>$128.00</t>
        </is>
      </c>
      <c r="G348" s="4" t="inlineStr">
        <is>
          <t>$64.00</t>
        </is>
      </c>
      <c r="H348" s="4" t="inlineStr">
        <is>
          <t>Pelican</t>
        </is>
      </c>
      <c r="I348" s="4">
        <f>IMAGE("https://images.lululemon.com/is/image/lululemon/27401",1)</f>
        <v/>
      </c>
      <c r="J348" s="4" t="inlineStr">
        <is>
          <t>L</t>
        </is>
      </c>
      <c r="K348" s="4" t="inlineStr">
        <is>
          <t>58/919</t>
        </is>
      </c>
      <c r="L348" s="4" t="inlineStr">
        <is>
          <t>Yes</t>
        </is>
      </c>
      <c r="M348" s="4" t="inlineStr">
        <is>
          <t>Warm up and cool down in comfort. This textured pullover is made of four-way stretch, quick-drying fabric—making it easy to go from stretch to sweat to street.</t>
        </is>
      </c>
      <c r="N348" s="4" t="inlineStr">
        <is>
          <t>Textured-Spacer-Crewneck-Pullover</t>
        </is>
      </c>
      <c r="O348" s="4" t="inlineStr">
        <is>
          <t>Crewneck Sweatshirts</t>
        </is>
      </c>
    </row>
    <row r="349" ht="80" customHeight="1">
      <c r="A349" s="7">
        <f>IMAGE("https://images.lululemon.com/is/image/lululemon/LM3FV5S_0001_1?wid=320&amp;op_usm=0.8",1)</f>
        <v/>
      </c>
      <c r="B349" s="7" t="inlineStr">
        <is>
          <t>Textured Spacer Crewneck Pullover</t>
        </is>
      </c>
      <c r="C349" s="7" t="inlineStr">
        <is>
          <t>158028043</t>
        </is>
      </c>
      <c r="D349" s="7" t="inlineStr">
        <is>
          <t>158028043-pelican</t>
        </is>
      </c>
      <c r="E349" s="7" t="inlineStr">
        <is>
          <t>Textured Spacer Crewneck Pullover BLK S</t>
        </is>
      </c>
      <c r="F349" s="7" t="inlineStr">
        <is>
          <t>$128.00</t>
        </is>
      </c>
      <c r="G349" s="7" t="inlineStr">
        <is>
          <t>$64.00</t>
        </is>
      </c>
      <c r="H349" s="7" t="inlineStr">
        <is>
          <t>Pelican</t>
        </is>
      </c>
      <c r="I349" s="7">
        <f>IMAGE("https://images.lululemon.com/is/image/lululemon/27401",1)</f>
        <v/>
      </c>
      <c r="J349" s="7" t="inlineStr">
        <is>
          <t>XL</t>
        </is>
      </c>
      <c r="K349" s="7" t="inlineStr">
        <is>
          <t>39/919</t>
        </is>
      </c>
      <c r="L349" s="7" t="inlineStr">
        <is>
          <t>Yes</t>
        </is>
      </c>
      <c r="M349" s="7" t="inlineStr">
        <is>
          <t>Warm up and cool down in comfort. This textured pullover is made of four-way stretch, quick-drying fabric—making it easy to go from stretch to sweat to street.</t>
        </is>
      </c>
      <c r="N349" s="7" t="inlineStr">
        <is>
          <t>Textured-Spacer-Crewneck-Pullover</t>
        </is>
      </c>
      <c r="O349" s="7" t="inlineStr">
        <is>
          <t>Crewneck Sweatshirts</t>
        </is>
      </c>
    </row>
    <row r="350" ht="80" customHeight="1">
      <c r="A350" s="4">
        <f>IMAGE("https://images.lululemon.com/is/image/lululemon/LM3FV5S_0001_1?wid=320&amp;op_usm=0.8",1)</f>
        <v/>
      </c>
      <c r="B350" s="4" t="inlineStr">
        <is>
          <t>Textured Spacer Crewneck Pullover</t>
        </is>
      </c>
      <c r="C350" s="4" t="inlineStr">
        <is>
          <t>158028088</t>
        </is>
      </c>
      <c r="D350" s="4" t="inlineStr">
        <is>
          <t>158028088-pelican</t>
        </is>
      </c>
      <c r="E350" s="4" t="inlineStr">
        <is>
          <t>Textured Spacer Crewneck Pullover BLK S</t>
        </is>
      </c>
      <c r="F350" s="4" t="inlineStr">
        <is>
          <t>$128.00</t>
        </is>
      </c>
      <c r="G350" s="4" t="inlineStr">
        <is>
          <t>$64.00</t>
        </is>
      </c>
      <c r="H350" s="4" t="inlineStr">
        <is>
          <t>Pelican</t>
        </is>
      </c>
      <c r="I350" s="4">
        <f>IMAGE("https://images.lululemon.com/is/image/lululemon/27401",1)</f>
        <v/>
      </c>
      <c r="J350" s="4" t="inlineStr">
        <is>
          <t>XXL</t>
        </is>
      </c>
      <c r="K350" s="4" t="inlineStr">
        <is>
          <t>14/919</t>
        </is>
      </c>
      <c r="L350" s="4" t="inlineStr">
        <is>
          <t>Yes</t>
        </is>
      </c>
      <c r="M350" s="4" t="inlineStr">
        <is>
          <t>Warm up and cool down in comfort. This textured pullover is made of four-way stretch, quick-drying fabric—making it easy to go from stretch to sweat to street.</t>
        </is>
      </c>
      <c r="N350" s="4" t="inlineStr">
        <is>
          <t>Textured-Spacer-Crewneck-Pullover</t>
        </is>
      </c>
      <c r="O350" s="4" t="inlineStr">
        <is>
          <t>Crewneck Sweatshirts</t>
        </is>
      </c>
    </row>
    <row r="351" ht="80" customHeight="1">
      <c r="A351" s="7">
        <f>IMAGE("https://images.lululemon.com/is/image/lululemon/LM3FV5S_0001_1?wid=320&amp;op_usm=0.8",1)</f>
        <v/>
      </c>
      <c r="B351" s="7" t="inlineStr">
        <is>
          <t>Textured Spacer Crewneck Pullover</t>
        </is>
      </c>
      <c r="C351" s="7" t="inlineStr">
        <is>
          <t>158028146</t>
        </is>
      </c>
      <c r="D351" s="7" t="inlineStr">
        <is>
          <t>158028146-clubblue</t>
        </is>
      </c>
      <c r="E351" s="7" t="inlineStr">
        <is>
          <t>Textured Spacer Crewneck Pullover BLK S</t>
        </is>
      </c>
      <c r="F351" s="7" t="inlineStr">
        <is>
          <t>$128.00</t>
        </is>
      </c>
      <c r="G351" s="7" t="inlineStr">
        <is>
          <t>$64.00</t>
        </is>
      </c>
      <c r="H351" s="7" t="inlineStr">
        <is>
          <t>Club Blue</t>
        </is>
      </c>
      <c r="I351" s="7">
        <f>IMAGE("https://images.lululemon.com/is/image/lululemon/68578",1)</f>
        <v/>
      </c>
      <c r="J351" s="7" t="inlineStr">
        <is>
          <t>S</t>
        </is>
      </c>
      <c r="K351" s="7" t="inlineStr">
        <is>
          <t>14/919</t>
        </is>
      </c>
      <c r="L351" s="7" t="inlineStr">
        <is>
          <t>Yes</t>
        </is>
      </c>
      <c r="M351" s="7" t="inlineStr">
        <is>
          <t>Warm up and cool down in comfort. This textured pullover is made of four-way stretch, quick-drying fabric—making it easy to go from stretch to sweat to street.</t>
        </is>
      </c>
      <c r="N351" s="7" t="inlineStr">
        <is>
          <t>Textured-Spacer-Crewneck-Pullover</t>
        </is>
      </c>
      <c r="O351" s="7" t="inlineStr">
        <is>
          <t>Crewneck Sweatshirts</t>
        </is>
      </c>
    </row>
    <row r="352" ht="80" customHeight="1">
      <c r="A352" s="4">
        <f>IMAGE("https://images.lululemon.com/is/image/lululemon/LM3FV5S_0001_1?wid=320&amp;op_usm=0.8",1)</f>
        <v/>
      </c>
      <c r="B352" s="4" t="inlineStr">
        <is>
          <t>Textured Spacer Crewneck Pullover</t>
        </is>
      </c>
      <c r="C352" s="4" t="inlineStr">
        <is>
          <t>158028130</t>
        </is>
      </c>
      <c r="D352" s="4" t="inlineStr">
        <is>
          <t>158028130-clubblue</t>
        </is>
      </c>
      <c r="E352" s="4" t="inlineStr">
        <is>
          <t>Textured Spacer Crewneck Pullover BLK S</t>
        </is>
      </c>
      <c r="F352" s="4" t="inlineStr">
        <is>
          <t>$128.00</t>
        </is>
      </c>
      <c r="G352" s="4" t="inlineStr">
        <is>
          <t>$64.00</t>
        </is>
      </c>
      <c r="H352" s="4" t="inlineStr">
        <is>
          <t>Club Blue</t>
        </is>
      </c>
      <c r="I352" s="4">
        <f>IMAGE("https://images.lululemon.com/is/image/lululemon/68578",1)</f>
        <v/>
      </c>
      <c r="J352" s="4" t="inlineStr">
        <is>
          <t>M</t>
        </is>
      </c>
      <c r="K352" s="4" t="inlineStr">
        <is>
          <t>37/919</t>
        </is>
      </c>
      <c r="L352" s="4" t="inlineStr">
        <is>
          <t>Yes</t>
        </is>
      </c>
      <c r="M352" s="4" t="inlineStr">
        <is>
          <t>Warm up and cool down in comfort. This textured pullover is made of four-way stretch, quick-drying fabric—making it easy to go from stretch to sweat to street.</t>
        </is>
      </c>
      <c r="N352" s="4" t="inlineStr">
        <is>
          <t>Textured-Spacer-Crewneck-Pullover</t>
        </is>
      </c>
      <c r="O352" s="4" t="inlineStr">
        <is>
          <t>Crewneck Sweatshirts</t>
        </is>
      </c>
    </row>
    <row r="353" ht="80" customHeight="1">
      <c r="A353" s="7">
        <f>IMAGE("https://images.lululemon.com/is/image/lululemon/LM3FV5S_0001_1?wid=320&amp;op_usm=0.8",1)</f>
        <v/>
      </c>
      <c r="B353" s="7" t="inlineStr">
        <is>
          <t>Textured Spacer Crewneck Pullover</t>
        </is>
      </c>
      <c r="C353" s="7" t="inlineStr">
        <is>
          <t>158028110</t>
        </is>
      </c>
      <c r="D353" s="7" t="inlineStr">
        <is>
          <t>158028110-clubblue</t>
        </is>
      </c>
      <c r="E353" s="7" t="inlineStr">
        <is>
          <t>Textured Spacer Crewneck Pullover BLK S</t>
        </is>
      </c>
      <c r="F353" s="7" t="inlineStr">
        <is>
          <t>$128.00</t>
        </is>
      </c>
      <c r="G353" s="7" t="inlineStr">
        <is>
          <t>$64.00</t>
        </is>
      </c>
      <c r="H353" s="7" t="inlineStr">
        <is>
          <t>Club Blue</t>
        </is>
      </c>
      <c r="I353" s="7">
        <f>IMAGE("https://images.lululemon.com/is/image/lululemon/68578",1)</f>
        <v/>
      </c>
      <c r="J353" s="7" t="inlineStr">
        <is>
          <t>L</t>
        </is>
      </c>
      <c r="K353" s="7" t="inlineStr">
        <is>
          <t>53/919</t>
        </is>
      </c>
      <c r="L353" s="7" t="inlineStr">
        <is>
          <t>Yes</t>
        </is>
      </c>
      <c r="M353" s="7" t="inlineStr">
        <is>
          <t>Warm up and cool down in comfort. This textured pullover is made of four-way stretch, quick-drying fabric—making it easy to go from stretch to sweat to street.</t>
        </is>
      </c>
      <c r="N353" s="7" t="inlineStr">
        <is>
          <t>Textured-Spacer-Crewneck-Pullover</t>
        </is>
      </c>
      <c r="O353" s="7" t="inlineStr">
        <is>
          <t>Crewneck Sweatshirts</t>
        </is>
      </c>
    </row>
    <row r="354" ht="80" customHeight="1">
      <c r="A354" s="4">
        <f>IMAGE("https://images.lululemon.com/is/image/lululemon/LM3FV5S_0001_1?wid=320&amp;op_usm=0.8",1)</f>
        <v/>
      </c>
      <c r="B354" s="4" t="inlineStr">
        <is>
          <t>Textured Spacer Crewneck Pullover</t>
        </is>
      </c>
      <c r="C354" s="4" t="inlineStr">
        <is>
          <t>158028163</t>
        </is>
      </c>
      <c r="D354" s="4" t="inlineStr">
        <is>
          <t>158028163-clubblue</t>
        </is>
      </c>
      <c r="E354" s="4" t="inlineStr">
        <is>
          <t>Textured Spacer Crewneck Pullover BLK S</t>
        </is>
      </c>
      <c r="F354" s="4" t="inlineStr">
        <is>
          <t>$128.00</t>
        </is>
      </c>
      <c r="G354" s="4" t="inlineStr">
        <is>
          <t>$64.00</t>
        </is>
      </c>
      <c r="H354" s="4" t="inlineStr">
        <is>
          <t>Club Blue</t>
        </is>
      </c>
      <c r="I354" s="4">
        <f>IMAGE("https://images.lululemon.com/is/image/lululemon/68578",1)</f>
        <v/>
      </c>
      <c r="J354" s="4" t="inlineStr">
        <is>
          <t>XL</t>
        </is>
      </c>
      <c r="K354" s="4" t="inlineStr">
        <is>
          <t>35/919</t>
        </is>
      </c>
      <c r="L354" s="4" t="inlineStr">
        <is>
          <t>Yes</t>
        </is>
      </c>
      <c r="M354" s="4" t="inlineStr">
        <is>
          <t>Warm up and cool down in comfort. This textured pullover is made of four-way stretch, quick-drying fabric—making it easy to go from stretch to sweat to street.</t>
        </is>
      </c>
      <c r="N354" s="4" t="inlineStr">
        <is>
          <t>Textured-Spacer-Crewneck-Pullover</t>
        </is>
      </c>
      <c r="O354" s="4" t="inlineStr">
        <is>
          <t>Crewneck Sweatshirts</t>
        </is>
      </c>
    </row>
    <row r="355" ht="80" customHeight="1">
      <c r="A355" s="7">
        <f>IMAGE("https://images.lululemon.com/is/image/lululemon/LM3FV5S_0001_1?wid=320&amp;op_usm=0.8",1)</f>
        <v/>
      </c>
      <c r="B355" s="7" t="inlineStr">
        <is>
          <t>Textured Spacer Crewneck Pullover</t>
        </is>
      </c>
      <c r="C355" s="7" t="inlineStr">
        <is>
          <t>158028196</t>
        </is>
      </c>
      <c r="D355" s="7" t="inlineStr">
        <is>
          <t>158028196-clubblue</t>
        </is>
      </c>
      <c r="E355" s="7" t="inlineStr">
        <is>
          <t>Textured Spacer Crewneck Pullover BLK S</t>
        </is>
      </c>
      <c r="F355" s="7" t="inlineStr">
        <is>
          <t>$128.00</t>
        </is>
      </c>
      <c r="G355" s="7" t="inlineStr">
        <is>
          <t>$64.00</t>
        </is>
      </c>
      <c r="H355" s="7" t="inlineStr">
        <is>
          <t>Club Blue</t>
        </is>
      </c>
      <c r="I355" s="7">
        <f>IMAGE("https://images.lululemon.com/is/image/lululemon/68578",1)</f>
        <v/>
      </c>
      <c r="J355" s="7" t="inlineStr">
        <is>
          <t>XXL</t>
        </is>
      </c>
      <c r="K355" s="7" t="inlineStr">
        <is>
          <t>14/919</t>
        </is>
      </c>
      <c r="L355" s="7" t="inlineStr">
        <is>
          <t>Yes</t>
        </is>
      </c>
      <c r="M355" s="7" t="inlineStr">
        <is>
          <t>Warm up and cool down in comfort. This textured pullover is made of four-way stretch, quick-drying fabric—making it easy to go from stretch to sweat to street.</t>
        </is>
      </c>
      <c r="N355" s="7" t="inlineStr">
        <is>
          <t>Textured-Spacer-Crewneck-Pullover</t>
        </is>
      </c>
      <c r="O355" s="7" t="inlineStr">
        <is>
          <t>Crewneck Sweatshirts</t>
        </is>
      </c>
    </row>
    <row r="356" ht="80" customHeight="1">
      <c r="A356" s="4">
        <f>IMAGE("https://images.lululemon.com/is/image/lululemon/LM3FV5S_0001_1?wid=320&amp;op_usm=0.8",1)</f>
        <v/>
      </c>
      <c r="B356" s="4" t="inlineStr">
        <is>
          <t>Textured Spacer Crewneck Pullover</t>
        </is>
      </c>
      <c r="C356" s="4" t="inlineStr">
        <is>
          <t>158028246</t>
        </is>
      </c>
      <c r="D356" s="4" t="inlineStr">
        <is>
          <t>158028246-walnutcrunch</t>
        </is>
      </c>
      <c r="E356" s="4" t="inlineStr">
        <is>
          <t>Textured Spacer Crewneck Pullover BLK S</t>
        </is>
      </c>
      <c r="F356" s="4" t="inlineStr">
        <is>
          <t>$128.00</t>
        </is>
      </c>
      <c r="G356" s="4" t="inlineStr">
        <is>
          <t>$64.00</t>
        </is>
      </c>
      <c r="H356" s="4" t="inlineStr">
        <is>
          <t>Walnut Crunch</t>
        </is>
      </c>
      <c r="I356" s="4">
        <f>IMAGE("https://images.lululemon.com/is/image/lululemon/72761",1)</f>
        <v/>
      </c>
      <c r="J356" s="4" t="inlineStr">
        <is>
          <t>S</t>
        </is>
      </c>
      <c r="K356" s="4" t="inlineStr">
        <is>
          <t>43/919</t>
        </is>
      </c>
      <c r="L356" s="4" t="inlineStr">
        <is>
          <t>Yes</t>
        </is>
      </c>
      <c r="M356" s="4" t="inlineStr">
        <is>
          <t>Warm up and cool down in comfort. This textured pullover is made of four-way stretch, quick-drying fabric—making it easy to go from stretch to sweat to street.</t>
        </is>
      </c>
      <c r="N356" s="4" t="inlineStr">
        <is>
          <t>Textured-Spacer-Crewneck-Pullover</t>
        </is>
      </c>
      <c r="O356" s="4" t="inlineStr">
        <is>
          <t>Crewneck Sweatshirts</t>
        </is>
      </c>
    </row>
    <row r="357" ht="80" customHeight="1">
      <c r="A357" s="7">
        <f>IMAGE("https://images.lululemon.com/is/image/lululemon/LM3FV5S_0001_1?wid=320&amp;op_usm=0.8",1)</f>
        <v/>
      </c>
      <c r="B357" s="7" t="inlineStr">
        <is>
          <t>Textured Spacer Crewneck Pullover</t>
        </is>
      </c>
      <c r="C357" s="7" t="inlineStr">
        <is>
          <t>158028233</t>
        </is>
      </c>
      <c r="D357" s="7" t="inlineStr">
        <is>
          <t>158028233-walnutcrunch</t>
        </is>
      </c>
      <c r="E357" s="7" t="inlineStr">
        <is>
          <t>Textured Spacer Crewneck Pullover BLK S</t>
        </is>
      </c>
      <c r="F357" s="7" t="inlineStr">
        <is>
          <t>$128.00</t>
        </is>
      </c>
      <c r="G357" s="7" t="inlineStr">
        <is>
          <t>$64.00</t>
        </is>
      </c>
      <c r="H357" s="7" t="inlineStr">
        <is>
          <t>Walnut Crunch</t>
        </is>
      </c>
      <c r="I357" s="7">
        <f>IMAGE("https://images.lululemon.com/is/image/lululemon/72761",1)</f>
        <v/>
      </c>
      <c r="J357" s="7" t="inlineStr">
        <is>
          <t>M</t>
        </is>
      </c>
      <c r="K357" s="7" t="inlineStr">
        <is>
          <t>122/919</t>
        </is>
      </c>
      <c r="L357" s="7" t="inlineStr">
        <is>
          <t>Yes</t>
        </is>
      </c>
      <c r="M357" s="7" t="inlineStr">
        <is>
          <t>Warm up and cool down in comfort. This textured pullover is made of four-way stretch, quick-drying fabric—making it easy to go from stretch to sweat to street.</t>
        </is>
      </c>
      <c r="N357" s="7" t="inlineStr">
        <is>
          <t>Textured-Spacer-Crewneck-Pullover</t>
        </is>
      </c>
      <c r="O357" s="7" t="inlineStr">
        <is>
          <t>Crewneck Sweatshirts</t>
        </is>
      </c>
    </row>
    <row r="358" ht="80" customHeight="1">
      <c r="A358" s="4">
        <f>IMAGE("https://images.lululemon.com/is/image/lululemon/LM3FV5S_0001_1?wid=320&amp;op_usm=0.8",1)</f>
        <v/>
      </c>
      <c r="B358" s="4" t="inlineStr">
        <is>
          <t>Textured Spacer Crewneck Pullover</t>
        </is>
      </c>
      <c r="C358" s="4" t="inlineStr">
        <is>
          <t>158028213</t>
        </is>
      </c>
      <c r="D358" s="4" t="inlineStr">
        <is>
          <t>158028213-walnutcrunch</t>
        </is>
      </c>
      <c r="E358" s="4" t="inlineStr">
        <is>
          <t>Textured Spacer Crewneck Pullover BLK S</t>
        </is>
      </c>
      <c r="F358" s="4" t="inlineStr">
        <is>
          <t>$128.00</t>
        </is>
      </c>
      <c r="G358" s="4" t="inlineStr">
        <is>
          <t>$64.00</t>
        </is>
      </c>
      <c r="H358" s="4" t="inlineStr">
        <is>
          <t>Walnut Crunch</t>
        </is>
      </c>
      <c r="I358" s="4">
        <f>IMAGE("https://images.lululemon.com/is/image/lululemon/72761",1)</f>
        <v/>
      </c>
      <c r="J358" s="4" t="inlineStr">
        <is>
          <t>L</t>
        </is>
      </c>
      <c r="K358" s="4" t="inlineStr">
        <is>
          <t>173/919</t>
        </is>
      </c>
      <c r="L358" s="4" t="inlineStr">
        <is>
          <t>Yes</t>
        </is>
      </c>
      <c r="M358" s="4" t="inlineStr">
        <is>
          <t>Warm up and cool down in comfort. This textured pullover is made of four-way stretch, quick-drying fabric—making it easy to go from stretch to sweat to street.</t>
        </is>
      </c>
      <c r="N358" s="4" t="inlineStr">
        <is>
          <t>Textured-Spacer-Crewneck-Pullover</t>
        </is>
      </c>
      <c r="O358" s="4" t="inlineStr">
        <is>
          <t>Crewneck Sweatshirts</t>
        </is>
      </c>
    </row>
    <row r="359" ht="80" customHeight="1">
      <c r="A359" s="7">
        <f>IMAGE("https://images.lululemon.com/is/image/lululemon/LM3FV5S_0001_1?wid=320&amp;op_usm=0.8",1)</f>
        <v/>
      </c>
      <c r="B359" s="7" t="inlineStr">
        <is>
          <t>Textured Spacer Crewneck Pullover</t>
        </is>
      </c>
      <c r="C359" s="7" t="inlineStr">
        <is>
          <t>158028260</t>
        </is>
      </c>
      <c r="D359" s="7" t="inlineStr">
        <is>
          <t>158028260-walnutcrunch</t>
        </is>
      </c>
      <c r="E359" s="7" t="inlineStr">
        <is>
          <t>Textured Spacer Crewneck Pullover BLK S</t>
        </is>
      </c>
      <c r="F359" s="7" t="inlineStr">
        <is>
          <t>$128.00</t>
        </is>
      </c>
      <c r="G359" s="7" t="inlineStr">
        <is>
          <t>$64.00</t>
        </is>
      </c>
      <c r="H359" s="7" t="inlineStr">
        <is>
          <t>Walnut Crunch</t>
        </is>
      </c>
      <c r="I359" s="7">
        <f>IMAGE("https://images.lululemon.com/is/image/lululemon/72761",1)</f>
        <v/>
      </c>
      <c r="J359" s="7" t="inlineStr">
        <is>
          <t>XL</t>
        </is>
      </c>
      <c r="K359" s="7" t="inlineStr">
        <is>
          <t>114/919</t>
        </is>
      </c>
      <c r="L359" s="7" t="inlineStr">
        <is>
          <t>Yes</t>
        </is>
      </c>
      <c r="M359" s="7" t="inlineStr">
        <is>
          <t>Warm up and cool down in comfort. This textured pullover is made of four-way stretch, quick-drying fabric—making it easy to go from stretch to sweat to street.</t>
        </is>
      </c>
      <c r="N359" s="7" t="inlineStr">
        <is>
          <t>Textured-Spacer-Crewneck-Pullover</t>
        </is>
      </c>
      <c r="O359" s="7" t="inlineStr">
        <is>
          <t>Crewneck Sweatshirts</t>
        </is>
      </c>
    </row>
    <row r="360" ht="80" customHeight="1">
      <c r="A360" s="6">
        <f>IMAGE("https://images.lululemon.com/is/image/lululemon/LM3FV5S_0001_1?wid=320&amp;op_usm=0.8",1)</f>
        <v/>
      </c>
      <c r="B360" s="6" t="inlineStr">
        <is>
          <t>Textured Spacer Crewneck Pullover</t>
        </is>
      </c>
      <c r="C360" s="6" t="inlineStr">
        <is>
          <t>158028277</t>
        </is>
      </c>
      <c r="D360" s="6" t="inlineStr">
        <is>
          <t>158028277-walnutcrunch</t>
        </is>
      </c>
      <c r="E360" s="6" t="inlineStr">
        <is>
          <t>Textured Spacer Crewneck Pullover BLK S</t>
        </is>
      </c>
      <c r="F360" s="6" t="inlineStr">
        <is>
          <t>$128.00</t>
        </is>
      </c>
      <c r="G360" s="6" t="inlineStr">
        <is>
          <t>$64.00</t>
        </is>
      </c>
      <c r="H360" s="6" t="inlineStr">
        <is>
          <t>Walnut Crunch</t>
        </is>
      </c>
      <c r="I360" s="6">
        <f>IMAGE("https://images.lululemon.com/is/image/lululemon/72761",1)</f>
        <v/>
      </c>
      <c r="J360" s="6" t="inlineStr">
        <is>
          <t>XXL</t>
        </is>
      </c>
      <c r="K360" s="6" t="inlineStr">
        <is>
          <t>40/919</t>
        </is>
      </c>
      <c r="L360" s="6" t="inlineStr">
        <is>
          <t>Yes</t>
        </is>
      </c>
      <c r="M360" s="6" t="inlineStr">
        <is>
          <t>Warm up and cool down in comfort. This textured pullover is made of four-way stretch, quick-drying fabric—making it easy to go from stretch to sweat to street.</t>
        </is>
      </c>
      <c r="N360" s="6" t="inlineStr">
        <is>
          <t>Textured-Spacer-Crewneck-Pullover</t>
        </is>
      </c>
      <c r="O360" s="6" t="inlineStr">
        <is>
          <t>Crewneck Sweatshirts</t>
        </is>
      </c>
    </row>
    <row r="361" ht="80" customHeight="1">
      <c r="A361" s="7">
        <f>IMAGE("https://images.lululemon.com/is/image/lululemon/LM7BSRS_069299_1?wid=320&amp;op_usm=0.8",1)</f>
        <v/>
      </c>
      <c r="B361" s="7" t="inlineStr">
        <is>
          <t>Tennis Short 7"</t>
        </is>
      </c>
      <c r="C361" s="7" t="inlineStr">
        <is>
          <t>157684985</t>
        </is>
      </c>
      <c r="D361" s="7" t="inlineStr">
        <is>
          <t>157684985-lululemonred/darksportred</t>
        </is>
      </c>
      <c r="E361" s="7" t="inlineStr">
        <is>
          <t>Tennis Short 7" LURD/DKSR S</t>
        </is>
      </c>
      <c r="F361" s="7" t="inlineStr">
        <is>
          <t>$78.00</t>
        </is>
      </c>
      <c r="G361" s="7" t="inlineStr">
        <is>
          <t>$39.00</t>
        </is>
      </c>
      <c r="H361" s="7" t="inlineStr">
        <is>
          <t>Lululemon Red/Dark Sport Red</t>
        </is>
      </c>
      <c r="I361" s="7">
        <f>IMAGE("https://images.lululemon.com/is/image/lululemon/71316",1)</f>
        <v/>
      </c>
      <c r="J361" s="7" t="inlineStr">
        <is>
          <t>S</t>
        </is>
      </c>
      <c r="K361" s="7" t="inlineStr">
        <is>
          <t>9/121</t>
        </is>
      </c>
      <c r="L361" s="7" t="inlineStr">
        <is>
          <t>Yes</t>
        </is>
      </c>
      <c r="M361" s="7" t="inlineStr">
        <is>
          <t>A new smash hit. Inspired by  classic tennis looks, these  breezy, unlined mesh shorts  have fuss-free front pockets  for spare tennis balls.</t>
        </is>
      </c>
      <c r="N361" s="7" t="inlineStr">
        <is>
          <t>Tennis-Short-7</t>
        </is>
      </c>
      <c r="O361" s="7" t="inlineStr"/>
    </row>
    <row r="362" ht="80" customHeight="1">
      <c r="A362" s="4">
        <f>IMAGE("https://images.lululemon.com/is/image/lululemon/LM7BSRS_069299_1?wid=320&amp;op_usm=0.8",1)</f>
        <v/>
      </c>
      <c r="B362" s="4" t="inlineStr">
        <is>
          <t>Tennis Short 7"</t>
        </is>
      </c>
      <c r="C362" s="4" t="inlineStr">
        <is>
          <t>157684979</t>
        </is>
      </c>
      <c r="D362" s="4" t="inlineStr">
        <is>
          <t>157684979-lululemonred/darksportred</t>
        </is>
      </c>
      <c r="E362" s="4" t="inlineStr">
        <is>
          <t>Tennis Short 7" LURD/DKSR S</t>
        </is>
      </c>
      <c r="F362" s="4" t="inlineStr">
        <is>
          <t>$78.00</t>
        </is>
      </c>
      <c r="G362" s="4" t="inlineStr">
        <is>
          <t>$39.00</t>
        </is>
      </c>
      <c r="H362" s="4" t="inlineStr">
        <is>
          <t>Lululemon Red/Dark Sport Red</t>
        </is>
      </c>
      <c r="I362" s="4">
        <f>IMAGE("https://images.lululemon.com/is/image/lululemon/71316",1)</f>
        <v/>
      </c>
      <c r="J362" s="4" t="inlineStr">
        <is>
          <t>M</t>
        </is>
      </c>
      <c r="K362" s="4" t="inlineStr">
        <is>
          <t>25/121</t>
        </is>
      </c>
      <c r="L362" s="4" t="inlineStr">
        <is>
          <t>Yes</t>
        </is>
      </c>
      <c r="M362" s="4" t="inlineStr">
        <is>
          <t>A new smash hit. Inspired by  classic tennis looks, these  breezy, unlined mesh shorts  have fuss-free front pockets  for spare tennis balls.</t>
        </is>
      </c>
      <c r="N362" s="4" t="inlineStr">
        <is>
          <t>Tennis-Short-7</t>
        </is>
      </c>
      <c r="O362" s="4" t="inlineStr"/>
    </row>
    <row r="363" ht="80" customHeight="1">
      <c r="A363" s="7">
        <f>IMAGE("https://images.lululemon.com/is/image/lululemon/LM7BSRS_069299_1?wid=320&amp;op_usm=0.8",1)</f>
        <v/>
      </c>
      <c r="B363" s="7" t="inlineStr">
        <is>
          <t>Tennis Short 7"</t>
        </is>
      </c>
      <c r="C363" s="7" t="inlineStr">
        <is>
          <t>157684970</t>
        </is>
      </c>
      <c r="D363" s="7" t="inlineStr">
        <is>
          <t>157684970-lululemonred/darksportred</t>
        </is>
      </c>
      <c r="E363" s="7" t="inlineStr">
        <is>
          <t>Tennis Short 7" LURD/DKSR S</t>
        </is>
      </c>
      <c r="F363" s="7" t="inlineStr">
        <is>
          <t>$78.00</t>
        </is>
      </c>
      <c r="G363" s="7" t="inlineStr">
        <is>
          <t>$39.00</t>
        </is>
      </c>
      <c r="H363" s="7" t="inlineStr">
        <is>
          <t>Lululemon Red/Dark Sport Red</t>
        </is>
      </c>
      <c r="I363" s="7">
        <f>IMAGE("https://images.lululemon.com/is/image/lululemon/71316",1)</f>
        <v/>
      </c>
      <c r="J363" s="7" t="inlineStr">
        <is>
          <t>L</t>
        </is>
      </c>
      <c r="K363" s="7" t="inlineStr">
        <is>
          <t>26/121</t>
        </is>
      </c>
      <c r="L363" s="7" t="inlineStr">
        <is>
          <t>Yes</t>
        </is>
      </c>
      <c r="M363" s="7" t="inlineStr">
        <is>
          <t>A new smash hit. Inspired by  classic tennis looks, these  breezy, unlined mesh shorts  have fuss-free front pockets  for spare tennis balls.</t>
        </is>
      </c>
      <c r="N363" s="7" t="inlineStr">
        <is>
          <t>Tennis-Short-7</t>
        </is>
      </c>
      <c r="O363" s="7" t="inlineStr"/>
    </row>
    <row r="364" ht="80" customHeight="1">
      <c r="A364" s="4">
        <f>IMAGE("https://images.lululemon.com/is/image/lululemon/LM7BSRS_069299_1?wid=320&amp;op_usm=0.8",1)</f>
        <v/>
      </c>
      <c r="B364" s="4" t="inlineStr">
        <is>
          <t>Tennis Short 7"</t>
        </is>
      </c>
      <c r="C364" s="4" t="inlineStr">
        <is>
          <t>157684992</t>
        </is>
      </c>
      <c r="D364" s="4" t="inlineStr">
        <is>
          <t>157684992-lululemonred/darksportred</t>
        </is>
      </c>
      <c r="E364" s="4" t="inlineStr">
        <is>
          <t>Tennis Short 7" LURD/DKSR S</t>
        </is>
      </c>
      <c r="F364" s="4" t="inlineStr">
        <is>
          <t>$78.00</t>
        </is>
      </c>
      <c r="G364" s="4" t="inlineStr">
        <is>
          <t>$39.00</t>
        </is>
      </c>
      <c r="H364" s="4" t="inlineStr">
        <is>
          <t>Lululemon Red/Dark Sport Red</t>
        </is>
      </c>
      <c r="I364" s="4">
        <f>IMAGE("https://images.lululemon.com/is/image/lululemon/71316",1)</f>
        <v/>
      </c>
      <c r="J364" s="4" t="inlineStr">
        <is>
          <t>XL</t>
        </is>
      </c>
      <c r="K364" s="4" t="inlineStr">
        <is>
          <t>16/121</t>
        </is>
      </c>
      <c r="L364" s="4" t="inlineStr">
        <is>
          <t>Yes</t>
        </is>
      </c>
      <c r="M364" s="4" t="inlineStr">
        <is>
          <t>A new smash hit. Inspired by  classic tennis looks, these  breezy, unlined mesh shorts  have fuss-free front pockets  for spare tennis balls.</t>
        </is>
      </c>
      <c r="N364" s="4" t="inlineStr">
        <is>
          <t>Tennis-Short-7</t>
        </is>
      </c>
      <c r="O364" s="4" t="inlineStr"/>
    </row>
    <row r="365" ht="80" customHeight="1">
      <c r="A365" s="7">
        <f>IMAGE("https://images.lululemon.com/is/image/lululemon/LM7BSRS_069299_1?wid=320&amp;op_usm=0.8",1)</f>
        <v/>
      </c>
      <c r="B365" s="7" t="inlineStr">
        <is>
          <t>Tennis Short 7"</t>
        </is>
      </c>
      <c r="C365" s="7" t="inlineStr">
        <is>
          <t>157685005</t>
        </is>
      </c>
      <c r="D365" s="7" t="inlineStr">
        <is>
          <t>157685005-lululemonred/darksportred</t>
        </is>
      </c>
      <c r="E365" s="7" t="inlineStr">
        <is>
          <t>Tennis Short 7" LURD/DKSR S</t>
        </is>
      </c>
      <c r="F365" s="7" t="inlineStr">
        <is>
          <t>$78.00</t>
        </is>
      </c>
      <c r="G365" s="7" t="inlineStr">
        <is>
          <t>$39.00</t>
        </is>
      </c>
      <c r="H365" s="7" t="inlineStr">
        <is>
          <t>Lululemon Red/Dark Sport Red</t>
        </is>
      </c>
      <c r="I365" s="7">
        <f>IMAGE("https://images.lululemon.com/is/image/lululemon/71316",1)</f>
        <v/>
      </c>
      <c r="J365" s="7" t="inlineStr">
        <is>
          <t>XXL</t>
        </is>
      </c>
      <c r="K365" s="7" t="inlineStr">
        <is>
          <t>4/121</t>
        </is>
      </c>
      <c r="L365" s="7" t="inlineStr">
        <is>
          <t>Yes</t>
        </is>
      </c>
      <c r="M365" s="7" t="inlineStr">
        <is>
          <t>A new smash hit. Inspired by  classic tennis looks, these  breezy, unlined mesh shorts  have fuss-free front pockets  for spare tennis balls.</t>
        </is>
      </c>
      <c r="N365" s="7" t="inlineStr">
        <is>
          <t>Tennis-Short-7</t>
        </is>
      </c>
      <c r="O365" s="7" t="inlineStr"/>
    </row>
    <row r="366" ht="80" customHeight="1">
      <c r="A366" s="4">
        <f>IMAGE("https://images.lululemon.com/is/image/lululemon/LM7BSRS_069299_1?wid=320&amp;op_usm=0.8",1)</f>
        <v/>
      </c>
      <c r="B366" s="4" t="inlineStr">
        <is>
          <t>Tennis Short 7"</t>
        </is>
      </c>
      <c r="C366" s="4" t="inlineStr">
        <is>
          <t>157684945</t>
        </is>
      </c>
      <c r="D366" s="4" t="inlineStr">
        <is>
          <t>157684945-clubblue/clubblue</t>
        </is>
      </c>
      <c r="E366" s="4" t="inlineStr">
        <is>
          <t>Tennis Short 7" LURD/DKSR S</t>
        </is>
      </c>
      <c r="F366" s="4" t="inlineStr">
        <is>
          <t>$78.00</t>
        </is>
      </c>
      <c r="G366" s="4" t="inlineStr">
        <is>
          <t>$39.00</t>
        </is>
      </c>
      <c r="H366" s="4" t="inlineStr">
        <is>
          <t>Club Blue/Club Blue</t>
        </is>
      </c>
      <c r="I366" s="4">
        <f>IMAGE("https://images.lululemon.com/is/image/lululemon/69299",1)</f>
        <v/>
      </c>
      <c r="J366" s="4" t="inlineStr">
        <is>
          <t>S</t>
        </is>
      </c>
      <c r="K366" s="4" t="inlineStr">
        <is>
          <t>10/121</t>
        </is>
      </c>
      <c r="L366" s="4" t="inlineStr">
        <is>
          <t>Yes</t>
        </is>
      </c>
      <c r="M366" s="4" t="inlineStr">
        <is>
          <t>A new smash hit. Inspired by  classic tennis looks, these  breezy, unlined mesh shorts  have fuss-free front pockets  for spare tennis balls.</t>
        </is>
      </c>
      <c r="N366" s="4" t="inlineStr">
        <is>
          <t>Tennis-Short-7</t>
        </is>
      </c>
      <c r="O366" s="4" t="inlineStr"/>
    </row>
    <row r="367" ht="80" customHeight="1">
      <c r="A367" s="7">
        <f>IMAGE("https://images.lululemon.com/is/image/lululemon/LM7BSRS_069299_1?wid=320&amp;op_usm=0.8",1)</f>
        <v/>
      </c>
      <c r="B367" s="7" t="inlineStr">
        <is>
          <t>Tennis Short 7"</t>
        </is>
      </c>
      <c r="C367" s="7" t="inlineStr">
        <is>
          <t>157684939</t>
        </is>
      </c>
      <c r="D367" s="7" t="inlineStr">
        <is>
          <t>157684939-clubblue/clubblue</t>
        </is>
      </c>
      <c r="E367" s="7" t="inlineStr">
        <is>
          <t>Tennis Short 7" LURD/DKSR S</t>
        </is>
      </c>
      <c r="F367" s="7" t="inlineStr">
        <is>
          <t>$78.00</t>
        </is>
      </c>
      <c r="G367" s="7" t="inlineStr">
        <is>
          <t>$39.00</t>
        </is>
      </c>
      <c r="H367" s="7" t="inlineStr">
        <is>
          <t>Club Blue/Club Blue</t>
        </is>
      </c>
      <c r="I367" s="7">
        <f>IMAGE("https://images.lululemon.com/is/image/lululemon/69299",1)</f>
        <v/>
      </c>
      <c r="J367" s="7" t="inlineStr">
        <is>
          <t>M</t>
        </is>
      </c>
      <c r="K367" s="7" t="inlineStr">
        <is>
          <t>14/121</t>
        </is>
      </c>
      <c r="L367" s="7" t="inlineStr">
        <is>
          <t>Yes</t>
        </is>
      </c>
      <c r="M367" s="7" t="inlineStr">
        <is>
          <t>A new smash hit. Inspired by  classic tennis looks, these  breezy, unlined mesh shorts  have fuss-free front pockets  for spare tennis balls.</t>
        </is>
      </c>
      <c r="N367" s="7" t="inlineStr">
        <is>
          <t>Tennis-Short-7</t>
        </is>
      </c>
      <c r="O367" s="7" t="inlineStr"/>
    </row>
    <row r="368" ht="80" customHeight="1">
      <c r="A368" s="4">
        <f>IMAGE("https://images.lululemon.com/is/image/lululemon/LM7BSRS_069299_1?wid=320&amp;op_usm=0.8",1)</f>
        <v/>
      </c>
      <c r="B368" s="4" t="inlineStr">
        <is>
          <t>Tennis Short 7"</t>
        </is>
      </c>
      <c r="C368" s="4" t="inlineStr">
        <is>
          <t>157684950</t>
        </is>
      </c>
      <c r="D368" s="4" t="inlineStr">
        <is>
          <t>157684950-clubblue/clubblue</t>
        </is>
      </c>
      <c r="E368" s="4" t="inlineStr">
        <is>
          <t>Tennis Short 7" LURD/DKSR S</t>
        </is>
      </c>
      <c r="F368" s="4" t="inlineStr">
        <is>
          <t>$78.00</t>
        </is>
      </c>
      <c r="G368" s="4" t="inlineStr">
        <is>
          <t>$39.00</t>
        </is>
      </c>
      <c r="H368" s="4" t="inlineStr">
        <is>
          <t>Club Blue/Club Blue</t>
        </is>
      </c>
      <c r="I368" s="4">
        <f>IMAGE("https://images.lululemon.com/is/image/lululemon/69299",1)</f>
        <v/>
      </c>
      <c r="J368" s="4" t="inlineStr">
        <is>
          <t>XL</t>
        </is>
      </c>
      <c r="K368" s="4" t="inlineStr">
        <is>
          <t>12/121</t>
        </is>
      </c>
      <c r="L368" s="4" t="inlineStr">
        <is>
          <t>Yes</t>
        </is>
      </c>
      <c r="M368" s="4" t="inlineStr">
        <is>
          <t>A new smash hit. Inspired by  classic tennis looks, these  breezy, unlined mesh shorts  have fuss-free front pockets  for spare tennis balls.</t>
        </is>
      </c>
      <c r="N368" s="4" t="inlineStr">
        <is>
          <t>Tennis-Short-7</t>
        </is>
      </c>
      <c r="O368" s="4" t="inlineStr"/>
    </row>
    <row r="369" ht="80" customHeight="1">
      <c r="A369" s="5">
        <f>IMAGE("https://images.lululemon.com/is/image/lululemon/LM7BSRS_069299_1?wid=320&amp;op_usm=0.8",1)</f>
        <v/>
      </c>
      <c r="B369" s="5" t="inlineStr">
        <is>
          <t>Tennis Short 7"</t>
        </is>
      </c>
      <c r="C369" s="5" t="inlineStr">
        <is>
          <t>157684964</t>
        </is>
      </c>
      <c r="D369" s="5" t="inlineStr">
        <is>
          <t>157684964-clubblue/clubblue</t>
        </is>
      </c>
      <c r="E369" s="5" t="inlineStr">
        <is>
          <t>Tennis Short 7" LURD/DKSR S</t>
        </is>
      </c>
      <c r="F369" s="5" t="inlineStr">
        <is>
          <t>$78.00</t>
        </is>
      </c>
      <c r="G369" s="5" t="inlineStr">
        <is>
          <t>$39.00</t>
        </is>
      </c>
      <c r="H369" s="5" t="inlineStr">
        <is>
          <t>Club Blue/Club Blue</t>
        </is>
      </c>
      <c r="I369" s="5">
        <f>IMAGE("https://images.lululemon.com/is/image/lululemon/69299",1)</f>
        <v/>
      </c>
      <c r="J369" s="5" t="inlineStr">
        <is>
          <t>XXL</t>
        </is>
      </c>
      <c r="K369" s="5" t="inlineStr">
        <is>
          <t>5/121</t>
        </is>
      </c>
      <c r="L369" s="5" t="inlineStr">
        <is>
          <t>Yes</t>
        </is>
      </c>
      <c r="M369" s="5" t="inlineStr">
        <is>
          <t>A new smash hit. Inspired by  classic tennis looks, these  breezy, unlined mesh shorts  have fuss-free front pockets  for spare tennis balls.</t>
        </is>
      </c>
      <c r="N369" s="5" t="inlineStr">
        <is>
          <t>Tennis-Short-7</t>
        </is>
      </c>
      <c r="O369" s="5" t="inlineStr"/>
    </row>
    <row r="370" ht="80" customHeight="1">
      <c r="A370" s="6">
        <f>IMAGE("https://images.lululemon.com/is/image/lululemon/LM7BL0S_032894_1?wid=320&amp;op_usm=0.8",1)</f>
        <v/>
      </c>
      <c r="B370" s="6" t="inlineStr">
        <is>
          <t>Mile Maker Ripstop Lined Short 6"</t>
        </is>
      </c>
      <c r="C370" s="6" t="inlineStr">
        <is>
          <t>156515324</t>
        </is>
      </c>
      <c r="D370" s="6" t="inlineStr">
        <is>
          <t>156515324-vapor</t>
        </is>
      </c>
      <c r="E370" s="6" t="inlineStr">
        <is>
          <t>Mile Maker Ripstop Short 6" *Lined VPOR L</t>
        </is>
      </c>
      <c r="F370" s="6" t="inlineStr">
        <is>
          <t>$78.00</t>
        </is>
      </c>
      <c r="G370" s="6" t="inlineStr">
        <is>
          <t>$39.00</t>
        </is>
      </c>
      <c r="H370" s="6" t="inlineStr">
        <is>
          <t>Vapor</t>
        </is>
      </c>
      <c r="I370" s="6">
        <f>IMAGE("https://images.lululemon.com/is/image/lululemon/32894",1)</f>
        <v/>
      </c>
      <c r="J370" s="6" t="inlineStr">
        <is>
          <t>L</t>
        </is>
      </c>
      <c r="K370" s="6" t="inlineStr">
        <is>
          <t>11/11</t>
        </is>
      </c>
      <c r="L370" s="6" t="inlineStr">
        <is>
          <t>Yes</t>
        </is>
      </c>
      <c r="M370" s="6" t="inlineStr">
        <is>
          <t>Whether you're a seasoned runner or new to the crew, these lined, quick-drying shorts keep you comfortable from warm-up stretches to post-run hangs.</t>
        </is>
      </c>
      <c r="N370" s="6" t="inlineStr">
        <is>
          <t>Mile-Maker-Ripstop-Lined-Short-6</t>
        </is>
      </c>
      <c r="O370" s="6" t="inlineStr">
        <is>
          <t>Liner Shorts, Athletic Shorts</t>
        </is>
      </c>
    </row>
    <row r="371" ht="80" customHeight="1">
      <c r="A371" s="5">
        <f>IMAGE("https://images.lululemon.com/is/image/lululemon/LM3FNBS_031382_1?wid=320&amp;op_usm=0.8",1)</f>
        <v/>
      </c>
      <c r="B371" s="5" t="inlineStr">
        <is>
          <t>Smooth Spacer Full-Zip Track Jacket</t>
        </is>
      </c>
      <c r="C371" s="5" t="inlineStr">
        <is>
          <t>157682556</t>
        </is>
      </c>
      <c r="D371" s="5" t="inlineStr">
        <is>
          <t>157682556-truenavy</t>
        </is>
      </c>
      <c r="E371" s="5" t="inlineStr">
        <is>
          <t>Smooth Spacer Full-Zip Track Jacket TRNV XXL</t>
        </is>
      </c>
      <c r="F371" s="5" t="inlineStr">
        <is>
          <t>$168.00</t>
        </is>
      </c>
      <c r="G371" s="5" t="inlineStr">
        <is>
          <t>$84.00</t>
        </is>
      </c>
      <c r="H371" s="5" t="inlineStr">
        <is>
          <t>True Navy</t>
        </is>
      </c>
      <c r="I371" s="5">
        <f>IMAGE("https://images.lululemon.com/is/image/lululemon/31382",1)</f>
        <v/>
      </c>
      <c r="J371" s="5" t="inlineStr">
        <is>
          <t>XXL</t>
        </is>
      </c>
      <c r="K371" s="5" t="inlineStr">
        <is>
          <t>3/3</t>
        </is>
      </c>
      <c r="L371" s="5" t="inlineStr">
        <is>
          <t>Yes</t>
        </is>
      </c>
      <c r="M371" s="5" t="inlineStr">
        <is>
          <t>Instant recovery mode. Fast-drying fabric on this track jacket is soft on the outside and sleek next to skin for that perfect cool-down feeling.</t>
        </is>
      </c>
      <c r="N371" s="5" t="inlineStr">
        <is>
          <t>Smooth-Spacer-Full-Zip-Track-Jacket</t>
        </is>
      </c>
      <c r="O371" s="5" t="inlineStr">
        <is>
          <t>Track Jackets</t>
        </is>
      </c>
    </row>
    <row r="372" ht="80" customHeight="1">
      <c r="A372" s="4">
        <f>IMAGE("https://images.lululemon.com/is/image/lululemon/LM3FY9S_0001_1?wid=320&amp;op_usm=0.8",1)</f>
        <v/>
      </c>
      <c r="B372" s="4" t="inlineStr">
        <is>
          <t>Water-Repellent Golf Vest</t>
        </is>
      </c>
      <c r="C372" s="4" t="inlineStr">
        <is>
          <t>158096434</t>
        </is>
      </c>
      <c r="D372" s="4" t="inlineStr">
        <is>
          <t>158096434-black</t>
        </is>
      </c>
      <c r="E372" s="4" t="inlineStr">
        <is>
          <t>Water-Repellent Golf Vest BLK S</t>
        </is>
      </c>
      <c r="F372" s="4" t="inlineStr">
        <is>
          <t>$128.00</t>
        </is>
      </c>
      <c r="G372" s="4" t="inlineStr">
        <is>
          <t>$64.00</t>
        </is>
      </c>
      <c r="H372" s="4" t="inlineStr">
        <is>
          <t>Black</t>
        </is>
      </c>
      <c r="I372" s="4">
        <f>IMAGE("https://images.lululemon.com/is/image/lululemon/0001",1)</f>
        <v/>
      </c>
      <c r="J372" s="4" t="inlineStr">
        <is>
          <t>S</t>
        </is>
      </c>
      <c r="K372" s="4" t="inlineStr">
        <is>
          <t>26/284</t>
        </is>
      </c>
      <c r="L372" s="4" t="inlineStr">
        <is>
          <t>Yes</t>
        </is>
      </c>
      <c r="M372" s="4" t="inlineStr">
        <is>
          <t>Stay in play. Lightly padded at the front and back for added warmth, this water-repellent golf vest helps keep you dry and cozy during misty morning rounds.</t>
        </is>
      </c>
      <c r="N372" s="4" t="inlineStr">
        <is>
          <t>Water-Repellent-Golf-Vest</t>
        </is>
      </c>
      <c r="O372" s="4" t="inlineStr">
        <is>
          <t>Vests</t>
        </is>
      </c>
    </row>
    <row r="373" ht="80" customHeight="1">
      <c r="A373" s="7">
        <f>IMAGE("https://images.lululemon.com/is/image/lululemon/LM3FY9S_0001_1?wid=320&amp;op_usm=0.8",1)</f>
        <v/>
      </c>
      <c r="B373" s="7" t="inlineStr">
        <is>
          <t>Water-Repellent Golf Vest</t>
        </is>
      </c>
      <c r="C373" s="7" t="inlineStr">
        <is>
          <t>158096425</t>
        </is>
      </c>
      <c r="D373" s="7" t="inlineStr">
        <is>
          <t>158096425-black</t>
        </is>
      </c>
      <c r="E373" s="7" t="inlineStr">
        <is>
          <t>Water-Repellent Golf Vest BLK S</t>
        </is>
      </c>
      <c r="F373" s="7" t="inlineStr">
        <is>
          <t>$128.00</t>
        </is>
      </c>
      <c r="G373" s="7" t="inlineStr">
        <is>
          <t>$64.00</t>
        </is>
      </c>
      <c r="H373" s="7" t="inlineStr">
        <is>
          <t>Black</t>
        </is>
      </c>
      <c r="I373" s="7">
        <f>IMAGE("https://images.lululemon.com/is/image/lululemon/0001",1)</f>
        <v/>
      </c>
      <c r="J373" s="7" t="inlineStr">
        <is>
          <t>M</t>
        </is>
      </c>
      <c r="K373" s="7" t="inlineStr">
        <is>
          <t>72/284</t>
        </is>
      </c>
      <c r="L373" s="7" t="inlineStr">
        <is>
          <t>Yes</t>
        </is>
      </c>
      <c r="M373" s="7" t="inlineStr">
        <is>
          <t>Stay in play. Lightly padded at the front and back for added warmth, this water-repellent golf vest helps keep you dry and cozy during misty morning rounds.</t>
        </is>
      </c>
      <c r="N373" s="7" t="inlineStr">
        <is>
          <t>Water-Repellent-Golf-Vest</t>
        </is>
      </c>
      <c r="O373" s="7" t="inlineStr">
        <is>
          <t>Vests</t>
        </is>
      </c>
    </row>
    <row r="374" ht="80" customHeight="1">
      <c r="A374" s="4">
        <f>IMAGE("https://images.lululemon.com/is/image/lululemon/LM3FY9S_0001_1?wid=320&amp;op_usm=0.8",1)</f>
        <v/>
      </c>
      <c r="B374" s="4" t="inlineStr">
        <is>
          <t>Water-Repellent Golf Vest</t>
        </is>
      </c>
      <c r="C374" s="4" t="inlineStr">
        <is>
          <t>158096420</t>
        </is>
      </c>
      <c r="D374" s="4" t="inlineStr">
        <is>
          <t>158096420-black</t>
        </is>
      </c>
      <c r="E374" s="4" t="inlineStr">
        <is>
          <t>Water-Repellent Golf Vest BLK S</t>
        </is>
      </c>
      <c r="F374" s="4" t="inlineStr">
        <is>
          <t>$128.00</t>
        </is>
      </c>
      <c r="G374" s="4" t="inlineStr">
        <is>
          <t>$64.00</t>
        </is>
      </c>
      <c r="H374" s="4" t="inlineStr">
        <is>
          <t>Black</t>
        </is>
      </c>
      <c r="I374" s="4">
        <f>IMAGE("https://images.lululemon.com/is/image/lululemon/0001",1)</f>
        <v/>
      </c>
      <c r="J374" s="4" t="inlineStr">
        <is>
          <t>L</t>
        </is>
      </c>
      <c r="K374" s="4" t="inlineStr">
        <is>
          <t>98/284</t>
        </is>
      </c>
      <c r="L374" s="4" t="inlineStr">
        <is>
          <t>Yes</t>
        </is>
      </c>
      <c r="M374" s="4" t="inlineStr">
        <is>
          <t>Stay in play. Lightly padded at the front and back for added warmth, this water-repellent golf vest helps keep you dry and cozy during misty morning rounds.</t>
        </is>
      </c>
      <c r="N374" s="4" t="inlineStr">
        <is>
          <t>Water-Repellent-Golf-Vest</t>
        </is>
      </c>
      <c r="O374" s="4" t="inlineStr">
        <is>
          <t>Vests</t>
        </is>
      </c>
    </row>
    <row r="375" ht="80" customHeight="1">
      <c r="A375" s="7">
        <f>IMAGE("https://images.lululemon.com/is/image/lululemon/LM3FY9S_0001_1?wid=320&amp;op_usm=0.8",1)</f>
        <v/>
      </c>
      <c r="B375" s="7" t="inlineStr">
        <is>
          <t>Water-Repellent Golf Vest</t>
        </is>
      </c>
      <c r="C375" s="7" t="inlineStr">
        <is>
          <t>158096440</t>
        </is>
      </c>
      <c r="D375" s="7" t="inlineStr">
        <is>
          <t>158096440-black</t>
        </is>
      </c>
      <c r="E375" s="7" t="inlineStr">
        <is>
          <t>Water-Repellent Golf Vest BLK S</t>
        </is>
      </c>
      <c r="F375" s="7" t="inlineStr">
        <is>
          <t>$128.00</t>
        </is>
      </c>
      <c r="G375" s="7" t="inlineStr">
        <is>
          <t>$64.00</t>
        </is>
      </c>
      <c r="H375" s="7" t="inlineStr">
        <is>
          <t>Black</t>
        </is>
      </c>
      <c r="I375" s="7">
        <f>IMAGE("https://images.lululemon.com/is/image/lululemon/0001",1)</f>
        <v/>
      </c>
      <c r="J375" s="7" t="inlineStr">
        <is>
          <t>XL</t>
        </is>
      </c>
      <c r="K375" s="7" t="inlineStr">
        <is>
          <t>66/284</t>
        </is>
      </c>
      <c r="L375" s="7" t="inlineStr">
        <is>
          <t>Yes</t>
        </is>
      </c>
      <c r="M375" s="7" t="inlineStr">
        <is>
          <t>Stay in play. Lightly padded at the front and back for added warmth, this water-repellent golf vest helps keep you dry and cozy during misty morning rounds.</t>
        </is>
      </c>
      <c r="N375" s="7" t="inlineStr">
        <is>
          <t>Water-Repellent-Golf-Vest</t>
        </is>
      </c>
      <c r="O375" s="7" t="inlineStr">
        <is>
          <t>Vests</t>
        </is>
      </c>
    </row>
    <row r="376" ht="80" customHeight="1">
      <c r="A376" s="6">
        <f>IMAGE("https://images.lululemon.com/is/image/lululemon/LM3FY9S_0001_1?wid=320&amp;op_usm=0.8",1)</f>
        <v/>
      </c>
      <c r="B376" s="6" t="inlineStr">
        <is>
          <t>Water-Repellent Golf Vest</t>
        </is>
      </c>
      <c r="C376" s="6" t="inlineStr">
        <is>
          <t>158096458</t>
        </is>
      </c>
      <c r="D376" s="6" t="inlineStr">
        <is>
          <t>158096458-black</t>
        </is>
      </c>
      <c r="E376" s="6" t="inlineStr">
        <is>
          <t>Water-Repellent Golf Vest BLK S</t>
        </is>
      </c>
      <c r="F376" s="6" t="inlineStr">
        <is>
          <t>$128.00</t>
        </is>
      </c>
      <c r="G376" s="6" t="inlineStr">
        <is>
          <t>$64.00</t>
        </is>
      </c>
      <c r="H376" s="6" t="inlineStr">
        <is>
          <t>Black</t>
        </is>
      </c>
      <c r="I376" s="6">
        <f>IMAGE("https://images.lululemon.com/is/image/lululemon/0001",1)</f>
        <v/>
      </c>
      <c r="J376" s="6" t="inlineStr">
        <is>
          <t>XXL</t>
        </is>
      </c>
      <c r="K376" s="6" t="inlineStr">
        <is>
          <t>22/284</t>
        </is>
      </c>
      <c r="L376" s="6" t="inlineStr">
        <is>
          <t>Yes</t>
        </is>
      </c>
      <c r="M376" s="6" t="inlineStr">
        <is>
          <t>Stay in play. Lightly padded at the front and back for added warmth, this water-repellent golf vest helps keep you dry and cozy during misty morning rounds.</t>
        </is>
      </c>
      <c r="N376" s="6" t="inlineStr">
        <is>
          <t>Water-Repellent-Golf-Vest</t>
        </is>
      </c>
      <c r="O376" s="6" t="inlineStr">
        <is>
          <t>Vests</t>
        </is>
      </c>
    </row>
    <row r="377" ht="80" customHeight="1">
      <c r="A377" s="7">
        <f>IMAGE("https://images.lululemon.com/is/image/lululemon/LM4AVPS_0001_1?wid=320&amp;op_usm=0.8",1)</f>
        <v/>
      </c>
      <c r="B377" s="7" t="inlineStr">
        <is>
          <t>Men’s InsulEight Cold-Weather Run Shell</t>
        </is>
      </c>
      <c r="C377" s="7" t="inlineStr">
        <is>
          <t>157717483</t>
        </is>
      </c>
      <c r="D377" s="7" t="inlineStr">
        <is>
          <t>157717483-black</t>
        </is>
      </c>
      <c r="E377" s="7" t="inlineStr">
        <is>
          <t>M's InsulEight Cold-Weather Run Shell BLK S</t>
        </is>
      </c>
      <c r="F377" s="7" t="inlineStr">
        <is>
          <t>$198.00</t>
        </is>
      </c>
      <c r="G377" s="7" t="inlineStr">
        <is>
          <t>$99.00</t>
        </is>
      </c>
      <c r="H377" s="7" t="inlineStr">
        <is>
          <t>Black</t>
        </is>
      </c>
      <c r="I377" s="7">
        <f>IMAGE("https://images.lululemon.com/is/image/lululemon/0001",1)</f>
        <v/>
      </c>
      <c r="J377" s="7" t="inlineStr">
        <is>
          <t>S</t>
        </is>
      </c>
      <c r="K377" s="7" t="inlineStr">
        <is>
          <t>7/106</t>
        </is>
      </c>
      <c r="L377" s="7" t="inlineStr">
        <is>
          <t>Yes</t>
        </is>
      </c>
      <c r="M377" s="7" t="inlineStr">
        <is>
          <t>Further, faster, warmer. Take the chill out of cold-weather runs in this lightweight jacket that's body-mapped to retain heat without adding weight to your stride.</t>
        </is>
      </c>
      <c r="N377" s="7" t="inlineStr">
        <is>
          <t>Mens-InsulEight-Cold-Weather-Run-Shell</t>
        </is>
      </c>
      <c r="O377" s="7" t="inlineStr">
        <is>
          <t>Athletic Jackets</t>
        </is>
      </c>
    </row>
    <row r="378" ht="80" customHeight="1">
      <c r="A378" s="4">
        <f>IMAGE("https://images.lululemon.com/is/image/lululemon/LM4AVPS_0001_1?wid=320&amp;op_usm=0.8",1)</f>
        <v/>
      </c>
      <c r="B378" s="4" t="inlineStr">
        <is>
          <t>Men’s InsulEight Cold-Weather Run Shell</t>
        </is>
      </c>
      <c r="C378" s="4" t="inlineStr">
        <is>
          <t>157717481</t>
        </is>
      </c>
      <c r="D378" s="4" t="inlineStr">
        <is>
          <t>157717481-black</t>
        </is>
      </c>
      <c r="E378" s="4" t="inlineStr">
        <is>
          <t>M's InsulEight Cold-Weather Run Shell BLK S</t>
        </is>
      </c>
      <c r="F378" s="4" t="inlineStr">
        <is>
          <t>$198.00</t>
        </is>
      </c>
      <c r="G378" s="4" t="inlineStr">
        <is>
          <t>$99.00</t>
        </is>
      </c>
      <c r="H378" s="4" t="inlineStr">
        <is>
          <t>Black</t>
        </is>
      </c>
      <c r="I378" s="4">
        <f>IMAGE("https://images.lululemon.com/is/image/lululemon/0001",1)</f>
        <v/>
      </c>
      <c r="J378" s="4" t="inlineStr">
        <is>
          <t>M</t>
        </is>
      </c>
      <c r="K378" s="4" t="inlineStr">
        <is>
          <t>26/106</t>
        </is>
      </c>
      <c r="L378" s="4" t="inlineStr">
        <is>
          <t>Yes</t>
        </is>
      </c>
      <c r="M378" s="4" t="inlineStr">
        <is>
          <t>Further, faster, warmer. Take the chill out of cold-weather runs in this lightweight jacket that's body-mapped to retain heat without adding weight to your stride.</t>
        </is>
      </c>
      <c r="N378" s="4" t="inlineStr">
        <is>
          <t>Mens-InsulEight-Cold-Weather-Run-Shell</t>
        </is>
      </c>
      <c r="O378" s="4" t="inlineStr">
        <is>
          <t>Athletic Jackets</t>
        </is>
      </c>
    </row>
    <row r="379" ht="80" customHeight="1">
      <c r="A379" s="7">
        <f>IMAGE("https://images.lululemon.com/is/image/lululemon/LM4AVPS_0001_1?wid=320&amp;op_usm=0.8",1)</f>
        <v/>
      </c>
      <c r="B379" s="7" t="inlineStr">
        <is>
          <t>Men’s InsulEight Cold-Weather Run Shell</t>
        </is>
      </c>
      <c r="C379" s="7" t="inlineStr">
        <is>
          <t>157717476</t>
        </is>
      </c>
      <c r="D379" s="7" t="inlineStr">
        <is>
          <t>157717476-black</t>
        </is>
      </c>
      <c r="E379" s="7" t="inlineStr">
        <is>
          <t>M's InsulEight Cold-Weather Run Shell BLK S</t>
        </is>
      </c>
      <c r="F379" s="7" t="inlineStr">
        <is>
          <t>$198.00</t>
        </is>
      </c>
      <c r="G379" s="7" t="inlineStr">
        <is>
          <t>$99.00</t>
        </is>
      </c>
      <c r="H379" s="7" t="inlineStr">
        <is>
          <t>Black</t>
        </is>
      </c>
      <c r="I379" s="7">
        <f>IMAGE("https://images.lululemon.com/is/image/lululemon/0001",1)</f>
        <v/>
      </c>
      <c r="J379" s="7" t="inlineStr">
        <is>
          <t>L</t>
        </is>
      </c>
      <c r="K379" s="7" t="inlineStr">
        <is>
          <t>38/106</t>
        </is>
      </c>
      <c r="L379" s="7" t="inlineStr">
        <is>
          <t>Yes</t>
        </is>
      </c>
      <c r="M379" s="7" t="inlineStr">
        <is>
          <t>Further, faster, warmer. Take the chill out of cold-weather runs in this lightweight jacket that's body-mapped to retain heat without adding weight to your stride.</t>
        </is>
      </c>
      <c r="N379" s="7" t="inlineStr">
        <is>
          <t>Mens-InsulEight-Cold-Weather-Run-Shell</t>
        </is>
      </c>
      <c r="O379" s="7" t="inlineStr">
        <is>
          <t>Athletic Jackets</t>
        </is>
      </c>
    </row>
    <row r="380" ht="80" customHeight="1">
      <c r="A380" s="4">
        <f>IMAGE("https://images.lululemon.com/is/image/lululemon/LM4AVPS_0001_1?wid=320&amp;op_usm=0.8",1)</f>
        <v/>
      </c>
      <c r="B380" s="4" t="inlineStr">
        <is>
          <t>Men’s InsulEight Cold-Weather Run Shell</t>
        </is>
      </c>
      <c r="C380" s="4" t="inlineStr">
        <is>
          <t>157717484</t>
        </is>
      </c>
      <c r="D380" s="4" t="inlineStr">
        <is>
          <t>157717484-black</t>
        </is>
      </c>
      <c r="E380" s="4" t="inlineStr">
        <is>
          <t>M's InsulEight Cold-Weather Run Shell BLK S</t>
        </is>
      </c>
      <c r="F380" s="4" t="inlineStr">
        <is>
          <t>$198.00</t>
        </is>
      </c>
      <c r="G380" s="4" t="inlineStr">
        <is>
          <t>$99.00</t>
        </is>
      </c>
      <c r="H380" s="4" t="inlineStr">
        <is>
          <t>Black</t>
        </is>
      </c>
      <c r="I380" s="4">
        <f>IMAGE("https://images.lululemon.com/is/image/lululemon/0001",1)</f>
        <v/>
      </c>
      <c r="J380" s="4" t="inlineStr">
        <is>
          <t>XL</t>
        </is>
      </c>
      <c r="K380" s="4" t="inlineStr">
        <is>
          <t>26/106</t>
        </is>
      </c>
      <c r="L380" s="4" t="inlineStr">
        <is>
          <t>Yes</t>
        </is>
      </c>
      <c r="M380" s="4" t="inlineStr">
        <is>
          <t>Further, faster, warmer. Take the chill out of cold-weather runs in this lightweight jacket that's body-mapped to retain heat without adding weight to your stride.</t>
        </is>
      </c>
      <c r="N380" s="4" t="inlineStr">
        <is>
          <t>Mens-InsulEight-Cold-Weather-Run-Shell</t>
        </is>
      </c>
      <c r="O380" s="4" t="inlineStr">
        <is>
          <t>Athletic Jackets</t>
        </is>
      </c>
    </row>
    <row r="381" ht="80" customHeight="1">
      <c r="A381" s="5">
        <f>IMAGE("https://images.lululemon.com/is/image/lululemon/LM4AVPS_0001_1?wid=320&amp;op_usm=0.8",1)</f>
        <v/>
      </c>
      <c r="B381" s="5" t="inlineStr">
        <is>
          <t>Men’s InsulEight Cold-Weather Run Shell</t>
        </is>
      </c>
      <c r="C381" s="5" t="inlineStr">
        <is>
          <t>157717496</t>
        </is>
      </c>
      <c r="D381" s="5" t="inlineStr">
        <is>
          <t>157717496-black</t>
        </is>
      </c>
      <c r="E381" s="5" t="inlineStr">
        <is>
          <t>M's InsulEight Cold-Weather Run Shell BLK S</t>
        </is>
      </c>
      <c r="F381" s="5" t="inlineStr">
        <is>
          <t>$198.00</t>
        </is>
      </c>
      <c r="G381" s="5" t="inlineStr">
        <is>
          <t>$99.00</t>
        </is>
      </c>
      <c r="H381" s="5" t="inlineStr">
        <is>
          <t>Black</t>
        </is>
      </c>
      <c r="I381" s="5">
        <f>IMAGE("https://images.lululemon.com/is/image/lululemon/0001",1)</f>
        <v/>
      </c>
      <c r="J381" s="5" t="inlineStr">
        <is>
          <t>XXL</t>
        </is>
      </c>
      <c r="K381" s="5" t="inlineStr">
        <is>
          <t>9/106</t>
        </is>
      </c>
      <c r="L381" s="5" t="inlineStr">
        <is>
          <t>Yes</t>
        </is>
      </c>
      <c r="M381" s="5" t="inlineStr">
        <is>
          <t>Further, faster, warmer. Take the chill out of cold-weather runs in this lightweight jacket that's body-mapped to retain heat without adding weight to your stride.</t>
        </is>
      </c>
      <c r="N381" s="5" t="inlineStr">
        <is>
          <t>Mens-InsulEight-Cold-Weather-Run-Shell</t>
        </is>
      </c>
      <c r="O381" s="5" t="inlineStr">
        <is>
          <t>Athletic Jackets</t>
        </is>
      </c>
    </row>
    <row r="382" ht="80" customHeight="1">
      <c r="A382" s="4">
        <f>IMAGE("https://images.lululemon.com/is/image/lululemon/LM3EJUS_0001_1?wid=320&amp;op_usm=0.8",1)</f>
        <v/>
      </c>
      <c r="B382" s="4" t="inlineStr">
        <is>
          <t>License to Train Short-Sleeve Shirt</t>
        </is>
      </c>
      <c r="C382" s="4" t="inlineStr">
        <is>
          <t>146400200</t>
        </is>
      </c>
      <c r="D382" s="4" t="inlineStr">
        <is>
          <t>146400200-black</t>
        </is>
      </c>
      <c r="E382" s="4" t="inlineStr">
        <is>
          <t>License to Train Short Sleeve BLK S</t>
        </is>
      </c>
      <c r="F382" s="4" t="inlineStr">
        <is>
          <t>$78.00</t>
        </is>
      </c>
      <c r="G382" s="4" t="inlineStr">
        <is>
          <t>$39.00</t>
        </is>
      </c>
      <c r="H382" s="4" t="inlineStr">
        <is>
          <t>Black</t>
        </is>
      </c>
      <c r="I382" s="4">
        <f>IMAGE("https://images.lululemon.com/is/image/lululemon/0001",1)</f>
        <v/>
      </c>
      <c r="J382" s="4" t="inlineStr">
        <is>
          <t>S</t>
        </is>
      </c>
      <c r="K382" s="4" t="inlineStr">
        <is>
          <t>88/3511</t>
        </is>
      </c>
      <c r="L382" s="4" t="inlineStr">
        <is>
          <t>Yes</t>
        </is>
      </c>
      <c r="M382" s="4" t="inlineStr">
        <is>
          <t>All bets on sweat. Powered by anti-stink technology, this training top won't cling to sweaty skin so you can stay comfortable and focused.</t>
        </is>
      </c>
      <c r="N382" s="4" t="inlineStr">
        <is>
          <t>License-To-Train-SS</t>
        </is>
      </c>
      <c r="O382" s="4" t="inlineStr"/>
    </row>
    <row r="383" ht="80" customHeight="1">
      <c r="A383" s="7">
        <f>IMAGE("https://images.lululemon.com/is/image/lululemon/LM3EJUS_0001_1?wid=320&amp;op_usm=0.8",1)</f>
        <v/>
      </c>
      <c r="B383" s="7" t="inlineStr">
        <is>
          <t>License to Train Short-Sleeve Shirt</t>
        </is>
      </c>
      <c r="C383" s="7" t="inlineStr">
        <is>
          <t>146400179</t>
        </is>
      </c>
      <c r="D383" s="7" t="inlineStr">
        <is>
          <t>146400179-black</t>
        </is>
      </c>
      <c r="E383" s="7" t="inlineStr">
        <is>
          <t>License to Train Short Sleeve BLK S</t>
        </is>
      </c>
      <c r="F383" s="7" t="inlineStr">
        <is>
          <t>$78.00</t>
        </is>
      </c>
      <c r="G383" s="7" t="inlineStr">
        <is>
          <t>$39.00</t>
        </is>
      </c>
      <c r="H383" s="7" t="inlineStr">
        <is>
          <t>Black</t>
        </is>
      </c>
      <c r="I383" s="7">
        <f>IMAGE("https://images.lululemon.com/is/image/lululemon/0001",1)</f>
        <v/>
      </c>
      <c r="J383" s="7" t="inlineStr">
        <is>
          <t>M</t>
        </is>
      </c>
      <c r="K383" s="7" t="inlineStr">
        <is>
          <t>270/3511</t>
        </is>
      </c>
      <c r="L383" s="7" t="inlineStr">
        <is>
          <t>Yes</t>
        </is>
      </c>
      <c r="M383" s="7" t="inlineStr">
        <is>
          <t>All bets on sweat. Powered by anti-stink technology, this training top won't cling to sweaty skin so you can stay comfortable and focused.</t>
        </is>
      </c>
      <c r="N383" s="7" t="inlineStr">
        <is>
          <t>License-To-Train-SS</t>
        </is>
      </c>
      <c r="O383" s="7" t="inlineStr"/>
    </row>
    <row r="384" ht="80" customHeight="1">
      <c r="A384" s="4">
        <f>IMAGE("https://images.lululemon.com/is/image/lululemon/LM3EJUS_0001_1?wid=320&amp;op_usm=0.8",1)</f>
        <v/>
      </c>
      <c r="B384" s="4" t="inlineStr">
        <is>
          <t>License to Train Short-Sleeve Shirt</t>
        </is>
      </c>
      <c r="C384" s="4" t="inlineStr">
        <is>
          <t>146400152</t>
        </is>
      </c>
      <c r="D384" s="4" t="inlineStr">
        <is>
          <t>146400152-black</t>
        </is>
      </c>
      <c r="E384" s="4" t="inlineStr">
        <is>
          <t>License to Train Short Sleeve BLK S</t>
        </is>
      </c>
      <c r="F384" s="4" t="inlineStr">
        <is>
          <t>$78.00</t>
        </is>
      </c>
      <c r="G384" s="4" t="inlineStr">
        <is>
          <t>$39.00</t>
        </is>
      </c>
      <c r="H384" s="4" t="inlineStr">
        <is>
          <t>Black</t>
        </is>
      </c>
      <c r="I384" s="4">
        <f>IMAGE("https://images.lululemon.com/is/image/lululemon/0001",1)</f>
        <v/>
      </c>
      <c r="J384" s="4" t="inlineStr">
        <is>
          <t>L</t>
        </is>
      </c>
      <c r="K384" s="4" t="inlineStr">
        <is>
          <t>367/3511</t>
        </is>
      </c>
      <c r="L384" s="4" t="inlineStr">
        <is>
          <t>Yes</t>
        </is>
      </c>
      <c r="M384" s="4" t="inlineStr">
        <is>
          <t>All bets on sweat. Powered by anti-stink technology, this training top won't cling to sweaty skin so you can stay comfortable and focused.</t>
        </is>
      </c>
      <c r="N384" s="4" t="inlineStr">
        <is>
          <t>License-To-Train-SS</t>
        </is>
      </c>
      <c r="O384" s="4" t="inlineStr"/>
    </row>
    <row r="385" ht="80" customHeight="1">
      <c r="A385" s="7">
        <f>IMAGE("https://images.lululemon.com/is/image/lululemon/LM3EJUS_0001_1?wid=320&amp;op_usm=0.8",1)</f>
        <v/>
      </c>
      <c r="B385" s="7" t="inlineStr">
        <is>
          <t>License to Train Short-Sleeve Shirt</t>
        </is>
      </c>
      <c r="C385" s="7" t="inlineStr">
        <is>
          <t>146400219</t>
        </is>
      </c>
      <c r="D385" s="7" t="inlineStr">
        <is>
          <t>146400219-black</t>
        </is>
      </c>
      <c r="E385" s="7" t="inlineStr">
        <is>
          <t>License to Train Short Sleeve BLK S</t>
        </is>
      </c>
      <c r="F385" s="7" t="inlineStr">
        <is>
          <t>$78.00</t>
        </is>
      </c>
      <c r="G385" s="7" t="inlineStr">
        <is>
          <t>$39.00</t>
        </is>
      </c>
      <c r="H385" s="7" t="inlineStr">
        <is>
          <t>Black</t>
        </is>
      </c>
      <c r="I385" s="7">
        <f>IMAGE("https://images.lululemon.com/is/image/lululemon/0001",1)</f>
        <v/>
      </c>
      <c r="J385" s="7" t="inlineStr">
        <is>
          <t>XL</t>
        </is>
      </c>
      <c r="K385" s="7" t="inlineStr">
        <is>
          <t>267/3511</t>
        </is>
      </c>
      <c r="L385" s="7" t="inlineStr">
        <is>
          <t>Yes</t>
        </is>
      </c>
      <c r="M385" s="7" t="inlineStr">
        <is>
          <t>All bets on sweat. Powered by anti-stink technology, this training top won't cling to sweaty skin so you can stay comfortable and focused.</t>
        </is>
      </c>
      <c r="N385" s="7" t="inlineStr">
        <is>
          <t>License-To-Train-SS</t>
        </is>
      </c>
      <c r="O385" s="7" t="inlineStr"/>
    </row>
    <row r="386" ht="80" customHeight="1">
      <c r="A386" s="4">
        <f>IMAGE("https://images.lululemon.com/is/image/lululemon/LM3EJUS_0001_1?wid=320&amp;op_usm=0.8",1)</f>
        <v/>
      </c>
      <c r="B386" s="4" t="inlineStr">
        <is>
          <t>License to Train Short-Sleeve Shirt</t>
        </is>
      </c>
      <c r="C386" s="4" t="inlineStr">
        <is>
          <t>146400260</t>
        </is>
      </c>
      <c r="D386" s="4" t="inlineStr">
        <is>
          <t>146400260-black</t>
        </is>
      </c>
      <c r="E386" s="4" t="inlineStr">
        <is>
          <t>License to Train Short Sleeve BLK S</t>
        </is>
      </c>
      <c r="F386" s="4" t="inlineStr">
        <is>
          <t>$78.00</t>
        </is>
      </c>
      <c r="G386" s="4" t="inlineStr">
        <is>
          <t>$39.00</t>
        </is>
      </c>
      <c r="H386" s="4" t="inlineStr">
        <is>
          <t>Black</t>
        </is>
      </c>
      <c r="I386" s="4">
        <f>IMAGE("https://images.lululemon.com/is/image/lululemon/0001",1)</f>
        <v/>
      </c>
      <c r="J386" s="4" t="inlineStr">
        <is>
          <t>XXL</t>
        </is>
      </c>
      <c r="K386" s="4" t="inlineStr">
        <is>
          <t>80/3511</t>
        </is>
      </c>
      <c r="L386" s="4" t="inlineStr">
        <is>
          <t>Yes</t>
        </is>
      </c>
      <c r="M386" s="4" t="inlineStr">
        <is>
          <t>All bets on sweat. Powered by anti-stink technology, this training top won't cling to sweaty skin so you can stay comfortable and focused.</t>
        </is>
      </c>
      <c r="N386" s="4" t="inlineStr">
        <is>
          <t>License-To-Train-SS</t>
        </is>
      </c>
      <c r="O386" s="4" t="inlineStr"/>
    </row>
    <row r="387" ht="80" customHeight="1">
      <c r="A387" s="7">
        <f>IMAGE("https://images.lululemon.com/is/image/lululemon/LM3EJUS_0001_1?wid=320&amp;op_usm=0.8",1)</f>
        <v/>
      </c>
      <c r="B387" s="7" t="inlineStr">
        <is>
          <t>License to Train Short-Sleeve Shirt</t>
        </is>
      </c>
      <c r="C387" s="7" t="inlineStr">
        <is>
          <t>146400392</t>
        </is>
      </c>
      <c r="D387" s="7" t="inlineStr">
        <is>
          <t>146400392-truenavy</t>
        </is>
      </c>
      <c r="E387" s="7" t="inlineStr">
        <is>
          <t>License to Train Short Sleeve BLK S</t>
        </is>
      </c>
      <c r="F387" s="7" t="inlineStr">
        <is>
          <t>$78.00</t>
        </is>
      </c>
      <c r="G387" s="7" t="inlineStr">
        <is>
          <t>$39.00</t>
        </is>
      </c>
      <c r="H387" s="7" t="inlineStr">
        <is>
          <t>True Navy</t>
        </is>
      </c>
      <c r="I387" s="7">
        <f>IMAGE("https://images.lululemon.com/is/image/lululemon/31382",1)</f>
        <v/>
      </c>
      <c r="J387" s="7" t="inlineStr">
        <is>
          <t>S</t>
        </is>
      </c>
      <c r="K387" s="7" t="inlineStr">
        <is>
          <t>26/3511</t>
        </is>
      </c>
      <c r="L387" s="7" t="inlineStr">
        <is>
          <t>Yes</t>
        </is>
      </c>
      <c r="M387" s="7" t="inlineStr">
        <is>
          <t>All bets on sweat. Powered by anti-stink technology, this training top won't cling to sweaty skin so you can stay comfortable and focused.</t>
        </is>
      </c>
      <c r="N387" s="7" t="inlineStr">
        <is>
          <t>License-To-Train-SS</t>
        </is>
      </c>
      <c r="O387" s="7" t="inlineStr"/>
    </row>
    <row r="388" ht="80" customHeight="1">
      <c r="A388" s="4">
        <f>IMAGE("https://images.lululemon.com/is/image/lululemon/LM3EJUS_0001_1?wid=320&amp;op_usm=0.8",1)</f>
        <v/>
      </c>
      <c r="B388" s="4" t="inlineStr">
        <is>
          <t>License to Train Short-Sleeve Shirt</t>
        </is>
      </c>
      <c r="C388" s="4" t="inlineStr">
        <is>
          <t>146400376</t>
        </is>
      </c>
      <c r="D388" s="4" t="inlineStr">
        <is>
          <t>146400376-truenavy</t>
        </is>
      </c>
      <c r="E388" s="4" t="inlineStr">
        <is>
          <t>License to Train Short Sleeve BLK S</t>
        </is>
      </c>
      <c r="F388" s="4" t="inlineStr">
        <is>
          <t>$78.00</t>
        </is>
      </c>
      <c r="G388" s="4" t="inlineStr">
        <is>
          <t>$39.00</t>
        </is>
      </c>
      <c r="H388" s="4" t="inlineStr">
        <is>
          <t>True Navy</t>
        </is>
      </c>
      <c r="I388" s="4">
        <f>IMAGE("https://images.lululemon.com/is/image/lululemon/31382",1)</f>
        <v/>
      </c>
      <c r="J388" s="4" t="inlineStr">
        <is>
          <t>M</t>
        </is>
      </c>
      <c r="K388" s="4" t="inlineStr">
        <is>
          <t>78/3511</t>
        </is>
      </c>
      <c r="L388" s="4" t="inlineStr">
        <is>
          <t>Yes</t>
        </is>
      </c>
      <c r="M388" s="4" t="inlineStr">
        <is>
          <t>All bets on sweat. Powered by anti-stink technology, this training top won't cling to sweaty skin so you can stay comfortable and focused.</t>
        </is>
      </c>
      <c r="N388" s="4" t="inlineStr">
        <is>
          <t>License-To-Train-SS</t>
        </is>
      </c>
      <c r="O388" s="4" t="inlineStr"/>
    </row>
    <row r="389" ht="80" customHeight="1">
      <c r="A389" s="7">
        <f>IMAGE("https://images.lululemon.com/is/image/lululemon/LM3EJUS_0001_1?wid=320&amp;op_usm=0.8",1)</f>
        <v/>
      </c>
      <c r="B389" s="7" t="inlineStr">
        <is>
          <t>License to Train Short-Sleeve Shirt</t>
        </is>
      </c>
      <c r="C389" s="7" t="inlineStr">
        <is>
          <t>146400360</t>
        </is>
      </c>
      <c r="D389" s="7" t="inlineStr">
        <is>
          <t>146400360-truenavy</t>
        </is>
      </c>
      <c r="E389" s="7" t="inlineStr">
        <is>
          <t>License to Train Short Sleeve BLK S</t>
        </is>
      </c>
      <c r="F389" s="7" t="inlineStr">
        <is>
          <t>$78.00</t>
        </is>
      </c>
      <c r="G389" s="7" t="inlineStr">
        <is>
          <t>$39.00</t>
        </is>
      </c>
      <c r="H389" s="7" t="inlineStr">
        <is>
          <t>True Navy</t>
        </is>
      </c>
      <c r="I389" s="7">
        <f>IMAGE("https://images.lululemon.com/is/image/lululemon/31382",1)</f>
        <v/>
      </c>
      <c r="J389" s="7" t="inlineStr">
        <is>
          <t>L</t>
        </is>
      </c>
      <c r="K389" s="7" t="inlineStr">
        <is>
          <t>184/3511</t>
        </is>
      </c>
      <c r="L389" s="7" t="inlineStr">
        <is>
          <t>Yes</t>
        </is>
      </c>
      <c r="M389" s="7" t="inlineStr">
        <is>
          <t>All bets on sweat. Powered by anti-stink technology, this training top won't cling to sweaty skin so you can stay comfortable and focused.</t>
        </is>
      </c>
      <c r="N389" s="7" t="inlineStr">
        <is>
          <t>License-To-Train-SS</t>
        </is>
      </c>
      <c r="O389" s="7" t="inlineStr"/>
    </row>
    <row r="390" ht="80" customHeight="1">
      <c r="A390" s="4">
        <f>IMAGE("https://images.lululemon.com/is/image/lululemon/LM3EJUS_0001_1?wid=320&amp;op_usm=0.8",1)</f>
        <v/>
      </c>
      <c r="B390" s="4" t="inlineStr">
        <is>
          <t>License to Train Short-Sleeve Shirt</t>
        </is>
      </c>
      <c r="C390" s="4" t="inlineStr">
        <is>
          <t>146400408</t>
        </is>
      </c>
      <c r="D390" s="4" t="inlineStr">
        <is>
          <t>146400408-truenavy</t>
        </is>
      </c>
      <c r="E390" s="4" t="inlineStr">
        <is>
          <t>License to Train Short Sleeve BLK S</t>
        </is>
      </c>
      <c r="F390" s="4" t="inlineStr">
        <is>
          <t>$78.00</t>
        </is>
      </c>
      <c r="G390" s="4" t="inlineStr">
        <is>
          <t>$39.00</t>
        </is>
      </c>
      <c r="H390" s="4" t="inlineStr">
        <is>
          <t>True Navy</t>
        </is>
      </c>
      <c r="I390" s="4">
        <f>IMAGE("https://images.lululemon.com/is/image/lululemon/31382",1)</f>
        <v/>
      </c>
      <c r="J390" s="4" t="inlineStr">
        <is>
          <t>XL</t>
        </is>
      </c>
      <c r="K390" s="4" t="inlineStr">
        <is>
          <t>85/3511</t>
        </is>
      </c>
      <c r="L390" s="4" t="inlineStr">
        <is>
          <t>Yes</t>
        </is>
      </c>
      <c r="M390" s="4" t="inlineStr">
        <is>
          <t>All bets on sweat. Powered by anti-stink technology, this training top won't cling to sweaty skin so you can stay comfortable and focused.</t>
        </is>
      </c>
      <c r="N390" s="4" t="inlineStr">
        <is>
          <t>License-To-Train-SS</t>
        </is>
      </c>
      <c r="O390" s="4" t="inlineStr"/>
    </row>
    <row r="391" ht="80" customHeight="1">
      <c r="A391" s="7">
        <f>IMAGE("https://images.lululemon.com/is/image/lululemon/LM3EJUS_0001_1?wid=320&amp;op_usm=0.8",1)</f>
        <v/>
      </c>
      <c r="B391" s="7" t="inlineStr">
        <is>
          <t>License to Train Short-Sleeve Shirt</t>
        </is>
      </c>
      <c r="C391" s="7" t="inlineStr">
        <is>
          <t>146400440</t>
        </is>
      </c>
      <c r="D391" s="7" t="inlineStr">
        <is>
          <t>146400440-truenavy</t>
        </is>
      </c>
      <c r="E391" s="7" t="inlineStr">
        <is>
          <t>License to Train Short Sleeve BLK S</t>
        </is>
      </c>
      <c r="F391" s="7" t="inlineStr">
        <is>
          <t>$78.00</t>
        </is>
      </c>
      <c r="G391" s="7" t="inlineStr">
        <is>
          <t>$39.00</t>
        </is>
      </c>
      <c r="H391" s="7" t="inlineStr">
        <is>
          <t>True Navy</t>
        </is>
      </c>
      <c r="I391" s="7">
        <f>IMAGE("https://images.lululemon.com/is/image/lululemon/31382",1)</f>
        <v/>
      </c>
      <c r="J391" s="7" t="inlineStr">
        <is>
          <t>XXL</t>
        </is>
      </c>
      <c r="K391" s="7" t="inlineStr">
        <is>
          <t>33/3511</t>
        </is>
      </c>
      <c r="L391" s="7" t="inlineStr">
        <is>
          <t>Yes</t>
        </is>
      </c>
      <c r="M391" s="7" t="inlineStr">
        <is>
          <t>All bets on sweat. Powered by anti-stink technology, this training top won't cling to sweaty skin so you can stay comfortable and focused.</t>
        </is>
      </c>
      <c r="N391" s="7" t="inlineStr">
        <is>
          <t>License-To-Train-SS</t>
        </is>
      </c>
      <c r="O391" s="7" t="inlineStr"/>
    </row>
    <row r="392" ht="80" customHeight="1">
      <c r="A392" s="4">
        <f>IMAGE("https://images.lululemon.com/is/image/lululemon/LM3EJUS_0001_1?wid=320&amp;op_usm=0.8",1)</f>
        <v/>
      </c>
      <c r="B392" s="4" t="inlineStr">
        <is>
          <t>License to Train Short-Sleeve Shirt</t>
        </is>
      </c>
      <c r="C392" s="4" t="inlineStr">
        <is>
          <t>149506788</t>
        </is>
      </c>
      <c r="D392" s="4" t="inlineStr">
        <is>
          <t>149506788-vapor</t>
        </is>
      </c>
      <c r="E392" s="4" t="inlineStr">
        <is>
          <t>License to Train Short Sleeve BLK S</t>
        </is>
      </c>
      <c r="F392" s="4" t="inlineStr">
        <is>
          <t>$78.00</t>
        </is>
      </c>
      <c r="G392" s="4" t="inlineStr">
        <is>
          <t>$39.00</t>
        </is>
      </c>
      <c r="H392" s="4" t="inlineStr">
        <is>
          <t>Vapor</t>
        </is>
      </c>
      <c r="I392" s="4">
        <f>IMAGE("https://images.lululemon.com/is/image/lululemon/32894",1)</f>
        <v/>
      </c>
      <c r="J392" s="4" t="inlineStr">
        <is>
          <t>S</t>
        </is>
      </c>
      <c r="K392" s="4" t="inlineStr">
        <is>
          <t>25/3511</t>
        </is>
      </c>
      <c r="L392" s="4" t="inlineStr">
        <is>
          <t>Yes</t>
        </is>
      </c>
      <c r="M392" s="4" t="inlineStr">
        <is>
          <t>All bets on sweat. Powered by anti-stink technology, this training top won't cling to sweaty skin so you can stay comfortable and focused.</t>
        </is>
      </c>
      <c r="N392" s="4" t="inlineStr">
        <is>
          <t>License-To-Train-SS</t>
        </is>
      </c>
      <c r="O392" s="4" t="inlineStr"/>
    </row>
    <row r="393" ht="80" customHeight="1">
      <c r="A393" s="7">
        <f>IMAGE("https://images.lululemon.com/is/image/lululemon/LM3EJUS_0001_1?wid=320&amp;op_usm=0.8",1)</f>
        <v/>
      </c>
      <c r="B393" s="7" t="inlineStr">
        <is>
          <t>License to Train Short-Sleeve Shirt</t>
        </is>
      </c>
      <c r="C393" s="7" t="inlineStr">
        <is>
          <t>149506782</t>
        </is>
      </c>
      <c r="D393" s="7" t="inlineStr">
        <is>
          <t>149506782-vapor</t>
        </is>
      </c>
      <c r="E393" s="7" t="inlineStr">
        <is>
          <t>License to Train Short Sleeve BLK S</t>
        </is>
      </c>
      <c r="F393" s="7" t="inlineStr">
        <is>
          <t>$78.00</t>
        </is>
      </c>
      <c r="G393" s="7" t="inlineStr">
        <is>
          <t>$39.00</t>
        </is>
      </c>
      <c r="H393" s="7" t="inlineStr">
        <is>
          <t>Vapor</t>
        </is>
      </c>
      <c r="I393" s="7">
        <f>IMAGE("https://images.lululemon.com/is/image/lululemon/32894",1)</f>
        <v/>
      </c>
      <c r="J393" s="7" t="inlineStr">
        <is>
          <t>M</t>
        </is>
      </c>
      <c r="K393" s="7" t="inlineStr">
        <is>
          <t>78/3511</t>
        </is>
      </c>
      <c r="L393" s="7" t="inlineStr">
        <is>
          <t>Yes</t>
        </is>
      </c>
      <c r="M393" s="7" t="inlineStr">
        <is>
          <t>All bets on sweat. Powered by anti-stink technology, this training top won't cling to sweaty skin so you can stay comfortable and focused.</t>
        </is>
      </c>
      <c r="N393" s="7" t="inlineStr">
        <is>
          <t>License-To-Train-SS</t>
        </is>
      </c>
      <c r="O393" s="7" t="inlineStr"/>
    </row>
    <row r="394" ht="80" customHeight="1">
      <c r="A394" s="4">
        <f>IMAGE("https://images.lululemon.com/is/image/lululemon/LM3EJUS_0001_1?wid=320&amp;op_usm=0.8",1)</f>
        <v/>
      </c>
      <c r="B394" s="4" t="inlineStr">
        <is>
          <t>License to Train Short-Sleeve Shirt</t>
        </is>
      </c>
      <c r="C394" s="4" t="inlineStr">
        <is>
          <t>149506775</t>
        </is>
      </c>
      <c r="D394" s="4" t="inlineStr">
        <is>
          <t>149506775-vapor</t>
        </is>
      </c>
      <c r="E394" s="4" t="inlineStr">
        <is>
          <t>License to Train Short Sleeve BLK S</t>
        </is>
      </c>
      <c r="F394" s="4" t="inlineStr">
        <is>
          <t>$78.00</t>
        </is>
      </c>
      <c r="G394" s="4" t="inlineStr">
        <is>
          <t>$39.00</t>
        </is>
      </c>
      <c r="H394" s="4" t="inlineStr">
        <is>
          <t>Vapor</t>
        </is>
      </c>
      <c r="I394" s="4">
        <f>IMAGE("https://images.lululemon.com/is/image/lululemon/32894",1)</f>
        <v/>
      </c>
      <c r="J394" s="4" t="inlineStr">
        <is>
          <t>L</t>
        </is>
      </c>
      <c r="K394" s="4" t="inlineStr">
        <is>
          <t>102/3511</t>
        </is>
      </c>
      <c r="L394" s="4" t="inlineStr">
        <is>
          <t>Yes</t>
        </is>
      </c>
      <c r="M394" s="4" t="inlineStr">
        <is>
          <t>All bets on sweat. Powered by anti-stink technology, this training top won't cling to sweaty skin so you can stay comfortable and focused.</t>
        </is>
      </c>
      <c r="N394" s="4" t="inlineStr">
        <is>
          <t>License-To-Train-SS</t>
        </is>
      </c>
      <c r="O394" s="4" t="inlineStr"/>
    </row>
    <row r="395" ht="80" customHeight="1">
      <c r="A395" s="7">
        <f>IMAGE("https://images.lululemon.com/is/image/lululemon/LM3EJUS_0001_1?wid=320&amp;op_usm=0.8",1)</f>
        <v/>
      </c>
      <c r="B395" s="7" t="inlineStr">
        <is>
          <t>License to Train Short-Sleeve Shirt</t>
        </is>
      </c>
      <c r="C395" s="7" t="inlineStr">
        <is>
          <t>149506795</t>
        </is>
      </c>
      <c r="D395" s="7" t="inlineStr">
        <is>
          <t>149506795-vapor</t>
        </is>
      </c>
      <c r="E395" s="7" t="inlineStr">
        <is>
          <t>License to Train Short Sleeve BLK S</t>
        </is>
      </c>
      <c r="F395" s="7" t="inlineStr">
        <is>
          <t>$78.00</t>
        </is>
      </c>
      <c r="G395" s="7" t="inlineStr">
        <is>
          <t>$39.00</t>
        </is>
      </c>
      <c r="H395" s="7" t="inlineStr">
        <is>
          <t>Vapor</t>
        </is>
      </c>
      <c r="I395" s="7">
        <f>IMAGE("https://images.lululemon.com/is/image/lululemon/32894",1)</f>
        <v/>
      </c>
      <c r="J395" s="7" t="inlineStr">
        <is>
          <t>XL</t>
        </is>
      </c>
      <c r="K395" s="7" t="inlineStr">
        <is>
          <t>81/3511</t>
        </is>
      </c>
      <c r="L395" s="7" t="inlineStr">
        <is>
          <t>Yes</t>
        </is>
      </c>
      <c r="M395" s="7" t="inlineStr">
        <is>
          <t>All bets on sweat. Powered by anti-stink technology, this training top won't cling to sweaty skin so you can stay comfortable and focused.</t>
        </is>
      </c>
      <c r="N395" s="7" t="inlineStr">
        <is>
          <t>License-To-Train-SS</t>
        </is>
      </c>
      <c r="O395" s="7" t="inlineStr"/>
    </row>
    <row r="396" ht="80" customHeight="1">
      <c r="A396" s="4">
        <f>IMAGE("https://images.lululemon.com/is/image/lululemon/LM3EJUS_0001_1?wid=320&amp;op_usm=0.8",1)</f>
        <v/>
      </c>
      <c r="B396" s="4" t="inlineStr">
        <is>
          <t>License to Train Short-Sleeve Shirt</t>
        </is>
      </c>
      <c r="C396" s="4" t="inlineStr">
        <is>
          <t>149506813</t>
        </is>
      </c>
      <c r="D396" s="4" t="inlineStr">
        <is>
          <t>149506813-vapor</t>
        </is>
      </c>
      <c r="E396" s="4" t="inlineStr">
        <is>
          <t>License to Train Short Sleeve BLK S</t>
        </is>
      </c>
      <c r="F396" s="4" t="inlineStr">
        <is>
          <t>$78.00</t>
        </is>
      </c>
      <c r="G396" s="4" t="inlineStr">
        <is>
          <t>$39.00</t>
        </is>
      </c>
      <c r="H396" s="4" t="inlineStr">
        <is>
          <t>Vapor</t>
        </is>
      </c>
      <c r="I396" s="4">
        <f>IMAGE("https://images.lululemon.com/is/image/lululemon/32894",1)</f>
        <v/>
      </c>
      <c r="J396" s="4" t="inlineStr">
        <is>
          <t>XXL</t>
        </is>
      </c>
      <c r="K396" s="4" t="inlineStr">
        <is>
          <t>29/3511</t>
        </is>
      </c>
      <c r="L396" s="4" t="inlineStr">
        <is>
          <t>Yes</t>
        </is>
      </c>
      <c r="M396" s="4" t="inlineStr">
        <is>
          <t>All bets on sweat. Powered by anti-stink technology, this training top won't cling to sweaty skin so you can stay comfortable and focused.</t>
        </is>
      </c>
      <c r="N396" s="4" t="inlineStr">
        <is>
          <t>License-To-Train-SS</t>
        </is>
      </c>
      <c r="O396" s="4" t="inlineStr"/>
    </row>
    <row r="397" ht="80" customHeight="1">
      <c r="A397" s="7">
        <f>IMAGE("https://images.lululemon.com/is/image/lululemon/LM3EJUS_0001_1?wid=320&amp;op_usm=0.8",1)</f>
        <v/>
      </c>
      <c r="B397" s="7" t="inlineStr">
        <is>
          <t>License to Train Short-Sleeve Shirt</t>
        </is>
      </c>
      <c r="C397" s="7" t="inlineStr">
        <is>
          <t>157706980</t>
        </is>
      </c>
      <c r="D397" s="7" t="inlineStr">
        <is>
          <t>157706980-heatheredrockwood</t>
        </is>
      </c>
      <c r="E397" s="7" t="inlineStr">
        <is>
          <t>License to Train Short Sleeve BLK S</t>
        </is>
      </c>
      <c r="F397" s="7" t="inlineStr">
        <is>
          <t>$78.00</t>
        </is>
      </c>
      <c r="G397" s="7" t="inlineStr">
        <is>
          <t>$39.00</t>
        </is>
      </c>
      <c r="H397" s="7" t="inlineStr">
        <is>
          <t>Heathered Rockwood</t>
        </is>
      </c>
      <c r="I397" s="7">
        <f>IMAGE("https://images.lululemon.com/is/image/lululemon/71344",1)</f>
        <v/>
      </c>
      <c r="J397" s="7" t="inlineStr">
        <is>
          <t>S</t>
        </is>
      </c>
      <c r="K397" s="7" t="inlineStr">
        <is>
          <t>50/3511</t>
        </is>
      </c>
      <c r="L397" s="7" t="inlineStr">
        <is>
          <t>Yes</t>
        </is>
      </c>
      <c r="M397" s="7" t="inlineStr">
        <is>
          <t>All bets on sweat. Powered by anti-stink technology, this training top won't cling to sweaty skin so you can stay comfortable and focused.</t>
        </is>
      </c>
      <c r="N397" s="7" t="inlineStr">
        <is>
          <t>License-To-Train-SS</t>
        </is>
      </c>
      <c r="O397" s="7" t="inlineStr"/>
    </row>
    <row r="398" ht="80" customHeight="1">
      <c r="A398" s="4">
        <f>IMAGE("https://images.lululemon.com/is/image/lululemon/LM3EJUS_0001_1?wid=320&amp;op_usm=0.8",1)</f>
        <v/>
      </c>
      <c r="B398" s="4" t="inlineStr">
        <is>
          <t>License to Train Short-Sleeve Shirt</t>
        </is>
      </c>
      <c r="C398" s="4" t="inlineStr">
        <is>
          <t>157706957</t>
        </is>
      </c>
      <c r="D398" s="4" t="inlineStr">
        <is>
          <t>157706957-heatheredrockwood</t>
        </is>
      </c>
      <c r="E398" s="4" t="inlineStr">
        <is>
          <t>License to Train Short Sleeve BLK S</t>
        </is>
      </c>
      <c r="F398" s="4" t="inlineStr">
        <is>
          <t>$78.00</t>
        </is>
      </c>
      <c r="G398" s="4" t="inlineStr">
        <is>
          <t>$39.00</t>
        </is>
      </c>
      <c r="H398" s="4" t="inlineStr">
        <is>
          <t>Heathered Rockwood</t>
        </is>
      </c>
      <c r="I398" s="4">
        <f>IMAGE("https://images.lululemon.com/is/image/lululemon/71344",1)</f>
        <v/>
      </c>
      <c r="J398" s="4" t="inlineStr">
        <is>
          <t>M</t>
        </is>
      </c>
      <c r="K398" s="4" t="inlineStr">
        <is>
          <t>169/3511</t>
        </is>
      </c>
      <c r="L398" s="4" t="inlineStr">
        <is>
          <t>Yes</t>
        </is>
      </c>
      <c r="M398" s="4" t="inlineStr">
        <is>
          <t>All bets on sweat. Powered by anti-stink technology, this training top won't cling to sweaty skin so you can stay comfortable and focused.</t>
        </is>
      </c>
      <c r="N398" s="4" t="inlineStr">
        <is>
          <t>License-To-Train-SS</t>
        </is>
      </c>
      <c r="O398" s="4" t="inlineStr"/>
    </row>
    <row r="399" ht="80" customHeight="1">
      <c r="A399" s="7">
        <f>IMAGE("https://images.lululemon.com/is/image/lululemon/LM3EJUS_0001_1?wid=320&amp;op_usm=0.8",1)</f>
        <v/>
      </c>
      <c r="B399" s="7" t="inlineStr">
        <is>
          <t>License to Train Short-Sleeve Shirt</t>
        </is>
      </c>
      <c r="C399" s="7" t="inlineStr">
        <is>
          <t>157706932</t>
        </is>
      </c>
      <c r="D399" s="7" t="inlineStr">
        <is>
          <t>157706932-heatheredrockwood</t>
        </is>
      </c>
      <c r="E399" s="7" t="inlineStr">
        <is>
          <t>License to Train Short Sleeve BLK S</t>
        </is>
      </c>
      <c r="F399" s="7" t="inlineStr">
        <is>
          <t>$78.00</t>
        </is>
      </c>
      <c r="G399" s="7" t="inlineStr">
        <is>
          <t>$39.00</t>
        </is>
      </c>
      <c r="H399" s="7" t="inlineStr">
        <is>
          <t>Heathered Rockwood</t>
        </is>
      </c>
      <c r="I399" s="7">
        <f>IMAGE("https://images.lululemon.com/is/image/lululemon/71344",1)</f>
        <v/>
      </c>
      <c r="J399" s="7" t="inlineStr">
        <is>
          <t>L</t>
        </is>
      </c>
      <c r="K399" s="7" t="inlineStr">
        <is>
          <t>207/3511</t>
        </is>
      </c>
      <c r="L399" s="7" t="inlineStr">
        <is>
          <t>Yes</t>
        </is>
      </c>
      <c r="M399" s="7" t="inlineStr">
        <is>
          <t>All bets on sweat. Powered by anti-stink technology, this training top won't cling to sweaty skin so you can stay comfortable and focused.</t>
        </is>
      </c>
      <c r="N399" s="7" t="inlineStr">
        <is>
          <t>License-To-Train-SS</t>
        </is>
      </c>
      <c r="O399" s="7" t="inlineStr"/>
    </row>
    <row r="400" ht="80" customHeight="1">
      <c r="A400" s="4">
        <f>IMAGE("https://images.lululemon.com/is/image/lululemon/LM3EJUS_0001_1?wid=320&amp;op_usm=0.8",1)</f>
        <v/>
      </c>
      <c r="B400" s="4" t="inlineStr">
        <is>
          <t>License to Train Short-Sleeve Shirt</t>
        </is>
      </c>
      <c r="C400" s="4" t="inlineStr">
        <is>
          <t>157707004</t>
        </is>
      </c>
      <c r="D400" s="4" t="inlineStr">
        <is>
          <t>157707004-heatheredrockwood</t>
        </is>
      </c>
      <c r="E400" s="4" t="inlineStr">
        <is>
          <t>License to Train Short Sleeve BLK S</t>
        </is>
      </c>
      <c r="F400" s="4" t="inlineStr">
        <is>
          <t>$78.00</t>
        </is>
      </c>
      <c r="G400" s="4" t="inlineStr">
        <is>
          <t>$39.00</t>
        </is>
      </c>
      <c r="H400" s="4" t="inlineStr">
        <is>
          <t>Heathered Rockwood</t>
        </is>
      </c>
      <c r="I400" s="4">
        <f>IMAGE("https://images.lululemon.com/is/image/lululemon/71344",1)</f>
        <v/>
      </c>
      <c r="J400" s="4" t="inlineStr">
        <is>
          <t>XL</t>
        </is>
      </c>
      <c r="K400" s="4" t="inlineStr">
        <is>
          <t>137/3511</t>
        </is>
      </c>
      <c r="L400" s="4" t="inlineStr">
        <is>
          <t>Yes</t>
        </is>
      </c>
      <c r="M400" s="4" t="inlineStr">
        <is>
          <t>All bets on sweat. Powered by anti-stink technology, this training top won't cling to sweaty skin so you can stay comfortable and focused.</t>
        </is>
      </c>
      <c r="N400" s="4" t="inlineStr">
        <is>
          <t>License-To-Train-SS</t>
        </is>
      </c>
      <c r="O400" s="4" t="inlineStr"/>
    </row>
    <row r="401" ht="80" customHeight="1">
      <c r="A401" s="7">
        <f>IMAGE("https://images.lululemon.com/is/image/lululemon/LM3EJUS_0001_1?wid=320&amp;op_usm=0.8",1)</f>
        <v/>
      </c>
      <c r="B401" s="7" t="inlineStr">
        <is>
          <t>License to Train Short-Sleeve Shirt</t>
        </is>
      </c>
      <c r="C401" s="7" t="inlineStr">
        <is>
          <t>157707032</t>
        </is>
      </c>
      <c r="D401" s="7" t="inlineStr">
        <is>
          <t>157707032-heatheredrockwood</t>
        </is>
      </c>
      <c r="E401" s="7" t="inlineStr">
        <is>
          <t>License to Train Short Sleeve BLK S</t>
        </is>
      </c>
      <c r="F401" s="7" t="inlineStr">
        <is>
          <t>$78.00</t>
        </is>
      </c>
      <c r="G401" s="7" t="inlineStr">
        <is>
          <t>$39.00</t>
        </is>
      </c>
      <c r="H401" s="7" t="inlineStr">
        <is>
          <t>Heathered Rockwood</t>
        </is>
      </c>
      <c r="I401" s="7">
        <f>IMAGE("https://images.lululemon.com/is/image/lululemon/71344",1)</f>
        <v/>
      </c>
      <c r="J401" s="7" t="inlineStr">
        <is>
          <t>XXL</t>
        </is>
      </c>
      <c r="K401" s="7" t="inlineStr">
        <is>
          <t>48/3511</t>
        </is>
      </c>
      <c r="L401" s="7" t="inlineStr">
        <is>
          <t>Yes</t>
        </is>
      </c>
      <c r="M401" s="7" t="inlineStr">
        <is>
          <t>All bets on sweat. Powered by anti-stink technology, this training top won't cling to sweaty skin so you can stay comfortable and focused.</t>
        </is>
      </c>
      <c r="N401" s="7" t="inlineStr">
        <is>
          <t>License-To-Train-SS</t>
        </is>
      </c>
      <c r="O401" s="7" t="inlineStr"/>
    </row>
    <row r="402" ht="80" customHeight="1">
      <c r="A402" s="4">
        <f>IMAGE("https://images.lululemon.com/is/image/lululemon/LM3EJUS_0001_1?wid=320&amp;op_usm=0.8",1)</f>
        <v/>
      </c>
      <c r="B402" s="4" t="inlineStr">
        <is>
          <t>License to Train Short-Sleeve Shirt</t>
        </is>
      </c>
      <c r="C402" s="4" t="inlineStr">
        <is>
          <t>158032566</t>
        </is>
      </c>
      <c r="D402" s="4" t="inlineStr">
        <is>
          <t>158032566-atmosphericpurple</t>
        </is>
      </c>
      <c r="E402" s="4" t="inlineStr">
        <is>
          <t>License to Train Short Sleeve BLK S</t>
        </is>
      </c>
      <c r="F402" s="4" t="inlineStr">
        <is>
          <t>$78.00</t>
        </is>
      </c>
      <c r="G402" s="4" t="inlineStr">
        <is>
          <t>$39.00</t>
        </is>
      </c>
      <c r="H402" s="4" t="inlineStr">
        <is>
          <t>Atmospheric Purple</t>
        </is>
      </c>
      <c r="I402" s="4">
        <f>IMAGE("https://images.lululemon.com/is/image/lululemon/63787",1)</f>
        <v/>
      </c>
      <c r="J402" s="4" t="inlineStr">
        <is>
          <t>S</t>
        </is>
      </c>
      <c r="K402" s="4" t="inlineStr">
        <is>
          <t>10/3511</t>
        </is>
      </c>
      <c r="L402" s="4" t="inlineStr">
        <is>
          <t>Yes</t>
        </is>
      </c>
      <c r="M402" s="4" t="inlineStr">
        <is>
          <t>All bets on sweat. Powered by anti-stink technology, this training top won't cling to sweaty skin so you can stay comfortable and focused.</t>
        </is>
      </c>
      <c r="N402" s="4" t="inlineStr">
        <is>
          <t>License-To-Train-SS</t>
        </is>
      </c>
      <c r="O402" s="4" t="inlineStr"/>
    </row>
    <row r="403" ht="80" customHeight="1">
      <c r="A403" s="7">
        <f>IMAGE("https://images.lululemon.com/is/image/lululemon/LM3EJUS_0001_1?wid=320&amp;op_usm=0.8",1)</f>
        <v/>
      </c>
      <c r="B403" s="7" t="inlineStr">
        <is>
          <t>License to Train Short-Sleeve Shirt</t>
        </is>
      </c>
      <c r="C403" s="7" t="inlineStr">
        <is>
          <t>158032545</t>
        </is>
      </c>
      <c r="D403" s="7" t="inlineStr">
        <is>
          <t>158032545-atmosphericpurple</t>
        </is>
      </c>
      <c r="E403" s="7" t="inlineStr">
        <is>
          <t>License to Train Short Sleeve BLK S</t>
        </is>
      </c>
      <c r="F403" s="7" t="inlineStr">
        <is>
          <t>$78.00</t>
        </is>
      </c>
      <c r="G403" s="7" t="inlineStr">
        <is>
          <t>$39.00</t>
        </is>
      </c>
      <c r="H403" s="7" t="inlineStr">
        <is>
          <t>Atmospheric Purple</t>
        </is>
      </c>
      <c r="I403" s="7">
        <f>IMAGE("https://images.lululemon.com/is/image/lululemon/63787",1)</f>
        <v/>
      </c>
      <c r="J403" s="7" t="inlineStr">
        <is>
          <t>M</t>
        </is>
      </c>
      <c r="K403" s="7" t="inlineStr">
        <is>
          <t>14/3511</t>
        </is>
      </c>
      <c r="L403" s="7" t="inlineStr">
        <is>
          <t>Yes</t>
        </is>
      </c>
      <c r="M403" s="7" t="inlineStr">
        <is>
          <t>All bets on sweat. Powered by anti-stink technology, this training top won't cling to sweaty skin so you can stay comfortable and focused.</t>
        </is>
      </c>
      <c r="N403" s="7" t="inlineStr">
        <is>
          <t>License-To-Train-SS</t>
        </is>
      </c>
      <c r="O403" s="7" t="inlineStr"/>
    </row>
    <row r="404" ht="80" customHeight="1">
      <c r="A404" s="4">
        <f>IMAGE("https://images.lululemon.com/is/image/lululemon/LM3EJUS_0001_1?wid=320&amp;op_usm=0.8",1)</f>
        <v/>
      </c>
      <c r="B404" s="4" t="inlineStr">
        <is>
          <t>License to Train Short-Sleeve Shirt</t>
        </is>
      </c>
      <c r="C404" s="4" t="inlineStr">
        <is>
          <t>158032523</t>
        </is>
      </c>
      <c r="D404" s="4" t="inlineStr">
        <is>
          <t>158032523-atmosphericpurple</t>
        </is>
      </c>
      <c r="E404" s="4" t="inlineStr">
        <is>
          <t>License to Train Short Sleeve BLK S</t>
        </is>
      </c>
      <c r="F404" s="4" t="inlineStr">
        <is>
          <t>$78.00</t>
        </is>
      </c>
      <c r="G404" s="4" t="inlineStr">
        <is>
          <t>$39.00</t>
        </is>
      </c>
      <c r="H404" s="4" t="inlineStr">
        <is>
          <t>Atmospheric Purple</t>
        </is>
      </c>
      <c r="I404" s="4">
        <f>IMAGE("https://images.lululemon.com/is/image/lululemon/63787",1)</f>
        <v/>
      </c>
      <c r="J404" s="4" t="inlineStr">
        <is>
          <t>L</t>
        </is>
      </c>
      <c r="K404" s="4" t="inlineStr">
        <is>
          <t>4/3511</t>
        </is>
      </c>
      <c r="L404" s="4" t="inlineStr">
        <is>
          <t>Yes</t>
        </is>
      </c>
      <c r="M404" s="4" t="inlineStr">
        <is>
          <t>All bets on sweat. Powered by anti-stink technology, this training top won't cling to sweaty skin so you can stay comfortable and focused.</t>
        </is>
      </c>
      <c r="N404" s="4" t="inlineStr">
        <is>
          <t>License-To-Train-SS</t>
        </is>
      </c>
      <c r="O404" s="4" t="inlineStr"/>
    </row>
    <row r="405" ht="80" customHeight="1">
      <c r="A405" s="7">
        <f>IMAGE("https://images.lululemon.com/is/image/lululemon/LM3EJUS_0001_1?wid=320&amp;op_usm=0.8",1)</f>
        <v/>
      </c>
      <c r="B405" s="7" t="inlineStr">
        <is>
          <t>License to Train Short-Sleeve Shirt</t>
        </is>
      </c>
      <c r="C405" s="7" t="inlineStr">
        <is>
          <t>158032592</t>
        </is>
      </c>
      <c r="D405" s="7" t="inlineStr">
        <is>
          <t>158032592-atmosphericpurple</t>
        </is>
      </c>
      <c r="E405" s="7" t="inlineStr">
        <is>
          <t>License to Train Short Sleeve BLK S</t>
        </is>
      </c>
      <c r="F405" s="7" t="inlineStr">
        <is>
          <t>$78.00</t>
        </is>
      </c>
      <c r="G405" s="7" t="inlineStr">
        <is>
          <t>$39.00</t>
        </is>
      </c>
      <c r="H405" s="7" t="inlineStr">
        <is>
          <t>Atmospheric Purple</t>
        </is>
      </c>
      <c r="I405" s="7">
        <f>IMAGE("https://images.lululemon.com/is/image/lululemon/63787",1)</f>
        <v/>
      </c>
      <c r="J405" s="7" t="inlineStr">
        <is>
          <t>XL</t>
        </is>
      </c>
      <c r="K405" s="7" t="inlineStr">
        <is>
          <t>4/3511</t>
        </is>
      </c>
      <c r="L405" s="7" t="inlineStr">
        <is>
          <t>Yes</t>
        </is>
      </c>
      <c r="M405" s="7" t="inlineStr">
        <is>
          <t>All bets on sweat. Powered by anti-stink technology, this training top won't cling to sweaty skin so you can stay comfortable and focused.</t>
        </is>
      </c>
      <c r="N405" s="7" t="inlineStr">
        <is>
          <t>License-To-Train-SS</t>
        </is>
      </c>
      <c r="O405" s="7" t="inlineStr"/>
    </row>
    <row r="406" ht="80" customHeight="1">
      <c r="A406" s="4">
        <f>IMAGE("https://images.lululemon.com/is/image/lululemon/LM3EJUS_0001_1?wid=320&amp;op_usm=0.8",1)</f>
        <v/>
      </c>
      <c r="B406" s="4" t="inlineStr">
        <is>
          <t>License to Train Short-Sleeve Shirt</t>
        </is>
      </c>
      <c r="C406" s="4" t="inlineStr">
        <is>
          <t>158032638</t>
        </is>
      </c>
      <c r="D406" s="4" t="inlineStr">
        <is>
          <t>158032638-atmosphericpurple</t>
        </is>
      </c>
      <c r="E406" s="4" t="inlineStr">
        <is>
          <t>License to Train Short Sleeve BLK S</t>
        </is>
      </c>
      <c r="F406" s="4" t="inlineStr">
        <is>
          <t>$78.00</t>
        </is>
      </c>
      <c r="G406" s="4" t="inlineStr">
        <is>
          <t>$39.00</t>
        </is>
      </c>
      <c r="H406" s="4" t="inlineStr">
        <is>
          <t>Atmospheric Purple</t>
        </is>
      </c>
      <c r="I406" s="4">
        <f>IMAGE("https://images.lululemon.com/is/image/lululemon/63787",1)</f>
        <v/>
      </c>
      <c r="J406" s="4" t="inlineStr">
        <is>
          <t>XXL</t>
        </is>
      </c>
      <c r="K406" s="4" t="inlineStr">
        <is>
          <t>11/3511</t>
        </is>
      </c>
      <c r="L406" s="4" t="inlineStr">
        <is>
          <t>Yes</t>
        </is>
      </c>
      <c r="M406" s="4" t="inlineStr">
        <is>
          <t>All bets on sweat. Powered by anti-stink technology, this training top won't cling to sweaty skin so you can stay comfortable and focused.</t>
        </is>
      </c>
      <c r="N406" s="4" t="inlineStr">
        <is>
          <t>License-To-Train-SS</t>
        </is>
      </c>
      <c r="O406" s="4" t="inlineStr"/>
    </row>
    <row r="407" ht="80" customHeight="1">
      <c r="A407" s="7">
        <f>IMAGE("https://images.lululemon.com/is/image/lululemon/LM3EJUS_0001_1?wid=320&amp;op_usm=0.8",1)</f>
        <v/>
      </c>
      <c r="B407" s="7" t="inlineStr">
        <is>
          <t>License to Train Short-Sleeve Shirt</t>
        </is>
      </c>
      <c r="C407" s="7" t="inlineStr">
        <is>
          <t>158020546</t>
        </is>
      </c>
      <c r="D407" s="7" t="inlineStr">
        <is>
          <t>158020546-heatheredplum</t>
        </is>
      </c>
      <c r="E407" s="7" t="inlineStr">
        <is>
          <t>License to Train Short Sleeve BLK S</t>
        </is>
      </c>
      <c r="F407" s="7" t="inlineStr">
        <is>
          <t>$78.00</t>
        </is>
      </c>
      <c r="G407" s="7" t="inlineStr">
        <is>
          <t>$39.00</t>
        </is>
      </c>
      <c r="H407" s="7" t="inlineStr">
        <is>
          <t>Heathered Plum</t>
        </is>
      </c>
      <c r="I407" s="7">
        <f>IMAGE("https://images.lululemon.com/is/image/lululemon/5313",1)</f>
        <v/>
      </c>
      <c r="J407" s="7" t="inlineStr">
        <is>
          <t>S</t>
        </is>
      </c>
      <c r="K407" s="7" t="inlineStr">
        <is>
          <t>19/3511</t>
        </is>
      </c>
      <c r="L407" s="7" t="inlineStr">
        <is>
          <t>Yes</t>
        </is>
      </c>
      <c r="M407" s="7" t="inlineStr">
        <is>
          <t>All bets on sweat. Powered by anti-stink technology, this training top won't cling to sweaty skin so you can stay comfortable and focused.</t>
        </is>
      </c>
      <c r="N407" s="7" t="inlineStr">
        <is>
          <t>License-To-Train-SS</t>
        </is>
      </c>
      <c r="O407" s="7" t="inlineStr"/>
    </row>
    <row r="408" ht="80" customHeight="1">
      <c r="A408" s="4">
        <f>IMAGE("https://images.lululemon.com/is/image/lululemon/LM3EJUS_0001_1?wid=320&amp;op_usm=0.8",1)</f>
        <v/>
      </c>
      <c r="B408" s="4" t="inlineStr">
        <is>
          <t>License to Train Short-Sleeve Shirt</t>
        </is>
      </c>
      <c r="C408" s="4" t="inlineStr">
        <is>
          <t>158020537</t>
        </is>
      </c>
      <c r="D408" s="4" t="inlineStr">
        <is>
          <t>158020537-heatheredplum</t>
        </is>
      </c>
      <c r="E408" s="4" t="inlineStr">
        <is>
          <t>License to Train Short Sleeve BLK S</t>
        </is>
      </c>
      <c r="F408" s="4" t="inlineStr">
        <is>
          <t>$78.00</t>
        </is>
      </c>
      <c r="G408" s="4" t="inlineStr">
        <is>
          <t>$39.00</t>
        </is>
      </c>
      <c r="H408" s="4" t="inlineStr">
        <is>
          <t>Heathered Plum</t>
        </is>
      </c>
      <c r="I408" s="4">
        <f>IMAGE("https://images.lululemon.com/is/image/lululemon/5313",1)</f>
        <v/>
      </c>
      <c r="J408" s="4" t="inlineStr">
        <is>
          <t>M</t>
        </is>
      </c>
      <c r="K408" s="4" t="inlineStr">
        <is>
          <t>53/3511</t>
        </is>
      </c>
      <c r="L408" s="4" t="inlineStr">
        <is>
          <t>Yes</t>
        </is>
      </c>
      <c r="M408" s="4" t="inlineStr">
        <is>
          <t>All bets on sweat. Powered by anti-stink technology, this training top won't cling to sweaty skin so you can stay comfortable and focused.</t>
        </is>
      </c>
      <c r="N408" s="4" t="inlineStr">
        <is>
          <t>License-To-Train-SS</t>
        </is>
      </c>
      <c r="O408" s="4" t="inlineStr"/>
    </row>
    <row r="409" ht="80" customHeight="1">
      <c r="A409" s="7">
        <f>IMAGE("https://images.lululemon.com/is/image/lululemon/LM3EJUS_0001_1?wid=320&amp;op_usm=0.8",1)</f>
        <v/>
      </c>
      <c r="B409" s="7" t="inlineStr">
        <is>
          <t>License to Train Short-Sleeve Shirt</t>
        </is>
      </c>
      <c r="C409" s="7" t="inlineStr">
        <is>
          <t>158020525</t>
        </is>
      </c>
      <c r="D409" s="7" t="inlineStr">
        <is>
          <t>158020525-heatheredplum</t>
        </is>
      </c>
      <c r="E409" s="7" t="inlineStr">
        <is>
          <t>License to Train Short Sleeve BLK S</t>
        </is>
      </c>
      <c r="F409" s="7" t="inlineStr">
        <is>
          <t>$78.00</t>
        </is>
      </c>
      <c r="G409" s="7" t="inlineStr">
        <is>
          <t>$39.00</t>
        </is>
      </c>
      <c r="H409" s="7" t="inlineStr">
        <is>
          <t>Heathered Plum</t>
        </is>
      </c>
      <c r="I409" s="7">
        <f>IMAGE("https://images.lululemon.com/is/image/lululemon/5313",1)</f>
        <v/>
      </c>
      <c r="J409" s="7" t="inlineStr">
        <is>
          <t>L</t>
        </is>
      </c>
      <c r="K409" s="7" t="inlineStr">
        <is>
          <t>69/3511</t>
        </is>
      </c>
      <c r="L409" s="7" t="inlineStr">
        <is>
          <t>Yes</t>
        </is>
      </c>
      <c r="M409" s="7" t="inlineStr">
        <is>
          <t>All bets on sweat. Powered by anti-stink technology, this training top won't cling to sweaty skin so you can stay comfortable and focused.</t>
        </is>
      </c>
      <c r="N409" s="7" t="inlineStr">
        <is>
          <t>License-To-Train-SS</t>
        </is>
      </c>
      <c r="O409" s="7" t="inlineStr"/>
    </row>
    <row r="410" ht="80" customHeight="1">
      <c r="A410" s="4">
        <f>IMAGE("https://images.lululemon.com/is/image/lululemon/LM3EJUS_0001_1?wid=320&amp;op_usm=0.8",1)</f>
        <v/>
      </c>
      <c r="B410" s="4" t="inlineStr">
        <is>
          <t>License to Train Short-Sleeve Shirt</t>
        </is>
      </c>
      <c r="C410" s="4" t="inlineStr">
        <is>
          <t>158020557</t>
        </is>
      </c>
      <c r="D410" s="4" t="inlineStr">
        <is>
          <t>158020557-heatheredplum</t>
        </is>
      </c>
      <c r="E410" s="4" t="inlineStr">
        <is>
          <t>License to Train Short Sleeve BLK S</t>
        </is>
      </c>
      <c r="F410" s="4" t="inlineStr">
        <is>
          <t>$78.00</t>
        </is>
      </c>
      <c r="G410" s="4" t="inlineStr">
        <is>
          <t>$39.00</t>
        </is>
      </c>
      <c r="H410" s="4" t="inlineStr">
        <is>
          <t>Heathered Plum</t>
        </is>
      </c>
      <c r="I410" s="4">
        <f>IMAGE("https://images.lululemon.com/is/image/lululemon/5313",1)</f>
        <v/>
      </c>
      <c r="J410" s="4" t="inlineStr">
        <is>
          <t>XL</t>
        </is>
      </c>
      <c r="K410" s="4" t="inlineStr">
        <is>
          <t>44/3511</t>
        </is>
      </c>
      <c r="L410" s="4" t="inlineStr">
        <is>
          <t>Yes</t>
        </is>
      </c>
      <c r="M410" s="4" t="inlineStr">
        <is>
          <t>All bets on sweat. Powered by anti-stink technology, this training top won't cling to sweaty skin so you can stay comfortable and focused.</t>
        </is>
      </c>
      <c r="N410" s="4" t="inlineStr">
        <is>
          <t>License-To-Train-SS</t>
        </is>
      </c>
      <c r="O410" s="4" t="inlineStr"/>
    </row>
    <row r="411" ht="80" customHeight="1">
      <c r="A411" s="7">
        <f>IMAGE("https://images.lululemon.com/is/image/lululemon/LM3EJUS_0001_1?wid=320&amp;op_usm=0.8",1)</f>
        <v/>
      </c>
      <c r="B411" s="7" t="inlineStr">
        <is>
          <t>License to Train Short-Sleeve Shirt</t>
        </is>
      </c>
      <c r="C411" s="7" t="inlineStr">
        <is>
          <t>158020582</t>
        </is>
      </c>
      <c r="D411" s="7" t="inlineStr">
        <is>
          <t>158020582-heatheredplum</t>
        </is>
      </c>
      <c r="E411" s="7" t="inlineStr">
        <is>
          <t>License to Train Short Sleeve BLK S</t>
        </is>
      </c>
      <c r="F411" s="7" t="inlineStr">
        <is>
          <t>$78.00</t>
        </is>
      </c>
      <c r="G411" s="7" t="inlineStr">
        <is>
          <t>$39.00</t>
        </is>
      </c>
      <c r="H411" s="7" t="inlineStr">
        <is>
          <t>Heathered Plum</t>
        </is>
      </c>
      <c r="I411" s="7">
        <f>IMAGE("https://images.lululemon.com/is/image/lululemon/5313",1)</f>
        <v/>
      </c>
      <c r="J411" s="7" t="inlineStr">
        <is>
          <t>XXL</t>
        </is>
      </c>
      <c r="K411" s="7" t="inlineStr">
        <is>
          <t>16/3511</t>
        </is>
      </c>
      <c r="L411" s="7" t="inlineStr">
        <is>
          <t>Yes</t>
        </is>
      </c>
      <c r="M411" s="7" t="inlineStr">
        <is>
          <t>All bets on sweat. Powered by anti-stink technology, this training top won't cling to sweaty skin so you can stay comfortable and focused.</t>
        </is>
      </c>
      <c r="N411" s="7" t="inlineStr">
        <is>
          <t>License-To-Train-SS</t>
        </is>
      </c>
      <c r="O411" s="7" t="inlineStr"/>
    </row>
    <row r="412" ht="80" customHeight="1">
      <c r="A412" s="4">
        <f>IMAGE("https://images.lululemon.com/is/image/lululemon/LM3EJUS_0001_1?wid=320&amp;op_usm=0.8",1)</f>
        <v/>
      </c>
      <c r="B412" s="4" t="inlineStr">
        <is>
          <t>License to Train Short-Sleeve Shirt</t>
        </is>
      </c>
      <c r="C412" s="4" t="inlineStr">
        <is>
          <t>158035761</t>
        </is>
      </c>
      <c r="D412" s="4" t="inlineStr">
        <is>
          <t>158035761-pelican</t>
        </is>
      </c>
      <c r="E412" s="4" t="inlineStr">
        <is>
          <t>License to Train Short Sleeve BLK S</t>
        </is>
      </c>
      <c r="F412" s="4" t="inlineStr">
        <is>
          <t>$78.00</t>
        </is>
      </c>
      <c r="G412" s="4" t="inlineStr">
        <is>
          <t>$39.00</t>
        </is>
      </c>
      <c r="H412" s="4" t="inlineStr">
        <is>
          <t>Pelican</t>
        </is>
      </c>
      <c r="I412" s="4">
        <f>IMAGE("https://images.lululemon.com/is/image/lululemon/27401",1)</f>
        <v/>
      </c>
      <c r="J412" s="4" t="inlineStr">
        <is>
          <t>S</t>
        </is>
      </c>
      <c r="K412" s="4" t="inlineStr">
        <is>
          <t>37/3511</t>
        </is>
      </c>
      <c r="L412" s="4" t="inlineStr">
        <is>
          <t>Yes</t>
        </is>
      </c>
      <c r="M412" s="4" t="inlineStr">
        <is>
          <t>All bets on sweat. Powered by anti-stink technology, this training top won't cling to sweaty skin so you can stay comfortable and focused.</t>
        </is>
      </c>
      <c r="N412" s="4" t="inlineStr">
        <is>
          <t>License-To-Train-SS</t>
        </is>
      </c>
      <c r="O412" s="4" t="inlineStr"/>
    </row>
    <row r="413" ht="80" customHeight="1">
      <c r="A413" s="7">
        <f>IMAGE("https://images.lululemon.com/is/image/lululemon/LM3EJUS_0001_1?wid=320&amp;op_usm=0.8",1)</f>
        <v/>
      </c>
      <c r="B413" s="7" t="inlineStr">
        <is>
          <t>License to Train Short-Sleeve Shirt</t>
        </is>
      </c>
      <c r="C413" s="7" t="inlineStr">
        <is>
          <t>158035757</t>
        </is>
      </c>
      <c r="D413" s="7" t="inlineStr">
        <is>
          <t>158035757-pelican</t>
        </is>
      </c>
      <c r="E413" s="7" t="inlineStr">
        <is>
          <t>License to Train Short Sleeve BLK S</t>
        </is>
      </c>
      <c r="F413" s="7" t="inlineStr">
        <is>
          <t>$78.00</t>
        </is>
      </c>
      <c r="G413" s="7" t="inlineStr">
        <is>
          <t>$39.00</t>
        </is>
      </c>
      <c r="H413" s="7" t="inlineStr">
        <is>
          <t>Pelican</t>
        </is>
      </c>
      <c r="I413" s="7">
        <f>IMAGE("https://images.lululemon.com/is/image/lululemon/27401",1)</f>
        <v/>
      </c>
      <c r="J413" s="7" t="inlineStr">
        <is>
          <t>M</t>
        </is>
      </c>
      <c r="K413" s="7" t="inlineStr">
        <is>
          <t>113/3511</t>
        </is>
      </c>
      <c r="L413" s="7" t="inlineStr">
        <is>
          <t>Yes</t>
        </is>
      </c>
      <c r="M413" s="7" t="inlineStr">
        <is>
          <t>All bets on sweat. Powered by anti-stink technology, this training top won't cling to sweaty skin so you can stay comfortable and focused.</t>
        </is>
      </c>
      <c r="N413" s="7" t="inlineStr">
        <is>
          <t>License-To-Train-SS</t>
        </is>
      </c>
      <c r="O413" s="7" t="inlineStr"/>
    </row>
    <row r="414" ht="80" customHeight="1">
      <c r="A414" s="4">
        <f>IMAGE("https://images.lululemon.com/is/image/lululemon/LM3EJUS_0001_1?wid=320&amp;op_usm=0.8",1)</f>
        <v/>
      </c>
      <c r="B414" s="4" t="inlineStr">
        <is>
          <t>License to Train Short-Sleeve Shirt</t>
        </is>
      </c>
      <c r="C414" s="4" t="inlineStr">
        <is>
          <t>158035750</t>
        </is>
      </c>
      <c r="D414" s="4" t="inlineStr">
        <is>
          <t>158035750-pelican</t>
        </is>
      </c>
      <c r="E414" s="4" t="inlineStr">
        <is>
          <t>License to Train Short Sleeve BLK S</t>
        </is>
      </c>
      <c r="F414" s="4" t="inlineStr">
        <is>
          <t>$78.00</t>
        </is>
      </c>
      <c r="G414" s="4" t="inlineStr">
        <is>
          <t>$39.00</t>
        </is>
      </c>
      <c r="H414" s="4" t="inlineStr">
        <is>
          <t>Pelican</t>
        </is>
      </c>
      <c r="I414" s="4">
        <f>IMAGE("https://images.lululemon.com/is/image/lululemon/27401",1)</f>
        <v/>
      </c>
      <c r="J414" s="4" t="inlineStr">
        <is>
          <t>L</t>
        </is>
      </c>
      <c r="K414" s="4" t="inlineStr">
        <is>
          <t>148/3511</t>
        </is>
      </c>
      <c r="L414" s="4" t="inlineStr">
        <is>
          <t>Yes</t>
        </is>
      </c>
      <c r="M414" s="4" t="inlineStr">
        <is>
          <t>All bets on sweat. Powered by anti-stink technology, this training top won't cling to sweaty skin so you can stay comfortable and focused.</t>
        </is>
      </c>
      <c r="N414" s="4" t="inlineStr">
        <is>
          <t>License-To-Train-SS</t>
        </is>
      </c>
      <c r="O414" s="4" t="inlineStr"/>
    </row>
    <row r="415" ht="80" customHeight="1">
      <c r="A415" s="7">
        <f>IMAGE("https://images.lululemon.com/is/image/lululemon/LM3EJUS_0001_1?wid=320&amp;op_usm=0.8",1)</f>
        <v/>
      </c>
      <c r="B415" s="7" t="inlineStr">
        <is>
          <t>License to Train Short-Sleeve Shirt</t>
        </is>
      </c>
      <c r="C415" s="7" t="inlineStr">
        <is>
          <t>158035766</t>
        </is>
      </c>
      <c r="D415" s="7" t="inlineStr">
        <is>
          <t>158035766-pelican</t>
        </is>
      </c>
      <c r="E415" s="7" t="inlineStr">
        <is>
          <t>License to Train Short Sleeve BLK S</t>
        </is>
      </c>
      <c r="F415" s="7" t="inlineStr">
        <is>
          <t>$78.00</t>
        </is>
      </c>
      <c r="G415" s="7" t="inlineStr">
        <is>
          <t>$39.00</t>
        </is>
      </c>
      <c r="H415" s="7" t="inlineStr">
        <is>
          <t>Pelican</t>
        </is>
      </c>
      <c r="I415" s="7">
        <f>IMAGE("https://images.lululemon.com/is/image/lululemon/27401",1)</f>
        <v/>
      </c>
      <c r="J415" s="7" t="inlineStr">
        <is>
          <t>XL</t>
        </is>
      </c>
      <c r="K415" s="7" t="inlineStr">
        <is>
          <t>97/3511</t>
        </is>
      </c>
      <c r="L415" s="7" t="inlineStr">
        <is>
          <t>Yes</t>
        </is>
      </c>
      <c r="M415" s="7" t="inlineStr">
        <is>
          <t>All bets on sweat. Powered by anti-stink technology, this training top won't cling to sweaty skin so you can stay comfortable and focused.</t>
        </is>
      </c>
      <c r="N415" s="7" t="inlineStr">
        <is>
          <t>License-To-Train-SS</t>
        </is>
      </c>
      <c r="O415" s="7" t="inlineStr"/>
    </row>
    <row r="416" ht="80" customHeight="1">
      <c r="A416" s="4">
        <f>IMAGE("https://images.lululemon.com/is/image/lululemon/LM3EJUS_0001_1?wid=320&amp;op_usm=0.8",1)</f>
        <v/>
      </c>
      <c r="B416" s="4" t="inlineStr">
        <is>
          <t>License to Train Short-Sleeve Shirt</t>
        </is>
      </c>
      <c r="C416" s="4" t="inlineStr">
        <is>
          <t>158035772</t>
        </is>
      </c>
      <c r="D416" s="4" t="inlineStr">
        <is>
          <t>158035772-pelican</t>
        </is>
      </c>
      <c r="E416" s="4" t="inlineStr">
        <is>
          <t>License to Train Short Sleeve BLK S</t>
        </is>
      </c>
      <c r="F416" s="4" t="inlineStr">
        <is>
          <t>$78.00</t>
        </is>
      </c>
      <c r="G416" s="4" t="inlineStr">
        <is>
          <t>$39.00</t>
        </is>
      </c>
      <c r="H416" s="4" t="inlineStr">
        <is>
          <t>Pelican</t>
        </is>
      </c>
      <c r="I416" s="4">
        <f>IMAGE("https://images.lululemon.com/is/image/lululemon/27401",1)</f>
        <v/>
      </c>
      <c r="J416" s="4" t="inlineStr">
        <is>
          <t>XXL</t>
        </is>
      </c>
      <c r="K416" s="4" t="inlineStr">
        <is>
          <t>32/3511</t>
        </is>
      </c>
      <c r="L416" s="4" t="inlineStr">
        <is>
          <t>Yes</t>
        </is>
      </c>
      <c r="M416" s="4" t="inlineStr">
        <is>
          <t>All bets on sweat. Powered by anti-stink technology, this training top won't cling to sweaty skin so you can stay comfortable and focused.</t>
        </is>
      </c>
      <c r="N416" s="4" t="inlineStr">
        <is>
          <t>License-To-Train-SS</t>
        </is>
      </c>
      <c r="O416" s="4" t="inlineStr"/>
    </row>
    <row r="417" ht="80" customHeight="1">
      <c r="A417" s="7">
        <f>IMAGE("https://images.lululemon.com/is/image/lululemon/LM3EJUS_0001_1?wid=320&amp;op_usm=0.8",1)</f>
        <v/>
      </c>
      <c r="B417" s="7" t="inlineStr">
        <is>
          <t>License to Train Short-Sleeve Shirt</t>
        </is>
      </c>
      <c r="C417" s="7" t="inlineStr">
        <is>
          <t>158097452</t>
        </is>
      </c>
      <c r="D417" s="7" t="inlineStr">
        <is>
          <t>158097452-heatheredcornflower</t>
        </is>
      </c>
      <c r="E417" s="7" t="inlineStr">
        <is>
          <t>License to Train Short Sleeve BLK S</t>
        </is>
      </c>
      <c r="F417" s="7" t="inlineStr">
        <is>
          <t>$78.00</t>
        </is>
      </c>
      <c r="G417" s="7" t="inlineStr">
        <is>
          <t>$39.00</t>
        </is>
      </c>
      <c r="H417" s="7" t="inlineStr">
        <is>
          <t>Heathered Cornflower</t>
        </is>
      </c>
      <c r="I417" s="7">
        <f>IMAGE("https://images.lululemon.com/is/image/lululemon/21448",1)</f>
        <v/>
      </c>
      <c r="J417" s="7" t="inlineStr">
        <is>
          <t>S</t>
        </is>
      </c>
      <c r="K417" s="7" t="inlineStr">
        <is>
          <t>22/3511</t>
        </is>
      </c>
      <c r="L417" s="7" t="inlineStr">
        <is>
          <t>Yes</t>
        </is>
      </c>
      <c r="M417" s="7" t="inlineStr">
        <is>
          <t>All bets on sweat. Powered by anti-stink technology, this training top won't cling to sweaty skin so you can stay comfortable and focused.</t>
        </is>
      </c>
      <c r="N417" s="7" t="inlineStr">
        <is>
          <t>License-To-Train-SS</t>
        </is>
      </c>
      <c r="O417" s="7" t="inlineStr"/>
    </row>
    <row r="418" ht="80" customHeight="1">
      <c r="A418" s="4">
        <f>IMAGE("https://images.lululemon.com/is/image/lululemon/LM3EJUS_0001_1?wid=320&amp;op_usm=0.8",1)</f>
        <v/>
      </c>
      <c r="B418" s="4" t="inlineStr">
        <is>
          <t>License to Train Short-Sleeve Shirt</t>
        </is>
      </c>
      <c r="C418" s="4" t="inlineStr">
        <is>
          <t>158097451</t>
        </is>
      </c>
      <c r="D418" s="4" t="inlineStr">
        <is>
          <t>158097451-heatheredcornflower</t>
        </is>
      </c>
      <c r="E418" s="4" t="inlineStr">
        <is>
          <t>License to Train Short Sleeve BLK S</t>
        </is>
      </c>
      <c r="F418" s="4" t="inlineStr">
        <is>
          <t>$78.00</t>
        </is>
      </c>
      <c r="G418" s="4" t="inlineStr">
        <is>
          <t>$39.00</t>
        </is>
      </c>
      <c r="H418" s="4" t="inlineStr">
        <is>
          <t>Heathered Cornflower</t>
        </is>
      </c>
      <c r="I418" s="4">
        <f>IMAGE("https://images.lululemon.com/is/image/lululemon/21448",1)</f>
        <v/>
      </c>
      <c r="J418" s="4" t="inlineStr">
        <is>
          <t>M</t>
        </is>
      </c>
      <c r="K418" s="4" t="inlineStr">
        <is>
          <t>69/3511</t>
        </is>
      </c>
      <c r="L418" s="4" t="inlineStr">
        <is>
          <t>Yes</t>
        </is>
      </c>
      <c r="M418" s="4" t="inlineStr">
        <is>
          <t>All bets on sweat. Powered by anti-stink technology, this training top won't cling to sweaty skin so you can stay comfortable and focused.</t>
        </is>
      </c>
      <c r="N418" s="4" t="inlineStr">
        <is>
          <t>License-To-Train-SS</t>
        </is>
      </c>
      <c r="O418" s="4" t="inlineStr"/>
    </row>
    <row r="419" ht="80" customHeight="1">
      <c r="A419" s="7">
        <f>IMAGE("https://images.lululemon.com/is/image/lululemon/LM3EJUS_0001_1?wid=320&amp;op_usm=0.8",1)</f>
        <v/>
      </c>
      <c r="B419" s="7" t="inlineStr">
        <is>
          <t>License to Train Short-Sleeve Shirt</t>
        </is>
      </c>
      <c r="C419" s="7" t="inlineStr">
        <is>
          <t>158097450</t>
        </is>
      </c>
      <c r="D419" s="7" t="inlineStr">
        <is>
          <t>158097450-heatheredcornflower</t>
        </is>
      </c>
      <c r="E419" s="7" t="inlineStr">
        <is>
          <t>License to Train Short Sleeve BLK S</t>
        </is>
      </c>
      <c r="F419" s="7" t="inlineStr">
        <is>
          <t>$78.00</t>
        </is>
      </c>
      <c r="G419" s="7" t="inlineStr">
        <is>
          <t>$39.00</t>
        </is>
      </c>
      <c r="H419" s="7" t="inlineStr">
        <is>
          <t>Heathered Cornflower</t>
        </is>
      </c>
      <c r="I419" s="7">
        <f>IMAGE("https://images.lululemon.com/is/image/lululemon/21448",1)</f>
        <v/>
      </c>
      <c r="J419" s="7" t="inlineStr">
        <is>
          <t>L</t>
        </is>
      </c>
      <c r="K419" s="7" t="inlineStr">
        <is>
          <t>86/3511</t>
        </is>
      </c>
      <c r="L419" s="7" t="inlineStr">
        <is>
          <t>Yes</t>
        </is>
      </c>
      <c r="M419" s="7" t="inlineStr">
        <is>
          <t>All bets on sweat. Powered by anti-stink technology, this training top won't cling to sweaty skin so you can stay comfortable and focused.</t>
        </is>
      </c>
      <c r="N419" s="7" t="inlineStr">
        <is>
          <t>License-To-Train-SS</t>
        </is>
      </c>
      <c r="O419" s="7" t="inlineStr"/>
    </row>
    <row r="420" ht="80" customHeight="1">
      <c r="A420" s="4">
        <f>IMAGE("https://images.lululemon.com/is/image/lululemon/LM3EJUS_0001_1?wid=320&amp;op_usm=0.8",1)</f>
        <v/>
      </c>
      <c r="B420" s="4" t="inlineStr">
        <is>
          <t>License to Train Short-Sleeve Shirt</t>
        </is>
      </c>
      <c r="C420" s="4" t="inlineStr">
        <is>
          <t>158097453</t>
        </is>
      </c>
      <c r="D420" s="4" t="inlineStr">
        <is>
          <t>158097453-heatheredcornflower</t>
        </is>
      </c>
      <c r="E420" s="4" t="inlineStr">
        <is>
          <t>License to Train Short Sleeve BLK S</t>
        </is>
      </c>
      <c r="F420" s="4" t="inlineStr">
        <is>
          <t>$78.00</t>
        </is>
      </c>
      <c r="G420" s="4" t="inlineStr">
        <is>
          <t>$39.00</t>
        </is>
      </c>
      <c r="H420" s="4" t="inlineStr">
        <is>
          <t>Heathered Cornflower</t>
        </is>
      </c>
      <c r="I420" s="4">
        <f>IMAGE("https://images.lululemon.com/is/image/lululemon/21448",1)</f>
        <v/>
      </c>
      <c r="J420" s="4" t="inlineStr">
        <is>
          <t>XL</t>
        </is>
      </c>
      <c r="K420" s="4" t="inlineStr">
        <is>
          <t>60/3511</t>
        </is>
      </c>
      <c r="L420" s="4" t="inlineStr">
        <is>
          <t>Yes</t>
        </is>
      </c>
      <c r="M420" s="4" t="inlineStr">
        <is>
          <t>All bets on sweat. Powered by anti-stink technology, this training top won't cling to sweaty skin so you can stay comfortable and focused.</t>
        </is>
      </c>
      <c r="N420" s="4" t="inlineStr">
        <is>
          <t>License-To-Train-SS</t>
        </is>
      </c>
      <c r="O420" s="4" t="inlineStr"/>
    </row>
    <row r="421" ht="80" customHeight="1">
      <c r="A421" s="7">
        <f>IMAGE("https://images.lululemon.com/is/image/lululemon/LM3EJUS_0001_1?wid=320&amp;op_usm=0.8",1)</f>
        <v/>
      </c>
      <c r="B421" s="7" t="inlineStr">
        <is>
          <t>License to Train Short-Sleeve Shirt</t>
        </is>
      </c>
      <c r="C421" s="7" t="inlineStr">
        <is>
          <t>158097455</t>
        </is>
      </c>
      <c r="D421" s="7" t="inlineStr">
        <is>
          <t>158097455-heatheredcornflower</t>
        </is>
      </c>
      <c r="E421" s="7" t="inlineStr">
        <is>
          <t>License to Train Short Sleeve BLK S</t>
        </is>
      </c>
      <c r="F421" s="7" t="inlineStr">
        <is>
          <t>$78.00</t>
        </is>
      </c>
      <c r="G421" s="7" t="inlineStr">
        <is>
          <t>$39.00</t>
        </is>
      </c>
      <c r="H421" s="7" t="inlineStr">
        <is>
          <t>Heathered Cornflower</t>
        </is>
      </c>
      <c r="I421" s="7">
        <f>IMAGE("https://images.lululemon.com/is/image/lululemon/21448",1)</f>
        <v/>
      </c>
      <c r="J421" s="7" t="inlineStr">
        <is>
          <t>XXL</t>
        </is>
      </c>
      <c r="K421" s="7" t="inlineStr">
        <is>
          <t>21/3511</t>
        </is>
      </c>
      <c r="L421" s="7" t="inlineStr">
        <is>
          <t>Yes</t>
        </is>
      </c>
      <c r="M421" s="7" t="inlineStr">
        <is>
          <t>All bets on sweat. Powered by anti-stink technology, this training top won't cling to sweaty skin so you can stay comfortable and focused.</t>
        </is>
      </c>
      <c r="N421" s="7" t="inlineStr">
        <is>
          <t>License-To-Train-SS</t>
        </is>
      </c>
      <c r="O421" s="7" t="inlineStr"/>
    </row>
    <row r="422" ht="80" customHeight="1">
      <c r="A422" s="4">
        <f>IMAGE("https://images.lululemon.com/is/image/lululemon/LM3EJUS_0001_1?wid=320&amp;op_usm=0.8",1)</f>
        <v/>
      </c>
      <c r="B422" s="4" t="inlineStr">
        <is>
          <t>License to Train Short-Sleeve Shirt</t>
        </is>
      </c>
      <c r="C422" s="4" t="inlineStr">
        <is>
          <t>156490957</t>
        </is>
      </c>
      <c r="D422" s="4" t="inlineStr">
        <is>
          <t>156490957-heatheredtruenavy</t>
        </is>
      </c>
      <c r="E422" s="4" t="inlineStr">
        <is>
          <t>License to Train Short Sleeve BLK S</t>
        </is>
      </c>
      <c r="F422" s="4" t="inlineStr">
        <is>
          <t>$78.00</t>
        </is>
      </c>
      <c r="G422" s="4" t="inlineStr">
        <is>
          <t>$39.00</t>
        </is>
      </c>
      <c r="H422" s="4" t="inlineStr">
        <is>
          <t>Heathered True Navy</t>
        </is>
      </c>
      <c r="I422" s="4">
        <f>IMAGE("https://images.lululemon.com/is/image/lululemon/32489",1)</f>
        <v/>
      </c>
      <c r="J422" s="4" t="inlineStr">
        <is>
          <t>M</t>
        </is>
      </c>
      <c r="K422" s="4" t="inlineStr">
        <is>
          <t>5/3511</t>
        </is>
      </c>
      <c r="L422" s="4" t="inlineStr">
        <is>
          <t>Yes</t>
        </is>
      </c>
      <c r="M422" s="4" t="inlineStr">
        <is>
          <t>All bets on sweat. Powered by anti-stink technology, this training top won't cling to sweaty skin so you can stay comfortable and focused.</t>
        </is>
      </c>
      <c r="N422" s="4" t="inlineStr">
        <is>
          <t>License-To-Train-SS</t>
        </is>
      </c>
      <c r="O422" s="4" t="inlineStr"/>
    </row>
    <row r="423" ht="80" customHeight="1">
      <c r="A423" s="7">
        <f>IMAGE("https://images.lululemon.com/is/image/lululemon/LM3EJUS_0001_1?wid=320&amp;op_usm=0.8",1)</f>
        <v/>
      </c>
      <c r="B423" s="7" t="inlineStr">
        <is>
          <t>License to Train Short-Sleeve Shirt</t>
        </is>
      </c>
      <c r="C423" s="7" t="inlineStr">
        <is>
          <t>156490924</t>
        </is>
      </c>
      <c r="D423" s="7" t="inlineStr">
        <is>
          <t>156490924-heatheredtruenavy</t>
        </is>
      </c>
      <c r="E423" s="7" t="inlineStr">
        <is>
          <t>License to Train Short Sleeve BLK S</t>
        </is>
      </c>
      <c r="F423" s="7" t="inlineStr">
        <is>
          <t>$78.00</t>
        </is>
      </c>
      <c r="G423" s="7" t="inlineStr">
        <is>
          <t>$39.00</t>
        </is>
      </c>
      <c r="H423" s="7" t="inlineStr">
        <is>
          <t>Heathered True Navy</t>
        </is>
      </c>
      <c r="I423" s="7">
        <f>IMAGE("https://images.lululemon.com/is/image/lululemon/32489",1)</f>
        <v/>
      </c>
      <c r="J423" s="7" t="inlineStr">
        <is>
          <t>L</t>
        </is>
      </c>
      <c r="K423" s="7" t="inlineStr">
        <is>
          <t>12/3511</t>
        </is>
      </c>
      <c r="L423" s="7" t="inlineStr">
        <is>
          <t>Yes</t>
        </is>
      </c>
      <c r="M423" s="7" t="inlineStr">
        <is>
          <t>All bets on sweat. Powered by anti-stink technology, this training top won't cling to sweaty skin so you can stay comfortable and focused.</t>
        </is>
      </c>
      <c r="N423" s="7" t="inlineStr">
        <is>
          <t>License-To-Train-SS</t>
        </is>
      </c>
      <c r="O423" s="7" t="inlineStr"/>
    </row>
    <row r="424" ht="80" customHeight="1">
      <c r="A424" s="4">
        <f>IMAGE("https://images.lululemon.com/is/image/lululemon/LM3EJUS_0001_1?wid=320&amp;op_usm=0.8",1)</f>
        <v/>
      </c>
      <c r="B424" s="4" t="inlineStr">
        <is>
          <t>License to Train Short-Sleeve Shirt</t>
        </is>
      </c>
      <c r="C424" s="4" t="inlineStr">
        <is>
          <t>156491020</t>
        </is>
      </c>
      <c r="D424" s="4" t="inlineStr">
        <is>
          <t>156491020-heatheredtruenavy</t>
        </is>
      </c>
      <c r="E424" s="4" t="inlineStr">
        <is>
          <t>License to Train Short Sleeve BLK S</t>
        </is>
      </c>
      <c r="F424" s="4" t="inlineStr">
        <is>
          <t>$78.00</t>
        </is>
      </c>
      <c r="G424" s="4" t="inlineStr">
        <is>
          <t>$39.00</t>
        </is>
      </c>
      <c r="H424" s="4" t="inlineStr">
        <is>
          <t>Heathered True Navy</t>
        </is>
      </c>
      <c r="I424" s="4">
        <f>IMAGE("https://images.lululemon.com/is/image/lululemon/32489",1)</f>
        <v/>
      </c>
      <c r="J424" s="4" t="inlineStr">
        <is>
          <t>XL</t>
        </is>
      </c>
      <c r="K424" s="4" t="inlineStr">
        <is>
          <t>15/3511</t>
        </is>
      </c>
      <c r="L424" s="4" t="inlineStr">
        <is>
          <t>Yes</t>
        </is>
      </c>
      <c r="M424" s="4" t="inlineStr">
        <is>
          <t>All bets on sweat. Powered by anti-stink technology, this training top won't cling to sweaty skin so you can stay comfortable and focused.</t>
        </is>
      </c>
      <c r="N424" s="4" t="inlineStr">
        <is>
          <t>License-To-Train-SS</t>
        </is>
      </c>
      <c r="O424" s="4" t="inlineStr"/>
    </row>
    <row r="425" ht="80" customHeight="1">
      <c r="A425" s="7">
        <f>IMAGE("https://images.lululemon.com/is/image/lululemon/LM3EJUS_0001_1?wid=320&amp;op_usm=0.8",1)</f>
        <v/>
      </c>
      <c r="B425" s="7" t="inlineStr">
        <is>
          <t>License to Train Short-Sleeve Shirt</t>
        </is>
      </c>
      <c r="C425" s="7" t="inlineStr">
        <is>
          <t>156491084</t>
        </is>
      </c>
      <c r="D425" s="7" t="inlineStr">
        <is>
          <t>156491084-heatheredtruenavy</t>
        </is>
      </c>
      <c r="E425" s="7" t="inlineStr">
        <is>
          <t>License to Train Short Sleeve BLK S</t>
        </is>
      </c>
      <c r="F425" s="7" t="inlineStr">
        <is>
          <t>$78.00</t>
        </is>
      </c>
      <c r="G425" s="7" t="inlineStr">
        <is>
          <t>$39.00</t>
        </is>
      </c>
      <c r="H425" s="7" t="inlineStr">
        <is>
          <t>Heathered True Navy</t>
        </is>
      </c>
      <c r="I425" s="7">
        <f>IMAGE("https://images.lululemon.com/is/image/lululemon/32489",1)</f>
        <v/>
      </c>
      <c r="J425" s="7" t="inlineStr">
        <is>
          <t>XXL</t>
        </is>
      </c>
      <c r="K425" s="7" t="inlineStr">
        <is>
          <t>2/3511</t>
        </is>
      </c>
      <c r="L425" s="7" t="inlineStr">
        <is>
          <t>Yes</t>
        </is>
      </c>
      <c r="M425" s="7" t="inlineStr">
        <is>
          <t>All bets on sweat. Powered by anti-stink technology, this training top won't cling to sweaty skin so you can stay comfortable and focused.</t>
        </is>
      </c>
      <c r="N425" s="7" t="inlineStr">
        <is>
          <t>License-To-Train-SS</t>
        </is>
      </c>
      <c r="O425" s="7" t="inlineStr"/>
    </row>
    <row r="426" ht="80" customHeight="1">
      <c r="A426" s="4">
        <f>IMAGE("https://images.lululemon.com/is/image/lululemon/LM3EJUS_0001_1?wid=320&amp;op_usm=0.8",1)</f>
        <v/>
      </c>
      <c r="B426" s="4" t="inlineStr">
        <is>
          <t>License to Train Short-Sleeve Shirt</t>
        </is>
      </c>
      <c r="C426" s="4" t="inlineStr">
        <is>
          <t>157676511</t>
        </is>
      </c>
      <c r="D426" s="4" t="inlineStr">
        <is>
          <t>157676511-bluetwill</t>
        </is>
      </c>
      <c r="E426" s="4" t="inlineStr">
        <is>
          <t>License to Train Short Sleeve BLK S</t>
        </is>
      </c>
      <c r="F426" s="4" t="inlineStr">
        <is>
          <t>$78.00</t>
        </is>
      </c>
      <c r="G426" s="4" t="inlineStr">
        <is>
          <t>$39.00</t>
        </is>
      </c>
      <c r="H426" s="4" t="inlineStr">
        <is>
          <t>Blue Twill</t>
        </is>
      </c>
      <c r="I426" s="4">
        <f>IMAGE("https://images.lululemon.com/is/image/lululemon/71150",1)</f>
        <v/>
      </c>
      <c r="J426" s="4" t="inlineStr">
        <is>
          <t>M</t>
        </is>
      </c>
      <c r="K426" s="4" t="inlineStr">
        <is>
          <t>6/3511</t>
        </is>
      </c>
      <c r="L426" s="4" t="inlineStr">
        <is>
          <t>Yes</t>
        </is>
      </c>
      <c r="M426" s="4" t="inlineStr">
        <is>
          <t>All bets on sweat. Powered by anti-stink technology, this training top won't cling to sweaty skin so you can stay comfortable and focused.</t>
        </is>
      </c>
      <c r="N426" s="4" t="inlineStr">
        <is>
          <t>License-To-Train-SS</t>
        </is>
      </c>
      <c r="O426" s="4" t="inlineStr"/>
    </row>
    <row r="427" ht="80" customHeight="1">
      <c r="A427" s="7">
        <f>IMAGE("https://images.lululemon.com/is/image/lululemon/LM3EJUS_0001_1?wid=320&amp;op_usm=0.8",1)</f>
        <v/>
      </c>
      <c r="B427" s="7" t="inlineStr">
        <is>
          <t>License to Train Short-Sleeve Shirt</t>
        </is>
      </c>
      <c r="C427" s="7" t="inlineStr">
        <is>
          <t>157676498</t>
        </is>
      </c>
      <c r="D427" s="7" t="inlineStr">
        <is>
          <t>157676498-bluetwill</t>
        </is>
      </c>
      <c r="E427" s="7" t="inlineStr">
        <is>
          <t>License to Train Short Sleeve BLK S</t>
        </is>
      </c>
      <c r="F427" s="7" t="inlineStr">
        <is>
          <t>$78.00</t>
        </is>
      </c>
      <c r="G427" s="7" t="inlineStr">
        <is>
          <t>$39.00</t>
        </is>
      </c>
      <c r="H427" s="7" t="inlineStr">
        <is>
          <t>Blue Twill</t>
        </is>
      </c>
      <c r="I427" s="7">
        <f>IMAGE("https://images.lululemon.com/is/image/lululemon/71150",1)</f>
        <v/>
      </c>
      <c r="J427" s="7" t="inlineStr">
        <is>
          <t>L</t>
        </is>
      </c>
      <c r="K427" s="7" t="inlineStr">
        <is>
          <t>10/3511</t>
        </is>
      </c>
      <c r="L427" s="7" t="inlineStr">
        <is>
          <t>Yes</t>
        </is>
      </c>
      <c r="M427" s="7" t="inlineStr">
        <is>
          <t>All bets on sweat. Powered by anti-stink technology, this training top won't cling to sweaty skin so you can stay comfortable and focused.</t>
        </is>
      </c>
      <c r="N427" s="7" t="inlineStr">
        <is>
          <t>License-To-Train-SS</t>
        </is>
      </c>
      <c r="O427" s="7" t="inlineStr"/>
    </row>
    <row r="428" ht="80" customHeight="1">
      <c r="A428" s="4">
        <f>IMAGE("https://images.lululemon.com/is/image/lululemon/LM3EJUS_0001_1?wid=320&amp;op_usm=0.8",1)</f>
        <v/>
      </c>
      <c r="B428" s="4" t="inlineStr">
        <is>
          <t>License to Train Short-Sleeve Shirt</t>
        </is>
      </c>
      <c r="C428" s="4" t="inlineStr">
        <is>
          <t>157676535</t>
        </is>
      </c>
      <c r="D428" s="4" t="inlineStr">
        <is>
          <t>157676535-bluetwill</t>
        </is>
      </c>
      <c r="E428" s="4" t="inlineStr">
        <is>
          <t>License to Train Short Sleeve BLK S</t>
        </is>
      </c>
      <c r="F428" s="4" t="inlineStr">
        <is>
          <t>$78.00</t>
        </is>
      </c>
      <c r="G428" s="4" t="inlineStr">
        <is>
          <t>$39.00</t>
        </is>
      </c>
      <c r="H428" s="4" t="inlineStr">
        <is>
          <t>Blue Twill</t>
        </is>
      </c>
      <c r="I428" s="4">
        <f>IMAGE("https://images.lululemon.com/is/image/lululemon/71150",1)</f>
        <v/>
      </c>
      <c r="J428" s="4" t="inlineStr">
        <is>
          <t>XL</t>
        </is>
      </c>
      <c r="K428" s="4" t="inlineStr">
        <is>
          <t>13/3511</t>
        </is>
      </c>
      <c r="L428" s="4" t="inlineStr">
        <is>
          <t>Yes</t>
        </is>
      </c>
      <c r="M428" s="4" t="inlineStr">
        <is>
          <t>All bets on sweat. Powered by anti-stink technology, this training top won't cling to sweaty skin so you can stay comfortable and focused.</t>
        </is>
      </c>
      <c r="N428" s="4" t="inlineStr">
        <is>
          <t>License-To-Train-SS</t>
        </is>
      </c>
      <c r="O428" s="4" t="inlineStr"/>
    </row>
    <row r="429" ht="80" customHeight="1">
      <c r="A429" s="7">
        <f>IMAGE("https://images.lululemon.com/is/image/lululemon/LM3EJUS_0001_1?wid=320&amp;op_usm=0.8",1)</f>
        <v/>
      </c>
      <c r="B429" s="7" t="inlineStr">
        <is>
          <t>License to Train Short-Sleeve Shirt</t>
        </is>
      </c>
      <c r="C429" s="7" t="inlineStr">
        <is>
          <t>157676556</t>
        </is>
      </c>
      <c r="D429" s="7" t="inlineStr">
        <is>
          <t>157676556-bluetwill</t>
        </is>
      </c>
      <c r="E429" s="7" t="inlineStr">
        <is>
          <t>License to Train Short Sleeve BLK S</t>
        </is>
      </c>
      <c r="F429" s="7" t="inlineStr">
        <is>
          <t>$78.00</t>
        </is>
      </c>
      <c r="G429" s="7" t="inlineStr">
        <is>
          <t>$39.00</t>
        </is>
      </c>
      <c r="H429" s="7" t="inlineStr">
        <is>
          <t>Blue Twill</t>
        </is>
      </c>
      <c r="I429" s="7">
        <f>IMAGE("https://images.lululemon.com/is/image/lululemon/71150",1)</f>
        <v/>
      </c>
      <c r="J429" s="7" t="inlineStr">
        <is>
          <t>XXL</t>
        </is>
      </c>
      <c r="K429" s="7" t="inlineStr">
        <is>
          <t>6/3511</t>
        </is>
      </c>
      <c r="L429" s="7" t="inlineStr">
        <is>
          <t>Yes</t>
        </is>
      </c>
      <c r="M429" s="7" t="inlineStr">
        <is>
          <t>All bets on sweat. Powered by anti-stink technology, this training top won't cling to sweaty skin so you can stay comfortable and focused.</t>
        </is>
      </c>
      <c r="N429" s="7" t="inlineStr">
        <is>
          <t>License-To-Train-SS</t>
        </is>
      </c>
      <c r="O429" s="7" t="inlineStr"/>
    </row>
    <row r="430" ht="80" customHeight="1">
      <c r="A430" s="4">
        <f>IMAGE("https://images.lululemon.com/is/image/lululemon/LM3EJUS_0001_1?wid=320&amp;op_usm=0.8",1)</f>
        <v/>
      </c>
      <c r="B430" s="4" t="inlineStr">
        <is>
          <t>License to Train Short-Sleeve Shirt</t>
        </is>
      </c>
      <c r="C430" s="4" t="inlineStr">
        <is>
          <t>155859131</t>
        </is>
      </c>
      <c r="D430" s="4" t="inlineStr">
        <is>
          <t>155859131-heatheredlavenderlux</t>
        </is>
      </c>
      <c r="E430" s="4" t="inlineStr">
        <is>
          <t>License to Train Short Sleeve BLK S</t>
        </is>
      </c>
      <c r="F430" s="4" t="inlineStr">
        <is>
          <t>$78.00</t>
        </is>
      </c>
      <c r="G430" s="4" t="inlineStr">
        <is>
          <t>$39.00</t>
        </is>
      </c>
      <c r="H430" s="4" t="inlineStr">
        <is>
          <t>Heathered Lavender Lux</t>
        </is>
      </c>
      <c r="I430" s="4">
        <f>IMAGE("https://images.lululemon.com/is/image/lululemon/69496",1)</f>
        <v/>
      </c>
      <c r="J430" s="4" t="inlineStr">
        <is>
          <t>L</t>
        </is>
      </c>
      <c r="K430" s="4" t="inlineStr">
        <is>
          <t>26/3511</t>
        </is>
      </c>
      <c r="L430" s="4" t="inlineStr">
        <is>
          <t>Yes</t>
        </is>
      </c>
      <c r="M430" s="4" t="inlineStr">
        <is>
          <t>All bets on sweat. Powered by anti-stink technology, this training top won't cling to sweaty skin so you can stay comfortable and focused.</t>
        </is>
      </c>
      <c r="N430" s="4" t="inlineStr">
        <is>
          <t>License-To-Train-SS</t>
        </is>
      </c>
      <c r="O430" s="4" t="inlineStr"/>
    </row>
    <row r="431" ht="80" customHeight="1">
      <c r="A431" s="7">
        <f>IMAGE("https://images.lululemon.com/is/image/lululemon/LM3EJUS_0001_1?wid=320&amp;op_usm=0.8",1)</f>
        <v/>
      </c>
      <c r="B431" s="7" t="inlineStr">
        <is>
          <t>License to Train Short-Sleeve Shirt</t>
        </is>
      </c>
      <c r="C431" s="7" t="inlineStr">
        <is>
          <t>155859196</t>
        </is>
      </c>
      <c r="D431" s="7" t="inlineStr">
        <is>
          <t>155859196-heatheredlavenderlux</t>
        </is>
      </c>
      <c r="E431" s="7" t="inlineStr">
        <is>
          <t>License to Train Short Sleeve BLK S</t>
        </is>
      </c>
      <c r="F431" s="7" t="inlineStr">
        <is>
          <t>$78.00</t>
        </is>
      </c>
      <c r="G431" s="7" t="inlineStr">
        <is>
          <t>$39.00</t>
        </is>
      </c>
      <c r="H431" s="7" t="inlineStr">
        <is>
          <t>Heathered Lavender Lux</t>
        </is>
      </c>
      <c r="I431" s="7">
        <f>IMAGE("https://images.lululemon.com/is/image/lululemon/69496",1)</f>
        <v/>
      </c>
      <c r="J431" s="7" t="inlineStr">
        <is>
          <t>XL</t>
        </is>
      </c>
      <c r="K431" s="7" t="inlineStr">
        <is>
          <t>75/3511</t>
        </is>
      </c>
      <c r="L431" s="7" t="inlineStr">
        <is>
          <t>Yes</t>
        </is>
      </c>
      <c r="M431" s="7" t="inlineStr">
        <is>
          <t>All bets on sweat. Powered by anti-stink technology, this training top won't cling to sweaty skin so you can stay comfortable and focused.</t>
        </is>
      </c>
      <c r="N431" s="7" t="inlineStr">
        <is>
          <t>License-To-Train-SS</t>
        </is>
      </c>
      <c r="O431" s="7" t="inlineStr"/>
    </row>
    <row r="432" ht="80" customHeight="1">
      <c r="A432" s="6">
        <f>IMAGE("https://images.lululemon.com/is/image/lululemon/LM3EJUS_0001_1?wid=320&amp;op_usm=0.8",1)</f>
        <v/>
      </c>
      <c r="B432" s="6" t="inlineStr">
        <is>
          <t>License to Train Short-Sleeve Shirt</t>
        </is>
      </c>
      <c r="C432" s="6" t="inlineStr">
        <is>
          <t>155859232</t>
        </is>
      </c>
      <c r="D432" s="6" t="inlineStr">
        <is>
          <t>155859232-heatheredlavenderlux</t>
        </is>
      </c>
      <c r="E432" s="6" t="inlineStr">
        <is>
          <t>License to Train Short Sleeve BLK S</t>
        </is>
      </c>
      <c r="F432" s="6" t="inlineStr">
        <is>
          <t>$78.00</t>
        </is>
      </c>
      <c r="G432" s="6" t="inlineStr">
        <is>
          <t>$39.00</t>
        </is>
      </c>
      <c r="H432" s="6" t="inlineStr">
        <is>
          <t>Heathered Lavender Lux</t>
        </is>
      </c>
      <c r="I432" s="6">
        <f>IMAGE("https://images.lululemon.com/is/image/lululemon/69496",1)</f>
        <v/>
      </c>
      <c r="J432" s="6" t="inlineStr">
        <is>
          <t>XXL</t>
        </is>
      </c>
      <c r="K432" s="6" t="inlineStr">
        <is>
          <t>8/3511</t>
        </is>
      </c>
      <c r="L432" s="6" t="inlineStr">
        <is>
          <t>Yes</t>
        </is>
      </c>
      <c r="M432" s="6" t="inlineStr">
        <is>
          <t>All bets on sweat. Powered by anti-stink technology, this training top won't cling to sweaty skin so you can stay comfortable and focused.</t>
        </is>
      </c>
      <c r="N432" s="6" t="inlineStr">
        <is>
          <t>License-To-Train-SS</t>
        </is>
      </c>
      <c r="O432" s="6" t="inlineStr"/>
    </row>
    <row r="433" ht="80" customHeight="1">
      <c r="A433" s="7">
        <f>IMAGE("https://images.lululemon.com/is/image/lululemon/LM3CY5S_026857_1?wid=320&amp;op_usm=0.8",1)</f>
        <v/>
      </c>
      <c r="B433" s="7" t="inlineStr">
        <is>
          <t>Evolution Short-Sleeve Polo Shirt</t>
        </is>
      </c>
      <c r="C433" s="7" t="inlineStr">
        <is>
          <t>136525301</t>
        </is>
      </c>
      <c r="D433" s="7" t="inlineStr">
        <is>
          <t>136525301-nauticalnavy</t>
        </is>
      </c>
      <c r="E433" s="7" t="inlineStr">
        <is>
          <t>Evolution Short-Sleeve Polo NUNY S</t>
        </is>
      </c>
      <c r="F433" s="7" t="inlineStr">
        <is>
          <t>$88.00</t>
        </is>
      </c>
      <c r="G433" s="7" t="inlineStr">
        <is>
          <t>$44.00</t>
        </is>
      </c>
      <c r="H433" s="7" t="inlineStr">
        <is>
          <t>Nautical Navy</t>
        </is>
      </c>
      <c r="I433" s="7">
        <f>IMAGE("https://images.lululemon.com/is/image/lululemon/26857",1)</f>
        <v/>
      </c>
      <c r="J433" s="7" t="inlineStr">
        <is>
          <t>S</t>
        </is>
      </c>
      <c r="K433" s="7" t="inlineStr">
        <is>
          <t>109/3334</t>
        </is>
      </c>
      <c r="L433" s="7" t="inlineStr">
        <is>
          <t>Yes</t>
        </is>
      </c>
      <c r="M433" s="7" t="inlineStr">
        <is>
          <t>Basically a hole-in-one. This polo, powered by our anti-stink technology, keeps you cool and comfortable on the course or wherever your day takes you.</t>
        </is>
      </c>
      <c r="N433" s="7" t="inlineStr">
        <is>
          <t>Evolution-Polo</t>
        </is>
      </c>
      <c r="O433" s="7" t="inlineStr"/>
    </row>
    <row r="434" ht="80" customHeight="1">
      <c r="A434" s="4">
        <f>IMAGE("https://images.lululemon.com/is/image/lululemon/LM3CY5S_026857_1?wid=320&amp;op_usm=0.8",1)</f>
        <v/>
      </c>
      <c r="B434" s="4" t="inlineStr">
        <is>
          <t>Evolution Short-Sleeve Polo Shirt</t>
        </is>
      </c>
      <c r="C434" s="4" t="inlineStr">
        <is>
          <t>136525296</t>
        </is>
      </c>
      <c r="D434" s="4" t="inlineStr">
        <is>
          <t>136525296-nauticalnavy</t>
        </is>
      </c>
      <c r="E434" s="4" t="inlineStr">
        <is>
          <t>Evolution Short-Sleeve Polo NUNY S</t>
        </is>
      </c>
      <c r="F434" s="4" t="inlineStr">
        <is>
          <t>$88.00</t>
        </is>
      </c>
      <c r="G434" s="4" t="inlineStr">
        <is>
          <t>$44.00</t>
        </is>
      </c>
      <c r="H434" s="4" t="inlineStr">
        <is>
          <t>Nautical Navy</t>
        </is>
      </c>
      <c r="I434" s="4">
        <f>IMAGE("https://images.lululemon.com/is/image/lululemon/26857",1)</f>
        <v/>
      </c>
      <c r="J434" s="4" t="inlineStr">
        <is>
          <t>M</t>
        </is>
      </c>
      <c r="K434" s="4" t="inlineStr">
        <is>
          <t>515/3334</t>
        </is>
      </c>
      <c r="L434" s="4" t="inlineStr">
        <is>
          <t>Yes</t>
        </is>
      </c>
      <c r="M434" s="4" t="inlineStr">
        <is>
          <t>Basically a hole-in-one. This polo, powered by our anti-stink technology, keeps you cool and comfortable on the course or wherever your day takes you.</t>
        </is>
      </c>
      <c r="N434" s="4" t="inlineStr">
        <is>
          <t>Evolution-Polo</t>
        </is>
      </c>
      <c r="O434" s="4" t="inlineStr"/>
    </row>
    <row r="435" ht="80" customHeight="1">
      <c r="A435" s="7">
        <f>IMAGE("https://images.lululemon.com/is/image/lululemon/LM3CY5S_026857_1?wid=320&amp;op_usm=0.8",1)</f>
        <v/>
      </c>
      <c r="B435" s="7" t="inlineStr">
        <is>
          <t>Evolution Short-Sleeve Polo Shirt</t>
        </is>
      </c>
      <c r="C435" s="7" t="inlineStr">
        <is>
          <t>146401771</t>
        </is>
      </c>
      <c r="D435" s="7" t="inlineStr">
        <is>
          <t>146401771-nauticalnavy</t>
        </is>
      </c>
      <c r="E435" s="7" t="inlineStr">
        <is>
          <t>Evolution Short-Sleeve Polo NUNY S</t>
        </is>
      </c>
      <c r="F435" s="7" t="inlineStr">
        <is>
          <t>$88.00</t>
        </is>
      </c>
      <c r="G435" s="7" t="inlineStr">
        <is>
          <t>$44.00</t>
        </is>
      </c>
      <c r="H435" s="7" t="inlineStr">
        <is>
          <t>Nautical Navy</t>
        </is>
      </c>
      <c r="I435" s="7">
        <f>IMAGE("https://images.lululemon.com/is/image/lululemon/26857",1)</f>
        <v/>
      </c>
      <c r="J435" s="7" t="inlineStr">
        <is>
          <t>L</t>
        </is>
      </c>
      <c r="K435" s="7" t="inlineStr">
        <is>
          <t>136/3334</t>
        </is>
      </c>
      <c r="L435" s="7" t="inlineStr">
        <is>
          <t>Yes</t>
        </is>
      </c>
      <c r="M435" s="7" t="inlineStr">
        <is>
          <t>Basically a hole-in-one. This polo, powered by our anti-stink technology, keeps you cool and comfortable on the course or wherever your day takes you.</t>
        </is>
      </c>
      <c r="N435" s="7" t="inlineStr">
        <is>
          <t>Evolution-Polo</t>
        </is>
      </c>
      <c r="O435" s="7" t="inlineStr"/>
    </row>
    <row r="436" ht="80" customHeight="1">
      <c r="A436" s="4">
        <f>IMAGE("https://images.lululemon.com/is/image/lululemon/LM3CY5S_026857_1?wid=320&amp;op_usm=0.8",1)</f>
        <v/>
      </c>
      <c r="B436" s="4" t="inlineStr">
        <is>
          <t>Evolution Short-Sleeve Polo Shirt</t>
        </is>
      </c>
      <c r="C436" s="4" t="inlineStr">
        <is>
          <t>146401791</t>
        </is>
      </c>
      <c r="D436" s="4" t="inlineStr">
        <is>
          <t>146401791-nauticalnavy</t>
        </is>
      </c>
      <c r="E436" s="4" t="inlineStr">
        <is>
          <t>Evolution Short-Sleeve Polo NUNY S</t>
        </is>
      </c>
      <c r="F436" s="4" t="inlineStr">
        <is>
          <t>$88.00</t>
        </is>
      </c>
      <c r="G436" s="4" t="inlineStr">
        <is>
          <t>$44.00</t>
        </is>
      </c>
      <c r="H436" s="4" t="inlineStr">
        <is>
          <t>Nautical Navy</t>
        </is>
      </c>
      <c r="I436" s="4">
        <f>IMAGE("https://images.lululemon.com/is/image/lululemon/26857",1)</f>
        <v/>
      </c>
      <c r="J436" s="4" t="inlineStr">
        <is>
          <t>XL</t>
        </is>
      </c>
      <c r="K436" s="4" t="inlineStr">
        <is>
          <t>173/3334</t>
        </is>
      </c>
      <c r="L436" s="4" t="inlineStr">
        <is>
          <t>Yes</t>
        </is>
      </c>
      <c r="M436" s="4" t="inlineStr">
        <is>
          <t>Basically a hole-in-one. This polo, powered by our anti-stink technology, keeps you cool and comfortable on the course or wherever your day takes you.</t>
        </is>
      </c>
      <c r="N436" s="4" t="inlineStr">
        <is>
          <t>Evolution-Polo</t>
        </is>
      </c>
      <c r="O436" s="4" t="inlineStr"/>
    </row>
    <row r="437" ht="80" customHeight="1">
      <c r="A437" s="7">
        <f>IMAGE("https://images.lululemon.com/is/image/lululemon/LM3CY5S_026857_1?wid=320&amp;op_usm=0.8",1)</f>
        <v/>
      </c>
      <c r="B437" s="7" t="inlineStr">
        <is>
          <t>Evolution Short-Sleeve Polo Shirt</t>
        </is>
      </c>
      <c r="C437" s="7" t="inlineStr">
        <is>
          <t>136525318</t>
        </is>
      </c>
      <c r="D437" s="7" t="inlineStr">
        <is>
          <t>136525318-nauticalnavy</t>
        </is>
      </c>
      <c r="E437" s="7" t="inlineStr">
        <is>
          <t>Evolution Short-Sleeve Polo NUNY S</t>
        </is>
      </c>
      <c r="F437" s="7" t="inlineStr">
        <is>
          <t>$88.00</t>
        </is>
      </c>
      <c r="G437" s="7" t="inlineStr">
        <is>
          <t>$44.00</t>
        </is>
      </c>
      <c r="H437" s="7" t="inlineStr">
        <is>
          <t>Nautical Navy</t>
        </is>
      </c>
      <c r="I437" s="7">
        <f>IMAGE("https://images.lululemon.com/is/image/lululemon/26857",1)</f>
        <v/>
      </c>
      <c r="J437" s="7" t="inlineStr">
        <is>
          <t>XXL</t>
        </is>
      </c>
      <c r="K437" s="7" t="inlineStr">
        <is>
          <t>132/3334</t>
        </is>
      </c>
      <c r="L437" s="7" t="inlineStr">
        <is>
          <t>Yes</t>
        </is>
      </c>
      <c r="M437" s="7" t="inlineStr">
        <is>
          <t>Basically a hole-in-one. This polo, powered by our anti-stink technology, keeps you cool and comfortable on the course or wherever your day takes you.</t>
        </is>
      </c>
      <c r="N437" s="7" t="inlineStr">
        <is>
          <t>Evolution-Polo</t>
        </is>
      </c>
      <c r="O437" s="7" t="inlineStr"/>
    </row>
    <row r="438" ht="80" customHeight="1">
      <c r="A438" s="4">
        <f>IMAGE("https://images.lululemon.com/is/image/lululemon/LM3CY5S_026857_1?wid=320&amp;op_usm=0.8",1)</f>
        <v/>
      </c>
      <c r="B438" s="4" t="inlineStr">
        <is>
          <t>Evolution Short-Sleeve Polo Shirt</t>
        </is>
      </c>
      <c r="C438" s="4" t="inlineStr">
        <is>
          <t>136525253</t>
        </is>
      </c>
      <c r="D438" s="4" t="inlineStr">
        <is>
          <t>136525253-black</t>
        </is>
      </c>
      <c r="E438" s="4" t="inlineStr">
        <is>
          <t>Evolution Short-Sleeve Polo NUNY S</t>
        </is>
      </c>
      <c r="F438" s="4" t="inlineStr">
        <is>
          <t>$88.00</t>
        </is>
      </c>
      <c r="G438" s="4" t="inlineStr">
        <is>
          <t>$44.00</t>
        </is>
      </c>
      <c r="H438" s="4" t="inlineStr">
        <is>
          <t>Black</t>
        </is>
      </c>
      <c r="I438" s="4">
        <f>IMAGE("https://images.lululemon.com/is/image/lululemon/0001",1)</f>
        <v/>
      </c>
      <c r="J438" s="4" t="inlineStr">
        <is>
          <t>S</t>
        </is>
      </c>
      <c r="K438" s="4" t="inlineStr">
        <is>
          <t>198/3334</t>
        </is>
      </c>
      <c r="L438" s="4" t="inlineStr">
        <is>
          <t>Yes</t>
        </is>
      </c>
      <c r="M438" s="4" t="inlineStr">
        <is>
          <t>Basically a hole-in-one. This polo, powered by our anti-stink technology, keeps you cool and comfortable on the course or wherever your day takes you.</t>
        </is>
      </c>
      <c r="N438" s="4" t="inlineStr">
        <is>
          <t>Evolution-Polo</t>
        </is>
      </c>
      <c r="O438" s="4" t="inlineStr"/>
    </row>
    <row r="439" ht="80" customHeight="1">
      <c r="A439" s="7">
        <f>IMAGE("https://images.lululemon.com/is/image/lululemon/LM3CY5S_026857_1?wid=320&amp;op_usm=0.8",1)</f>
        <v/>
      </c>
      <c r="B439" s="7" t="inlineStr">
        <is>
          <t>Evolution Short-Sleeve Polo Shirt</t>
        </is>
      </c>
      <c r="C439" s="7" t="inlineStr">
        <is>
          <t>146401714</t>
        </is>
      </c>
      <c r="D439" s="7" t="inlineStr">
        <is>
          <t>146401714-black</t>
        </is>
      </c>
      <c r="E439" s="7" t="inlineStr">
        <is>
          <t>Evolution Short-Sleeve Polo NUNY S</t>
        </is>
      </c>
      <c r="F439" s="7" t="inlineStr">
        <is>
          <t>$88.00</t>
        </is>
      </c>
      <c r="G439" s="7" t="inlineStr">
        <is>
          <t>$44.00</t>
        </is>
      </c>
      <c r="H439" s="7" t="inlineStr">
        <is>
          <t>Black</t>
        </is>
      </c>
      <c r="I439" s="7">
        <f>IMAGE("https://images.lululemon.com/is/image/lululemon/0001",1)</f>
        <v/>
      </c>
      <c r="J439" s="7" t="inlineStr">
        <is>
          <t>M</t>
        </is>
      </c>
      <c r="K439" s="7" t="inlineStr">
        <is>
          <t>397/3334</t>
        </is>
      </c>
      <c r="L439" s="7" t="inlineStr">
        <is>
          <t>Yes</t>
        </is>
      </c>
      <c r="M439" s="7" t="inlineStr">
        <is>
          <t>Basically a hole-in-one. This polo, powered by our anti-stink technology, keeps you cool and comfortable on the course or wherever your day takes you.</t>
        </is>
      </c>
      <c r="N439" s="7" t="inlineStr">
        <is>
          <t>Evolution-Polo</t>
        </is>
      </c>
      <c r="O439" s="7" t="inlineStr"/>
    </row>
    <row r="440" ht="80" customHeight="1">
      <c r="A440" s="4">
        <f>IMAGE("https://images.lululemon.com/is/image/lululemon/LM3CY5S_026857_1?wid=320&amp;op_usm=0.8",1)</f>
        <v/>
      </c>
      <c r="B440" s="4" t="inlineStr">
        <is>
          <t>Evolution Short-Sleeve Polo Shirt</t>
        </is>
      </c>
      <c r="C440" s="4" t="inlineStr">
        <is>
          <t>146401708</t>
        </is>
      </c>
      <c r="D440" s="4" t="inlineStr">
        <is>
          <t>146401708-black</t>
        </is>
      </c>
      <c r="E440" s="4" t="inlineStr">
        <is>
          <t>Evolution Short-Sleeve Polo NUNY S</t>
        </is>
      </c>
      <c r="F440" s="4" t="inlineStr">
        <is>
          <t>$88.00</t>
        </is>
      </c>
      <c r="G440" s="4" t="inlineStr">
        <is>
          <t>$44.00</t>
        </is>
      </c>
      <c r="H440" s="4" t="inlineStr">
        <is>
          <t>Black</t>
        </is>
      </c>
      <c r="I440" s="4">
        <f>IMAGE("https://images.lululemon.com/is/image/lululemon/0001",1)</f>
        <v/>
      </c>
      <c r="J440" s="4" t="inlineStr">
        <is>
          <t>L</t>
        </is>
      </c>
      <c r="K440" s="4" t="inlineStr">
        <is>
          <t>361/3334</t>
        </is>
      </c>
      <c r="L440" s="4" t="inlineStr">
        <is>
          <t>Yes</t>
        </is>
      </c>
      <c r="M440" s="4" t="inlineStr">
        <is>
          <t>Basically a hole-in-one. This polo, powered by our anti-stink technology, keeps you cool and comfortable on the course or wherever your day takes you.</t>
        </is>
      </c>
      <c r="N440" s="4" t="inlineStr">
        <is>
          <t>Evolution-Polo</t>
        </is>
      </c>
      <c r="O440" s="4" t="inlineStr"/>
    </row>
    <row r="441" ht="80" customHeight="1">
      <c r="A441" s="7">
        <f>IMAGE("https://images.lululemon.com/is/image/lululemon/LM3CY5S_026857_1?wid=320&amp;op_usm=0.8",1)</f>
        <v/>
      </c>
      <c r="B441" s="7" t="inlineStr">
        <is>
          <t>Evolution Short-Sleeve Polo Shirt</t>
        </is>
      </c>
      <c r="C441" s="7" t="inlineStr">
        <is>
          <t>146401725</t>
        </is>
      </c>
      <c r="D441" s="7" t="inlineStr">
        <is>
          <t>146401725-black</t>
        </is>
      </c>
      <c r="E441" s="7" t="inlineStr">
        <is>
          <t>Evolution Short-Sleeve Polo NUNY S</t>
        </is>
      </c>
      <c r="F441" s="7" t="inlineStr">
        <is>
          <t>$88.00</t>
        </is>
      </c>
      <c r="G441" s="7" t="inlineStr">
        <is>
          <t>$44.00</t>
        </is>
      </c>
      <c r="H441" s="7" t="inlineStr">
        <is>
          <t>Black</t>
        </is>
      </c>
      <c r="I441" s="7">
        <f>IMAGE("https://images.lululemon.com/is/image/lululemon/0001",1)</f>
        <v/>
      </c>
      <c r="J441" s="7" t="inlineStr">
        <is>
          <t>XL</t>
        </is>
      </c>
      <c r="K441" s="7" t="inlineStr">
        <is>
          <t>217/3334</t>
        </is>
      </c>
      <c r="L441" s="7" t="inlineStr">
        <is>
          <t>Yes</t>
        </is>
      </c>
      <c r="M441" s="7" t="inlineStr">
        <is>
          <t>Basically a hole-in-one. This polo, powered by our anti-stink technology, keeps you cool and comfortable on the course or wherever your day takes you.</t>
        </is>
      </c>
      <c r="N441" s="7" t="inlineStr">
        <is>
          <t>Evolution-Polo</t>
        </is>
      </c>
      <c r="O441" s="7" t="inlineStr"/>
    </row>
    <row r="442" ht="80" customHeight="1">
      <c r="A442" s="4">
        <f>IMAGE("https://images.lululemon.com/is/image/lululemon/LM3CY5S_026857_1?wid=320&amp;op_usm=0.8",1)</f>
        <v/>
      </c>
      <c r="B442" s="4" t="inlineStr">
        <is>
          <t>Evolution Short-Sleeve Polo Shirt</t>
        </is>
      </c>
      <c r="C442" s="4" t="inlineStr">
        <is>
          <t>136525268</t>
        </is>
      </c>
      <c r="D442" s="4" t="inlineStr">
        <is>
          <t>136525268-black</t>
        </is>
      </c>
      <c r="E442" s="4" t="inlineStr">
        <is>
          <t>Evolution Short-Sleeve Polo NUNY S</t>
        </is>
      </c>
      <c r="F442" s="4" t="inlineStr">
        <is>
          <t>$88.00</t>
        </is>
      </c>
      <c r="G442" s="4" t="inlineStr">
        <is>
          <t>$44.00</t>
        </is>
      </c>
      <c r="H442" s="4" t="inlineStr">
        <is>
          <t>Black</t>
        </is>
      </c>
      <c r="I442" s="4">
        <f>IMAGE("https://images.lululemon.com/is/image/lululemon/0001",1)</f>
        <v/>
      </c>
      <c r="J442" s="4" t="inlineStr">
        <is>
          <t>XXL</t>
        </is>
      </c>
      <c r="K442" s="4" t="inlineStr">
        <is>
          <t>336/3334</t>
        </is>
      </c>
      <c r="L442" s="4" t="inlineStr">
        <is>
          <t>Yes</t>
        </is>
      </c>
      <c r="M442" s="4" t="inlineStr">
        <is>
          <t>Basically a hole-in-one. This polo, powered by our anti-stink technology, keeps you cool and comfortable on the course or wherever your day takes you.</t>
        </is>
      </c>
      <c r="N442" s="4" t="inlineStr">
        <is>
          <t>Evolution-Polo</t>
        </is>
      </c>
      <c r="O442" s="4" t="inlineStr"/>
    </row>
    <row r="443" ht="80" customHeight="1">
      <c r="A443" s="7">
        <f>IMAGE("https://images.lululemon.com/is/image/lululemon/LM3CY5S_026857_1?wid=320&amp;op_usm=0.8",1)</f>
        <v/>
      </c>
      <c r="B443" s="7" t="inlineStr">
        <is>
          <t>Evolution Short-Sleeve Polo Shirt</t>
        </is>
      </c>
      <c r="C443" s="7" t="inlineStr">
        <is>
          <t>157676782</t>
        </is>
      </c>
      <c r="D443" s="7" t="inlineStr">
        <is>
          <t>157676782-bluetwill</t>
        </is>
      </c>
      <c r="E443" s="7" t="inlineStr">
        <is>
          <t>Evolution Short-Sleeve Polo NUNY S</t>
        </is>
      </c>
      <c r="F443" s="7" t="inlineStr">
        <is>
          <t>$88.00</t>
        </is>
      </c>
      <c r="G443" s="7" t="inlineStr">
        <is>
          <t>$44.00</t>
        </is>
      </c>
      <c r="H443" s="7" t="inlineStr">
        <is>
          <t>Blue Twill</t>
        </is>
      </c>
      <c r="I443" s="7">
        <f>IMAGE("https://images.lululemon.com/is/image/lululemon/71150",1)</f>
        <v/>
      </c>
      <c r="J443" s="7" t="inlineStr">
        <is>
          <t>S</t>
        </is>
      </c>
      <c r="K443" s="7" t="inlineStr">
        <is>
          <t>15/3334</t>
        </is>
      </c>
      <c r="L443" s="7" t="inlineStr">
        <is>
          <t>Yes</t>
        </is>
      </c>
      <c r="M443" s="7" t="inlineStr">
        <is>
          <t>Basically a hole-in-one. This polo, powered by our anti-stink technology, keeps you cool and comfortable on the course or wherever your day takes you.</t>
        </is>
      </c>
      <c r="N443" s="7" t="inlineStr">
        <is>
          <t>Evolution-Polo</t>
        </is>
      </c>
      <c r="O443" s="7" t="inlineStr"/>
    </row>
    <row r="444" ht="80" customHeight="1">
      <c r="A444" s="4">
        <f>IMAGE("https://images.lululemon.com/is/image/lululemon/LM3CY5S_026857_1?wid=320&amp;op_usm=0.8",1)</f>
        <v/>
      </c>
      <c r="B444" s="4" t="inlineStr">
        <is>
          <t>Evolution Short-Sleeve Polo Shirt</t>
        </is>
      </c>
      <c r="C444" s="4" t="inlineStr">
        <is>
          <t>157676777</t>
        </is>
      </c>
      <c r="D444" s="4" t="inlineStr">
        <is>
          <t>157676777-bluetwill</t>
        </is>
      </c>
      <c r="E444" s="4" t="inlineStr">
        <is>
          <t>Evolution Short-Sleeve Polo NUNY S</t>
        </is>
      </c>
      <c r="F444" s="4" t="inlineStr">
        <is>
          <t>$88.00</t>
        </is>
      </c>
      <c r="G444" s="4" t="inlineStr">
        <is>
          <t>$44.00</t>
        </is>
      </c>
      <c r="H444" s="4" t="inlineStr">
        <is>
          <t>Blue Twill</t>
        </is>
      </c>
      <c r="I444" s="4">
        <f>IMAGE("https://images.lululemon.com/is/image/lululemon/71150",1)</f>
        <v/>
      </c>
      <c r="J444" s="4" t="inlineStr">
        <is>
          <t>M</t>
        </is>
      </c>
      <c r="K444" s="4" t="inlineStr">
        <is>
          <t>31/3334</t>
        </is>
      </c>
      <c r="L444" s="4" t="inlineStr">
        <is>
          <t>Yes</t>
        </is>
      </c>
      <c r="M444" s="4" t="inlineStr">
        <is>
          <t>Basically a hole-in-one. This polo, powered by our anti-stink technology, keeps you cool and comfortable on the course or wherever your day takes you.</t>
        </is>
      </c>
      <c r="N444" s="4" t="inlineStr">
        <is>
          <t>Evolution-Polo</t>
        </is>
      </c>
      <c r="O444" s="4" t="inlineStr"/>
    </row>
    <row r="445" ht="80" customHeight="1">
      <c r="A445" s="7">
        <f>IMAGE("https://images.lululemon.com/is/image/lululemon/LM3CY5S_026857_1?wid=320&amp;op_usm=0.8",1)</f>
        <v/>
      </c>
      <c r="B445" s="7" t="inlineStr">
        <is>
          <t>Evolution Short-Sleeve Polo Shirt</t>
        </is>
      </c>
      <c r="C445" s="7" t="inlineStr">
        <is>
          <t>157676772</t>
        </is>
      </c>
      <c r="D445" s="7" t="inlineStr">
        <is>
          <t>157676772-bluetwill</t>
        </is>
      </c>
      <c r="E445" s="7" t="inlineStr">
        <is>
          <t>Evolution Short-Sleeve Polo NUNY S</t>
        </is>
      </c>
      <c r="F445" s="7" t="inlineStr">
        <is>
          <t>$88.00</t>
        </is>
      </c>
      <c r="G445" s="7" t="inlineStr">
        <is>
          <t>$44.00</t>
        </is>
      </c>
      <c r="H445" s="7" t="inlineStr">
        <is>
          <t>Blue Twill</t>
        </is>
      </c>
      <c r="I445" s="7">
        <f>IMAGE("https://images.lululemon.com/is/image/lululemon/71150",1)</f>
        <v/>
      </c>
      <c r="J445" s="7" t="inlineStr">
        <is>
          <t>L</t>
        </is>
      </c>
      <c r="K445" s="7" t="inlineStr">
        <is>
          <t>33/3334</t>
        </is>
      </c>
      <c r="L445" s="7" t="inlineStr">
        <is>
          <t>Yes</t>
        </is>
      </c>
      <c r="M445" s="7" t="inlineStr">
        <is>
          <t>Basically a hole-in-one. This polo, powered by our anti-stink technology, keeps you cool and comfortable on the course or wherever your day takes you.</t>
        </is>
      </c>
      <c r="N445" s="7" t="inlineStr">
        <is>
          <t>Evolution-Polo</t>
        </is>
      </c>
      <c r="O445" s="7" t="inlineStr"/>
    </row>
    <row r="446" ht="80" customHeight="1">
      <c r="A446" s="4">
        <f>IMAGE("https://images.lululemon.com/is/image/lululemon/LM3CY5S_026857_1?wid=320&amp;op_usm=0.8",1)</f>
        <v/>
      </c>
      <c r="B446" s="4" t="inlineStr">
        <is>
          <t>Evolution Short-Sleeve Polo Shirt</t>
        </is>
      </c>
      <c r="C446" s="4" t="inlineStr">
        <is>
          <t>158032726</t>
        </is>
      </c>
      <c r="D446" s="4" t="inlineStr">
        <is>
          <t>158032726-berryrumble</t>
        </is>
      </c>
      <c r="E446" s="4" t="inlineStr">
        <is>
          <t>Evolution Short-Sleeve Polo NUNY S</t>
        </is>
      </c>
      <c r="F446" s="4" t="inlineStr">
        <is>
          <t>$88.00</t>
        </is>
      </c>
      <c r="G446" s="4" t="inlineStr">
        <is>
          <t>$44.00</t>
        </is>
      </c>
      <c r="H446" s="4" t="inlineStr">
        <is>
          <t>Berry Rumble</t>
        </is>
      </c>
      <c r="I446" s="4">
        <f>IMAGE("https://images.lululemon.com/is/image/lululemon/21363",1)</f>
        <v/>
      </c>
      <c r="J446" s="4" t="inlineStr">
        <is>
          <t>S</t>
        </is>
      </c>
      <c r="K446" s="4" t="inlineStr">
        <is>
          <t>11/3334</t>
        </is>
      </c>
      <c r="L446" s="4" t="inlineStr">
        <is>
          <t>Yes</t>
        </is>
      </c>
      <c r="M446" s="4" t="inlineStr">
        <is>
          <t>Basically a hole-in-one. This polo, powered by our anti-stink technology, keeps you cool and comfortable on the course or wherever your day takes you.</t>
        </is>
      </c>
      <c r="N446" s="4" t="inlineStr">
        <is>
          <t>Evolution-Polo</t>
        </is>
      </c>
      <c r="O446" s="4" t="inlineStr"/>
    </row>
    <row r="447" ht="80" customHeight="1">
      <c r="A447" s="7">
        <f>IMAGE("https://images.lululemon.com/is/image/lululemon/LM3CY5S_026857_1?wid=320&amp;op_usm=0.8",1)</f>
        <v/>
      </c>
      <c r="B447" s="7" t="inlineStr">
        <is>
          <t>Evolution Short-Sleeve Polo Shirt</t>
        </is>
      </c>
      <c r="C447" s="7" t="inlineStr">
        <is>
          <t>158032706</t>
        </is>
      </c>
      <c r="D447" s="7" t="inlineStr">
        <is>
          <t>158032706-berryrumble</t>
        </is>
      </c>
      <c r="E447" s="7" t="inlineStr">
        <is>
          <t>Evolution Short-Sleeve Polo NUNY S</t>
        </is>
      </c>
      <c r="F447" s="7" t="inlineStr">
        <is>
          <t>$88.00</t>
        </is>
      </c>
      <c r="G447" s="7" t="inlineStr">
        <is>
          <t>$44.00</t>
        </is>
      </c>
      <c r="H447" s="7" t="inlineStr">
        <is>
          <t>Berry Rumble</t>
        </is>
      </c>
      <c r="I447" s="7">
        <f>IMAGE("https://images.lululemon.com/is/image/lululemon/21363",1)</f>
        <v/>
      </c>
      <c r="J447" s="7" t="inlineStr">
        <is>
          <t>M</t>
        </is>
      </c>
      <c r="K447" s="7" t="inlineStr">
        <is>
          <t>32/3334</t>
        </is>
      </c>
      <c r="L447" s="7" t="inlineStr">
        <is>
          <t>Yes</t>
        </is>
      </c>
      <c r="M447" s="7" t="inlineStr">
        <is>
          <t>Basically a hole-in-one. This polo, powered by our anti-stink technology, keeps you cool and comfortable on the course or wherever your day takes you.</t>
        </is>
      </c>
      <c r="N447" s="7" t="inlineStr">
        <is>
          <t>Evolution-Polo</t>
        </is>
      </c>
      <c r="O447" s="7" t="inlineStr"/>
    </row>
    <row r="448" ht="80" customHeight="1">
      <c r="A448" s="4">
        <f>IMAGE("https://images.lululemon.com/is/image/lululemon/LM3CY5S_026857_1?wid=320&amp;op_usm=0.8",1)</f>
        <v/>
      </c>
      <c r="B448" s="4" t="inlineStr">
        <is>
          <t>Evolution Short-Sleeve Polo Shirt</t>
        </is>
      </c>
      <c r="C448" s="4" t="inlineStr">
        <is>
          <t>158032685</t>
        </is>
      </c>
      <c r="D448" s="4" t="inlineStr">
        <is>
          <t>158032685-berryrumble</t>
        </is>
      </c>
      <c r="E448" s="4" t="inlineStr">
        <is>
          <t>Evolution Short-Sleeve Polo NUNY S</t>
        </is>
      </c>
      <c r="F448" s="4" t="inlineStr">
        <is>
          <t>$88.00</t>
        </is>
      </c>
      <c r="G448" s="4" t="inlineStr">
        <is>
          <t>$44.00</t>
        </is>
      </c>
      <c r="H448" s="4" t="inlineStr">
        <is>
          <t>Berry Rumble</t>
        </is>
      </c>
      <c r="I448" s="4">
        <f>IMAGE("https://images.lululemon.com/is/image/lululemon/21363",1)</f>
        <v/>
      </c>
      <c r="J448" s="4" t="inlineStr">
        <is>
          <t>L</t>
        </is>
      </c>
      <c r="K448" s="4" t="inlineStr">
        <is>
          <t>44/3334</t>
        </is>
      </c>
      <c r="L448" s="4" t="inlineStr">
        <is>
          <t>Yes</t>
        </is>
      </c>
      <c r="M448" s="4" t="inlineStr">
        <is>
          <t>Basically a hole-in-one. This polo, powered by our anti-stink technology, keeps you cool and comfortable on the course or wherever your day takes you.</t>
        </is>
      </c>
      <c r="N448" s="4" t="inlineStr">
        <is>
          <t>Evolution-Polo</t>
        </is>
      </c>
      <c r="O448" s="4" t="inlineStr"/>
    </row>
    <row r="449" ht="80" customHeight="1">
      <c r="A449" s="7">
        <f>IMAGE("https://images.lululemon.com/is/image/lululemon/LM3CY5S_026857_1?wid=320&amp;op_usm=0.8",1)</f>
        <v/>
      </c>
      <c r="B449" s="7" t="inlineStr">
        <is>
          <t>Evolution Short-Sleeve Polo Shirt</t>
        </is>
      </c>
      <c r="C449" s="7" t="inlineStr">
        <is>
          <t>158032745</t>
        </is>
      </c>
      <c r="D449" s="7" t="inlineStr">
        <is>
          <t>158032745-berryrumble</t>
        </is>
      </c>
      <c r="E449" s="7" t="inlineStr">
        <is>
          <t>Evolution Short-Sleeve Polo NUNY S</t>
        </is>
      </c>
      <c r="F449" s="7" t="inlineStr">
        <is>
          <t>$88.00</t>
        </is>
      </c>
      <c r="G449" s="7" t="inlineStr">
        <is>
          <t>$44.00</t>
        </is>
      </c>
      <c r="H449" s="7" t="inlineStr">
        <is>
          <t>Berry Rumble</t>
        </is>
      </c>
      <c r="I449" s="7">
        <f>IMAGE("https://images.lululemon.com/is/image/lululemon/21363",1)</f>
        <v/>
      </c>
      <c r="J449" s="7" t="inlineStr">
        <is>
          <t>XL</t>
        </is>
      </c>
      <c r="K449" s="7" t="inlineStr">
        <is>
          <t>29/3334</t>
        </is>
      </c>
      <c r="L449" s="7" t="inlineStr">
        <is>
          <t>Yes</t>
        </is>
      </c>
      <c r="M449" s="7" t="inlineStr">
        <is>
          <t>Basically a hole-in-one. This polo, powered by our anti-stink technology, keeps you cool and comfortable on the course or wherever your day takes you.</t>
        </is>
      </c>
      <c r="N449" s="7" t="inlineStr">
        <is>
          <t>Evolution-Polo</t>
        </is>
      </c>
      <c r="O449" s="7" t="inlineStr"/>
    </row>
    <row r="450" ht="80" customHeight="1">
      <c r="A450" s="4">
        <f>IMAGE("https://images.lululemon.com/is/image/lululemon/LM3CY5S_026857_1?wid=320&amp;op_usm=0.8",1)</f>
        <v/>
      </c>
      <c r="B450" s="4" t="inlineStr">
        <is>
          <t>Evolution Short-Sleeve Polo Shirt</t>
        </is>
      </c>
      <c r="C450" s="4" t="inlineStr">
        <is>
          <t>158032793</t>
        </is>
      </c>
      <c r="D450" s="4" t="inlineStr">
        <is>
          <t>158032793-berryrumble</t>
        </is>
      </c>
      <c r="E450" s="4" t="inlineStr">
        <is>
          <t>Evolution Short-Sleeve Polo NUNY S</t>
        </is>
      </c>
      <c r="F450" s="4" t="inlineStr">
        <is>
          <t>$88.00</t>
        </is>
      </c>
      <c r="G450" s="4" t="inlineStr">
        <is>
          <t>$44.00</t>
        </is>
      </c>
      <c r="H450" s="4" t="inlineStr">
        <is>
          <t>Berry Rumble</t>
        </is>
      </c>
      <c r="I450" s="4">
        <f>IMAGE("https://images.lululemon.com/is/image/lululemon/21363",1)</f>
        <v/>
      </c>
      <c r="J450" s="4" t="inlineStr">
        <is>
          <t>XXL</t>
        </is>
      </c>
      <c r="K450" s="4" t="inlineStr">
        <is>
          <t>10/3334</t>
        </is>
      </c>
      <c r="L450" s="4" t="inlineStr">
        <is>
          <t>Yes</t>
        </is>
      </c>
      <c r="M450" s="4" t="inlineStr">
        <is>
          <t>Basically a hole-in-one. This polo, powered by our anti-stink technology, keeps you cool and comfortable on the course or wherever your day takes you.</t>
        </is>
      </c>
      <c r="N450" s="4" t="inlineStr">
        <is>
          <t>Evolution-Polo</t>
        </is>
      </c>
      <c r="O450" s="4" t="inlineStr"/>
    </row>
    <row r="451" ht="80" customHeight="1">
      <c r="A451" s="7">
        <f>IMAGE("https://images.lululemon.com/is/image/lululemon/LM3CY5S_026857_1?wid=320&amp;op_usm=0.8",1)</f>
        <v/>
      </c>
      <c r="B451" s="7" t="inlineStr">
        <is>
          <t>Evolution Short-Sleeve Polo Shirt</t>
        </is>
      </c>
      <c r="C451" s="7" t="inlineStr">
        <is>
          <t>157714160</t>
        </is>
      </c>
      <c r="D451" s="7" t="inlineStr">
        <is>
          <t>157714160-clubblue</t>
        </is>
      </c>
      <c r="E451" s="7" t="inlineStr">
        <is>
          <t>Evolution Short-Sleeve Polo NUNY S</t>
        </is>
      </c>
      <c r="F451" s="7" t="inlineStr">
        <is>
          <t>$88.00</t>
        </is>
      </c>
      <c r="G451" s="7" t="inlineStr">
        <is>
          <t>$44.00</t>
        </is>
      </c>
      <c r="H451" s="7" t="inlineStr">
        <is>
          <t>Club Blue</t>
        </is>
      </c>
      <c r="I451" s="7">
        <f>IMAGE("https://images.lululemon.com/is/image/lululemon/68578",1)</f>
        <v/>
      </c>
      <c r="J451" s="7" t="inlineStr">
        <is>
          <t>S</t>
        </is>
      </c>
      <c r="K451" s="7" t="inlineStr">
        <is>
          <t>14/3334</t>
        </is>
      </c>
      <c r="L451" s="7" t="inlineStr">
        <is>
          <t>Yes</t>
        </is>
      </c>
      <c r="M451" s="7" t="inlineStr">
        <is>
          <t>Basically a hole-in-one. This polo, powered by our anti-stink technology, keeps you cool and comfortable on the course or wherever your day takes you.</t>
        </is>
      </c>
      <c r="N451" s="7" t="inlineStr">
        <is>
          <t>Evolution-Polo</t>
        </is>
      </c>
      <c r="O451" s="7" t="inlineStr"/>
    </row>
    <row r="452" ht="80" customHeight="1">
      <c r="A452" s="4">
        <f>IMAGE("https://images.lululemon.com/is/image/lululemon/LM3CY5S_026857_1?wid=320&amp;op_usm=0.8",1)</f>
        <v/>
      </c>
      <c r="B452" s="4" t="inlineStr">
        <is>
          <t>Evolution Short-Sleeve Polo Shirt</t>
        </is>
      </c>
      <c r="C452" s="4" t="inlineStr">
        <is>
          <t>157714141</t>
        </is>
      </c>
      <c r="D452" s="4" t="inlineStr">
        <is>
          <t>157714141-clubblue</t>
        </is>
      </c>
      <c r="E452" s="4" t="inlineStr">
        <is>
          <t>Evolution Short-Sleeve Polo NUNY S</t>
        </is>
      </c>
      <c r="F452" s="4" t="inlineStr">
        <is>
          <t>$88.00</t>
        </is>
      </c>
      <c r="G452" s="4" t="inlineStr">
        <is>
          <t>$44.00</t>
        </is>
      </c>
      <c r="H452" s="4" t="inlineStr">
        <is>
          <t>Club Blue</t>
        </is>
      </c>
      <c r="I452" s="4">
        <f>IMAGE("https://images.lululemon.com/is/image/lululemon/68578",1)</f>
        <v/>
      </c>
      <c r="J452" s="4" t="inlineStr">
        <is>
          <t>M</t>
        </is>
      </c>
      <c r="K452" s="4" t="inlineStr">
        <is>
          <t>31/3334</t>
        </is>
      </c>
      <c r="L452" s="4" t="inlineStr">
        <is>
          <t>Yes</t>
        </is>
      </c>
      <c r="M452" s="4" t="inlineStr">
        <is>
          <t>Basically a hole-in-one. This polo, powered by our anti-stink technology, keeps you cool and comfortable on the course or wherever your day takes you.</t>
        </is>
      </c>
      <c r="N452" s="4" t="inlineStr">
        <is>
          <t>Evolution-Polo</t>
        </is>
      </c>
      <c r="O452" s="4" t="inlineStr"/>
    </row>
    <row r="453" ht="80" customHeight="1">
      <c r="A453" s="7">
        <f>IMAGE("https://images.lululemon.com/is/image/lululemon/LM3CY5S_026857_1?wid=320&amp;op_usm=0.8",1)</f>
        <v/>
      </c>
      <c r="B453" s="7" t="inlineStr">
        <is>
          <t>Evolution Short-Sleeve Polo Shirt</t>
        </is>
      </c>
      <c r="C453" s="7" t="inlineStr">
        <is>
          <t>157714123</t>
        </is>
      </c>
      <c r="D453" s="7" t="inlineStr">
        <is>
          <t>157714123-clubblue</t>
        </is>
      </c>
      <c r="E453" s="7" t="inlineStr">
        <is>
          <t>Evolution Short-Sleeve Polo NUNY S</t>
        </is>
      </c>
      <c r="F453" s="7" t="inlineStr">
        <is>
          <t>$88.00</t>
        </is>
      </c>
      <c r="G453" s="7" t="inlineStr">
        <is>
          <t>$44.00</t>
        </is>
      </c>
      <c r="H453" s="7" t="inlineStr">
        <is>
          <t>Club Blue</t>
        </is>
      </c>
      <c r="I453" s="7">
        <f>IMAGE("https://images.lululemon.com/is/image/lululemon/68578",1)</f>
        <v/>
      </c>
      <c r="J453" s="7" t="inlineStr">
        <is>
          <t>L</t>
        </is>
      </c>
      <c r="K453" s="7" t="inlineStr">
        <is>
          <t>42/3334</t>
        </is>
      </c>
      <c r="L453" s="7" t="inlineStr">
        <is>
          <t>Yes</t>
        </is>
      </c>
      <c r="M453" s="7" t="inlineStr">
        <is>
          <t>Basically a hole-in-one. This polo, powered by our anti-stink technology, keeps you cool and comfortable on the course or wherever your day takes you.</t>
        </is>
      </c>
      <c r="N453" s="7" t="inlineStr">
        <is>
          <t>Evolution-Polo</t>
        </is>
      </c>
      <c r="O453" s="7" t="inlineStr"/>
    </row>
    <row r="454" ht="80" customHeight="1">
      <c r="A454" s="4">
        <f>IMAGE("https://images.lululemon.com/is/image/lululemon/LM3CY5S_026857_1?wid=320&amp;op_usm=0.8",1)</f>
        <v/>
      </c>
      <c r="B454" s="4" t="inlineStr">
        <is>
          <t>Evolution Short-Sleeve Polo Shirt</t>
        </is>
      </c>
      <c r="C454" s="4" t="inlineStr">
        <is>
          <t>157714173</t>
        </is>
      </c>
      <c r="D454" s="4" t="inlineStr">
        <is>
          <t>157714173-clubblue</t>
        </is>
      </c>
      <c r="E454" s="4" t="inlineStr">
        <is>
          <t>Evolution Short-Sleeve Polo NUNY S</t>
        </is>
      </c>
      <c r="F454" s="4" t="inlineStr">
        <is>
          <t>$88.00</t>
        </is>
      </c>
      <c r="G454" s="4" t="inlineStr">
        <is>
          <t>$44.00</t>
        </is>
      </c>
      <c r="H454" s="4" t="inlineStr">
        <is>
          <t>Club Blue</t>
        </is>
      </c>
      <c r="I454" s="4">
        <f>IMAGE("https://images.lululemon.com/is/image/lululemon/68578",1)</f>
        <v/>
      </c>
      <c r="J454" s="4" t="inlineStr">
        <is>
          <t>XL</t>
        </is>
      </c>
      <c r="K454" s="4" t="inlineStr">
        <is>
          <t>23/3334</t>
        </is>
      </c>
      <c r="L454" s="4" t="inlineStr">
        <is>
          <t>Yes</t>
        </is>
      </c>
      <c r="M454" s="4" t="inlineStr">
        <is>
          <t>Basically a hole-in-one. This polo, powered by our anti-stink technology, keeps you cool and comfortable on the course or wherever your day takes you.</t>
        </is>
      </c>
      <c r="N454" s="4" t="inlineStr">
        <is>
          <t>Evolution-Polo</t>
        </is>
      </c>
      <c r="O454" s="4" t="inlineStr"/>
    </row>
    <row r="455" ht="80" customHeight="1">
      <c r="A455" s="7">
        <f>IMAGE("https://images.lululemon.com/is/image/lululemon/LM3CY5S_026857_1?wid=320&amp;op_usm=0.8",1)</f>
        <v/>
      </c>
      <c r="B455" s="7" t="inlineStr">
        <is>
          <t>Evolution Short-Sleeve Polo Shirt</t>
        </is>
      </c>
      <c r="C455" s="7" t="inlineStr">
        <is>
          <t>157714205</t>
        </is>
      </c>
      <c r="D455" s="7" t="inlineStr">
        <is>
          <t>157714205-clubblue</t>
        </is>
      </c>
      <c r="E455" s="7" t="inlineStr">
        <is>
          <t>Evolution Short-Sleeve Polo NUNY S</t>
        </is>
      </c>
      <c r="F455" s="7" t="inlineStr">
        <is>
          <t>$88.00</t>
        </is>
      </c>
      <c r="G455" s="7" t="inlineStr">
        <is>
          <t>$44.00</t>
        </is>
      </c>
      <c r="H455" s="7" t="inlineStr">
        <is>
          <t>Club Blue</t>
        </is>
      </c>
      <c r="I455" s="7">
        <f>IMAGE("https://images.lululemon.com/is/image/lululemon/68578",1)</f>
        <v/>
      </c>
      <c r="J455" s="7" t="inlineStr">
        <is>
          <t>XXL</t>
        </is>
      </c>
      <c r="K455" s="7" t="inlineStr">
        <is>
          <t>7/3334</t>
        </is>
      </c>
      <c r="L455" s="7" t="inlineStr">
        <is>
          <t>Yes</t>
        </is>
      </c>
      <c r="M455" s="7" t="inlineStr">
        <is>
          <t>Basically a hole-in-one. This polo, powered by our anti-stink technology, keeps you cool and comfortable on the course or wherever your day takes you.</t>
        </is>
      </c>
      <c r="N455" s="7" t="inlineStr">
        <is>
          <t>Evolution-Polo</t>
        </is>
      </c>
      <c r="O455" s="7" t="inlineStr"/>
    </row>
    <row r="456" ht="80" customHeight="1">
      <c r="A456" s="4">
        <f>IMAGE("https://images.lululemon.com/is/image/lululemon/LM3CY5S_026857_1?wid=320&amp;op_usm=0.8",1)</f>
        <v/>
      </c>
      <c r="B456" s="4" t="inlineStr">
        <is>
          <t>Evolution Short-Sleeve Polo Shirt</t>
        </is>
      </c>
      <c r="C456" s="4" t="inlineStr">
        <is>
          <t>158033406</t>
        </is>
      </c>
      <c r="D456" s="4" t="inlineStr">
        <is>
          <t>158033406-heathereddovegrey</t>
        </is>
      </c>
      <c r="E456" s="4" t="inlineStr">
        <is>
          <t>Evolution Short-Sleeve Polo NUNY S</t>
        </is>
      </c>
      <c r="F456" s="4" t="inlineStr">
        <is>
          <t>$88.00</t>
        </is>
      </c>
      <c r="G456" s="4" t="inlineStr">
        <is>
          <t>$44.00</t>
        </is>
      </c>
      <c r="H456" s="4" t="inlineStr">
        <is>
          <t>Heathered Dove Grey</t>
        </is>
      </c>
      <c r="I456" s="4">
        <f>IMAGE("https://images.lululemon.com/is/image/lululemon/33089",1)</f>
        <v/>
      </c>
      <c r="J456" s="4" t="inlineStr">
        <is>
          <t>S</t>
        </is>
      </c>
      <c r="K456" s="4" t="inlineStr">
        <is>
          <t>17/3334</t>
        </is>
      </c>
      <c r="L456" s="4" t="inlineStr">
        <is>
          <t>Yes</t>
        </is>
      </c>
      <c r="M456" s="4" t="inlineStr">
        <is>
          <t>Basically a hole-in-one. This polo, powered by our anti-stink technology, keeps you cool and comfortable on the course or wherever your day takes you.</t>
        </is>
      </c>
      <c r="N456" s="4" t="inlineStr">
        <is>
          <t>Evolution-Polo</t>
        </is>
      </c>
      <c r="O456" s="4" t="inlineStr"/>
    </row>
    <row r="457" ht="80" customHeight="1">
      <c r="A457" s="7">
        <f>IMAGE("https://images.lululemon.com/is/image/lululemon/LM3CY5S_026857_1?wid=320&amp;op_usm=0.8",1)</f>
        <v/>
      </c>
      <c r="B457" s="7" t="inlineStr">
        <is>
          <t>Evolution Short-Sleeve Polo Shirt</t>
        </is>
      </c>
      <c r="C457" s="7" t="inlineStr">
        <is>
          <t>158033388</t>
        </is>
      </c>
      <c r="D457" s="7" t="inlineStr">
        <is>
          <t>158033388-heathereddovegrey</t>
        </is>
      </c>
      <c r="E457" s="7" t="inlineStr">
        <is>
          <t>Evolution Short-Sleeve Polo NUNY S</t>
        </is>
      </c>
      <c r="F457" s="7" t="inlineStr">
        <is>
          <t>$88.00</t>
        </is>
      </c>
      <c r="G457" s="7" t="inlineStr">
        <is>
          <t>$44.00</t>
        </is>
      </c>
      <c r="H457" s="7" t="inlineStr">
        <is>
          <t>Heathered Dove Grey</t>
        </is>
      </c>
      <c r="I457" s="7">
        <f>IMAGE("https://images.lululemon.com/is/image/lululemon/33089",1)</f>
        <v/>
      </c>
      <c r="J457" s="7" t="inlineStr">
        <is>
          <t>M</t>
        </is>
      </c>
      <c r="K457" s="7" t="inlineStr">
        <is>
          <t>48/3334</t>
        </is>
      </c>
      <c r="L457" s="7" t="inlineStr">
        <is>
          <t>Yes</t>
        </is>
      </c>
      <c r="M457" s="7" t="inlineStr">
        <is>
          <t>Basically a hole-in-one. This polo, powered by our anti-stink technology, keeps you cool and comfortable on the course or wherever your day takes you.</t>
        </is>
      </c>
      <c r="N457" s="7" t="inlineStr">
        <is>
          <t>Evolution-Polo</t>
        </is>
      </c>
      <c r="O457" s="7" t="inlineStr"/>
    </row>
    <row r="458" ht="80" customHeight="1">
      <c r="A458" s="4">
        <f>IMAGE("https://images.lululemon.com/is/image/lululemon/LM3CY5S_026857_1?wid=320&amp;op_usm=0.8",1)</f>
        <v/>
      </c>
      <c r="B458" s="4" t="inlineStr">
        <is>
          <t>Evolution Short-Sleeve Polo Shirt</t>
        </is>
      </c>
      <c r="C458" s="4" t="inlineStr">
        <is>
          <t>158033370</t>
        </is>
      </c>
      <c r="D458" s="4" t="inlineStr">
        <is>
          <t>158033370-heathereddovegrey</t>
        </is>
      </c>
      <c r="E458" s="4" t="inlineStr">
        <is>
          <t>Evolution Short-Sleeve Polo NUNY S</t>
        </is>
      </c>
      <c r="F458" s="4" t="inlineStr">
        <is>
          <t>$88.00</t>
        </is>
      </c>
      <c r="G458" s="4" t="inlineStr">
        <is>
          <t>$44.00</t>
        </is>
      </c>
      <c r="H458" s="4" t="inlineStr">
        <is>
          <t>Heathered Dove Grey</t>
        </is>
      </c>
      <c r="I458" s="4">
        <f>IMAGE("https://images.lululemon.com/is/image/lululemon/33089",1)</f>
        <v/>
      </c>
      <c r="J458" s="4" t="inlineStr">
        <is>
          <t>L</t>
        </is>
      </c>
      <c r="K458" s="4" t="inlineStr">
        <is>
          <t>63/3334</t>
        </is>
      </c>
      <c r="L458" s="4" t="inlineStr">
        <is>
          <t>Yes</t>
        </is>
      </c>
      <c r="M458" s="4" t="inlineStr">
        <is>
          <t>Basically a hole-in-one. This polo, powered by our anti-stink technology, keeps you cool and comfortable on the course or wherever your day takes you.</t>
        </is>
      </c>
      <c r="N458" s="4" t="inlineStr">
        <is>
          <t>Evolution-Polo</t>
        </is>
      </c>
      <c r="O458" s="4" t="inlineStr"/>
    </row>
    <row r="459" ht="80" customHeight="1">
      <c r="A459" s="7">
        <f>IMAGE("https://images.lululemon.com/is/image/lululemon/LM3CY5S_026857_1?wid=320&amp;op_usm=0.8",1)</f>
        <v/>
      </c>
      <c r="B459" s="7" t="inlineStr">
        <is>
          <t>Evolution Short-Sleeve Polo Shirt</t>
        </is>
      </c>
      <c r="C459" s="7" t="inlineStr">
        <is>
          <t>158033422</t>
        </is>
      </c>
      <c r="D459" s="7" t="inlineStr">
        <is>
          <t>158033422-heathereddovegrey</t>
        </is>
      </c>
      <c r="E459" s="7" t="inlineStr">
        <is>
          <t>Evolution Short-Sleeve Polo NUNY S</t>
        </is>
      </c>
      <c r="F459" s="7" t="inlineStr">
        <is>
          <t>$88.00</t>
        </is>
      </c>
      <c r="G459" s="7" t="inlineStr">
        <is>
          <t>$44.00</t>
        </is>
      </c>
      <c r="H459" s="7" t="inlineStr">
        <is>
          <t>Heathered Dove Grey</t>
        </is>
      </c>
      <c r="I459" s="7">
        <f>IMAGE("https://images.lululemon.com/is/image/lululemon/33089",1)</f>
        <v/>
      </c>
      <c r="J459" s="7" t="inlineStr">
        <is>
          <t>XL</t>
        </is>
      </c>
      <c r="K459" s="7" t="inlineStr">
        <is>
          <t>39/3334</t>
        </is>
      </c>
      <c r="L459" s="7" t="inlineStr">
        <is>
          <t>Yes</t>
        </is>
      </c>
      <c r="M459" s="7" t="inlineStr">
        <is>
          <t>Basically a hole-in-one. This polo, powered by our anti-stink technology, keeps you cool and comfortable on the course or wherever your day takes you.</t>
        </is>
      </c>
      <c r="N459" s="7" t="inlineStr">
        <is>
          <t>Evolution-Polo</t>
        </is>
      </c>
      <c r="O459" s="7" t="inlineStr"/>
    </row>
    <row r="460" ht="80" customHeight="1">
      <c r="A460" s="4">
        <f>IMAGE("https://images.lululemon.com/is/image/lululemon/LM3CY5S_026857_1?wid=320&amp;op_usm=0.8",1)</f>
        <v/>
      </c>
      <c r="B460" s="4" t="inlineStr">
        <is>
          <t>Evolution Short-Sleeve Polo Shirt</t>
        </is>
      </c>
      <c r="C460" s="4" t="inlineStr">
        <is>
          <t>158033447</t>
        </is>
      </c>
      <c r="D460" s="4" t="inlineStr">
        <is>
          <t>158033447-heathereddovegrey</t>
        </is>
      </c>
      <c r="E460" s="4" t="inlineStr">
        <is>
          <t>Evolution Short-Sleeve Polo NUNY S</t>
        </is>
      </c>
      <c r="F460" s="4" t="inlineStr">
        <is>
          <t>$88.00</t>
        </is>
      </c>
      <c r="G460" s="4" t="inlineStr">
        <is>
          <t>$44.00</t>
        </is>
      </c>
      <c r="H460" s="4" t="inlineStr">
        <is>
          <t>Heathered Dove Grey</t>
        </is>
      </c>
      <c r="I460" s="4">
        <f>IMAGE("https://images.lululemon.com/is/image/lululemon/33089",1)</f>
        <v/>
      </c>
      <c r="J460" s="4" t="inlineStr">
        <is>
          <t>XXL</t>
        </is>
      </c>
      <c r="K460" s="4" t="inlineStr">
        <is>
          <t>13/3334</t>
        </is>
      </c>
      <c r="L460" s="4" t="inlineStr">
        <is>
          <t>Yes</t>
        </is>
      </c>
      <c r="M460" s="4" t="inlineStr">
        <is>
          <t>Basically a hole-in-one. This polo, powered by our anti-stink technology, keeps you cool and comfortable on the course or wherever your day takes you.</t>
        </is>
      </c>
      <c r="N460" s="4" t="inlineStr">
        <is>
          <t>Evolution-Polo</t>
        </is>
      </c>
      <c r="O460" s="4" t="inlineStr"/>
    </row>
    <row r="461" ht="80" customHeight="1">
      <c r="A461" s="7">
        <f>IMAGE("https://images.lululemon.com/is/image/lululemon/LM3CY5S_026857_1?wid=320&amp;op_usm=0.8",1)</f>
        <v/>
      </c>
      <c r="B461" s="7" t="inlineStr">
        <is>
          <t>Evolution Short-Sleeve Polo Shirt</t>
        </is>
      </c>
      <c r="C461" s="7" t="inlineStr">
        <is>
          <t>158032877</t>
        </is>
      </c>
      <c r="D461" s="7" t="inlineStr">
        <is>
          <t>158032877-indochineblue</t>
        </is>
      </c>
      <c r="E461" s="7" t="inlineStr">
        <is>
          <t>Evolution Short-Sleeve Polo NUNY S</t>
        </is>
      </c>
      <c r="F461" s="7" t="inlineStr">
        <is>
          <t>$88.00</t>
        </is>
      </c>
      <c r="G461" s="7" t="inlineStr">
        <is>
          <t>$44.00</t>
        </is>
      </c>
      <c r="H461" s="7" t="inlineStr">
        <is>
          <t>Indochine Blue</t>
        </is>
      </c>
      <c r="I461" s="7">
        <f>IMAGE("https://images.lululemon.com/is/image/lululemon/28022",1)</f>
        <v/>
      </c>
      <c r="J461" s="7" t="inlineStr">
        <is>
          <t>S</t>
        </is>
      </c>
      <c r="K461" s="7" t="inlineStr">
        <is>
          <t>23/3334</t>
        </is>
      </c>
      <c r="L461" s="7" t="inlineStr">
        <is>
          <t>Yes</t>
        </is>
      </c>
      <c r="M461" s="7" t="inlineStr">
        <is>
          <t>Basically a hole-in-one. This polo, powered by our anti-stink technology, keeps you cool and comfortable on the course or wherever your day takes you.</t>
        </is>
      </c>
      <c r="N461" s="7" t="inlineStr">
        <is>
          <t>Evolution-Polo</t>
        </is>
      </c>
      <c r="O461" s="7" t="inlineStr"/>
    </row>
    <row r="462" ht="80" customHeight="1">
      <c r="A462" s="4">
        <f>IMAGE("https://images.lululemon.com/is/image/lululemon/LM3CY5S_026857_1?wid=320&amp;op_usm=0.8",1)</f>
        <v/>
      </c>
      <c r="B462" s="4" t="inlineStr">
        <is>
          <t>Evolution Short-Sleeve Polo Shirt</t>
        </is>
      </c>
      <c r="C462" s="4" t="inlineStr">
        <is>
          <t>158032855</t>
        </is>
      </c>
      <c r="D462" s="4" t="inlineStr">
        <is>
          <t>158032855-indochineblue</t>
        </is>
      </c>
      <c r="E462" s="4" t="inlineStr">
        <is>
          <t>Evolution Short-Sleeve Polo NUNY S</t>
        </is>
      </c>
      <c r="F462" s="4" t="inlineStr">
        <is>
          <t>$88.00</t>
        </is>
      </c>
      <c r="G462" s="4" t="inlineStr">
        <is>
          <t>$44.00</t>
        </is>
      </c>
      <c r="H462" s="4" t="inlineStr">
        <is>
          <t>Indochine Blue</t>
        </is>
      </c>
      <c r="I462" s="4">
        <f>IMAGE("https://images.lululemon.com/is/image/lululemon/28022",1)</f>
        <v/>
      </c>
      <c r="J462" s="4" t="inlineStr">
        <is>
          <t>M</t>
        </is>
      </c>
      <c r="K462" s="4" t="inlineStr">
        <is>
          <t>69/3334</t>
        </is>
      </c>
      <c r="L462" s="4" t="inlineStr">
        <is>
          <t>Yes</t>
        </is>
      </c>
      <c r="M462" s="4" t="inlineStr">
        <is>
          <t>Basically a hole-in-one. This polo, powered by our anti-stink technology, keeps you cool and comfortable on the course or wherever your day takes you.</t>
        </is>
      </c>
      <c r="N462" s="4" t="inlineStr">
        <is>
          <t>Evolution-Polo</t>
        </is>
      </c>
      <c r="O462" s="4" t="inlineStr"/>
    </row>
    <row r="463" ht="80" customHeight="1">
      <c r="A463" s="7">
        <f>IMAGE("https://images.lululemon.com/is/image/lululemon/LM3CY5S_026857_1?wid=320&amp;op_usm=0.8",1)</f>
        <v/>
      </c>
      <c r="B463" s="7" t="inlineStr">
        <is>
          <t>Evolution Short-Sleeve Polo Shirt</t>
        </is>
      </c>
      <c r="C463" s="7" t="inlineStr">
        <is>
          <t>158032832</t>
        </is>
      </c>
      <c r="D463" s="7" t="inlineStr">
        <is>
          <t>158032832-indochineblue</t>
        </is>
      </c>
      <c r="E463" s="7" t="inlineStr">
        <is>
          <t>Evolution Short-Sleeve Polo NUNY S</t>
        </is>
      </c>
      <c r="F463" s="7" t="inlineStr">
        <is>
          <t>$88.00</t>
        </is>
      </c>
      <c r="G463" s="7" t="inlineStr">
        <is>
          <t>$44.00</t>
        </is>
      </c>
      <c r="H463" s="7" t="inlineStr">
        <is>
          <t>Indochine Blue</t>
        </is>
      </c>
      <c r="I463" s="7">
        <f>IMAGE("https://images.lululemon.com/is/image/lululemon/28022",1)</f>
        <v/>
      </c>
      <c r="J463" s="7" t="inlineStr">
        <is>
          <t>L</t>
        </is>
      </c>
      <c r="K463" s="7" t="inlineStr">
        <is>
          <t>90/3334</t>
        </is>
      </c>
      <c r="L463" s="7" t="inlineStr">
        <is>
          <t>Yes</t>
        </is>
      </c>
      <c r="M463" s="7" t="inlineStr">
        <is>
          <t>Basically a hole-in-one. This polo, powered by our anti-stink technology, keeps you cool and comfortable on the course or wherever your day takes you.</t>
        </is>
      </c>
      <c r="N463" s="7" t="inlineStr">
        <is>
          <t>Evolution-Polo</t>
        </is>
      </c>
      <c r="O463" s="7" t="inlineStr"/>
    </row>
    <row r="464" ht="80" customHeight="1">
      <c r="A464" s="4">
        <f>IMAGE("https://images.lululemon.com/is/image/lululemon/LM3CY5S_026857_1?wid=320&amp;op_usm=0.8",1)</f>
        <v/>
      </c>
      <c r="B464" s="4" t="inlineStr">
        <is>
          <t>Evolution Short-Sleeve Polo Shirt</t>
        </is>
      </c>
      <c r="C464" s="4" t="inlineStr">
        <is>
          <t>158032898</t>
        </is>
      </c>
      <c r="D464" s="4" t="inlineStr">
        <is>
          <t>158032898-indochineblue</t>
        </is>
      </c>
      <c r="E464" s="4" t="inlineStr">
        <is>
          <t>Evolution Short-Sleeve Polo NUNY S</t>
        </is>
      </c>
      <c r="F464" s="4" t="inlineStr">
        <is>
          <t>$88.00</t>
        </is>
      </c>
      <c r="G464" s="4" t="inlineStr">
        <is>
          <t>$44.00</t>
        </is>
      </c>
      <c r="H464" s="4" t="inlineStr">
        <is>
          <t>Indochine Blue</t>
        </is>
      </c>
      <c r="I464" s="4">
        <f>IMAGE("https://images.lululemon.com/is/image/lululemon/28022",1)</f>
        <v/>
      </c>
      <c r="J464" s="4" t="inlineStr">
        <is>
          <t>XL</t>
        </is>
      </c>
      <c r="K464" s="4" t="inlineStr">
        <is>
          <t>57/3334</t>
        </is>
      </c>
      <c r="L464" s="4" t="inlineStr">
        <is>
          <t>Yes</t>
        </is>
      </c>
      <c r="M464" s="4" t="inlineStr">
        <is>
          <t>Basically a hole-in-one. This polo, powered by our anti-stink technology, keeps you cool and comfortable on the course or wherever your day takes you.</t>
        </is>
      </c>
      <c r="N464" s="4" t="inlineStr">
        <is>
          <t>Evolution-Polo</t>
        </is>
      </c>
      <c r="O464" s="4" t="inlineStr"/>
    </row>
    <row r="465" ht="80" customHeight="1">
      <c r="A465" s="5">
        <f>IMAGE("https://images.lululemon.com/is/image/lululemon/LM3CY5S_026857_1?wid=320&amp;op_usm=0.8",1)</f>
        <v/>
      </c>
      <c r="B465" s="5" t="inlineStr">
        <is>
          <t>Evolution Short-Sleeve Polo Shirt</t>
        </is>
      </c>
      <c r="C465" s="5" t="inlineStr">
        <is>
          <t>158032932</t>
        </is>
      </c>
      <c r="D465" s="5" t="inlineStr">
        <is>
          <t>158032932-indochineblue</t>
        </is>
      </c>
      <c r="E465" s="5" t="inlineStr">
        <is>
          <t>Evolution Short-Sleeve Polo NUNY S</t>
        </is>
      </c>
      <c r="F465" s="5" t="inlineStr">
        <is>
          <t>$88.00</t>
        </is>
      </c>
      <c r="G465" s="5" t="inlineStr">
        <is>
          <t>$44.00</t>
        </is>
      </c>
      <c r="H465" s="5" t="inlineStr">
        <is>
          <t>Indochine Blue</t>
        </is>
      </c>
      <c r="I465" s="5">
        <f>IMAGE("https://images.lululemon.com/is/image/lululemon/28022",1)</f>
        <v/>
      </c>
      <c r="J465" s="5" t="inlineStr">
        <is>
          <t>XXL</t>
        </is>
      </c>
      <c r="K465" s="5" t="inlineStr">
        <is>
          <t>19/3334</t>
        </is>
      </c>
      <c r="L465" s="5" t="inlineStr">
        <is>
          <t>Yes</t>
        </is>
      </c>
      <c r="M465" s="5" t="inlineStr">
        <is>
          <t>Basically a hole-in-one. This polo, powered by our anti-stink technology, keeps you cool and comfortable on the course or wherever your day takes you.</t>
        </is>
      </c>
      <c r="N465" s="5" t="inlineStr">
        <is>
          <t>Evolution-Polo</t>
        </is>
      </c>
      <c r="O465" s="5" t="inlineStr"/>
    </row>
    <row r="466" ht="80" customHeight="1">
      <c r="A466" s="4">
        <f>IMAGE("https://images.lululemon.com/is/image/lululemon/LM3FLWS_033928_1?wid=320&amp;op_usm=0.8",1)</f>
        <v/>
      </c>
      <c r="B466" s="4" t="inlineStr">
        <is>
          <t>Men's ShowZero™ Slim-Fit Polo Shirt</t>
        </is>
      </c>
      <c r="C466" s="4" t="inlineStr">
        <is>
          <t>153725168</t>
        </is>
      </c>
      <c r="D466" s="4" t="inlineStr">
        <is>
          <t>153725168-silverdrop</t>
        </is>
      </c>
      <c r="E466" s="4" t="inlineStr">
        <is>
          <t>ShowZero™ Polo SILD S</t>
        </is>
      </c>
      <c r="F466" s="4" t="inlineStr">
        <is>
          <t>$98.00</t>
        </is>
      </c>
      <c r="G466" s="4" t="inlineStr">
        <is>
          <t>$49.00</t>
        </is>
      </c>
      <c r="H466" s="4" t="inlineStr">
        <is>
          <t>Silver Drop</t>
        </is>
      </c>
      <c r="I466" s="4">
        <f>IMAGE("https://images.lululemon.com/is/image/lululemon/33928",1)</f>
        <v/>
      </c>
      <c r="J466" s="4" t="inlineStr">
        <is>
          <t>S</t>
        </is>
      </c>
      <c r="K466" s="4" t="inlineStr">
        <is>
          <t>67/708</t>
        </is>
      </c>
      <c r="L466" s="4" t="inlineStr">
        <is>
          <t>Yes</t>
        </is>
      </c>
      <c r="M466" s="4" t="inlineStr">
        <is>
          <t>Our little secret. This polo's sleek fabric harnesses the power of ShowZero™ technology to virtually eliminate the appearance of sweat on the outside, keeping you confident for tee offs, takeoffs, and everything in between.</t>
        </is>
      </c>
      <c r="N466" s="4" t="inlineStr">
        <is>
          <t>ShowZero-Polo</t>
        </is>
      </c>
      <c r="O466" s="4" t="inlineStr"/>
    </row>
    <row r="467" ht="80" customHeight="1">
      <c r="A467" s="7">
        <f>IMAGE("https://images.lululemon.com/is/image/lululemon/LM3FLWS_033928_1?wid=320&amp;op_usm=0.8",1)</f>
        <v/>
      </c>
      <c r="B467" s="7" t="inlineStr">
        <is>
          <t>Men's ShowZero™ Slim-Fit Polo Shirt</t>
        </is>
      </c>
      <c r="C467" s="7" t="inlineStr">
        <is>
          <t>153725167</t>
        </is>
      </c>
      <c r="D467" s="7" t="inlineStr">
        <is>
          <t>153725167-silverdrop</t>
        </is>
      </c>
      <c r="E467" s="7" t="inlineStr">
        <is>
          <t>ShowZero™ Polo SILD S</t>
        </is>
      </c>
      <c r="F467" s="7" t="inlineStr">
        <is>
          <t>$98.00</t>
        </is>
      </c>
      <c r="G467" s="7" t="inlineStr">
        <is>
          <t>$49.00</t>
        </is>
      </c>
      <c r="H467" s="7" t="inlineStr">
        <is>
          <t>Silver Drop</t>
        </is>
      </c>
      <c r="I467" s="7">
        <f>IMAGE("https://images.lululemon.com/is/image/lululemon/33928",1)</f>
        <v/>
      </c>
      <c r="J467" s="7" t="inlineStr">
        <is>
          <t>M</t>
        </is>
      </c>
      <c r="K467" s="7" t="inlineStr">
        <is>
          <t>91/708</t>
        </is>
      </c>
      <c r="L467" s="7" t="inlineStr">
        <is>
          <t>Yes</t>
        </is>
      </c>
      <c r="M467" s="7" t="inlineStr">
        <is>
          <t>Our little secret. This polo's sleek fabric harnesses the power of ShowZero™ technology to virtually eliminate the appearance of sweat on the outside, keeping you confident for tee offs, takeoffs, and everything in between.</t>
        </is>
      </c>
      <c r="N467" s="7" t="inlineStr">
        <is>
          <t>ShowZero-Polo</t>
        </is>
      </c>
      <c r="O467" s="7" t="inlineStr"/>
    </row>
    <row r="468" ht="80" customHeight="1">
      <c r="A468" s="4">
        <f>IMAGE("https://images.lululemon.com/is/image/lululemon/LM3FLWS_033928_1?wid=320&amp;op_usm=0.8",1)</f>
        <v/>
      </c>
      <c r="B468" s="4" t="inlineStr">
        <is>
          <t>Men's ShowZero™ Slim-Fit Polo Shirt</t>
        </is>
      </c>
      <c r="C468" s="4" t="inlineStr">
        <is>
          <t>153725166</t>
        </is>
      </c>
      <c r="D468" s="4" t="inlineStr">
        <is>
          <t>153725166-silverdrop</t>
        </is>
      </c>
      <c r="E468" s="4" t="inlineStr">
        <is>
          <t>ShowZero™ Polo SILD S</t>
        </is>
      </c>
      <c r="F468" s="4" t="inlineStr">
        <is>
          <t>$98.00</t>
        </is>
      </c>
      <c r="G468" s="4" t="inlineStr">
        <is>
          <t>$49.00</t>
        </is>
      </c>
      <c r="H468" s="4" t="inlineStr">
        <is>
          <t>Silver Drop</t>
        </is>
      </c>
      <c r="I468" s="4">
        <f>IMAGE("https://images.lululemon.com/is/image/lululemon/33928",1)</f>
        <v/>
      </c>
      <c r="J468" s="4" t="inlineStr">
        <is>
          <t>L</t>
        </is>
      </c>
      <c r="K468" s="4" t="inlineStr">
        <is>
          <t>144/708</t>
        </is>
      </c>
      <c r="L468" s="4" t="inlineStr">
        <is>
          <t>Yes</t>
        </is>
      </c>
      <c r="M468" s="4" t="inlineStr">
        <is>
          <t>Our little secret. This polo's sleek fabric harnesses the power of ShowZero™ technology to virtually eliminate the appearance of sweat on the outside, keeping you confident for tee offs, takeoffs, and everything in between.</t>
        </is>
      </c>
      <c r="N468" s="4" t="inlineStr">
        <is>
          <t>ShowZero-Polo</t>
        </is>
      </c>
      <c r="O468" s="4" t="inlineStr"/>
    </row>
    <row r="469" ht="80" customHeight="1">
      <c r="A469" s="7">
        <f>IMAGE("https://images.lululemon.com/is/image/lululemon/LM3FLWS_033928_1?wid=320&amp;op_usm=0.8",1)</f>
        <v/>
      </c>
      <c r="B469" s="7" t="inlineStr">
        <is>
          <t>Men's ShowZero™ Slim-Fit Polo Shirt</t>
        </is>
      </c>
      <c r="C469" s="7" t="inlineStr">
        <is>
          <t>153725169</t>
        </is>
      </c>
      <c r="D469" s="7" t="inlineStr">
        <is>
          <t>153725169-silverdrop</t>
        </is>
      </c>
      <c r="E469" s="7" t="inlineStr">
        <is>
          <t>ShowZero™ Polo SILD S</t>
        </is>
      </c>
      <c r="F469" s="7" t="inlineStr">
        <is>
          <t>$98.00</t>
        </is>
      </c>
      <c r="G469" s="7" t="inlineStr">
        <is>
          <t>$49.00</t>
        </is>
      </c>
      <c r="H469" s="7" t="inlineStr">
        <is>
          <t>Silver Drop</t>
        </is>
      </c>
      <c r="I469" s="7">
        <f>IMAGE("https://images.lululemon.com/is/image/lululemon/33928",1)</f>
        <v/>
      </c>
      <c r="J469" s="7" t="inlineStr">
        <is>
          <t>XL</t>
        </is>
      </c>
      <c r="K469" s="7" t="inlineStr">
        <is>
          <t>138/708</t>
        </is>
      </c>
      <c r="L469" s="7" t="inlineStr">
        <is>
          <t>Yes</t>
        </is>
      </c>
      <c r="M469" s="7" t="inlineStr">
        <is>
          <t>Our little secret. This polo's sleek fabric harnesses the power of ShowZero™ technology to virtually eliminate the appearance of sweat on the outside, keeping you confident for tee offs, takeoffs, and everything in between.</t>
        </is>
      </c>
      <c r="N469" s="7" t="inlineStr">
        <is>
          <t>ShowZero-Polo</t>
        </is>
      </c>
      <c r="O469" s="7" t="inlineStr"/>
    </row>
    <row r="470" ht="80" customHeight="1">
      <c r="A470" s="4">
        <f>IMAGE("https://images.lululemon.com/is/image/lululemon/LM3FLWS_033928_1?wid=320&amp;op_usm=0.8",1)</f>
        <v/>
      </c>
      <c r="B470" s="4" t="inlineStr">
        <is>
          <t>Men's ShowZero™ Slim-Fit Polo Shirt</t>
        </is>
      </c>
      <c r="C470" s="4" t="inlineStr">
        <is>
          <t>153725171</t>
        </is>
      </c>
      <c r="D470" s="4" t="inlineStr">
        <is>
          <t>153725171-silverdrop</t>
        </is>
      </c>
      <c r="E470" s="4" t="inlineStr">
        <is>
          <t>ShowZero™ Polo SILD S</t>
        </is>
      </c>
      <c r="F470" s="4" t="inlineStr">
        <is>
          <t>$98.00</t>
        </is>
      </c>
      <c r="G470" s="4" t="inlineStr">
        <is>
          <t>$49.00</t>
        </is>
      </c>
      <c r="H470" s="4" t="inlineStr">
        <is>
          <t>Silver Drop</t>
        </is>
      </c>
      <c r="I470" s="4">
        <f>IMAGE("https://images.lululemon.com/is/image/lululemon/33928",1)</f>
        <v/>
      </c>
      <c r="J470" s="4" t="inlineStr">
        <is>
          <t>XXL</t>
        </is>
      </c>
      <c r="K470" s="4" t="inlineStr">
        <is>
          <t>78/708</t>
        </is>
      </c>
      <c r="L470" s="4" t="inlineStr">
        <is>
          <t>Yes</t>
        </is>
      </c>
      <c r="M470" s="4" t="inlineStr">
        <is>
          <t>Our little secret. This polo's sleek fabric harnesses the power of ShowZero™ technology to virtually eliminate the appearance of sweat on the outside, keeping you confident for tee offs, takeoffs, and everything in between.</t>
        </is>
      </c>
      <c r="N470" s="4" t="inlineStr">
        <is>
          <t>ShowZero-Polo</t>
        </is>
      </c>
      <c r="O470" s="4" t="inlineStr"/>
    </row>
    <row r="471" ht="80" customHeight="1">
      <c r="A471" s="7">
        <f>IMAGE("https://images.lululemon.com/is/image/lululemon/LM3FLWS_033928_1?wid=320&amp;op_usm=0.8",1)</f>
        <v/>
      </c>
      <c r="B471" s="7" t="inlineStr">
        <is>
          <t>Men's ShowZero™ Slim-Fit Polo Shirt</t>
        </is>
      </c>
      <c r="C471" s="7" t="inlineStr">
        <is>
          <t>157711085</t>
        </is>
      </c>
      <c r="D471" s="7" t="inlineStr">
        <is>
          <t>157711085-bone</t>
        </is>
      </c>
      <c r="E471" s="7" t="inlineStr">
        <is>
          <t>ShowZero™ Polo SILD S</t>
        </is>
      </c>
      <c r="F471" s="7" t="inlineStr">
        <is>
          <t>$98.00</t>
        </is>
      </c>
      <c r="G471" s="7" t="inlineStr">
        <is>
          <t>$49.00</t>
        </is>
      </c>
      <c r="H471" s="7" t="inlineStr">
        <is>
          <t>Bone</t>
        </is>
      </c>
      <c r="I471" s="7">
        <f>IMAGE("https://images.lululemon.com/is/image/lululemon/27597",1)</f>
        <v/>
      </c>
      <c r="J471" s="7" t="inlineStr">
        <is>
          <t>S</t>
        </is>
      </c>
      <c r="K471" s="7" t="inlineStr">
        <is>
          <t>6/708</t>
        </is>
      </c>
      <c r="L471" s="7" t="inlineStr">
        <is>
          <t>Yes</t>
        </is>
      </c>
      <c r="M471" s="7" t="inlineStr">
        <is>
          <t>Our little secret. This polo's sleek fabric harnesses the power of ShowZero™ technology to virtually eliminate the appearance of sweat on the outside, keeping you confident for tee offs, takeoffs, and everything in between.</t>
        </is>
      </c>
      <c r="N471" s="7" t="inlineStr">
        <is>
          <t>ShowZero-Polo</t>
        </is>
      </c>
      <c r="O471" s="7" t="inlineStr"/>
    </row>
    <row r="472" ht="80" customHeight="1">
      <c r="A472" s="4">
        <f>IMAGE("https://images.lululemon.com/is/image/lululemon/LM3FLWS_033928_1?wid=320&amp;op_usm=0.8",1)</f>
        <v/>
      </c>
      <c r="B472" s="4" t="inlineStr">
        <is>
          <t>Men's ShowZero™ Slim-Fit Polo Shirt</t>
        </is>
      </c>
      <c r="C472" s="4" t="inlineStr">
        <is>
          <t>157711073</t>
        </is>
      </c>
      <c r="D472" s="4" t="inlineStr">
        <is>
          <t>157711073-bone</t>
        </is>
      </c>
      <c r="E472" s="4" t="inlineStr">
        <is>
          <t>ShowZero™ Polo SILD S</t>
        </is>
      </c>
      <c r="F472" s="4" t="inlineStr">
        <is>
          <t>$98.00</t>
        </is>
      </c>
      <c r="G472" s="4" t="inlineStr">
        <is>
          <t>$49.00</t>
        </is>
      </c>
      <c r="H472" s="4" t="inlineStr">
        <is>
          <t>Bone</t>
        </is>
      </c>
      <c r="I472" s="4">
        <f>IMAGE("https://images.lululemon.com/is/image/lululemon/27597",1)</f>
        <v/>
      </c>
      <c r="J472" s="4" t="inlineStr">
        <is>
          <t>M</t>
        </is>
      </c>
      <c r="K472" s="4" t="inlineStr">
        <is>
          <t>19/708</t>
        </is>
      </c>
      <c r="L472" s="4" t="inlineStr">
        <is>
          <t>Yes</t>
        </is>
      </c>
      <c r="M472" s="4" t="inlineStr">
        <is>
          <t>Our little secret. This polo's sleek fabric harnesses the power of ShowZero™ technology to virtually eliminate the appearance of sweat on the outside, keeping you confident for tee offs, takeoffs, and everything in between.</t>
        </is>
      </c>
      <c r="N472" s="4" t="inlineStr">
        <is>
          <t>ShowZero-Polo</t>
        </is>
      </c>
      <c r="O472" s="4" t="inlineStr"/>
    </row>
    <row r="473" ht="80" customHeight="1">
      <c r="A473" s="7">
        <f>IMAGE("https://images.lululemon.com/is/image/lululemon/LM3FLWS_033928_1?wid=320&amp;op_usm=0.8",1)</f>
        <v/>
      </c>
      <c r="B473" s="7" t="inlineStr">
        <is>
          <t>Men's ShowZero™ Slim-Fit Polo Shirt</t>
        </is>
      </c>
      <c r="C473" s="7" t="inlineStr">
        <is>
          <t>157711064</t>
        </is>
      </c>
      <c r="D473" s="7" t="inlineStr">
        <is>
          <t>157711064-bone</t>
        </is>
      </c>
      <c r="E473" s="7" t="inlineStr">
        <is>
          <t>ShowZero™ Polo SILD S</t>
        </is>
      </c>
      <c r="F473" s="7" t="inlineStr">
        <is>
          <t>$98.00</t>
        </is>
      </c>
      <c r="G473" s="7" t="inlineStr">
        <is>
          <t>$49.00</t>
        </is>
      </c>
      <c r="H473" s="7" t="inlineStr">
        <is>
          <t>Bone</t>
        </is>
      </c>
      <c r="I473" s="7">
        <f>IMAGE("https://images.lululemon.com/is/image/lululemon/27597",1)</f>
        <v/>
      </c>
      <c r="J473" s="7" t="inlineStr">
        <is>
          <t>L</t>
        </is>
      </c>
      <c r="K473" s="7" t="inlineStr">
        <is>
          <t>18/708</t>
        </is>
      </c>
      <c r="L473" s="7" t="inlineStr">
        <is>
          <t>Yes</t>
        </is>
      </c>
      <c r="M473" s="7" t="inlineStr">
        <is>
          <t>Our little secret. This polo's sleek fabric harnesses the power of ShowZero™ technology to virtually eliminate the appearance of sweat on the outside, keeping you confident for tee offs, takeoffs, and everything in between.</t>
        </is>
      </c>
      <c r="N473" s="7" t="inlineStr">
        <is>
          <t>ShowZero-Polo</t>
        </is>
      </c>
      <c r="O473" s="7" t="inlineStr"/>
    </row>
    <row r="474" ht="80" customHeight="1">
      <c r="A474" s="4">
        <f>IMAGE("https://images.lululemon.com/is/image/lululemon/LM3FLWS_033928_1?wid=320&amp;op_usm=0.8",1)</f>
        <v/>
      </c>
      <c r="B474" s="4" t="inlineStr">
        <is>
          <t>Men's ShowZero™ Slim-Fit Polo Shirt</t>
        </is>
      </c>
      <c r="C474" s="4" t="inlineStr">
        <is>
          <t>157711098</t>
        </is>
      </c>
      <c r="D474" s="4" t="inlineStr">
        <is>
          <t>157711098-bone</t>
        </is>
      </c>
      <c r="E474" s="4" t="inlineStr">
        <is>
          <t>ShowZero™ Polo SILD S</t>
        </is>
      </c>
      <c r="F474" s="4" t="inlineStr">
        <is>
          <t>$98.00</t>
        </is>
      </c>
      <c r="G474" s="4" t="inlineStr">
        <is>
          <t>$49.00</t>
        </is>
      </c>
      <c r="H474" s="4" t="inlineStr">
        <is>
          <t>Bone</t>
        </is>
      </c>
      <c r="I474" s="4">
        <f>IMAGE("https://images.lululemon.com/is/image/lululemon/27597",1)</f>
        <v/>
      </c>
      <c r="J474" s="4" t="inlineStr">
        <is>
          <t>XL</t>
        </is>
      </c>
      <c r="K474" s="4" t="inlineStr">
        <is>
          <t>10/708</t>
        </is>
      </c>
      <c r="L474" s="4" t="inlineStr">
        <is>
          <t>Yes</t>
        </is>
      </c>
      <c r="M474" s="4" t="inlineStr">
        <is>
          <t>Our little secret. This polo's sleek fabric harnesses the power of ShowZero™ technology to virtually eliminate the appearance of sweat on the outside, keeping you confident for tee offs, takeoffs, and everything in between.</t>
        </is>
      </c>
      <c r="N474" s="4" t="inlineStr">
        <is>
          <t>ShowZero-Polo</t>
        </is>
      </c>
      <c r="O474" s="4" t="inlineStr"/>
    </row>
    <row r="475" ht="80" customHeight="1">
      <c r="A475" s="7">
        <f>IMAGE("https://images.lululemon.com/is/image/lululemon/LM3FLWS_033928_1?wid=320&amp;op_usm=0.8",1)</f>
        <v/>
      </c>
      <c r="B475" s="7" t="inlineStr">
        <is>
          <t>Men's ShowZero™ Slim-Fit Polo Shirt</t>
        </is>
      </c>
      <c r="C475" s="7" t="inlineStr">
        <is>
          <t>157711121</t>
        </is>
      </c>
      <c r="D475" s="7" t="inlineStr">
        <is>
          <t>157711121-bone</t>
        </is>
      </c>
      <c r="E475" s="7" t="inlineStr">
        <is>
          <t>ShowZero™ Polo SILD S</t>
        </is>
      </c>
      <c r="F475" s="7" t="inlineStr">
        <is>
          <t>$98.00</t>
        </is>
      </c>
      <c r="G475" s="7" t="inlineStr">
        <is>
          <t>$49.00</t>
        </is>
      </c>
      <c r="H475" s="7" t="inlineStr">
        <is>
          <t>Bone</t>
        </is>
      </c>
      <c r="I475" s="7">
        <f>IMAGE("https://images.lululemon.com/is/image/lululemon/27597",1)</f>
        <v/>
      </c>
      <c r="J475" s="7" t="inlineStr">
        <is>
          <t>XXL</t>
        </is>
      </c>
      <c r="K475" s="7" t="inlineStr">
        <is>
          <t>2/708</t>
        </is>
      </c>
      <c r="L475" s="7" t="inlineStr">
        <is>
          <t>Yes</t>
        </is>
      </c>
      <c r="M475" s="7" t="inlineStr">
        <is>
          <t>Our little secret. This polo's sleek fabric harnesses the power of ShowZero™ technology to virtually eliminate the appearance of sweat on the outside, keeping you confident for tee offs, takeoffs, and everything in between.</t>
        </is>
      </c>
      <c r="N475" s="7" t="inlineStr">
        <is>
          <t>ShowZero-Polo</t>
        </is>
      </c>
      <c r="O475" s="7" t="inlineStr"/>
    </row>
    <row r="476" ht="80" customHeight="1">
      <c r="A476" s="4">
        <f>IMAGE("https://images.lululemon.com/is/image/lululemon/LM3FLWS_033928_1?wid=320&amp;op_usm=0.8",1)</f>
        <v/>
      </c>
      <c r="B476" s="4" t="inlineStr">
        <is>
          <t>Men's ShowZero™ Slim-Fit Polo Shirt</t>
        </is>
      </c>
      <c r="C476" s="4" t="inlineStr">
        <is>
          <t>157711217</t>
        </is>
      </c>
      <c r="D476" s="4" t="inlineStr">
        <is>
          <t>157711217-clubblue</t>
        </is>
      </c>
      <c r="E476" s="4" t="inlineStr">
        <is>
          <t>ShowZero™ Polo SILD S</t>
        </is>
      </c>
      <c r="F476" s="4" t="inlineStr">
        <is>
          <t>$98.00</t>
        </is>
      </c>
      <c r="G476" s="4" t="inlineStr">
        <is>
          <t>$49.00</t>
        </is>
      </c>
      <c r="H476" s="4" t="inlineStr">
        <is>
          <t>Club Blue</t>
        </is>
      </c>
      <c r="I476" s="4">
        <f>IMAGE("https://images.lululemon.com/is/image/lululemon/68578",1)</f>
        <v/>
      </c>
      <c r="J476" s="4" t="inlineStr">
        <is>
          <t>S</t>
        </is>
      </c>
      <c r="K476" s="4" t="inlineStr">
        <is>
          <t>11/708</t>
        </is>
      </c>
      <c r="L476" s="4" t="inlineStr">
        <is>
          <t>Yes</t>
        </is>
      </c>
      <c r="M476" s="4" t="inlineStr">
        <is>
          <t>Our little secret. This polo's sleek fabric harnesses the power of ShowZero™ technology to virtually eliminate the appearance of sweat on the outside, keeping you confident for tee offs, takeoffs, and everything in between.</t>
        </is>
      </c>
      <c r="N476" s="4" t="inlineStr">
        <is>
          <t>ShowZero-Polo</t>
        </is>
      </c>
      <c r="O476" s="4" t="inlineStr"/>
    </row>
    <row r="477" ht="80" customHeight="1">
      <c r="A477" s="7">
        <f>IMAGE("https://images.lululemon.com/is/image/lululemon/LM3FLWS_033928_1?wid=320&amp;op_usm=0.8",1)</f>
        <v/>
      </c>
      <c r="B477" s="7" t="inlineStr">
        <is>
          <t>Men's ShowZero™ Slim-Fit Polo Shirt</t>
        </is>
      </c>
      <c r="C477" s="7" t="inlineStr">
        <is>
          <t>157711206</t>
        </is>
      </c>
      <c r="D477" s="7" t="inlineStr">
        <is>
          <t>157711206-clubblue</t>
        </is>
      </c>
      <c r="E477" s="7" t="inlineStr">
        <is>
          <t>ShowZero™ Polo SILD S</t>
        </is>
      </c>
      <c r="F477" s="7" t="inlineStr">
        <is>
          <t>$98.00</t>
        </is>
      </c>
      <c r="G477" s="7" t="inlineStr">
        <is>
          <t>$49.00</t>
        </is>
      </c>
      <c r="H477" s="7" t="inlineStr">
        <is>
          <t>Club Blue</t>
        </is>
      </c>
      <c r="I477" s="7">
        <f>IMAGE("https://images.lululemon.com/is/image/lululemon/68578",1)</f>
        <v/>
      </c>
      <c r="J477" s="7" t="inlineStr">
        <is>
          <t>M</t>
        </is>
      </c>
      <c r="K477" s="7" t="inlineStr">
        <is>
          <t>44/708</t>
        </is>
      </c>
      <c r="L477" s="7" t="inlineStr">
        <is>
          <t>Yes</t>
        </is>
      </c>
      <c r="M477" s="7" t="inlineStr">
        <is>
          <t>Our little secret. This polo's sleek fabric harnesses the power of ShowZero™ technology to virtually eliminate the appearance of sweat on the outside, keeping you confident for tee offs, takeoffs, and everything in between.</t>
        </is>
      </c>
      <c r="N477" s="7" t="inlineStr">
        <is>
          <t>ShowZero-Polo</t>
        </is>
      </c>
      <c r="O477" s="7" t="inlineStr"/>
    </row>
    <row r="478" ht="80" customHeight="1">
      <c r="A478" s="4">
        <f>IMAGE("https://images.lululemon.com/is/image/lululemon/LM3FLWS_033928_1?wid=320&amp;op_usm=0.8",1)</f>
        <v/>
      </c>
      <c r="B478" s="4" t="inlineStr">
        <is>
          <t>Men's ShowZero™ Slim-Fit Polo Shirt</t>
        </is>
      </c>
      <c r="C478" s="4" t="inlineStr">
        <is>
          <t>157711197</t>
        </is>
      </c>
      <c r="D478" s="4" t="inlineStr">
        <is>
          <t>157711197-clubblue</t>
        </is>
      </c>
      <c r="E478" s="4" t="inlineStr">
        <is>
          <t>ShowZero™ Polo SILD S</t>
        </is>
      </c>
      <c r="F478" s="4" t="inlineStr">
        <is>
          <t>$98.00</t>
        </is>
      </c>
      <c r="G478" s="4" t="inlineStr">
        <is>
          <t>$49.00</t>
        </is>
      </c>
      <c r="H478" s="4" t="inlineStr">
        <is>
          <t>Club Blue</t>
        </is>
      </c>
      <c r="I478" s="4">
        <f>IMAGE("https://images.lululemon.com/is/image/lululemon/68578",1)</f>
        <v/>
      </c>
      <c r="J478" s="4" t="inlineStr">
        <is>
          <t>L</t>
        </is>
      </c>
      <c r="K478" s="4" t="inlineStr">
        <is>
          <t>43/708</t>
        </is>
      </c>
      <c r="L478" s="4" t="inlineStr">
        <is>
          <t>Yes</t>
        </is>
      </c>
      <c r="M478" s="4" t="inlineStr">
        <is>
          <t>Our little secret. This polo's sleek fabric harnesses the power of ShowZero™ technology to virtually eliminate the appearance of sweat on the outside, keeping you confident for tee offs, takeoffs, and everything in between.</t>
        </is>
      </c>
      <c r="N478" s="4" t="inlineStr">
        <is>
          <t>ShowZero-Polo</t>
        </is>
      </c>
      <c r="O478" s="4" t="inlineStr"/>
    </row>
    <row r="479" ht="80" customHeight="1">
      <c r="A479" s="7">
        <f>IMAGE("https://images.lululemon.com/is/image/lululemon/LM3FLWS_033928_1?wid=320&amp;op_usm=0.8",1)</f>
        <v/>
      </c>
      <c r="B479" s="7" t="inlineStr">
        <is>
          <t>Men's ShowZero™ Slim-Fit Polo Shirt</t>
        </is>
      </c>
      <c r="C479" s="7" t="inlineStr">
        <is>
          <t>157711228</t>
        </is>
      </c>
      <c r="D479" s="7" t="inlineStr">
        <is>
          <t>157711228-clubblue</t>
        </is>
      </c>
      <c r="E479" s="7" t="inlineStr">
        <is>
          <t>ShowZero™ Polo SILD S</t>
        </is>
      </c>
      <c r="F479" s="7" t="inlineStr">
        <is>
          <t>$98.00</t>
        </is>
      </c>
      <c r="G479" s="7" t="inlineStr">
        <is>
          <t>$49.00</t>
        </is>
      </c>
      <c r="H479" s="7" t="inlineStr">
        <is>
          <t>Club Blue</t>
        </is>
      </c>
      <c r="I479" s="7">
        <f>IMAGE("https://images.lululemon.com/is/image/lululemon/68578",1)</f>
        <v/>
      </c>
      <c r="J479" s="7" t="inlineStr">
        <is>
          <t>XL</t>
        </is>
      </c>
      <c r="K479" s="7" t="inlineStr">
        <is>
          <t>27/708</t>
        </is>
      </c>
      <c r="L479" s="7" t="inlineStr">
        <is>
          <t>Yes</t>
        </is>
      </c>
      <c r="M479" s="7" t="inlineStr">
        <is>
          <t>Our little secret. This polo's sleek fabric harnesses the power of ShowZero™ technology to virtually eliminate the appearance of sweat on the outside, keeping you confident for tee offs, takeoffs, and everything in between.</t>
        </is>
      </c>
      <c r="N479" s="7" t="inlineStr">
        <is>
          <t>ShowZero-Polo</t>
        </is>
      </c>
      <c r="O479" s="7" t="inlineStr"/>
    </row>
    <row r="480" ht="80" customHeight="1">
      <c r="A480" s="6">
        <f>IMAGE("https://images.lululemon.com/is/image/lululemon/LM3FLWS_033928_1?wid=320&amp;op_usm=0.8",1)</f>
        <v/>
      </c>
      <c r="B480" s="6" t="inlineStr">
        <is>
          <t>Men's ShowZero™ Slim-Fit Polo Shirt</t>
        </is>
      </c>
      <c r="C480" s="6" t="inlineStr">
        <is>
          <t>157711238</t>
        </is>
      </c>
      <c r="D480" s="6" t="inlineStr">
        <is>
          <t>157711238-clubblue</t>
        </is>
      </c>
      <c r="E480" s="6" t="inlineStr">
        <is>
          <t>ShowZero™ Polo SILD S</t>
        </is>
      </c>
      <c r="F480" s="6" t="inlineStr">
        <is>
          <t>$98.00</t>
        </is>
      </c>
      <c r="G480" s="6" t="inlineStr">
        <is>
          <t>$49.00</t>
        </is>
      </c>
      <c r="H480" s="6" t="inlineStr">
        <is>
          <t>Club Blue</t>
        </is>
      </c>
      <c r="I480" s="6">
        <f>IMAGE("https://images.lululemon.com/is/image/lululemon/68578",1)</f>
        <v/>
      </c>
      <c r="J480" s="6" t="inlineStr">
        <is>
          <t>XXL</t>
        </is>
      </c>
      <c r="K480" s="6" t="inlineStr">
        <is>
          <t>10/708</t>
        </is>
      </c>
      <c r="L480" s="6" t="inlineStr">
        <is>
          <t>Yes</t>
        </is>
      </c>
      <c r="M480" s="6" t="inlineStr">
        <is>
          <t>Our little secret. This polo's sleek fabric harnesses the power of ShowZero™ technology to virtually eliminate the appearance of sweat on the outside, keeping you confident for tee offs, takeoffs, and everything in between.</t>
        </is>
      </c>
      <c r="N480" s="6" t="inlineStr">
        <is>
          <t>ShowZero-Polo</t>
        </is>
      </c>
      <c r="O480" s="6" t="inlineStr"/>
    </row>
    <row r="481" ht="80" customHeight="1">
      <c r="A481" s="7">
        <f>IMAGE("https://images.lululemon.com/is/image/lululemon/LM5BIAS_0001_1?wid=320&amp;op_usm=0.8",1)</f>
        <v/>
      </c>
      <c r="B481" s="7" t="inlineStr">
        <is>
          <t>Mile Maker Cold-Weather Pant *Regular</t>
        </is>
      </c>
      <c r="C481" s="7" t="inlineStr">
        <is>
          <t>157701330</t>
        </is>
      </c>
      <c r="D481" s="7" t="inlineStr">
        <is>
          <t>157701330-black</t>
        </is>
      </c>
      <c r="E481" s="7" t="inlineStr">
        <is>
          <t>Mile Maker Cold-Weather Pant *Regular BLK S</t>
        </is>
      </c>
      <c r="F481" s="7" t="inlineStr">
        <is>
          <t>$148.00</t>
        </is>
      </c>
      <c r="G481" s="7" t="inlineStr">
        <is>
          <t>$74.00</t>
        </is>
      </c>
      <c r="H481" s="7" t="inlineStr">
        <is>
          <t>Black</t>
        </is>
      </c>
      <c r="I481" s="7">
        <f>IMAGE("https://images.lululemon.com/is/image/lululemon/0001",1)</f>
        <v/>
      </c>
      <c r="J481" s="7" t="inlineStr">
        <is>
          <t>S</t>
        </is>
      </c>
      <c r="K481" s="7" t="inlineStr">
        <is>
          <t>50/1041</t>
        </is>
      </c>
      <c r="L481" s="7" t="inlineStr">
        <is>
          <t>Yes</t>
        </is>
      </c>
      <c r="M481" s="7" t="inlineStr">
        <is>
          <t>Misty morning miles. Element protection on the front and breathability on the back of these pants helps keep you covered even when it's wet.</t>
        </is>
      </c>
      <c r="N481" s="7" t="inlineStr">
        <is>
          <t>Mile-Maker-Cold-Weather-Pant-Regular</t>
        </is>
      </c>
      <c r="O481" s="7" t="inlineStr">
        <is>
          <t>Athletic Pants</t>
        </is>
      </c>
    </row>
    <row r="482" ht="80" customHeight="1">
      <c r="A482" s="4">
        <f>IMAGE("https://images.lululemon.com/is/image/lululemon/LM5BIAS_0001_1?wid=320&amp;op_usm=0.8",1)</f>
        <v/>
      </c>
      <c r="B482" s="4" t="inlineStr">
        <is>
          <t>Mile Maker Cold-Weather Pant *Regular</t>
        </is>
      </c>
      <c r="C482" s="4" t="inlineStr">
        <is>
          <t>157701329</t>
        </is>
      </c>
      <c r="D482" s="4" t="inlineStr">
        <is>
          <t>157701329-black</t>
        </is>
      </c>
      <c r="E482" s="4" t="inlineStr">
        <is>
          <t>Mile Maker Cold-Weather Pant *Regular BLK S</t>
        </is>
      </c>
      <c r="F482" s="4" t="inlineStr">
        <is>
          <t>$148.00</t>
        </is>
      </c>
      <c r="G482" s="4" t="inlineStr">
        <is>
          <t>$74.00</t>
        </is>
      </c>
      <c r="H482" s="4" t="inlineStr">
        <is>
          <t>Black</t>
        </is>
      </c>
      <c r="I482" s="4">
        <f>IMAGE("https://images.lululemon.com/is/image/lululemon/0001",1)</f>
        <v/>
      </c>
      <c r="J482" s="4" t="inlineStr">
        <is>
          <t>M</t>
        </is>
      </c>
      <c r="K482" s="4" t="inlineStr">
        <is>
          <t>134/1041</t>
        </is>
      </c>
      <c r="L482" s="4" t="inlineStr">
        <is>
          <t>Yes</t>
        </is>
      </c>
      <c r="M482" s="4" t="inlineStr">
        <is>
          <t>Misty morning miles. Element protection on the front and breathability on the back of these pants helps keep you covered even when it's wet.</t>
        </is>
      </c>
      <c r="N482" s="4" t="inlineStr">
        <is>
          <t>Mile-Maker-Cold-Weather-Pant-Regular</t>
        </is>
      </c>
      <c r="O482" s="4" t="inlineStr">
        <is>
          <t>Athletic Pants</t>
        </is>
      </c>
    </row>
    <row r="483" ht="80" customHeight="1">
      <c r="A483" s="7">
        <f>IMAGE("https://images.lululemon.com/is/image/lululemon/LM5BIAS_0001_1?wid=320&amp;op_usm=0.8",1)</f>
        <v/>
      </c>
      <c r="B483" s="7" t="inlineStr">
        <is>
          <t>Mile Maker Cold-Weather Pant *Regular</t>
        </is>
      </c>
      <c r="C483" s="7" t="inlineStr">
        <is>
          <t>157701328</t>
        </is>
      </c>
      <c r="D483" s="7" t="inlineStr">
        <is>
          <t>157701328-black</t>
        </is>
      </c>
      <c r="E483" s="7" t="inlineStr">
        <is>
          <t>Mile Maker Cold-Weather Pant *Regular BLK S</t>
        </is>
      </c>
      <c r="F483" s="7" t="inlineStr">
        <is>
          <t>$148.00</t>
        </is>
      </c>
      <c r="G483" s="7" t="inlineStr">
        <is>
          <t>$74.00</t>
        </is>
      </c>
      <c r="H483" s="7" t="inlineStr">
        <is>
          <t>Black</t>
        </is>
      </c>
      <c r="I483" s="7">
        <f>IMAGE("https://images.lululemon.com/is/image/lululemon/0001",1)</f>
        <v/>
      </c>
      <c r="J483" s="7" t="inlineStr">
        <is>
          <t>L</t>
        </is>
      </c>
      <c r="K483" s="7" t="inlineStr">
        <is>
          <t>153/1041</t>
        </is>
      </c>
      <c r="L483" s="7" t="inlineStr">
        <is>
          <t>Yes</t>
        </is>
      </c>
      <c r="M483" s="7" t="inlineStr">
        <is>
          <t>Misty morning miles. Element protection on the front and breathability on the back of these pants helps keep you covered even when it's wet.</t>
        </is>
      </c>
      <c r="N483" s="7" t="inlineStr">
        <is>
          <t>Mile-Maker-Cold-Weather-Pant-Regular</t>
        </is>
      </c>
      <c r="O483" s="7" t="inlineStr">
        <is>
          <t>Athletic Pants</t>
        </is>
      </c>
    </row>
    <row r="484" ht="80" customHeight="1">
      <c r="A484" s="4">
        <f>IMAGE("https://images.lululemon.com/is/image/lululemon/LM5BIAS_0001_1?wid=320&amp;op_usm=0.8",1)</f>
        <v/>
      </c>
      <c r="B484" s="4" t="inlineStr">
        <is>
          <t>Mile Maker Cold-Weather Pant *Regular</t>
        </is>
      </c>
      <c r="C484" s="4" t="inlineStr">
        <is>
          <t>157701331</t>
        </is>
      </c>
      <c r="D484" s="4" t="inlineStr">
        <is>
          <t>157701331-black</t>
        </is>
      </c>
      <c r="E484" s="4" t="inlineStr">
        <is>
          <t>Mile Maker Cold-Weather Pant *Regular BLK S</t>
        </is>
      </c>
      <c r="F484" s="4" t="inlineStr">
        <is>
          <t>$148.00</t>
        </is>
      </c>
      <c r="G484" s="4" t="inlineStr">
        <is>
          <t>$74.00</t>
        </is>
      </c>
      <c r="H484" s="4" t="inlineStr">
        <is>
          <t>Black</t>
        </is>
      </c>
      <c r="I484" s="4">
        <f>IMAGE("https://images.lululemon.com/is/image/lululemon/0001",1)</f>
        <v/>
      </c>
      <c r="J484" s="4" t="inlineStr">
        <is>
          <t>XL</t>
        </is>
      </c>
      <c r="K484" s="4" t="inlineStr">
        <is>
          <t>87/1041</t>
        </is>
      </c>
      <c r="L484" s="4" t="inlineStr">
        <is>
          <t>Yes</t>
        </is>
      </c>
      <c r="M484" s="4" t="inlineStr">
        <is>
          <t>Misty morning miles. Element protection on the front and breathability on the back of these pants helps keep you covered even when it's wet.</t>
        </is>
      </c>
      <c r="N484" s="4" t="inlineStr">
        <is>
          <t>Mile-Maker-Cold-Weather-Pant-Regular</t>
        </is>
      </c>
      <c r="O484" s="4" t="inlineStr">
        <is>
          <t>Athletic Pants</t>
        </is>
      </c>
    </row>
    <row r="485" ht="80" customHeight="1">
      <c r="A485" s="7">
        <f>IMAGE("https://images.lululemon.com/is/image/lululemon/LM5BIAS_0001_1?wid=320&amp;op_usm=0.8",1)</f>
        <v/>
      </c>
      <c r="B485" s="7" t="inlineStr">
        <is>
          <t>Mile Maker Cold-Weather Pant *Regular</t>
        </is>
      </c>
      <c r="C485" s="7" t="inlineStr">
        <is>
          <t>157701333</t>
        </is>
      </c>
      <c r="D485" s="7" t="inlineStr">
        <is>
          <t>157701333-black</t>
        </is>
      </c>
      <c r="E485" s="7" t="inlineStr">
        <is>
          <t>Mile Maker Cold-Weather Pant *Regular BLK S</t>
        </is>
      </c>
      <c r="F485" s="7" t="inlineStr">
        <is>
          <t>$148.00</t>
        </is>
      </c>
      <c r="G485" s="7" t="inlineStr">
        <is>
          <t>$74.00</t>
        </is>
      </c>
      <c r="H485" s="7" t="inlineStr">
        <is>
          <t>Black</t>
        </is>
      </c>
      <c r="I485" s="7">
        <f>IMAGE("https://images.lululemon.com/is/image/lululemon/0001",1)</f>
        <v/>
      </c>
      <c r="J485" s="7" t="inlineStr">
        <is>
          <t>XXL</t>
        </is>
      </c>
      <c r="K485" s="7" t="inlineStr">
        <is>
          <t>24/1041</t>
        </is>
      </c>
      <c r="L485" s="7" t="inlineStr">
        <is>
          <t>Yes</t>
        </is>
      </c>
      <c r="M485" s="7" t="inlineStr">
        <is>
          <t>Misty morning miles. Element protection on the front and breathability on the back of these pants helps keep you covered even when it's wet.</t>
        </is>
      </c>
      <c r="N485" s="7" t="inlineStr">
        <is>
          <t>Mile-Maker-Cold-Weather-Pant-Regular</t>
        </is>
      </c>
      <c r="O485" s="7" t="inlineStr">
        <is>
          <t>Athletic Pants</t>
        </is>
      </c>
    </row>
    <row r="486" ht="80" customHeight="1">
      <c r="A486" s="4">
        <f>IMAGE("https://images.lululemon.com/is/image/lululemon/LM5BIAS_0001_1?wid=320&amp;op_usm=0.8",1)</f>
        <v/>
      </c>
      <c r="B486" s="4" t="inlineStr">
        <is>
          <t>Mile Maker Cold-Weather Pant *Regular</t>
        </is>
      </c>
      <c r="C486" s="4" t="inlineStr">
        <is>
          <t>157701336</t>
        </is>
      </c>
      <c r="D486" s="4" t="inlineStr">
        <is>
          <t>157701336-truenavy</t>
        </is>
      </c>
      <c r="E486" s="4" t="inlineStr">
        <is>
          <t>Mile Maker Cold-Weather Pant *Regular BLK S</t>
        </is>
      </c>
      <c r="F486" s="4" t="inlineStr">
        <is>
          <t>$148.00</t>
        </is>
      </c>
      <c r="G486" s="4" t="inlineStr">
        <is>
          <t>$74.00</t>
        </is>
      </c>
      <c r="H486" s="4" t="inlineStr">
        <is>
          <t>True Navy</t>
        </is>
      </c>
      <c r="I486" s="4">
        <f>IMAGE("https://images.lululemon.com/is/image/lululemon/31382",1)</f>
        <v/>
      </c>
      <c r="J486" s="4" t="inlineStr">
        <is>
          <t>S</t>
        </is>
      </c>
      <c r="K486" s="4" t="inlineStr">
        <is>
          <t>65/1041</t>
        </is>
      </c>
      <c r="L486" s="4" t="inlineStr">
        <is>
          <t>Yes</t>
        </is>
      </c>
      <c r="M486" s="4" t="inlineStr">
        <is>
          <t>Misty morning miles. Element protection on the front and breathability on the back of these pants helps keep you covered even when it's wet.</t>
        </is>
      </c>
      <c r="N486" s="4" t="inlineStr">
        <is>
          <t>Mile-Maker-Cold-Weather-Pant-Regular</t>
        </is>
      </c>
      <c r="O486" s="4" t="inlineStr">
        <is>
          <t>Athletic Pants</t>
        </is>
      </c>
    </row>
    <row r="487" ht="80" customHeight="1">
      <c r="A487" s="7">
        <f>IMAGE("https://images.lululemon.com/is/image/lululemon/LM5BIAS_0001_1?wid=320&amp;op_usm=0.8",1)</f>
        <v/>
      </c>
      <c r="B487" s="7" t="inlineStr">
        <is>
          <t>Mile Maker Cold-Weather Pant *Regular</t>
        </is>
      </c>
      <c r="C487" s="7" t="inlineStr">
        <is>
          <t>157701335</t>
        </is>
      </c>
      <c r="D487" s="7" t="inlineStr">
        <is>
          <t>157701335-truenavy</t>
        </is>
      </c>
      <c r="E487" s="7" t="inlineStr">
        <is>
          <t>Mile Maker Cold-Weather Pant *Regular BLK S</t>
        </is>
      </c>
      <c r="F487" s="7" t="inlineStr">
        <is>
          <t>$148.00</t>
        </is>
      </c>
      <c r="G487" s="7" t="inlineStr">
        <is>
          <t>$74.00</t>
        </is>
      </c>
      <c r="H487" s="7" t="inlineStr">
        <is>
          <t>True Navy</t>
        </is>
      </c>
      <c r="I487" s="7">
        <f>IMAGE("https://images.lululemon.com/is/image/lululemon/31382",1)</f>
        <v/>
      </c>
      <c r="J487" s="7" t="inlineStr">
        <is>
          <t>M</t>
        </is>
      </c>
      <c r="K487" s="7" t="inlineStr">
        <is>
          <t>178/1041</t>
        </is>
      </c>
      <c r="L487" s="7" t="inlineStr">
        <is>
          <t>Yes</t>
        </is>
      </c>
      <c r="M487" s="7" t="inlineStr">
        <is>
          <t>Misty morning miles. Element protection on the front and breathability on the back of these pants helps keep you covered even when it's wet.</t>
        </is>
      </c>
      <c r="N487" s="7" t="inlineStr">
        <is>
          <t>Mile-Maker-Cold-Weather-Pant-Regular</t>
        </is>
      </c>
      <c r="O487" s="7" t="inlineStr">
        <is>
          <t>Athletic Pants</t>
        </is>
      </c>
    </row>
    <row r="488" ht="80" customHeight="1">
      <c r="A488" s="4">
        <f>IMAGE("https://images.lululemon.com/is/image/lululemon/LM5BIAS_0001_1?wid=320&amp;op_usm=0.8",1)</f>
        <v/>
      </c>
      <c r="B488" s="4" t="inlineStr">
        <is>
          <t>Mile Maker Cold-Weather Pant *Regular</t>
        </is>
      </c>
      <c r="C488" s="4" t="inlineStr">
        <is>
          <t>157701334</t>
        </is>
      </c>
      <c r="D488" s="4" t="inlineStr">
        <is>
          <t>157701334-truenavy</t>
        </is>
      </c>
      <c r="E488" s="4" t="inlineStr">
        <is>
          <t>Mile Maker Cold-Weather Pant *Regular BLK S</t>
        </is>
      </c>
      <c r="F488" s="4" t="inlineStr">
        <is>
          <t>$148.00</t>
        </is>
      </c>
      <c r="G488" s="4" t="inlineStr">
        <is>
          <t>$74.00</t>
        </is>
      </c>
      <c r="H488" s="4" t="inlineStr">
        <is>
          <t>True Navy</t>
        </is>
      </c>
      <c r="I488" s="4">
        <f>IMAGE("https://images.lululemon.com/is/image/lululemon/31382",1)</f>
        <v/>
      </c>
      <c r="J488" s="4" t="inlineStr">
        <is>
          <t>L</t>
        </is>
      </c>
      <c r="K488" s="4" t="inlineStr">
        <is>
          <t>205/1041</t>
        </is>
      </c>
      <c r="L488" s="4" t="inlineStr">
        <is>
          <t>Yes</t>
        </is>
      </c>
      <c r="M488" s="4" t="inlineStr">
        <is>
          <t>Misty morning miles. Element protection on the front and breathability on the back of these pants helps keep you covered even when it's wet.</t>
        </is>
      </c>
      <c r="N488" s="4" t="inlineStr">
        <is>
          <t>Mile-Maker-Cold-Weather-Pant-Regular</t>
        </is>
      </c>
      <c r="O488" s="4" t="inlineStr">
        <is>
          <t>Athletic Pants</t>
        </is>
      </c>
    </row>
    <row r="489" ht="80" customHeight="1">
      <c r="A489" s="7">
        <f>IMAGE("https://images.lululemon.com/is/image/lululemon/LM5BIAS_0001_1?wid=320&amp;op_usm=0.8",1)</f>
        <v/>
      </c>
      <c r="B489" s="7" t="inlineStr">
        <is>
          <t>Mile Maker Cold-Weather Pant *Regular</t>
        </is>
      </c>
      <c r="C489" s="7" t="inlineStr">
        <is>
          <t>157701337</t>
        </is>
      </c>
      <c r="D489" s="7" t="inlineStr">
        <is>
          <t>157701337-truenavy</t>
        </is>
      </c>
      <c r="E489" s="7" t="inlineStr">
        <is>
          <t>Mile Maker Cold-Weather Pant *Regular BLK S</t>
        </is>
      </c>
      <c r="F489" s="7" t="inlineStr">
        <is>
          <t>$148.00</t>
        </is>
      </c>
      <c r="G489" s="7" t="inlineStr">
        <is>
          <t>$74.00</t>
        </is>
      </c>
      <c r="H489" s="7" t="inlineStr">
        <is>
          <t>True Navy</t>
        </is>
      </c>
      <c r="I489" s="7">
        <f>IMAGE("https://images.lululemon.com/is/image/lululemon/31382",1)</f>
        <v/>
      </c>
      <c r="J489" s="7" t="inlineStr">
        <is>
          <t>XL</t>
        </is>
      </c>
      <c r="K489" s="7" t="inlineStr">
        <is>
          <t>114/1041</t>
        </is>
      </c>
      <c r="L489" s="7" t="inlineStr">
        <is>
          <t>Yes</t>
        </is>
      </c>
      <c r="M489" s="7" t="inlineStr">
        <is>
          <t>Misty morning miles. Element protection on the front and breathability on the back of these pants helps keep you covered even when it's wet.</t>
        </is>
      </c>
      <c r="N489" s="7" t="inlineStr">
        <is>
          <t>Mile-Maker-Cold-Weather-Pant-Regular</t>
        </is>
      </c>
      <c r="O489" s="7" t="inlineStr">
        <is>
          <t>Athletic Pants</t>
        </is>
      </c>
    </row>
    <row r="490" ht="80" customHeight="1">
      <c r="A490" s="6">
        <f>IMAGE("https://images.lululemon.com/is/image/lululemon/LM5BIAS_0001_1?wid=320&amp;op_usm=0.8",1)</f>
        <v/>
      </c>
      <c r="B490" s="6" t="inlineStr">
        <is>
          <t>Mile Maker Cold-Weather Pant *Regular</t>
        </is>
      </c>
      <c r="C490" s="6" t="inlineStr">
        <is>
          <t>157701339</t>
        </is>
      </c>
      <c r="D490" s="6" t="inlineStr">
        <is>
          <t>157701339-truenavy</t>
        </is>
      </c>
      <c r="E490" s="6" t="inlineStr">
        <is>
          <t>Mile Maker Cold-Weather Pant *Regular BLK S</t>
        </is>
      </c>
      <c r="F490" s="6" t="inlineStr">
        <is>
          <t>$148.00</t>
        </is>
      </c>
      <c r="G490" s="6" t="inlineStr">
        <is>
          <t>$74.00</t>
        </is>
      </c>
      <c r="H490" s="6" t="inlineStr">
        <is>
          <t>True Navy</t>
        </is>
      </c>
      <c r="I490" s="6">
        <f>IMAGE("https://images.lululemon.com/is/image/lululemon/31382",1)</f>
        <v/>
      </c>
      <c r="J490" s="6" t="inlineStr">
        <is>
          <t>XXL</t>
        </is>
      </c>
      <c r="K490" s="6" t="inlineStr">
        <is>
          <t>31/1041</t>
        </is>
      </c>
      <c r="L490" s="6" t="inlineStr">
        <is>
          <t>Yes</t>
        </is>
      </c>
      <c r="M490" s="6" t="inlineStr">
        <is>
          <t>Misty morning miles. Element protection on the front and breathability on the back of these pants helps keep you covered even when it's wet.</t>
        </is>
      </c>
      <c r="N490" s="6" t="inlineStr">
        <is>
          <t>Mile-Maker-Cold-Weather-Pant-Regular</t>
        </is>
      </c>
      <c r="O490" s="6" t="inlineStr">
        <is>
          <t>Athletic Pants</t>
        </is>
      </c>
    </row>
    <row r="491" ht="80" customHeight="1">
      <c r="A491" s="7">
        <f>IMAGE("https://images.lululemon.com/is/image/lululemon/LM4AH7S_0001_1?wid=320&amp;op_usm=0.8",1)</f>
        <v/>
      </c>
      <c r="B491" s="7" t="inlineStr">
        <is>
          <t>Navigation Down Vest</t>
        </is>
      </c>
      <c r="C491" s="7" t="inlineStr">
        <is>
          <t>141700281</t>
        </is>
      </c>
      <c r="D491" s="7" t="inlineStr">
        <is>
          <t>141700281-black</t>
        </is>
      </c>
      <c r="E491" s="7" t="inlineStr">
        <is>
          <t>Navigation Down Vest BLK S</t>
        </is>
      </c>
      <c r="F491" s="7" t="inlineStr">
        <is>
          <t>$198.00</t>
        </is>
      </c>
      <c r="G491" s="7" t="inlineStr">
        <is>
          <t>$99.00</t>
        </is>
      </c>
      <c r="H491" s="7" t="inlineStr">
        <is>
          <t>Black</t>
        </is>
      </c>
      <c r="I491" s="7">
        <f>IMAGE("https://images.lululemon.com/is/image/lululemon/0001",1)</f>
        <v/>
      </c>
      <c r="J491" s="7" t="inlineStr">
        <is>
          <t>S</t>
        </is>
      </c>
      <c r="K491" s="7" t="inlineStr">
        <is>
          <t>16/151</t>
        </is>
      </c>
      <c r="L491" s="7" t="inlineStr">
        <is>
          <t>Yes</t>
        </is>
      </c>
      <c r="M491" s="7" t="inlineStr">
        <is>
          <t>Navigate the great outdoors in this insulated vest. Powered by ThermoChannel™ construction to lock in heat, it's made from stretchy fabric to keep you warm and agile in the cold.</t>
        </is>
      </c>
      <c r="N491" s="7" t="inlineStr">
        <is>
          <t>Navigation-Stretch-Down-Vest</t>
        </is>
      </c>
      <c r="O491" s="7" t="inlineStr">
        <is>
          <t>Vests, Puffer Jackets</t>
        </is>
      </c>
    </row>
    <row r="492" ht="80" customHeight="1">
      <c r="A492" s="4">
        <f>IMAGE("https://images.lululemon.com/is/image/lululemon/LM4AH7S_0001_1?wid=320&amp;op_usm=0.8",1)</f>
        <v/>
      </c>
      <c r="B492" s="4" t="inlineStr">
        <is>
          <t>Navigation Down Vest</t>
        </is>
      </c>
      <c r="C492" s="4" t="inlineStr">
        <is>
          <t>141700265</t>
        </is>
      </c>
      <c r="D492" s="4" t="inlineStr">
        <is>
          <t>141700265-black</t>
        </is>
      </c>
      <c r="E492" s="4" t="inlineStr">
        <is>
          <t>Navigation Down Vest BLK S</t>
        </is>
      </c>
      <c r="F492" s="4" t="inlineStr">
        <is>
          <t>$198.00</t>
        </is>
      </c>
      <c r="G492" s="4" t="inlineStr">
        <is>
          <t>$99.00</t>
        </is>
      </c>
      <c r="H492" s="4" t="inlineStr">
        <is>
          <t>Black</t>
        </is>
      </c>
      <c r="I492" s="4">
        <f>IMAGE("https://images.lululemon.com/is/image/lululemon/0001",1)</f>
        <v/>
      </c>
      <c r="J492" s="4" t="inlineStr">
        <is>
          <t>M</t>
        </is>
      </c>
      <c r="K492" s="4" t="inlineStr">
        <is>
          <t>42/151</t>
        </is>
      </c>
      <c r="L492" s="4" t="inlineStr">
        <is>
          <t>Yes</t>
        </is>
      </c>
      <c r="M492" s="4" t="inlineStr">
        <is>
          <t>Navigate the great outdoors in this insulated vest. Powered by ThermoChannel™ construction to lock in heat, it's made from stretchy fabric to keep you warm and agile in the cold.</t>
        </is>
      </c>
      <c r="N492" s="4" t="inlineStr">
        <is>
          <t>Navigation-Stretch-Down-Vest</t>
        </is>
      </c>
      <c r="O492" s="4" t="inlineStr">
        <is>
          <t>Vests, Puffer Jackets</t>
        </is>
      </c>
    </row>
    <row r="493" ht="80" customHeight="1">
      <c r="A493" s="7">
        <f>IMAGE("https://images.lululemon.com/is/image/lululemon/LM4AH7S_0001_1?wid=320&amp;op_usm=0.8",1)</f>
        <v/>
      </c>
      <c r="B493" s="7" t="inlineStr">
        <is>
          <t>Navigation Down Vest</t>
        </is>
      </c>
      <c r="C493" s="7" t="inlineStr">
        <is>
          <t>141700251</t>
        </is>
      </c>
      <c r="D493" s="7" t="inlineStr">
        <is>
          <t>141700251-black</t>
        </is>
      </c>
      <c r="E493" s="7" t="inlineStr">
        <is>
          <t>Navigation Down Vest BLK S</t>
        </is>
      </c>
      <c r="F493" s="7" t="inlineStr">
        <is>
          <t>$198.00</t>
        </is>
      </c>
      <c r="G493" s="7" t="inlineStr">
        <is>
          <t>$99.00</t>
        </is>
      </c>
      <c r="H493" s="7" t="inlineStr">
        <is>
          <t>Black</t>
        </is>
      </c>
      <c r="I493" s="7">
        <f>IMAGE("https://images.lululemon.com/is/image/lululemon/0001",1)</f>
        <v/>
      </c>
      <c r="J493" s="7" t="inlineStr">
        <is>
          <t>L</t>
        </is>
      </c>
      <c r="K493" s="7" t="inlineStr">
        <is>
          <t>56/151</t>
        </is>
      </c>
      <c r="L493" s="7" t="inlineStr">
        <is>
          <t>Yes</t>
        </is>
      </c>
      <c r="M493" s="7" t="inlineStr">
        <is>
          <t>Navigate the great outdoors in this insulated vest. Powered by ThermoChannel™ construction to lock in heat, it's made from stretchy fabric to keep you warm and agile in the cold.</t>
        </is>
      </c>
      <c r="N493" s="7" t="inlineStr">
        <is>
          <t>Navigation-Stretch-Down-Vest</t>
        </is>
      </c>
      <c r="O493" s="7" t="inlineStr">
        <is>
          <t>Vests, Puffer Jackets</t>
        </is>
      </c>
    </row>
    <row r="494" ht="80" customHeight="1">
      <c r="A494" s="4">
        <f>IMAGE("https://images.lululemon.com/is/image/lululemon/LM4AH7S_0001_1?wid=320&amp;op_usm=0.8",1)</f>
        <v/>
      </c>
      <c r="B494" s="4" t="inlineStr">
        <is>
          <t>Navigation Down Vest</t>
        </is>
      </c>
      <c r="C494" s="4" t="inlineStr">
        <is>
          <t>141700293</t>
        </is>
      </c>
      <c r="D494" s="4" t="inlineStr">
        <is>
          <t>141700293-black</t>
        </is>
      </c>
      <c r="E494" s="4" t="inlineStr">
        <is>
          <t>Navigation Down Vest BLK S</t>
        </is>
      </c>
      <c r="F494" s="4" t="inlineStr">
        <is>
          <t>$198.00</t>
        </is>
      </c>
      <c r="G494" s="4" t="inlineStr">
        <is>
          <t>$99.00</t>
        </is>
      </c>
      <c r="H494" s="4" t="inlineStr">
        <is>
          <t>Black</t>
        </is>
      </c>
      <c r="I494" s="4">
        <f>IMAGE("https://images.lululemon.com/is/image/lululemon/0001",1)</f>
        <v/>
      </c>
      <c r="J494" s="4" t="inlineStr">
        <is>
          <t>XL</t>
        </is>
      </c>
      <c r="K494" s="4" t="inlineStr">
        <is>
          <t>26/151</t>
        </is>
      </c>
      <c r="L494" s="4" t="inlineStr">
        <is>
          <t>Yes</t>
        </is>
      </c>
      <c r="M494" s="4" t="inlineStr">
        <is>
          <t>Navigate the great outdoors in this insulated vest. Powered by ThermoChannel™ construction to lock in heat, it's made from stretchy fabric to keep you warm and agile in the cold.</t>
        </is>
      </c>
      <c r="N494" s="4" t="inlineStr">
        <is>
          <t>Navigation-Stretch-Down-Vest</t>
        </is>
      </c>
      <c r="O494" s="4" t="inlineStr">
        <is>
          <t>Vests, Puffer Jackets</t>
        </is>
      </c>
    </row>
    <row r="495" ht="80" customHeight="1">
      <c r="A495" s="5">
        <f>IMAGE("https://images.lululemon.com/is/image/lululemon/LM4AH7S_0001_1?wid=320&amp;op_usm=0.8",1)</f>
        <v/>
      </c>
      <c r="B495" s="5" t="inlineStr">
        <is>
          <t>Navigation Down Vest</t>
        </is>
      </c>
      <c r="C495" s="5" t="inlineStr">
        <is>
          <t>141700314</t>
        </is>
      </c>
      <c r="D495" s="5" t="inlineStr">
        <is>
          <t>141700314-black</t>
        </is>
      </c>
      <c r="E495" s="5" t="inlineStr">
        <is>
          <t>Navigation Down Vest BLK S</t>
        </is>
      </c>
      <c r="F495" s="5" t="inlineStr">
        <is>
          <t>$198.00</t>
        </is>
      </c>
      <c r="G495" s="5" t="inlineStr">
        <is>
          <t>$99.00</t>
        </is>
      </c>
      <c r="H495" s="5" t="inlineStr">
        <is>
          <t>Black</t>
        </is>
      </c>
      <c r="I495" s="5">
        <f>IMAGE("https://images.lululemon.com/is/image/lululemon/0001",1)</f>
        <v/>
      </c>
      <c r="J495" s="5" t="inlineStr">
        <is>
          <t>XXL</t>
        </is>
      </c>
      <c r="K495" s="5" t="inlineStr">
        <is>
          <t>11/151</t>
        </is>
      </c>
      <c r="L495" s="5" t="inlineStr">
        <is>
          <t>Yes</t>
        </is>
      </c>
      <c r="M495" s="5" t="inlineStr">
        <is>
          <t>Navigate the great outdoors in this insulated vest. Powered by ThermoChannel™ construction to lock in heat, it's made from stretchy fabric to keep you warm and agile in the cold.</t>
        </is>
      </c>
      <c r="N495" s="5" t="inlineStr">
        <is>
          <t>Navigation-Stretch-Down-Vest</t>
        </is>
      </c>
      <c r="O495" s="5" t="inlineStr">
        <is>
          <t>Vests, Puffer Jackets</t>
        </is>
      </c>
    </row>
    <row r="496" ht="80" customHeight="1">
      <c r="A496" s="4">
        <f>IMAGE("https://images.lululemon.com/is/image/lululemon/LM3FQKS_062187_1?wid=320&amp;op_usm=0.8",1)</f>
        <v/>
      </c>
      <c r="B496" s="4" t="inlineStr">
        <is>
          <t>Sport Polo Short Sleeve</t>
        </is>
      </c>
      <c r="C496" s="4" t="inlineStr">
        <is>
          <t>155865693</t>
        </is>
      </c>
      <c r="D496" s="4" t="inlineStr">
        <is>
          <t>155865693-herbal</t>
        </is>
      </c>
      <c r="E496" s="4" t="inlineStr">
        <is>
          <t>Logo Sport Polo Short Sleeve HRBA S</t>
        </is>
      </c>
      <c r="F496" s="4" t="inlineStr">
        <is>
          <t>$98.00</t>
        </is>
      </c>
      <c r="G496" s="4" t="inlineStr">
        <is>
          <t>$49.00</t>
        </is>
      </c>
      <c r="H496" s="4" t="inlineStr">
        <is>
          <t>Herbal</t>
        </is>
      </c>
      <c r="I496" s="4">
        <f>IMAGE("https://images.lululemon.com/is/image/lululemon/62187",1)</f>
        <v/>
      </c>
      <c r="J496" s="4" t="inlineStr">
        <is>
          <t>S</t>
        </is>
      </c>
      <c r="K496" s="4" t="inlineStr">
        <is>
          <t>18/99</t>
        </is>
      </c>
      <c r="L496" s="4" t="inlineStr">
        <is>
          <t>Yes</t>
        </is>
      </c>
      <c r="M496" s="4" t="inlineStr">
        <is>
          <t>“Out of Office” vibes, in a polo. Minimally seamed, anti-stink fabric can handle a full day’s adventure.</t>
        </is>
      </c>
      <c r="N496" s="4" t="inlineStr">
        <is>
          <t>Sport-Polo-Short-Sleeve</t>
        </is>
      </c>
      <c r="O496" s="4" t="inlineStr"/>
    </row>
    <row r="497" ht="80" customHeight="1">
      <c r="A497" s="7">
        <f>IMAGE("https://images.lululemon.com/is/image/lululemon/LM3FQKS_062187_1?wid=320&amp;op_usm=0.8",1)</f>
        <v/>
      </c>
      <c r="B497" s="7" t="inlineStr">
        <is>
          <t>Sport Polo Short Sleeve</t>
        </is>
      </c>
      <c r="C497" s="7" t="inlineStr">
        <is>
          <t>155865685</t>
        </is>
      </c>
      <c r="D497" s="7" t="inlineStr">
        <is>
          <t>155865685-herbal</t>
        </is>
      </c>
      <c r="E497" s="7" t="inlineStr">
        <is>
          <t>Logo Sport Polo Short Sleeve HRBA S</t>
        </is>
      </c>
      <c r="F497" s="7" t="inlineStr">
        <is>
          <t>$98.00</t>
        </is>
      </c>
      <c r="G497" s="7" t="inlineStr">
        <is>
          <t>$49.00</t>
        </is>
      </c>
      <c r="H497" s="7" t="inlineStr">
        <is>
          <t>Herbal</t>
        </is>
      </c>
      <c r="I497" s="7">
        <f>IMAGE("https://images.lululemon.com/is/image/lululemon/62187",1)</f>
        <v/>
      </c>
      <c r="J497" s="7" t="inlineStr">
        <is>
          <t>M</t>
        </is>
      </c>
      <c r="K497" s="7" t="inlineStr">
        <is>
          <t>46/99</t>
        </is>
      </c>
      <c r="L497" s="7" t="inlineStr">
        <is>
          <t>Yes</t>
        </is>
      </c>
      <c r="M497" s="7" t="inlineStr">
        <is>
          <t>“Out of Office” vibes, in a polo. Minimally seamed, anti-stink fabric can handle a full day’s adventure.</t>
        </is>
      </c>
      <c r="N497" s="7" t="inlineStr">
        <is>
          <t>Sport-Polo-Short-Sleeve</t>
        </is>
      </c>
      <c r="O497" s="7" t="inlineStr"/>
    </row>
    <row r="498" ht="80" customHeight="1">
      <c r="A498" s="4">
        <f>IMAGE("https://images.lululemon.com/is/image/lululemon/LM3FQKS_062187_1?wid=320&amp;op_usm=0.8",1)</f>
        <v/>
      </c>
      <c r="B498" s="4" t="inlineStr">
        <is>
          <t>Sport Polo Short Sleeve</t>
        </is>
      </c>
      <c r="C498" s="4" t="inlineStr">
        <is>
          <t>155865682</t>
        </is>
      </c>
      <c r="D498" s="4" t="inlineStr">
        <is>
          <t>155865682-herbal</t>
        </is>
      </c>
      <c r="E498" s="4" t="inlineStr">
        <is>
          <t>Logo Sport Polo Short Sleeve HRBA S</t>
        </is>
      </c>
      <c r="F498" s="4" t="inlineStr">
        <is>
          <t>$98.00</t>
        </is>
      </c>
      <c r="G498" s="4" t="inlineStr">
        <is>
          <t>$49.00</t>
        </is>
      </c>
      <c r="H498" s="4" t="inlineStr">
        <is>
          <t>Herbal</t>
        </is>
      </c>
      <c r="I498" s="4">
        <f>IMAGE("https://images.lululemon.com/is/image/lululemon/62187",1)</f>
        <v/>
      </c>
      <c r="J498" s="4" t="inlineStr">
        <is>
          <t>L</t>
        </is>
      </c>
      <c r="K498" s="4" t="inlineStr">
        <is>
          <t>32/99</t>
        </is>
      </c>
      <c r="L498" s="4" t="inlineStr">
        <is>
          <t>Yes</t>
        </is>
      </c>
      <c r="M498" s="4" t="inlineStr">
        <is>
          <t>“Out of Office” vibes, in a polo. Minimally seamed, anti-stink fabric can handle a full day’s adventure.</t>
        </is>
      </c>
      <c r="N498" s="4" t="inlineStr">
        <is>
          <t>Sport-Polo-Short-Sleeve</t>
        </is>
      </c>
      <c r="O498" s="4" t="inlineStr"/>
    </row>
    <row r="499" ht="80" customHeight="1">
      <c r="A499" s="5">
        <f>IMAGE("https://images.lululemon.com/is/image/lululemon/LM3FQKS_062187_1?wid=320&amp;op_usm=0.8",1)</f>
        <v/>
      </c>
      <c r="B499" s="5" t="inlineStr">
        <is>
          <t>Sport Polo Short Sleeve</t>
        </is>
      </c>
      <c r="C499" s="5" t="inlineStr">
        <is>
          <t>155865699</t>
        </is>
      </c>
      <c r="D499" s="5" t="inlineStr">
        <is>
          <t>155865699-herbal</t>
        </is>
      </c>
      <c r="E499" s="5" t="inlineStr">
        <is>
          <t>Logo Sport Polo Short Sleeve HRBA S</t>
        </is>
      </c>
      <c r="F499" s="5" t="inlineStr">
        <is>
          <t>$98.00</t>
        </is>
      </c>
      <c r="G499" s="5" t="inlineStr">
        <is>
          <t>$49.00</t>
        </is>
      </c>
      <c r="H499" s="5" t="inlineStr">
        <is>
          <t>Herbal</t>
        </is>
      </c>
      <c r="I499" s="5">
        <f>IMAGE("https://images.lululemon.com/is/image/lululemon/62187",1)</f>
        <v/>
      </c>
      <c r="J499" s="5" t="inlineStr">
        <is>
          <t>XL</t>
        </is>
      </c>
      <c r="K499" s="5" t="inlineStr">
        <is>
          <t>3/99</t>
        </is>
      </c>
      <c r="L499" s="5" t="inlineStr">
        <is>
          <t>Yes</t>
        </is>
      </c>
      <c r="M499" s="5" t="inlineStr">
        <is>
          <t>“Out of Office” vibes, in a polo. Minimally seamed, anti-stink fabric can handle a full day’s adventure.</t>
        </is>
      </c>
      <c r="N499" s="5" t="inlineStr">
        <is>
          <t>Sport-Polo-Short-Sleeve</t>
        </is>
      </c>
      <c r="O499" s="5" t="inlineStr"/>
    </row>
    <row r="500" ht="80" customHeight="1">
      <c r="A500" s="6">
        <f>IMAGE("https://images.lululemon.com/is/image/lululemon/LU9BK9S_069510_1?wid=320&amp;op_usm=0.8",1)</f>
        <v/>
      </c>
      <c r="B500" s="6" t="inlineStr">
        <is>
          <t>Daily Multi-Pocket Canvas Tote Bag 20L *Logo</t>
        </is>
      </c>
      <c r="C500" s="6" t="inlineStr">
        <is>
          <t>155779488</t>
        </is>
      </c>
      <c r="D500" s="6" t="inlineStr">
        <is>
          <t>155779488-truenavy/starchblue</t>
        </is>
      </c>
      <c r="E500" s="6" t="inlineStr">
        <is>
          <t>Daily Multi-Pocket Tote *Canvas TRNV/STRH ONE SIZE</t>
        </is>
      </c>
      <c r="F500" s="6" t="inlineStr">
        <is>
          <t>$68.00</t>
        </is>
      </c>
      <c r="G500" s="6" t="inlineStr">
        <is>
          <t>$34.00</t>
        </is>
      </c>
      <c r="H500" s="6" t="inlineStr">
        <is>
          <t>True Navy/Starch Blue</t>
        </is>
      </c>
      <c r="I500" s="6">
        <f>IMAGE("https://images.lululemon.com/is/image/lululemon/69510",1)</f>
        <v/>
      </c>
      <c r="J500" s="6" t="inlineStr">
        <is>
          <t>O/S</t>
        </is>
      </c>
      <c r="K500" s="6" t="inlineStr">
        <is>
          <t>156/156</t>
        </is>
      </c>
      <c r="L500" s="6" t="inlineStr">
        <is>
          <t>Yes</t>
        </is>
      </c>
      <c r="M500" s="6" t="inlineStr">
        <is>
          <t>From farmers-market finds to picnic essentials, this roomy canvas tote handles it all. Plenty of pockets and a large opening make finding your things a breeze.</t>
        </is>
      </c>
      <c r="N500" s="6" t="inlineStr">
        <is>
          <t>Dly-Mlti-Pckt-Cnvs-Tote-Bag-20L-Logo</t>
        </is>
      </c>
      <c r="O500" s="6" t="inlineStr">
        <is>
          <t>Totes</t>
        </is>
      </c>
    </row>
    <row r="501" ht="80" customHeight="1">
      <c r="A501" s="7">
        <f>IMAGE("https://images.lululemon.com/is/image/lululemon/LM3FWQS_071148_1?wid=320&amp;op_usm=0.8",1)</f>
        <v/>
      </c>
      <c r="B501" s="7" t="inlineStr">
        <is>
          <t>Smooth Spacer Quarter Zip</t>
        </is>
      </c>
      <c r="C501" s="7" t="inlineStr">
        <is>
          <t>158028661</t>
        </is>
      </c>
      <c r="D501" s="7" t="inlineStr">
        <is>
          <t>158028661-olivebrown</t>
        </is>
      </c>
      <c r="E501" s="7" t="inlineStr">
        <is>
          <t>Smooth Spacer Quarter Zip OVBR S</t>
        </is>
      </c>
      <c r="F501" s="7" t="inlineStr">
        <is>
          <t>$138.00</t>
        </is>
      </c>
      <c r="G501" s="7" t="inlineStr">
        <is>
          <t>$69.00</t>
        </is>
      </c>
      <c r="H501" s="7" t="inlineStr">
        <is>
          <t>Olive Brown</t>
        </is>
      </c>
      <c r="I501" s="7">
        <f>IMAGE("https://images.lululemon.com/is/image/lululemon/71148",1)</f>
        <v/>
      </c>
      <c r="J501" s="7" t="inlineStr">
        <is>
          <t>S</t>
        </is>
      </c>
      <c r="K501" s="7" t="inlineStr">
        <is>
          <t>6/858</t>
        </is>
      </c>
      <c r="L501" s="7" t="inlineStr">
        <is>
          <t>Yes</t>
        </is>
      </c>
      <c r="M501" s="7" t="inlineStr">
        <is>
          <t>Instant recovery mode. Fast-drying fabric on this top is soft on the outside and sleek next to skin for that perfect cool-down feeling.</t>
        </is>
      </c>
      <c r="N501" s="7" t="inlineStr">
        <is>
          <t>Smooth-Spacer-Quarter-Zip</t>
        </is>
      </c>
      <c r="O501" s="7" t="inlineStr">
        <is>
          <t>Half Zip Sweatshirts, Quarter Zip Sweatshirts</t>
        </is>
      </c>
    </row>
    <row r="502" ht="80" customHeight="1">
      <c r="A502" s="4">
        <f>IMAGE("https://images.lululemon.com/is/image/lululemon/LM3FWQS_071148_1?wid=320&amp;op_usm=0.8",1)</f>
        <v/>
      </c>
      <c r="B502" s="4" t="inlineStr">
        <is>
          <t>Smooth Spacer Quarter Zip</t>
        </is>
      </c>
      <c r="C502" s="4" t="inlineStr">
        <is>
          <t>158028652</t>
        </is>
      </c>
      <c r="D502" s="4" t="inlineStr">
        <is>
          <t>158028652-olivebrown</t>
        </is>
      </c>
      <c r="E502" s="4" t="inlineStr">
        <is>
          <t>Smooth Spacer Quarter Zip OVBR S</t>
        </is>
      </c>
      <c r="F502" s="4" t="inlineStr">
        <is>
          <t>$138.00</t>
        </is>
      </c>
      <c r="G502" s="4" t="inlineStr">
        <is>
          <t>$69.00</t>
        </is>
      </c>
      <c r="H502" s="4" t="inlineStr">
        <is>
          <t>Olive Brown</t>
        </is>
      </c>
      <c r="I502" s="4">
        <f>IMAGE("https://images.lululemon.com/is/image/lululemon/71148",1)</f>
        <v/>
      </c>
      <c r="J502" s="4" t="inlineStr">
        <is>
          <t>M</t>
        </is>
      </c>
      <c r="K502" s="4" t="inlineStr">
        <is>
          <t>23/858</t>
        </is>
      </c>
      <c r="L502" s="4" t="inlineStr">
        <is>
          <t>Yes</t>
        </is>
      </c>
      <c r="M502" s="4" t="inlineStr">
        <is>
          <t>Instant recovery mode. Fast-drying fabric on this top is soft on the outside and sleek next to skin for that perfect cool-down feeling.</t>
        </is>
      </c>
      <c r="N502" s="4" t="inlineStr">
        <is>
          <t>Smooth-Spacer-Quarter-Zip</t>
        </is>
      </c>
      <c r="O502" s="4" t="inlineStr">
        <is>
          <t>Half Zip Sweatshirts, Quarter Zip Sweatshirts</t>
        </is>
      </c>
    </row>
    <row r="503" ht="80" customHeight="1">
      <c r="A503" s="7">
        <f>IMAGE("https://images.lululemon.com/is/image/lululemon/LM3FWQS_071148_1?wid=320&amp;op_usm=0.8",1)</f>
        <v/>
      </c>
      <c r="B503" s="7" t="inlineStr">
        <is>
          <t>Smooth Spacer Quarter Zip</t>
        </is>
      </c>
      <c r="C503" s="7" t="inlineStr">
        <is>
          <t>158028643</t>
        </is>
      </c>
      <c r="D503" s="7" t="inlineStr">
        <is>
          <t>158028643-olivebrown</t>
        </is>
      </c>
      <c r="E503" s="7" t="inlineStr">
        <is>
          <t>Smooth Spacer Quarter Zip OVBR S</t>
        </is>
      </c>
      <c r="F503" s="7" t="inlineStr">
        <is>
          <t>$138.00</t>
        </is>
      </c>
      <c r="G503" s="7" t="inlineStr">
        <is>
          <t>$69.00</t>
        </is>
      </c>
      <c r="H503" s="7" t="inlineStr">
        <is>
          <t>Olive Brown</t>
        </is>
      </c>
      <c r="I503" s="7">
        <f>IMAGE("https://images.lululemon.com/is/image/lululemon/71148",1)</f>
        <v/>
      </c>
      <c r="J503" s="7" t="inlineStr">
        <is>
          <t>L</t>
        </is>
      </c>
      <c r="K503" s="7" t="inlineStr">
        <is>
          <t>40/858</t>
        </is>
      </c>
      <c r="L503" s="7" t="inlineStr">
        <is>
          <t>Yes</t>
        </is>
      </c>
      <c r="M503" s="7" t="inlineStr">
        <is>
          <t>Instant recovery mode. Fast-drying fabric on this top is soft on the outside and sleek next to skin for that perfect cool-down feeling.</t>
        </is>
      </c>
      <c r="N503" s="7" t="inlineStr">
        <is>
          <t>Smooth-Spacer-Quarter-Zip</t>
        </is>
      </c>
      <c r="O503" s="7" t="inlineStr">
        <is>
          <t>Half Zip Sweatshirts, Quarter Zip Sweatshirts</t>
        </is>
      </c>
    </row>
    <row r="504" ht="80" customHeight="1">
      <c r="A504" s="4">
        <f>IMAGE("https://images.lululemon.com/is/image/lululemon/LM3FWQS_071148_1?wid=320&amp;op_usm=0.8",1)</f>
        <v/>
      </c>
      <c r="B504" s="4" t="inlineStr">
        <is>
          <t>Smooth Spacer Quarter Zip</t>
        </is>
      </c>
      <c r="C504" s="4" t="inlineStr">
        <is>
          <t>158028672</t>
        </is>
      </c>
      <c r="D504" s="4" t="inlineStr">
        <is>
          <t>158028672-olivebrown</t>
        </is>
      </c>
      <c r="E504" s="4" t="inlineStr">
        <is>
          <t>Smooth Spacer Quarter Zip OVBR S</t>
        </is>
      </c>
      <c r="F504" s="4" t="inlineStr">
        <is>
          <t>$138.00</t>
        </is>
      </c>
      <c r="G504" s="4" t="inlineStr">
        <is>
          <t>$69.00</t>
        </is>
      </c>
      <c r="H504" s="4" t="inlineStr">
        <is>
          <t>Olive Brown</t>
        </is>
      </c>
      <c r="I504" s="4">
        <f>IMAGE("https://images.lululemon.com/is/image/lululemon/71148",1)</f>
        <v/>
      </c>
      <c r="J504" s="4" t="inlineStr">
        <is>
          <t>XL</t>
        </is>
      </c>
      <c r="K504" s="4" t="inlineStr">
        <is>
          <t>32/858</t>
        </is>
      </c>
      <c r="L504" s="4" t="inlineStr">
        <is>
          <t>Yes</t>
        </is>
      </c>
      <c r="M504" s="4" t="inlineStr">
        <is>
          <t>Instant recovery mode. Fast-drying fabric on this top is soft on the outside and sleek next to skin for that perfect cool-down feeling.</t>
        </is>
      </c>
      <c r="N504" s="4" t="inlineStr">
        <is>
          <t>Smooth-Spacer-Quarter-Zip</t>
        </is>
      </c>
      <c r="O504" s="4" t="inlineStr">
        <is>
          <t>Half Zip Sweatshirts, Quarter Zip Sweatshirts</t>
        </is>
      </c>
    </row>
    <row r="505" ht="80" customHeight="1">
      <c r="A505" s="7">
        <f>IMAGE("https://images.lululemon.com/is/image/lululemon/LM3FWQS_071148_1?wid=320&amp;op_usm=0.8",1)</f>
        <v/>
      </c>
      <c r="B505" s="7" t="inlineStr">
        <is>
          <t>Smooth Spacer Quarter Zip</t>
        </is>
      </c>
      <c r="C505" s="7" t="inlineStr">
        <is>
          <t>158028689</t>
        </is>
      </c>
      <c r="D505" s="7" t="inlineStr">
        <is>
          <t>158028689-olivebrown</t>
        </is>
      </c>
      <c r="E505" s="7" t="inlineStr">
        <is>
          <t>Smooth Spacer Quarter Zip OVBR S</t>
        </is>
      </c>
      <c r="F505" s="7" t="inlineStr">
        <is>
          <t>$138.00</t>
        </is>
      </c>
      <c r="G505" s="7" t="inlineStr">
        <is>
          <t>$69.00</t>
        </is>
      </c>
      <c r="H505" s="7" t="inlineStr">
        <is>
          <t>Olive Brown</t>
        </is>
      </c>
      <c r="I505" s="7">
        <f>IMAGE("https://images.lululemon.com/is/image/lululemon/71148",1)</f>
        <v/>
      </c>
      <c r="J505" s="7" t="inlineStr">
        <is>
          <t>XXL</t>
        </is>
      </c>
      <c r="K505" s="7" t="inlineStr">
        <is>
          <t>13/858</t>
        </is>
      </c>
      <c r="L505" s="7" t="inlineStr">
        <is>
          <t>Yes</t>
        </is>
      </c>
      <c r="M505" s="7" t="inlineStr">
        <is>
          <t>Instant recovery mode. Fast-drying fabric on this top is soft on the outside and sleek next to skin for that perfect cool-down feeling.</t>
        </is>
      </c>
      <c r="N505" s="7" t="inlineStr">
        <is>
          <t>Smooth-Spacer-Quarter-Zip</t>
        </is>
      </c>
      <c r="O505" s="7" t="inlineStr">
        <is>
          <t>Half Zip Sweatshirts, Quarter Zip Sweatshirts</t>
        </is>
      </c>
    </row>
    <row r="506" ht="80" customHeight="1">
      <c r="A506" s="4">
        <f>IMAGE("https://images.lululemon.com/is/image/lululemon/LM3FWQS_071148_1?wid=320&amp;op_usm=0.8",1)</f>
        <v/>
      </c>
      <c r="B506" s="4" t="inlineStr">
        <is>
          <t>Smooth Spacer Quarter Zip</t>
        </is>
      </c>
      <c r="C506" s="4" t="inlineStr">
        <is>
          <t>158028459</t>
        </is>
      </c>
      <c r="D506" s="4" t="inlineStr">
        <is>
          <t>158028459-redclay</t>
        </is>
      </c>
      <c r="E506" s="4" t="inlineStr">
        <is>
          <t>Smooth Spacer Quarter Zip OVBR S</t>
        </is>
      </c>
      <c r="F506" s="4" t="inlineStr">
        <is>
          <t>$138.00</t>
        </is>
      </c>
      <c r="G506" s="4" t="inlineStr">
        <is>
          <t>$69.00</t>
        </is>
      </c>
      <c r="H506" s="4" t="inlineStr">
        <is>
          <t>Red Clay</t>
        </is>
      </c>
      <c r="I506" s="4">
        <f>IMAGE("https://images.lululemon.com/is/image/lululemon/71169",1)</f>
        <v/>
      </c>
      <c r="J506" s="4" t="inlineStr">
        <is>
          <t>S</t>
        </is>
      </c>
      <c r="K506" s="4" t="inlineStr">
        <is>
          <t>19/858</t>
        </is>
      </c>
      <c r="L506" s="4" t="inlineStr">
        <is>
          <t>Yes</t>
        </is>
      </c>
      <c r="M506" s="4" t="inlineStr">
        <is>
          <t>Instant recovery mode. Fast-drying fabric on this top is soft on the outside and sleek next to skin for that perfect cool-down feeling.</t>
        </is>
      </c>
      <c r="N506" s="4" t="inlineStr">
        <is>
          <t>Smooth-Spacer-Quarter-Zip</t>
        </is>
      </c>
      <c r="O506" s="4" t="inlineStr">
        <is>
          <t>Half Zip Sweatshirts, Quarter Zip Sweatshirts</t>
        </is>
      </c>
    </row>
    <row r="507" ht="80" customHeight="1">
      <c r="A507" s="7">
        <f>IMAGE("https://images.lululemon.com/is/image/lululemon/LM3FWQS_071148_1?wid=320&amp;op_usm=0.8",1)</f>
        <v/>
      </c>
      <c r="B507" s="7" t="inlineStr">
        <is>
          <t>Smooth Spacer Quarter Zip</t>
        </is>
      </c>
      <c r="C507" s="7" t="inlineStr">
        <is>
          <t>158028448</t>
        </is>
      </c>
      <c r="D507" s="7" t="inlineStr">
        <is>
          <t>158028448-redclay</t>
        </is>
      </c>
      <c r="E507" s="7" t="inlineStr">
        <is>
          <t>Smooth Spacer Quarter Zip OVBR S</t>
        </is>
      </c>
      <c r="F507" s="7" t="inlineStr">
        <is>
          <t>$138.00</t>
        </is>
      </c>
      <c r="G507" s="7" t="inlineStr">
        <is>
          <t>$69.00</t>
        </is>
      </c>
      <c r="H507" s="7" t="inlineStr">
        <is>
          <t>Red Clay</t>
        </is>
      </c>
      <c r="I507" s="7">
        <f>IMAGE("https://images.lululemon.com/is/image/lululemon/71169",1)</f>
        <v/>
      </c>
      <c r="J507" s="7" t="inlineStr">
        <is>
          <t>M</t>
        </is>
      </c>
      <c r="K507" s="7" t="inlineStr">
        <is>
          <t>71/858</t>
        </is>
      </c>
      <c r="L507" s="7" t="inlineStr">
        <is>
          <t>Yes</t>
        </is>
      </c>
      <c r="M507" s="7" t="inlineStr">
        <is>
          <t>Instant recovery mode. Fast-drying fabric on this top is soft on the outside and sleek next to skin for that perfect cool-down feeling.</t>
        </is>
      </c>
      <c r="N507" s="7" t="inlineStr">
        <is>
          <t>Smooth-Spacer-Quarter-Zip</t>
        </is>
      </c>
      <c r="O507" s="7" t="inlineStr">
        <is>
          <t>Half Zip Sweatshirts, Quarter Zip Sweatshirts</t>
        </is>
      </c>
    </row>
    <row r="508" ht="80" customHeight="1">
      <c r="A508" s="4">
        <f>IMAGE("https://images.lululemon.com/is/image/lululemon/LM3FWQS_071148_1?wid=320&amp;op_usm=0.8",1)</f>
        <v/>
      </c>
      <c r="B508" s="4" t="inlineStr">
        <is>
          <t>Smooth Spacer Quarter Zip</t>
        </is>
      </c>
      <c r="C508" s="4" t="inlineStr">
        <is>
          <t>158028434</t>
        </is>
      </c>
      <c r="D508" s="4" t="inlineStr">
        <is>
          <t>158028434-redclay</t>
        </is>
      </c>
      <c r="E508" s="4" t="inlineStr">
        <is>
          <t>Smooth Spacer Quarter Zip OVBR S</t>
        </is>
      </c>
      <c r="F508" s="4" t="inlineStr">
        <is>
          <t>$138.00</t>
        </is>
      </c>
      <c r="G508" s="4" t="inlineStr">
        <is>
          <t>$69.00</t>
        </is>
      </c>
      <c r="H508" s="4" t="inlineStr">
        <is>
          <t>Red Clay</t>
        </is>
      </c>
      <c r="I508" s="4">
        <f>IMAGE("https://images.lululemon.com/is/image/lululemon/71169",1)</f>
        <v/>
      </c>
      <c r="J508" s="4" t="inlineStr">
        <is>
          <t>L</t>
        </is>
      </c>
      <c r="K508" s="4" t="inlineStr">
        <is>
          <t>93/858</t>
        </is>
      </c>
      <c r="L508" s="4" t="inlineStr">
        <is>
          <t>Yes</t>
        </is>
      </c>
      <c r="M508" s="4" t="inlineStr">
        <is>
          <t>Instant recovery mode. Fast-drying fabric on this top is soft on the outside and sleek next to skin for that perfect cool-down feeling.</t>
        </is>
      </c>
      <c r="N508" s="4" t="inlineStr">
        <is>
          <t>Smooth-Spacer-Quarter-Zip</t>
        </is>
      </c>
      <c r="O508" s="4" t="inlineStr">
        <is>
          <t>Half Zip Sweatshirts, Quarter Zip Sweatshirts</t>
        </is>
      </c>
    </row>
    <row r="509" ht="80" customHeight="1">
      <c r="A509" s="7">
        <f>IMAGE("https://images.lululemon.com/is/image/lululemon/LM3FWQS_071148_1?wid=320&amp;op_usm=0.8",1)</f>
        <v/>
      </c>
      <c r="B509" s="7" t="inlineStr">
        <is>
          <t>Smooth Spacer Quarter Zip</t>
        </is>
      </c>
      <c r="C509" s="7" t="inlineStr">
        <is>
          <t>158028473</t>
        </is>
      </c>
      <c r="D509" s="7" t="inlineStr">
        <is>
          <t>158028473-redclay</t>
        </is>
      </c>
      <c r="E509" s="7" t="inlineStr">
        <is>
          <t>Smooth Spacer Quarter Zip OVBR S</t>
        </is>
      </c>
      <c r="F509" s="7" t="inlineStr">
        <is>
          <t>$138.00</t>
        </is>
      </c>
      <c r="G509" s="7" t="inlineStr">
        <is>
          <t>$69.00</t>
        </is>
      </c>
      <c r="H509" s="7" t="inlineStr">
        <is>
          <t>Red Clay</t>
        </is>
      </c>
      <c r="I509" s="7">
        <f>IMAGE("https://images.lululemon.com/is/image/lululemon/71169",1)</f>
        <v/>
      </c>
      <c r="J509" s="7" t="inlineStr">
        <is>
          <t>XL</t>
        </is>
      </c>
      <c r="K509" s="7" t="inlineStr">
        <is>
          <t>61/858</t>
        </is>
      </c>
      <c r="L509" s="7" t="inlineStr">
        <is>
          <t>Yes</t>
        </is>
      </c>
      <c r="M509" s="7" t="inlineStr">
        <is>
          <t>Instant recovery mode. Fast-drying fabric on this top is soft on the outside and sleek next to skin for that perfect cool-down feeling.</t>
        </is>
      </c>
      <c r="N509" s="7" t="inlineStr">
        <is>
          <t>Smooth-Spacer-Quarter-Zip</t>
        </is>
      </c>
      <c r="O509" s="7" t="inlineStr">
        <is>
          <t>Half Zip Sweatshirts, Quarter Zip Sweatshirts</t>
        </is>
      </c>
    </row>
    <row r="510" ht="80" customHeight="1">
      <c r="A510" s="4">
        <f>IMAGE("https://images.lululemon.com/is/image/lululemon/LM3FWQS_071148_1?wid=320&amp;op_usm=0.8",1)</f>
        <v/>
      </c>
      <c r="B510" s="4" t="inlineStr">
        <is>
          <t>Smooth Spacer Quarter Zip</t>
        </is>
      </c>
      <c r="C510" s="4" t="inlineStr">
        <is>
          <t>158028501</t>
        </is>
      </c>
      <c r="D510" s="4" t="inlineStr">
        <is>
          <t>158028501-redclay</t>
        </is>
      </c>
      <c r="E510" s="4" t="inlineStr">
        <is>
          <t>Smooth Spacer Quarter Zip OVBR S</t>
        </is>
      </c>
      <c r="F510" s="4" t="inlineStr">
        <is>
          <t>$138.00</t>
        </is>
      </c>
      <c r="G510" s="4" t="inlineStr">
        <is>
          <t>$69.00</t>
        </is>
      </c>
      <c r="H510" s="4" t="inlineStr">
        <is>
          <t>Red Clay</t>
        </is>
      </c>
      <c r="I510" s="4">
        <f>IMAGE("https://images.lululemon.com/is/image/lululemon/71169",1)</f>
        <v/>
      </c>
      <c r="J510" s="4" t="inlineStr">
        <is>
          <t>XXL</t>
        </is>
      </c>
      <c r="K510" s="4" t="inlineStr">
        <is>
          <t>19/858</t>
        </is>
      </c>
      <c r="L510" s="4" t="inlineStr">
        <is>
          <t>Yes</t>
        </is>
      </c>
      <c r="M510" s="4" t="inlineStr">
        <is>
          <t>Instant recovery mode. Fast-drying fabric on this top is soft on the outside and sleek next to skin for that perfect cool-down feeling.</t>
        </is>
      </c>
      <c r="N510" s="4" t="inlineStr">
        <is>
          <t>Smooth-Spacer-Quarter-Zip</t>
        </is>
      </c>
      <c r="O510" s="4" t="inlineStr">
        <is>
          <t>Half Zip Sweatshirts, Quarter Zip Sweatshirts</t>
        </is>
      </c>
    </row>
    <row r="511" ht="80" customHeight="1">
      <c r="A511" s="7">
        <f>IMAGE("https://images.lululemon.com/is/image/lululemon/LM3FWQS_071148_1?wid=320&amp;op_usm=0.8",1)</f>
        <v/>
      </c>
      <c r="B511" s="7" t="inlineStr">
        <is>
          <t>Smooth Spacer Quarter Zip</t>
        </is>
      </c>
      <c r="C511" s="7" t="inlineStr">
        <is>
          <t>154843246</t>
        </is>
      </c>
      <c r="D511" s="7" t="inlineStr">
        <is>
          <t>154843246-truenavy</t>
        </is>
      </c>
      <c r="E511" s="7" t="inlineStr">
        <is>
          <t>Smooth Spacer Quarter Zip OVBR S</t>
        </is>
      </c>
      <c r="F511" s="7" t="inlineStr">
        <is>
          <t>$138.00</t>
        </is>
      </c>
      <c r="G511" s="7" t="inlineStr">
        <is>
          <t>$69.00</t>
        </is>
      </c>
      <c r="H511" s="7" t="inlineStr">
        <is>
          <t>True Navy</t>
        </is>
      </c>
      <c r="I511" s="7">
        <f>IMAGE("https://images.lululemon.com/is/image/lululemon/31382",1)</f>
        <v/>
      </c>
      <c r="J511" s="7" t="inlineStr">
        <is>
          <t>S</t>
        </is>
      </c>
      <c r="K511" s="7" t="inlineStr">
        <is>
          <t>31/858</t>
        </is>
      </c>
      <c r="L511" s="7" t="inlineStr">
        <is>
          <t>Yes</t>
        </is>
      </c>
      <c r="M511" s="7" t="inlineStr">
        <is>
          <t>Instant recovery mode. Fast-drying fabric on this top is soft on the outside and sleek next to skin for that perfect cool-down feeling.</t>
        </is>
      </c>
      <c r="N511" s="7" t="inlineStr">
        <is>
          <t>Smooth-Spacer-Quarter-Zip</t>
        </is>
      </c>
      <c r="O511" s="7" t="inlineStr">
        <is>
          <t>Half Zip Sweatshirts, Quarter Zip Sweatshirts</t>
        </is>
      </c>
    </row>
    <row r="512" ht="80" customHeight="1">
      <c r="A512" s="4">
        <f>IMAGE("https://images.lululemon.com/is/image/lululemon/LM3FWQS_071148_1?wid=320&amp;op_usm=0.8",1)</f>
        <v/>
      </c>
      <c r="B512" s="4" t="inlineStr">
        <is>
          <t>Smooth Spacer Quarter Zip</t>
        </is>
      </c>
      <c r="C512" s="4" t="inlineStr">
        <is>
          <t>154843244</t>
        </is>
      </c>
      <c r="D512" s="4" t="inlineStr">
        <is>
          <t>154843244-truenavy</t>
        </is>
      </c>
      <c r="E512" s="4" t="inlineStr">
        <is>
          <t>Smooth Spacer Quarter Zip OVBR S</t>
        </is>
      </c>
      <c r="F512" s="4" t="inlineStr">
        <is>
          <t>$138.00</t>
        </is>
      </c>
      <c r="G512" s="4" t="inlineStr">
        <is>
          <t>$69.00</t>
        </is>
      </c>
      <c r="H512" s="4" t="inlineStr">
        <is>
          <t>True Navy</t>
        </is>
      </c>
      <c r="I512" s="4">
        <f>IMAGE("https://images.lululemon.com/is/image/lululemon/31382",1)</f>
        <v/>
      </c>
      <c r="J512" s="4" t="inlineStr">
        <is>
          <t>M</t>
        </is>
      </c>
      <c r="K512" s="4" t="inlineStr">
        <is>
          <t>66/858</t>
        </is>
      </c>
      <c r="L512" s="4" t="inlineStr">
        <is>
          <t>Yes</t>
        </is>
      </c>
      <c r="M512" s="4" t="inlineStr">
        <is>
          <t>Instant recovery mode. Fast-drying fabric on this top is soft on the outside and sleek next to skin for that perfect cool-down feeling.</t>
        </is>
      </c>
      <c r="N512" s="4" t="inlineStr">
        <is>
          <t>Smooth-Spacer-Quarter-Zip</t>
        </is>
      </c>
      <c r="O512" s="4" t="inlineStr">
        <is>
          <t>Half Zip Sweatshirts, Quarter Zip Sweatshirts</t>
        </is>
      </c>
    </row>
    <row r="513" ht="80" customHeight="1">
      <c r="A513" s="7">
        <f>IMAGE("https://images.lululemon.com/is/image/lululemon/LM3FWQS_071148_1?wid=320&amp;op_usm=0.8",1)</f>
        <v/>
      </c>
      <c r="B513" s="7" t="inlineStr">
        <is>
          <t>Smooth Spacer Quarter Zip</t>
        </is>
      </c>
      <c r="C513" s="7" t="inlineStr">
        <is>
          <t>154843242</t>
        </is>
      </c>
      <c r="D513" s="7" t="inlineStr">
        <is>
          <t>154843242-truenavy</t>
        </is>
      </c>
      <c r="E513" s="7" t="inlineStr">
        <is>
          <t>Smooth Spacer Quarter Zip OVBR S</t>
        </is>
      </c>
      <c r="F513" s="7" t="inlineStr">
        <is>
          <t>$138.00</t>
        </is>
      </c>
      <c r="G513" s="7" t="inlineStr">
        <is>
          <t>$69.00</t>
        </is>
      </c>
      <c r="H513" s="7" t="inlineStr">
        <is>
          <t>True Navy</t>
        </is>
      </c>
      <c r="I513" s="7">
        <f>IMAGE("https://images.lululemon.com/is/image/lululemon/31382",1)</f>
        <v/>
      </c>
      <c r="J513" s="7" t="inlineStr">
        <is>
          <t>L</t>
        </is>
      </c>
      <c r="K513" s="7" t="inlineStr">
        <is>
          <t>98/858</t>
        </is>
      </c>
      <c r="L513" s="7" t="inlineStr">
        <is>
          <t>Yes</t>
        </is>
      </c>
      <c r="M513" s="7" t="inlineStr">
        <is>
          <t>Instant recovery mode. Fast-drying fabric on this top is soft on the outside and sleek next to skin for that perfect cool-down feeling.</t>
        </is>
      </c>
      <c r="N513" s="7" t="inlineStr">
        <is>
          <t>Smooth-Spacer-Quarter-Zip</t>
        </is>
      </c>
      <c r="O513" s="7" t="inlineStr">
        <is>
          <t>Half Zip Sweatshirts, Quarter Zip Sweatshirts</t>
        </is>
      </c>
    </row>
    <row r="514" ht="80" customHeight="1">
      <c r="A514" s="4">
        <f>IMAGE("https://images.lululemon.com/is/image/lululemon/LM3FWQS_071148_1?wid=320&amp;op_usm=0.8",1)</f>
        <v/>
      </c>
      <c r="B514" s="4" t="inlineStr">
        <is>
          <t>Smooth Spacer Quarter Zip</t>
        </is>
      </c>
      <c r="C514" s="4" t="inlineStr">
        <is>
          <t>154843248</t>
        </is>
      </c>
      <c r="D514" s="4" t="inlineStr">
        <is>
          <t>154843248-truenavy</t>
        </is>
      </c>
      <c r="E514" s="4" t="inlineStr">
        <is>
          <t>Smooth Spacer Quarter Zip OVBR S</t>
        </is>
      </c>
      <c r="F514" s="4" t="inlineStr">
        <is>
          <t>$138.00</t>
        </is>
      </c>
      <c r="G514" s="4" t="inlineStr">
        <is>
          <t>$69.00</t>
        </is>
      </c>
      <c r="H514" s="4" t="inlineStr">
        <is>
          <t>True Navy</t>
        </is>
      </c>
      <c r="I514" s="4">
        <f>IMAGE("https://images.lululemon.com/is/image/lululemon/31382",1)</f>
        <v/>
      </c>
      <c r="J514" s="4" t="inlineStr">
        <is>
          <t>XL</t>
        </is>
      </c>
      <c r="K514" s="4" t="inlineStr">
        <is>
          <t>70/858</t>
        </is>
      </c>
      <c r="L514" s="4" t="inlineStr">
        <is>
          <t>Yes</t>
        </is>
      </c>
      <c r="M514" s="4" t="inlineStr">
        <is>
          <t>Instant recovery mode. Fast-drying fabric on this top is soft on the outside and sleek next to skin for that perfect cool-down feeling.</t>
        </is>
      </c>
      <c r="N514" s="4" t="inlineStr">
        <is>
          <t>Smooth-Spacer-Quarter-Zip</t>
        </is>
      </c>
      <c r="O514" s="4" t="inlineStr">
        <is>
          <t>Half Zip Sweatshirts, Quarter Zip Sweatshirts</t>
        </is>
      </c>
    </row>
    <row r="515" ht="80" customHeight="1">
      <c r="A515" s="7">
        <f>IMAGE("https://images.lululemon.com/is/image/lululemon/LM3FWQS_071148_1?wid=320&amp;op_usm=0.8",1)</f>
        <v/>
      </c>
      <c r="B515" s="7" t="inlineStr">
        <is>
          <t>Smooth Spacer Quarter Zip</t>
        </is>
      </c>
      <c r="C515" s="7" t="inlineStr">
        <is>
          <t>154843252</t>
        </is>
      </c>
      <c r="D515" s="7" t="inlineStr">
        <is>
          <t>154843252-truenavy</t>
        </is>
      </c>
      <c r="E515" s="7" t="inlineStr">
        <is>
          <t>Smooth Spacer Quarter Zip OVBR S</t>
        </is>
      </c>
      <c r="F515" s="7" t="inlineStr">
        <is>
          <t>$138.00</t>
        </is>
      </c>
      <c r="G515" s="7" t="inlineStr">
        <is>
          <t>$69.00</t>
        </is>
      </c>
      <c r="H515" s="7" t="inlineStr">
        <is>
          <t>True Navy</t>
        </is>
      </c>
      <c r="I515" s="7">
        <f>IMAGE("https://images.lululemon.com/is/image/lululemon/31382",1)</f>
        <v/>
      </c>
      <c r="J515" s="7" t="inlineStr">
        <is>
          <t>XXL</t>
        </is>
      </c>
      <c r="K515" s="7" t="inlineStr">
        <is>
          <t>34/858</t>
        </is>
      </c>
      <c r="L515" s="7" t="inlineStr">
        <is>
          <t>Yes</t>
        </is>
      </c>
      <c r="M515" s="7" t="inlineStr">
        <is>
          <t>Instant recovery mode. Fast-drying fabric on this top is soft on the outside and sleek next to skin for that perfect cool-down feeling.</t>
        </is>
      </c>
      <c r="N515" s="7" t="inlineStr">
        <is>
          <t>Smooth-Spacer-Quarter-Zip</t>
        </is>
      </c>
      <c r="O515" s="7" t="inlineStr">
        <is>
          <t>Half Zip Sweatshirts, Quarter Zip Sweatshirts</t>
        </is>
      </c>
    </row>
    <row r="516" ht="80" customHeight="1">
      <c r="A516" s="4">
        <f>IMAGE("https://images.lululemon.com/is/image/lululemon/LM3FWQS_071148_1?wid=320&amp;op_usm=0.8",1)</f>
        <v/>
      </c>
      <c r="B516" s="4" t="inlineStr">
        <is>
          <t>Smooth Spacer Quarter Zip</t>
        </is>
      </c>
      <c r="C516" s="4" t="inlineStr">
        <is>
          <t>158028779</t>
        </is>
      </c>
      <c r="D516" s="4" t="inlineStr">
        <is>
          <t>158028779-steelblue</t>
        </is>
      </c>
      <c r="E516" s="4" t="inlineStr">
        <is>
          <t>Smooth Spacer Quarter Zip OVBR S</t>
        </is>
      </c>
      <c r="F516" s="4" t="inlineStr">
        <is>
          <t>$138.00</t>
        </is>
      </c>
      <c r="G516" s="4" t="inlineStr">
        <is>
          <t>$69.00</t>
        </is>
      </c>
      <c r="H516" s="4" t="inlineStr">
        <is>
          <t>Steel Blue</t>
        </is>
      </c>
      <c r="I516" s="4">
        <f>IMAGE("https://images.lululemon.com/is/image/lululemon/1179",1)</f>
        <v/>
      </c>
      <c r="J516" s="4" t="inlineStr">
        <is>
          <t>S</t>
        </is>
      </c>
      <c r="K516" s="4" t="inlineStr">
        <is>
          <t>18/858</t>
        </is>
      </c>
      <c r="L516" s="4" t="inlineStr">
        <is>
          <t>Yes</t>
        </is>
      </c>
      <c r="M516" s="4" t="inlineStr">
        <is>
          <t>Instant recovery mode. Fast-drying fabric on this top is soft on the outside and sleek next to skin for that perfect cool-down feeling.</t>
        </is>
      </c>
      <c r="N516" s="4" t="inlineStr">
        <is>
          <t>Smooth-Spacer-Quarter-Zip</t>
        </is>
      </c>
      <c r="O516" s="4" t="inlineStr">
        <is>
          <t>Half Zip Sweatshirts, Quarter Zip Sweatshirts</t>
        </is>
      </c>
    </row>
    <row r="517" ht="80" customHeight="1">
      <c r="A517" s="7">
        <f>IMAGE("https://images.lululemon.com/is/image/lululemon/LM3FWQS_071148_1?wid=320&amp;op_usm=0.8",1)</f>
        <v/>
      </c>
      <c r="B517" s="7" t="inlineStr">
        <is>
          <t>Smooth Spacer Quarter Zip</t>
        </is>
      </c>
      <c r="C517" s="7" t="inlineStr">
        <is>
          <t>158028771</t>
        </is>
      </c>
      <c r="D517" s="7" t="inlineStr">
        <is>
          <t>158028771-steelblue</t>
        </is>
      </c>
      <c r="E517" s="7" t="inlineStr">
        <is>
          <t>Smooth Spacer Quarter Zip OVBR S</t>
        </is>
      </c>
      <c r="F517" s="7" t="inlineStr">
        <is>
          <t>$138.00</t>
        </is>
      </c>
      <c r="G517" s="7" t="inlineStr">
        <is>
          <t>$69.00</t>
        </is>
      </c>
      <c r="H517" s="7" t="inlineStr">
        <is>
          <t>Steel Blue</t>
        </is>
      </c>
      <c r="I517" s="7">
        <f>IMAGE("https://images.lululemon.com/is/image/lululemon/1179",1)</f>
        <v/>
      </c>
      <c r="J517" s="7" t="inlineStr">
        <is>
          <t>M</t>
        </is>
      </c>
      <c r="K517" s="7" t="inlineStr">
        <is>
          <t>44/858</t>
        </is>
      </c>
      <c r="L517" s="7" t="inlineStr">
        <is>
          <t>Yes</t>
        </is>
      </c>
      <c r="M517" s="7" t="inlineStr">
        <is>
          <t>Instant recovery mode. Fast-drying fabric on this top is soft on the outside and sleek next to skin for that perfect cool-down feeling.</t>
        </is>
      </c>
      <c r="N517" s="7" t="inlineStr">
        <is>
          <t>Smooth-Spacer-Quarter-Zip</t>
        </is>
      </c>
      <c r="O517" s="7" t="inlineStr">
        <is>
          <t>Half Zip Sweatshirts, Quarter Zip Sweatshirts</t>
        </is>
      </c>
    </row>
    <row r="518" ht="80" customHeight="1">
      <c r="A518" s="4">
        <f>IMAGE("https://images.lululemon.com/is/image/lululemon/LM3FWQS_071148_1?wid=320&amp;op_usm=0.8",1)</f>
        <v/>
      </c>
      <c r="B518" s="4" t="inlineStr">
        <is>
          <t>Smooth Spacer Quarter Zip</t>
        </is>
      </c>
      <c r="C518" s="4" t="inlineStr">
        <is>
          <t>158028759</t>
        </is>
      </c>
      <c r="D518" s="4" t="inlineStr">
        <is>
          <t>158028759-steelblue</t>
        </is>
      </c>
      <c r="E518" s="4" t="inlineStr">
        <is>
          <t>Smooth Spacer Quarter Zip OVBR S</t>
        </is>
      </c>
      <c r="F518" s="4" t="inlineStr">
        <is>
          <t>$138.00</t>
        </is>
      </c>
      <c r="G518" s="4" t="inlineStr">
        <is>
          <t>$69.00</t>
        </is>
      </c>
      <c r="H518" s="4" t="inlineStr">
        <is>
          <t>Steel Blue</t>
        </is>
      </c>
      <c r="I518" s="4">
        <f>IMAGE("https://images.lululemon.com/is/image/lululemon/1179",1)</f>
        <v/>
      </c>
      <c r="J518" s="4" t="inlineStr">
        <is>
          <t>L</t>
        </is>
      </c>
      <c r="K518" s="4" t="inlineStr">
        <is>
          <t>63/858</t>
        </is>
      </c>
      <c r="L518" s="4" t="inlineStr">
        <is>
          <t>Yes</t>
        </is>
      </c>
      <c r="M518" s="4" t="inlineStr">
        <is>
          <t>Instant recovery mode. Fast-drying fabric on this top is soft on the outside and sleek next to skin for that perfect cool-down feeling.</t>
        </is>
      </c>
      <c r="N518" s="4" t="inlineStr">
        <is>
          <t>Smooth-Spacer-Quarter-Zip</t>
        </is>
      </c>
      <c r="O518" s="4" t="inlineStr">
        <is>
          <t>Half Zip Sweatshirts, Quarter Zip Sweatshirts</t>
        </is>
      </c>
    </row>
    <row r="519" ht="80" customHeight="1">
      <c r="A519" s="7">
        <f>IMAGE("https://images.lululemon.com/is/image/lululemon/LM3FWQS_071148_1?wid=320&amp;op_usm=0.8",1)</f>
        <v/>
      </c>
      <c r="B519" s="7" t="inlineStr">
        <is>
          <t>Smooth Spacer Quarter Zip</t>
        </is>
      </c>
      <c r="C519" s="7" t="inlineStr">
        <is>
          <t>158028787</t>
        </is>
      </c>
      <c r="D519" s="7" t="inlineStr">
        <is>
          <t>158028787-steelblue</t>
        </is>
      </c>
      <c r="E519" s="7" t="inlineStr">
        <is>
          <t>Smooth Spacer Quarter Zip OVBR S</t>
        </is>
      </c>
      <c r="F519" s="7" t="inlineStr">
        <is>
          <t>$138.00</t>
        </is>
      </c>
      <c r="G519" s="7" t="inlineStr">
        <is>
          <t>$69.00</t>
        </is>
      </c>
      <c r="H519" s="7" t="inlineStr">
        <is>
          <t>Steel Blue</t>
        </is>
      </c>
      <c r="I519" s="7">
        <f>IMAGE("https://images.lululemon.com/is/image/lululemon/1179",1)</f>
        <v/>
      </c>
      <c r="J519" s="7" t="inlineStr">
        <is>
          <t>XL</t>
        </is>
      </c>
      <c r="K519" s="7" t="inlineStr">
        <is>
          <t>43/858</t>
        </is>
      </c>
      <c r="L519" s="7" t="inlineStr">
        <is>
          <t>Yes</t>
        </is>
      </c>
      <c r="M519" s="7" t="inlineStr">
        <is>
          <t>Instant recovery mode. Fast-drying fabric on this top is soft on the outside and sleek next to skin for that perfect cool-down feeling.</t>
        </is>
      </c>
      <c r="N519" s="7" t="inlineStr">
        <is>
          <t>Smooth-Spacer-Quarter-Zip</t>
        </is>
      </c>
      <c r="O519" s="7" t="inlineStr">
        <is>
          <t>Half Zip Sweatshirts, Quarter Zip Sweatshirts</t>
        </is>
      </c>
    </row>
    <row r="520" ht="80" customHeight="1">
      <c r="A520" s="6">
        <f>IMAGE("https://images.lululemon.com/is/image/lululemon/LM3FWQS_071148_1?wid=320&amp;op_usm=0.8",1)</f>
        <v/>
      </c>
      <c r="B520" s="6" t="inlineStr">
        <is>
          <t>Smooth Spacer Quarter Zip</t>
        </is>
      </c>
      <c r="C520" s="6" t="inlineStr">
        <is>
          <t>158028805</t>
        </is>
      </c>
      <c r="D520" s="6" t="inlineStr">
        <is>
          <t>158028805-steelblue</t>
        </is>
      </c>
      <c r="E520" s="6" t="inlineStr">
        <is>
          <t>Smooth Spacer Quarter Zip OVBR S</t>
        </is>
      </c>
      <c r="F520" s="6" t="inlineStr">
        <is>
          <t>$138.00</t>
        </is>
      </c>
      <c r="G520" s="6" t="inlineStr">
        <is>
          <t>$69.00</t>
        </is>
      </c>
      <c r="H520" s="6" t="inlineStr">
        <is>
          <t>Steel Blue</t>
        </is>
      </c>
      <c r="I520" s="6">
        <f>IMAGE("https://images.lululemon.com/is/image/lululemon/1179",1)</f>
        <v/>
      </c>
      <c r="J520" s="6" t="inlineStr">
        <is>
          <t>XXL</t>
        </is>
      </c>
      <c r="K520" s="6" t="inlineStr">
        <is>
          <t>14/858</t>
        </is>
      </c>
      <c r="L520" s="6" t="inlineStr">
        <is>
          <t>Yes</t>
        </is>
      </c>
      <c r="M520" s="6" t="inlineStr">
        <is>
          <t>Instant recovery mode. Fast-drying fabric on this top is soft on the outside and sleek next to skin for that perfect cool-down feeling.</t>
        </is>
      </c>
      <c r="N520" s="6" t="inlineStr">
        <is>
          <t>Smooth-Spacer-Quarter-Zip</t>
        </is>
      </c>
      <c r="O520" s="6" t="inlineStr">
        <is>
          <t>Half Zip Sweatshirts, Quarter Zip Sweatshirts</t>
        </is>
      </c>
    </row>
    <row r="521" ht="80" customHeight="1">
      <c r="A521" s="7">
        <f>IMAGE("https://images.lululemon.com/is/image/lululemon/LM4APWS_0001_1?wid=320&amp;op_usm=0.8",1)</f>
        <v/>
      </c>
      <c r="B521" s="7" t="inlineStr">
        <is>
          <t>Pace Breaker Jacket</t>
        </is>
      </c>
      <c r="C521" s="7" t="inlineStr">
        <is>
          <t>155752051</t>
        </is>
      </c>
      <c r="D521" s="7" t="inlineStr">
        <is>
          <t>155752051-clubblue</t>
        </is>
      </c>
      <c r="E521" s="7" t="inlineStr">
        <is>
          <t>Pace Breaker Jacket CLBL S</t>
        </is>
      </c>
      <c r="F521" s="7" t="inlineStr">
        <is>
          <t>$168.00</t>
        </is>
      </c>
      <c r="G521" s="7" t="inlineStr">
        <is>
          <t>$84.00</t>
        </is>
      </c>
      <c r="H521" s="7" t="inlineStr">
        <is>
          <t>Club Blue</t>
        </is>
      </c>
      <c r="I521" s="7">
        <f>IMAGE("https://images.lululemon.com/is/image/lululemon/68578",1)</f>
        <v/>
      </c>
      <c r="J521" s="7" t="inlineStr">
        <is>
          <t>S</t>
        </is>
      </c>
      <c r="K521" s="7" t="inlineStr">
        <is>
          <t>16/527</t>
        </is>
      </c>
      <c r="L521" s="7" t="inlineStr">
        <is>
          <t>Yes</t>
        </is>
      </c>
      <c r="M521" s="7" t="inlineStr">
        <is>
          <t>Designed for cross-sport performance, this versatile jacket has a wrap-around panel of ventilation for maximum comfort as you run and train.</t>
        </is>
      </c>
      <c r="N521" s="7" t="inlineStr">
        <is>
          <t>Pace-Breaker-Jacket</t>
        </is>
      </c>
      <c r="O521" s="7" t="inlineStr">
        <is>
          <t>Athletic Jackets</t>
        </is>
      </c>
    </row>
    <row r="522" ht="80" customHeight="1">
      <c r="A522" s="4">
        <f>IMAGE("https://images.lululemon.com/is/image/lululemon/LM4APWS_0001_1?wid=320&amp;op_usm=0.8",1)</f>
        <v/>
      </c>
      <c r="B522" s="4" t="inlineStr">
        <is>
          <t>Pace Breaker Jacket</t>
        </is>
      </c>
      <c r="C522" s="4" t="inlineStr">
        <is>
          <t>155752038</t>
        </is>
      </c>
      <c r="D522" s="4" t="inlineStr">
        <is>
          <t>155752038-clubblue</t>
        </is>
      </c>
      <c r="E522" s="4" t="inlineStr">
        <is>
          <t>Pace Breaker Jacket CLBL S</t>
        </is>
      </c>
      <c r="F522" s="4" t="inlineStr">
        <is>
          <t>$168.00</t>
        </is>
      </c>
      <c r="G522" s="4" t="inlineStr">
        <is>
          <t>$84.00</t>
        </is>
      </c>
      <c r="H522" s="4" t="inlineStr">
        <is>
          <t>Club Blue</t>
        </is>
      </c>
      <c r="I522" s="4">
        <f>IMAGE("https://images.lululemon.com/is/image/lululemon/68578",1)</f>
        <v/>
      </c>
      <c r="J522" s="4" t="inlineStr">
        <is>
          <t>M</t>
        </is>
      </c>
      <c r="K522" s="4" t="inlineStr">
        <is>
          <t>60/527</t>
        </is>
      </c>
      <c r="L522" s="4" t="inlineStr">
        <is>
          <t>Yes</t>
        </is>
      </c>
      <c r="M522" s="4" t="inlineStr">
        <is>
          <t>Designed for cross-sport performance, this versatile jacket has a wrap-around panel of ventilation for maximum comfort as you run and train.</t>
        </is>
      </c>
      <c r="N522" s="4" t="inlineStr">
        <is>
          <t>Pace-Breaker-Jacket</t>
        </is>
      </c>
      <c r="O522" s="4" t="inlineStr">
        <is>
          <t>Athletic Jackets</t>
        </is>
      </c>
    </row>
    <row r="523" ht="80" customHeight="1">
      <c r="A523" s="7">
        <f>IMAGE("https://images.lululemon.com/is/image/lululemon/LM4APWS_0001_1?wid=320&amp;op_usm=0.8",1)</f>
        <v/>
      </c>
      <c r="B523" s="7" t="inlineStr">
        <is>
          <t>Pace Breaker Jacket</t>
        </is>
      </c>
      <c r="C523" s="7" t="inlineStr">
        <is>
          <t>155752026</t>
        </is>
      </c>
      <c r="D523" s="7" t="inlineStr">
        <is>
          <t>155752026-clubblue</t>
        </is>
      </c>
      <c r="E523" s="7" t="inlineStr">
        <is>
          <t>Pace Breaker Jacket CLBL S</t>
        </is>
      </c>
      <c r="F523" s="7" t="inlineStr">
        <is>
          <t>$168.00</t>
        </is>
      </c>
      <c r="G523" s="7" t="inlineStr">
        <is>
          <t>$84.00</t>
        </is>
      </c>
      <c r="H523" s="7" t="inlineStr">
        <is>
          <t>Club Blue</t>
        </is>
      </c>
      <c r="I523" s="7">
        <f>IMAGE("https://images.lululemon.com/is/image/lululemon/68578",1)</f>
        <v/>
      </c>
      <c r="J523" s="7" t="inlineStr">
        <is>
          <t>L</t>
        </is>
      </c>
      <c r="K523" s="7" t="inlineStr">
        <is>
          <t>87/527</t>
        </is>
      </c>
      <c r="L523" s="7" t="inlineStr">
        <is>
          <t>Yes</t>
        </is>
      </c>
      <c r="M523" s="7" t="inlineStr">
        <is>
          <t>Designed for cross-sport performance, this versatile jacket has a wrap-around panel of ventilation for maximum comfort as you run and train.</t>
        </is>
      </c>
      <c r="N523" s="7" t="inlineStr">
        <is>
          <t>Pace-Breaker-Jacket</t>
        </is>
      </c>
      <c r="O523" s="7" t="inlineStr">
        <is>
          <t>Athletic Jackets</t>
        </is>
      </c>
    </row>
    <row r="524" ht="80" customHeight="1">
      <c r="A524" s="4">
        <f>IMAGE("https://images.lululemon.com/is/image/lululemon/LM4APWS_0001_1?wid=320&amp;op_usm=0.8",1)</f>
        <v/>
      </c>
      <c r="B524" s="4" t="inlineStr">
        <is>
          <t>Pace Breaker Jacket</t>
        </is>
      </c>
      <c r="C524" s="4" t="inlineStr">
        <is>
          <t>155752065</t>
        </is>
      </c>
      <c r="D524" s="4" t="inlineStr">
        <is>
          <t>155752065-clubblue</t>
        </is>
      </c>
      <c r="E524" s="4" t="inlineStr">
        <is>
          <t>Pace Breaker Jacket CLBL S</t>
        </is>
      </c>
      <c r="F524" s="4" t="inlineStr">
        <is>
          <t>$168.00</t>
        </is>
      </c>
      <c r="G524" s="4" t="inlineStr">
        <is>
          <t>$84.00</t>
        </is>
      </c>
      <c r="H524" s="4" t="inlineStr">
        <is>
          <t>Club Blue</t>
        </is>
      </c>
      <c r="I524" s="4">
        <f>IMAGE("https://images.lululemon.com/is/image/lululemon/68578",1)</f>
        <v/>
      </c>
      <c r="J524" s="4" t="inlineStr">
        <is>
          <t>XL</t>
        </is>
      </c>
      <c r="K524" s="4" t="inlineStr">
        <is>
          <t>59/527</t>
        </is>
      </c>
      <c r="L524" s="4" t="inlineStr">
        <is>
          <t>Yes</t>
        </is>
      </c>
      <c r="M524" s="4" t="inlineStr">
        <is>
          <t>Designed for cross-sport performance, this versatile jacket has a wrap-around panel of ventilation for maximum comfort as you run and train.</t>
        </is>
      </c>
      <c r="N524" s="4" t="inlineStr">
        <is>
          <t>Pace-Breaker-Jacket</t>
        </is>
      </c>
      <c r="O524" s="4" t="inlineStr">
        <is>
          <t>Athletic Jackets</t>
        </is>
      </c>
    </row>
    <row r="525" ht="80" customHeight="1">
      <c r="A525" s="7">
        <f>IMAGE("https://images.lululemon.com/is/image/lululemon/LM4APWS_0001_1?wid=320&amp;op_usm=0.8",1)</f>
        <v/>
      </c>
      <c r="B525" s="7" t="inlineStr">
        <is>
          <t>Pace Breaker Jacket</t>
        </is>
      </c>
      <c r="C525" s="7" t="inlineStr">
        <is>
          <t>155752093</t>
        </is>
      </c>
      <c r="D525" s="7" t="inlineStr">
        <is>
          <t>155752093-clubblue</t>
        </is>
      </c>
      <c r="E525" s="7" t="inlineStr">
        <is>
          <t>Pace Breaker Jacket CLBL S</t>
        </is>
      </c>
      <c r="F525" s="7" t="inlineStr">
        <is>
          <t>$168.00</t>
        </is>
      </c>
      <c r="G525" s="7" t="inlineStr">
        <is>
          <t>$84.00</t>
        </is>
      </c>
      <c r="H525" s="7" t="inlineStr">
        <is>
          <t>Club Blue</t>
        </is>
      </c>
      <c r="I525" s="7">
        <f>IMAGE("https://images.lululemon.com/is/image/lululemon/68578",1)</f>
        <v/>
      </c>
      <c r="J525" s="7" t="inlineStr">
        <is>
          <t>XXL</t>
        </is>
      </c>
      <c r="K525" s="7" t="inlineStr">
        <is>
          <t>22/527</t>
        </is>
      </c>
      <c r="L525" s="7" t="inlineStr">
        <is>
          <t>Yes</t>
        </is>
      </c>
      <c r="M525" s="7" t="inlineStr">
        <is>
          <t>Designed for cross-sport performance, this versatile jacket has a wrap-around panel of ventilation for maximum comfort as you run and train.</t>
        </is>
      </c>
      <c r="N525" s="7" t="inlineStr">
        <is>
          <t>Pace-Breaker-Jacket</t>
        </is>
      </c>
      <c r="O525" s="7" t="inlineStr">
        <is>
          <t>Athletic Jackets</t>
        </is>
      </c>
    </row>
    <row r="526" ht="80" customHeight="1">
      <c r="A526" s="4">
        <f>IMAGE("https://images.lululemon.com/is/image/lululemon/LM4APWS_0001_1?wid=320&amp;op_usm=0.8",1)</f>
        <v/>
      </c>
      <c r="B526" s="4" t="inlineStr">
        <is>
          <t>Pace Breaker Jacket</t>
        </is>
      </c>
      <c r="C526" s="4" t="inlineStr">
        <is>
          <t>158032189</t>
        </is>
      </c>
      <c r="D526" s="4" t="inlineStr">
        <is>
          <t>158032189-steelblue</t>
        </is>
      </c>
      <c r="E526" s="4" t="inlineStr">
        <is>
          <t>Pace Breaker Jacket CLBL S</t>
        </is>
      </c>
      <c r="F526" s="4" t="inlineStr">
        <is>
          <t>$168.00</t>
        </is>
      </c>
      <c r="G526" s="4" t="inlineStr">
        <is>
          <t>$84.00</t>
        </is>
      </c>
      <c r="H526" s="4" t="inlineStr">
        <is>
          <t>Steel Blue</t>
        </is>
      </c>
      <c r="I526" s="4">
        <f>IMAGE("https://images.lululemon.com/is/image/lululemon/1179",1)</f>
        <v/>
      </c>
      <c r="J526" s="4" t="inlineStr">
        <is>
          <t>S</t>
        </is>
      </c>
      <c r="K526" s="4" t="inlineStr">
        <is>
          <t>10/527</t>
        </is>
      </c>
      <c r="L526" s="4" t="inlineStr">
        <is>
          <t>Yes</t>
        </is>
      </c>
      <c r="M526" s="4" t="inlineStr">
        <is>
          <t>Designed for cross-sport performance, this versatile jacket has a wrap-around panel of ventilation for maximum comfort as you run and train.</t>
        </is>
      </c>
      <c r="N526" s="4" t="inlineStr">
        <is>
          <t>Pace-Breaker-Jacket</t>
        </is>
      </c>
      <c r="O526" s="4" t="inlineStr">
        <is>
          <t>Athletic Jackets</t>
        </is>
      </c>
    </row>
    <row r="527" ht="80" customHeight="1">
      <c r="A527" s="7">
        <f>IMAGE("https://images.lululemon.com/is/image/lululemon/LM4APWS_0001_1?wid=320&amp;op_usm=0.8",1)</f>
        <v/>
      </c>
      <c r="B527" s="7" t="inlineStr">
        <is>
          <t>Pace Breaker Jacket</t>
        </is>
      </c>
      <c r="C527" s="7" t="inlineStr">
        <is>
          <t>158032165</t>
        </is>
      </c>
      <c r="D527" s="7" t="inlineStr">
        <is>
          <t>158032165-steelblue</t>
        </is>
      </c>
      <c r="E527" s="7" t="inlineStr">
        <is>
          <t>Pace Breaker Jacket CLBL S</t>
        </is>
      </c>
      <c r="F527" s="7" t="inlineStr">
        <is>
          <t>$168.00</t>
        </is>
      </c>
      <c r="G527" s="7" t="inlineStr">
        <is>
          <t>$84.00</t>
        </is>
      </c>
      <c r="H527" s="7" t="inlineStr">
        <is>
          <t>Steel Blue</t>
        </is>
      </c>
      <c r="I527" s="7">
        <f>IMAGE("https://images.lululemon.com/is/image/lululemon/1179",1)</f>
        <v/>
      </c>
      <c r="J527" s="7" t="inlineStr">
        <is>
          <t>M</t>
        </is>
      </c>
      <c r="K527" s="7" t="inlineStr">
        <is>
          <t>41/527</t>
        </is>
      </c>
      <c r="L527" s="7" t="inlineStr">
        <is>
          <t>Yes</t>
        </is>
      </c>
      <c r="M527" s="7" t="inlineStr">
        <is>
          <t>Designed for cross-sport performance, this versatile jacket has a wrap-around panel of ventilation for maximum comfort as you run and train.</t>
        </is>
      </c>
      <c r="N527" s="7" t="inlineStr">
        <is>
          <t>Pace-Breaker-Jacket</t>
        </is>
      </c>
      <c r="O527" s="7" t="inlineStr">
        <is>
          <t>Athletic Jackets</t>
        </is>
      </c>
    </row>
    <row r="528" ht="80" customHeight="1">
      <c r="A528" s="4">
        <f>IMAGE("https://images.lululemon.com/is/image/lululemon/LM4APWS_0001_1?wid=320&amp;op_usm=0.8",1)</f>
        <v/>
      </c>
      <c r="B528" s="4" t="inlineStr">
        <is>
          <t>Pace Breaker Jacket</t>
        </is>
      </c>
      <c r="C528" s="4" t="inlineStr">
        <is>
          <t>158032148</t>
        </is>
      </c>
      <c r="D528" s="4" t="inlineStr">
        <is>
          <t>158032148-steelblue</t>
        </is>
      </c>
      <c r="E528" s="4" t="inlineStr">
        <is>
          <t>Pace Breaker Jacket CLBL S</t>
        </is>
      </c>
      <c r="F528" s="4" t="inlineStr">
        <is>
          <t>$168.00</t>
        </is>
      </c>
      <c r="G528" s="4" t="inlineStr">
        <is>
          <t>$84.00</t>
        </is>
      </c>
      <c r="H528" s="4" t="inlineStr">
        <is>
          <t>Steel Blue</t>
        </is>
      </c>
      <c r="I528" s="4">
        <f>IMAGE("https://images.lululemon.com/is/image/lululemon/1179",1)</f>
        <v/>
      </c>
      <c r="J528" s="4" t="inlineStr">
        <is>
          <t>L</t>
        </is>
      </c>
      <c r="K528" s="4" t="inlineStr">
        <is>
          <t>59/527</t>
        </is>
      </c>
      <c r="L528" s="4" t="inlineStr">
        <is>
          <t>Yes</t>
        </is>
      </c>
      <c r="M528" s="4" t="inlineStr">
        <is>
          <t>Designed for cross-sport performance, this versatile jacket has a wrap-around panel of ventilation for maximum comfort as you run and train.</t>
        </is>
      </c>
      <c r="N528" s="4" t="inlineStr">
        <is>
          <t>Pace-Breaker-Jacket</t>
        </is>
      </c>
      <c r="O528" s="4" t="inlineStr">
        <is>
          <t>Athletic Jackets</t>
        </is>
      </c>
    </row>
    <row r="529" ht="80" customHeight="1">
      <c r="A529" s="7">
        <f>IMAGE("https://images.lululemon.com/is/image/lululemon/LM4APWS_0001_1?wid=320&amp;op_usm=0.8",1)</f>
        <v/>
      </c>
      <c r="B529" s="7" t="inlineStr">
        <is>
          <t>Pace Breaker Jacket</t>
        </is>
      </c>
      <c r="C529" s="7" t="inlineStr">
        <is>
          <t>158032212</t>
        </is>
      </c>
      <c r="D529" s="7" t="inlineStr">
        <is>
          <t>158032212-steelblue</t>
        </is>
      </c>
      <c r="E529" s="7" t="inlineStr">
        <is>
          <t>Pace Breaker Jacket CLBL S</t>
        </is>
      </c>
      <c r="F529" s="7" t="inlineStr">
        <is>
          <t>$168.00</t>
        </is>
      </c>
      <c r="G529" s="7" t="inlineStr">
        <is>
          <t>$84.00</t>
        </is>
      </c>
      <c r="H529" s="7" t="inlineStr">
        <is>
          <t>Steel Blue</t>
        </is>
      </c>
      <c r="I529" s="7">
        <f>IMAGE("https://images.lululemon.com/is/image/lululemon/1179",1)</f>
        <v/>
      </c>
      <c r="J529" s="7" t="inlineStr">
        <is>
          <t>XL</t>
        </is>
      </c>
      <c r="K529" s="7" t="inlineStr">
        <is>
          <t>40/527</t>
        </is>
      </c>
      <c r="L529" s="7" t="inlineStr">
        <is>
          <t>Yes</t>
        </is>
      </c>
      <c r="M529" s="7" t="inlineStr">
        <is>
          <t>Designed for cross-sport performance, this versatile jacket has a wrap-around panel of ventilation for maximum comfort as you run and train.</t>
        </is>
      </c>
      <c r="N529" s="7" t="inlineStr">
        <is>
          <t>Pace-Breaker-Jacket</t>
        </is>
      </c>
      <c r="O529" s="7" t="inlineStr">
        <is>
          <t>Athletic Jackets</t>
        </is>
      </c>
    </row>
    <row r="530" ht="80" customHeight="1">
      <c r="A530" s="4">
        <f>IMAGE("https://images.lululemon.com/is/image/lululemon/LM4APWS_0001_1?wid=320&amp;op_usm=0.8",1)</f>
        <v/>
      </c>
      <c r="B530" s="4" t="inlineStr">
        <is>
          <t>Pace Breaker Jacket</t>
        </is>
      </c>
      <c r="C530" s="4" t="inlineStr">
        <is>
          <t>158032257</t>
        </is>
      </c>
      <c r="D530" s="4" t="inlineStr">
        <is>
          <t>158032257-steelblue</t>
        </is>
      </c>
      <c r="E530" s="4" t="inlineStr">
        <is>
          <t>Pace Breaker Jacket CLBL S</t>
        </is>
      </c>
      <c r="F530" s="4" t="inlineStr">
        <is>
          <t>$168.00</t>
        </is>
      </c>
      <c r="G530" s="4" t="inlineStr">
        <is>
          <t>$84.00</t>
        </is>
      </c>
      <c r="H530" s="4" t="inlineStr">
        <is>
          <t>Steel Blue</t>
        </is>
      </c>
      <c r="I530" s="4">
        <f>IMAGE("https://images.lululemon.com/is/image/lululemon/1179",1)</f>
        <v/>
      </c>
      <c r="J530" s="4" t="inlineStr">
        <is>
          <t>XXL</t>
        </is>
      </c>
      <c r="K530" s="4" t="inlineStr">
        <is>
          <t>15/527</t>
        </is>
      </c>
      <c r="L530" s="4" t="inlineStr">
        <is>
          <t>Yes</t>
        </is>
      </c>
      <c r="M530" s="4" t="inlineStr">
        <is>
          <t>Designed for cross-sport performance, this versatile jacket has a wrap-around panel of ventilation for maximum comfort as you run and train.</t>
        </is>
      </c>
      <c r="N530" s="4" t="inlineStr">
        <is>
          <t>Pace-Breaker-Jacket</t>
        </is>
      </c>
      <c r="O530" s="4" t="inlineStr">
        <is>
          <t>Athletic Jackets</t>
        </is>
      </c>
    </row>
    <row r="531" ht="80" customHeight="1">
      <c r="A531" s="7">
        <f>IMAGE("https://images.lululemon.com/is/image/lululemon/LM4APWS_0001_1?wid=320&amp;op_usm=0.8",1)</f>
        <v/>
      </c>
      <c r="B531" s="7" t="inlineStr">
        <is>
          <t>Pace Breaker Jacket</t>
        </is>
      </c>
      <c r="C531" s="7" t="inlineStr">
        <is>
          <t>150075831</t>
        </is>
      </c>
      <c r="D531" s="7" t="inlineStr">
        <is>
          <t>150075831-black</t>
        </is>
      </c>
      <c r="E531" s="7" t="inlineStr">
        <is>
          <t>Pace Breaker Jacket CLBL S</t>
        </is>
      </c>
      <c r="F531" s="7" t="inlineStr">
        <is>
          <t>$168.00</t>
        </is>
      </c>
      <c r="G531" s="7" t="inlineStr">
        <is>
          <t>$84.00</t>
        </is>
      </c>
      <c r="H531" s="7" t="inlineStr">
        <is>
          <t>Black</t>
        </is>
      </c>
      <c r="I531" s="7">
        <f>IMAGE("https://images.lululemon.com/is/image/lululemon/0001",1)</f>
        <v/>
      </c>
      <c r="J531" s="7" t="inlineStr">
        <is>
          <t>L</t>
        </is>
      </c>
      <c r="K531" s="7" t="inlineStr">
        <is>
          <t>67/527</t>
        </is>
      </c>
      <c r="L531" s="7" t="inlineStr">
        <is>
          <t>Yes</t>
        </is>
      </c>
      <c r="M531" s="7" t="inlineStr">
        <is>
          <t>Designed for cross-sport performance, this versatile jacket has a wrap-around panel of ventilation for maximum comfort as you run and train.</t>
        </is>
      </c>
      <c r="N531" s="7" t="inlineStr">
        <is>
          <t>Pace-Breaker-Jacket</t>
        </is>
      </c>
      <c r="O531" s="7" t="inlineStr">
        <is>
          <t>Athletic Jackets</t>
        </is>
      </c>
    </row>
    <row r="532" ht="80" customHeight="1">
      <c r="A532" s="4">
        <f>IMAGE("https://images.lululemon.com/is/image/lululemon/LM4APWS_0001_1?wid=320&amp;op_usm=0.8",1)</f>
        <v/>
      </c>
      <c r="B532" s="4" t="inlineStr">
        <is>
          <t>Pace Breaker Jacket</t>
        </is>
      </c>
      <c r="C532" s="4" t="inlineStr">
        <is>
          <t>150075841</t>
        </is>
      </c>
      <c r="D532" s="4" t="inlineStr">
        <is>
          <t>150075841-black</t>
        </is>
      </c>
      <c r="E532" s="4" t="inlineStr">
        <is>
          <t>Pace Breaker Jacket CLBL S</t>
        </is>
      </c>
      <c r="F532" s="4" t="inlineStr">
        <is>
          <t>$168.00</t>
        </is>
      </c>
      <c r="G532" s="4" t="inlineStr">
        <is>
          <t>$84.00</t>
        </is>
      </c>
      <c r="H532" s="4" t="inlineStr">
        <is>
          <t>Black</t>
        </is>
      </c>
      <c r="I532" s="4">
        <f>IMAGE("https://images.lululemon.com/is/image/lululemon/0001",1)</f>
        <v/>
      </c>
      <c r="J532" s="4" t="inlineStr">
        <is>
          <t>XL</t>
        </is>
      </c>
      <c r="K532" s="4" t="inlineStr">
        <is>
          <t>28/527</t>
        </is>
      </c>
      <c r="L532" s="4" t="inlineStr">
        <is>
          <t>Yes</t>
        </is>
      </c>
      <c r="M532" s="4" t="inlineStr">
        <is>
          <t>Designed for cross-sport performance, this versatile jacket has a wrap-around panel of ventilation for maximum comfort as you run and train.</t>
        </is>
      </c>
      <c r="N532" s="4" t="inlineStr">
        <is>
          <t>Pace-Breaker-Jacket</t>
        </is>
      </c>
      <c r="O532" s="4" t="inlineStr">
        <is>
          <t>Athletic Jackets</t>
        </is>
      </c>
    </row>
    <row r="533" ht="80" customHeight="1">
      <c r="A533" s="5">
        <f>IMAGE("https://images.lululemon.com/is/image/lululemon/LM4APWS_0001_1?wid=320&amp;op_usm=0.8",1)</f>
        <v/>
      </c>
      <c r="B533" s="5" t="inlineStr">
        <is>
          <t>Pace Breaker Jacket</t>
        </is>
      </c>
      <c r="C533" s="5" t="inlineStr">
        <is>
          <t>150075847</t>
        </is>
      </c>
      <c r="D533" s="5" t="inlineStr">
        <is>
          <t>150075847-black</t>
        </is>
      </c>
      <c r="E533" s="5" t="inlineStr">
        <is>
          <t>Pace Breaker Jacket CLBL S</t>
        </is>
      </c>
      <c r="F533" s="5" t="inlineStr">
        <is>
          <t>$168.00</t>
        </is>
      </c>
      <c r="G533" s="5" t="inlineStr">
        <is>
          <t>$84.00</t>
        </is>
      </c>
      <c r="H533" s="5" t="inlineStr">
        <is>
          <t>Black</t>
        </is>
      </c>
      <c r="I533" s="5">
        <f>IMAGE("https://images.lululemon.com/is/image/lululemon/0001",1)</f>
        <v/>
      </c>
      <c r="J533" s="5" t="inlineStr">
        <is>
          <t>XXL</t>
        </is>
      </c>
      <c r="K533" s="5" t="inlineStr">
        <is>
          <t>23/527</t>
        </is>
      </c>
      <c r="L533" s="5" t="inlineStr">
        <is>
          <t>Yes</t>
        </is>
      </c>
      <c r="M533" s="5" t="inlineStr">
        <is>
          <t>Designed for cross-sport performance, this versatile jacket has a wrap-around panel of ventilation for maximum comfort as you run and train.</t>
        </is>
      </c>
      <c r="N533" s="5" t="inlineStr">
        <is>
          <t>Pace-Breaker-Jacket</t>
        </is>
      </c>
      <c r="O533" s="5" t="inlineStr">
        <is>
          <t>Athletic Jackets</t>
        </is>
      </c>
    </row>
    <row r="534" ht="80" customHeight="1">
      <c r="A534" s="6">
        <f>IMAGE("https://images.lululemon.com/is/image/lululemon/LU9BZRS_0001_1?wid=320&amp;op_usm=0.8",1)</f>
        <v/>
      </c>
      <c r="B534" s="6" t="inlineStr">
        <is>
          <t>Everywhere Belt Bag 1L *Wunder Puff Shine</t>
        </is>
      </c>
      <c r="C534" s="6" t="inlineStr">
        <is>
          <t>154877945</t>
        </is>
      </c>
      <c r="D534" s="6" t="inlineStr">
        <is>
          <t>154877945-black</t>
        </is>
      </c>
      <c r="E534" s="6" t="inlineStr">
        <is>
          <t>Everywhere Belt Bag *Wunder Puff BLK ONE SIZE</t>
        </is>
      </c>
      <c r="F534" s="6" t="inlineStr">
        <is>
          <t>$58.00</t>
        </is>
      </c>
      <c r="G534" s="6" t="inlineStr">
        <is>
          <t>$29.00</t>
        </is>
      </c>
      <c r="H534" s="6" t="inlineStr">
        <is>
          <t>Black</t>
        </is>
      </c>
      <c r="I534" s="6">
        <f>IMAGE("https://images.lululemon.com/is/image/lululemon/0001",1)</f>
        <v/>
      </c>
      <c r="J534" s="6" t="inlineStr">
        <is>
          <t>O/S</t>
        </is>
      </c>
      <c r="K534" s="6" t="inlineStr">
        <is>
          <t>645/645</t>
        </is>
      </c>
      <c r="L534" s="6" t="inlineStr">
        <is>
          <t>Yes</t>
        </is>
      </c>
      <c r="M534" s="6" t="inlineStr">
        <is>
          <t>Inspired by the look of our Wunder Puff collection, this quilted Everywhere Belt Bag has space for your phone, keys, and wallet.</t>
        </is>
      </c>
      <c r="N534" s="6" t="inlineStr">
        <is>
          <t>Everywhere-Belt-Bag-1L-Wunder-Puff-Shine</t>
        </is>
      </c>
      <c r="O534" s="6" t="inlineStr">
        <is>
          <t>Belt Bags, Crossbody Bags</t>
        </is>
      </c>
    </row>
    <row r="535" ht="80" customHeight="1">
      <c r="A535" s="5">
        <f>IMAGE("https://images.lululemon.com/is/image/lululemon/LU9AYAS_038426_1?wid=320&amp;op_usm=0.8",1)</f>
        <v/>
      </c>
      <c r="B535" s="5" t="inlineStr">
        <is>
          <t>The Lightweight Mat 5mm</t>
        </is>
      </c>
      <c r="C535" s="5" t="inlineStr">
        <is>
          <t>155825816</t>
        </is>
      </c>
      <c r="D535" s="5" t="inlineStr">
        <is>
          <t>155825816-solargrey</t>
        </is>
      </c>
      <c r="E535" s="5" t="inlineStr">
        <is>
          <t>The Lightweight Mat 5mm SOGY ONE SIZE</t>
        </is>
      </c>
      <c r="F535" s="5" t="inlineStr">
        <is>
          <t>$84.00</t>
        </is>
      </c>
      <c r="G535" s="5" t="inlineStr">
        <is>
          <t>$42.00</t>
        </is>
      </c>
      <c r="H535" s="5" t="inlineStr">
        <is>
          <t>Solar Grey</t>
        </is>
      </c>
      <c r="I535" s="5">
        <f>IMAGE("https://images.lululemon.com/is/image/lululemon/38426",1)</f>
        <v/>
      </c>
      <c r="J535" s="5" t="inlineStr">
        <is>
          <t>O/S</t>
        </is>
      </c>
      <c r="K535" s="5" t="inlineStr">
        <is>
          <t>63/63</t>
        </is>
      </c>
      <c r="L535" s="5" t="inlineStr">
        <is>
          <t>Yes</t>
        </is>
      </c>
      <c r="M535" s="5" t="inlineStr">
        <is>
          <t>This cushiony, easy-to-clean yoga mat is perfect for low-sweat practices. Pair with The Towel for extra grip when things heat up.</t>
        </is>
      </c>
      <c r="N535" s="5" t="inlineStr">
        <is>
          <t>The-Lightweight-Mat-5mm</t>
        </is>
      </c>
      <c r="O535" s="5" t="inlineStr"/>
    </row>
    <row r="536" ht="80" customHeight="1">
      <c r="A536" s="4">
        <f>IMAGE("https://images.lululemon.com/is/image/lululemon/LM3FHKS_4780_1?wid=320&amp;op_usm=0.8",1)</f>
        <v/>
      </c>
      <c r="B536" s="4" t="inlineStr">
        <is>
          <t>Metal Vent Tech Long-Sleeve Shirt</t>
        </is>
      </c>
      <c r="C536" s="4" t="inlineStr">
        <is>
          <t>154842242</t>
        </is>
      </c>
      <c r="D536" s="4" t="inlineStr">
        <is>
          <t>154842242-black/black</t>
        </is>
      </c>
      <c r="E536" s="4" t="inlineStr">
        <is>
          <t>Metal Vent Tech Long Sleeve BLK/BLK S</t>
        </is>
      </c>
      <c r="F536" s="4" t="inlineStr">
        <is>
          <t>$88.00</t>
        </is>
      </c>
      <c r="G536" s="4" t="inlineStr">
        <is>
          <t>$44.00</t>
        </is>
      </c>
      <c r="H536" s="4" t="inlineStr">
        <is>
          <t>Black/Black</t>
        </is>
      </c>
      <c r="I536" s="4">
        <f>IMAGE("https://images.lululemon.com/is/image/lululemon/4780",1)</f>
        <v/>
      </c>
      <c r="J536" s="4" t="inlineStr">
        <is>
          <t>S</t>
        </is>
      </c>
      <c r="K536" s="4" t="inlineStr">
        <is>
          <t>26/713</t>
        </is>
      </c>
      <c r="L536" s="4" t="inlineStr">
        <is>
          <t>Yes</t>
        </is>
      </c>
      <c r="M536" s="4" t="inlineStr">
        <is>
          <t>Your potential—unlocked. The Metal Vent Tech collection uses seamless construction to minimize distractions from chafe and sweat so you can stay laser focused.</t>
        </is>
      </c>
      <c r="N536" s="4" t="inlineStr">
        <is>
          <t>Metal-Vent-Tech-Long-Sleeve-Shirt-3</t>
        </is>
      </c>
      <c r="O536" s="4" t="inlineStr"/>
    </row>
    <row r="537" ht="80" customHeight="1">
      <c r="A537" s="7">
        <f>IMAGE("https://images.lululemon.com/is/image/lululemon/LM3FHKS_4780_1?wid=320&amp;op_usm=0.8",1)</f>
        <v/>
      </c>
      <c r="B537" s="7" t="inlineStr">
        <is>
          <t>Metal Vent Tech Long-Sleeve Shirt</t>
        </is>
      </c>
      <c r="C537" s="7" t="inlineStr">
        <is>
          <t>154842235</t>
        </is>
      </c>
      <c r="D537" s="7" t="inlineStr">
        <is>
          <t>154842235-black/black</t>
        </is>
      </c>
      <c r="E537" s="7" t="inlineStr">
        <is>
          <t>Metal Vent Tech Long Sleeve BLK/BLK S</t>
        </is>
      </c>
      <c r="F537" s="7" t="inlineStr">
        <is>
          <t>$88.00</t>
        </is>
      </c>
      <c r="G537" s="7" t="inlineStr">
        <is>
          <t>$44.00</t>
        </is>
      </c>
      <c r="H537" s="7" t="inlineStr">
        <is>
          <t>Black/Black</t>
        </is>
      </c>
      <c r="I537" s="7">
        <f>IMAGE("https://images.lululemon.com/is/image/lululemon/4780",1)</f>
        <v/>
      </c>
      <c r="J537" s="7" t="inlineStr">
        <is>
          <t>M</t>
        </is>
      </c>
      <c r="K537" s="7" t="inlineStr">
        <is>
          <t>37/713</t>
        </is>
      </c>
      <c r="L537" s="7" t="inlineStr">
        <is>
          <t>Yes</t>
        </is>
      </c>
      <c r="M537" s="7" t="inlineStr">
        <is>
          <t>Your potential—unlocked. The Metal Vent Tech collection uses seamless construction to minimize distractions from chafe and sweat so you can stay laser focused.</t>
        </is>
      </c>
      <c r="N537" s="7" t="inlineStr">
        <is>
          <t>Metal-Vent-Tech-Long-Sleeve-Shirt-3</t>
        </is>
      </c>
      <c r="O537" s="7" t="inlineStr"/>
    </row>
    <row r="538" ht="80" customHeight="1">
      <c r="A538" s="4">
        <f>IMAGE("https://images.lululemon.com/is/image/lululemon/LM3FHKS_4780_1?wid=320&amp;op_usm=0.8",1)</f>
        <v/>
      </c>
      <c r="B538" s="4" t="inlineStr">
        <is>
          <t>Metal Vent Tech Long-Sleeve Shirt</t>
        </is>
      </c>
      <c r="C538" s="4" t="inlineStr">
        <is>
          <t>154842229</t>
        </is>
      </c>
      <c r="D538" s="4" t="inlineStr">
        <is>
          <t>154842229-black/black</t>
        </is>
      </c>
      <c r="E538" s="4" t="inlineStr">
        <is>
          <t>Metal Vent Tech Long Sleeve BLK/BLK S</t>
        </is>
      </c>
      <c r="F538" s="4" t="inlineStr">
        <is>
          <t>$88.00</t>
        </is>
      </c>
      <c r="G538" s="4" t="inlineStr">
        <is>
          <t>$44.00</t>
        </is>
      </c>
      <c r="H538" s="4" t="inlineStr">
        <is>
          <t>Black/Black</t>
        </is>
      </c>
      <c r="I538" s="4">
        <f>IMAGE("https://images.lululemon.com/is/image/lululemon/4780",1)</f>
        <v/>
      </c>
      <c r="J538" s="4" t="inlineStr">
        <is>
          <t>L</t>
        </is>
      </c>
      <c r="K538" s="4" t="inlineStr">
        <is>
          <t>53/713</t>
        </is>
      </c>
      <c r="L538" s="4" t="inlineStr">
        <is>
          <t>Yes</t>
        </is>
      </c>
      <c r="M538" s="4" t="inlineStr">
        <is>
          <t>Your potential—unlocked. The Metal Vent Tech collection uses seamless construction to minimize distractions from chafe and sweat so you can stay laser focused.</t>
        </is>
      </c>
      <c r="N538" s="4" t="inlineStr">
        <is>
          <t>Metal-Vent-Tech-Long-Sleeve-Shirt-3</t>
        </is>
      </c>
      <c r="O538" s="4" t="inlineStr"/>
    </row>
    <row r="539" ht="80" customHeight="1">
      <c r="A539" s="7">
        <f>IMAGE("https://images.lululemon.com/is/image/lululemon/LM3FHKS_4780_1?wid=320&amp;op_usm=0.8",1)</f>
        <v/>
      </c>
      <c r="B539" s="7" t="inlineStr">
        <is>
          <t>Metal Vent Tech Long-Sleeve Shirt</t>
        </is>
      </c>
      <c r="C539" s="7" t="inlineStr">
        <is>
          <t>154842250</t>
        </is>
      </c>
      <c r="D539" s="7" t="inlineStr">
        <is>
          <t>154842250-black/black</t>
        </is>
      </c>
      <c r="E539" s="7" t="inlineStr">
        <is>
          <t>Metal Vent Tech Long Sleeve BLK/BLK S</t>
        </is>
      </c>
      <c r="F539" s="7" t="inlineStr">
        <is>
          <t>$88.00</t>
        </is>
      </c>
      <c r="G539" s="7" t="inlineStr">
        <is>
          <t>$44.00</t>
        </is>
      </c>
      <c r="H539" s="7" t="inlineStr">
        <is>
          <t>Black/Black</t>
        </is>
      </c>
      <c r="I539" s="7">
        <f>IMAGE("https://images.lululemon.com/is/image/lululemon/4780",1)</f>
        <v/>
      </c>
      <c r="J539" s="7" t="inlineStr">
        <is>
          <t>XL</t>
        </is>
      </c>
      <c r="K539" s="7" t="inlineStr">
        <is>
          <t>45/713</t>
        </is>
      </c>
      <c r="L539" s="7" t="inlineStr">
        <is>
          <t>Yes</t>
        </is>
      </c>
      <c r="M539" s="7" t="inlineStr">
        <is>
          <t>Your potential—unlocked. The Metal Vent Tech collection uses seamless construction to minimize distractions from chafe and sweat so you can stay laser focused.</t>
        </is>
      </c>
      <c r="N539" s="7" t="inlineStr">
        <is>
          <t>Metal-Vent-Tech-Long-Sleeve-Shirt-3</t>
        </is>
      </c>
      <c r="O539" s="7" t="inlineStr"/>
    </row>
    <row r="540" ht="80" customHeight="1">
      <c r="A540" s="4">
        <f>IMAGE("https://images.lululemon.com/is/image/lululemon/LM3FHKS_4780_1?wid=320&amp;op_usm=0.8",1)</f>
        <v/>
      </c>
      <c r="B540" s="4" t="inlineStr">
        <is>
          <t>Metal Vent Tech Long-Sleeve Shirt</t>
        </is>
      </c>
      <c r="C540" s="4" t="inlineStr">
        <is>
          <t>154842272</t>
        </is>
      </c>
      <c r="D540" s="4" t="inlineStr">
        <is>
          <t>154842272-black/black</t>
        </is>
      </c>
      <c r="E540" s="4" t="inlineStr">
        <is>
          <t>Metal Vent Tech Long Sleeve BLK/BLK S</t>
        </is>
      </c>
      <c r="F540" s="4" t="inlineStr">
        <is>
          <t>$88.00</t>
        </is>
      </c>
      <c r="G540" s="4" t="inlineStr">
        <is>
          <t>$44.00</t>
        </is>
      </c>
      <c r="H540" s="4" t="inlineStr">
        <is>
          <t>Black/Black</t>
        </is>
      </c>
      <c r="I540" s="4">
        <f>IMAGE("https://images.lululemon.com/is/image/lululemon/4780",1)</f>
        <v/>
      </c>
      <c r="J540" s="4" t="inlineStr">
        <is>
          <t>XXL</t>
        </is>
      </c>
      <c r="K540" s="4" t="inlineStr">
        <is>
          <t>23/713</t>
        </is>
      </c>
      <c r="L540" s="4" t="inlineStr">
        <is>
          <t>Yes</t>
        </is>
      </c>
      <c r="M540" s="4" t="inlineStr">
        <is>
          <t>Your potential—unlocked. The Metal Vent Tech collection uses seamless construction to minimize distractions from chafe and sweat so you can stay laser focused.</t>
        </is>
      </c>
      <c r="N540" s="4" t="inlineStr">
        <is>
          <t>Metal-Vent-Tech-Long-Sleeve-Shirt-3</t>
        </is>
      </c>
      <c r="O540" s="4" t="inlineStr"/>
    </row>
    <row r="541" ht="80" customHeight="1">
      <c r="A541" s="7">
        <f>IMAGE("https://images.lululemon.com/is/image/lululemon/LM3FHKS_4780_1?wid=320&amp;op_usm=0.8",1)</f>
        <v/>
      </c>
      <c r="B541" s="7" t="inlineStr">
        <is>
          <t>Metal Vent Tech Long-Sleeve Shirt</t>
        </is>
      </c>
      <c r="C541" s="7" t="inlineStr">
        <is>
          <t>158028936</t>
        </is>
      </c>
      <c r="D541" s="7" t="inlineStr">
        <is>
          <t>158028936-foggreen/pelican</t>
        </is>
      </c>
      <c r="E541" s="7" t="inlineStr">
        <is>
          <t>Metal Vent Tech Long Sleeve BLK/BLK S</t>
        </is>
      </c>
      <c r="F541" s="7" t="inlineStr">
        <is>
          <t>$88.00</t>
        </is>
      </c>
      <c r="G541" s="7" t="inlineStr">
        <is>
          <t>$44.00</t>
        </is>
      </c>
      <c r="H541" s="7" t="inlineStr">
        <is>
          <t>Fog Green/Pelican</t>
        </is>
      </c>
      <c r="I541" s="7">
        <f>IMAGE("https://images.lululemon.com/is/image/lululemon/72659",1)</f>
        <v/>
      </c>
      <c r="J541" s="7" t="inlineStr">
        <is>
          <t>S</t>
        </is>
      </c>
      <c r="K541" s="7" t="inlineStr">
        <is>
          <t>47/713</t>
        </is>
      </c>
      <c r="L541" s="7" t="inlineStr">
        <is>
          <t>Yes</t>
        </is>
      </c>
      <c r="M541" s="7" t="inlineStr">
        <is>
          <t>Your potential—unlocked. The Metal Vent Tech collection uses seamless construction to minimize distractions from chafe and sweat so you can stay laser focused.</t>
        </is>
      </c>
      <c r="N541" s="7" t="inlineStr">
        <is>
          <t>Metal-Vent-Tech-Long-Sleeve-Shirt-3</t>
        </is>
      </c>
      <c r="O541" s="7" t="inlineStr"/>
    </row>
    <row r="542" ht="80" customHeight="1">
      <c r="A542" s="4">
        <f>IMAGE("https://images.lululemon.com/is/image/lululemon/LM3FHKS_4780_1?wid=320&amp;op_usm=0.8",1)</f>
        <v/>
      </c>
      <c r="B542" s="4" t="inlineStr">
        <is>
          <t>Metal Vent Tech Long-Sleeve Shirt</t>
        </is>
      </c>
      <c r="C542" s="4" t="inlineStr">
        <is>
          <t>158028925</t>
        </is>
      </c>
      <c r="D542" s="4" t="inlineStr">
        <is>
          <t>158028925-foggreen/pelican</t>
        </is>
      </c>
      <c r="E542" s="4" t="inlineStr">
        <is>
          <t>Metal Vent Tech Long Sleeve BLK/BLK S</t>
        </is>
      </c>
      <c r="F542" s="4" t="inlineStr">
        <is>
          <t>$88.00</t>
        </is>
      </c>
      <c r="G542" s="4" t="inlineStr">
        <is>
          <t>$44.00</t>
        </is>
      </c>
      <c r="H542" s="4" t="inlineStr">
        <is>
          <t>Fog Green/Pelican</t>
        </is>
      </c>
      <c r="I542" s="4">
        <f>IMAGE("https://images.lululemon.com/is/image/lululemon/72659",1)</f>
        <v/>
      </c>
      <c r="J542" s="4" t="inlineStr">
        <is>
          <t>M</t>
        </is>
      </c>
      <c r="K542" s="4" t="inlineStr">
        <is>
          <t>140/713</t>
        </is>
      </c>
      <c r="L542" s="4" t="inlineStr">
        <is>
          <t>Yes</t>
        </is>
      </c>
      <c r="M542" s="4" t="inlineStr">
        <is>
          <t>Your potential—unlocked. The Metal Vent Tech collection uses seamless construction to minimize distractions from chafe and sweat so you can stay laser focused.</t>
        </is>
      </c>
      <c r="N542" s="4" t="inlineStr">
        <is>
          <t>Metal-Vent-Tech-Long-Sleeve-Shirt-3</t>
        </is>
      </c>
      <c r="O542" s="4" t="inlineStr"/>
    </row>
    <row r="543" ht="80" customHeight="1">
      <c r="A543" s="7">
        <f>IMAGE("https://images.lululemon.com/is/image/lululemon/LM3FHKS_4780_1?wid=320&amp;op_usm=0.8",1)</f>
        <v/>
      </c>
      <c r="B543" s="7" t="inlineStr">
        <is>
          <t>Metal Vent Tech Long-Sleeve Shirt</t>
        </is>
      </c>
      <c r="C543" s="7" t="inlineStr">
        <is>
          <t>158028917</t>
        </is>
      </c>
      <c r="D543" s="7" t="inlineStr">
        <is>
          <t>158028917-foggreen/pelican</t>
        </is>
      </c>
      <c r="E543" s="7" t="inlineStr">
        <is>
          <t>Metal Vent Tech Long Sleeve BLK/BLK S</t>
        </is>
      </c>
      <c r="F543" s="7" t="inlineStr">
        <is>
          <t>$88.00</t>
        </is>
      </c>
      <c r="G543" s="7" t="inlineStr">
        <is>
          <t>$44.00</t>
        </is>
      </c>
      <c r="H543" s="7" t="inlineStr">
        <is>
          <t>Fog Green/Pelican</t>
        </is>
      </c>
      <c r="I543" s="7">
        <f>IMAGE("https://images.lululemon.com/is/image/lululemon/72659",1)</f>
        <v/>
      </c>
      <c r="J543" s="7" t="inlineStr">
        <is>
          <t>L</t>
        </is>
      </c>
      <c r="K543" s="7" t="inlineStr">
        <is>
          <t>181/713</t>
        </is>
      </c>
      <c r="L543" s="7" t="inlineStr">
        <is>
          <t>Yes</t>
        </is>
      </c>
      <c r="M543" s="7" t="inlineStr">
        <is>
          <t>Your potential—unlocked. The Metal Vent Tech collection uses seamless construction to minimize distractions from chafe and sweat so you can stay laser focused.</t>
        </is>
      </c>
      <c r="N543" s="7" t="inlineStr">
        <is>
          <t>Metal-Vent-Tech-Long-Sleeve-Shirt-3</t>
        </is>
      </c>
      <c r="O543" s="7" t="inlineStr"/>
    </row>
    <row r="544" ht="80" customHeight="1">
      <c r="A544" s="4">
        <f>IMAGE("https://images.lululemon.com/is/image/lululemon/LM3FHKS_4780_1?wid=320&amp;op_usm=0.8",1)</f>
        <v/>
      </c>
      <c r="B544" s="4" t="inlineStr">
        <is>
          <t>Metal Vent Tech Long-Sleeve Shirt</t>
        </is>
      </c>
      <c r="C544" s="4" t="inlineStr">
        <is>
          <t>158028948</t>
        </is>
      </c>
      <c r="D544" s="4" t="inlineStr">
        <is>
          <t>158028948-foggreen/pelican</t>
        </is>
      </c>
      <c r="E544" s="4" t="inlineStr">
        <is>
          <t>Metal Vent Tech Long Sleeve BLK/BLK S</t>
        </is>
      </c>
      <c r="F544" s="4" t="inlineStr">
        <is>
          <t>$88.00</t>
        </is>
      </c>
      <c r="G544" s="4" t="inlineStr">
        <is>
          <t>$44.00</t>
        </is>
      </c>
      <c r="H544" s="4" t="inlineStr">
        <is>
          <t>Fog Green/Pelican</t>
        </is>
      </c>
      <c r="I544" s="4">
        <f>IMAGE("https://images.lululemon.com/is/image/lululemon/72659",1)</f>
        <v/>
      </c>
      <c r="J544" s="4" t="inlineStr">
        <is>
          <t>XL</t>
        </is>
      </c>
      <c r="K544" s="4" t="inlineStr">
        <is>
          <t>121/713</t>
        </is>
      </c>
      <c r="L544" s="4" t="inlineStr">
        <is>
          <t>Yes</t>
        </is>
      </c>
      <c r="M544" s="4" t="inlineStr">
        <is>
          <t>Your potential—unlocked. The Metal Vent Tech collection uses seamless construction to minimize distractions from chafe and sweat so you can stay laser focused.</t>
        </is>
      </c>
      <c r="N544" s="4" t="inlineStr">
        <is>
          <t>Metal-Vent-Tech-Long-Sleeve-Shirt-3</t>
        </is>
      </c>
      <c r="O544" s="4" t="inlineStr"/>
    </row>
    <row r="545" ht="80" customHeight="1">
      <c r="A545" s="5">
        <f>IMAGE("https://images.lululemon.com/is/image/lululemon/LM3FHKS_4780_1?wid=320&amp;op_usm=0.8",1)</f>
        <v/>
      </c>
      <c r="B545" s="5" t="inlineStr">
        <is>
          <t>Metal Vent Tech Long-Sleeve Shirt</t>
        </is>
      </c>
      <c r="C545" s="5" t="inlineStr">
        <is>
          <t>158028970</t>
        </is>
      </c>
      <c r="D545" s="5" t="inlineStr">
        <is>
          <t>158028970-foggreen/pelican</t>
        </is>
      </c>
      <c r="E545" s="5" t="inlineStr">
        <is>
          <t>Metal Vent Tech Long Sleeve BLK/BLK S</t>
        </is>
      </c>
      <c r="F545" s="5" t="inlineStr">
        <is>
          <t>$88.00</t>
        </is>
      </c>
      <c r="G545" s="5" t="inlineStr">
        <is>
          <t>$44.00</t>
        </is>
      </c>
      <c r="H545" s="5" t="inlineStr">
        <is>
          <t>Fog Green/Pelican</t>
        </is>
      </c>
      <c r="I545" s="5">
        <f>IMAGE("https://images.lululemon.com/is/image/lululemon/72659",1)</f>
        <v/>
      </c>
      <c r="J545" s="5" t="inlineStr">
        <is>
          <t>XXL</t>
        </is>
      </c>
      <c r="K545" s="5" t="inlineStr">
        <is>
          <t>40/713</t>
        </is>
      </c>
      <c r="L545" s="5" t="inlineStr">
        <is>
          <t>Yes</t>
        </is>
      </c>
      <c r="M545" s="5" t="inlineStr">
        <is>
          <t>Your potential—unlocked. The Metal Vent Tech collection uses seamless construction to minimize distractions from chafe and sweat so you can stay laser focused.</t>
        </is>
      </c>
      <c r="N545" s="5" t="inlineStr">
        <is>
          <t>Metal-Vent-Tech-Long-Sleeve-Shirt-3</t>
        </is>
      </c>
      <c r="O545" s="5" t="inlineStr"/>
    </row>
    <row r="546" ht="80" customHeight="1">
      <c r="A546" s="6">
        <f>IMAGE("https://images.lululemon.com/is/image/lululemon/LU9D25S_031078_1?wid=320&amp;op_usm=0.8",1)</f>
        <v/>
      </c>
      <c r="B546" s="6" t="inlineStr">
        <is>
          <t>All Sport Backpack 10L</t>
        </is>
      </c>
      <c r="C546" s="6" t="inlineStr">
        <is>
          <t>157678046</t>
        </is>
      </c>
      <c r="D546" s="6" t="inlineStr">
        <is>
          <t>157678046-anchor/black</t>
        </is>
      </c>
      <c r="E546" s="6" t="inlineStr">
        <is>
          <t>All Sport Backpack 10L ANCH/BLK ONE SIZE</t>
        </is>
      </c>
      <c r="F546" s="6" t="inlineStr">
        <is>
          <t>$98.00</t>
        </is>
      </c>
      <c r="G546" s="6" t="inlineStr">
        <is>
          <t>$49.00</t>
        </is>
      </c>
      <c r="H546" s="6" t="inlineStr">
        <is>
          <t>Anchor/Black</t>
        </is>
      </c>
      <c r="I546" s="6">
        <f>IMAGE("https://images.lululemon.com/is/image/lululemon/31078",1)</f>
        <v/>
      </c>
      <c r="J546" s="6" t="inlineStr">
        <is>
          <t>O/S</t>
        </is>
      </c>
      <c r="K546" s="6" t="inlineStr">
        <is>
          <t>130/130</t>
        </is>
      </c>
      <c r="L546" s="6" t="inlineStr">
        <is>
          <t>Yes</t>
        </is>
      </c>
      <c r="M546" s="6" t="inlineStr">
        <is>
          <t>Run, bike, or hike your way into adventure. This lightweight backpack has ample storage for your gear and strategically placed load lifters and compression straps for a snug fit.</t>
        </is>
      </c>
      <c r="N546" s="6" t="inlineStr">
        <is>
          <t>All-Sport-Backpack-10L</t>
        </is>
      </c>
      <c r="O546" s="6" t="inlineStr">
        <is>
          <t>Backpacks</t>
        </is>
      </c>
    </row>
    <row r="547" ht="80" customHeight="1">
      <c r="A547" s="7">
        <f>IMAGE("https://images.lululemon.com/is/image/lululemon/LM5B54S_068027_1?wid=320&amp;op_usm=0.8",1)</f>
        <v/>
      </c>
      <c r="B547" s="7" t="inlineStr">
        <is>
          <t>Relaxed-Fit Smooth Twill Track Pant</t>
        </is>
      </c>
      <c r="C547" s="7" t="inlineStr">
        <is>
          <t>154836867</t>
        </is>
      </c>
      <c r="D547" s="7" t="inlineStr">
        <is>
          <t>154836867-greyoasis</t>
        </is>
      </c>
      <c r="E547" s="7" t="inlineStr">
        <is>
          <t>Relaxed-Fit Twill Track Pant GYOS S</t>
        </is>
      </c>
      <c r="F547" s="7" t="inlineStr">
        <is>
          <t>$128.00</t>
        </is>
      </c>
      <c r="G547" s="7" t="inlineStr">
        <is>
          <t>$64.00</t>
        </is>
      </c>
      <c r="H547" s="7" t="inlineStr">
        <is>
          <t>Grey Oasis</t>
        </is>
      </c>
      <c r="I547" s="7">
        <f>IMAGE("https://images.lululemon.com/is/image/lululemon/68027",1)</f>
        <v/>
      </c>
      <c r="J547" s="7" t="inlineStr">
        <is>
          <t>S</t>
        </is>
      </c>
      <c r="K547" s="7" t="inlineStr">
        <is>
          <t>56/437</t>
        </is>
      </c>
      <c r="L547" s="7" t="inlineStr">
        <is>
          <t>Yes</t>
        </is>
      </c>
      <c r="M547" s="7" t="inlineStr">
        <is>
          <t>Go beyond the gym. These pants are made from abrasion-resistant fabric to withstand exposure to equipment and the great outdoors.</t>
        </is>
      </c>
      <c r="N547" s="7" t="inlineStr">
        <is>
          <t>Relaxed-Fit-Twill-Track-Pant</t>
        </is>
      </c>
      <c r="O547" s="7" t="inlineStr">
        <is>
          <t>Athletic Pants</t>
        </is>
      </c>
    </row>
    <row r="548" ht="80" customHeight="1">
      <c r="A548" s="4">
        <f>IMAGE("https://images.lululemon.com/is/image/lululemon/LM5B54S_068027_1?wid=320&amp;op_usm=0.8",1)</f>
        <v/>
      </c>
      <c r="B548" s="4" t="inlineStr">
        <is>
          <t>Relaxed-Fit Smooth Twill Track Pant</t>
        </is>
      </c>
      <c r="C548" s="4" t="inlineStr">
        <is>
          <t>154836861</t>
        </is>
      </c>
      <c r="D548" s="4" t="inlineStr">
        <is>
          <t>154836861-greyoasis</t>
        </is>
      </c>
      <c r="E548" s="4" t="inlineStr">
        <is>
          <t>Relaxed-Fit Twill Track Pant GYOS S</t>
        </is>
      </c>
      <c r="F548" s="4" t="inlineStr">
        <is>
          <t>$128.00</t>
        </is>
      </c>
      <c r="G548" s="4" t="inlineStr">
        <is>
          <t>$64.00</t>
        </is>
      </c>
      <c r="H548" s="4" t="inlineStr">
        <is>
          <t>Grey Oasis</t>
        </is>
      </c>
      <c r="I548" s="4">
        <f>IMAGE("https://images.lululemon.com/is/image/lululemon/68027",1)</f>
        <v/>
      </c>
      <c r="J548" s="4" t="inlineStr">
        <is>
          <t>M</t>
        </is>
      </c>
      <c r="K548" s="4" t="inlineStr">
        <is>
          <t>152/437</t>
        </is>
      </c>
      <c r="L548" s="4" t="inlineStr">
        <is>
          <t>Yes</t>
        </is>
      </c>
      <c r="M548" s="4" t="inlineStr">
        <is>
          <t>Go beyond the gym. These pants are made from abrasion-resistant fabric to withstand exposure to equipment and the great outdoors.</t>
        </is>
      </c>
      <c r="N548" s="4" t="inlineStr">
        <is>
          <t>Relaxed-Fit-Twill-Track-Pant</t>
        </is>
      </c>
      <c r="O548" s="4" t="inlineStr">
        <is>
          <t>Athletic Pants</t>
        </is>
      </c>
    </row>
    <row r="549" ht="80" customHeight="1">
      <c r="A549" s="7">
        <f>IMAGE("https://images.lululemon.com/is/image/lululemon/LM5B54S_068027_1?wid=320&amp;op_usm=0.8",1)</f>
        <v/>
      </c>
      <c r="B549" s="7" t="inlineStr">
        <is>
          <t>Relaxed-Fit Smooth Twill Track Pant</t>
        </is>
      </c>
      <c r="C549" s="7" t="inlineStr">
        <is>
          <t>154836856</t>
        </is>
      </c>
      <c r="D549" s="7" t="inlineStr">
        <is>
          <t>154836856-greyoasis</t>
        </is>
      </c>
      <c r="E549" s="7" t="inlineStr">
        <is>
          <t>Relaxed-Fit Twill Track Pant GYOS S</t>
        </is>
      </c>
      <c r="F549" s="7" t="inlineStr">
        <is>
          <t>$128.00</t>
        </is>
      </c>
      <c r="G549" s="7" t="inlineStr">
        <is>
          <t>$64.00</t>
        </is>
      </c>
      <c r="H549" s="7" t="inlineStr">
        <is>
          <t>Grey Oasis</t>
        </is>
      </c>
      <c r="I549" s="7">
        <f>IMAGE("https://images.lululemon.com/is/image/lululemon/68027",1)</f>
        <v/>
      </c>
      <c r="J549" s="7" t="inlineStr">
        <is>
          <t>L</t>
        </is>
      </c>
      <c r="K549" s="7" t="inlineStr">
        <is>
          <t>146/437</t>
        </is>
      </c>
      <c r="L549" s="7" t="inlineStr">
        <is>
          <t>Yes</t>
        </is>
      </c>
      <c r="M549" s="7" t="inlineStr">
        <is>
          <t>Go beyond the gym. These pants are made from abrasion-resistant fabric to withstand exposure to equipment and the great outdoors.</t>
        </is>
      </c>
      <c r="N549" s="7" t="inlineStr">
        <is>
          <t>Relaxed-Fit-Twill-Track-Pant</t>
        </is>
      </c>
      <c r="O549" s="7" t="inlineStr">
        <is>
          <t>Athletic Pants</t>
        </is>
      </c>
    </row>
    <row r="550" ht="80" customHeight="1">
      <c r="A550" s="4">
        <f>IMAGE("https://images.lululemon.com/is/image/lululemon/LM5B54S_068027_1?wid=320&amp;op_usm=0.8",1)</f>
        <v/>
      </c>
      <c r="B550" s="4" t="inlineStr">
        <is>
          <t>Relaxed-Fit Smooth Twill Track Pant</t>
        </is>
      </c>
      <c r="C550" s="4" t="inlineStr">
        <is>
          <t>154836874</t>
        </is>
      </c>
      <c r="D550" s="4" t="inlineStr">
        <is>
          <t>154836874-greyoasis</t>
        </is>
      </c>
      <c r="E550" s="4" t="inlineStr">
        <is>
          <t>Relaxed-Fit Twill Track Pant GYOS S</t>
        </is>
      </c>
      <c r="F550" s="4" t="inlineStr">
        <is>
          <t>$128.00</t>
        </is>
      </c>
      <c r="G550" s="4" t="inlineStr">
        <is>
          <t>$64.00</t>
        </is>
      </c>
      <c r="H550" s="4" t="inlineStr">
        <is>
          <t>Grey Oasis</t>
        </is>
      </c>
      <c r="I550" s="4">
        <f>IMAGE("https://images.lululemon.com/is/image/lululemon/68027",1)</f>
        <v/>
      </c>
      <c r="J550" s="4" t="inlineStr">
        <is>
          <t>XL</t>
        </is>
      </c>
      <c r="K550" s="4" t="inlineStr">
        <is>
          <t>74/437</t>
        </is>
      </c>
      <c r="L550" s="4" t="inlineStr">
        <is>
          <t>Yes</t>
        </is>
      </c>
      <c r="M550" s="4" t="inlineStr">
        <is>
          <t>Go beyond the gym. These pants are made from abrasion-resistant fabric to withstand exposure to equipment and the great outdoors.</t>
        </is>
      </c>
      <c r="N550" s="4" t="inlineStr">
        <is>
          <t>Relaxed-Fit-Twill-Track-Pant</t>
        </is>
      </c>
      <c r="O550" s="4" t="inlineStr">
        <is>
          <t>Athletic Pants</t>
        </is>
      </c>
    </row>
    <row r="551" ht="80" customHeight="1">
      <c r="A551" s="5">
        <f>IMAGE("https://images.lululemon.com/is/image/lululemon/LM5B54S_068027_1?wid=320&amp;op_usm=0.8",1)</f>
        <v/>
      </c>
      <c r="B551" s="5" t="inlineStr">
        <is>
          <t>Relaxed-Fit Smooth Twill Track Pant</t>
        </is>
      </c>
      <c r="C551" s="5" t="inlineStr">
        <is>
          <t>154836891</t>
        </is>
      </c>
      <c r="D551" s="5" t="inlineStr">
        <is>
          <t>154836891-greyoasis</t>
        </is>
      </c>
      <c r="E551" s="5" t="inlineStr">
        <is>
          <t>Relaxed-Fit Twill Track Pant GYOS S</t>
        </is>
      </c>
      <c r="F551" s="5" t="inlineStr">
        <is>
          <t>$128.00</t>
        </is>
      </c>
      <c r="G551" s="5" t="inlineStr">
        <is>
          <t>$64.00</t>
        </is>
      </c>
      <c r="H551" s="5" t="inlineStr">
        <is>
          <t>Grey Oasis</t>
        </is>
      </c>
      <c r="I551" s="5">
        <f>IMAGE("https://images.lululemon.com/is/image/lululemon/68027",1)</f>
        <v/>
      </c>
      <c r="J551" s="5" t="inlineStr">
        <is>
          <t>XXL</t>
        </is>
      </c>
      <c r="K551" s="5" t="inlineStr">
        <is>
          <t>9/437</t>
        </is>
      </c>
      <c r="L551" s="5" t="inlineStr">
        <is>
          <t>Yes</t>
        </is>
      </c>
      <c r="M551" s="5" t="inlineStr">
        <is>
          <t>Go beyond the gym. These pants are made from abrasion-resistant fabric to withstand exposure to equipment and the great outdoors.</t>
        </is>
      </c>
      <c r="N551" s="5" t="inlineStr">
        <is>
          <t>Relaxed-Fit-Twill-Track-Pant</t>
        </is>
      </c>
      <c r="O551" s="5" t="inlineStr">
        <is>
          <t>Athletic Pants</t>
        </is>
      </c>
    </row>
    <row r="552" ht="80" customHeight="1">
      <c r="A552" s="4">
        <f>IMAGE("https://images.lululemon.com/is/image/lululemon/LU9BU3S_0002_1?wid=320&amp;op_usm=0.8",1)</f>
        <v/>
      </c>
      <c r="B552" s="4" t="inlineStr">
        <is>
          <t>Fast and Free Running Hat *WovenAir</t>
        </is>
      </c>
      <c r="C552" s="4" t="inlineStr">
        <is>
          <t>153575604</t>
        </is>
      </c>
      <c r="D552" s="4" t="inlineStr">
        <is>
          <t>153575604-white</t>
        </is>
      </c>
      <c r="E552" s="4" t="inlineStr">
        <is>
          <t>Fast and Free Run Hat *WovenAir™ WHT S/M</t>
        </is>
      </c>
      <c r="F552" s="4" t="inlineStr">
        <is>
          <t>$38.00</t>
        </is>
      </c>
      <c r="G552" s="4" t="inlineStr">
        <is>
          <t>$19.00</t>
        </is>
      </c>
      <c r="H552" s="4" t="inlineStr">
        <is>
          <t>White</t>
        </is>
      </c>
      <c r="I552" s="4">
        <f>IMAGE("https://images.lululemon.com/is/image/lululemon/0002",1)</f>
        <v/>
      </c>
      <c r="J552" s="4" t="inlineStr">
        <is>
          <t>S/M</t>
        </is>
      </c>
      <c r="K552" s="4" t="inlineStr">
        <is>
          <t>335/2257</t>
        </is>
      </c>
      <c r="L552" s="4" t="inlineStr">
        <is>
          <t>Yes</t>
        </is>
      </c>
      <c r="M552" s="4" t="inlineStr">
        <is>
          <t>Short jogs, five mile sprints, or full-on marathons—whatever distance you're running, this lightweight hat provides shade and comfortable ventilation.</t>
        </is>
      </c>
      <c r="N552" s="4" t="inlineStr">
        <is>
          <t>Fast-and-Free-Running-Hat-WovenAir</t>
        </is>
      </c>
      <c r="O552" s="4" t="inlineStr">
        <is>
          <t>Caps</t>
        </is>
      </c>
    </row>
    <row r="553" ht="80" customHeight="1">
      <c r="A553" s="7">
        <f>IMAGE("https://images.lululemon.com/is/image/lululemon/LU9BU3S_0002_1?wid=320&amp;op_usm=0.8",1)</f>
        <v/>
      </c>
      <c r="B553" s="7" t="inlineStr">
        <is>
          <t>Fast and Free Running Hat *WovenAir</t>
        </is>
      </c>
      <c r="C553" s="7" t="inlineStr">
        <is>
          <t>153575602</t>
        </is>
      </c>
      <c r="D553" s="7" t="inlineStr">
        <is>
          <t>153575602-white</t>
        </is>
      </c>
      <c r="E553" s="7" t="inlineStr">
        <is>
          <t>Fast and Free Run Hat *WovenAir™ WHT S/M</t>
        </is>
      </c>
      <c r="F553" s="7" t="inlineStr">
        <is>
          <t>$38.00</t>
        </is>
      </c>
      <c r="G553" s="7" t="inlineStr">
        <is>
          <t>$19.00</t>
        </is>
      </c>
      <c r="H553" s="7" t="inlineStr">
        <is>
          <t>White</t>
        </is>
      </c>
      <c r="I553" s="7">
        <f>IMAGE("https://images.lululemon.com/is/image/lululemon/0002",1)</f>
        <v/>
      </c>
      <c r="J553" s="7" t="inlineStr">
        <is>
          <t>L/XL</t>
        </is>
      </c>
      <c r="K553" s="7" t="inlineStr">
        <is>
          <t>602/2257</t>
        </is>
      </c>
      <c r="L553" s="7" t="inlineStr">
        <is>
          <t>Yes</t>
        </is>
      </c>
      <c r="M553" s="7" t="inlineStr">
        <is>
          <t>Short jogs, five mile sprints, or full-on marathons—whatever distance you're running, this lightweight hat provides shade and comfortable ventilation.</t>
        </is>
      </c>
      <c r="N553" s="7" t="inlineStr">
        <is>
          <t>Fast-and-Free-Running-Hat-WovenAir</t>
        </is>
      </c>
      <c r="O553" s="7" t="inlineStr">
        <is>
          <t>Caps</t>
        </is>
      </c>
    </row>
    <row r="554" ht="80" customHeight="1">
      <c r="A554" s="4">
        <f>IMAGE("https://images.lululemon.com/is/image/lululemon/LU9BU3S_0002_1?wid=320&amp;op_usm=0.8",1)</f>
        <v/>
      </c>
      <c r="B554" s="4" t="inlineStr">
        <is>
          <t>Fast and Free Running Hat *WovenAir</t>
        </is>
      </c>
      <c r="C554" s="4" t="inlineStr">
        <is>
          <t>153108395</t>
        </is>
      </c>
      <c r="D554" s="4" t="inlineStr">
        <is>
          <t>153108395-black</t>
        </is>
      </c>
      <c r="E554" s="4" t="inlineStr">
        <is>
          <t>Fast and Free Run Hat *WovenAir™ WHT S/M</t>
        </is>
      </c>
      <c r="F554" s="4" t="inlineStr">
        <is>
          <t>$38.00</t>
        </is>
      </c>
      <c r="G554" s="4" t="inlineStr">
        <is>
          <t>$19.00</t>
        </is>
      </c>
      <c r="H554" s="4" t="inlineStr">
        <is>
          <t>Black</t>
        </is>
      </c>
      <c r="I554" s="4">
        <f>IMAGE("https://images.lululemon.com/is/image/lululemon/0001",1)</f>
        <v/>
      </c>
      <c r="J554" s="4" t="inlineStr">
        <is>
          <t>S/M</t>
        </is>
      </c>
      <c r="K554" s="4" t="inlineStr">
        <is>
          <t>554/2257</t>
        </is>
      </c>
      <c r="L554" s="4" t="inlineStr">
        <is>
          <t>Yes</t>
        </is>
      </c>
      <c r="M554" s="4" t="inlineStr">
        <is>
          <t>Short jogs, five mile sprints, or full-on marathons—whatever distance you're running, this lightweight hat provides shade and comfortable ventilation.</t>
        </is>
      </c>
      <c r="N554" s="4" t="inlineStr">
        <is>
          <t>Fast-and-Free-Running-Hat-WovenAir</t>
        </is>
      </c>
      <c r="O554" s="4" t="inlineStr">
        <is>
          <t>Caps</t>
        </is>
      </c>
    </row>
    <row r="555" ht="80" customHeight="1">
      <c r="A555" s="7">
        <f>IMAGE("https://images.lululemon.com/is/image/lululemon/LU9BU3S_0002_1?wid=320&amp;op_usm=0.8",1)</f>
        <v/>
      </c>
      <c r="B555" s="7" t="inlineStr">
        <is>
          <t>Fast and Free Running Hat *WovenAir</t>
        </is>
      </c>
      <c r="C555" s="7" t="inlineStr">
        <is>
          <t>153108375</t>
        </is>
      </c>
      <c r="D555" s="7" t="inlineStr">
        <is>
          <t>153108375-black</t>
        </is>
      </c>
      <c r="E555" s="7" t="inlineStr">
        <is>
          <t>Fast and Free Run Hat *WovenAir™ WHT S/M</t>
        </is>
      </c>
      <c r="F555" s="7" t="inlineStr">
        <is>
          <t>$38.00</t>
        </is>
      </c>
      <c r="G555" s="7" t="inlineStr">
        <is>
          <t>$19.00</t>
        </is>
      </c>
      <c r="H555" s="7" t="inlineStr">
        <is>
          <t>Black</t>
        </is>
      </c>
      <c r="I555" s="7">
        <f>IMAGE("https://images.lululemon.com/is/image/lululemon/0001",1)</f>
        <v/>
      </c>
      <c r="J555" s="7" t="inlineStr">
        <is>
          <t>L/XL</t>
        </is>
      </c>
      <c r="K555" s="7" t="inlineStr">
        <is>
          <t>544/2257</t>
        </is>
      </c>
      <c r="L555" s="7" t="inlineStr">
        <is>
          <t>Yes</t>
        </is>
      </c>
      <c r="M555" s="7" t="inlineStr">
        <is>
          <t>Short jogs, five mile sprints, or full-on marathons—whatever distance you're running, this lightweight hat provides shade and comfortable ventilation.</t>
        </is>
      </c>
      <c r="N555" s="7" t="inlineStr">
        <is>
          <t>Fast-and-Free-Running-Hat-WovenAir</t>
        </is>
      </c>
      <c r="O555" s="7" t="inlineStr">
        <is>
          <t>Caps</t>
        </is>
      </c>
    </row>
    <row r="556" ht="80" customHeight="1">
      <c r="A556" s="4">
        <f>IMAGE("https://images.lululemon.com/is/image/lululemon/LU9BU3S_0002_1?wid=320&amp;op_usm=0.8",1)</f>
        <v/>
      </c>
      <c r="B556" s="4" t="inlineStr">
        <is>
          <t>Fast and Free Running Hat *WovenAir</t>
        </is>
      </c>
      <c r="C556" s="4" t="inlineStr">
        <is>
          <t>154877537</t>
        </is>
      </c>
      <c r="D556" s="4" t="inlineStr">
        <is>
          <t>154877537-truenavy</t>
        </is>
      </c>
      <c r="E556" s="4" t="inlineStr">
        <is>
          <t>Fast and Free Run Hat *WovenAir™ WHT S/M</t>
        </is>
      </c>
      <c r="F556" s="4" t="inlineStr">
        <is>
          <t>$38.00</t>
        </is>
      </c>
      <c r="G556" s="4" t="inlineStr">
        <is>
          <t>$19.00</t>
        </is>
      </c>
      <c r="H556" s="4" t="inlineStr">
        <is>
          <t>True Navy</t>
        </is>
      </c>
      <c r="I556" s="4">
        <f>IMAGE("https://images.lululemon.com/is/image/lululemon/31382",1)</f>
        <v/>
      </c>
      <c r="J556" s="4" t="inlineStr">
        <is>
          <t>S/M</t>
        </is>
      </c>
      <c r="K556" s="4" t="inlineStr">
        <is>
          <t>74/2257</t>
        </is>
      </c>
      <c r="L556" s="4" t="inlineStr">
        <is>
          <t>Yes</t>
        </is>
      </c>
      <c r="M556" s="4" t="inlineStr">
        <is>
          <t>Short jogs, five mile sprints, or full-on marathons—whatever distance you're running, this lightweight hat provides shade and comfortable ventilation.</t>
        </is>
      </c>
      <c r="N556" s="4" t="inlineStr">
        <is>
          <t>Fast-and-Free-Running-Hat-WovenAir</t>
        </is>
      </c>
      <c r="O556" s="4" t="inlineStr">
        <is>
          <t>Caps</t>
        </is>
      </c>
    </row>
    <row r="557" ht="80" customHeight="1">
      <c r="A557" s="5">
        <f>IMAGE("https://images.lululemon.com/is/image/lululemon/LU9BU3S_0002_1?wid=320&amp;op_usm=0.8",1)</f>
        <v/>
      </c>
      <c r="B557" s="5" t="inlineStr">
        <is>
          <t>Fast and Free Running Hat *WovenAir</t>
        </is>
      </c>
      <c r="C557" s="5" t="inlineStr">
        <is>
          <t>154877515</t>
        </is>
      </c>
      <c r="D557" s="5" t="inlineStr">
        <is>
          <t>154877515-truenavy</t>
        </is>
      </c>
      <c r="E557" s="5" t="inlineStr">
        <is>
          <t>Fast and Free Run Hat *WovenAir™ WHT S/M</t>
        </is>
      </c>
      <c r="F557" s="5" t="inlineStr">
        <is>
          <t>$38.00</t>
        </is>
      </c>
      <c r="G557" s="5" t="inlineStr">
        <is>
          <t>$19.00</t>
        </is>
      </c>
      <c r="H557" s="5" t="inlineStr">
        <is>
          <t>True Navy</t>
        </is>
      </c>
      <c r="I557" s="5">
        <f>IMAGE("https://images.lululemon.com/is/image/lululemon/31382",1)</f>
        <v/>
      </c>
      <c r="J557" s="5" t="inlineStr">
        <is>
          <t>L/XL</t>
        </is>
      </c>
      <c r="K557" s="5" t="inlineStr">
        <is>
          <t>148/2257</t>
        </is>
      </c>
      <c r="L557" s="5" t="inlineStr">
        <is>
          <t>Yes</t>
        </is>
      </c>
      <c r="M557" s="5" t="inlineStr">
        <is>
          <t>Short jogs, five mile sprints, or full-on marathons—whatever distance you're running, this lightweight hat provides shade and comfortable ventilation.</t>
        </is>
      </c>
      <c r="N557" s="5" t="inlineStr">
        <is>
          <t>Fast-and-Free-Running-Hat-WovenAir</t>
        </is>
      </c>
      <c r="O557" s="5" t="inlineStr">
        <is>
          <t>Caps</t>
        </is>
      </c>
    </row>
    <row r="558" ht="80" customHeight="1">
      <c r="A558" s="4">
        <f>IMAGE("https://images.lululemon.com/is/image/lululemon/LM3FYFS_0001_1?wid=320&amp;op_usm=0.8",1)</f>
        <v/>
      </c>
      <c r="B558" s="4" t="inlineStr">
        <is>
          <t>Zeroed In Crinkle Texture Half Zip</t>
        </is>
      </c>
      <c r="C558" s="4" t="inlineStr">
        <is>
          <t>158101041</t>
        </is>
      </c>
      <c r="D558" s="4" t="inlineStr">
        <is>
          <t>158101041-black</t>
        </is>
      </c>
      <c r="E558" s="4" t="inlineStr">
        <is>
          <t>Zeroed In Crinkle Texture Half Zip BLK S</t>
        </is>
      </c>
      <c r="F558" s="4" t="inlineStr">
        <is>
          <t>$148.00</t>
        </is>
      </c>
      <c r="G558" s="4" t="inlineStr">
        <is>
          <t>$74.00</t>
        </is>
      </c>
      <c r="H558" s="4" t="inlineStr">
        <is>
          <t>Black</t>
        </is>
      </c>
      <c r="I558" s="4">
        <f>IMAGE("https://images.lululemon.com/is/image/lululemon/0001",1)</f>
        <v/>
      </c>
      <c r="J558" s="4" t="inlineStr">
        <is>
          <t>S</t>
        </is>
      </c>
      <c r="K558" s="4" t="inlineStr">
        <is>
          <t>11/131</t>
        </is>
      </c>
      <c r="L558" s="4" t="inlineStr">
        <is>
          <t>Yes</t>
        </is>
      </c>
      <c r="M558" s="4" t="inlineStr">
        <is>
          <t>Work out or hang out. This textured half zip is designed to keep up with every way you like to move.</t>
        </is>
      </c>
      <c r="N558" s="4" t="inlineStr">
        <is>
          <t>Zeroed-In-Crinkle-Texture-Half-Zip</t>
        </is>
      </c>
      <c r="O558" s="4" t="inlineStr">
        <is>
          <t>Athletic Jackets, Half Zip Sweatshirts, Quarter Zip Sweatshirts</t>
        </is>
      </c>
    </row>
    <row r="559" ht="80" customHeight="1">
      <c r="A559" s="7">
        <f>IMAGE("https://images.lululemon.com/is/image/lululemon/LM3FYFS_0001_1?wid=320&amp;op_usm=0.8",1)</f>
        <v/>
      </c>
      <c r="B559" s="7" t="inlineStr">
        <is>
          <t>Zeroed In Crinkle Texture Half Zip</t>
        </is>
      </c>
      <c r="C559" s="7" t="inlineStr">
        <is>
          <t>158101038</t>
        </is>
      </c>
      <c r="D559" s="7" t="inlineStr">
        <is>
          <t>158101038-black</t>
        </is>
      </c>
      <c r="E559" s="7" t="inlineStr">
        <is>
          <t>Zeroed In Crinkle Texture Half Zip BLK S</t>
        </is>
      </c>
      <c r="F559" s="7" t="inlineStr">
        <is>
          <t>$148.00</t>
        </is>
      </c>
      <c r="G559" s="7" t="inlineStr">
        <is>
          <t>$74.00</t>
        </is>
      </c>
      <c r="H559" s="7" t="inlineStr">
        <is>
          <t>Black</t>
        </is>
      </c>
      <c r="I559" s="7">
        <f>IMAGE("https://images.lululemon.com/is/image/lululemon/0001",1)</f>
        <v/>
      </c>
      <c r="J559" s="7" t="inlineStr">
        <is>
          <t>M</t>
        </is>
      </c>
      <c r="K559" s="7" t="inlineStr">
        <is>
          <t>33/131</t>
        </is>
      </c>
      <c r="L559" s="7" t="inlineStr">
        <is>
          <t>Yes</t>
        </is>
      </c>
      <c r="M559" s="7" t="inlineStr">
        <is>
          <t>Work out or hang out. This textured half zip is designed to keep up with every way you like to move.</t>
        </is>
      </c>
      <c r="N559" s="7" t="inlineStr">
        <is>
          <t>Zeroed-In-Crinkle-Texture-Half-Zip</t>
        </is>
      </c>
      <c r="O559" s="7" t="inlineStr">
        <is>
          <t>Athletic Jackets, Half Zip Sweatshirts, Quarter Zip Sweatshirts</t>
        </is>
      </c>
    </row>
    <row r="560" ht="80" customHeight="1">
      <c r="A560" s="4">
        <f>IMAGE("https://images.lululemon.com/is/image/lululemon/LM3FYFS_0001_1?wid=320&amp;op_usm=0.8",1)</f>
        <v/>
      </c>
      <c r="B560" s="4" t="inlineStr">
        <is>
          <t>Zeroed In Crinkle Texture Half Zip</t>
        </is>
      </c>
      <c r="C560" s="4" t="inlineStr">
        <is>
          <t>158101034</t>
        </is>
      </c>
      <c r="D560" s="4" t="inlineStr">
        <is>
          <t>158101034-black</t>
        </is>
      </c>
      <c r="E560" s="4" t="inlineStr">
        <is>
          <t>Zeroed In Crinkle Texture Half Zip BLK S</t>
        </is>
      </c>
      <c r="F560" s="4" t="inlineStr">
        <is>
          <t>$148.00</t>
        </is>
      </c>
      <c r="G560" s="4" t="inlineStr">
        <is>
          <t>$74.00</t>
        </is>
      </c>
      <c r="H560" s="4" t="inlineStr">
        <is>
          <t>Black</t>
        </is>
      </c>
      <c r="I560" s="4">
        <f>IMAGE("https://images.lululemon.com/is/image/lululemon/0001",1)</f>
        <v/>
      </c>
      <c r="J560" s="4" t="inlineStr">
        <is>
          <t>L</t>
        </is>
      </c>
      <c r="K560" s="4" t="inlineStr">
        <is>
          <t>46/131</t>
        </is>
      </c>
      <c r="L560" s="4" t="inlineStr">
        <is>
          <t>Yes</t>
        </is>
      </c>
      <c r="M560" s="4" t="inlineStr">
        <is>
          <t>Work out or hang out. This textured half zip is designed to keep up with every way you like to move.</t>
        </is>
      </c>
      <c r="N560" s="4" t="inlineStr">
        <is>
          <t>Zeroed-In-Crinkle-Texture-Half-Zip</t>
        </is>
      </c>
      <c r="O560" s="4" t="inlineStr">
        <is>
          <t>Athletic Jackets, Half Zip Sweatshirts, Quarter Zip Sweatshirts</t>
        </is>
      </c>
    </row>
    <row r="561" ht="80" customHeight="1">
      <c r="A561" s="7">
        <f>IMAGE("https://images.lululemon.com/is/image/lululemon/LM3FYFS_0001_1?wid=320&amp;op_usm=0.8",1)</f>
        <v/>
      </c>
      <c r="B561" s="7" t="inlineStr">
        <is>
          <t>Zeroed In Crinkle Texture Half Zip</t>
        </is>
      </c>
      <c r="C561" s="7" t="inlineStr">
        <is>
          <t>158101045</t>
        </is>
      </c>
      <c r="D561" s="7" t="inlineStr">
        <is>
          <t>158101045-black</t>
        </is>
      </c>
      <c r="E561" s="7" t="inlineStr">
        <is>
          <t>Zeroed In Crinkle Texture Half Zip BLK S</t>
        </is>
      </c>
      <c r="F561" s="7" t="inlineStr">
        <is>
          <t>$148.00</t>
        </is>
      </c>
      <c r="G561" s="7" t="inlineStr">
        <is>
          <t>$74.00</t>
        </is>
      </c>
      <c r="H561" s="7" t="inlineStr">
        <is>
          <t>Black</t>
        </is>
      </c>
      <c r="I561" s="7">
        <f>IMAGE("https://images.lululemon.com/is/image/lululemon/0001",1)</f>
        <v/>
      </c>
      <c r="J561" s="7" t="inlineStr">
        <is>
          <t>XL</t>
        </is>
      </c>
      <c r="K561" s="7" t="inlineStr">
        <is>
          <t>30/131</t>
        </is>
      </c>
      <c r="L561" s="7" t="inlineStr">
        <is>
          <t>Yes</t>
        </is>
      </c>
      <c r="M561" s="7" t="inlineStr">
        <is>
          <t>Work out or hang out. This textured half zip is designed to keep up with every way you like to move.</t>
        </is>
      </c>
      <c r="N561" s="7" t="inlineStr">
        <is>
          <t>Zeroed-In-Crinkle-Texture-Half-Zip</t>
        </is>
      </c>
      <c r="O561" s="7" t="inlineStr">
        <is>
          <t>Athletic Jackets, Half Zip Sweatshirts, Quarter Zip Sweatshirts</t>
        </is>
      </c>
    </row>
    <row r="562" ht="80" customHeight="1">
      <c r="A562" s="6">
        <f>IMAGE("https://images.lululemon.com/is/image/lululemon/LM3FYFS_0001_1?wid=320&amp;op_usm=0.8",1)</f>
        <v/>
      </c>
      <c r="B562" s="6" t="inlineStr">
        <is>
          <t>Zeroed In Crinkle Texture Half Zip</t>
        </is>
      </c>
      <c r="C562" s="6" t="inlineStr">
        <is>
          <t>158101052</t>
        </is>
      </c>
      <c r="D562" s="6" t="inlineStr">
        <is>
          <t>158101052-black</t>
        </is>
      </c>
      <c r="E562" s="6" t="inlineStr">
        <is>
          <t>Zeroed In Crinkle Texture Half Zip BLK S</t>
        </is>
      </c>
      <c r="F562" s="6" t="inlineStr">
        <is>
          <t>$148.00</t>
        </is>
      </c>
      <c r="G562" s="6" t="inlineStr">
        <is>
          <t>$74.00</t>
        </is>
      </c>
      <c r="H562" s="6" t="inlineStr">
        <is>
          <t>Black</t>
        </is>
      </c>
      <c r="I562" s="6">
        <f>IMAGE("https://images.lululemon.com/is/image/lululemon/0001",1)</f>
        <v/>
      </c>
      <c r="J562" s="6" t="inlineStr">
        <is>
          <t>XXL</t>
        </is>
      </c>
      <c r="K562" s="6" t="inlineStr">
        <is>
          <t>11/131</t>
        </is>
      </c>
      <c r="L562" s="6" t="inlineStr">
        <is>
          <t>Yes</t>
        </is>
      </c>
      <c r="M562" s="6" t="inlineStr">
        <is>
          <t>Work out or hang out. This textured half zip is designed to keep up with every way you like to move.</t>
        </is>
      </c>
      <c r="N562" s="6" t="inlineStr">
        <is>
          <t>Zeroed-In-Crinkle-Texture-Half-Zip</t>
        </is>
      </c>
      <c r="O562" s="6" t="inlineStr">
        <is>
          <t>Athletic Jackets, Half Zip Sweatshirts, Quarter Zip Sweatshirts</t>
        </is>
      </c>
    </row>
    <row r="563" ht="80" customHeight="1">
      <c r="A563" s="7">
        <f>IMAGE("https://images.lululemon.com/is/image/lululemon/LM3FVWS_033454_1?wid=320&amp;op_usm=0.8",1)</f>
        <v/>
      </c>
      <c r="B563" s="7" t="inlineStr">
        <is>
          <t>Steady State Half Zip</t>
        </is>
      </c>
      <c r="C563" s="7" t="inlineStr">
        <is>
          <t>155860667</t>
        </is>
      </c>
      <c r="D563" s="7" t="inlineStr">
        <is>
          <t>155860667-lightivory</t>
        </is>
      </c>
      <c r="E563" s="7" t="inlineStr">
        <is>
          <t>Steady State Half Zip LTIV S</t>
        </is>
      </c>
      <c r="F563" s="7" t="inlineStr">
        <is>
          <t>$128.00</t>
        </is>
      </c>
      <c r="G563" s="7" t="inlineStr">
        <is>
          <t>$64.00</t>
        </is>
      </c>
      <c r="H563" s="7" t="inlineStr">
        <is>
          <t>Light Ivory</t>
        </is>
      </c>
      <c r="I563" s="7">
        <f>IMAGE("https://images.lululemon.com/is/image/lululemon/33454",1)</f>
        <v/>
      </c>
      <c r="J563" s="7" t="inlineStr">
        <is>
          <t>S</t>
        </is>
      </c>
      <c r="K563" s="7" t="inlineStr">
        <is>
          <t>4/242</t>
        </is>
      </c>
      <c r="L563" s="7" t="inlineStr">
        <is>
          <t>Yes</t>
        </is>
      </c>
      <c r="M563" s="7" t="inlineStr">
        <is>
          <t>A reimagined classic. This fleece half zip puts softness first, so you can bring comfort wherever you go.</t>
        </is>
      </c>
      <c r="N563" s="7" t="inlineStr">
        <is>
          <t>Steady-State-Half-Zip</t>
        </is>
      </c>
      <c r="O563" s="7" t="inlineStr">
        <is>
          <t>Half Zip Sweatshirts, Quarter Zip Sweatshirts</t>
        </is>
      </c>
    </row>
    <row r="564" ht="80" customHeight="1">
      <c r="A564" s="4">
        <f>IMAGE("https://images.lululemon.com/is/image/lululemon/LM3FVWS_033454_1?wid=320&amp;op_usm=0.8",1)</f>
        <v/>
      </c>
      <c r="B564" s="4" t="inlineStr">
        <is>
          <t>Steady State Half Zip</t>
        </is>
      </c>
      <c r="C564" s="4" t="inlineStr">
        <is>
          <t>155860658</t>
        </is>
      </c>
      <c r="D564" s="4" t="inlineStr">
        <is>
          <t>155860658-lightivory</t>
        </is>
      </c>
      <c r="E564" s="4" t="inlineStr">
        <is>
          <t>Steady State Half Zip LTIV S</t>
        </is>
      </c>
      <c r="F564" s="4" t="inlineStr">
        <is>
          <t>$128.00</t>
        </is>
      </c>
      <c r="G564" s="4" t="inlineStr">
        <is>
          <t>$64.00</t>
        </is>
      </c>
      <c r="H564" s="4" t="inlineStr">
        <is>
          <t>Light Ivory</t>
        </is>
      </c>
      <c r="I564" s="4">
        <f>IMAGE("https://images.lululemon.com/is/image/lululemon/33454",1)</f>
        <v/>
      </c>
      <c r="J564" s="4" t="inlineStr">
        <is>
          <t>M</t>
        </is>
      </c>
      <c r="K564" s="4" t="inlineStr">
        <is>
          <t>61/242</t>
        </is>
      </c>
      <c r="L564" s="4" t="inlineStr">
        <is>
          <t>Yes</t>
        </is>
      </c>
      <c r="M564" s="4" t="inlineStr">
        <is>
          <t>A reimagined classic. This fleece half zip puts softness first, so you can bring comfort wherever you go.</t>
        </is>
      </c>
      <c r="N564" s="4" t="inlineStr">
        <is>
          <t>Steady-State-Half-Zip</t>
        </is>
      </c>
      <c r="O564" s="4" t="inlineStr">
        <is>
          <t>Half Zip Sweatshirts, Quarter Zip Sweatshirts</t>
        </is>
      </c>
    </row>
    <row r="565" ht="80" customHeight="1">
      <c r="A565" s="7">
        <f>IMAGE("https://images.lululemon.com/is/image/lululemon/LM3FVWS_033454_1?wid=320&amp;op_usm=0.8",1)</f>
        <v/>
      </c>
      <c r="B565" s="7" t="inlineStr">
        <is>
          <t>Steady State Half Zip</t>
        </is>
      </c>
      <c r="C565" s="7" t="inlineStr">
        <is>
          <t>155860650</t>
        </is>
      </c>
      <c r="D565" s="7" t="inlineStr">
        <is>
          <t>155860650-lightivory</t>
        </is>
      </c>
      <c r="E565" s="7" t="inlineStr">
        <is>
          <t>Steady State Half Zip LTIV S</t>
        </is>
      </c>
      <c r="F565" s="7" t="inlineStr">
        <is>
          <t>$128.00</t>
        </is>
      </c>
      <c r="G565" s="7" t="inlineStr">
        <is>
          <t>$64.00</t>
        </is>
      </c>
      <c r="H565" s="7" t="inlineStr">
        <is>
          <t>Light Ivory</t>
        </is>
      </c>
      <c r="I565" s="7">
        <f>IMAGE("https://images.lululemon.com/is/image/lululemon/33454",1)</f>
        <v/>
      </c>
      <c r="J565" s="7" t="inlineStr">
        <is>
          <t>L</t>
        </is>
      </c>
      <c r="K565" s="7" t="inlineStr">
        <is>
          <t>96/242</t>
        </is>
      </c>
      <c r="L565" s="7" t="inlineStr">
        <is>
          <t>Yes</t>
        </is>
      </c>
      <c r="M565" s="7" t="inlineStr">
        <is>
          <t>A reimagined classic. This fleece half zip puts softness first, so you can bring comfort wherever you go.</t>
        </is>
      </c>
      <c r="N565" s="7" t="inlineStr">
        <is>
          <t>Steady-State-Half-Zip</t>
        </is>
      </c>
      <c r="O565" s="7" t="inlineStr">
        <is>
          <t>Half Zip Sweatshirts, Quarter Zip Sweatshirts</t>
        </is>
      </c>
    </row>
    <row r="566" ht="80" customHeight="1">
      <c r="A566" s="4">
        <f>IMAGE("https://images.lululemon.com/is/image/lululemon/LM3FVWS_033454_1?wid=320&amp;op_usm=0.8",1)</f>
        <v/>
      </c>
      <c r="B566" s="4" t="inlineStr">
        <is>
          <t>Steady State Half Zip</t>
        </is>
      </c>
      <c r="C566" s="4" t="inlineStr">
        <is>
          <t>155860675</t>
        </is>
      </c>
      <c r="D566" s="4" t="inlineStr">
        <is>
          <t>155860675-lightivory</t>
        </is>
      </c>
      <c r="E566" s="4" t="inlineStr">
        <is>
          <t>Steady State Half Zip LTIV S</t>
        </is>
      </c>
      <c r="F566" s="4" t="inlineStr">
        <is>
          <t>$128.00</t>
        </is>
      </c>
      <c r="G566" s="4" t="inlineStr">
        <is>
          <t>$64.00</t>
        </is>
      </c>
      <c r="H566" s="4" t="inlineStr">
        <is>
          <t>Light Ivory</t>
        </is>
      </c>
      <c r="I566" s="4">
        <f>IMAGE("https://images.lululemon.com/is/image/lululemon/33454",1)</f>
        <v/>
      </c>
      <c r="J566" s="4" t="inlineStr">
        <is>
          <t>XL</t>
        </is>
      </c>
      <c r="K566" s="4" t="inlineStr">
        <is>
          <t>57/242</t>
        </is>
      </c>
      <c r="L566" s="4" t="inlineStr">
        <is>
          <t>Yes</t>
        </is>
      </c>
      <c r="M566" s="4" t="inlineStr">
        <is>
          <t>A reimagined classic. This fleece half zip puts softness first, so you can bring comfort wherever you go.</t>
        </is>
      </c>
      <c r="N566" s="4" t="inlineStr">
        <is>
          <t>Steady-State-Half-Zip</t>
        </is>
      </c>
      <c r="O566" s="4" t="inlineStr">
        <is>
          <t>Half Zip Sweatshirts, Quarter Zip Sweatshirts</t>
        </is>
      </c>
    </row>
    <row r="567" ht="80" customHeight="1">
      <c r="A567" s="5">
        <f>IMAGE("https://images.lululemon.com/is/image/lululemon/LM3FVWS_033454_1?wid=320&amp;op_usm=0.8",1)</f>
        <v/>
      </c>
      <c r="B567" s="5" t="inlineStr">
        <is>
          <t>Steady State Half Zip</t>
        </is>
      </c>
      <c r="C567" s="5" t="inlineStr">
        <is>
          <t>155860692</t>
        </is>
      </c>
      <c r="D567" s="5" t="inlineStr">
        <is>
          <t>155860692-lightivory</t>
        </is>
      </c>
      <c r="E567" s="5" t="inlineStr">
        <is>
          <t>Steady State Half Zip LTIV S</t>
        </is>
      </c>
      <c r="F567" s="5" t="inlineStr">
        <is>
          <t>$128.00</t>
        </is>
      </c>
      <c r="G567" s="5" t="inlineStr">
        <is>
          <t>$64.00</t>
        </is>
      </c>
      <c r="H567" s="5" t="inlineStr">
        <is>
          <t>Light Ivory</t>
        </is>
      </c>
      <c r="I567" s="5">
        <f>IMAGE("https://images.lululemon.com/is/image/lululemon/33454",1)</f>
        <v/>
      </c>
      <c r="J567" s="5" t="inlineStr">
        <is>
          <t>XXL</t>
        </is>
      </c>
      <c r="K567" s="5" t="inlineStr">
        <is>
          <t>24/242</t>
        </is>
      </c>
      <c r="L567" s="5" t="inlineStr">
        <is>
          <t>Yes</t>
        </is>
      </c>
      <c r="M567" s="5" t="inlineStr">
        <is>
          <t>A reimagined classic. This fleece half zip puts softness first, so you can bring comfort wherever you go.</t>
        </is>
      </c>
      <c r="N567" s="5" t="inlineStr">
        <is>
          <t>Steady-State-Half-Zip</t>
        </is>
      </c>
      <c r="O567" s="5" t="inlineStr">
        <is>
          <t>Half Zip Sweatshirts, Quarter Zip Sweatshirts</t>
        </is>
      </c>
    </row>
    <row r="568" ht="80" customHeight="1">
      <c r="A568" s="4">
        <f>IMAGE("https://images.lululemon.com/is/image/lululemon/LU9AC4S_073766_1?wid=320&amp;op_usm=0.8",1)</f>
        <v/>
      </c>
      <c r="B568" s="4" t="inlineStr">
        <is>
          <t>Lift and Lengthen Yoga Block</t>
        </is>
      </c>
      <c r="C568" s="4" t="inlineStr">
        <is>
          <t>157793520</t>
        </is>
      </c>
      <c r="D568" s="4" t="inlineStr">
        <is>
          <t>157793520-rainforestgreen/palmdeco/laurelgreen/lightivory</t>
        </is>
      </c>
      <c r="E568" s="4" t="inlineStr">
        <is>
          <t>Lift And Lengthen Yoga Block RGPL ONE SIZE</t>
        </is>
      </c>
      <c r="F568" s="4" t="inlineStr">
        <is>
          <t>$24.00</t>
        </is>
      </c>
      <c r="G568" s="4" t="inlineStr">
        <is>
          <t>$12.00</t>
        </is>
      </c>
      <c r="H568" s="4" t="inlineStr">
        <is>
          <t>Rainforest Green/Palm Deco/Laurel Green/Light Ivory</t>
        </is>
      </c>
      <c r="I568" s="4">
        <f>IMAGE("https://images.lululemon.com/is/image/lululemon/73766",1)</f>
        <v/>
      </c>
      <c r="J568" s="4" t="inlineStr">
        <is>
          <t>O/S</t>
        </is>
      </c>
      <c r="K568" s="4" t="inlineStr">
        <is>
          <t>167/1307</t>
        </is>
      </c>
      <c r="L568" s="4" t="inlineStr">
        <is>
          <t>Yes</t>
        </is>
      </c>
      <c r="M568" s="4" t="inlineStr">
        <is>
          <t>Give yourself a little support. From a few extra inches in crescent moon to lifting you in a seated twist, this block has your back.</t>
        </is>
      </c>
      <c r="N568" s="4" t="inlineStr">
        <is>
          <t>Lift-And-Lengthen-Yoga-Block</t>
        </is>
      </c>
      <c r="O568" s="4" t="inlineStr">
        <is>
          <t>Blocks</t>
        </is>
      </c>
    </row>
    <row r="569" ht="80" customHeight="1">
      <c r="A569" s="5">
        <f>IMAGE("https://images.lululemon.com/is/image/lululemon/LU9AC4S_073766_1?wid=320&amp;op_usm=0.8",1)</f>
        <v/>
      </c>
      <c r="B569" s="5" t="inlineStr">
        <is>
          <t>Lift and Lengthen Yoga Block</t>
        </is>
      </c>
      <c r="C569" s="5" t="inlineStr">
        <is>
          <t>3772817</t>
        </is>
      </c>
      <c r="D569" s="5" t="inlineStr">
        <is>
          <t>3772817-black/white</t>
        </is>
      </c>
      <c r="E569" s="5" t="inlineStr">
        <is>
          <t>Lift And Lengthen Yoga Block RGPL ONE SIZE</t>
        </is>
      </c>
      <c r="F569" s="5" t="inlineStr">
        <is>
          <t>$24.00</t>
        </is>
      </c>
      <c r="G569" s="5" t="inlineStr">
        <is>
          <t>$12.00</t>
        </is>
      </c>
      <c r="H569" s="5" t="inlineStr">
        <is>
          <t>Black/White</t>
        </is>
      </c>
      <c r="I569" s="5">
        <f>IMAGE("https://images.lululemon.com/is/image/lululemon/0023",1)</f>
        <v/>
      </c>
      <c r="J569" s="5" t="inlineStr">
        <is>
          <t>O/S</t>
        </is>
      </c>
      <c r="K569" s="5" t="inlineStr">
        <is>
          <t>1140/1307</t>
        </is>
      </c>
      <c r="L569" s="5" t="inlineStr">
        <is>
          <t>Yes</t>
        </is>
      </c>
      <c r="M569" s="5" t="inlineStr">
        <is>
          <t>Give yourself a little support. From a few extra inches in crescent moon to lifting you in a seated twist, this block has your back.</t>
        </is>
      </c>
      <c r="N569" s="5" t="inlineStr">
        <is>
          <t>Lift-And-Lengthen-Yoga-Block</t>
        </is>
      </c>
      <c r="O569" s="5" t="inlineStr">
        <is>
          <t>Blocks</t>
        </is>
      </c>
    </row>
    <row r="570" ht="80" customHeight="1">
      <c r="A570" s="4">
        <f>IMAGE("https://images.lululemon.com/is/image/lululemon/LM7BGVS_033454_1?wid=320&amp;op_usm=0.8",1)</f>
        <v/>
      </c>
      <c r="B570" s="4" t="inlineStr">
        <is>
          <t>ABC Classic-Fit Short 9" *WovenAir</t>
        </is>
      </c>
      <c r="C570" s="4" t="inlineStr">
        <is>
          <t>155801986</t>
        </is>
      </c>
      <c r="D570" s="4" t="inlineStr">
        <is>
          <t>155801986-lightivory</t>
        </is>
      </c>
      <c r="E570" s="4" t="inlineStr">
        <is>
          <t>ABC Classic-Fit Short 9" *WovenAir™ LTIV 28</t>
        </is>
      </c>
      <c r="F570" s="4" t="inlineStr">
        <is>
          <t>$88.00</t>
        </is>
      </c>
      <c r="G570" s="4" t="inlineStr">
        <is>
          <t>$44.00</t>
        </is>
      </c>
      <c r="H570" s="4" t="inlineStr">
        <is>
          <t>Light Ivory</t>
        </is>
      </c>
      <c r="I570" s="4">
        <f>IMAGE("https://images.lululemon.com/is/image/lululemon/33454",1)</f>
        <v/>
      </c>
      <c r="J570" s="4" t="inlineStr">
        <is>
          <t>28</t>
        </is>
      </c>
      <c r="K570" s="4" t="inlineStr">
        <is>
          <t>12/1056</t>
        </is>
      </c>
      <c r="L570" s="4" t="inlineStr">
        <is>
          <t>Yes</t>
        </is>
      </c>
      <c r="M570" s="4" t="inlineStr">
        <is>
          <t>Welcome to the all-day comfort club. Streamlined yet technical, these shorts elevate any look.</t>
        </is>
      </c>
      <c r="N570" s="4" t="inlineStr">
        <is>
          <t>ABC-Classic-Fit-Short-9-WovenAir</t>
        </is>
      </c>
      <c r="O570" s="4" t="inlineStr">
        <is>
          <t>Chino Shorts</t>
        </is>
      </c>
    </row>
    <row r="571" ht="80" customHeight="1">
      <c r="A571" s="7">
        <f>IMAGE("https://images.lululemon.com/is/image/lululemon/LM7BGVS_033454_1?wid=320&amp;op_usm=0.8",1)</f>
        <v/>
      </c>
      <c r="B571" s="7" t="inlineStr">
        <is>
          <t>ABC Classic-Fit Short 9" *WovenAir</t>
        </is>
      </c>
      <c r="C571" s="7" t="inlineStr">
        <is>
          <t>155801997</t>
        </is>
      </c>
      <c r="D571" s="7" t="inlineStr">
        <is>
          <t>155801997-lightivory</t>
        </is>
      </c>
      <c r="E571" s="7" t="inlineStr">
        <is>
          <t>ABC Classic-Fit Short 9" *WovenAir™ LTIV 28</t>
        </is>
      </c>
      <c r="F571" s="7" t="inlineStr">
        <is>
          <t>$88.00</t>
        </is>
      </c>
      <c r="G571" s="7" t="inlineStr">
        <is>
          <t>$44.00</t>
        </is>
      </c>
      <c r="H571" s="7" t="inlineStr">
        <is>
          <t>Light Ivory</t>
        </is>
      </c>
      <c r="I571" s="7">
        <f>IMAGE("https://images.lululemon.com/is/image/lululemon/33454",1)</f>
        <v/>
      </c>
      <c r="J571" s="7" t="inlineStr">
        <is>
          <t>30</t>
        </is>
      </c>
      <c r="K571" s="7" t="inlineStr">
        <is>
          <t>51/1056</t>
        </is>
      </c>
      <c r="L571" s="7" t="inlineStr">
        <is>
          <t>Yes</t>
        </is>
      </c>
      <c r="M571" s="7" t="inlineStr">
        <is>
          <t>Welcome to the all-day comfort club. Streamlined yet technical, these shorts elevate any look.</t>
        </is>
      </c>
      <c r="N571" s="7" t="inlineStr">
        <is>
          <t>ABC-Classic-Fit-Short-9-WovenAir</t>
        </is>
      </c>
      <c r="O571" s="7" t="inlineStr">
        <is>
          <t>Chino Shorts</t>
        </is>
      </c>
    </row>
    <row r="572" ht="80" customHeight="1">
      <c r="A572" s="4">
        <f>IMAGE("https://images.lululemon.com/is/image/lululemon/LM7BGVS_033454_1?wid=320&amp;op_usm=0.8",1)</f>
        <v/>
      </c>
      <c r="B572" s="4" t="inlineStr">
        <is>
          <t>ABC Classic-Fit Short 9" *WovenAir</t>
        </is>
      </c>
      <c r="C572" s="4" t="inlineStr">
        <is>
          <t>155802001</t>
        </is>
      </c>
      <c r="D572" s="4" t="inlineStr">
        <is>
          <t>155802001-lightivory</t>
        </is>
      </c>
      <c r="E572" s="4" t="inlineStr">
        <is>
          <t>ABC Classic-Fit Short 9" *WovenAir™ LTIV 28</t>
        </is>
      </c>
      <c r="F572" s="4" t="inlineStr">
        <is>
          <t>$88.00</t>
        </is>
      </c>
      <c r="G572" s="4" t="inlineStr">
        <is>
          <t>$44.00</t>
        </is>
      </c>
      <c r="H572" s="4" t="inlineStr">
        <is>
          <t>Light Ivory</t>
        </is>
      </c>
      <c r="I572" s="4">
        <f>IMAGE("https://images.lululemon.com/is/image/lululemon/33454",1)</f>
        <v/>
      </c>
      <c r="J572" s="4" t="inlineStr">
        <is>
          <t>31</t>
        </is>
      </c>
      <c r="K572" s="4" t="inlineStr">
        <is>
          <t>21/1056</t>
        </is>
      </c>
      <c r="L572" s="4" t="inlineStr">
        <is>
          <t>Yes</t>
        </is>
      </c>
      <c r="M572" s="4" t="inlineStr">
        <is>
          <t>Welcome to the all-day comfort club. Streamlined yet technical, these shorts elevate any look.</t>
        </is>
      </c>
      <c r="N572" s="4" t="inlineStr">
        <is>
          <t>ABC-Classic-Fit-Short-9-WovenAir</t>
        </is>
      </c>
      <c r="O572" s="4" t="inlineStr">
        <is>
          <t>Chino Shorts</t>
        </is>
      </c>
    </row>
    <row r="573" ht="80" customHeight="1">
      <c r="A573" s="7">
        <f>IMAGE("https://images.lululemon.com/is/image/lululemon/LM7BGVS_033454_1?wid=320&amp;op_usm=0.8",1)</f>
        <v/>
      </c>
      <c r="B573" s="7" t="inlineStr">
        <is>
          <t>ABC Classic-Fit Short 9" *WovenAir</t>
        </is>
      </c>
      <c r="C573" s="7" t="inlineStr">
        <is>
          <t>155802006</t>
        </is>
      </c>
      <c r="D573" s="7" t="inlineStr">
        <is>
          <t>155802006-lightivory</t>
        </is>
      </c>
      <c r="E573" s="7" t="inlineStr">
        <is>
          <t>ABC Classic-Fit Short 9" *WovenAir™ LTIV 28</t>
        </is>
      </c>
      <c r="F573" s="7" t="inlineStr">
        <is>
          <t>$88.00</t>
        </is>
      </c>
      <c r="G573" s="7" t="inlineStr">
        <is>
          <t>$44.00</t>
        </is>
      </c>
      <c r="H573" s="7" t="inlineStr">
        <is>
          <t>Light Ivory</t>
        </is>
      </c>
      <c r="I573" s="7">
        <f>IMAGE("https://images.lululemon.com/is/image/lululemon/33454",1)</f>
        <v/>
      </c>
      <c r="J573" s="7" t="inlineStr">
        <is>
          <t>32</t>
        </is>
      </c>
      <c r="K573" s="7" t="inlineStr">
        <is>
          <t>118/1056</t>
        </is>
      </c>
      <c r="L573" s="7" t="inlineStr">
        <is>
          <t>Yes</t>
        </is>
      </c>
      <c r="M573" s="7" t="inlineStr">
        <is>
          <t>Welcome to the all-day comfort club. Streamlined yet technical, these shorts elevate any look.</t>
        </is>
      </c>
      <c r="N573" s="7" t="inlineStr">
        <is>
          <t>ABC-Classic-Fit-Short-9-WovenAir</t>
        </is>
      </c>
      <c r="O573" s="7" t="inlineStr">
        <is>
          <t>Chino Shorts</t>
        </is>
      </c>
    </row>
    <row r="574" ht="80" customHeight="1">
      <c r="A574" s="4">
        <f>IMAGE("https://images.lululemon.com/is/image/lululemon/LM7BGVS_033454_1?wid=320&amp;op_usm=0.8",1)</f>
        <v/>
      </c>
      <c r="B574" s="4" t="inlineStr">
        <is>
          <t>ABC Classic-Fit Short 9" *WovenAir</t>
        </is>
      </c>
      <c r="C574" s="4" t="inlineStr">
        <is>
          <t>155802009</t>
        </is>
      </c>
      <c r="D574" s="4" t="inlineStr">
        <is>
          <t>155802009-lightivory</t>
        </is>
      </c>
      <c r="E574" s="4" t="inlineStr">
        <is>
          <t>ABC Classic-Fit Short 9" *WovenAir™ LTIV 28</t>
        </is>
      </c>
      <c r="F574" s="4" t="inlineStr">
        <is>
          <t>$88.00</t>
        </is>
      </c>
      <c r="G574" s="4" t="inlineStr">
        <is>
          <t>$44.00</t>
        </is>
      </c>
      <c r="H574" s="4" t="inlineStr">
        <is>
          <t>Light Ivory</t>
        </is>
      </c>
      <c r="I574" s="4">
        <f>IMAGE("https://images.lululemon.com/is/image/lululemon/33454",1)</f>
        <v/>
      </c>
      <c r="J574" s="4" t="inlineStr">
        <is>
          <t>33</t>
        </is>
      </c>
      <c r="K574" s="4" t="inlineStr">
        <is>
          <t>53/1056</t>
        </is>
      </c>
      <c r="L574" s="4" t="inlineStr">
        <is>
          <t>Yes</t>
        </is>
      </c>
      <c r="M574" s="4" t="inlineStr">
        <is>
          <t>Welcome to the all-day comfort club. Streamlined yet technical, these shorts elevate any look.</t>
        </is>
      </c>
      <c r="N574" s="4" t="inlineStr">
        <is>
          <t>ABC-Classic-Fit-Short-9-WovenAir</t>
        </is>
      </c>
      <c r="O574" s="4" t="inlineStr">
        <is>
          <t>Chino Shorts</t>
        </is>
      </c>
    </row>
    <row r="575" ht="80" customHeight="1">
      <c r="A575" s="7">
        <f>IMAGE("https://images.lululemon.com/is/image/lululemon/LM7BGVS_033454_1?wid=320&amp;op_usm=0.8",1)</f>
        <v/>
      </c>
      <c r="B575" s="7" t="inlineStr">
        <is>
          <t>ABC Classic-Fit Short 9" *WovenAir</t>
        </is>
      </c>
      <c r="C575" s="7" t="inlineStr">
        <is>
          <t>155802012</t>
        </is>
      </c>
      <c r="D575" s="7" t="inlineStr">
        <is>
          <t>155802012-lightivory</t>
        </is>
      </c>
      <c r="E575" s="7" t="inlineStr">
        <is>
          <t>ABC Classic-Fit Short 9" *WovenAir™ LTIV 28</t>
        </is>
      </c>
      <c r="F575" s="7" t="inlineStr">
        <is>
          <t>$88.00</t>
        </is>
      </c>
      <c r="G575" s="7" t="inlineStr">
        <is>
          <t>$44.00</t>
        </is>
      </c>
      <c r="H575" s="7" t="inlineStr">
        <is>
          <t>Light Ivory</t>
        </is>
      </c>
      <c r="I575" s="7">
        <f>IMAGE("https://images.lululemon.com/is/image/lululemon/33454",1)</f>
        <v/>
      </c>
      <c r="J575" s="7" t="inlineStr">
        <is>
          <t>34</t>
        </is>
      </c>
      <c r="K575" s="7" t="inlineStr">
        <is>
          <t>125/1056</t>
        </is>
      </c>
      <c r="L575" s="7" t="inlineStr">
        <is>
          <t>Yes</t>
        </is>
      </c>
      <c r="M575" s="7" t="inlineStr">
        <is>
          <t>Welcome to the all-day comfort club. Streamlined yet technical, these shorts elevate any look.</t>
        </is>
      </c>
      <c r="N575" s="7" t="inlineStr">
        <is>
          <t>ABC-Classic-Fit-Short-9-WovenAir</t>
        </is>
      </c>
      <c r="O575" s="7" t="inlineStr">
        <is>
          <t>Chino Shorts</t>
        </is>
      </c>
    </row>
    <row r="576" ht="80" customHeight="1">
      <c r="A576" s="4">
        <f>IMAGE("https://images.lululemon.com/is/image/lululemon/LM7BGVS_033454_1?wid=320&amp;op_usm=0.8",1)</f>
        <v/>
      </c>
      <c r="B576" s="4" t="inlineStr">
        <is>
          <t>ABC Classic-Fit Short 9" *WovenAir</t>
        </is>
      </c>
      <c r="C576" s="4" t="inlineStr">
        <is>
          <t>155802019</t>
        </is>
      </c>
      <c r="D576" s="4" t="inlineStr">
        <is>
          <t>155802019-lightivory</t>
        </is>
      </c>
      <c r="E576" s="4" t="inlineStr">
        <is>
          <t>ABC Classic-Fit Short 9" *WovenAir™ LTIV 28</t>
        </is>
      </c>
      <c r="F576" s="4" t="inlineStr">
        <is>
          <t>$88.00</t>
        </is>
      </c>
      <c r="G576" s="4" t="inlineStr">
        <is>
          <t>$44.00</t>
        </is>
      </c>
      <c r="H576" s="4" t="inlineStr">
        <is>
          <t>Light Ivory</t>
        </is>
      </c>
      <c r="I576" s="4">
        <f>IMAGE("https://images.lululemon.com/is/image/lululemon/33454",1)</f>
        <v/>
      </c>
      <c r="J576" s="4" t="inlineStr">
        <is>
          <t>36</t>
        </is>
      </c>
      <c r="K576" s="4" t="inlineStr">
        <is>
          <t>99/1056</t>
        </is>
      </c>
      <c r="L576" s="4" t="inlineStr">
        <is>
          <t>Yes</t>
        </is>
      </c>
      <c r="M576" s="4" t="inlineStr">
        <is>
          <t>Welcome to the all-day comfort club. Streamlined yet technical, these shorts elevate any look.</t>
        </is>
      </c>
      <c r="N576" s="4" t="inlineStr">
        <is>
          <t>ABC-Classic-Fit-Short-9-WovenAir</t>
        </is>
      </c>
      <c r="O576" s="4" t="inlineStr">
        <is>
          <t>Chino Shorts</t>
        </is>
      </c>
    </row>
    <row r="577" ht="80" customHeight="1">
      <c r="A577" s="7">
        <f>IMAGE("https://images.lululemon.com/is/image/lululemon/LM7BGVS_033454_1?wid=320&amp;op_usm=0.8",1)</f>
        <v/>
      </c>
      <c r="B577" s="7" t="inlineStr">
        <is>
          <t>ABC Classic-Fit Short 9" *WovenAir</t>
        </is>
      </c>
      <c r="C577" s="7" t="inlineStr">
        <is>
          <t>155802027</t>
        </is>
      </c>
      <c r="D577" s="7" t="inlineStr">
        <is>
          <t>155802027-lightivory</t>
        </is>
      </c>
      <c r="E577" s="7" t="inlineStr">
        <is>
          <t>ABC Classic-Fit Short 9" *WovenAir™ LTIV 28</t>
        </is>
      </c>
      <c r="F577" s="7" t="inlineStr">
        <is>
          <t>$88.00</t>
        </is>
      </c>
      <c r="G577" s="7" t="inlineStr">
        <is>
          <t>$44.00</t>
        </is>
      </c>
      <c r="H577" s="7" t="inlineStr">
        <is>
          <t>Light Ivory</t>
        </is>
      </c>
      <c r="I577" s="7">
        <f>IMAGE("https://images.lululemon.com/is/image/lululemon/33454",1)</f>
        <v/>
      </c>
      <c r="J577" s="7" t="inlineStr">
        <is>
          <t>38</t>
        </is>
      </c>
      <c r="K577" s="7" t="inlineStr">
        <is>
          <t>54/1056</t>
        </is>
      </c>
      <c r="L577" s="7" t="inlineStr">
        <is>
          <t>Yes</t>
        </is>
      </c>
      <c r="M577" s="7" t="inlineStr">
        <is>
          <t>Welcome to the all-day comfort club. Streamlined yet technical, these shorts elevate any look.</t>
        </is>
      </c>
      <c r="N577" s="7" t="inlineStr">
        <is>
          <t>ABC-Classic-Fit-Short-9-WovenAir</t>
        </is>
      </c>
      <c r="O577" s="7" t="inlineStr">
        <is>
          <t>Chino Shorts</t>
        </is>
      </c>
    </row>
    <row r="578" ht="80" customHeight="1">
      <c r="A578" s="4">
        <f>IMAGE("https://images.lululemon.com/is/image/lululemon/LM7BGVS_033454_1?wid=320&amp;op_usm=0.8",1)</f>
        <v/>
      </c>
      <c r="B578" s="4" t="inlineStr">
        <is>
          <t>ABC Classic-Fit Short 9" *WovenAir</t>
        </is>
      </c>
      <c r="C578" s="4" t="inlineStr">
        <is>
          <t>155802032</t>
        </is>
      </c>
      <c r="D578" s="4" t="inlineStr">
        <is>
          <t>155802032-lightivory</t>
        </is>
      </c>
      <c r="E578" s="4" t="inlineStr">
        <is>
          <t>ABC Classic-Fit Short 9" *WovenAir™ LTIV 28</t>
        </is>
      </c>
      <c r="F578" s="4" t="inlineStr">
        <is>
          <t>$88.00</t>
        </is>
      </c>
      <c r="G578" s="4" t="inlineStr">
        <is>
          <t>$44.00</t>
        </is>
      </c>
      <c r="H578" s="4" t="inlineStr">
        <is>
          <t>Light Ivory</t>
        </is>
      </c>
      <c r="I578" s="4">
        <f>IMAGE("https://images.lululemon.com/is/image/lululemon/33454",1)</f>
        <v/>
      </c>
      <c r="J578" s="4" t="inlineStr">
        <is>
          <t>40</t>
        </is>
      </c>
      <c r="K578" s="4" t="inlineStr">
        <is>
          <t>25/1056</t>
        </is>
      </c>
      <c r="L578" s="4" t="inlineStr">
        <is>
          <t>Yes</t>
        </is>
      </c>
      <c r="M578" s="4" t="inlineStr">
        <is>
          <t>Welcome to the all-day comfort club. Streamlined yet technical, these shorts elevate any look.</t>
        </is>
      </c>
      <c r="N578" s="4" t="inlineStr">
        <is>
          <t>ABC-Classic-Fit-Short-9-WovenAir</t>
        </is>
      </c>
      <c r="O578" s="4" t="inlineStr">
        <is>
          <t>Chino Shorts</t>
        </is>
      </c>
    </row>
    <row r="579" ht="80" customHeight="1">
      <c r="A579" s="7">
        <f>IMAGE("https://images.lululemon.com/is/image/lululemon/LM7BGVS_033454_1?wid=320&amp;op_usm=0.8",1)</f>
        <v/>
      </c>
      <c r="B579" s="7" t="inlineStr">
        <is>
          <t>ABC Classic-Fit Short 9" *WovenAir</t>
        </is>
      </c>
      <c r="C579" s="7" t="inlineStr">
        <is>
          <t>153325166</t>
        </is>
      </c>
      <c r="D579" s="7" t="inlineStr">
        <is>
          <t>153325166-truenavy</t>
        </is>
      </c>
      <c r="E579" s="7" t="inlineStr">
        <is>
          <t>ABC Classic-Fit Short 9" *WovenAir™ LTIV 28</t>
        </is>
      </c>
      <c r="F579" s="7" t="inlineStr">
        <is>
          <t>$88.00</t>
        </is>
      </c>
      <c r="G579" s="7" t="inlineStr">
        <is>
          <t>$44.00</t>
        </is>
      </c>
      <c r="H579" s="7" t="inlineStr">
        <is>
          <t>True Navy</t>
        </is>
      </c>
      <c r="I579" s="7">
        <f>IMAGE("https://images.lululemon.com/is/image/lululemon/31382",1)</f>
        <v/>
      </c>
      <c r="J579" s="7" t="inlineStr">
        <is>
          <t>28</t>
        </is>
      </c>
      <c r="K579" s="7" t="inlineStr">
        <is>
          <t>12/1056</t>
        </is>
      </c>
      <c r="L579" s="7" t="inlineStr">
        <is>
          <t>Yes</t>
        </is>
      </c>
      <c r="M579" s="7" t="inlineStr">
        <is>
          <t>Welcome to the all-day comfort club. Streamlined yet technical, these shorts elevate any look.</t>
        </is>
      </c>
      <c r="N579" s="7" t="inlineStr">
        <is>
          <t>ABC-Classic-Fit-Short-9-WovenAir</t>
        </is>
      </c>
      <c r="O579" s="7" t="inlineStr">
        <is>
          <t>Chino Shorts</t>
        </is>
      </c>
    </row>
    <row r="580" ht="80" customHeight="1">
      <c r="A580" s="4">
        <f>IMAGE("https://images.lululemon.com/is/image/lululemon/LM7BGVS_033454_1?wid=320&amp;op_usm=0.8",1)</f>
        <v/>
      </c>
      <c r="B580" s="4" t="inlineStr">
        <is>
          <t>ABC Classic-Fit Short 9" *WovenAir</t>
        </is>
      </c>
      <c r="C580" s="4" t="inlineStr">
        <is>
          <t>153325168</t>
        </is>
      </c>
      <c r="D580" s="4" t="inlineStr">
        <is>
          <t>153325168-truenavy</t>
        </is>
      </c>
      <c r="E580" s="4" t="inlineStr">
        <is>
          <t>ABC Classic-Fit Short 9" *WovenAir™ LTIV 28</t>
        </is>
      </c>
      <c r="F580" s="4" t="inlineStr">
        <is>
          <t>$88.00</t>
        </is>
      </c>
      <c r="G580" s="4" t="inlineStr">
        <is>
          <t>$44.00</t>
        </is>
      </c>
      <c r="H580" s="4" t="inlineStr">
        <is>
          <t>True Navy</t>
        </is>
      </c>
      <c r="I580" s="4">
        <f>IMAGE("https://images.lululemon.com/is/image/lululemon/31382",1)</f>
        <v/>
      </c>
      <c r="J580" s="4" t="inlineStr">
        <is>
          <t>30</t>
        </is>
      </c>
      <c r="K580" s="4" t="inlineStr">
        <is>
          <t>46/1056</t>
        </is>
      </c>
      <c r="L580" s="4" t="inlineStr">
        <is>
          <t>Yes</t>
        </is>
      </c>
      <c r="M580" s="4" t="inlineStr">
        <is>
          <t>Welcome to the all-day comfort club. Streamlined yet technical, these shorts elevate any look.</t>
        </is>
      </c>
      <c r="N580" s="4" t="inlineStr">
        <is>
          <t>ABC-Classic-Fit-Short-9-WovenAir</t>
        </is>
      </c>
      <c r="O580" s="4" t="inlineStr">
        <is>
          <t>Chino Shorts</t>
        </is>
      </c>
    </row>
    <row r="581" ht="80" customHeight="1">
      <c r="A581" s="7">
        <f>IMAGE("https://images.lululemon.com/is/image/lululemon/LM7BGVS_033454_1?wid=320&amp;op_usm=0.8",1)</f>
        <v/>
      </c>
      <c r="B581" s="7" t="inlineStr">
        <is>
          <t>ABC Classic-Fit Short 9" *WovenAir</t>
        </is>
      </c>
      <c r="C581" s="7" t="inlineStr">
        <is>
          <t>153325169</t>
        </is>
      </c>
      <c r="D581" s="7" t="inlineStr">
        <is>
          <t>153325169-truenavy</t>
        </is>
      </c>
      <c r="E581" s="7" t="inlineStr">
        <is>
          <t>ABC Classic-Fit Short 9" *WovenAir™ LTIV 28</t>
        </is>
      </c>
      <c r="F581" s="7" t="inlineStr">
        <is>
          <t>$88.00</t>
        </is>
      </c>
      <c r="G581" s="7" t="inlineStr">
        <is>
          <t>$44.00</t>
        </is>
      </c>
      <c r="H581" s="7" t="inlineStr">
        <is>
          <t>True Navy</t>
        </is>
      </c>
      <c r="I581" s="7">
        <f>IMAGE("https://images.lululemon.com/is/image/lululemon/31382",1)</f>
        <v/>
      </c>
      <c r="J581" s="7" t="inlineStr">
        <is>
          <t>31</t>
        </is>
      </c>
      <c r="K581" s="7" t="inlineStr">
        <is>
          <t>25/1056</t>
        </is>
      </c>
      <c r="L581" s="7" t="inlineStr">
        <is>
          <t>Yes</t>
        </is>
      </c>
      <c r="M581" s="7" t="inlineStr">
        <is>
          <t>Welcome to the all-day comfort club. Streamlined yet technical, these shorts elevate any look.</t>
        </is>
      </c>
      <c r="N581" s="7" t="inlineStr">
        <is>
          <t>ABC-Classic-Fit-Short-9-WovenAir</t>
        </is>
      </c>
      <c r="O581" s="7" t="inlineStr">
        <is>
          <t>Chino Shorts</t>
        </is>
      </c>
    </row>
    <row r="582" ht="80" customHeight="1">
      <c r="A582" s="4">
        <f>IMAGE("https://images.lululemon.com/is/image/lululemon/LM7BGVS_033454_1?wid=320&amp;op_usm=0.8",1)</f>
        <v/>
      </c>
      <c r="B582" s="4" t="inlineStr">
        <is>
          <t>ABC Classic-Fit Short 9" *WovenAir</t>
        </is>
      </c>
      <c r="C582" s="4" t="inlineStr">
        <is>
          <t>153325170</t>
        </is>
      </c>
      <c r="D582" s="4" t="inlineStr">
        <is>
          <t>153325170-truenavy</t>
        </is>
      </c>
      <c r="E582" s="4" t="inlineStr">
        <is>
          <t>ABC Classic-Fit Short 9" *WovenAir™ LTIV 28</t>
        </is>
      </c>
      <c r="F582" s="4" t="inlineStr">
        <is>
          <t>$88.00</t>
        </is>
      </c>
      <c r="G582" s="4" t="inlineStr">
        <is>
          <t>$44.00</t>
        </is>
      </c>
      <c r="H582" s="4" t="inlineStr">
        <is>
          <t>True Navy</t>
        </is>
      </c>
      <c r="I582" s="4">
        <f>IMAGE("https://images.lululemon.com/is/image/lululemon/31382",1)</f>
        <v/>
      </c>
      <c r="J582" s="4" t="inlineStr">
        <is>
          <t>32</t>
        </is>
      </c>
      <c r="K582" s="4" t="inlineStr">
        <is>
          <t>95/1056</t>
        </is>
      </c>
      <c r="L582" s="4" t="inlineStr">
        <is>
          <t>Yes</t>
        </is>
      </c>
      <c r="M582" s="4" t="inlineStr">
        <is>
          <t>Welcome to the all-day comfort club. Streamlined yet technical, these shorts elevate any look.</t>
        </is>
      </c>
      <c r="N582" s="4" t="inlineStr">
        <is>
          <t>ABC-Classic-Fit-Short-9-WovenAir</t>
        </is>
      </c>
      <c r="O582" s="4" t="inlineStr">
        <is>
          <t>Chino Shorts</t>
        </is>
      </c>
    </row>
    <row r="583" ht="80" customHeight="1">
      <c r="A583" s="7">
        <f>IMAGE("https://images.lululemon.com/is/image/lululemon/LM7BGVS_033454_1?wid=320&amp;op_usm=0.8",1)</f>
        <v/>
      </c>
      <c r="B583" s="7" t="inlineStr">
        <is>
          <t>ABC Classic-Fit Short 9" *WovenAir</t>
        </is>
      </c>
      <c r="C583" s="7" t="inlineStr">
        <is>
          <t>153325171</t>
        </is>
      </c>
      <c r="D583" s="7" t="inlineStr">
        <is>
          <t>153325171-truenavy</t>
        </is>
      </c>
      <c r="E583" s="7" t="inlineStr">
        <is>
          <t>ABC Classic-Fit Short 9" *WovenAir™ LTIV 28</t>
        </is>
      </c>
      <c r="F583" s="7" t="inlineStr">
        <is>
          <t>$88.00</t>
        </is>
      </c>
      <c r="G583" s="7" t="inlineStr">
        <is>
          <t>$44.00</t>
        </is>
      </c>
      <c r="H583" s="7" t="inlineStr">
        <is>
          <t>True Navy</t>
        </is>
      </c>
      <c r="I583" s="7">
        <f>IMAGE("https://images.lululemon.com/is/image/lululemon/31382",1)</f>
        <v/>
      </c>
      <c r="J583" s="7" t="inlineStr">
        <is>
          <t>33</t>
        </is>
      </c>
      <c r="K583" s="7" t="inlineStr">
        <is>
          <t>55/1056</t>
        </is>
      </c>
      <c r="L583" s="7" t="inlineStr">
        <is>
          <t>Yes</t>
        </is>
      </c>
      <c r="M583" s="7" t="inlineStr">
        <is>
          <t>Welcome to the all-day comfort club. Streamlined yet technical, these shorts elevate any look.</t>
        </is>
      </c>
      <c r="N583" s="7" t="inlineStr">
        <is>
          <t>ABC-Classic-Fit-Short-9-WovenAir</t>
        </is>
      </c>
      <c r="O583" s="7" t="inlineStr">
        <is>
          <t>Chino Shorts</t>
        </is>
      </c>
    </row>
    <row r="584" ht="80" customHeight="1">
      <c r="A584" s="4">
        <f>IMAGE("https://images.lululemon.com/is/image/lululemon/LM7BGVS_033454_1?wid=320&amp;op_usm=0.8",1)</f>
        <v/>
      </c>
      <c r="B584" s="4" t="inlineStr">
        <is>
          <t>ABC Classic-Fit Short 9" *WovenAir</t>
        </is>
      </c>
      <c r="C584" s="4" t="inlineStr">
        <is>
          <t>153325172</t>
        </is>
      </c>
      <c r="D584" s="4" t="inlineStr">
        <is>
          <t>153325172-truenavy</t>
        </is>
      </c>
      <c r="E584" s="4" t="inlineStr">
        <is>
          <t>ABC Classic-Fit Short 9" *WovenAir™ LTIV 28</t>
        </is>
      </c>
      <c r="F584" s="4" t="inlineStr">
        <is>
          <t>$88.00</t>
        </is>
      </c>
      <c r="G584" s="4" t="inlineStr">
        <is>
          <t>$44.00</t>
        </is>
      </c>
      <c r="H584" s="4" t="inlineStr">
        <is>
          <t>True Navy</t>
        </is>
      </c>
      <c r="I584" s="4">
        <f>IMAGE("https://images.lululemon.com/is/image/lululemon/31382",1)</f>
        <v/>
      </c>
      <c r="J584" s="4" t="inlineStr">
        <is>
          <t>34</t>
        </is>
      </c>
      <c r="K584" s="4" t="inlineStr">
        <is>
          <t>112/1056</t>
        </is>
      </c>
      <c r="L584" s="4" t="inlineStr">
        <is>
          <t>Yes</t>
        </is>
      </c>
      <c r="M584" s="4" t="inlineStr">
        <is>
          <t>Welcome to the all-day comfort club. Streamlined yet technical, these shorts elevate any look.</t>
        </is>
      </c>
      <c r="N584" s="4" t="inlineStr">
        <is>
          <t>ABC-Classic-Fit-Short-9-WovenAir</t>
        </is>
      </c>
      <c r="O584" s="4" t="inlineStr">
        <is>
          <t>Chino Shorts</t>
        </is>
      </c>
    </row>
    <row r="585" ht="80" customHeight="1">
      <c r="A585" s="7">
        <f>IMAGE("https://images.lululemon.com/is/image/lululemon/LM7BGVS_033454_1?wid=320&amp;op_usm=0.8",1)</f>
        <v/>
      </c>
      <c r="B585" s="7" t="inlineStr">
        <is>
          <t>ABC Classic-Fit Short 9" *WovenAir</t>
        </is>
      </c>
      <c r="C585" s="7" t="inlineStr">
        <is>
          <t>153325174</t>
        </is>
      </c>
      <c r="D585" s="7" t="inlineStr">
        <is>
          <t>153325174-truenavy</t>
        </is>
      </c>
      <c r="E585" s="7" t="inlineStr">
        <is>
          <t>ABC Classic-Fit Short 9" *WovenAir™ LTIV 28</t>
        </is>
      </c>
      <c r="F585" s="7" t="inlineStr">
        <is>
          <t>$88.00</t>
        </is>
      </c>
      <c r="G585" s="7" t="inlineStr">
        <is>
          <t>$44.00</t>
        </is>
      </c>
      <c r="H585" s="7" t="inlineStr">
        <is>
          <t>True Navy</t>
        </is>
      </c>
      <c r="I585" s="7">
        <f>IMAGE("https://images.lululemon.com/is/image/lululemon/31382",1)</f>
        <v/>
      </c>
      <c r="J585" s="7" t="inlineStr">
        <is>
          <t>36</t>
        </is>
      </c>
      <c r="K585" s="7" t="inlineStr">
        <is>
          <t>83/1056</t>
        </is>
      </c>
      <c r="L585" s="7" t="inlineStr">
        <is>
          <t>Yes</t>
        </is>
      </c>
      <c r="M585" s="7" t="inlineStr">
        <is>
          <t>Welcome to the all-day comfort club. Streamlined yet technical, these shorts elevate any look.</t>
        </is>
      </c>
      <c r="N585" s="7" t="inlineStr">
        <is>
          <t>ABC-Classic-Fit-Short-9-WovenAir</t>
        </is>
      </c>
      <c r="O585" s="7" t="inlineStr">
        <is>
          <t>Chino Shorts</t>
        </is>
      </c>
    </row>
    <row r="586" ht="80" customHeight="1">
      <c r="A586" s="4">
        <f>IMAGE("https://images.lululemon.com/is/image/lululemon/LM7BGVS_033454_1?wid=320&amp;op_usm=0.8",1)</f>
        <v/>
      </c>
      <c r="B586" s="4" t="inlineStr">
        <is>
          <t>ABC Classic-Fit Short 9" *WovenAir</t>
        </is>
      </c>
      <c r="C586" s="4" t="inlineStr">
        <is>
          <t>153325176</t>
        </is>
      </c>
      <c r="D586" s="4" t="inlineStr">
        <is>
          <t>153325176-truenavy</t>
        </is>
      </c>
      <c r="E586" s="4" t="inlineStr">
        <is>
          <t>ABC Classic-Fit Short 9" *WovenAir™ LTIV 28</t>
        </is>
      </c>
      <c r="F586" s="4" t="inlineStr">
        <is>
          <t>$88.00</t>
        </is>
      </c>
      <c r="G586" s="4" t="inlineStr">
        <is>
          <t>$44.00</t>
        </is>
      </c>
      <c r="H586" s="4" t="inlineStr">
        <is>
          <t>True Navy</t>
        </is>
      </c>
      <c r="I586" s="4">
        <f>IMAGE("https://images.lululemon.com/is/image/lululemon/31382",1)</f>
        <v/>
      </c>
      <c r="J586" s="4" t="inlineStr">
        <is>
          <t>38</t>
        </is>
      </c>
      <c r="K586" s="4" t="inlineStr">
        <is>
          <t>51/1056</t>
        </is>
      </c>
      <c r="L586" s="4" t="inlineStr">
        <is>
          <t>Yes</t>
        </is>
      </c>
      <c r="M586" s="4" t="inlineStr">
        <is>
          <t>Welcome to the all-day comfort club. Streamlined yet technical, these shorts elevate any look.</t>
        </is>
      </c>
      <c r="N586" s="4" t="inlineStr">
        <is>
          <t>ABC-Classic-Fit-Short-9-WovenAir</t>
        </is>
      </c>
      <c r="O586" s="4" t="inlineStr">
        <is>
          <t>Chino Shorts</t>
        </is>
      </c>
    </row>
    <row r="587" ht="80" customHeight="1">
      <c r="A587" s="5">
        <f>IMAGE("https://images.lululemon.com/is/image/lululemon/LM7BGVS_033454_1?wid=320&amp;op_usm=0.8",1)</f>
        <v/>
      </c>
      <c r="B587" s="5" t="inlineStr">
        <is>
          <t>ABC Classic-Fit Short 9" *WovenAir</t>
        </is>
      </c>
      <c r="C587" s="5" t="inlineStr">
        <is>
          <t>153325178</t>
        </is>
      </c>
      <c r="D587" s="5" t="inlineStr">
        <is>
          <t>153325178-truenavy</t>
        </is>
      </c>
      <c r="E587" s="5" t="inlineStr">
        <is>
          <t>ABC Classic-Fit Short 9" *WovenAir™ LTIV 28</t>
        </is>
      </c>
      <c r="F587" s="5" t="inlineStr">
        <is>
          <t>$88.00</t>
        </is>
      </c>
      <c r="G587" s="5" t="inlineStr">
        <is>
          <t>$44.00</t>
        </is>
      </c>
      <c r="H587" s="5" t="inlineStr">
        <is>
          <t>True Navy</t>
        </is>
      </c>
      <c r="I587" s="5">
        <f>IMAGE("https://images.lululemon.com/is/image/lululemon/31382",1)</f>
        <v/>
      </c>
      <c r="J587" s="5" t="inlineStr">
        <is>
          <t>40</t>
        </is>
      </c>
      <c r="K587" s="5" t="inlineStr">
        <is>
          <t>19/1056</t>
        </is>
      </c>
      <c r="L587" s="5" t="inlineStr">
        <is>
          <t>Yes</t>
        </is>
      </c>
      <c r="M587" s="5" t="inlineStr">
        <is>
          <t>Welcome to the all-day comfort club. Streamlined yet technical, these shorts elevate any look.</t>
        </is>
      </c>
      <c r="N587" s="5" t="inlineStr">
        <is>
          <t>ABC-Classic-Fit-Short-9-WovenAir</t>
        </is>
      </c>
      <c r="O587" s="5" t="inlineStr">
        <is>
          <t>Chino Shorts</t>
        </is>
      </c>
    </row>
    <row r="588" ht="80" customHeight="1">
      <c r="A588" s="4">
        <f>IMAGE("https://images.lululemon.com/is/image/lululemon/LM7BSIS_032894_1?wid=320&amp;op_usm=0.8",1)</f>
        <v/>
      </c>
      <c r="B588" s="4" t="inlineStr">
        <is>
          <t>Fast and Free Lined Running Short 5"</t>
        </is>
      </c>
      <c r="C588" s="4" t="inlineStr">
        <is>
          <t>156514750</t>
        </is>
      </c>
      <c r="D588" s="4" t="inlineStr">
        <is>
          <t>156514750-silverdrop</t>
        </is>
      </c>
      <c r="E588" s="4" t="inlineStr">
        <is>
          <t>Fast and Free Running Short 5" *Lined SILD S</t>
        </is>
      </c>
      <c r="F588" s="4" t="inlineStr">
        <is>
          <t>$88.00</t>
        </is>
      </c>
      <c r="G588" s="4" t="inlineStr">
        <is>
          <t>$44.00</t>
        </is>
      </c>
      <c r="H588" s="4" t="inlineStr">
        <is>
          <t>Silver Drop</t>
        </is>
      </c>
      <c r="I588" s="4">
        <f>IMAGE("https://images.lululemon.com/is/image/lululemon/33928",1)</f>
        <v/>
      </c>
      <c r="J588" s="4" t="inlineStr">
        <is>
          <t>S</t>
        </is>
      </c>
      <c r="K588" s="4" t="inlineStr">
        <is>
          <t>5/826</t>
        </is>
      </c>
      <c r="L588" s="4" t="inlineStr">
        <is>
          <t>Yes</t>
        </is>
      </c>
      <c r="M588" s="4" t="inlineStr">
        <is>
          <t>Max momentum. These tricked-out run shorts have plenty of easy-access storage so you never need to slow down.</t>
        </is>
      </c>
      <c r="N588" s="4" t="inlineStr">
        <is>
          <t>Fast-and-Free-Lined-Running-Short-5</t>
        </is>
      </c>
      <c r="O588" s="4" t="inlineStr">
        <is>
          <t>Liner Shorts, Athletic Shorts, Track Shorts</t>
        </is>
      </c>
    </row>
    <row r="589" ht="80" customHeight="1">
      <c r="A589" s="7">
        <f>IMAGE("https://images.lululemon.com/is/image/lululemon/LM7BSIS_032894_1?wid=320&amp;op_usm=0.8",1)</f>
        <v/>
      </c>
      <c r="B589" s="7" t="inlineStr">
        <is>
          <t>Fast and Free Lined Running Short 5"</t>
        </is>
      </c>
      <c r="C589" s="7" t="inlineStr">
        <is>
          <t>156514747</t>
        </is>
      </c>
      <c r="D589" s="7" t="inlineStr">
        <is>
          <t>156514747-silverdrop</t>
        </is>
      </c>
      <c r="E589" s="7" t="inlineStr">
        <is>
          <t>Fast and Free Running Short 5" *Lined SILD S</t>
        </is>
      </c>
      <c r="F589" s="7" t="inlineStr">
        <is>
          <t>$88.00</t>
        </is>
      </c>
      <c r="G589" s="7" t="inlineStr">
        <is>
          <t>$44.00</t>
        </is>
      </c>
      <c r="H589" s="7" t="inlineStr">
        <is>
          <t>Silver Drop</t>
        </is>
      </c>
      <c r="I589" s="7">
        <f>IMAGE("https://images.lululemon.com/is/image/lululemon/33928",1)</f>
        <v/>
      </c>
      <c r="J589" s="7" t="inlineStr">
        <is>
          <t>M</t>
        </is>
      </c>
      <c r="K589" s="7" t="inlineStr">
        <is>
          <t>19/826</t>
        </is>
      </c>
      <c r="L589" s="7" t="inlineStr">
        <is>
          <t>Yes</t>
        </is>
      </c>
      <c r="M589" s="7" t="inlineStr">
        <is>
          <t>Max momentum. These tricked-out run shorts have plenty of easy-access storage so you never need to slow down.</t>
        </is>
      </c>
      <c r="N589" s="7" t="inlineStr">
        <is>
          <t>Fast-and-Free-Lined-Running-Short-5</t>
        </is>
      </c>
      <c r="O589" s="7" t="inlineStr">
        <is>
          <t>Liner Shorts, Athletic Shorts, Track Shorts</t>
        </is>
      </c>
    </row>
    <row r="590" ht="80" customHeight="1">
      <c r="A590" s="4">
        <f>IMAGE("https://images.lululemon.com/is/image/lululemon/LM7BSIS_032894_1?wid=320&amp;op_usm=0.8",1)</f>
        <v/>
      </c>
      <c r="B590" s="4" t="inlineStr">
        <is>
          <t>Fast and Free Lined Running Short 5"</t>
        </is>
      </c>
      <c r="C590" s="4" t="inlineStr">
        <is>
          <t>156514745</t>
        </is>
      </c>
      <c r="D590" s="4" t="inlineStr">
        <is>
          <t>156514745-silverdrop</t>
        </is>
      </c>
      <c r="E590" s="4" t="inlineStr">
        <is>
          <t>Fast and Free Running Short 5" *Lined SILD S</t>
        </is>
      </c>
      <c r="F590" s="4" t="inlineStr">
        <is>
          <t>$88.00</t>
        </is>
      </c>
      <c r="G590" s="4" t="inlineStr">
        <is>
          <t>$44.00</t>
        </is>
      </c>
      <c r="H590" s="4" t="inlineStr">
        <is>
          <t>Silver Drop</t>
        </is>
      </c>
      <c r="I590" s="4">
        <f>IMAGE("https://images.lululemon.com/is/image/lululemon/33928",1)</f>
        <v/>
      </c>
      <c r="J590" s="4" t="inlineStr">
        <is>
          <t>L</t>
        </is>
      </c>
      <c r="K590" s="4" t="inlineStr">
        <is>
          <t>35/826</t>
        </is>
      </c>
      <c r="L590" s="4" t="inlineStr">
        <is>
          <t>Yes</t>
        </is>
      </c>
      <c r="M590" s="4" t="inlineStr">
        <is>
          <t>Max momentum. These tricked-out run shorts have plenty of easy-access storage so you never need to slow down.</t>
        </is>
      </c>
      <c r="N590" s="4" t="inlineStr">
        <is>
          <t>Fast-and-Free-Lined-Running-Short-5</t>
        </is>
      </c>
      <c r="O590" s="4" t="inlineStr">
        <is>
          <t>Liner Shorts, Athletic Shorts, Track Shorts</t>
        </is>
      </c>
    </row>
    <row r="591" ht="80" customHeight="1">
      <c r="A591" s="7">
        <f>IMAGE("https://images.lululemon.com/is/image/lululemon/LM7BSIS_032894_1?wid=320&amp;op_usm=0.8",1)</f>
        <v/>
      </c>
      <c r="B591" s="7" t="inlineStr">
        <is>
          <t>Fast and Free Lined Running Short 5"</t>
        </is>
      </c>
      <c r="C591" s="7" t="inlineStr">
        <is>
          <t>156514753</t>
        </is>
      </c>
      <c r="D591" s="7" t="inlineStr">
        <is>
          <t>156514753-silverdrop</t>
        </is>
      </c>
      <c r="E591" s="7" t="inlineStr">
        <is>
          <t>Fast and Free Running Short 5" *Lined SILD S</t>
        </is>
      </c>
      <c r="F591" s="7" t="inlineStr">
        <is>
          <t>$88.00</t>
        </is>
      </c>
      <c r="G591" s="7" t="inlineStr">
        <is>
          <t>$44.00</t>
        </is>
      </c>
      <c r="H591" s="7" t="inlineStr">
        <is>
          <t>Silver Drop</t>
        </is>
      </c>
      <c r="I591" s="7">
        <f>IMAGE("https://images.lululemon.com/is/image/lululemon/33928",1)</f>
        <v/>
      </c>
      <c r="J591" s="7" t="inlineStr">
        <is>
          <t>XL</t>
        </is>
      </c>
      <c r="K591" s="7" t="inlineStr">
        <is>
          <t>28/826</t>
        </is>
      </c>
      <c r="L591" s="7" t="inlineStr">
        <is>
          <t>Yes</t>
        </is>
      </c>
      <c r="M591" s="7" t="inlineStr">
        <is>
          <t>Max momentum. These tricked-out run shorts have plenty of easy-access storage so you never need to slow down.</t>
        </is>
      </c>
      <c r="N591" s="7" t="inlineStr">
        <is>
          <t>Fast-and-Free-Lined-Running-Short-5</t>
        </is>
      </c>
      <c r="O591" s="7" t="inlineStr">
        <is>
          <t>Liner Shorts, Athletic Shorts, Track Shorts</t>
        </is>
      </c>
    </row>
    <row r="592" ht="80" customHeight="1">
      <c r="A592" s="4">
        <f>IMAGE("https://images.lululemon.com/is/image/lululemon/LM7BSIS_032894_1?wid=320&amp;op_usm=0.8",1)</f>
        <v/>
      </c>
      <c r="B592" s="4" t="inlineStr">
        <is>
          <t>Fast and Free Lined Running Short 5"</t>
        </is>
      </c>
      <c r="C592" s="4" t="inlineStr">
        <is>
          <t>156514757</t>
        </is>
      </c>
      <c r="D592" s="4" t="inlineStr">
        <is>
          <t>156514757-silverdrop</t>
        </is>
      </c>
      <c r="E592" s="4" t="inlineStr">
        <is>
          <t>Fast and Free Running Short 5" *Lined SILD S</t>
        </is>
      </c>
      <c r="F592" s="4" t="inlineStr">
        <is>
          <t>$88.00</t>
        </is>
      </c>
      <c r="G592" s="4" t="inlineStr">
        <is>
          <t>$44.00</t>
        </is>
      </c>
      <c r="H592" s="4" t="inlineStr">
        <is>
          <t>Silver Drop</t>
        </is>
      </c>
      <c r="I592" s="4">
        <f>IMAGE("https://images.lululemon.com/is/image/lululemon/33928",1)</f>
        <v/>
      </c>
      <c r="J592" s="4" t="inlineStr">
        <is>
          <t>XXL</t>
        </is>
      </c>
      <c r="K592" s="4" t="inlineStr">
        <is>
          <t>10/826</t>
        </is>
      </c>
      <c r="L592" s="4" t="inlineStr">
        <is>
          <t>Yes</t>
        </is>
      </c>
      <c r="M592" s="4" t="inlineStr">
        <is>
          <t>Max momentum. These tricked-out run shorts have plenty of easy-access storage so you never need to slow down.</t>
        </is>
      </c>
      <c r="N592" s="4" t="inlineStr">
        <is>
          <t>Fast-and-Free-Lined-Running-Short-5</t>
        </is>
      </c>
      <c r="O592" s="4" t="inlineStr">
        <is>
          <t>Liner Shorts, Athletic Shorts, Track Shorts</t>
        </is>
      </c>
    </row>
    <row r="593" ht="80" customHeight="1">
      <c r="A593" s="7">
        <f>IMAGE("https://images.lululemon.com/is/image/lululemon/LM7BSIS_032894_1?wid=320&amp;op_usm=0.8",1)</f>
        <v/>
      </c>
      <c r="B593" s="7" t="inlineStr">
        <is>
          <t>Fast and Free Lined Running Short 5"</t>
        </is>
      </c>
      <c r="C593" s="7" t="inlineStr">
        <is>
          <t>157688587</t>
        </is>
      </c>
      <c r="D593" s="7" t="inlineStr">
        <is>
          <t>157688587-lightivory</t>
        </is>
      </c>
      <c r="E593" s="7" t="inlineStr">
        <is>
          <t>Fast and Free Running Short 5" *Lined SILD S</t>
        </is>
      </c>
      <c r="F593" s="7" t="inlineStr">
        <is>
          <t>$88.00</t>
        </is>
      </c>
      <c r="G593" s="7" t="inlineStr">
        <is>
          <t>$44.00</t>
        </is>
      </c>
      <c r="H593" s="7" t="inlineStr">
        <is>
          <t>Light Ivory</t>
        </is>
      </c>
      <c r="I593" s="7">
        <f>IMAGE("https://images.lululemon.com/is/image/lululemon/33454",1)</f>
        <v/>
      </c>
      <c r="J593" s="7" t="inlineStr">
        <is>
          <t>S</t>
        </is>
      </c>
      <c r="K593" s="7" t="inlineStr">
        <is>
          <t>31/826</t>
        </is>
      </c>
      <c r="L593" s="7" t="inlineStr">
        <is>
          <t>Yes</t>
        </is>
      </c>
      <c r="M593" s="7" t="inlineStr">
        <is>
          <t>Max momentum. These tricked-out run shorts have plenty of easy-access storage so you never need to slow down.</t>
        </is>
      </c>
      <c r="N593" s="7" t="inlineStr">
        <is>
          <t>Fast-and-Free-Lined-Running-Short-5</t>
        </is>
      </c>
      <c r="O593" s="7" t="inlineStr">
        <is>
          <t>Liner Shorts, Athletic Shorts, Track Shorts</t>
        </is>
      </c>
    </row>
    <row r="594" ht="80" customHeight="1">
      <c r="A594" s="4">
        <f>IMAGE("https://images.lululemon.com/is/image/lululemon/LM7BSIS_032894_1?wid=320&amp;op_usm=0.8",1)</f>
        <v/>
      </c>
      <c r="B594" s="4" t="inlineStr">
        <is>
          <t>Fast and Free Lined Running Short 5"</t>
        </is>
      </c>
      <c r="C594" s="4" t="inlineStr">
        <is>
          <t>157688584</t>
        </is>
      </c>
      <c r="D594" s="4" t="inlineStr">
        <is>
          <t>157688584-lightivory</t>
        </is>
      </c>
      <c r="E594" s="4" t="inlineStr">
        <is>
          <t>Fast and Free Running Short 5" *Lined SILD S</t>
        </is>
      </c>
      <c r="F594" s="4" t="inlineStr">
        <is>
          <t>$88.00</t>
        </is>
      </c>
      <c r="G594" s="4" t="inlineStr">
        <is>
          <t>$44.00</t>
        </is>
      </c>
      <c r="H594" s="4" t="inlineStr">
        <is>
          <t>Light Ivory</t>
        </is>
      </c>
      <c r="I594" s="4">
        <f>IMAGE("https://images.lululemon.com/is/image/lululemon/33454",1)</f>
        <v/>
      </c>
      <c r="J594" s="4" t="inlineStr">
        <is>
          <t>M</t>
        </is>
      </c>
      <c r="K594" s="4" t="inlineStr">
        <is>
          <t>84/826</t>
        </is>
      </c>
      <c r="L594" s="4" t="inlineStr">
        <is>
          <t>Yes</t>
        </is>
      </c>
      <c r="M594" s="4" t="inlineStr">
        <is>
          <t>Max momentum. These tricked-out run shorts have plenty of easy-access storage so you never need to slow down.</t>
        </is>
      </c>
      <c r="N594" s="4" t="inlineStr">
        <is>
          <t>Fast-and-Free-Lined-Running-Short-5</t>
        </is>
      </c>
      <c r="O594" s="4" t="inlineStr">
        <is>
          <t>Liner Shorts, Athletic Shorts, Track Shorts</t>
        </is>
      </c>
    </row>
    <row r="595" ht="80" customHeight="1">
      <c r="A595" s="7">
        <f>IMAGE("https://images.lululemon.com/is/image/lululemon/LM7BSIS_032894_1?wid=320&amp;op_usm=0.8",1)</f>
        <v/>
      </c>
      <c r="B595" s="7" t="inlineStr">
        <is>
          <t>Fast and Free Lined Running Short 5"</t>
        </is>
      </c>
      <c r="C595" s="7" t="inlineStr">
        <is>
          <t>157688581</t>
        </is>
      </c>
      <c r="D595" s="7" t="inlineStr">
        <is>
          <t>157688581-lightivory</t>
        </is>
      </c>
      <c r="E595" s="7" t="inlineStr">
        <is>
          <t>Fast and Free Running Short 5" *Lined SILD S</t>
        </is>
      </c>
      <c r="F595" s="7" t="inlineStr">
        <is>
          <t>$88.00</t>
        </is>
      </c>
      <c r="G595" s="7" t="inlineStr">
        <is>
          <t>$44.00</t>
        </is>
      </c>
      <c r="H595" s="7" t="inlineStr">
        <is>
          <t>Light Ivory</t>
        </is>
      </c>
      <c r="I595" s="7">
        <f>IMAGE("https://images.lululemon.com/is/image/lululemon/33454",1)</f>
        <v/>
      </c>
      <c r="J595" s="7" t="inlineStr">
        <is>
          <t>L</t>
        </is>
      </c>
      <c r="K595" s="7" t="inlineStr">
        <is>
          <t>87/826</t>
        </is>
      </c>
      <c r="L595" s="7" t="inlineStr">
        <is>
          <t>Yes</t>
        </is>
      </c>
      <c r="M595" s="7" t="inlineStr">
        <is>
          <t>Max momentum. These tricked-out run shorts have plenty of easy-access storage so you never need to slow down.</t>
        </is>
      </c>
      <c r="N595" s="7" t="inlineStr">
        <is>
          <t>Fast-and-Free-Lined-Running-Short-5</t>
        </is>
      </c>
      <c r="O595" s="7" t="inlineStr">
        <is>
          <t>Liner Shorts, Athletic Shorts, Track Shorts</t>
        </is>
      </c>
    </row>
    <row r="596" ht="80" customHeight="1">
      <c r="A596" s="4">
        <f>IMAGE("https://images.lululemon.com/is/image/lululemon/LM7BSIS_032894_1?wid=320&amp;op_usm=0.8",1)</f>
        <v/>
      </c>
      <c r="B596" s="4" t="inlineStr">
        <is>
          <t>Fast and Free Lined Running Short 5"</t>
        </is>
      </c>
      <c r="C596" s="4" t="inlineStr">
        <is>
          <t>157688590</t>
        </is>
      </c>
      <c r="D596" s="4" t="inlineStr">
        <is>
          <t>157688590-lightivory</t>
        </is>
      </c>
      <c r="E596" s="4" t="inlineStr">
        <is>
          <t>Fast and Free Running Short 5" *Lined SILD S</t>
        </is>
      </c>
      <c r="F596" s="4" t="inlineStr">
        <is>
          <t>$88.00</t>
        </is>
      </c>
      <c r="G596" s="4" t="inlineStr">
        <is>
          <t>$44.00</t>
        </is>
      </c>
      <c r="H596" s="4" t="inlineStr">
        <is>
          <t>Light Ivory</t>
        </is>
      </c>
      <c r="I596" s="4">
        <f>IMAGE("https://images.lululemon.com/is/image/lululemon/33454",1)</f>
        <v/>
      </c>
      <c r="J596" s="4" t="inlineStr">
        <is>
          <t>XL</t>
        </is>
      </c>
      <c r="K596" s="4" t="inlineStr">
        <is>
          <t>51/826</t>
        </is>
      </c>
      <c r="L596" s="4" t="inlineStr">
        <is>
          <t>Yes</t>
        </is>
      </c>
      <c r="M596" s="4" t="inlineStr">
        <is>
          <t>Max momentum. These tricked-out run shorts have plenty of easy-access storage so you never need to slow down.</t>
        </is>
      </c>
      <c r="N596" s="4" t="inlineStr">
        <is>
          <t>Fast-and-Free-Lined-Running-Short-5</t>
        </is>
      </c>
      <c r="O596" s="4" t="inlineStr">
        <is>
          <t>Liner Shorts, Athletic Shorts, Track Shorts</t>
        </is>
      </c>
    </row>
    <row r="597" ht="80" customHeight="1">
      <c r="A597" s="7">
        <f>IMAGE("https://images.lululemon.com/is/image/lululemon/LM7BSIS_032894_1?wid=320&amp;op_usm=0.8",1)</f>
        <v/>
      </c>
      <c r="B597" s="7" t="inlineStr">
        <is>
          <t>Fast and Free Lined Running Short 5"</t>
        </is>
      </c>
      <c r="C597" s="7" t="inlineStr">
        <is>
          <t>157688596</t>
        </is>
      </c>
      <c r="D597" s="7" t="inlineStr">
        <is>
          <t>157688596-lightivory</t>
        </is>
      </c>
      <c r="E597" s="7" t="inlineStr">
        <is>
          <t>Fast and Free Running Short 5" *Lined SILD S</t>
        </is>
      </c>
      <c r="F597" s="7" t="inlineStr">
        <is>
          <t>$88.00</t>
        </is>
      </c>
      <c r="G597" s="7" t="inlineStr">
        <is>
          <t>$44.00</t>
        </is>
      </c>
      <c r="H597" s="7" t="inlineStr">
        <is>
          <t>Light Ivory</t>
        </is>
      </c>
      <c r="I597" s="7">
        <f>IMAGE("https://images.lululemon.com/is/image/lululemon/33454",1)</f>
        <v/>
      </c>
      <c r="J597" s="7" t="inlineStr">
        <is>
          <t>XXL</t>
        </is>
      </c>
      <c r="K597" s="7" t="inlineStr">
        <is>
          <t>13/826</t>
        </is>
      </c>
      <c r="L597" s="7" t="inlineStr">
        <is>
          <t>Yes</t>
        </is>
      </c>
      <c r="M597" s="7" t="inlineStr">
        <is>
          <t>Max momentum. These tricked-out run shorts have plenty of easy-access storage so you never need to slow down.</t>
        </is>
      </c>
      <c r="N597" s="7" t="inlineStr">
        <is>
          <t>Fast-and-Free-Lined-Running-Short-5</t>
        </is>
      </c>
      <c r="O597" s="7" t="inlineStr">
        <is>
          <t>Liner Shorts, Athletic Shorts, Track Shorts</t>
        </is>
      </c>
    </row>
    <row r="598" ht="80" customHeight="1">
      <c r="A598" s="4">
        <f>IMAGE("https://images.lululemon.com/is/image/lululemon/LM7BSIS_032894_1?wid=320&amp;op_usm=0.8",1)</f>
        <v/>
      </c>
      <c r="B598" s="4" t="inlineStr">
        <is>
          <t>Fast and Free Lined Running Short 5"</t>
        </is>
      </c>
      <c r="C598" s="4" t="inlineStr">
        <is>
          <t>158027807</t>
        </is>
      </c>
      <c r="D598" s="4" t="inlineStr">
        <is>
          <t>158027807-grapemist</t>
        </is>
      </c>
      <c r="E598" s="4" t="inlineStr">
        <is>
          <t>Fast and Free Running Short 5" *Lined SILD S</t>
        </is>
      </c>
      <c r="F598" s="4" t="inlineStr">
        <is>
          <t>$88.00</t>
        </is>
      </c>
      <c r="G598" s="4" t="inlineStr">
        <is>
          <t>$44.00</t>
        </is>
      </c>
      <c r="H598" s="4" t="inlineStr">
        <is>
          <t>Grape Mist</t>
        </is>
      </c>
      <c r="I598" s="4">
        <f>IMAGE("https://images.lululemon.com/is/image/lululemon/0554",1)</f>
        <v/>
      </c>
      <c r="J598" s="4" t="inlineStr">
        <is>
          <t>S</t>
        </is>
      </c>
      <c r="K598" s="4" t="inlineStr">
        <is>
          <t>37/826</t>
        </is>
      </c>
      <c r="L598" s="4" t="inlineStr">
        <is>
          <t>Yes</t>
        </is>
      </c>
      <c r="M598" s="4" t="inlineStr">
        <is>
          <t>Max momentum. These tricked-out run shorts have plenty of easy-access storage so you never need to slow down.</t>
        </is>
      </c>
      <c r="N598" s="4" t="inlineStr">
        <is>
          <t>Fast-and-Free-Lined-Running-Short-5</t>
        </is>
      </c>
      <c r="O598" s="4" t="inlineStr">
        <is>
          <t>Liner Shorts, Athletic Shorts, Track Shorts</t>
        </is>
      </c>
    </row>
    <row r="599" ht="80" customHeight="1">
      <c r="A599" s="7">
        <f>IMAGE("https://images.lululemon.com/is/image/lululemon/LM7BSIS_032894_1?wid=320&amp;op_usm=0.8",1)</f>
        <v/>
      </c>
      <c r="B599" s="7" t="inlineStr">
        <is>
          <t>Fast and Free Lined Running Short 5"</t>
        </is>
      </c>
      <c r="C599" s="7" t="inlineStr">
        <is>
          <t>158027789</t>
        </is>
      </c>
      <c r="D599" s="7" t="inlineStr">
        <is>
          <t>158027789-grapemist</t>
        </is>
      </c>
      <c r="E599" s="7" t="inlineStr">
        <is>
          <t>Fast and Free Running Short 5" *Lined SILD S</t>
        </is>
      </c>
      <c r="F599" s="7" t="inlineStr">
        <is>
          <t>$88.00</t>
        </is>
      </c>
      <c r="G599" s="7" t="inlineStr">
        <is>
          <t>$44.00</t>
        </is>
      </c>
      <c r="H599" s="7" t="inlineStr">
        <is>
          <t>Grape Mist</t>
        </is>
      </c>
      <c r="I599" s="7">
        <f>IMAGE("https://images.lululemon.com/is/image/lululemon/0554",1)</f>
        <v/>
      </c>
      <c r="J599" s="7" t="inlineStr">
        <is>
          <t>M</t>
        </is>
      </c>
      <c r="K599" s="7" t="inlineStr">
        <is>
          <t>97/826</t>
        </is>
      </c>
      <c r="L599" s="7" t="inlineStr">
        <is>
          <t>Yes</t>
        </is>
      </c>
      <c r="M599" s="7" t="inlineStr">
        <is>
          <t>Max momentum. These tricked-out run shorts have plenty of easy-access storage so you never need to slow down.</t>
        </is>
      </c>
      <c r="N599" s="7" t="inlineStr">
        <is>
          <t>Fast-and-Free-Lined-Running-Short-5</t>
        </is>
      </c>
      <c r="O599" s="7" t="inlineStr">
        <is>
          <t>Liner Shorts, Athletic Shorts, Track Shorts</t>
        </is>
      </c>
    </row>
    <row r="600" ht="80" customHeight="1">
      <c r="A600" s="4">
        <f>IMAGE("https://images.lululemon.com/is/image/lululemon/LM7BSIS_032894_1?wid=320&amp;op_usm=0.8",1)</f>
        <v/>
      </c>
      <c r="B600" s="4" t="inlineStr">
        <is>
          <t>Fast and Free Lined Running Short 5"</t>
        </is>
      </c>
      <c r="C600" s="4" t="inlineStr">
        <is>
          <t>158027767</t>
        </is>
      </c>
      <c r="D600" s="4" t="inlineStr">
        <is>
          <t>158027767-grapemist</t>
        </is>
      </c>
      <c r="E600" s="4" t="inlineStr">
        <is>
          <t>Fast and Free Running Short 5" *Lined SILD S</t>
        </is>
      </c>
      <c r="F600" s="4" t="inlineStr">
        <is>
          <t>$88.00</t>
        </is>
      </c>
      <c r="G600" s="4" t="inlineStr">
        <is>
          <t>$44.00</t>
        </is>
      </c>
      <c r="H600" s="4" t="inlineStr">
        <is>
          <t>Grape Mist</t>
        </is>
      </c>
      <c r="I600" s="4">
        <f>IMAGE("https://images.lululemon.com/is/image/lululemon/0554",1)</f>
        <v/>
      </c>
      <c r="J600" s="4" t="inlineStr">
        <is>
          <t>L</t>
        </is>
      </c>
      <c r="K600" s="4" t="inlineStr">
        <is>
          <t>101/826</t>
        </is>
      </c>
      <c r="L600" s="4" t="inlineStr">
        <is>
          <t>Yes</t>
        </is>
      </c>
      <c r="M600" s="4" t="inlineStr">
        <is>
          <t>Max momentum. These tricked-out run shorts have plenty of easy-access storage so you never need to slow down.</t>
        </is>
      </c>
      <c r="N600" s="4" t="inlineStr">
        <is>
          <t>Fast-and-Free-Lined-Running-Short-5</t>
        </is>
      </c>
      <c r="O600" s="4" t="inlineStr">
        <is>
          <t>Liner Shorts, Athletic Shorts, Track Shorts</t>
        </is>
      </c>
    </row>
    <row r="601" ht="80" customHeight="1">
      <c r="A601" s="7">
        <f>IMAGE("https://images.lululemon.com/is/image/lululemon/LM7BSIS_032894_1?wid=320&amp;op_usm=0.8",1)</f>
        <v/>
      </c>
      <c r="B601" s="7" t="inlineStr">
        <is>
          <t>Fast and Free Lined Running Short 5"</t>
        </is>
      </c>
      <c r="C601" s="7" t="inlineStr">
        <is>
          <t>158027831</t>
        </is>
      </c>
      <c r="D601" s="7" t="inlineStr">
        <is>
          <t>158027831-grapemist</t>
        </is>
      </c>
      <c r="E601" s="7" t="inlineStr">
        <is>
          <t>Fast and Free Running Short 5" *Lined SILD S</t>
        </is>
      </c>
      <c r="F601" s="7" t="inlineStr">
        <is>
          <t>$88.00</t>
        </is>
      </c>
      <c r="G601" s="7" t="inlineStr">
        <is>
          <t>$44.00</t>
        </is>
      </c>
      <c r="H601" s="7" t="inlineStr">
        <is>
          <t>Grape Mist</t>
        </is>
      </c>
      <c r="I601" s="7">
        <f>IMAGE("https://images.lululemon.com/is/image/lululemon/0554",1)</f>
        <v/>
      </c>
      <c r="J601" s="7" t="inlineStr">
        <is>
          <t>XL</t>
        </is>
      </c>
      <c r="K601" s="7" t="inlineStr">
        <is>
          <t>59/826</t>
        </is>
      </c>
      <c r="L601" s="7" t="inlineStr">
        <is>
          <t>Yes</t>
        </is>
      </c>
      <c r="M601" s="7" t="inlineStr">
        <is>
          <t>Max momentum. These tricked-out run shorts have plenty of easy-access storage so you never need to slow down.</t>
        </is>
      </c>
      <c r="N601" s="7" t="inlineStr">
        <is>
          <t>Fast-and-Free-Lined-Running-Short-5</t>
        </is>
      </c>
      <c r="O601" s="7" t="inlineStr">
        <is>
          <t>Liner Shorts, Athletic Shorts, Track Shorts</t>
        </is>
      </c>
    </row>
    <row r="602" ht="80" customHeight="1">
      <c r="A602" s="4">
        <f>IMAGE("https://images.lululemon.com/is/image/lululemon/LM7BSIS_032894_1?wid=320&amp;op_usm=0.8",1)</f>
        <v/>
      </c>
      <c r="B602" s="4" t="inlineStr">
        <is>
          <t>Fast and Free Lined Running Short 5"</t>
        </is>
      </c>
      <c r="C602" s="4" t="inlineStr">
        <is>
          <t>158027869</t>
        </is>
      </c>
      <c r="D602" s="4" t="inlineStr">
        <is>
          <t>158027869-grapemist</t>
        </is>
      </c>
      <c r="E602" s="4" t="inlineStr">
        <is>
          <t>Fast and Free Running Short 5" *Lined SILD S</t>
        </is>
      </c>
      <c r="F602" s="4" t="inlineStr">
        <is>
          <t>$88.00</t>
        </is>
      </c>
      <c r="G602" s="4" t="inlineStr">
        <is>
          <t>$44.00</t>
        </is>
      </c>
      <c r="H602" s="4" t="inlineStr">
        <is>
          <t>Grape Mist</t>
        </is>
      </c>
      <c r="I602" s="4">
        <f>IMAGE("https://images.lululemon.com/is/image/lululemon/0554",1)</f>
        <v/>
      </c>
      <c r="J602" s="4" t="inlineStr">
        <is>
          <t>XXL</t>
        </is>
      </c>
      <c r="K602" s="4" t="inlineStr">
        <is>
          <t>14/826</t>
        </is>
      </c>
      <c r="L602" s="4" t="inlineStr">
        <is>
          <t>Yes</t>
        </is>
      </c>
      <c r="M602" s="4" t="inlineStr">
        <is>
          <t>Max momentum. These tricked-out run shorts have plenty of easy-access storage so you never need to slow down.</t>
        </is>
      </c>
      <c r="N602" s="4" t="inlineStr">
        <is>
          <t>Fast-and-Free-Lined-Running-Short-5</t>
        </is>
      </c>
      <c r="O602" s="4" t="inlineStr">
        <is>
          <t>Liner Shorts, Athletic Shorts, Track Shorts</t>
        </is>
      </c>
    </row>
    <row r="603" ht="80" customHeight="1">
      <c r="A603" s="7">
        <f>IMAGE("https://images.lululemon.com/is/image/lululemon/LM7BSIS_032894_1?wid=320&amp;op_usm=0.8",1)</f>
        <v/>
      </c>
      <c r="B603" s="7" t="inlineStr">
        <is>
          <t>Fast and Free Lined Running Short 5"</t>
        </is>
      </c>
      <c r="C603" s="7" t="inlineStr">
        <is>
          <t>156514724</t>
        </is>
      </c>
      <c r="D603" s="7" t="inlineStr">
        <is>
          <t>156514724-vapor</t>
        </is>
      </c>
      <c r="E603" s="7" t="inlineStr">
        <is>
          <t>Fast and Free Running Short 5" *Lined SILD S</t>
        </is>
      </c>
      <c r="F603" s="7" t="inlineStr">
        <is>
          <t>$88.00</t>
        </is>
      </c>
      <c r="G603" s="7" t="inlineStr">
        <is>
          <t>$44.00</t>
        </is>
      </c>
      <c r="H603" s="7" t="inlineStr">
        <is>
          <t>Vapor</t>
        </is>
      </c>
      <c r="I603" s="7">
        <f>IMAGE("https://images.lululemon.com/is/image/lululemon/32894",1)</f>
        <v/>
      </c>
      <c r="J603" s="7" t="inlineStr">
        <is>
          <t>S</t>
        </is>
      </c>
      <c r="K603" s="7" t="inlineStr">
        <is>
          <t>5/826</t>
        </is>
      </c>
      <c r="L603" s="7" t="inlineStr">
        <is>
          <t>Yes</t>
        </is>
      </c>
      <c r="M603" s="7" t="inlineStr">
        <is>
          <t>Max momentum. These tricked-out run shorts have plenty of easy-access storage so you never need to slow down.</t>
        </is>
      </c>
      <c r="N603" s="7" t="inlineStr">
        <is>
          <t>Fast-and-Free-Lined-Running-Short-5</t>
        </is>
      </c>
      <c r="O603" s="7" t="inlineStr">
        <is>
          <t>Liner Shorts, Athletic Shorts, Track Shorts</t>
        </is>
      </c>
    </row>
    <row r="604" ht="80" customHeight="1">
      <c r="A604" s="4">
        <f>IMAGE("https://images.lululemon.com/is/image/lululemon/LM7BSIS_032894_1?wid=320&amp;op_usm=0.8",1)</f>
        <v/>
      </c>
      <c r="B604" s="4" t="inlineStr">
        <is>
          <t>Fast and Free Lined Running Short 5"</t>
        </is>
      </c>
      <c r="C604" s="4" t="inlineStr">
        <is>
          <t>156514723</t>
        </is>
      </c>
      <c r="D604" s="4" t="inlineStr">
        <is>
          <t>156514723-vapor</t>
        </is>
      </c>
      <c r="E604" s="4" t="inlineStr">
        <is>
          <t>Fast and Free Running Short 5" *Lined SILD S</t>
        </is>
      </c>
      <c r="F604" s="4" t="inlineStr">
        <is>
          <t>$88.00</t>
        </is>
      </c>
      <c r="G604" s="4" t="inlineStr">
        <is>
          <t>$44.00</t>
        </is>
      </c>
      <c r="H604" s="4" t="inlineStr">
        <is>
          <t>Vapor</t>
        </is>
      </c>
      <c r="I604" s="4">
        <f>IMAGE("https://images.lululemon.com/is/image/lululemon/32894",1)</f>
        <v/>
      </c>
      <c r="J604" s="4" t="inlineStr">
        <is>
          <t>M</t>
        </is>
      </c>
      <c r="K604" s="4" t="inlineStr">
        <is>
          <t>29/826</t>
        </is>
      </c>
      <c r="L604" s="4" t="inlineStr">
        <is>
          <t>Yes</t>
        </is>
      </c>
      <c r="M604" s="4" t="inlineStr">
        <is>
          <t>Max momentum. These tricked-out run shorts have plenty of easy-access storage so you never need to slow down.</t>
        </is>
      </c>
      <c r="N604" s="4" t="inlineStr">
        <is>
          <t>Fast-and-Free-Lined-Running-Short-5</t>
        </is>
      </c>
      <c r="O604" s="4" t="inlineStr">
        <is>
          <t>Liner Shorts, Athletic Shorts, Track Shorts</t>
        </is>
      </c>
    </row>
    <row r="605" ht="80" customHeight="1">
      <c r="A605" s="7">
        <f>IMAGE("https://images.lululemon.com/is/image/lululemon/LM7BSIS_032894_1?wid=320&amp;op_usm=0.8",1)</f>
        <v/>
      </c>
      <c r="B605" s="7" t="inlineStr">
        <is>
          <t>Fast and Free Lined Running Short 5"</t>
        </is>
      </c>
      <c r="C605" s="7" t="inlineStr">
        <is>
          <t>156514721</t>
        </is>
      </c>
      <c r="D605" s="7" t="inlineStr">
        <is>
          <t>156514721-vapor</t>
        </is>
      </c>
      <c r="E605" s="7" t="inlineStr">
        <is>
          <t>Fast and Free Running Short 5" *Lined SILD S</t>
        </is>
      </c>
      <c r="F605" s="7" t="inlineStr">
        <is>
          <t>$88.00</t>
        </is>
      </c>
      <c r="G605" s="7" t="inlineStr">
        <is>
          <t>$44.00</t>
        </is>
      </c>
      <c r="H605" s="7" t="inlineStr">
        <is>
          <t>Vapor</t>
        </is>
      </c>
      <c r="I605" s="7">
        <f>IMAGE("https://images.lululemon.com/is/image/lululemon/32894",1)</f>
        <v/>
      </c>
      <c r="J605" s="7" t="inlineStr">
        <is>
          <t>L</t>
        </is>
      </c>
      <c r="K605" s="7" t="inlineStr">
        <is>
          <t>61/826</t>
        </is>
      </c>
      <c r="L605" s="7" t="inlineStr">
        <is>
          <t>Yes</t>
        </is>
      </c>
      <c r="M605" s="7" t="inlineStr">
        <is>
          <t>Max momentum. These tricked-out run shorts have plenty of easy-access storage so you never need to slow down.</t>
        </is>
      </c>
      <c r="N605" s="7" t="inlineStr">
        <is>
          <t>Fast-and-Free-Lined-Running-Short-5</t>
        </is>
      </c>
      <c r="O605" s="7" t="inlineStr">
        <is>
          <t>Liner Shorts, Athletic Shorts, Track Shorts</t>
        </is>
      </c>
    </row>
    <row r="606" ht="80" customHeight="1">
      <c r="A606" s="4">
        <f>IMAGE("https://images.lululemon.com/is/image/lululemon/LM7BSIS_032894_1?wid=320&amp;op_usm=0.8",1)</f>
        <v/>
      </c>
      <c r="B606" s="4" t="inlineStr">
        <is>
          <t>Fast and Free Lined Running Short 5"</t>
        </is>
      </c>
      <c r="C606" s="4" t="inlineStr">
        <is>
          <t>156514726</t>
        </is>
      </c>
      <c r="D606" s="4" t="inlineStr">
        <is>
          <t>156514726-vapor</t>
        </is>
      </c>
      <c r="E606" s="4" t="inlineStr">
        <is>
          <t>Fast and Free Running Short 5" *Lined SILD S</t>
        </is>
      </c>
      <c r="F606" s="4" t="inlineStr">
        <is>
          <t>$88.00</t>
        </is>
      </c>
      <c r="G606" s="4" t="inlineStr">
        <is>
          <t>$44.00</t>
        </is>
      </c>
      <c r="H606" s="4" t="inlineStr">
        <is>
          <t>Vapor</t>
        </is>
      </c>
      <c r="I606" s="4">
        <f>IMAGE("https://images.lululemon.com/is/image/lululemon/32894",1)</f>
        <v/>
      </c>
      <c r="J606" s="4" t="inlineStr">
        <is>
          <t>XL</t>
        </is>
      </c>
      <c r="K606" s="4" t="inlineStr">
        <is>
          <t>53/826</t>
        </is>
      </c>
      <c r="L606" s="4" t="inlineStr">
        <is>
          <t>Yes</t>
        </is>
      </c>
      <c r="M606" s="4" t="inlineStr">
        <is>
          <t>Max momentum. These tricked-out run shorts have plenty of easy-access storage so you never need to slow down.</t>
        </is>
      </c>
      <c r="N606" s="4" t="inlineStr">
        <is>
          <t>Fast-and-Free-Lined-Running-Short-5</t>
        </is>
      </c>
      <c r="O606" s="4" t="inlineStr">
        <is>
          <t>Liner Shorts, Athletic Shorts, Track Shorts</t>
        </is>
      </c>
    </row>
    <row r="607" ht="80" customHeight="1">
      <c r="A607" s="5">
        <f>IMAGE("https://images.lululemon.com/is/image/lululemon/LM7BSIS_032894_1?wid=320&amp;op_usm=0.8",1)</f>
        <v/>
      </c>
      <c r="B607" s="5" t="inlineStr">
        <is>
          <t>Fast and Free Lined Running Short 5"</t>
        </is>
      </c>
      <c r="C607" s="5" t="inlineStr">
        <is>
          <t>156514731</t>
        </is>
      </c>
      <c r="D607" s="5" t="inlineStr">
        <is>
          <t>156514731-vapor</t>
        </is>
      </c>
      <c r="E607" s="5" t="inlineStr">
        <is>
          <t>Fast and Free Running Short 5" *Lined SILD S</t>
        </is>
      </c>
      <c r="F607" s="5" t="inlineStr">
        <is>
          <t>$88.00</t>
        </is>
      </c>
      <c r="G607" s="5" t="inlineStr">
        <is>
          <t>$44.00</t>
        </is>
      </c>
      <c r="H607" s="5" t="inlineStr">
        <is>
          <t>Vapor</t>
        </is>
      </c>
      <c r="I607" s="5">
        <f>IMAGE("https://images.lululemon.com/is/image/lululemon/32894",1)</f>
        <v/>
      </c>
      <c r="J607" s="5" t="inlineStr">
        <is>
          <t>XXL</t>
        </is>
      </c>
      <c r="K607" s="5" t="inlineStr">
        <is>
          <t>7/826</t>
        </is>
      </c>
      <c r="L607" s="5" t="inlineStr">
        <is>
          <t>Yes</t>
        </is>
      </c>
      <c r="M607" s="5" t="inlineStr">
        <is>
          <t>Max momentum. These tricked-out run shorts have plenty of easy-access storage so you never need to slow down.</t>
        </is>
      </c>
      <c r="N607" s="5" t="inlineStr">
        <is>
          <t>Fast-and-Free-Lined-Running-Short-5</t>
        </is>
      </c>
      <c r="O607" s="5" t="inlineStr">
        <is>
          <t>Liner Shorts, Athletic Shorts, Track Shorts</t>
        </is>
      </c>
    </row>
    <row r="608" ht="80" customHeight="1">
      <c r="A608" s="4">
        <f>IMAGE("https://images.lululemon.com/is/image/lululemon/LM7BPLS_0024_1?wid=320&amp;op_usm=0.8",1)</f>
        <v/>
      </c>
      <c r="B608" s="4" t="inlineStr">
        <is>
          <t>Pace Breaker Reflective Linerless Knit Short 7"</t>
        </is>
      </c>
      <c r="C608" s="4" t="inlineStr">
        <is>
          <t>157684678</t>
        </is>
      </c>
      <c r="D608" s="4" t="inlineStr">
        <is>
          <t>157684678-white/black</t>
        </is>
      </c>
      <c r="E608" s="4" t="inlineStr">
        <is>
          <t>Pace Breaker Reflective Knit Short 7"*LL WHT/BLK S</t>
        </is>
      </c>
      <c r="F608" s="4" t="inlineStr">
        <is>
          <t>$98.00</t>
        </is>
      </c>
      <c r="G608" s="4" t="inlineStr">
        <is>
          <t>$49.00</t>
        </is>
      </c>
      <c r="H608" s="4" t="inlineStr">
        <is>
          <t>White/Black</t>
        </is>
      </c>
      <c r="I608" s="4">
        <f>IMAGE("https://images.lululemon.com/is/image/lululemon/0024",1)</f>
        <v/>
      </c>
      <c r="J608" s="4" t="inlineStr">
        <is>
          <t>S</t>
        </is>
      </c>
      <c r="K608" s="4" t="inlineStr">
        <is>
          <t>20/136</t>
        </is>
      </c>
      <c r="L608" s="4" t="inlineStr">
        <is>
          <t>Yes</t>
        </is>
      </c>
      <c r="M608" s="4" t="inlineStr">
        <is>
          <t>Athlete backed, performance driven. This version of our most versatile short features an all-over reflective design effect to help keep you on the radar.</t>
        </is>
      </c>
      <c r="N608" s="4" t="inlineStr">
        <is>
          <t>Pace-Breaker-Reflective-Linerless-Knit-Short-7</t>
        </is>
      </c>
      <c r="O608" s="4" t="inlineStr">
        <is>
          <t>Athletic Shorts</t>
        </is>
      </c>
    </row>
    <row r="609" ht="80" customHeight="1">
      <c r="A609" s="7">
        <f>IMAGE("https://images.lululemon.com/is/image/lululemon/LM7BPLS_0024_1?wid=320&amp;op_usm=0.8",1)</f>
        <v/>
      </c>
      <c r="B609" s="7" t="inlineStr">
        <is>
          <t>Pace Breaker Reflective Linerless Knit Short 7"</t>
        </is>
      </c>
      <c r="C609" s="7" t="inlineStr">
        <is>
          <t>157684673</t>
        </is>
      </c>
      <c r="D609" s="7" t="inlineStr">
        <is>
          <t>157684673-white/black</t>
        </is>
      </c>
      <c r="E609" s="7" t="inlineStr">
        <is>
          <t>Pace Breaker Reflective Knit Short 7"*LL WHT/BLK S</t>
        </is>
      </c>
      <c r="F609" s="7" t="inlineStr">
        <is>
          <t>$98.00</t>
        </is>
      </c>
      <c r="G609" s="7" t="inlineStr">
        <is>
          <t>$49.00</t>
        </is>
      </c>
      <c r="H609" s="7" t="inlineStr">
        <is>
          <t>White/Black</t>
        </is>
      </c>
      <c r="I609" s="7">
        <f>IMAGE("https://images.lululemon.com/is/image/lululemon/0024",1)</f>
        <v/>
      </c>
      <c r="J609" s="7" t="inlineStr">
        <is>
          <t>M</t>
        </is>
      </c>
      <c r="K609" s="7" t="inlineStr">
        <is>
          <t>38/136</t>
        </is>
      </c>
      <c r="L609" s="7" t="inlineStr">
        <is>
          <t>Yes</t>
        </is>
      </c>
      <c r="M609" s="7" t="inlineStr">
        <is>
          <t>Athlete backed, performance driven. This version of our most versatile short features an all-over reflective design effect to help keep you on the radar.</t>
        </is>
      </c>
      <c r="N609" s="7" t="inlineStr">
        <is>
          <t>Pace-Breaker-Reflective-Linerless-Knit-Short-7</t>
        </is>
      </c>
      <c r="O609" s="7" t="inlineStr">
        <is>
          <t>Athletic Shorts</t>
        </is>
      </c>
    </row>
    <row r="610" ht="80" customHeight="1">
      <c r="A610" s="4">
        <f>IMAGE("https://images.lululemon.com/is/image/lululemon/LM7BPLS_0024_1?wid=320&amp;op_usm=0.8",1)</f>
        <v/>
      </c>
      <c r="B610" s="4" t="inlineStr">
        <is>
          <t>Pace Breaker Reflective Linerless Knit Short 7"</t>
        </is>
      </c>
      <c r="C610" s="4" t="inlineStr">
        <is>
          <t>157684667</t>
        </is>
      </c>
      <c r="D610" s="4" t="inlineStr">
        <is>
          <t>157684667-white/black</t>
        </is>
      </c>
      <c r="E610" s="4" t="inlineStr">
        <is>
          <t>Pace Breaker Reflective Knit Short 7"*LL WHT/BLK S</t>
        </is>
      </c>
      <c r="F610" s="4" t="inlineStr">
        <is>
          <t>$98.00</t>
        </is>
      </c>
      <c r="G610" s="4" t="inlineStr">
        <is>
          <t>$49.00</t>
        </is>
      </c>
      <c r="H610" s="4" t="inlineStr">
        <is>
          <t>White/Black</t>
        </is>
      </c>
      <c r="I610" s="4">
        <f>IMAGE("https://images.lululemon.com/is/image/lululemon/0024",1)</f>
        <v/>
      </c>
      <c r="J610" s="4" t="inlineStr">
        <is>
          <t>L</t>
        </is>
      </c>
      <c r="K610" s="4" t="inlineStr">
        <is>
          <t>36/136</t>
        </is>
      </c>
      <c r="L610" s="4" t="inlineStr">
        <is>
          <t>Yes</t>
        </is>
      </c>
      <c r="M610" s="4" t="inlineStr">
        <is>
          <t>Athlete backed, performance driven. This version of our most versatile short features an all-over reflective design effect to help keep you on the radar.</t>
        </is>
      </c>
      <c r="N610" s="4" t="inlineStr">
        <is>
          <t>Pace-Breaker-Reflective-Linerless-Knit-Short-7</t>
        </is>
      </c>
      <c r="O610" s="4" t="inlineStr">
        <is>
          <t>Athletic Shorts</t>
        </is>
      </c>
    </row>
    <row r="611" ht="80" customHeight="1">
      <c r="A611" s="7">
        <f>IMAGE("https://images.lululemon.com/is/image/lululemon/LM7BPLS_0024_1?wid=320&amp;op_usm=0.8",1)</f>
        <v/>
      </c>
      <c r="B611" s="7" t="inlineStr">
        <is>
          <t>Pace Breaker Reflective Linerless Knit Short 7"</t>
        </is>
      </c>
      <c r="C611" s="7" t="inlineStr">
        <is>
          <t>157684688</t>
        </is>
      </c>
      <c r="D611" s="7" t="inlineStr">
        <is>
          <t>157684688-white/black</t>
        </is>
      </c>
      <c r="E611" s="7" t="inlineStr">
        <is>
          <t>Pace Breaker Reflective Knit Short 7"*LL WHT/BLK S</t>
        </is>
      </c>
      <c r="F611" s="7" t="inlineStr">
        <is>
          <t>$98.00</t>
        </is>
      </c>
      <c r="G611" s="7" t="inlineStr">
        <is>
          <t>$49.00</t>
        </is>
      </c>
      <c r="H611" s="7" t="inlineStr">
        <is>
          <t>White/Black</t>
        </is>
      </c>
      <c r="I611" s="7">
        <f>IMAGE("https://images.lululemon.com/is/image/lululemon/0024",1)</f>
        <v/>
      </c>
      <c r="J611" s="7" t="inlineStr">
        <is>
          <t>XL</t>
        </is>
      </c>
      <c r="K611" s="7" t="inlineStr">
        <is>
          <t>34/136</t>
        </is>
      </c>
      <c r="L611" s="7" t="inlineStr">
        <is>
          <t>Yes</t>
        </is>
      </c>
      <c r="M611" s="7" t="inlineStr">
        <is>
          <t>Athlete backed, performance driven. This version of our most versatile short features an all-over reflective design effect to help keep you on the radar.</t>
        </is>
      </c>
      <c r="N611" s="7" t="inlineStr">
        <is>
          <t>Pace-Breaker-Reflective-Linerless-Knit-Short-7</t>
        </is>
      </c>
      <c r="O611" s="7" t="inlineStr">
        <is>
          <t>Athletic Shorts</t>
        </is>
      </c>
    </row>
    <row r="612" ht="80" customHeight="1">
      <c r="A612" s="6">
        <f>IMAGE("https://images.lululemon.com/is/image/lululemon/LM7BPLS_0024_1?wid=320&amp;op_usm=0.8",1)</f>
        <v/>
      </c>
      <c r="B612" s="6" t="inlineStr">
        <is>
          <t>Pace Breaker Reflective Linerless Knit Short 7"</t>
        </is>
      </c>
      <c r="C612" s="6" t="inlineStr">
        <is>
          <t>157684704</t>
        </is>
      </c>
      <c r="D612" s="6" t="inlineStr">
        <is>
          <t>157684704-white/black</t>
        </is>
      </c>
      <c r="E612" s="6" t="inlineStr">
        <is>
          <t>Pace Breaker Reflective Knit Short 7"*LL WHT/BLK S</t>
        </is>
      </c>
      <c r="F612" s="6" t="inlineStr">
        <is>
          <t>$98.00</t>
        </is>
      </c>
      <c r="G612" s="6" t="inlineStr">
        <is>
          <t>$49.00</t>
        </is>
      </c>
      <c r="H612" s="6" t="inlineStr">
        <is>
          <t>White/Black</t>
        </is>
      </c>
      <c r="I612" s="6">
        <f>IMAGE("https://images.lululemon.com/is/image/lululemon/0024",1)</f>
        <v/>
      </c>
      <c r="J612" s="6" t="inlineStr">
        <is>
          <t>XXL</t>
        </is>
      </c>
      <c r="K612" s="6" t="inlineStr">
        <is>
          <t>8/136</t>
        </is>
      </c>
      <c r="L612" s="6" t="inlineStr">
        <is>
          <t>Yes</t>
        </is>
      </c>
      <c r="M612" s="6" t="inlineStr">
        <is>
          <t>Athlete backed, performance driven. This version of our most versatile short features an all-over reflective design effect to help keep you on the radar.</t>
        </is>
      </c>
      <c r="N612" s="6" t="inlineStr">
        <is>
          <t>Pace-Breaker-Reflective-Linerless-Knit-Short-7</t>
        </is>
      </c>
      <c r="O612" s="6" t="inlineStr">
        <is>
          <t>Athletic Shorts</t>
        </is>
      </c>
    </row>
    <row r="613" ht="80" customHeight="1">
      <c r="A613" s="7">
        <f>IMAGE("https://images.lululemon.com/is/image/lululemon/LM5AO1S_033454_1?wid=320&amp;op_usm=0.8",1)</f>
        <v/>
      </c>
      <c r="B613" s="7" t="inlineStr">
        <is>
          <t>ABC Classic-Fit 5 Pocket Pant 32L *Warpstreme</t>
        </is>
      </c>
      <c r="C613" s="7" t="inlineStr">
        <is>
          <t>156483457</t>
        </is>
      </c>
      <c r="D613" s="7" t="inlineStr">
        <is>
          <t>156483457-lightivory</t>
        </is>
      </c>
      <c r="E613" s="7" t="inlineStr">
        <is>
          <t>ABC Classic-Fit 5Pkt Pant 32L*Warpstreme LTIV 28</t>
        </is>
      </c>
      <c r="F613" s="7" t="inlineStr">
        <is>
          <t>$138.00</t>
        </is>
      </c>
      <c r="G613" s="7" t="inlineStr">
        <is>
          <t>$69.00</t>
        </is>
      </c>
      <c r="H613" s="7" t="inlineStr">
        <is>
          <t>Light Ivory</t>
        </is>
      </c>
      <c r="I613" s="7">
        <f>IMAGE("https://images.lululemon.com/is/image/lululemon/33454",1)</f>
        <v/>
      </c>
      <c r="J613" s="7" t="inlineStr">
        <is>
          <t>28</t>
        </is>
      </c>
      <c r="K613" s="7" t="inlineStr">
        <is>
          <t>6/267</t>
        </is>
      </c>
      <c r="L613" s="7" t="inlineStr">
        <is>
          <t>Yes</t>
        </is>
      </c>
      <c r="M613" s="7" t="inlineStr">
        <is>
          <t>The five-pocket jean, reinvented. These classic-fit pants, powered by ABC™ technology, give you freedom of movement and all-day comfort.</t>
        </is>
      </c>
      <c r="N613" s="7" t="inlineStr">
        <is>
          <t>ABC-Pant-Classic-32</t>
        </is>
      </c>
      <c r="O613" s="7" t="inlineStr">
        <is>
          <t>5 Pocket Pants</t>
        </is>
      </c>
    </row>
    <row r="614" ht="80" customHeight="1">
      <c r="A614" s="4">
        <f>IMAGE("https://images.lululemon.com/is/image/lululemon/LM5AO1S_033454_1?wid=320&amp;op_usm=0.8",1)</f>
        <v/>
      </c>
      <c r="B614" s="4" t="inlineStr">
        <is>
          <t>ABC Classic-Fit 5 Pocket Pant 32L *Warpstreme</t>
        </is>
      </c>
      <c r="C614" s="4" t="inlineStr">
        <is>
          <t>156483470</t>
        </is>
      </c>
      <c r="D614" s="4" t="inlineStr">
        <is>
          <t>156483470-lightivory</t>
        </is>
      </c>
      <c r="E614" s="4" t="inlineStr">
        <is>
          <t>ABC Classic-Fit 5Pkt Pant 32L*Warpstreme LTIV 28</t>
        </is>
      </c>
      <c r="F614" s="4" t="inlineStr">
        <is>
          <t>$138.00</t>
        </is>
      </c>
      <c r="G614" s="4" t="inlineStr">
        <is>
          <t>$69.00</t>
        </is>
      </c>
      <c r="H614" s="4" t="inlineStr">
        <is>
          <t>Light Ivory</t>
        </is>
      </c>
      <c r="I614" s="4">
        <f>IMAGE("https://images.lululemon.com/is/image/lululemon/33454",1)</f>
        <v/>
      </c>
      <c r="J614" s="4" t="inlineStr">
        <is>
          <t>30</t>
        </is>
      </c>
      <c r="K614" s="4" t="inlineStr">
        <is>
          <t>16/267</t>
        </is>
      </c>
      <c r="L614" s="4" t="inlineStr">
        <is>
          <t>Yes</t>
        </is>
      </c>
      <c r="M614" s="4" t="inlineStr">
        <is>
          <t>The five-pocket jean, reinvented. These classic-fit pants, powered by ABC™ technology, give you freedom of movement and all-day comfort.</t>
        </is>
      </c>
      <c r="N614" s="4" t="inlineStr">
        <is>
          <t>ABC-Pant-Classic-32</t>
        </is>
      </c>
      <c r="O614" s="4" t="inlineStr">
        <is>
          <t>5 Pocket Pants</t>
        </is>
      </c>
    </row>
    <row r="615" ht="80" customHeight="1">
      <c r="A615" s="7">
        <f>IMAGE("https://images.lululemon.com/is/image/lululemon/LM5AO1S_033454_1?wid=320&amp;op_usm=0.8",1)</f>
        <v/>
      </c>
      <c r="B615" s="7" t="inlineStr">
        <is>
          <t>ABC Classic-Fit 5 Pocket Pant 32L *Warpstreme</t>
        </is>
      </c>
      <c r="C615" s="7" t="inlineStr">
        <is>
          <t>156483476</t>
        </is>
      </c>
      <c r="D615" s="7" t="inlineStr">
        <is>
          <t>156483476-lightivory</t>
        </is>
      </c>
      <c r="E615" s="7" t="inlineStr">
        <is>
          <t>ABC Classic-Fit 5Pkt Pant 32L*Warpstreme LTIV 28</t>
        </is>
      </c>
      <c r="F615" s="7" t="inlineStr">
        <is>
          <t>$138.00</t>
        </is>
      </c>
      <c r="G615" s="7" t="inlineStr">
        <is>
          <t>$69.00</t>
        </is>
      </c>
      <c r="H615" s="7" t="inlineStr">
        <is>
          <t>Light Ivory</t>
        </is>
      </c>
      <c r="I615" s="7">
        <f>IMAGE("https://images.lululemon.com/is/image/lululemon/33454",1)</f>
        <v/>
      </c>
      <c r="J615" s="7" t="inlineStr">
        <is>
          <t>31</t>
        </is>
      </c>
      <c r="K615" s="7" t="inlineStr">
        <is>
          <t>4/267</t>
        </is>
      </c>
      <c r="L615" s="7" t="inlineStr">
        <is>
          <t>Yes</t>
        </is>
      </c>
      <c r="M615" s="7" t="inlineStr">
        <is>
          <t>The five-pocket jean, reinvented. These classic-fit pants, powered by ABC™ technology, give you freedom of movement and all-day comfort.</t>
        </is>
      </c>
      <c r="N615" s="7" t="inlineStr">
        <is>
          <t>ABC-Pant-Classic-32</t>
        </is>
      </c>
      <c r="O615" s="7" t="inlineStr">
        <is>
          <t>5 Pocket Pants</t>
        </is>
      </c>
    </row>
    <row r="616" ht="80" customHeight="1">
      <c r="A616" s="4">
        <f>IMAGE("https://images.lululemon.com/is/image/lululemon/LM5AO1S_033454_1?wid=320&amp;op_usm=0.8",1)</f>
        <v/>
      </c>
      <c r="B616" s="4" t="inlineStr">
        <is>
          <t>ABC Classic-Fit 5 Pocket Pant 32L *Warpstreme</t>
        </is>
      </c>
      <c r="C616" s="4" t="inlineStr">
        <is>
          <t>156483481</t>
        </is>
      </c>
      <c r="D616" s="4" t="inlineStr">
        <is>
          <t>156483481-lightivory</t>
        </is>
      </c>
      <c r="E616" s="4" t="inlineStr">
        <is>
          <t>ABC Classic-Fit 5Pkt Pant 32L*Warpstreme LTIV 28</t>
        </is>
      </c>
      <c r="F616" s="4" t="inlineStr">
        <is>
          <t>$138.00</t>
        </is>
      </c>
      <c r="G616" s="4" t="inlineStr">
        <is>
          <t>$69.00</t>
        </is>
      </c>
      <c r="H616" s="4" t="inlineStr">
        <is>
          <t>Light Ivory</t>
        </is>
      </c>
      <c r="I616" s="4">
        <f>IMAGE("https://images.lululemon.com/is/image/lululemon/33454",1)</f>
        <v/>
      </c>
      <c r="J616" s="4" t="inlineStr">
        <is>
          <t>32</t>
        </is>
      </c>
      <c r="K616" s="4" t="inlineStr">
        <is>
          <t>32/267</t>
        </is>
      </c>
      <c r="L616" s="4" t="inlineStr">
        <is>
          <t>Yes</t>
        </is>
      </c>
      <c r="M616" s="4" t="inlineStr">
        <is>
          <t>The five-pocket jean, reinvented. These classic-fit pants, powered by ABC™ technology, give you freedom of movement and all-day comfort.</t>
        </is>
      </c>
      <c r="N616" s="4" t="inlineStr">
        <is>
          <t>ABC-Pant-Classic-32</t>
        </is>
      </c>
      <c r="O616" s="4" t="inlineStr">
        <is>
          <t>5 Pocket Pants</t>
        </is>
      </c>
    </row>
    <row r="617" ht="80" customHeight="1">
      <c r="A617" s="7">
        <f>IMAGE("https://images.lululemon.com/is/image/lululemon/LM5AO1S_033454_1?wid=320&amp;op_usm=0.8",1)</f>
        <v/>
      </c>
      <c r="B617" s="7" t="inlineStr">
        <is>
          <t>ABC Classic-Fit 5 Pocket Pant 32L *Warpstreme</t>
        </is>
      </c>
      <c r="C617" s="7" t="inlineStr">
        <is>
          <t>156483486</t>
        </is>
      </c>
      <c r="D617" s="7" t="inlineStr">
        <is>
          <t>156483486-lightivory</t>
        </is>
      </c>
      <c r="E617" s="7" t="inlineStr">
        <is>
          <t>ABC Classic-Fit 5Pkt Pant 32L*Warpstreme LTIV 28</t>
        </is>
      </c>
      <c r="F617" s="7" t="inlineStr">
        <is>
          <t>$138.00</t>
        </is>
      </c>
      <c r="G617" s="7" t="inlineStr">
        <is>
          <t>$69.00</t>
        </is>
      </c>
      <c r="H617" s="7" t="inlineStr">
        <is>
          <t>Light Ivory</t>
        </is>
      </c>
      <c r="I617" s="7">
        <f>IMAGE("https://images.lululemon.com/is/image/lululemon/33454",1)</f>
        <v/>
      </c>
      <c r="J617" s="7" t="inlineStr">
        <is>
          <t>33</t>
        </is>
      </c>
      <c r="K617" s="7" t="inlineStr">
        <is>
          <t>3/267</t>
        </is>
      </c>
      <c r="L617" s="7" t="inlineStr">
        <is>
          <t>Yes</t>
        </is>
      </c>
      <c r="M617" s="7" t="inlineStr">
        <is>
          <t>The five-pocket jean, reinvented. These classic-fit pants, powered by ABC™ technology, give you freedom of movement and all-day comfort.</t>
        </is>
      </c>
      <c r="N617" s="7" t="inlineStr">
        <is>
          <t>ABC-Pant-Classic-32</t>
        </is>
      </c>
      <c r="O617" s="7" t="inlineStr">
        <is>
          <t>5 Pocket Pants</t>
        </is>
      </c>
    </row>
    <row r="618" ht="80" customHeight="1">
      <c r="A618" s="4">
        <f>IMAGE("https://images.lululemon.com/is/image/lululemon/LM5AO1S_033454_1?wid=320&amp;op_usm=0.8",1)</f>
        <v/>
      </c>
      <c r="B618" s="4" t="inlineStr">
        <is>
          <t>ABC Classic-Fit 5 Pocket Pant 32L *Warpstreme</t>
        </is>
      </c>
      <c r="C618" s="4" t="inlineStr">
        <is>
          <t>156483490</t>
        </is>
      </c>
      <c r="D618" s="4" t="inlineStr">
        <is>
          <t>156483490-lightivory</t>
        </is>
      </c>
      <c r="E618" s="4" t="inlineStr">
        <is>
          <t>ABC Classic-Fit 5Pkt Pant 32L*Warpstreme LTIV 28</t>
        </is>
      </c>
      <c r="F618" s="4" t="inlineStr">
        <is>
          <t>$138.00</t>
        </is>
      </c>
      <c r="G618" s="4" t="inlineStr">
        <is>
          <t>$69.00</t>
        </is>
      </c>
      <c r="H618" s="4" t="inlineStr">
        <is>
          <t>Light Ivory</t>
        </is>
      </c>
      <c r="I618" s="4">
        <f>IMAGE("https://images.lululemon.com/is/image/lululemon/33454",1)</f>
        <v/>
      </c>
      <c r="J618" s="4" t="inlineStr">
        <is>
          <t>34</t>
        </is>
      </c>
      <c r="K618" s="4" t="inlineStr">
        <is>
          <t>33/267</t>
        </is>
      </c>
      <c r="L618" s="4" t="inlineStr">
        <is>
          <t>Yes</t>
        </is>
      </c>
      <c r="M618" s="4" t="inlineStr">
        <is>
          <t>The five-pocket jean, reinvented. These classic-fit pants, powered by ABC™ technology, give you freedom of movement and all-day comfort.</t>
        </is>
      </c>
      <c r="N618" s="4" t="inlineStr">
        <is>
          <t>ABC-Pant-Classic-32</t>
        </is>
      </c>
      <c r="O618" s="4" t="inlineStr">
        <is>
          <t>5 Pocket Pants</t>
        </is>
      </c>
    </row>
    <row r="619" ht="80" customHeight="1">
      <c r="A619" s="7">
        <f>IMAGE("https://images.lululemon.com/is/image/lululemon/LM5AO1S_033454_1?wid=320&amp;op_usm=0.8",1)</f>
        <v/>
      </c>
      <c r="B619" s="7" t="inlineStr">
        <is>
          <t>ABC Classic-Fit 5 Pocket Pant 32L *Warpstreme</t>
        </is>
      </c>
      <c r="C619" s="7" t="inlineStr">
        <is>
          <t>156483501</t>
        </is>
      </c>
      <c r="D619" s="7" t="inlineStr">
        <is>
          <t>156483501-lightivory</t>
        </is>
      </c>
      <c r="E619" s="7" t="inlineStr">
        <is>
          <t>ABC Classic-Fit 5Pkt Pant 32L*Warpstreme LTIV 28</t>
        </is>
      </c>
      <c r="F619" s="7" t="inlineStr">
        <is>
          <t>$138.00</t>
        </is>
      </c>
      <c r="G619" s="7" t="inlineStr">
        <is>
          <t>$69.00</t>
        </is>
      </c>
      <c r="H619" s="7" t="inlineStr">
        <is>
          <t>Light Ivory</t>
        </is>
      </c>
      <c r="I619" s="7">
        <f>IMAGE("https://images.lululemon.com/is/image/lululemon/33454",1)</f>
        <v/>
      </c>
      <c r="J619" s="7" t="inlineStr">
        <is>
          <t>36</t>
        </is>
      </c>
      <c r="K619" s="7" t="inlineStr">
        <is>
          <t>32/267</t>
        </is>
      </c>
      <c r="L619" s="7" t="inlineStr">
        <is>
          <t>Yes</t>
        </is>
      </c>
      <c r="M619" s="7" t="inlineStr">
        <is>
          <t>The five-pocket jean, reinvented. These classic-fit pants, powered by ABC™ technology, give you freedom of movement and all-day comfort.</t>
        </is>
      </c>
      <c r="N619" s="7" t="inlineStr">
        <is>
          <t>ABC-Pant-Classic-32</t>
        </is>
      </c>
      <c r="O619" s="7" t="inlineStr">
        <is>
          <t>5 Pocket Pants</t>
        </is>
      </c>
    </row>
    <row r="620" ht="80" customHeight="1">
      <c r="A620" s="4">
        <f>IMAGE("https://images.lululemon.com/is/image/lululemon/LM5AO1S_033454_1?wid=320&amp;op_usm=0.8",1)</f>
        <v/>
      </c>
      <c r="B620" s="4" t="inlineStr">
        <is>
          <t>ABC Classic-Fit 5 Pocket Pant 32L *Warpstreme</t>
        </is>
      </c>
      <c r="C620" s="4" t="inlineStr">
        <is>
          <t>156483511</t>
        </is>
      </c>
      <c r="D620" s="4" t="inlineStr">
        <is>
          <t>156483511-lightivory</t>
        </is>
      </c>
      <c r="E620" s="4" t="inlineStr">
        <is>
          <t>ABC Classic-Fit 5Pkt Pant 32L*Warpstreme LTIV 28</t>
        </is>
      </c>
      <c r="F620" s="4" t="inlineStr">
        <is>
          <t>$138.00</t>
        </is>
      </c>
      <c r="G620" s="4" t="inlineStr">
        <is>
          <t>$69.00</t>
        </is>
      </c>
      <c r="H620" s="4" t="inlineStr">
        <is>
          <t>Light Ivory</t>
        </is>
      </c>
      <c r="I620" s="4">
        <f>IMAGE("https://images.lululemon.com/is/image/lululemon/33454",1)</f>
        <v/>
      </c>
      <c r="J620" s="4" t="inlineStr">
        <is>
          <t>38</t>
        </is>
      </c>
      <c r="K620" s="4" t="inlineStr">
        <is>
          <t>13/267</t>
        </is>
      </c>
      <c r="L620" s="4" t="inlineStr">
        <is>
          <t>Yes</t>
        </is>
      </c>
      <c r="M620" s="4" t="inlineStr">
        <is>
          <t>The five-pocket jean, reinvented. These classic-fit pants, powered by ABC™ technology, give you freedom of movement and all-day comfort.</t>
        </is>
      </c>
      <c r="N620" s="4" t="inlineStr">
        <is>
          <t>ABC-Pant-Classic-32</t>
        </is>
      </c>
      <c r="O620" s="4" t="inlineStr">
        <is>
          <t>5 Pocket Pants</t>
        </is>
      </c>
    </row>
    <row r="621" ht="80" customHeight="1">
      <c r="A621" s="7">
        <f>IMAGE("https://images.lululemon.com/is/image/lululemon/LM5AO1S_033454_1?wid=320&amp;op_usm=0.8",1)</f>
        <v/>
      </c>
      <c r="B621" s="7" t="inlineStr">
        <is>
          <t>ABC Classic-Fit 5 Pocket Pant 32L *Warpstreme</t>
        </is>
      </c>
      <c r="C621" s="7" t="inlineStr">
        <is>
          <t>156483516</t>
        </is>
      </c>
      <c r="D621" s="7" t="inlineStr">
        <is>
          <t>156483516-lightivory</t>
        </is>
      </c>
      <c r="E621" s="7" t="inlineStr">
        <is>
          <t>ABC Classic-Fit 5Pkt Pant 32L*Warpstreme LTIV 28</t>
        </is>
      </c>
      <c r="F621" s="7" t="inlineStr">
        <is>
          <t>$138.00</t>
        </is>
      </c>
      <c r="G621" s="7" t="inlineStr">
        <is>
          <t>$69.00</t>
        </is>
      </c>
      <c r="H621" s="7" t="inlineStr">
        <is>
          <t>Light Ivory</t>
        </is>
      </c>
      <c r="I621" s="7">
        <f>IMAGE("https://images.lululemon.com/is/image/lululemon/33454",1)</f>
        <v/>
      </c>
      <c r="J621" s="7" t="inlineStr">
        <is>
          <t>40</t>
        </is>
      </c>
      <c r="K621" s="7" t="inlineStr">
        <is>
          <t>11/267</t>
        </is>
      </c>
      <c r="L621" s="7" t="inlineStr">
        <is>
          <t>Yes</t>
        </is>
      </c>
      <c r="M621" s="7" t="inlineStr">
        <is>
          <t>The five-pocket jean, reinvented. These classic-fit pants, powered by ABC™ technology, give you freedom of movement and all-day comfort.</t>
        </is>
      </c>
      <c r="N621" s="7" t="inlineStr">
        <is>
          <t>ABC-Pant-Classic-32</t>
        </is>
      </c>
      <c r="O621" s="7" t="inlineStr">
        <is>
          <t>5 Pocket Pants</t>
        </is>
      </c>
    </row>
    <row r="622" ht="80" customHeight="1">
      <c r="A622" s="4">
        <f>IMAGE("https://images.lululemon.com/is/image/lululemon/LM5AO1S_033454_1?wid=320&amp;op_usm=0.8",1)</f>
        <v/>
      </c>
      <c r="B622" s="4" t="inlineStr">
        <is>
          <t>ABC Classic-Fit 5 Pocket Pant 32L *Warpstreme</t>
        </is>
      </c>
      <c r="C622" s="4" t="inlineStr">
        <is>
          <t>154878832</t>
        </is>
      </c>
      <c r="D622" s="4" t="inlineStr">
        <is>
          <t>154878832-ironblue</t>
        </is>
      </c>
      <c r="E622" s="4" t="inlineStr">
        <is>
          <t>ABC Classic-Fit 5Pkt Pant 32L*Warpstreme LTIV 28</t>
        </is>
      </c>
      <c r="F622" s="4" t="inlineStr">
        <is>
          <t>$138.00</t>
        </is>
      </c>
      <c r="G622" s="4" t="inlineStr">
        <is>
          <t>$69.00</t>
        </is>
      </c>
      <c r="H622" s="4" t="inlineStr">
        <is>
          <t>Iron Blue</t>
        </is>
      </c>
      <c r="I622" s="4">
        <f>IMAGE("https://images.lululemon.com/is/image/lululemon/26865",1)</f>
        <v/>
      </c>
      <c r="J622" s="4" t="inlineStr">
        <is>
          <t>28</t>
        </is>
      </c>
      <c r="K622" s="4" t="inlineStr">
        <is>
          <t>6/267</t>
        </is>
      </c>
      <c r="L622" s="4" t="inlineStr">
        <is>
          <t>Yes</t>
        </is>
      </c>
      <c r="M622" s="4" t="inlineStr">
        <is>
          <t>The five-pocket jean, reinvented. These classic-fit pants, powered by ABC™ technology, give you freedom of movement and all-day comfort.</t>
        </is>
      </c>
      <c r="N622" s="4" t="inlineStr">
        <is>
          <t>ABC-Pant-Classic-32</t>
        </is>
      </c>
      <c r="O622" s="4" t="inlineStr">
        <is>
          <t>5 Pocket Pants</t>
        </is>
      </c>
    </row>
    <row r="623" ht="80" customHeight="1">
      <c r="A623" s="7">
        <f>IMAGE("https://images.lululemon.com/is/image/lululemon/LM5AO1S_033454_1?wid=320&amp;op_usm=0.8",1)</f>
        <v/>
      </c>
      <c r="B623" s="7" t="inlineStr">
        <is>
          <t>ABC Classic-Fit 5 Pocket Pant 32L *Warpstreme</t>
        </is>
      </c>
      <c r="C623" s="7" t="inlineStr">
        <is>
          <t>154878860</t>
        </is>
      </c>
      <c r="D623" s="7" t="inlineStr">
        <is>
          <t>154878860-ironblue</t>
        </is>
      </c>
      <c r="E623" s="7" t="inlineStr">
        <is>
          <t>ABC Classic-Fit 5Pkt Pant 32L*Warpstreme LTIV 28</t>
        </is>
      </c>
      <c r="F623" s="7" t="inlineStr">
        <is>
          <t>$138.00</t>
        </is>
      </c>
      <c r="G623" s="7" t="inlineStr">
        <is>
          <t>$69.00</t>
        </is>
      </c>
      <c r="H623" s="7" t="inlineStr">
        <is>
          <t>Iron Blue</t>
        </is>
      </c>
      <c r="I623" s="7">
        <f>IMAGE("https://images.lululemon.com/is/image/lululemon/26865",1)</f>
        <v/>
      </c>
      <c r="J623" s="7" t="inlineStr">
        <is>
          <t>30</t>
        </is>
      </c>
      <c r="K623" s="7" t="inlineStr">
        <is>
          <t>19/267</t>
        </is>
      </c>
      <c r="L623" s="7" t="inlineStr">
        <is>
          <t>Yes</t>
        </is>
      </c>
      <c r="M623" s="7" t="inlineStr">
        <is>
          <t>The five-pocket jean, reinvented. These classic-fit pants, powered by ABC™ technology, give you freedom of movement and all-day comfort.</t>
        </is>
      </c>
      <c r="N623" s="7" t="inlineStr">
        <is>
          <t>ABC-Pant-Classic-32</t>
        </is>
      </c>
      <c r="O623" s="7" t="inlineStr">
        <is>
          <t>5 Pocket Pants</t>
        </is>
      </c>
    </row>
    <row r="624" ht="80" customHeight="1">
      <c r="A624" s="4">
        <f>IMAGE("https://images.lululemon.com/is/image/lululemon/LM5AO1S_033454_1?wid=320&amp;op_usm=0.8",1)</f>
        <v/>
      </c>
      <c r="B624" s="4" t="inlineStr">
        <is>
          <t>ABC Classic-Fit 5 Pocket Pant 32L *Warpstreme</t>
        </is>
      </c>
      <c r="C624" s="4" t="inlineStr">
        <is>
          <t>154878873</t>
        </is>
      </c>
      <c r="D624" s="4" t="inlineStr">
        <is>
          <t>154878873-ironblue</t>
        </is>
      </c>
      <c r="E624" s="4" t="inlineStr">
        <is>
          <t>ABC Classic-Fit 5Pkt Pant 32L*Warpstreme LTIV 28</t>
        </is>
      </c>
      <c r="F624" s="4" t="inlineStr">
        <is>
          <t>$138.00</t>
        </is>
      </c>
      <c r="G624" s="4" t="inlineStr">
        <is>
          <t>$69.00</t>
        </is>
      </c>
      <c r="H624" s="4" t="inlineStr">
        <is>
          <t>Iron Blue</t>
        </is>
      </c>
      <c r="I624" s="4">
        <f>IMAGE("https://images.lululemon.com/is/image/lululemon/26865",1)</f>
        <v/>
      </c>
      <c r="J624" s="4" t="inlineStr">
        <is>
          <t>31</t>
        </is>
      </c>
      <c r="K624" s="4" t="inlineStr">
        <is>
          <t>11/267</t>
        </is>
      </c>
      <c r="L624" s="4" t="inlineStr">
        <is>
          <t>Yes</t>
        </is>
      </c>
      <c r="M624" s="4" t="inlineStr">
        <is>
          <t>The five-pocket jean, reinvented. These classic-fit pants, powered by ABC™ technology, give you freedom of movement and all-day comfort.</t>
        </is>
      </c>
      <c r="N624" s="4" t="inlineStr">
        <is>
          <t>ABC-Pant-Classic-32</t>
        </is>
      </c>
      <c r="O624" s="4" t="inlineStr">
        <is>
          <t>5 Pocket Pants</t>
        </is>
      </c>
    </row>
    <row r="625" ht="80" customHeight="1">
      <c r="A625" s="7">
        <f>IMAGE("https://images.lululemon.com/is/image/lululemon/LM5AO1S_033454_1?wid=320&amp;op_usm=0.8",1)</f>
        <v/>
      </c>
      <c r="B625" s="7" t="inlineStr">
        <is>
          <t>ABC Classic-Fit 5 Pocket Pant 32L *Warpstreme</t>
        </is>
      </c>
      <c r="C625" s="7" t="inlineStr">
        <is>
          <t>154878899</t>
        </is>
      </c>
      <c r="D625" s="7" t="inlineStr">
        <is>
          <t>154878899-ironblue</t>
        </is>
      </c>
      <c r="E625" s="7" t="inlineStr">
        <is>
          <t>ABC Classic-Fit 5Pkt Pant 32L*Warpstreme LTIV 28</t>
        </is>
      </c>
      <c r="F625" s="7" t="inlineStr">
        <is>
          <t>$138.00</t>
        </is>
      </c>
      <c r="G625" s="7" t="inlineStr">
        <is>
          <t>$69.00</t>
        </is>
      </c>
      <c r="H625" s="7" t="inlineStr">
        <is>
          <t>Iron Blue</t>
        </is>
      </c>
      <c r="I625" s="7">
        <f>IMAGE("https://images.lululemon.com/is/image/lululemon/26865",1)</f>
        <v/>
      </c>
      <c r="J625" s="7" t="inlineStr">
        <is>
          <t>33</t>
        </is>
      </c>
      <c r="K625" s="7" t="inlineStr">
        <is>
          <t>20/267</t>
        </is>
      </c>
      <c r="L625" s="7" t="inlineStr">
        <is>
          <t>Yes</t>
        </is>
      </c>
      <c r="M625" s="7" t="inlineStr">
        <is>
          <t>The five-pocket jean, reinvented. These classic-fit pants, powered by ABC™ technology, give you freedom of movement and all-day comfort.</t>
        </is>
      </c>
      <c r="N625" s="7" t="inlineStr">
        <is>
          <t>ABC-Pant-Classic-32</t>
        </is>
      </c>
      <c r="O625" s="7" t="inlineStr">
        <is>
          <t>5 Pocket Pants</t>
        </is>
      </c>
    </row>
    <row r="626" ht="80" customHeight="1">
      <c r="A626" s="4">
        <f>IMAGE("https://images.lululemon.com/is/image/lululemon/LM5AO1S_033454_1?wid=320&amp;op_usm=0.8",1)</f>
        <v/>
      </c>
      <c r="B626" s="4" t="inlineStr">
        <is>
          <t>ABC Classic-Fit 5 Pocket Pant 32L *Warpstreme</t>
        </is>
      </c>
      <c r="C626" s="4" t="inlineStr">
        <is>
          <t>154878912</t>
        </is>
      </c>
      <c r="D626" s="4" t="inlineStr">
        <is>
          <t>154878912-ironblue</t>
        </is>
      </c>
      <c r="E626" s="4" t="inlineStr">
        <is>
          <t>ABC Classic-Fit 5Pkt Pant 32L*Warpstreme LTIV 28</t>
        </is>
      </c>
      <c r="F626" s="4" t="inlineStr">
        <is>
          <t>$138.00</t>
        </is>
      </c>
      <c r="G626" s="4" t="inlineStr">
        <is>
          <t>$69.00</t>
        </is>
      </c>
      <c r="H626" s="4" t="inlineStr">
        <is>
          <t>Iron Blue</t>
        </is>
      </c>
      <c r="I626" s="4">
        <f>IMAGE("https://images.lululemon.com/is/image/lululemon/26865",1)</f>
        <v/>
      </c>
      <c r="J626" s="4" t="inlineStr">
        <is>
          <t>34</t>
        </is>
      </c>
      <c r="K626" s="4" t="inlineStr">
        <is>
          <t>6/267</t>
        </is>
      </c>
      <c r="L626" s="4" t="inlineStr">
        <is>
          <t>Yes</t>
        </is>
      </c>
      <c r="M626" s="4" t="inlineStr">
        <is>
          <t>The five-pocket jean, reinvented. These classic-fit pants, powered by ABC™ technology, give you freedom of movement and all-day comfort.</t>
        </is>
      </c>
      <c r="N626" s="4" t="inlineStr">
        <is>
          <t>ABC-Pant-Classic-32</t>
        </is>
      </c>
      <c r="O626" s="4" t="inlineStr">
        <is>
          <t>5 Pocket Pants</t>
        </is>
      </c>
    </row>
    <row r="627" ht="80" customHeight="1">
      <c r="A627" s="7">
        <f>IMAGE("https://images.lululemon.com/is/image/lululemon/LM5AO1S_033454_1?wid=320&amp;op_usm=0.8",1)</f>
        <v/>
      </c>
      <c r="B627" s="7" t="inlineStr">
        <is>
          <t>ABC Classic-Fit 5 Pocket Pant 32L *Warpstreme</t>
        </is>
      </c>
      <c r="C627" s="7" t="inlineStr">
        <is>
          <t>154878933</t>
        </is>
      </c>
      <c r="D627" s="7" t="inlineStr">
        <is>
          <t>154878933-ironblue</t>
        </is>
      </c>
      <c r="E627" s="7" t="inlineStr">
        <is>
          <t>ABC Classic-Fit 5Pkt Pant 32L*Warpstreme LTIV 28</t>
        </is>
      </c>
      <c r="F627" s="7" t="inlineStr">
        <is>
          <t>$138.00</t>
        </is>
      </c>
      <c r="G627" s="7" t="inlineStr">
        <is>
          <t>$69.00</t>
        </is>
      </c>
      <c r="H627" s="7" t="inlineStr">
        <is>
          <t>Iron Blue</t>
        </is>
      </c>
      <c r="I627" s="7">
        <f>IMAGE("https://images.lululemon.com/is/image/lululemon/26865",1)</f>
        <v/>
      </c>
      <c r="J627" s="7" t="inlineStr">
        <is>
          <t>36</t>
        </is>
      </c>
      <c r="K627" s="7" t="inlineStr">
        <is>
          <t>32/267</t>
        </is>
      </c>
      <c r="L627" s="7" t="inlineStr">
        <is>
          <t>Yes</t>
        </is>
      </c>
      <c r="M627" s="7" t="inlineStr">
        <is>
          <t>The five-pocket jean, reinvented. These classic-fit pants, powered by ABC™ technology, give you freedom of movement and all-day comfort.</t>
        </is>
      </c>
      <c r="N627" s="7" t="inlineStr">
        <is>
          <t>ABC-Pant-Classic-32</t>
        </is>
      </c>
      <c r="O627" s="7" t="inlineStr">
        <is>
          <t>5 Pocket Pants</t>
        </is>
      </c>
    </row>
    <row r="628" ht="80" customHeight="1">
      <c r="A628" s="6">
        <f>IMAGE("https://images.lululemon.com/is/image/lululemon/LM5AO1S_033454_1?wid=320&amp;op_usm=0.8",1)</f>
        <v/>
      </c>
      <c r="B628" s="6" t="inlineStr">
        <is>
          <t>ABC Classic-Fit 5 Pocket Pant 32L *Warpstreme</t>
        </is>
      </c>
      <c r="C628" s="6" t="inlineStr">
        <is>
          <t>154878956</t>
        </is>
      </c>
      <c r="D628" s="6" t="inlineStr">
        <is>
          <t>154878956-ironblue</t>
        </is>
      </c>
      <c r="E628" s="6" t="inlineStr">
        <is>
          <t>ABC Classic-Fit 5Pkt Pant 32L*Warpstreme LTIV 28</t>
        </is>
      </c>
      <c r="F628" s="6" t="inlineStr">
        <is>
          <t>$138.00</t>
        </is>
      </c>
      <c r="G628" s="6" t="inlineStr">
        <is>
          <t>$69.00</t>
        </is>
      </c>
      <c r="H628" s="6" t="inlineStr">
        <is>
          <t>Iron Blue</t>
        </is>
      </c>
      <c r="I628" s="6">
        <f>IMAGE("https://images.lululemon.com/is/image/lululemon/26865",1)</f>
        <v/>
      </c>
      <c r="J628" s="6" t="inlineStr">
        <is>
          <t>38</t>
        </is>
      </c>
      <c r="K628" s="6" t="inlineStr">
        <is>
          <t>23/267</t>
        </is>
      </c>
      <c r="L628" s="6" t="inlineStr">
        <is>
          <t>Yes</t>
        </is>
      </c>
      <c r="M628" s="6" t="inlineStr">
        <is>
          <t>The five-pocket jean, reinvented. These classic-fit pants, powered by ABC™ technology, give you freedom of movement and all-day comfort.</t>
        </is>
      </c>
      <c r="N628" s="6" t="inlineStr">
        <is>
          <t>ABC-Pant-Classic-32</t>
        </is>
      </c>
      <c r="O628" s="6" t="inlineStr">
        <is>
          <t>5 Pocket Pants</t>
        </is>
      </c>
    </row>
    <row r="629" ht="80" customHeight="1">
      <c r="A629" s="7">
        <f>IMAGE("https://images.lululemon.com/is/image/lululemon/LU9CAMS_031382_1?wid=320&amp;op_usm=0.8",1)</f>
        <v/>
      </c>
      <c r="B629" s="7" t="inlineStr">
        <is>
          <t>Removable Sweatband All-Sport Visor</t>
        </is>
      </c>
      <c r="C629" s="7" t="inlineStr">
        <is>
          <t>150750165</t>
        </is>
      </c>
      <c r="D629" s="7" t="inlineStr">
        <is>
          <t>150750165-truenavy</t>
        </is>
      </c>
      <c r="E629" s="7" t="inlineStr">
        <is>
          <t>Removable Sweatband All-Sport Visor TRNV L/XL</t>
        </is>
      </c>
      <c r="F629" s="7" t="inlineStr">
        <is>
          <t>$38.00</t>
        </is>
      </c>
      <c r="G629" s="7" t="inlineStr">
        <is>
          <t>$19.00</t>
        </is>
      </c>
      <c r="H629" s="7" t="inlineStr">
        <is>
          <t>True Navy</t>
        </is>
      </c>
      <c r="I629" s="7">
        <f>IMAGE("https://images.lululemon.com/is/image/lululemon/31382",1)</f>
        <v/>
      </c>
      <c r="J629" s="7" t="inlineStr">
        <is>
          <t>L/XL</t>
        </is>
      </c>
      <c r="K629" s="7" t="inlineStr">
        <is>
          <t>149/181</t>
        </is>
      </c>
      <c r="L629" s="7" t="inlineStr">
        <is>
          <t>Yes</t>
        </is>
      </c>
      <c r="M629" s="7" t="inlineStr">
        <is>
          <t>It's easy to stay fresh with this do-it-all visor. Toss the detachable interior sweatband in the laundry so it's ready to go for your next sweat session.</t>
        </is>
      </c>
      <c r="N629" s="7" t="inlineStr">
        <is>
          <t>Removable-SweatbAll-Sport-Visor</t>
        </is>
      </c>
      <c r="O629" s="7" t="inlineStr">
        <is>
          <t>Visors</t>
        </is>
      </c>
    </row>
    <row r="630" ht="80" customHeight="1">
      <c r="A630" s="6">
        <f>IMAGE("https://images.lululemon.com/is/image/lululemon/LU9CAMS_031382_1?wid=320&amp;op_usm=0.8",1)</f>
        <v/>
      </c>
      <c r="B630" s="6" t="inlineStr">
        <is>
          <t>Removable Sweatband All-Sport Visor</t>
        </is>
      </c>
      <c r="C630" s="6" t="inlineStr">
        <is>
          <t>150750151</t>
        </is>
      </c>
      <c r="D630" s="6" t="inlineStr">
        <is>
          <t>150750151-black</t>
        </is>
      </c>
      <c r="E630" s="6" t="inlineStr">
        <is>
          <t>Removable Sweatband All-Sport Visor TRNV L/XL</t>
        </is>
      </c>
      <c r="F630" s="6" t="inlineStr">
        <is>
          <t>$38.00</t>
        </is>
      </c>
      <c r="G630" s="6" t="inlineStr">
        <is>
          <t>$19.00</t>
        </is>
      </c>
      <c r="H630" s="6" t="inlineStr">
        <is>
          <t>Black</t>
        </is>
      </c>
      <c r="I630" s="6">
        <f>IMAGE("https://images.lululemon.com/is/image/lululemon/0001",1)</f>
        <v/>
      </c>
      <c r="J630" s="6" t="inlineStr">
        <is>
          <t>L/XL</t>
        </is>
      </c>
      <c r="K630" s="6" t="inlineStr">
        <is>
          <t>32/181</t>
        </is>
      </c>
      <c r="L630" s="6" t="inlineStr">
        <is>
          <t>Yes</t>
        </is>
      </c>
      <c r="M630" s="6" t="inlineStr">
        <is>
          <t>It's easy to stay fresh with this do-it-all visor. Toss the detachable interior sweatband in the laundry so it's ready to go for your next sweat session.</t>
        </is>
      </c>
      <c r="N630" s="6" t="inlineStr">
        <is>
          <t>Removable-SweatbAll-Sport-Visor</t>
        </is>
      </c>
      <c r="O630" s="6" t="inlineStr">
        <is>
          <t>Visors</t>
        </is>
      </c>
    </row>
    <row r="631" ht="80" customHeight="1">
      <c r="A631" s="7">
        <f>IMAGE("https://images.lululemon.com/is/image/lululemon/LM5AY0S_048432_1?wid=320&amp;op_usm=0.8",1)</f>
        <v/>
      </c>
      <c r="B631" s="7" t="inlineStr">
        <is>
          <t>ABC Slim-Fit Trouser 32L *WovenAir</t>
        </is>
      </c>
      <c r="C631" s="7" t="inlineStr">
        <is>
          <t>156508885</t>
        </is>
      </c>
      <c r="D631" s="7" t="inlineStr">
        <is>
          <t>156508885-rawlinen</t>
        </is>
      </c>
      <c r="E631" s="7" t="inlineStr">
        <is>
          <t>ABC Slim-Fit Trouser 32L *WovenAir™ RWLI 28</t>
        </is>
      </c>
      <c r="F631" s="7" t="inlineStr">
        <is>
          <t>$138.00</t>
        </is>
      </c>
      <c r="G631" s="7" t="inlineStr">
        <is>
          <t>$69.00</t>
        </is>
      </c>
      <c r="H631" s="7" t="inlineStr">
        <is>
          <t>Raw Linen</t>
        </is>
      </c>
      <c r="I631" s="7">
        <f>IMAGE("https://images.lululemon.com/is/image/lululemon/48432",1)</f>
        <v/>
      </c>
      <c r="J631" s="7" t="inlineStr">
        <is>
          <t>28</t>
        </is>
      </c>
      <c r="K631" s="7" t="inlineStr">
        <is>
          <t>5/204</t>
        </is>
      </c>
      <c r="L631" s="7" t="inlineStr">
        <is>
          <t>Yes</t>
        </is>
      </c>
      <c r="M631" s="7" t="inlineStr">
        <is>
          <t>These slim-fit trousers deliver all-day comfort with an elevated look.</t>
        </is>
      </c>
      <c r="N631" s="7" t="inlineStr">
        <is>
          <t>ABC-Slim-Fit-Trouser-32L-WovenAir</t>
        </is>
      </c>
      <c r="O631" s="7" t="inlineStr">
        <is>
          <t>Chinos, Dress Pants</t>
        </is>
      </c>
    </row>
    <row r="632" ht="80" customHeight="1">
      <c r="A632" s="4">
        <f>IMAGE("https://images.lululemon.com/is/image/lululemon/LM5AY0S_048432_1?wid=320&amp;op_usm=0.8",1)</f>
        <v/>
      </c>
      <c r="B632" s="4" t="inlineStr">
        <is>
          <t>ABC Slim-Fit Trouser 32L *WovenAir</t>
        </is>
      </c>
      <c r="C632" s="4" t="inlineStr">
        <is>
          <t>156508893</t>
        </is>
      </c>
      <c r="D632" s="4" t="inlineStr">
        <is>
          <t>156508893-rawlinen</t>
        </is>
      </c>
      <c r="E632" s="4" t="inlineStr">
        <is>
          <t>ABC Slim-Fit Trouser 32L *WovenAir™ RWLI 28</t>
        </is>
      </c>
      <c r="F632" s="4" t="inlineStr">
        <is>
          <t>$138.00</t>
        </is>
      </c>
      <c r="G632" s="4" t="inlineStr">
        <is>
          <t>$69.00</t>
        </is>
      </c>
      <c r="H632" s="4" t="inlineStr">
        <is>
          <t>Raw Linen</t>
        </is>
      </c>
      <c r="I632" s="4">
        <f>IMAGE("https://images.lululemon.com/is/image/lululemon/48432",1)</f>
        <v/>
      </c>
      <c r="J632" s="4" t="inlineStr">
        <is>
          <t>30</t>
        </is>
      </c>
      <c r="K632" s="4" t="inlineStr">
        <is>
          <t>16/204</t>
        </is>
      </c>
      <c r="L632" s="4" t="inlineStr">
        <is>
          <t>Yes</t>
        </is>
      </c>
      <c r="M632" s="4" t="inlineStr">
        <is>
          <t>These slim-fit trousers deliver all-day comfort with an elevated look.</t>
        </is>
      </c>
      <c r="N632" s="4" t="inlineStr">
        <is>
          <t>ABC-Slim-Fit-Trouser-32L-WovenAir</t>
        </is>
      </c>
      <c r="O632" s="4" t="inlineStr">
        <is>
          <t>Chinos, Dress Pants</t>
        </is>
      </c>
    </row>
    <row r="633" ht="80" customHeight="1">
      <c r="A633" s="7">
        <f>IMAGE("https://images.lululemon.com/is/image/lululemon/LM5AY0S_048432_1?wid=320&amp;op_usm=0.8",1)</f>
        <v/>
      </c>
      <c r="B633" s="7" t="inlineStr">
        <is>
          <t>ABC Slim-Fit Trouser 32L *WovenAir</t>
        </is>
      </c>
      <c r="C633" s="7" t="inlineStr">
        <is>
          <t>156508903</t>
        </is>
      </c>
      <c r="D633" s="7" t="inlineStr">
        <is>
          <t>156508903-rawlinen</t>
        </is>
      </c>
      <c r="E633" s="7" t="inlineStr">
        <is>
          <t>ABC Slim-Fit Trouser 32L *WovenAir™ RWLI 28</t>
        </is>
      </c>
      <c r="F633" s="7" t="inlineStr">
        <is>
          <t>$138.00</t>
        </is>
      </c>
      <c r="G633" s="7" t="inlineStr">
        <is>
          <t>$69.00</t>
        </is>
      </c>
      <c r="H633" s="7" t="inlineStr">
        <is>
          <t>Raw Linen</t>
        </is>
      </c>
      <c r="I633" s="7">
        <f>IMAGE("https://images.lululemon.com/is/image/lululemon/48432",1)</f>
        <v/>
      </c>
      <c r="J633" s="7" t="inlineStr">
        <is>
          <t>32</t>
        </is>
      </c>
      <c r="K633" s="7" t="inlineStr">
        <is>
          <t>29/204</t>
        </is>
      </c>
      <c r="L633" s="7" t="inlineStr">
        <is>
          <t>Yes</t>
        </is>
      </c>
      <c r="M633" s="7" t="inlineStr">
        <is>
          <t>These slim-fit trousers deliver all-day comfort with an elevated look.</t>
        </is>
      </c>
      <c r="N633" s="7" t="inlineStr">
        <is>
          <t>ABC-Slim-Fit-Trouser-32L-WovenAir</t>
        </is>
      </c>
      <c r="O633" s="7" t="inlineStr">
        <is>
          <t>Chinos, Dress Pants</t>
        </is>
      </c>
    </row>
    <row r="634" ht="80" customHeight="1">
      <c r="A634" s="4">
        <f>IMAGE("https://images.lululemon.com/is/image/lululemon/LM5AY0S_048432_1?wid=320&amp;op_usm=0.8",1)</f>
        <v/>
      </c>
      <c r="B634" s="4" t="inlineStr">
        <is>
          <t>ABC Slim-Fit Trouser 32L *WovenAir</t>
        </is>
      </c>
      <c r="C634" s="4" t="inlineStr">
        <is>
          <t>156508906</t>
        </is>
      </c>
      <c r="D634" s="4" t="inlineStr">
        <is>
          <t>156508906-rawlinen</t>
        </is>
      </c>
      <c r="E634" s="4" t="inlineStr">
        <is>
          <t>ABC Slim-Fit Trouser 32L *WovenAir™ RWLI 28</t>
        </is>
      </c>
      <c r="F634" s="4" t="inlineStr">
        <is>
          <t>$138.00</t>
        </is>
      </c>
      <c r="G634" s="4" t="inlineStr">
        <is>
          <t>$69.00</t>
        </is>
      </c>
      <c r="H634" s="4" t="inlineStr">
        <is>
          <t>Raw Linen</t>
        </is>
      </c>
      <c r="I634" s="4">
        <f>IMAGE("https://images.lululemon.com/is/image/lululemon/48432",1)</f>
        <v/>
      </c>
      <c r="J634" s="4" t="inlineStr">
        <is>
          <t>33</t>
        </is>
      </c>
      <c r="K634" s="4" t="inlineStr">
        <is>
          <t>22/204</t>
        </is>
      </c>
      <c r="L634" s="4" t="inlineStr">
        <is>
          <t>Yes</t>
        </is>
      </c>
      <c r="M634" s="4" t="inlineStr">
        <is>
          <t>These slim-fit trousers deliver all-day comfort with an elevated look.</t>
        </is>
      </c>
      <c r="N634" s="4" t="inlineStr">
        <is>
          <t>ABC-Slim-Fit-Trouser-32L-WovenAir</t>
        </is>
      </c>
      <c r="O634" s="4" t="inlineStr">
        <is>
          <t>Chinos, Dress Pants</t>
        </is>
      </c>
    </row>
    <row r="635" ht="80" customHeight="1">
      <c r="A635" s="7">
        <f>IMAGE("https://images.lululemon.com/is/image/lululemon/LM5AY0S_048432_1?wid=320&amp;op_usm=0.8",1)</f>
        <v/>
      </c>
      <c r="B635" s="7" t="inlineStr">
        <is>
          <t>ABC Slim-Fit Trouser 32L *WovenAir</t>
        </is>
      </c>
      <c r="C635" s="7" t="inlineStr">
        <is>
          <t>156508910</t>
        </is>
      </c>
      <c r="D635" s="7" t="inlineStr">
        <is>
          <t>156508910-rawlinen</t>
        </is>
      </c>
      <c r="E635" s="7" t="inlineStr">
        <is>
          <t>ABC Slim-Fit Trouser 32L *WovenAir™ RWLI 28</t>
        </is>
      </c>
      <c r="F635" s="7" t="inlineStr">
        <is>
          <t>$138.00</t>
        </is>
      </c>
      <c r="G635" s="7" t="inlineStr">
        <is>
          <t>$69.00</t>
        </is>
      </c>
      <c r="H635" s="7" t="inlineStr">
        <is>
          <t>Raw Linen</t>
        </is>
      </c>
      <c r="I635" s="7">
        <f>IMAGE("https://images.lululemon.com/is/image/lululemon/48432",1)</f>
        <v/>
      </c>
      <c r="J635" s="7" t="inlineStr">
        <is>
          <t>34</t>
        </is>
      </c>
      <c r="K635" s="7" t="inlineStr">
        <is>
          <t>51/204</t>
        </is>
      </c>
      <c r="L635" s="7" t="inlineStr">
        <is>
          <t>Yes</t>
        </is>
      </c>
      <c r="M635" s="7" t="inlineStr">
        <is>
          <t>These slim-fit trousers deliver all-day comfort with an elevated look.</t>
        </is>
      </c>
      <c r="N635" s="7" t="inlineStr">
        <is>
          <t>ABC-Slim-Fit-Trouser-32L-WovenAir</t>
        </is>
      </c>
      <c r="O635" s="7" t="inlineStr">
        <is>
          <t>Chinos, Dress Pants</t>
        </is>
      </c>
    </row>
    <row r="636" ht="80" customHeight="1">
      <c r="A636" s="4">
        <f>IMAGE("https://images.lululemon.com/is/image/lululemon/LM5AY0S_048432_1?wid=320&amp;op_usm=0.8",1)</f>
        <v/>
      </c>
      <c r="B636" s="4" t="inlineStr">
        <is>
          <t>ABC Slim-Fit Trouser 32L *WovenAir</t>
        </is>
      </c>
      <c r="C636" s="4" t="inlineStr">
        <is>
          <t>156508918</t>
        </is>
      </c>
      <c r="D636" s="4" t="inlineStr">
        <is>
          <t>156508918-rawlinen</t>
        </is>
      </c>
      <c r="E636" s="4" t="inlineStr">
        <is>
          <t>ABC Slim-Fit Trouser 32L *WovenAir™ RWLI 28</t>
        </is>
      </c>
      <c r="F636" s="4" t="inlineStr">
        <is>
          <t>$138.00</t>
        </is>
      </c>
      <c r="G636" s="4" t="inlineStr">
        <is>
          <t>$69.00</t>
        </is>
      </c>
      <c r="H636" s="4" t="inlineStr">
        <is>
          <t>Raw Linen</t>
        </is>
      </c>
      <c r="I636" s="4">
        <f>IMAGE("https://images.lululemon.com/is/image/lululemon/48432",1)</f>
        <v/>
      </c>
      <c r="J636" s="4" t="inlineStr">
        <is>
          <t>36</t>
        </is>
      </c>
      <c r="K636" s="4" t="inlineStr">
        <is>
          <t>45/204</t>
        </is>
      </c>
      <c r="L636" s="4" t="inlineStr">
        <is>
          <t>Yes</t>
        </is>
      </c>
      <c r="M636" s="4" t="inlineStr">
        <is>
          <t>These slim-fit trousers deliver all-day comfort with an elevated look.</t>
        </is>
      </c>
      <c r="N636" s="4" t="inlineStr">
        <is>
          <t>ABC-Slim-Fit-Trouser-32L-WovenAir</t>
        </is>
      </c>
      <c r="O636" s="4" t="inlineStr">
        <is>
          <t>Chinos, Dress Pants</t>
        </is>
      </c>
    </row>
    <row r="637" ht="80" customHeight="1">
      <c r="A637" s="7">
        <f>IMAGE("https://images.lululemon.com/is/image/lululemon/LM5AY0S_048432_1?wid=320&amp;op_usm=0.8",1)</f>
        <v/>
      </c>
      <c r="B637" s="7" t="inlineStr">
        <is>
          <t>ABC Slim-Fit Trouser 32L *WovenAir</t>
        </is>
      </c>
      <c r="C637" s="7" t="inlineStr">
        <is>
          <t>156508925</t>
        </is>
      </c>
      <c r="D637" s="7" t="inlineStr">
        <is>
          <t>156508925-rawlinen</t>
        </is>
      </c>
      <c r="E637" s="7" t="inlineStr">
        <is>
          <t>ABC Slim-Fit Trouser 32L *WovenAir™ RWLI 28</t>
        </is>
      </c>
      <c r="F637" s="7" t="inlineStr">
        <is>
          <t>$138.00</t>
        </is>
      </c>
      <c r="G637" s="7" t="inlineStr">
        <is>
          <t>$69.00</t>
        </is>
      </c>
      <c r="H637" s="7" t="inlineStr">
        <is>
          <t>Raw Linen</t>
        </is>
      </c>
      <c r="I637" s="7">
        <f>IMAGE("https://images.lululemon.com/is/image/lululemon/48432",1)</f>
        <v/>
      </c>
      <c r="J637" s="7" t="inlineStr">
        <is>
          <t>38</t>
        </is>
      </c>
      <c r="K637" s="7" t="inlineStr">
        <is>
          <t>28/204</t>
        </is>
      </c>
      <c r="L637" s="7" t="inlineStr">
        <is>
          <t>Yes</t>
        </is>
      </c>
      <c r="M637" s="7" t="inlineStr">
        <is>
          <t>These slim-fit trousers deliver all-day comfort with an elevated look.</t>
        </is>
      </c>
      <c r="N637" s="7" t="inlineStr">
        <is>
          <t>ABC-Slim-Fit-Trouser-32L-WovenAir</t>
        </is>
      </c>
      <c r="O637" s="7" t="inlineStr">
        <is>
          <t>Chinos, Dress Pants</t>
        </is>
      </c>
    </row>
    <row r="638" ht="80" customHeight="1">
      <c r="A638" s="6">
        <f>IMAGE("https://images.lululemon.com/is/image/lululemon/LM5AY0S_048432_1?wid=320&amp;op_usm=0.8",1)</f>
        <v/>
      </c>
      <c r="B638" s="6" t="inlineStr">
        <is>
          <t>ABC Slim-Fit Trouser 32L *WovenAir</t>
        </is>
      </c>
      <c r="C638" s="6" t="inlineStr">
        <is>
          <t>156508934</t>
        </is>
      </c>
      <c r="D638" s="6" t="inlineStr">
        <is>
          <t>156508934-rawlinen</t>
        </is>
      </c>
      <c r="E638" s="6" t="inlineStr">
        <is>
          <t>ABC Slim-Fit Trouser 32L *WovenAir™ RWLI 28</t>
        </is>
      </c>
      <c r="F638" s="6" t="inlineStr">
        <is>
          <t>$138.00</t>
        </is>
      </c>
      <c r="G638" s="6" t="inlineStr">
        <is>
          <t>$69.00</t>
        </is>
      </c>
      <c r="H638" s="6" t="inlineStr">
        <is>
          <t>Raw Linen</t>
        </is>
      </c>
      <c r="I638" s="6">
        <f>IMAGE("https://images.lululemon.com/is/image/lululemon/48432",1)</f>
        <v/>
      </c>
      <c r="J638" s="6" t="inlineStr">
        <is>
          <t>40</t>
        </is>
      </c>
      <c r="K638" s="6" t="inlineStr">
        <is>
          <t>8/204</t>
        </is>
      </c>
      <c r="L638" s="6" t="inlineStr">
        <is>
          <t>Yes</t>
        </is>
      </c>
      <c r="M638" s="6" t="inlineStr">
        <is>
          <t>These slim-fit trousers deliver all-day comfort with an elevated look.</t>
        </is>
      </c>
      <c r="N638" s="6" t="inlineStr">
        <is>
          <t>ABC-Slim-Fit-Trouser-32L-WovenAir</t>
        </is>
      </c>
      <c r="O638" s="6" t="inlineStr">
        <is>
          <t>Chinos, Dress Pants</t>
        </is>
      </c>
    </row>
    <row r="639" ht="80" customHeight="1">
      <c r="A639" s="7">
        <f>IMAGE("https://images.lululemon.com/is/image/lululemon/LM5AEGS_048432_1?wid=320&amp;op_usm=0.8",1)</f>
        <v/>
      </c>
      <c r="B639" s="7" t="inlineStr">
        <is>
          <t>License to Train Jogger *Regular</t>
        </is>
      </c>
      <c r="C639" s="7" t="inlineStr">
        <is>
          <t>142203333</t>
        </is>
      </c>
      <c r="D639" s="7" t="inlineStr">
        <is>
          <t>142203333-rawlinen</t>
        </is>
      </c>
      <c r="E639" s="7" t="inlineStr">
        <is>
          <t>License to Train Jogger *Regular RWLI S</t>
        </is>
      </c>
      <c r="F639" s="7" t="inlineStr">
        <is>
          <t>$128.00</t>
        </is>
      </c>
      <c r="G639" s="7" t="inlineStr">
        <is>
          <t>$64.00</t>
        </is>
      </c>
      <c r="H639" s="7" t="inlineStr">
        <is>
          <t>Raw Linen</t>
        </is>
      </c>
      <c r="I639" s="7">
        <f>IMAGE("https://images.lululemon.com/is/image/lululemon/48432",1)</f>
        <v/>
      </c>
      <c r="J639" s="7" t="inlineStr">
        <is>
          <t>S</t>
        </is>
      </c>
      <c r="K639" s="7" t="inlineStr">
        <is>
          <t>44/378</t>
        </is>
      </c>
      <c r="L639" s="7" t="inlineStr">
        <is>
          <t>Yes</t>
        </is>
      </c>
      <c r="M639" s="7" t="inlineStr">
        <is>
          <t>Train hard, adventure harder. The abrasion-resistant fabric on these versatile joggers can handle burpees and backpacking.</t>
        </is>
      </c>
      <c r="N639" s="7" t="inlineStr">
        <is>
          <t>License-to-Train-Jogger-Updated</t>
        </is>
      </c>
      <c r="O639" s="7" t="inlineStr">
        <is>
          <t>Athletic Pants</t>
        </is>
      </c>
    </row>
    <row r="640" ht="80" customHeight="1">
      <c r="A640" s="4">
        <f>IMAGE("https://images.lululemon.com/is/image/lululemon/LM5AEGS_048432_1?wid=320&amp;op_usm=0.8",1)</f>
        <v/>
      </c>
      <c r="B640" s="4" t="inlineStr">
        <is>
          <t>License to Train Jogger *Regular</t>
        </is>
      </c>
      <c r="C640" s="4" t="inlineStr">
        <is>
          <t>142203330</t>
        </is>
      </c>
      <c r="D640" s="4" t="inlineStr">
        <is>
          <t>142203330-rawlinen</t>
        </is>
      </c>
      <c r="E640" s="4" t="inlineStr">
        <is>
          <t>License to Train Jogger *Regular RWLI S</t>
        </is>
      </c>
      <c r="F640" s="4" t="inlineStr">
        <is>
          <t>$128.00</t>
        </is>
      </c>
      <c r="G640" s="4" t="inlineStr">
        <is>
          <t>$64.00</t>
        </is>
      </c>
      <c r="H640" s="4" t="inlineStr">
        <is>
          <t>Raw Linen</t>
        </is>
      </c>
      <c r="I640" s="4">
        <f>IMAGE("https://images.lululemon.com/is/image/lululemon/48432",1)</f>
        <v/>
      </c>
      <c r="J640" s="4" t="inlineStr">
        <is>
          <t>M</t>
        </is>
      </c>
      <c r="K640" s="4" t="inlineStr">
        <is>
          <t>111/378</t>
        </is>
      </c>
      <c r="L640" s="4" t="inlineStr">
        <is>
          <t>Yes</t>
        </is>
      </c>
      <c r="M640" s="4" t="inlineStr">
        <is>
          <t>Train hard, adventure harder. The abrasion-resistant fabric on these versatile joggers can handle burpees and backpacking.</t>
        </is>
      </c>
      <c r="N640" s="4" t="inlineStr">
        <is>
          <t>License-to-Train-Jogger-Updated</t>
        </is>
      </c>
      <c r="O640" s="4" t="inlineStr">
        <is>
          <t>Athletic Pants</t>
        </is>
      </c>
    </row>
    <row r="641" ht="80" customHeight="1">
      <c r="A641" s="7">
        <f>IMAGE("https://images.lululemon.com/is/image/lululemon/LM5AEGS_048432_1?wid=320&amp;op_usm=0.8",1)</f>
        <v/>
      </c>
      <c r="B641" s="7" t="inlineStr">
        <is>
          <t>License to Train Jogger *Regular</t>
        </is>
      </c>
      <c r="C641" s="7" t="inlineStr">
        <is>
          <t>142203326</t>
        </is>
      </c>
      <c r="D641" s="7" t="inlineStr">
        <is>
          <t>142203326-rawlinen</t>
        </is>
      </c>
      <c r="E641" s="7" t="inlineStr">
        <is>
          <t>License to Train Jogger *Regular RWLI S</t>
        </is>
      </c>
      <c r="F641" s="7" t="inlineStr">
        <is>
          <t>$128.00</t>
        </is>
      </c>
      <c r="G641" s="7" t="inlineStr">
        <is>
          <t>$64.00</t>
        </is>
      </c>
      <c r="H641" s="7" t="inlineStr">
        <is>
          <t>Raw Linen</t>
        </is>
      </c>
      <c r="I641" s="7">
        <f>IMAGE("https://images.lululemon.com/is/image/lululemon/48432",1)</f>
        <v/>
      </c>
      <c r="J641" s="7" t="inlineStr">
        <is>
          <t>L</t>
        </is>
      </c>
      <c r="K641" s="7" t="inlineStr">
        <is>
          <t>132/378</t>
        </is>
      </c>
      <c r="L641" s="7" t="inlineStr">
        <is>
          <t>Yes</t>
        </is>
      </c>
      <c r="M641" s="7" t="inlineStr">
        <is>
          <t>Train hard, adventure harder. The abrasion-resistant fabric on these versatile joggers can handle burpees and backpacking.</t>
        </is>
      </c>
      <c r="N641" s="7" t="inlineStr">
        <is>
          <t>License-to-Train-Jogger-Updated</t>
        </is>
      </c>
      <c r="O641" s="7" t="inlineStr">
        <is>
          <t>Athletic Pants</t>
        </is>
      </c>
    </row>
    <row r="642" ht="80" customHeight="1">
      <c r="A642" s="4">
        <f>IMAGE("https://images.lululemon.com/is/image/lululemon/LM5AEGS_048432_1?wid=320&amp;op_usm=0.8",1)</f>
        <v/>
      </c>
      <c r="B642" s="4" t="inlineStr">
        <is>
          <t>License to Train Jogger *Regular</t>
        </is>
      </c>
      <c r="C642" s="4" t="inlineStr">
        <is>
          <t>142203337</t>
        </is>
      </c>
      <c r="D642" s="4" t="inlineStr">
        <is>
          <t>142203337-rawlinen</t>
        </is>
      </c>
      <c r="E642" s="4" t="inlineStr">
        <is>
          <t>License to Train Jogger *Regular RWLI S</t>
        </is>
      </c>
      <c r="F642" s="4" t="inlineStr">
        <is>
          <t>$128.00</t>
        </is>
      </c>
      <c r="G642" s="4" t="inlineStr">
        <is>
          <t>$64.00</t>
        </is>
      </c>
      <c r="H642" s="4" t="inlineStr">
        <is>
          <t>Raw Linen</t>
        </is>
      </c>
      <c r="I642" s="4">
        <f>IMAGE("https://images.lululemon.com/is/image/lululemon/48432",1)</f>
        <v/>
      </c>
      <c r="J642" s="4" t="inlineStr">
        <is>
          <t>XL</t>
        </is>
      </c>
      <c r="K642" s="4" t="inlineStr">
        <is>
          <t>72/378</t>
        </is>
      </c>
      <c r="L642" s="4" t="inlineStr">
        <is>
          <t>Yes</t>
        </is>
      </c>
      <c r="M642" s="4" t="inlineStr">
        <is>
          <t>Train hard, adventure harder. The abrasion-resistant fabric on these versatile joggers can handle burpees and backpacking.</t>
        </is>
      </c>
      <c r="N642" s="4" t="inlineStr">
        <is>
          <t>License-to-Train-Jogger-Updated</t>
        </is>
      </c>
      <c r="O642" s="4" t="inlineStr">
        <is>
          <t>Athletic Pants</t>
        </is>
      </c>
    </row>
    <row r="643" ht="80" customHeight="1">
      <c r="A643" s="5">
        <f>IMAGE("https://images.lululemon.com/is/image/lululemon/LM5AEGS_048432_1?wid=320&amp;op_usm=0.8",1)</f>
        <v/>
      </c>
      <c r="B643" s="5" t="inlineStr">
        <is>
          <t>License to Train Jogger *Regular</t>
        </is>
      </c>
      <c r="C643" s="5" t="inlineStr">
        <is>
          <t>142203347</t>
        </is>
      </c>
      <c r="D643" s="5" t="inlineStr">
        <is>
          <t>142203347-rawlinen</t>
        </is>
      </c>
      <c r="E643" s="5" t="inlineStr">
        <is>
          <t>License to Train Jogger *Regular RWLI S</t>
        </is>
      </c>
      <c r="F643" s="5" t="inlineStr">
        <is>
          <t>$128.00</t>
        </is>
      </c>
      <c r="G643" s="5" t="inlineStr">
        <is>
          <t>$64.00</t>
        </is>
      </c>
      <c r="H643" s="5" t="inlineStr">
        <is>
          <t>Raw Linen</t>
        </is>
      </c>
      <c r="I643" s="5">
        <f>IMAGE("https://images.lululemon.com/is/image/lululemon/48432",1)</f>
        <v/>
      </c>
      <c r="J643" s="5" t="inlineStr">
        <is>
          <t>XXL</t>
        </is>
      </c>
      <c r="K643" s="5" t="inlineStr">
        <is>
          <t>19/378</t>
        </is>
      </c>
      <c r="L643" s="5" t="inlineStr">
        <is>
          <t>Yes</t>
        </is>
      </c>
      <c r="M643" s="5" t="inlineStr">
        <is>
          <t>Train hard, adventure harder. The abrasion-resistant fabric on these versatile joggers can handle burpees and backpacking.</t>
        </is>
      </c>
      <c r="N643" s="5" t="inlineStr">
        <is>
          <t>License-to-Train-Jogger-Updated</t>
        </is>
      </c>
      <c r="O643" s="5" t="inlineStr">
        <is>
          <t>Athletic Pants</t>
        </is>
      </c>
    </row>
    <row r="644" ht="80" customHeight="1">
      <c r="A644" s="4">
        <f>IMAGE("https://images.lululemon.com/is/image/lululemon/LM7BM5S_032894_1?wid=320&amp;op_usm=0.8",1)</f>
        <v/>
      </c>
      <c r="B644" s="4" t="inlineStr">
        <is>
          <t>License to Train Linerless Short 7" *Updated</t>
        </is>
      </c>
      <c r="C644" s="4" t="inlineStr">
        <is>
          <t>155701526</t>
        </is>
      </c>
      <c r="D644" s="4" t="inlineStr">
        <is>
          <t>155701526-vapor</t>
        </is>
      </c>
      <c r="E644" s="4" t="inlineStr">
        <is>
          <t>License to Train Short 7" *LL VPOR S</t>
        </is>
      </c>
      <c r="F644" s="4" t="inlineStr">
        <is>
          <t>$78.00</t>
        </is>
      </c>
      <c r="G644" s="4" t="inlineStr">
        <is>
          <t>$39.00</t>
        </is>
      </c>
      <c r="H644" s="4" t="inlineStr">
        <is>
          <t>Vapor</t>
        </is>
      </c>
      <c r="I644" s="4">
        <f>IMAGE("https://images.lululemon.com/is/image/lululemon/32894",1)</f>
        <v/>
      </c>
      <c r="J644" s="4" t="inlineStr">
        <is>
          <t>S</t>
        </is>
      </c>
      <c r="K644" s="4" t="inlineStr">
        <is>
          <t>8/100</t>
        </is>
      </c>
      <c r="L644" s="4" t="inlineStr">
        <is>
          <t>Yes</t>
        </is>
      </c>
      <c r="M644" s="4" t="inlineStr">
        <is>
          <t>Train hard—they can handle it. Sleek pockets and a low-profile waistband on these abrasion-resistant shorts creates a streamlined fit for your tough workouts.</t>
        </is>
      </c>
      <c r="N644" s="4" t="inlineStr">
        <is>
          <t>License-to-Train-Linerless-Short-7-Updated</t>
        </is>
      </c>
      <c r="O644" s="4" t="inlineStr">
        <is>
          <t>Athletic Shorts</t>
        </is>
      </c>
    </row>
    <row r="645" ht="80" customHeight="1">
      <c r="A645" s="7">
        <f>IMAGE("https://images.lululemon.com/is/image/lululemon/LM7BM5S_032894_1?wid=320&amp;op_usm=0.8",1)</f>
        <v/>
      </c>
      <c r="B645" s="7" t="inlineStr">
        <is>
          <t>License to Train Linerless Short 7" *Updated</t>
        </is>
      </c>
      <c r="C645" s="7" t="inlineStr">
        <is>
          <t>155701519</t>
        </is>
      </c>
      <c r="D645" s="7" t="inlineStr">
        <is>
          <t>155701519-vapor</t>
        </is>
      </c>
      <c r="E645" s="7" t="inlineStr">
        <is>
          <t>License to Train Short 7" *LL VPOR S</t>
        </is>
      </c>
      <c r="F645" s="7" t="inlineStr">
        <is>
          <t>$78.00</t>
        </is>
      </c>
      <c r="G645" s="7" t="inlineStr">
        <is>
          <t>$39.00</t>
        </is>
      </c>
      <c r="H645" s="7" t="inlineStr">
        <is>
          <t>Vapor</t>
        </is>
      </c>
      <c r="I645" s="7">
        <f>IMAGE("https://images.lululemon.com/is/image/lululemon/32894",1)</f>
        <v/>
      </c>
      <c r="J645" s="7" t="inlineStr">
        <is>
          <t>M</t>
        </is>
      </c>
      <c r="K645" s="7" t="inlineStr">
        <is>
          <t>8/100</t>
        </is>
      </c>
      <c r="L645" s="7" t="inlineStr">
        <is>
          <t>Yes</t>
        </is>
      </c>
      <c r="M645" s="7" t="inlineStr">
        <is>
          <t>Train hard—they can handle it. Sleek pockets and a low-profile waistband on these abrasion-resistant shorts creates a streamlined fit for your tough workouts.</t>
        </is>
      </c>
      <c r="N645" s="7" t="inlineStr">
        <is>
          <t>License-to-Train-Linerless-Short-7-Updated</t>
        </is>
      </c>
      <c r="O645" s="7" t="inlineStr">
        <is>
          <t>Athletic Shorts</t>
        </is>
      </c>
    </row>
    <row r="646" ht="80" customHeight="1">
      <c r="A646" s="4">
        <f>IMAGE("https://images.lululemon.com/is/image/lululemon/LM7BM5S_032894_1?wid=320&amp;op_usm=0.8",1)</f>
        <v/>
      </c>
      <c r="B646" s="4" t="inlineStr">
        <is>
          <t>License to Train Linerless Short 7" *Updated</t>
        </is>
      </c>
      <c r="C646" s="4" t="inlineStr">
        <is>
          <t>155701515</t>
        </is>
      </c>
      <c r="D646" s="4" t="inlineStr">
        <is>
          <t>155701515-vapor</t>
        </is>
      </c>
      <c r="E646" s="4" t="inlineStr">
        <is>
          <t>License to Train Short 7" *LL VPOR S</t>
        </is>
      </c>
      <c r="F646" s="4" t="inlineStr">
        <is>
          <t>$78.00</t>
        </is>
      </c>
      <c r="G646" s="4" t="inlineStr">
        <is>
          <t>$39.00</t>
        </is>
      </c>
      <c r="H646" s="4" t="inlineStr">
        <is>
          <t>Vapor</t>
        </is>
      </c>
      <c r="I646" s="4">
        <f>IMAGE("https://images.lululemon.com/is/image/lululemon/32894",1)</f>
        <v/>
      </c>
      <c r="J646" s="4" t="inlineStr">
        <is>
          <t>L</t>
        </is>
      </c>
      <c r="K646" s="4" t="inlineStr">
        <is>
          <t>8/100</t>
        </is>
      </c>
      <c r="L646" s="4" t="inlineStr">
        <is>
          <t>Yes</t>
        </is>
      </c>
      <c r="M646" s="4" t="inlineStr">
        <is>
          <t>Train hard—they can handle it. Sleek pockets and a low-profile waistband on these abrasion-resistant shorts creates a streamlined fit for your tough workouts.</t>
        </is>
      </c>
      <c r="N646" s="4" t="inlineStr">
        <is>
          <t>License-to-Train-Linerless-Short-7-Updated</t>
        </is>
      </c>
      <c r="O646" s="4" t="inlineStr">
        <is>
          <t>Athletic Shorts</t>
        </is>
      </c>
    </row>
    <row r="647" ht="80" customHeight="1">
      <c r="A647" s="7">
        <f>IMAGE("https://images.lululemon.com/is/image/lululemon/LM7BM5S_032894_1?wid=320&amp;op_usm=0.8",1)</f>
        <v/>
      </c>
      <c r="B647" s="7" t="inlineStr">
        <is>
          <t>License to Train Linerless Short 7" *Updated</t>
        </is>
      </c>
      <c r="C647" s="7" t="inlineStr">
        <is>
          <t>155701531</t>
        </is>
      </c>
      <c r="D647" s="7" t="inlineStr">
        <is>
          <t>155701531-vapor</t>
        </is>
      </c>
      <c r="E647" s="7" t="inlineStr">
        <is>
          <t>License to Train Short 7" *LL VPOR S</t>
        </is>
      </c>
      <c r="F647" s="7" t="inlineStr">
        <is>
          <t>$78.00</t>
        </is>
      </c>
      <c r="G647" s="7" t="inlineStr">
        <is>
          <t>$39.00</t>
        </is>
      </c>
      <c r="H647" s="7" t="inlineStr">
        <is>
          <t>Vapor</t>
        </is>
      </c>
      <c r="I647" s="7">
        <f>IMAGE("https://images.lululemon.com/is/image/lululemon/32894",1)</f>
        <v/>
      </c>
      <c r="J647" s="7" t="inlineStr">
        <is>
          <t>XL</t>
        </is>
      </c>
      <c r="K647" s="7" t="inlineStr">
        <is>
          <t>9/100</t>
        </is>
      </c>
      <c r="L647" s="7" t="inlineStr">
        <is>
          <t>Yes</t>
        </is>
      </c>
      <c r="M647" s="7" t="inlineStr">
        <is>
          <t>Train hard—they can handle it. Sleek pockets and a low-profile waistband on these abrasion-resistant shorts creates a streamlined fit for your tough workouts.</t>
        </is>
      </c>
      <c r="N647" s="7" t="inlineStr">
        <is>
          <t>License-to-Train-Linerless-Short-7-Updated</t>
        </is>
      </c>
      <c r="O647" s="7" t="inlineStr">
        <is>
          <t>Athletic Shorts</t>
        </is>
      </c>
    </row>
    <row r="648" ht="80" customHeight="1">
      <c r="A648" s="4">
        <f>IMAGE("https://images.lululemon.com/is/image/lululemon/LM7BM5S_032894_1?wid=320&amp;op_usm=0.8",1)</f>
        <v/>
      </c>
      <c r="B648" s="4" t="inlineStr">
        <is>
          <t>License to Train Linerless Short 7" *Updated</t>
        </is>
      </c>
      <c r="C648" s="4" t="inlineStr">
        <is>
          <t>155701543</t>
        </is>
      </c>
      <c r="D648" s="4" t="inlineStr">
        <is>
          <t>155701543-vapor</t>
        </is>
      </c>
      <c r="E648" s="4" t="inlineStr">
        <is>
          <t>License to Train Short 7" *LL VPOR S</t>
        </is>
      </c>
      <c r="F648" s="4" t="inlineStr">
        <is>
          <t>$78.00</t>
        </is>
      </c>
      <c r="G648" s="4" t="inlineStr">
        <is>
          <t>$39.00</t>
        </is>
      </c>
      <c r="H648" s="4" t="inlineStr">
        <is>
          <t>Vapor</t>
        </is>
      </c>
      <c r="I648" s="4">
        <f>IMAGE("https://images.lululemon.com/is/image/lululemon/32894",1)</f>
        <v/>
      </c>
      <c r="J648" s="4" t="inlineStr">
        <is>
          <t>XXL</t>
        </is>
      </c>
      <c r="K648" s="4" t="inlineStr">
        <is>
          <t>5/100</t>
        </is>
      </c>
      <c r="L648" s="4" t="inlineStr">
        <is>
          <t>Yes</t>
        </is>
      </c>
      <c r="M648" s="4" t="inlineStr">
        <is>
          <t>Train hard—they can handle it. Sleek pockets and a low-profile waistband on these abrasion-resistant shorts creates a streamlined fit for your tough workouts.</t>
        </is>
      </c>
      <c r="N648" s="4" t="inlineStr">
        <is>
          <t>License-to-Train-Linerless-Short-7-Updated</t>
        </is>
      </c>
      <c r="O648" s="4" t="inlineStr">
        <is>
          <t>Athletic Shorts</t>
        </is>
      </c>
    </row>
    <row r="649" ht="80" customHeight="1">
      <c r="A649" s="7">
        <f>IMAGE("https://images.lululemon.com/is/image/lululemon/LM7BM5S_032894_1?wid=320&amp;op_usm=0.8",1)</f>
        <v/>
      </c>
      <c r="B649" s="7" t="inlineStr">
        <is>
          <t>License to Train Linerless Short 7" *Updated</t>
        </is>
      </c>
      <c r="C649" s="7" t="inlineStr">
        <is>
          <t>158097311</t>
        </is>
      </c>
      <c r="D649" s="7" t="inlineStr">
        <is>
          <t>158097311-cornflower</t>
        </is>
      </c>
      <c r="E649" s="7" t="inlineStr">
        <is>
          <t>License to Train Short 7" *LL VPOR S</t>
        </is>
      </c>
      <c r="F649" s="7" t="inlineStr">
        <is>
          <t>$78.00</t>
        </is>
      </c>
      <c r="G649" s="7" t="inlineStr">
        <is>
          <t>$39.00</t>
        </is>
      </c>
      <c r="H649" s="7" t="inlineStr">
        <is>
          <t>Cornflower</t>
        </is>
      </c>
      <c r="I649" s="7">
        <f>IMAGE("https://images.lululemon.com/is/image/lululemon/11297",1)</f>
        <v/>
      </c>
      <c r="J649" s="7" t="inlineStr">
        <is>
          <t>S</t>
        </is>
      </c>
      <c r="K649" s="7" t="inlineStr">
        <is>
          <t>11/100</t>
        </is>
      </c>
      <c r="L649" s="7" t="inlineStr">
        <is>
          <t>Yes</t>
        </is>
      </c>
      <c r="M649" s="7" t="inlineStr">
        <is>
          <t>Train hard—they can handle it. Sleek pockets and a low-profile waistband on these abrasion-resistant shorts creates a streamlined fit for your tough workouts.</t>
        </is>
      </c>
      <c r="N649" s="7" t="inlineStr">
        <is>
          <t>License-to-Train-Linerless-Short-7-Updated</t>
        </is>
      </c>
      <c r="O649" s="7" t="inlineStr">
        <is>
          <t>Athletic Shorts</t>
        </is>
      </c>
    </row>
    <row r="650" ht="80" customHeight="1">
      <c r="A650" s="4">
        <f>IMAGE("https://images.lululemon.com/is/image/lululemon/LM7BM5S_032894_1?wid=320&amp;op_usm=0.8",1)</f>
        <v/>
      </c>
      <c r="B650" s="4" t="inlineStr">
        <is>
          <t>License to Train Linerless Short 7" *Updated</t>
        </is>
      </c>
      <c r="C650" s="4" t="inlineStr">
        <is>
          <t>158097305</t>
        </is>
      </c>
      <c r="D650" s="4" t="inlineStr">
        <is>
          <t>158097305-cornflower</t>
        </is>
      </c>
      <c r="E650" s="4" t="inlineStr">
        <is>
          <t>License to Train Short 7" *LL VPOR S</t>
        </is>
      </c>
      <c r="F650" s="4" t="inlineStr">
        <is>
          <t>$78.00</t>
        </is>
      </c>
      <c r="G650" s="4" t="inlineStr">
        <is>
          <t>$39.00</t>
        </is>
      </c>
      <c r="H650" s="4" t="inlineStr">
        <is>
          <t>Cornflower</t>
        </is>
      </c>
      <c r="I650" s="4">
        <f>IMAGE("https://images.lululemon.com/is/image/lululemon/11297",1)</f>
        <v/>
      </c>
      <c r="J650" s="4" t="inlineStr">
        <is>
          <t>M</t>
        </is>
      </c>
      <c r="K650" s="4" t="inlineStr">
        <is>
          <t>16/100</t>
        </is>
      </c>
      <c r="L650" s="4" t="inlineStr">
        <is>
          <t>Yes</t>
        </is>
      </c>
      <c r="M650" s="4" t="inlineStr">
        <is>
          <t>Train hard—they can handle it. Sleek pockets and a low-profile waistband on these abrasion-resistant shorts creates a streamlined fit for your tough workouts.</t>
        </is>
      </c>
      <c r="N650" s="4" t="inlineStr">
        <is>
          <t>License-to-Train-Linerless-Short-7-Updated</t>
        </is>
      </c>
      <c r="O650" s="4" t="inlineStr">
        <is>
          <t>Athletic Shorts</t>
        </is>
      </c>
    </row>
    <row r="651" ht="80" customHeight="1">
      <c r="A651" s="7">
        <f>IMAGE("https://images.lululemon.com/is/image/lululemon/LM7BM5S_032894_1?wid=320&amp;op_usm=0.8",1)</f>
        <v/>
      </c>
      <c r="B651" s="7" t="inlineStr">
        <is>
          <t>License to Train Linerless Short 7" *Updated</t>
        </is>
      </c>
      <c r="C651" s="7" t="inlineStr">
        <is>
          <t>158097300</t>
        </is>
      </c>
      <c r="D651" s="7" t="inlineStr">
        <is>
          <t>158097300-cornflower</t>
        </is>
      </c>
      <c r="E651" s="7" t="inlineStr">
        <is>
          <t>License to Train Short 7" *LL VPOR S</t>
        </is>
      </c>
      <c r="F651" s="7" t="inlineStr">
        <is>
          <t>$78.00</t>
        </is>
      </c>
      <c r="G651" s="7" t="inlineStr">
        <is>
          <t>$39.00</t>
        </is>
      </c>
      <c r="H651" s="7" t="inlineStr">
        <is>
          <t>Cornflower</t>
        </is>
      </c>
      <c r="I651" s="7">
        <f>IMAGE("https://images.lululemon.com/is/image/lululemon/11297",1)</f>
        <v/>
      </c>
      <c r="J651" s="7" t="inlineStr">
        <is>
          <t>L</t>
        </is>
      </c>
      <c r="K651" s="7" t="inlineStr">
        <is>
          <t>22/100</t>
        </is>
      </c>
      <c r="L651" s="7" t="inlineStr">
        <is>
          <t>Yes</t>
        </is>
      </c>
      <c r="M651" s="7" t="inlineStr">
        <is>
          <t>Train hard—they can handle it. Sleek pockets and a low-profile waistband on these abrasion-resistant shorts creates a streamlined fit for your tough workouts.</t>
        </is>
      </c>
      <c r="N651" s="7" t="inlineStr">
        <is>
          <t>License-to-Train-Linerless-Short-7-Updated</t>
        </is>
      </c>
      <c r="O651" s="7" t="inlineStr">
        <is>
          <t>Athletic Shorts</t>
        </is>
      </c>
    </row>
    <row r="652" ht="80" customHeight="1">
      <c r="A652" s="4">
        <f>IMAGE("https://images.lululemon.com/is/image/lululemon/LM7BM5S_032894_1?wid=320&amp;op_usm=0.8",1)</f>
        <v/>
      </c>
      <c r="B652" s="4" t="inlineStr">
        <is>
          <t>License to Train Linerless Short 7" *Updated</t>
        </is>
      </c>
      <c r="C652" s="4" t="inlineStr">
        <is>
          <t>158097315</t>
        </is>
      </c>
      <c r="D652" s="4" t="inlineStr">
        <is>
          <t>158097315-cornflower</t>
        </is>
      </c>
      <c r="E652" s="4" t="inlineStr">
        <is>
          <t>License to Train Short 7" *LL VPOR S</t>
        </is>
      </c>
      <c r="F652" s="4" t="inlineStr">
        <is>
          <t>$78.00</t>
        </is>
      </c>
      <c r="G652" s="4" t="inlineStr">
        <is>
          <t>$39.00</t>
        </is>
      </c>
      <c r="H652" s="4" t="inlineStr">
        <is>
          <t>Cornflower</t>
        </is>
      </c>
      <c r="I652" s="4">
        <f>IMAGE("https://images.lululemon.com/is/image/lululemon/11297",1)</f>
        <v/>
      </c>
      <c r="J652" s="4" t="inlineStr">
        <is>
          <t>XL</t>
        </is>
      </c>
      <c r="K652" s="4" t="inlineStr">
        <is>
          <t>10/100</t>
        </is>
      </c>
      <c r="L652" s="4" t="inlineStr">
        <is>
          <t>Yes</t>
        </is>
      </c>
      <c r="M652" s="4" t="inlineStr">
        <is>
          <t>Train hard—they can handle it. Sleek pockets and a low-profile waistband on these abrasion-resistant shorts creates a streamlined fit for your tough workouts.</t>
        </is>
      </c>
      <c r="N652" s="4" t="inlineStr">
        <is>
          <t>License-to-Train-Linerless-Short-7-Updated</t>
        </is>
      </c>
      <c r="O652" s="4" t="inlineStr">
        <is>
          <t>Athletic Shorts</t>
        </is>
      </c>
    </row>
    <row r="653" ht="80" customHeight="1">
      <c r="A653" s="5">
        <f>IMAGE("https://images.lululemon.com/is/image/lululemon/LM7BM5S_032894_1?wid=320&amp;op_usm=0.8",1)</f>
        <v/>
      </c>
      <c r="B653" s="5" t="inlineStr">
        <is>
          <t>License to Train Linerless Short 7" *Updated</t>
        </is>
      </c>
      <c r="C653" s="5" t="inlineStr">
        <is>
          <t>158097325</t>
        </is>
      </c>
      <c r="D653" s="5" t="inlineStr">
        <is>
          <t>158097325-cornflower</t>
        </is>
      </c>
      <c r="E653" s="5" t="inlineStr">
        <is>
          <t>License to Train Short 7" *LL VPOR S</t>
        </is>
      </c>
      <c r="F653" s="5" t="inlineStr">
        <is>
          <t>$78.00</t>
        </is>
      </c>
      <c r="G653" s="5" t="inlineStr">
        <is>
          <t>$39.00</t>
        </is>
      </c>
      <c r="H653" s="5" t="inlineStr">
        <is>
          <t>Cornflower</t>
        </is>
      </c>
      <c r="I653" s="5">
        <f>IMAGE("https://images.lululemon.com/is/image/lululemon/11297",1)</f>
        <v/>
      </c>
      <c r="J653" s="5" t="inlineStr">
        <is>
          <t>XXL</t>
        </is>
      </c>
      <c r="K653" s="5" t="inlineStr">
        <is>
          <t>3/100</t>
        </is>
      </c>
      <c r="L653" s="5" t="inlineStr">
        <is>
          <t>Yes</t>
        </is>
      </c>
      <c r="M653" s="5" t="inlineStr">
        <is>
          <t>Train hard—they can handle it. Sleek pockets and a low-profile waistband on these abrasion-resistant shorts creates a streamlined fit for your tough workouts.</t>
        </is>
      </c>
      <c r="N653" s="5" t="inlineStr">
        <is>
          <t>License-to-Train-Linerless-Short-7-Updated</t>
        </is>
      </c>
      <c r="O653" s="5" t="inlineStr">
        <is>
          <t>Athletic Shorts</t>
        </is>
      </c>
    </row>
    <row r="654" ht="80" customHeight="1">
      <c r="A654" s="4">
        <f>IMAGE("https://images.lululemon.com/is/image/lululemon/LW9FBXS_0002_1?wid=320&amp;op_usm=0.8",1)</f>
        <v/>
      </c>
      <c r="B654" s="4" t="inlineStr">
        <is>
          <t>Women's Luxtreme Training Headband</t>
        </is>
      </c>
      <c r="C654" s="4" t="inlineStr">
        <is>
          <t>153836035</t>
        </is>
      </c>
      <c r="D654" s="4" t="inlineStr">
        <is>
          <t>153836035-white</t>
        </is>
      </c>
      <c r="E654" s="4" t="inlineStr">
        <is>
          <t>Luxtreme™ Training Headband WHT ONE SIZE</t>
        </is>
      </c>
      <c r="F654" s="4" t="inlineStr">
        <is>
          <t>$14.00</t>
        </is>
      </c>
      <c r="G654" s="4" t="inlineStr">
        <is>
          <t>$7.00</t>
        </is>
      </c>
      <c r="H654" s="4" t="inlineStr">
        <is>
          <t>White</t>
        </is>
      </c>
      <c r="I654" s="4">
        <f>IMAGE("https://images.lululemon.com/is/image/lululemon/0002",1)</f>
        <v/>
      </c>
      <c r="J654" s="4" t="inlineStr">
        <is>
          <t>O/S</t>
        </is>
      </c>
      <c r="K654" s="4" t="inlineStr">
        <is>
          <t>1721/4426</t>
        </is>
      </c>
      <c r="L654" s="4" t="inlineStr">
        <is>
          <t>Yes</t>
        </is>
      </c>
      <c r="M654" s="4" t="inlineStr">
        <is>
          <t>Keep your hair in place while you work out. This sweat-wicking headband hugs your head in all the right places.</t>
        </is>
      </c>
      <c r="N654" s="4" t="inlineStr">
        <is>
          <t>W-Luxtreme-Training-Headband</t>
        </is>
      </c>
      <c r="O654" s="4" t="inlineStr">
        <is>
          <t>Headbands</t>
        </is>
      </c>
    </row>
    <row r="655" ht="80" customHeight="1">
      <c r="A655" s="7">
        <f>IMAGE("https://images.lululemon.com/is/image/lululemon/LW9FBXS_0002_1?wid=320&amp;op_usm=0.8",1)</f>
        <v/>
      </c>
      <c r="B655" s="7" t="inlineStr">
        <is>
          <t>Women's Luxtreme Training Headband</t>
        </is>
      </c>
      <c r="C655" s="7" t="inlineStr">
        <is>
          <t>153836025</t>
        </is>
      </c>
      <c r="D655" s="7" t="inlineStr">
        <is>
          <t>153836025-black</t>
        </is>
      </c>
      <c r="E655" s="7" t="inlineStr">
        <is>
          <t>Luxtreme™ Training Headband WHT ONE SIZE</t>
        </is>
      </c>
      <c r="F655" s="7" t="inlineStr">
        <is>
          <t>$14.00</t>
        </is>
      </c>
      <c r="G655" s="7" t="inlineStr">
        <is>
          <t>$7.00</t>
        </is>
      </c>
      <c r="H655" s="7" t="inlineStr">
        <is>
          <t>Black</t>
        </is>
      </c>
      <c r="I655" s="7">
        <f>IMAGE("https://images.lululemon.com/is/image/lululemon/0001",1)</f>
        <v/>
      </c>
      <c r="J655" s="7" t="inlineStr">
        <is>
          <t>O/S</t>
        </is>
      </c>
      <c r="K655" s="7" t="inlineStr">
        <is>
          <t>2352/4426</t>
        </is>
      </c>
      <c r="L655" s="7" t="inlineStr">
        <is>
          <t>Yes</t>
        </is>
      </c>
      <c r="M655" s="7" t="inlineStr">
        <is>
          <t>Keep your hair in place while you work out. This sweat-wicking headband hugs your head in all the right places.</t>
        </is>
      </c>
      <c r="N655" s="7" t="inlineStr">
        <is>
          <t>W-Luxtreme-Training-Headband</t>
        </is>
      </c>
      <c r="O655" s="7" t="inlineStr">
        <is>
          <t>Headbands</t>
        </is>
      </c>
    </row>
    <row r="656" ht="80" customHeight="1">
      <c r="A656" s="4">
        <f>IMAGE("https://images.lululemon.com/is/image/lululemon/LW9FBXS_0002_1?wid=320&amp;op_usm=0.8",1)</f>
        <v/>
      </c>
      <c r="B656" s="4" t="inlineStr">
        <is>
          <t>Women's Luxtreme Training Headband</t>
        </is>
      </c>
      <c r="C656" s="4" t="inlineStr">
        <is>
          <t>158024940</t>
        </is>
      </c>
      <c r="D656" s="4" t="inlineStr">
        <is>
          <t>158024940-indochineblue</t>
        </is>
      </c>
      <c r="E656" s="4" t="inlineStr">
        <is>
          <t>Luxtreme™ Training Headband WHT ONE SIZE</t>
        </is>
      </c>
      <c r="F656" s="4" t="inlineStr">
        <is>
          <t>$14.00</t>
        </is>
      </c>
      <c r="G656" s="4" t="inlineStr">
        <is>
          <t>$7.00</t>
        </is>
      </c>
      <c r="H656" s="4" t="inlineStr">
        <is>
          <t>Indochine Blue</t>
        </is>
      </c>
      <c r="I656" s="4">
        <f>IMAGE("https://images.lululemon.com/is/image/lululemon/28022",1)</f>
        <v/>
      </c>
      <c r="J656" s="4" t="inlineStr">
        <is>
          <t>O/S</t>
        </is>
      </c>
      <c r="K656" s="4" t="inlineStr">
        <is>
          <t>76/4426</t>
        </is>
      </c>
      <c r="L656" s="4" t="inlineStr">
        <is>
          <t>Yes</t>
        </is>
      </c>
      <c r="M656" s="4" t="inlineStr">
        <is>
          <t>Keep your hair in place while you work out. This sweat-wicking headband hugs your head in all the right places.</t>
        </is>
      </c>
      <c r="N656" s="4" t="inlineStr">
        <is>
          <t>W-Luxtreme-Training-Headband</t>
        </is>
      </c>
      <c r="O656" s="4" t="inlineStr">
        <is>
          <t>Headbands</t>
        </is>
      </c>
    </row>
    <row r="657" ht="80" customHeight="1">
      <c r="A657" s="7">
        <f>IMAGE("https://images.lululemon.com/is/image/lululemon/LW9FBXS_0002_1?wid=320&amp;op_usm=0.8",1)</f>
        <v/>
      </c>
      <c r="B657" s="7" t="inlineStr">
        <is>
          <t>Women's Luxtreme Training Headband</t>
        </is>
      </c>
      <c r="C657" s="7" t="inlineStr">
        <is>
          <t>158024954</t>
        </is>
      </c>
      <c r="D657" s="7" t="inlineStr">
        <is>
          <t>158024954-berryrumble</t>
        </is>
      </c>
      <c r="E657" s="7" t="inlineStr">
        <is>
          <t>Luxtreme™ Training Headband WHT ONE SIZE</t>
        </is>
      </c>
      <c r="F657" s="7" t="inlineStr">
        <is>
          <t>$14.00</t>
        </is>
      </c>
      <c r="G657" s="7" t="inlineStr">
        <is>
          <t>$7.00</t>
        </is>
      </c>
      <c r="H657" s="7" t="inlineStr">
        <is>
          <t>Berry Rumble</t>
        </is>
      </c>
      <c r="I657" s="7">
        <f>IMAGE("https://images.lululemon.com/is/image/lululemon/21363",1)</f>
        <v/>
      </c>
      <c r="J657" s="7" t="inlineStr">
        <is>
          <t>O/S</t>
        </is>
      </c>
      <c r="K657" s="7" t="inlineStr">
        <is>
          <t>184/4426</t>
        </is>
      </c>
      <c r="L657" s="7" t="inlineStr">
        <is>
          <t>Yes</t>
        </is>
      </c>
      <c r="M657" s="7" t="inlineStr">
        <is>
          <t>Keep your hair in place while you work out. This sweat-wicking headband hugs your head in all the right places.</t>
        </is>
      </c>
      <c r="N657" s="7" t="inlineStr">
        <is>
          <t>W-Luxtreme-Training-Headband</t>
        </is>
      </c>
      <c r="O657" s="7" t="inlineStr">
        <is>
          <t>Headbands</t>
        </is>
      </c>
    </row>
    <row r="658" ht="80" customHeight="1">
      <c r="A658" s="6">
        <f>IMAGE("https://images.lululemon.com/is/image/lululemon/LW9FBXS_0002_1?wid=320&amp;op_usm=0.8",1)</f>
        <v/>
      </c>
      <c r="B658" s="6" t="inlineStr">
        <is>
          <t>Women's Luxtreme Training Headband</t>
        </is>
      </c>
      <c r="C658" s="6" t="inlineStr">
        <is>
          <t>158024974</t>
        </is>
      </c>
      <c r="D658" s="6" t="inlineStr">
        <is>
          <t>158024974-oxfordred</t>
        </is>
      </c>
      <c r="E658" s="6" t="inlineStr">
        <is>
          <t>Luxtreme™ Training Headband WHT ONE SIZE</t>
        </is>
      </c>
      <c r="F658" s="6" t="inlineStr">
        <is>
          <t>$14.00</t>
        </is>
      </c>
      <c r="G658" s="6" t="inlineStr">
        <is>
          <t>$7.00</t>
        </is>
      </c>
      <c r="H658" s="6" t="inlineStr">
        <is>
          <t>Oxford Red</t>
        </is>
      </c>
      <c r="I658" s="6">
        <f>IMAGE("https://images.lululemon.com/is/image/lululemon/72757",1)</f>
        <v/>
      </c>
      <c r="J658" s="6" t="inlineStr">
        <is>
          <t>O/S</t>
        </is>
      </c>
      <c r="K658" s="6" t="inlineStr">
        <is>
          <t>93/4426</t>
        </is>
      </c>
      <c r="L658" s="6" t="inlineStr">
        <is>
          <t>Yes</t>
        </is>
      </c>
      <c r="M658" s="6" t="inlineStr">
        <is>
          <t>Keep your hair in place while you work out. This sweat-wicking headband hugs your head in all the right places.</t>
        </is>
      </c>
      <c r="N658" s="6" t="inlineStr">
        <is>
          <t>W-Luxtreme-Training-Headband</t>
        </is>
      </c>
      <c r="O658" s="6" t="inlineStr">
        <is>
          <t>Headbands</t>
        </is>
      </c>
    </row>
    <row r="659" ht="80" customHeight="1">
      <c r="A659" s="7">
        <f>IMAGE("https://images.lululemon.com/is/image/lululemon/LM4ALTS_062214_1?wid=320&amp;op_usm=0.8",1)</f>
        <v/>
      </c>
      <c r="B659" s="7" t="inlineStr">
        <is>
          <t>Sojourn Windbreaker Jacket</t>
        </is>
      </c>
      <c r="C659" s="7" t="inlineStr">
        <is>
          <t>157683847</t>
        </is>
      </c>
      <c r="D659" s="7" t="inlineStr">
        <is>
          <t>157683847-bayleaf</t>
        </is>
      </c>
      <c r="E659" s="7" t="inlineStr">
        <is>
          <t>Sojourn Windbreaker Jacket BALF S</t>
        </is>
      </c>
      <c r="F659" s="7" t="inlineStr">
        <is>
          <t>$128.00</t>
        </is>
      </c>
      <c r="G659" s="7" t="inlineStr">
        <is>
          <t>$64.00</t>
        </is>
      </c>
      <c r="H659" s="7" t="inlineStr">
        <is>
          <t>Bay Leaf</t>
        </is>
      </c>
      <c r="I659" s="7">
        <f>IMAGE("https://images.lululemon.com/is/image/lululemon/62214",1)</f>
        <v/>
      </c>
      <c r="J659" s="7" t="inlineStr">
        <is>
          <t>S</t>
        </is>
      </c>
      <c r="K659" s="7" t="inlineStr">
        <is>
          <t>10/167</t>
        </is>
      </c>
      <c r="L659" s="7" t="inlineStr">
        <is>
          <t>Yes</t>
        </is>
      </c>
      <c r="M659" s="7" t="inlineStr">
        <is>
          <t>Going somewhere? This windbreaker's low-profile design fits seamlessly with whatever you've got planned.</t>
        </is>
      </c>
      <c r="N659" s="7" t="inlineStr">
        <is>
          <t>Sojourn-Windbreaker-Jacket</t>
        </is>
      </c>
      <c r="O659" s="7" t="inlineStr">
        <is>
          <t>Windbreakers</t>
        </is>
      </c>
    </row>
    <row r="660" ht="80" customHeight="1">
      <c r="A660" s="4">
        <f>IMAGE("https://images.lululemon.com/is/image/lululemon/LM4ALTS_062214_1?wid=320&amp;op_usm=0.8",1)</f>
        <v/>
      </c>
      <c r="B660" s="4" t="inlineStr">
        <is>
          <t>Sojourn Windbreaker Jacket</t>
        </is>
      </c>
      <c r="C660" s="4" t="inlineStr">
        <is>
          <t>157683843</t>
        </is>
      </c>
      <c r="D660" s="4" t="inlineStr">
        <is>
          <t>157683843-bayleaf</t>
        </is>
      </c>
      <c r="E660" s="4" t="inlineStr">
        <is>
          <t>Sojourn Windbreaker Jacket BALF S</t>
        </is>
      </c>
      <c r="F660" s="4" t="inlineStr">
        <is>
          <t>$128.00</t>
        </is>
      </c>
      <c r="G660" s="4" t="inlineStr">
        <is>
          <t>$64.00</t>
        </is>
      </c>
      <c r="H660" s="4" t="inlineStr">
        <is>
          <t>Bay Leaf</t>
        </is>
      </c>
      <c r="I660" s="4">
        <f>IMAGE("https://images.lululemon.com/is/image/lululemon/62214",1)</f>
        <v/>
      </c>
      <c r="J660" s="4" t="inlineStr">
        <is>
          <t>M</t>
        </is>
      </c>
      <c r="K660" s="4" t="inlineStr">
        <is>
          <t>39/167</t>
        </is>
      </c>
      <c r="L660" s="4" t="inlineStr">
        <is>
          <t>Yes</t>
        </is>
      </c>
      <c r="M660" s="4" t="inlineStr">
        <is>
          <t>Going somewhere? This windbreaker's low-profile design fits seamlessly with whatever you've got planned.</t>
        </is>
      </c>
      <c r="N660" s="4" t="inlineStr">
        <is>
          <t>Sojourn-Windbreaker-Jacket</t>
        </is>
      </c>
      <c r="O660" s="4" t="inlineStr">
        <is>
          <t>Windbreakers</t>
        </is>
      </c>
    </row>
    <row r="661" ht="80" customHeight="1">
      <c r="A661" s="7">
        <f>IMAGE("https://images.lululemon.com/is/image/lululemon/LM4ALTS_062214_1?wid=320&amp;op_usm=0.8",1)</f>
        <v/>
      </c>
      <c r="B661" s="7" t="inlineStr">
        <is>
          <t>Sojourn Windbreaker Jacket</t>
        </is>
      </c>
      <c r="C661" s="7" t="inlineStr">
        <is>
          <t>157683839</t>
        </is>
      </c>
      <c r="D661" s="7" t="inlineStr">
        <is>
          <t>157683839-bayleaf</t>
        </is>
      </c>
      <c r="E661" s="7" t="inlineStr">
        <is>
          <t>Sojourn Windbreaker Jacket BALF S</t>
        </is>
      </c>
      <c r="F661" s="7" t="inlineStr">
        <is>
          <t>$128.00</t>
        </is>
      </c>
      <c r="G661" s="7" t="inlineStr">
        <is>
          <t>$64.00</t>
        </is>
      </c>
      <c r="H661" s="7" t="inlineStr">
        <is>
          <t>Bay Leaf</t>
        </is>
      </c>
      <c r="I661" s="7">
        <f>IMAGE("https://images.lululemon.com/is/image/lululemon/62214",1)</f>
        <v/>
      </c>
      <c r="J661" s="7" t="inlineStr">
        <is>
          <t>L</t>
        </is>
      </c>
      <c r="K661" s="7" t="inlineStr">
        <is>
          <t>65/167</t>
        </is>
      </c>
      <c r="L661" s="7" t="inlineStr">
        <is>
          <t>Yes</t>
        </is>
      </c>
      <c r="M661" s="7" t="inlineStr">
        <is>
          <t>Going somewhere? This windbreaker's low-profile design fits seamlessly with whatever you've got planned.</t>
        </is>
      </c>
      <c r="N661" s="7" t="inlineStr">
        <is>
          <t>Sojourn-Windbreaker-Jacket</t>
        </is>
      </c>
      <c r="O661" s="7" t="inlineStr">
        <is>
          <t>Windbreakers</t>
        </is>
      </c>
    </row>
    <row r="662" ht="80" customHeight="1">
      <c r="A662" s="4">
        <f>IMAGE("https://images.lululemon.com/is/image/lululemon/LM4ALTS_062214_1?wid=320&amp;op_usm=0.8",1)</f>
        <v/>
      </c>
      <c r="B662" s="4" t="inlineStr">
        <is>
          <t>Sojourn Windbreaker Jacket</t>
        </is>
      </c>
      <c r="C662" s="4" t="inlineStr">
        <is>
          <t>157683851</t>
        </is>
      </c>
      <c r="D662" s="4" t="inlineStr">
        <is>
          <t>157683851-bayleaf</t>
        </is>
      </c>
      <c r="E662" s="4" t="inlineStr">
        <is>
          <t>Sojourn Windbreaker Jacket BALF S</t>
        </is>
      </c>
      <c r="F662" s="4" t="inlineStr">
        <is>
          <t>$128.00</t>
        </is>
      </c>
      <c r="G662" s="4" t="inlineStr">
        <is>
          <t>$64.00</t>
        </is>
      </c>
      <c r="H662" s="4" t="inlineStr">
        <is>
          <t>Bay Leaf</t>
        </is>
      </c>
      <c r="I662" s="4">
        <f>IMAGE("https://images.lululemon.com/is/image/lululemon/62214",1)</f>
        <v/>
      </c>
      <c r="J662" s="4" t="inlineStr">
        <is>
          <t>XL</t>
        </is>
      </c>
      <c r="K662" s="4" t="inlineStr">
        <is>
          <t>37/167</t>
        </is>
      </c>
      <c r="L662" s="4" t="inlineStr">
        <is>
          <t>Yes</t>
        </is>
      </c>
      <c r="M662" s="4" t="inlineStr">
        <is>
          <t>Going somewhere? This windbreaker's low-profile design fits seamlessly with whatever you've got planned.</t>
        </is>
      </c>
      <c r="N662" s="4" t="inlineStr">
        <is>
          <t>Sojourn-Windbreaker-Jacket</t>
        </is>
      </c>
      <c r="O662" s="4" t="inlineStr">
        <is>
          <t>Windbreakers</t>
        </is>
      </c>
    </row>
    <row r="663" ht="80" customHeight="1">
      <c r="A663" s="5">
        <f>IMAGE("https://images.lululemon.com/is/image/lululemon/LM4ALTS_062214_1?wid=320&amp;op_usm=0.8",1)</f>
        <v/>
      </c>
      <c r="B663" s="5" t="inlineStr">
        <is>
          <t>Sojourn Windbreaker Jacket</t>
        </is>
      </c>
      <c r="C663" s="5" t="inlineStr">
        <is>
          <t>157683855</t>
        </is>
      </c>
      <c r="D663" s="5" t="inlineStr">
        <is>
          <t>157683855-bayleaf</t>
        </is>
      </c>
      <c r="E663" s="5" t="inlineStr">
        <is>
          <t>Sojourn Windbreaker Jacket BALF S</t>
        </is>
      </c>
      <c r="F663" s="5" t="inlineStr">
        <is>
          <t>$128.00</t>
        </is>
      </c>
      <c r="G663" s="5" t="inlineStr">
        <is>
          <t>$64.00</t>
        </is>
      </c>
      <c r="H663" s="5" t="inlineStr">
        <is>
          <t>Bay Leaf</t>
        </is>
      </c>
      <c r="I663" s="5">
        <f>IMAGE("https://images.lululemon.com/is/image/lululemon/62214",1)</f>
        <v/>
      </c>
      <c r="J663" s="5" t="inlineStr">
        <is>
          <t>XXL</t>
        </is>
      </c>
      <c r="K663" s="5" t="inlineStr">
        <is>
          <t>16/167</t>
        </is>
      </c>
      <c r="L663" s="5" t="inlineStr">
        <is>
          <t>Yes</t>
        </is>
      </c>
      <c r="M663" s="5" t="inlineStr">
        <is>
          <t>Going somewhere? This windbreaker's low-profile design fits seamlessly with whatever you've got planned.</t>
        </is>
      </c>
      <c r="N663" s="5" t="inlineStr">
        <is>
          <t>Sojourn-Windbreaker-Jacket</t>
        </is>
      </c>
      <c r="O663" s="5" t="inlineStr">
        <is>
          <t>Windbreakers</t>
        </is>
      </c>
    </row>
    <row r="664" ht="80" customHeight="1">
      <c r="A664" s="4">
        <f>IMAGE("https://images.lululemon.com/is/image/lululemon/LM4AMVS_0001_1?wid=320&amp;op_usm=0.8",1)</f>
        <v/>
      </c>
      <c r="B664" s="4" t="inlineStr">
        <is>
          <t>Down for It All Hoodie</t>
        </is>
      </c>
      <c r="C664" s="4" t="inlineStr">
        <is>
          <t>147151538</t>
        </is>
      </c>
      <c r="D664" s="4" t="inlineStr">
        <is>
          <t>147151538-black</t>
        </is>
      </c>
      <c r="E664" s="4" t="inlineStr">
        <is>
          <t>Down for It All Hoodie BLK S</t>
        </is>
      </c>
      <c r="F664" s="4" t="inlineStr">
        <is>
          <t>$228.00</t>
        </is>
      </c>
      <c r="G664" s="4" t="inlineStr">
        <is>
          <t>$114.00</t>
        </is>
      </c>
      <c r="H664" s="4" t="inlineStr">
        <is>
          <t>Black</t>
        </is>
      </c>
      <c r="I664" s="4">
        <f>IMAGE("https://images.lululemon.com/is/image/lululemon/0001",1)</f>
        <v/>
      </c>
      <c r="J664" s="4" t="inlineStr">
        <is>
          <t>S</t>
        </is>
      </c>
      <c r="K664" s="4" t="inlineStr">
        <is>
          <t>20/221</t>
        </is>
      </c>
      <c r="L664" s="4" t="inlineStr">
        <is>
          <t>Yes</t>
        </is>
      </c>
      <c r="M664" s="4" t="inlineStr">
        <is>
          <t>When temperature drops, this water-resistant hoodie keeps up. Lightweight goose down helps keep you warm, while stretchy fabric panels let you move with ease.</t>
        </is>
      </c>
      <c r="N664" s="4" t="inlineStr">
        <is>
          <t>Down-For-It-All-Hoodie</t>
        </is>
      </c>
      <c r="O664" s="4" t="inlineStr">
        <is>
          <t>Athletic Jackets, Puffer Jackets</t>
        </is>
      </c>
    </row>
    <row r="665" ht="80" customHeight="1">
      <c r="A665" s="7">
        <f>IMAGE("https://images.lululemon.com/is/image/lululemon/LM4AMVS_0001_1?wid=320&amp;op_usm=0.8",1)</f>
        <v/>
      </c>
      <c r="B665" s="7" t="inlineStr">
        <is>
          <t>Down for It All Hoodie</t>
        </is>
      </c>
      <c r="C665" s="7" t="inlineStr">
        <is>
          <t>147151535</t>
        </is>
      </c>
      <c r="D665" s="7" t="inlineStr">
        <is>
          <t>147151535-black</t>
        </is>
      </c>
      <c r="E665" s="7" t="inlineStr">
        <is>
          <t>Down for It All Hoodie BLK S</t>
        </is>
      </c>
      <c r="F665" s="7" t="inlineStr">
        <is>
          <t>$228.00</t>
        </is>
      </c>
      <c r="G665" s="7" t="inlineStr">
        <is>
          <t>$114.00</t>
        </is>
      </c>
      <c r="H665" s="7" t="inlineStr">
        <is>
          <t>Black</t>
        </is>
      </c>
      <c r="I665" s="7">
        <f>IMAGE("https://images.lululemon.com/is/image/lululemon/0001",1)</f>
        <v/>
      </c>
      <c r="J665" s="7" t="inlineStr">
        <is>
          <t>M</t>
        </is>
      </c>
      <c r="K665" s="7" t="inlineStr">
        <is>
          <t>28/221</t>
        </is>
      </c>
      <c r="L665" s="7" t="inlineStr">
        <is>
          <t>Yes</t>
        </is>
      </c>
      <c r="M665" s="7" t="inlineStr">
        <is>
          <t>When temperature drops, this water-resistant hoodie keeps up. Lightweight goose down helps keep you warm, while stretchy fabric panels let you move with ease.</t>
        </is>
      </c>
      <c r="N665" s="7" t="inlineStr">
        <is>
          <t>Down-For-It-All-Hoodie</t>
        </is>
      </c>
      <c r="O665" s="7" t="inlineStr">
        <is>
          <t>Athletic Jackets, Puffer Jackets</t>
        </is>
      </c>
    </row>
    <row r="666" ht="80" customHeight="1">
      <c r="A666" s="4">
        <f>IMAGE("https://images.lululemon.com/is/image/lululemon/LM4AMVS_0001_1?wid=320&amp;op_usm=0.8",1)</f>
        <v/>
      </c>
      <c r="B666" s="4" t="inlineStr">
        <is>
          <t>Down for It All Hoodie</t>
        </is>
      </c>
      <c r="C666" s="4" t="inlineStr">
        <is>
          <t>147151531</t>
        </is>
      </c>
      <c r="D666" s="4" t="inlineStr">
        <is>
          <t>147151531-black</t>
        </is>
      </c>
      <c r="E666" s="4" t="inlineStr">
        <is>
          <t>Down for It All Hoodie BLK S</t>
        </is>
      </c>
      <c r="F666" s="4" t="inlineStr">
        <is>
          <t>$228.00</t>
        </is>
      </c>
      <c r="G666" s="4" t="inlineStr">
        <is>
          <t>$114.00</t>
        </is>
      </c>
      <c r="H666" s="4" t="inlineStr">
        <is>
          <t>Black</t>
        </is>
      </c>
      <c r="I666" s="4">
        <f>IMAGE("https://images.lululemon.com/is/image/lululemon/0001",1)</f>
        <v/>
      </c>
      <c r="J666" s="4" t="inlineStr">
        <is>
          <t>L</t>
        </is>
      </c>
      <c r="K666" s="4" t="inlineStr">
        <is>
          <t>49/221</t>
        </is>
      </c>
      <c r="L666" s="4" t="inlineStr">
        <is>
          <t>Yes</t>
        </is>
      </c>
      <c r="M666" s="4" t="inlineStr">
        <is>
          <t>When temperature drops, this water-resistant hoodie keeps up. Lightweight goose down helps keep you warm, while stretchy fabric panels let you move with ease.</t>
        </is>
      </c>
      <c r="N666" s="4" t="inlineStr">
        <is>
          <t>Down-For-It-All-Hoodie</t>
        </is>
      </c>
      <c r="O666" s="4" t="inlineStr">
        <is>
          <t>Athletic Jackets, Puffer Jackets</t>
        </is>
      </c>
    </row>
    <row r="667" ht="80" customHeight="1">
      <c r="A667" s="7">
        <f>IMAGE("https://images.lululemon.com/is/image/lululemon/LM4AMVS_0001_1?wid=320&amp;op_usm=0.8",1)</f>
        <v/>
      </c>
      <c r="B667" s="7" t="inlineStr">
        <is>
          <t>Down for It All Hoodie</t>
        </is>
      </c>
      <c r="C667" s="7" t="inlineStr">
        <is>
          <t>147151542</t>
        </is>
      </c>
      <c r="D667" s="7" t="inlineStr">
        <is>
          <t>147151542-black</t>
        </is>
      </c>
      <c r="E667" s="7" t="inlineStr">
        <is>
          <t>Down for It All Hoodie BLK S</t>
        </is>
      </c>
      <c r="F667" s="7" t="inlineStr">
        <is>
          <t>$228.00</t>
        </is>
      </c>
      <c r="G667" s="7" t="inlineStr">
        <is>
          <t>$114.00</t>
        </is>
      </c>
      <c r="H667" s="7" t="inlineStr">
        <is>
          <t>Black</t>
        </is>
      </c>
      <c r="I667" s="7">
        <f>IMAGE("https://images.lululemon.com/is/image/lululemon/0001",1)</f>
        <v/>
      </c>
      <c r="J667" s="7" t="inlineStr">
        <is>
          <t>XL</t>
        </is>
      </c>
      <c r="K667" s="7" t="inlineStr">
        <is>
          <t>40/221</t>
        </is>
      </c>
      <c r="L667" s="7" t="inlineStr">
        <is>
          <t>Yes</t>
        </is>
      </c>
      <c r="M667" s="7" t="inlineStr">
        <is>
          <t>When temperature drops, this water-resistant hoodie keeps up. Lightweight goose down helps keep you warm, while stretchy fabric panels let you move with ease.</t>
        </is>
      </c>
      <c r="N667" s="7" t="inlineStr">
        <is>
          <t>Down-For-It-All-Hoodie</t>
        </is>
      </c>
      <c r="O667" s="7" t="inlineStr">
        <is>
          <t>Athletic Jackets, Puffer Jackets</t>
        </is>
      </c>
    </row>
    <row r="668" ht="80" customHeight="1">
      <c r="A668" s="4">
        <f>IMAGE("https://images.lululemon.com/is/image/lululemon/LM4AMVS_0001_1?wid=320&amp;op_usm=0.8",1)</f>
        <v/>
      </c>
      <c r="B668" s="4" t="inlineStr">
        <is>
          <t>Down for It All Hoodie</t>
        </is>
      </c>
      <c r="C668" s="4" t="inlineStr">
        <is>
          <t>147151549</t>
        </is>
      </c>
      <c r="D668" s="4" t="inlineStr">
        <is>
          <t>147151549-black</t>
        </is>
      </c>
      <c r="E668" s="4" t="inlineStr">
        <is>
          <t>Down for It All Hoodie BLK S</t>
        </is>
      </c>
      <c r="F668" s="4" t="inlineStr">
        <is>
          <t>$228.00</t>
        </is>
      </c>
      <c r="G668" s="4" t="inlineStr">
        <is>
          <t>$114.00</t>
        </is>
      </c>
      <c r="H668" s="4" t="inlineStr">
        <is>
          <t>Black</t>
        </is>
      </c>
      <c r="I668" s="4">
        <f>IMAGE("https://images.lululemon.com/is/image/lululemon/0001",1)</f>
        <v/>
      </c>
      <c r="J668" s="4" t="inlineStr">
        <is>
          <t>XXL</t>
        </is>
      </c>
      <c r="K668" s="4" t="inlineStr">
        <is>
          <t>20/221</t>
        </is>
      </c>
      <c r="L668" s="4" t="inlineStr">
        <is>
          <t>Yes</t>
        </is>
      </c>
      <c r="M668" s="4" t="inlineStr">
        <is>
          <t>When temperature drops, this water-resistant hoodie keeps up. Lightweight goose down helps keep you warm, while stretchy fabric panels let you move with ease.</t>
        </is>
      </c>
      <c r="N668" s="4" t="inlineStr">
        <is>
          <t>Down-For-It-All-Hoodie</t>
        </is>
      </c>
      <c r="O668" s="4" t="inlineStr">
        <is>
          <t>Athletic Jackets, Puffer Jackets</t>
        </is>
      </c>
    </row>
    <row r="669" ht="80" customHeight="1">
      <c r="A669" s="7">
        <f>IMAGE("https://images.lululemon.com/is/image/lululemon/LM4AMVS_0001_1?wid=320&amp;op_usm=0.8",1)</f>
        <v/>
      </c>
      <c r="B669" s="7" t="inlineStr">
        <is>
          <t>Down for It All Hoodie</t>
        </is>
      </c>
      <c r="C669" s="7" t="inlineStr">
        <is>
          <t>158096848</t>
        </is>
      </c>
      <c r="D669" s="7" t="inlineStr">
        <is>
          <t>158096848-indochineblue</t>
        </is>
      </c>
      <c r="E669" s="7" t="inlineStr">
        <is>
          <t>Down for It All Hoodie BLK S</t>
        </is>
      </c>
      <c r="F669" s="7" t="inlineStr">
        <is>
          <t>$228.00</t>
        </is>
      </c>
      <c r="G669" s="7" t="inlineStr">
        <is>
          <t>$114.00</t>
        </is>
      </c>
      <c r="H669" s="7" t="inlineStr">
        <is>
          <t>Indochine Blue</t>
        </is>
      </c>
      <c r="I669" s="7">
        <f>IMAGE("https://images.lululemon.com/is/image/lululemon/28022",1)</f>
        <v/>
      </c>
      <c r="J669" s="7" t="inlineStr">
        <is>
          <t>S</t>
        </is>
      </c>
      <c r="K669" s="7" t="inlineStr">
        <is>
          <t>4/221</t>
        </is>
      </c>
      <c r="L669" s="7" t="inlineStr">
        <is>
          <t>Yes</t>
        </is>
      </c>
      <c r="M669" s="7" t="inlineStr">
        <is>
          <t>When temperature drops, this water-resistant hoodie keeps up. Lightweight goose down helps keep you warm, while stretchy fabric panels let you move with ease.</t>
        </is>
      </c>
      <c r="N669" s="7" t="inlineStr">
        <is>
          <t>Down-For-It-All-Hoodie</t>
        </is>
      </c>
      <c r="O669" s="7" t="inlineStr">
        <is>
          <t>Athletic Jackets, Puffer Jackets</t>
        </is>
      </c>
    </row>
    <row r="670" ht="80" customHeight="1">
      <c r="A670" s="4">
        <f>IMAGE("https://images.lululemon.com/is/image/lululemon/LM4AMVS_0001_1?wid=320&amp;op_usm=0.8",1)</f>
        <v/>
      </c>
      <c r="B670" s="4" t="inlineStr">
        <is>
          <t>Down for It All Hoodie</t>
        </is>
      </c>
      <c r="C670" s="4" t="inlineStr">
        <is>
          <t>158096836</t>
        </is>
      </c>
      <c r="D670" s="4" t="inlineStr">
        <is>
          <t>158096836-indochineblue</t>
        </is>
      </c>
      <c r="E670" s="4" t="inlineStr">
        <is>
          <t>Down for It All Hoodie BLK S</t>
        </is>
      </c>
      <c r="F670" s="4" t="inlineStr">
        <is>
          <t>$228.00</t>
        </is>
      </c>
      <c r="G670" s="4" t="inlineStr">
        <is>
          <t>$114.00</t>
        </is>
      </c>
      <c r="H670" s="4" t="inlineStr">
        <is>
          <t>Indochine Blue</t>
        </is>
      </c>
      <c r="I670" s="4">
        <f>IMAGE("https://images.lululemon.com/is/image/lululemon/28022",1)</f>
        <v/>
      </c>
      <c r="J670" s="4" t="inlineStr">
        <is>
          <t>M</t>
        </is>
      </c>
      <c r="K670" s="4" t="inlineStr">
        <is>
          <t>10/221</t>
        </is>
      </c>
      <c r="L670" s="4" t="inlineStr">
        <is>
          <t>Yes</t>
        </is>
      </c>
      <c r="M670" s="4" t="inlineStr">
        <is>
          <t>When temperature drops, this water-resistant hoodie keeps up. Lightweight goose down helps keep you warm, while stretchy fabric panels let you move with ease.</t>
        </is>
      </c>
      <c r="N670" s="4" t="inlineStr">
        <is>
          <t>Down-For-It-All-Hoodie</t>
        </is>
      </c>
      <c r="O670" s="4" t="inlineStr">
        <is>
          <t>Athletic Jackets, Puffer Jackets</t>
        </is>
      </c>
    </row>
    <row r="671" ht="80" customHeight="1">
      <c r="A671" s="7">
        <f>IMAGE("https://images.lululemon.com/is/image/lululemon/LM4AMVS_0001_1?wid=320&amp;op_usm=0.8",1)</f>
        <v/>
      </c>
      <c r="B671" s="7" t="inlineStr">
        <is>
          <t>Down for It All Hoodie</t>
        </is>
      </c>
      <c r="C671" s="7" t="inlineStr">
        <is>
          <t>158096826</t>
        </is>
      </c>
      <c r="D671" s="7" t="inlineStr">
        <is>
          <t>158096826-indochineblue</t>
        </is>
      </c>
      <c r="E671" s="7" t="inlineStr">
        <is>
          <t>Down for It All Hoodie BLK S</t>
        </is>
      </c>
      <c r="F671" s="7" t="inlineStr">
        <is>
          <t>$228.00</t>
        </is>
      </c>
      <c r="G671" s="7" t="inlineStr">
        <is>
          <t>$114.00</t>
        </is>
      </c>
      <c r="H671" s="7" t="inlineStr">
        <is>
          <t>Indochine Blue</t>
        </is>
      </c>
      <c r="I671" s="7">
        <f>IMAGE("https://images.lululemon.com/is/image/lululemon/28022",1)</f>
        <v/>
      </c>
      <c r="J671" s="7" t="inlineStr">
        <is>
          <t>L</t>
        </is>
      </c>
      <c r="K671" s="7" t="inlineStr">
        <is>
          <t>25/221</t>
        </is>
      </c>
      <c r="L671" s="7" t="inlineStr">
        <is>
          <t>Yes</t>
        </is>
      </c>
      <c r="M671" s="7" t="inlineStr">
        <is>
          <t>When temperature drops, this water-resistant hoodie keeps up. Lightweight goose down helps keep you warm, while stretchy fabric panels let you move with ease.</t>
        </is>
      </c>
      <c r="N671" s="7" t="inlineStr">
        <is>
          <t>Down-For-It-All-Hoodie</t>
        </is>
      </c>
      <c r="O671" s="7" t="inlineStr">
        <is>
          <t>Athletic Jackets, Puffer Jackets</t>
        </is>
      </c>
    </row>
    <row r="672" ht="80" customHeight="1">
      <c r="A672" s="4">
        <f>IMAGE("https://images.lululemon.com/is/image/lululemon/LM4AMVS_0001_1?wid=320&amp;op_usm=0.8",1)</f>
        <v/>
      </c>
      <c r="B672" s="4" t="inlineStr">
        <is>
          <t>Down for It All Hoodie</t>
        </is>
      </c>
      <c r="C672" s="4" t="inlineStr">
        <is>
          <t>158096859</t>
        </is>
      </c>
      <c r="D672" s="4" t="inlineStr">
        <is>
          <t>158096859-indochineblue</t>
        </is>
      </c>
      <c r="E672" s="4" t="inlineStr">
        <is>
          <t>Down for It All Hoodie BLK S</t>
        </is>
      </c>
      <c r="F672" s="4" t="inlineStr">
        <is>
          <t>$228.00</t>
        </is>
      </c>
      <c r="G672" s="4" t="inlineStr">
        <is>
          <t>$114.00</t>
        </is>
      </c>
      <c r="H672" s="4" t="inlineStr">
        <is>
          <t>Indochine Blue</t>
        </is>
      </c>
      <c r="I672" s="4">
        <f>IMAGE("https://images.lululemon.com/is/image/lululemon/28022",1)</f>
        <v/>
      </c>
      <c r="J672" s="4" t="inlineStr">
        <is>
          <t>XL</t>
        </is>
      </c>
      <c r="K672" s="4" t="inlineStr">
        <is>
          <t>15/221</t>
        </is>
      </c>
      <c r="L672" s="4" t="inlineStr">
        <is>
          <t>Yes</t>
        </is>
      </c>
      <c r="M672" s="4" t="inlineStr">
        <is>
          <t>When temperature drops, this water-resistant hoodie keeps up. Lightweight goose down helps keep you warm, while stretchy fabric panels let you move with ease.</t>
        </is>
      </c>
      <c r="N672" s="4" t="inlineStr">
        <is>
          <t>Down-For-It-All-Hoodie</t>
        </is>
      </c>
      <c r="O672" s="4" t="inlineStr">
        <is>
          <t>Athletic Jackets, Puffer Jackets</t>
        </is>
      </c>
    </row>
    <row r="673" ht="80" customHeight="1">
      <c r="A673" s="5">
        <f>IMAGE("https://images.lululemon.com/is/image/lululemon/LM4AMVS_0001_1?wid=320&amp;op_usm=0.8",1)</f>
        <v/>
      </c>
      <c r="B673" s="5" t="inlineStr">
        <is>
          <t>Down for It All Hoodie</t>
        </is>
      </c>
      <c r="C673" s="5" t="inlineStr">
        <is>
          <t>158096882</t>
        </is>
      </c>
      <c r="D673" s="5" t="inlineStr">
        <is>
          <t>158096882-indochineblue</t>
        </is>
      </c>
      <c r="E673" s="5" t="inlineStr">
        <is>
          <t>Down for It All Hoodie BLK S</t>
        </is>
      </c>
      <c r="F673" s="5" t="inlineStr">
        <is>
          <t>$228.00</t>
        </is>
      </c>
      <c r="G673" s="5" t="inlineStr">
        <is>
          <t>$114.00</t>
        </is>
      </c>
      <c r="H673" s="5" t="inlineStr">
        <is>
          <t>Indochine Blue</t>
        </is>
      </c>
      <c r="I673" s="5">
        <f>IMAGE("https://images.lululemon.com/is/image/lululemon/28022",1)</f>
        <v/>
      </c>
      <c r="J673" s="5" t="inlineStr">
        <is>
          <t>XXL</t>
        </is>
      </c>
      <c r="K673" s="5" t="inlineStr">
        <is>
          <t>10/221</t>
        </is>
      </c>
      <c r="L673" s="5" t="inlineStr">
        <is>
          <t>Yes</t>
        </is>
      </c>
      <c r="M673" s="5" t="inlineStr">
        <is>
          <t>When temperature drops, this water-resistant hoodie keeps up. Lightweight goose down helps keep you warm, while stretchy fabric panels let you move with ease.</t>
        </is>
      </c>
      <c r="N673" s="5" t="inlineStr">
        <is>
          <t>Down-For-It-All-Hoodie</t>
        </is>
      </c>
      <c r="O673" s="5" t="inlineStr">
        <is>
          <t>Athletic Jackets, Puffer Jackets</t>
        </is>
      </c>
    </row>
    <row r="674" ht="80" customHeight="1">
      <c r="A674" s="4">
        <f>IMAGE("https://images.lululemon.com/is/image/lululemon/LU9CGNS_0001_1?wid=320&amp;op_usm=0.8",1)</f>
        <v/>
      </c>
      <c r="B674" s="4" t="inlineStr">
        <is>
          <t>Fast and Free Fleece Running Beanie</t>
        </is>
      </c>
      <c r="C674" s="4" t="inlineStr">
        <is>
          <t>154832028</t>
        </is>
      </c>
      <c r="D674" s="4" t="inlineStr">
        <is>
          <t>154832028-black</t>
        </is>
      </c>
      <c r="E674" s="4" t="inlineStr">
        <is>
          <t>Fast and Free Fleece Run Beanie BLK S/M</t>
        </is>
      </c>
      <c r="F674" s="4" t="inlineStr">
        <is>
          <t>$48.00</t>
        </is>
      </c>
      <c r="G674" s="4" t="inlineStr">
        <is>
          <t>$24.00</t>
        </is>
      </c>
      <c r="H674" s="4" t="inlineStr">
        <is>
          <t>Black</t>
        </is>
      </c>
      <c r="I674" s="4">
        <f>IMAGE("https://images.lululemon.com/is/image/lululemon/0001",1)</f>
        <v/>
      </c>
      <c r="J674" s="4" t="inlineStr">
        <is>
          <t>S/M</t>
        </is>
      </c>
      <c r="K674" s="4" t="inlineStr">
        <is>
          <t>224/303</t>
        </is>
      </c>
      <c r="L674" s="4" t="inlineStr">
        <is>
          <t>Yes</t>
        </is>
      </c>
      <c r="M674" s="4" t="inlineStr">
        <is>
          <t>Gone in a flash. This warm, double-layered beanie has reflective details to help keep you on the radar during cold-weather runs.</t>
        </is>
      </c>
      <c r="N674" s="4" t="inlineStr">
        <is>
          <t>Fast-and-Free-Fleece-Run-Beanie</t>
        </is>
      </c>
      <c r="O674" s="4" t="inlineStr">
        <is>
          <t>Beanies</t>
        </is>
      </c>
    </row>
    <row r="675" ht="80" customHeight="1">
      <c r="A675" s="5">
        <f>IMAGE("https://images.lululemon.com/is/image/lululemon/LU9CGNS_0001_1?wid=320&amp;op_usm=0.8",1)</f>
        <v/>
      </c>
      <c r="B675" s="5" t="inlineStr">
        <is>
          <t>Fast and Free Fleece Running Beanie</t>
        </is>
      </c>
      <c r="C675" s="5" t="inlineStr">
        <is>
          <t>154832013</t>
        </is>
      </c>
      <c r="D675" s="5" t="inlineStr">
        <is>
          <t>154832013-black</t>
        </is>
      </c>
      <c r="E675" s="5" t="inlineStr">
        <is>
          <t>Fast and Free Fleece Run Beanie BLK S/M</t>
        </is>
      </c>
      <c r="F675" s="5" t="inlineStr">
        <is>
          <t>$48.00</t>
        </is>
      </c>
      <c r="G675" s="5" t="inlineStr">
        <is>
          <t>$24.00</t>
        </is>
      </c>
      <c r="H675" s="5" t="inlineStr">
        <is>
          <t>Black</t>
        </is>
      </c>
      <c r="I675" s="5">
        <f>IMAGE("https://images.lululemon.com/is/image/lululemon/0001",1)</f>
        <v/>
      </c>
      <c r="J675" s="5" t="inlineStr">
        <is>
          <t>L/XL</t>
        </is>
      </c>
      <c r="K675" s="5" t="inlineStr">
        <is>
          <t>79/303</t>
        </is>
      </c>
      <c r="L675" s="5" t="inlineStr">
        <is>
          <t>Yes</t>
        </is>
      </c>
      <c r="M675" s="5" t="inlineStr">
        <is>
          <t>Gone in a flash. This warm, double-layered beanie has reflective details to help keep you on the radar during cold-weather runs.</t>
        </is>
      </c>
      <c r="N675" s="5" t="inlineStr">
        <is>
          <t>Fast-and-Free-Fleece-Run-Beanie</t>
        </is>
      </c>
      <c r="O675" s="5" t="inlineStr">
        <is>
          <t>Beanies</t>
        </is>
      </c>
    </row>
    <row r="676" ht="80" customHeight="1">
      <c r="A676" s="4">
        <f>IMAGE("https://images.lululemon.com/is/image/lululemon/LM3EXOS_063781_1?wid=320&amp;op_usm=0.8",1)</f>
        <v/>
      </c>
      <c r="B676" s="4" t="inlineStr">
        <is>
          <t>Soft Jersey Pullover Hoodie</t>
        </is>
      </c>
      <c r="C676" s="4" t="inlineStr">
        <is>
          <t>151500199</t>
        </is>
      </c>
      <c r="D676" s="4" t="inlineStr">
        <is>
          <t>151500199-heatheredvapor/heatheredsilverdrop</t>
        </is>
      </c>
      <c r="E676" s="4" t="inlineStr">
        <is>
          <t>Soft Jersey Pullover Hoodie HVPR/HSVD S</t>
        </is>
      </c>
      <c r="F676" s="4" t="inlineStr">
        <is>
          <t>$98.00</t>
        </is>
      </c>
      <c r="G676" s="4" t="inlineStr">
        <is>
          <t>$49.00</t>
        </is>
      </c>
      <c r="H676" s="4" t="inlineStr">
        <is>
          <t>Heathered Vapor/Heathered Silver Drop</t>
        </is>
      </c>
      <c r="I676" s="4">
        <f>IMAGE("https://images.lululemon.com/is/image/lululemon/63781",1)</f>
        <v/>
      </c>
      <c r="J676" s="4" t="inlineStr">
        <is>
          <t>S</t>
        </is>
      </c>
      <c r="K676" s="4" t="inlineStr">
        <is>
          <t>18/95</t>
        </is>
      </c>
      <c r="L676" s="4" t="inlineStr">
        <is>
          <t>Yes</t>
        </is>
      </c>
      <c r="M676" s="4" t="inlineStr">
        <is>
          <t>Rest and reset. This lightweight jersey hoodie has a softly brushed interior that makes downtime irresistible.</t>
        </is>
      </c>
      <c r="N676" s="4" t="inlineStr">
        <is>
          <t>Soft-Jersey-Pullover-Hoodie</t>
        </is>
      </c>
      <c r="O676" s="4" t="inlineStr">
        <is>
          <t>Hoodies</t>
        </is>
      </c>
    </row>
    <row r="677" ht="80" customHeight="1">
      <c r="A677" s="7">
        <f>IMAGE("https://images.lululemon.com/is/image/lululemon/LM3EXOS_063781_1?wid=320&amp;op_usm=0.8",1)</f>
        <v/>
      </c>
      <c r="B677" s="7" t="inlineStr">
        <is>
          <t>Soft Jersey Pullover Hoodie</t>
        </is>
      </c>
      <c r="C677" s="7" t="inlineStr">
        <is>
          <t>151500198</t>
        </is>
      </c>
      <c r="D677" s="7" t="inlineStr">
        <is>
          <t>151500198-heatheredvapor/heatheredsilverdrop</t>
        </is>
      </c>
      <c r="E677" s="7" t="inlineStr">
        <is>
          <t>Soft Jersey Pullover Hoodie HVPR/HSVD S</t>
        </is>
      </c>
      <c r="F677" s="7" t="inlineStr">
        <is>
          <t>$98.00</t>
        </is>
      </c>
      <c r="G677" s="7" t="inlineStr">
        <is>
          <t>$49.00</t>
        </is>
      </c>
      <c r="H677" s="7" t="inlineStr">
        <is>
          <t>Heathered Vapor/Heathered Silver Drop</t>
        </is>
      </c>
      <c r="I677" s="7">
        <f>IMAGE("https://images.lululemon.com/is/image/lululemon/63781",1)</f>
        <v/>
      </c>
      <c r="J677" s="7" t="inlineStr">
        <is>
          <t>M</t>
        </is>
      </c>
      <c r="K677" s="7" t="inlineStr">
        <is>
          <t>26/95</t>
        </is>
      </c>
      <c r="L677" s="7" t="inlineStr">
        <is>
          <t>Yes</t>
        </is>
      </c>
      <c r="M677" s="7" t="inlineStr">
        <is>
          <t>Rest and reset. This lightweight jersey hoodie has a softly brushed interior that makes downtime irresistible.</t>
        </is>
      </c>
      <c r="N677" s="7" t="inlineStr">
        <is>
          <t>Soft-Jersey-Pullover-Hoodie</t>
        </is>
      </c>
      <c r="O677" s="7" t="inlineStr">
        <is>
          <t>Hoodies</t>
        </is>
      </c>
    </row>
    <row r="678" ht="80" customHeight="1">
      <c r="A678" s="4">
        <f>IMAGE("https://images.lululemon.com/is/image/lululemon/LM3EXOS_063781_1?wid=320&amp;op_usm=0.8",1)</f>
        <v/>
      </c>
      <c r="B678" s="4" t="inlineStr">
        <is>
          <t>Soft Jersey Pullover Hoodie</t>
        </is>
      </c>
      <c r="C678" s="4" t="inlineStr">
        <is>
          <t>151500197</t>
        </is>
      </c>
      <c r="D678" s="4" t="inlineStr">
        <is>
          <t>151500197-heatheredvapor/heatheredsilverdrop</t>
        </is>
      </c>
      <c r="E678" s="4" t="inlineStr">
        <is>
          <t>Soft Jersey Pullover Hoodie HVPR/HSVD S</t>
        </is>
      </c>
      <c r="F678" s="4" t="inlineStr">
        <is>
          <t>$98.00</t>
        </is>
      </c>
      <c r="G678" s="4" t="inlineStr">
        <is>
          <t>$49.00</t>
        </is>
      </c>
      <c r="H678" s="4" t="inlineStr">
        <is>
          <t>Heathered Vapor/Heathered Silver Drop</t>
        </is>
      </c>
      <c r="I678" s="4">
        <f>IMAGE("https://images.lululemon.com/is/image/lululemon/63781",1)</f>
        <v/>
      </c>
      <c r="J678" s="4" t="inlineStr">
        <is>
          <t>L</t>
        </is>
      </c>
      <c r="K678" s="4" t="inlineStr">
        <is>
          <t>3/95</t>
        </is>
      </c>
      <c r="L678" s="4" t="inlineStr">
        <is>
          <t>Yes</t>
        </is>
      </c>
      <c r="M678" s="4" t="inlineStr">
        <is>
          <t>Rest and reset. This lightweight jersey hoodie has a softly brushed interior that makes downtime irresistible.</t>
        </is>
      </c>
      <c r="N678" s="4" t="inlineStr">
        <is>
          <t>Soft-Jersey-Pullover-Hoodie</t>
        </is>
      </c>
      <c r="O678" s="4" t="inlineStr">
        <is>
          <t>Hoodies</t>
        </is>
      </c>
    </row>
    <row r="679" ht="80" customHeight="1">
      <c r="A679" s="7">
        <f>IMAGE("https://images.lululemon.com/is/image/lululemon/LM3EXOS_063781_1?wid=320&amp;op_usm=0.8",1)</f>
        <v/>
      </c>
      <c r="B679" s="7" t="inlineStr">
        <is>
          <t>Soft Jersey Pullover Hoodie</t>
        </is>
      </c>
      <c r="C679" s="7" t="inlineStr">
        <is>
          <t>151500200</t>
        </is>
      </c>
      <c r="D679" s="7" t="inlineStr">
        <is>
          <t>151500200-heatheredvapor/heatheredsilverdrop</t>
        </is>
      </c>
      <c r="E679" s="7" t="inlineStr">
        <is>
          <t>Soft Jersey Pullover Hoodie HVPR/HSVD S</t>
        </is>
      </c>
      <c r="F679" s="7" t="inlineStr">
        <is>
          <t>$98.00</t>
        </is>
      </c>
      <c r="G679" s="7" t="inlineStr">
        <is>
          <t>$49.00</t>
        </is>
      </c>
      <c r="H679" s="7" t="inlineStr">
        <is>
          <t>Heathered Vapor/Heathered Silver Drop</t>
        </is>
      </c>
      <c r="I679" s="7">
        <f>IMAGE("https://images.lululemon.com/is/image/lululemon/63781",1)</f>
        <v/>
      </c>
      <c r="J679" s="7" t="inlineStr">
        <is>
          <t>XL</t>
        </is>
      </c>
      <c r="K679" s="7" t="inlineStr">
        <is>
          <t>25/95</t>
        </is>
      </c>
      <c r="L679" s="7" t="inlineStr">
        <is>
          <t>Yes</t>
        </is>
      </c>
      <c r="M679" s="7" t="inlineStr">
        <is>
          <t>Rest and reset. This lightweight jersey hoodie has a softly brushed interior that makes downtime irresistible.</t>
        </is>
      </c>
      <c r="N679" s="7" t="inlineStr">
        <is>
          <t>Soft-Jersey-Pullover-Hoodie</t>
        </is>
      </c>
      <c r="O679" s="7" t="inlineStr">
        <is>
          <t>Hoodies</t>
        </is>
      </c>
    </row>
    <row r="680" ht="80" customHeight="1">
      <c r="A680" s="6">
        <f>IMAGE("https://images.lululemon.com/is/image/lululemon/LM3EXOS_063781_1?wid=320&amp;op_usm=0.8",1)</f>
        <v/>
      </c>
      <c r="B680" s="6" t="inlineStr">
        <is>
          <t>Soft Jersey Pullover Hoodie</t>
        </is>
      </c>
      <c r="C680" s="6" t="inlineStr">
        <is>
          <t>151500203</t>
        </is>
      </c>
      <c r="D680" s="6" t="inlineStr">
        <is>
          <t>151500203-heatheredvapor/heatheredsilverdrop</t>
        </is>
      </c>
      <c r="E680" s="6" t="inlineStr">
        <is>
          <t>Soft Jersey Pullover Hoodie HVPR/HSVD S</t>
        </is>
      </c>
      <c r="F680" s="6" t="inlineStr">
        <is>
          <t>$98.00</t>
        </is>
      </c>
      <c r="G680" s="6" t="inlineStr">
        <is>
          <t>$49.00</t>
        </is>
      </c>
      <c r="H680" s="6" t="inlineStr">
        <is>
          <t>Heathered Vapor/Heathered Silver Drop</t>
        </is>
      </c>
      <c r="I680" s="6">
        <f>IMAGE("https://images.lululemon.com/is/image/lululemon/63781",1)</f>
        <v/>
      </c>
      <c r="J680" s="6" t="inlineStr">
        <is>
          <t>XXL</t>
        </is>
      </c>
      <c r="K680" s="6" t="inlineStr">
        <is>
          <t>23/95</t>
        </is>
      </c>
      <c r="L680" s="6" t="inlineStr">
        <is>
          <t>Yes</t>
        </is>
      </c>
      <c r="M680" s="6" t="inlineStr">
        <is>
          <t>Rest and reset. This lightweight jersey hoodie has a softly brushed interior that makes downtime irresistible.</t>
        </is>
      </c>
      <c r="N680" s="6" t="inlineStr">
        <is>
          <t>Soft-Jersey-Pullover-Hoodie</t>
        </is>
      </c>
      <c r="O680" s="6" t="inlineStr">
        <is>
          <t>Hoodies</t>
        </is>
      </c>
    </row>
    <row r="681" ht="80" customHeight="1">
      <c r="A681" s="7">
        <f>IMAGE("https://images.lululemon.com/is/image/lululemon/LU9BSDS_073013_1?wid=320&amp;op_usm=0.8",1)</f>
        <v/>
      </c>
      <c r="B681" s="7" t="inlineStr">
        <is>
          <t>Daily Multi-Pocket Tote Bag 20L</t>
        </is>
      </c>
      <c r="C681" s="7" t="inlineStr">
        <is>
          <t>158020348</t>
        </is>
      </c>
      <c r="D681" s="7" t="inlineStr">
        <is>
          <t>158020348-tearose/redclay</t>
        </is>
      </c>
      <c r="E681" s="7" t="inlineStr">
        <is>
          <t>Daily Multi-Pocket Tote TROS/REDC ONE SIZE</t>
        </is>
      </c>
      <c r="F681" s="7" t="inlineStr">
        <is>
          <t>$68.00</t>
        </is>
      </c>
      <c r="G681" s="7" t="inlineStr">
        <is>
          <t>$34.00</t>
        </is>
      </c>
      <c r="H681" s="7" t="inlineStr">
        <is>
          <t>Tea Rose/Red Clay</t>
        </is>
      </c>
      <c r="I681" s="7">
        <f>IMAGE("https://images.lululemon.com/is/image/lululemon/73013",1)</f>
        <v/>
      </c>
      <c r="J681" s="7" t="inlineStr">
        <is>
          <t>O/S</t>
        </is>
      </c>
      <c r="K681" s="7" t="inlineStr">
        <is>
          <t>532/1114</t>
        </is>
      </c>
      <c r="L681" s="7" t="inlineStr">
        <is>
          <t>Yes</t>
        </is>
      </c>
      <c r="M681" s="7" t="inlineStr">
        <is>
          <t>From farmers-market scores to picnic essentials, this roomy tote handles it all. Bonus: it stands up on its own to make finding your things a breeze.</t>
        </is>
      </c>
      <c r="N681" s="7" t="inlineStr">
        <is>
          <t>Daily-Multi-Pocket-Tote-Bag-20L</t>
        </is>
      </c>
      <c r="O681" s="7" t="inlineStr">
        <is>
          <t>Totes</t>
        </is>
      </c>
    </row>
    <row r="682" ht="80" customHeight="1">
      <c r="A682" s="4">
        <f>IMAGE("https://images.lululemon.com/is/image/lululemon/LU9BSDS_073013_1?wid=320&amp;op_usm=0.8",1)</f>
        <v/>
      </c>
      <c r="B682" s="4" t="inlineStr">
        <is>
          <t>Daily Multi-Pocket Tote Bag 20L</t>
        </is>
      </c>
      <c r="C682" s="4" t="inlineStr">
        <is>
          <t>158020401</t>
        </is>
      </c>
      <c r="D682" s="4" t="inlineStr">
        <is>
          <t>158020401-blackplum/jewelledmagenta</t>
        </is>
      </c>
      <c r="E682" s="4" t="inlineStr">
        <is>
          <t>Daily Multi-Pocket Tote TROS/REDC ONE SIZE</t>
        </is>
      </c>
      <c r="F682" s="4" t="inlineStr">
        <is>
          <t>$68.00</t>
        </is>
      </c>
      <c r="G682" s="4" t="inlineStr">
        <is>
          <t>$34.00</t>
        </is>
      </c>
      <c r="H682" s="4" t="inlineStr">
        <is>
          <t>Black Plum/Jewelled Magenta</t>
        </is>
      </c>
      <c r="I682" s="4">
        <f>IMAGE("https://images.lululemon.com/is/image/lululemon/73852",1)</f>
        <v/>
      </c>
      <c r="J682" s="4" t="inlineStr">
        <is>
          <t>O/S</t>
        </is>
      </c>
      <c r="K682" s="4" t="inlineStr">
        <is>
          <t>379/1114</t>
        </is>
      </c>
      <c r="L682" s="4" t="inlineStr">
        <is>
          <t>Yes</t>
        </is>
      </c>
      <c r="M682" s="4" t="inlineStr">
        <is>
          <t>From farmers-market scores to picnic essentials, this roomy tote handles it all. Bonus: it stands up on its own to make finding your things a breeze.</t>
        </is>
      </c>
      <c r="N682" s="4" t="inlineStr">
        <is>
          <t>Daily-Multi-Pocket-Tote-Bag-20L</t>
        </is>
      </c>
      <c r="O682" s="4" t="inlineStr">
        <is>
          <t>Totes</t>
        </is>
      </c>
    </row>
    <row r="683" ht="80" customHeight="1">
      <c r="A683" s="5">
        <f>IMAGE("https://images.lululemon.com/is/image/lululemon/LU9BSDS_073013_1?wid=320&amp;op_usm=0.8",1)</f>
        <v/>
      </c>
      <c r="B683" s="5" t="inlineStr">
        <is>
          <t>Daily Multi-Pocket Tote Bag 20L</t>
        </is>
      </c>
      <c r="C683" s="5" t="inlineStr">
        <is>
          <t>156478748</t>
        </is>
      </c>
      <c r="D683" s="5" t="inlineStr">
        <is>
          <t>156478748-lavenderfrost/galacticcobalt</t>
        </is>
      </c>
      <c r="E683" s="5" t="inlineStr">
        <is>
          <t>Daily Multi-Pocket Tote TROS/REDC ONE SIZE</t>
        </is>
      </c>
      <c r="F683" s="5" t="inlineStr">
        <is>
          <t>$68.00</t>
        </is>
      </c>
      <c r="G683" s="5" t="inlineStr">
        <is>
          <t>$34.00</t>
        </is>
      </c>
      <c r="H683" s="5" t="inlineStr">
        <is>
          <t>Lavender Frost/Galactic Cobalt</t>
        </is>
      </c>
      <c r="I683" s="5">
        <f>IMAGE("https://images.lululemon.com/is/image/lululemon/70401",1)</f>
        <v/>
      </c>
      <c r="J683" s="5" t="inlineStr">
        <is>
          <t>O/S</t>
        </is>
      </c>
      <c r="K683" s="5" t="inlineStr">
        <is>
          <t>203/1114</t>
        </is>
      </c>
      <c r="L683" s="5" t="inlineStr">
        <is>
          <t>Yes</t>
        </is>
      </c>
      <c r="M683" s="5" t="inlineStr">
        <is>
          <t>From farmers-market scores to picnic essentials, this roomy tote handles it all. Bonus: it stands up on its own to make finding your things a breeze.</t>
        </is>
      </c>
      <c r="N683" s="5" t="inlineStr">
        <is>
          <t>Daily-Multi-Pocket-Tote-Bag-20L</t>
        </is>
      </c>
      <c r="O683" s="5" t="inlineStr">
        <is>
          <t>Totes</t>
        </is>
      </c>
    </row>
    <row r="684" ht="80" customHeight="1">
      <c r="A684" s="4">
        <f>IMAGE("https://images.lululemon.com/is/image/lululemon/LM9A09S_0001_1?wid=320&amp;op_usm=0.8",1)</f>
        <v/>
      </c>
      <c r="B684" s="4" t="inlineStr">
        <is>
          <t>License to Train Training Gloves</t>
        </is>
      </c>
      <c r="C684" s="4" t="inlineStr">
        <is>
          <t>115650043</t>
        </is>
      </c>
      <c r="D684" s="4" t="inlineStr">
        <is>
          <t>115650043-black</t>
        </is>
      </c>
      <c r="E684" s="4" t="inlineStr">
        <is>
          <t>License to Train Gloves BLK S/M</t>
        </is>
      </c>
      <c r="F684" s="4" t="inlineStr">
        <is>
          <t>$44.00</t>
        </is>
      </c>
      <c r="G684" s="4" t="inlineStr">
        <is>
          <t>$22.00</t>
        </is>
      </c>
      <c r="H684" s="4" t="inlineStr">
        <is>
          <t>Black</t>
        </is>
      </c>
      <c r="I684" s="4">
        <f>IMAGE("https://images.lululemon.com/is/image/lululemon/0001",1)</f>
        <v/>
      </c>
      <c r="J684" s="4" t="inlineStr">
        <is>
          <t>S/M</t>
        </is>
      </c>
      <c r="K684" s="4" t="inlineStr">
        <is>
          <t>21/34</t>
        </is>
      </c>
      <c r="L684" s="4" t="inlineStr">
        <is>
          <t>Yes</t>
        </is>
      </c>
      <c r="M684" s="4" t="inlineStr">
        <is>
          <t>From deadlifts to pull-ups, these ventilated gloves help protect your hands while you train.</t>
        </is>
      </c>
      <c r="N684" s="4" t="inlineStr">
        <is>
          <t>License-to-Train-Training-Glove</t>
        </is>
      </c>
      <c r="O684" s="4" t="inlineStr"/>
    </row>
    <row r="685" ht="80" customHeight="1">
      <c r="A685" s="5">
        <f>IMAGE("https://images.lululemon.com/is/image/lululemon/LM9A09S_0001_1?wid=320&amp;op_usm=0.8",1)</f>
        <v/>
      </c>
      <c r="B685" s="5" t="inlineStr">
        <is>
          <t>License to Train Training Gloves</t>
        </is>
      </c>
      <c r="C685" s="5" t="inlineStr">
        <is>
          <t>115650042</t>
        </is>
      </c>
      <c r="D685" s="5" t="inlineStr">
        <is>
          <t>115650042-black</t>
        </is>
      </c>
      <c r="E685" s="5" t="inlineStr">
        <is>
          <t>License to Train Gloves BLK S/M</t>
        </is>
      </c>
      <c r="F685" s="5" t="inlineStr">
        <is>
          <t>$44.00</t>
        </is>
      </c>
      <c r="G685" s="5" t="inlineStr">
        <is>
          <t>$22.00</t>
        </is>
      </c>
      <c r="H685" s="5" t="inlineStr">
        <is>
          <t>Black</t>
        </is>
      </c>
      <c r="I685" s="5">
        <f>IMAGE("https://images.lululemon.com/is/image/lululemon/0001",1)</f>
        <v/>
      </c>
      <c r="J685" s="5" t="inlineStr">
        <is>
          <t>L/XL</t>
        </is>
      </c>
      <c r="K685" s="5" t="inlineStr">
        <is>
          <t>13/34</t>
        </is>
      </c>
      <c r="L685" s="5" t="inlineStr">
        <is>
          <t>Yes</t>
        </is>
      </c>
      <c r="M685" s="5" t="inlineStr">
        <is>
          <t>From deadlifts to pull-ups, these ventilated gloves help protect your hands while you train.</t>
        </is>
      </c>
      <c r="N685" s="5" t="inlineStr">
        <is>
          <t>License-to-Train-Training-Glove</t>
        </is>
      </c>
      <c r="O685" s="5" t="inlineStr"/>
    </row>
    <row r="686" ht="80" customHeight="1">
      <c r="A686" s="4">
        <f>IMAGE("https://images.lululemon.com/is/image/lululemon/LU9CVWS_073767_1?wid=320&amp;op_usm=0.8",1)</f>
        <v/>
      </c>
      <c r="B686" s="4" t="inlineStr">
        <is>
          <t>Insulated Tumbler 40oz *Shine</t>
        </is>
      </c>
      <c r="C686" s="4" t="inlineStr">
        <is>
          <t>157718224</t>
        </is>
      </c>
      <c r="D686" s="4" t="inlineStr">
        <is>
          <t>157718224-darkrosegold/silver</t>
        </is>
      </c>
      <c r="E686" s="4" t="inlineStr">
        <is>
          <t>Insulated Tumbler 40oz DRGL/SLVR ONE SIZE</t>
        </is>
      </c>
      <c r="F686" s="4" t="inlineStr">
        <is>
          <t>$58.00</t>
        </is>
      </c>
      <c r="G686" s="4" t="inlineStr">
        <is>
          <t>$29.00</t>
        </is>
      </c>
      <c r="H686" s="4" t="inlineStr">
        <is>
          <t>Dark Rose Gold/Silver</t>
        </is>
      </c>
      <c r="I686" s="4">
        <f>IMAGE("https://images.lululemon.com/is/image/lululemon/73767",1)</f>
        <v/>
      </c>
      <c r="J686" s="4" t="inlineStr">
        <is>
          <t>O/S</t>
        </is>
      </c>
      <c r="K686" s="4" t="inlineStr">
        <is>
          <t>68/487</t>
        </is>
      </c>
      <c r="L686" s="4" t="inlineStr">
        <is>
          <t>Yes</t>
        </is>
      </c>
      <c r="M686" s="4" t="inlineStr">
        <is>
          <t>Your new hydration bestie. This easy-carry tumbler gives you options: take icy cold sips from the stainless steel straw or swig from the secure lid flap.</t>
        </is>
      </c>
      <c r="N686" s="4" t="inlineStr">
        <is>
          <t>Insulated-Tumbler-40oz-Shine</t>
        </is>
      </c>
      <c r="O686" s="4" t="inlineStr">
        <is>
          <t>Tumblers and Travel Mugs</t>
        </is>
      </c>
    </row>
    <row r="687" ht="80" customHeight="1">
      <c r="A687" s="5">
        <f>IMAGE("https://images.lululemon.com/is/image/lululemon/LU9CVWS_073767_1?wid=320&amp;op_usm=0.8",1)</f>
        <v/>
      </c>
      <c r="B687" s="5" t="inlineStr">
        <is>
          <t>Insulated Tumbler 40oz *Shine</t>
        </is>
      </c>
      <c r="C687" s="5" t="inlineStr">
        <is>
          <t>157718218</t>
        </is>
      </c>
      <c r="D687" s="5" t="inlineStr">
        <is>
          <t>157718218-gunmetal/silver/black</t>
        </is>
      </c>
      <c r="E687" s="5" t="inlineStr">
        <is>
          <t>Insulated Tumbler 40oz DRGL/SLVR ONE SIZE</t>
        </is>
      </c>
      <c r="F687" s="5" t="inlineStr">
        <is>
          <t>$58.00</t>
        </is>
      </c>
      <c r="G687" s="5" t="inlineStr">
        <is>
          <t>$29.00</t>
        </is>
      </c>
      <c r="H687" s="5" t="inlineStr">
        <is>
          <t>Gunmetal/Silver/Black</t>
        </is>
      </c>
      <c r="I687" s="5">
        <f>IMAGE("https://images.lululemon.com/is/image/lululemon/73740",1)</f>
        <v/>
      </c>
      <c r="J687" s="5" t="inlineStr">
        <is>
          <t>O/S</t>
        </is>
      </c>
      <c r="K687" s="5" t="inlineStr">
        <is>
          <t>419/487</t>
        </is>
      </c>
      <c r="L687" s="5" t="inlineStr">
        <is>
          <t>Yes</t>
        </is>
      </c>
      <c r="M687" s="5" t="inlineStr">
        <is>
          <t>Your new hydration bestie. This easy-carry tumbler gives you options: take icy cold sips from the stainless steel straw or swig from the secure lid flap.</t>
        </is>
      </c>
      <c r="N687" s="5" t="inlineStr">
        <is>
          <t>Insulated-Tumbler-40oz-Shine</t>
        </is>
      </c>
      <c r="O687" s="5" t="inlineStr">
        <is>
          <t>Tumblers and Travel Mugs</t>
        </is>
      </c>
    </row>
    <row r="688" ht="80" customHeight="1">
      <c r="A688" s="4">
        <f>IMAGE("https://images.lululemon.com/is/image/lululemon/LM7BJ0S_0001_1?wid=320&amp;op_usm=0.8",1)</f>
        <v/>
      </c>
      <c r="B688" s="4" t="inlineStr">
        <is>
          <t>Zeroed In Linerless Short 7"</t>
        </is>
      </c>
      <c r="C688" s="4" t="inlineStr">
        <is>
          <t>151651730</t>
        </is>
      </c>
      <c r="D688" s="4" t="inlineStr">
        <is>
          <t>151651730-black</t>
        </is>
      </c>
      <c r="E688" s="4" t="inlineStr">
        <is>
          <t>Zeroed In Short 7" *LL BLK S</t>
        </is>
      </c>
      <c r="F688" s="4" t="inlineStr">
        <is>
          <t>$68.00</t>
        </is>
      </c>
      <c r="G688" s="4" t="inlineStr">
        <is>
          <t>$34.00</t>
        </is>
      </c>
      <c r="H688" s="4" t="inlineStr">
        <is>
          <t>Black</t>
        </is>
      </c>
      <c r="I688" s="4">
        <f>IMAGE("https://images.lululemon.com/is/image/lululemon/0001",1)</f>
        <v/>
      </c>
      <c r="J688" s="4" t="inlineStr">
        <is>
          <t>S</t>
        </is>
      </c>
      <c r="K688" s="4" t="inlineStr">
        <is>
          <t>178/2360</t>
        </is>
      </c>
      <c r="L688" s="4" t="inlineStr">
        <is>
          <t>Yes</t>
        </is>
      </c>
      <c r="M688" s="4" t="inlineStr">
        <is>
          <t>Work out or hang out. These versatile shorts are designed to keep up with every way you like to move.</t>
        </is>
      </c>
      <c r="N688" s="4" t="inlineStr">
        <is>
          <t>Zeroed-In-Linerless-Short-7</t>
        </is>
      </c>
      <c r="O688" s="4" t="inlineStr">
        <is>
          <t>Athletic Shorts</t>
        </is>
      </c>
    </row>
    <row r="689" ht="80" customHeight="1">
      <c r="A689" s="7">
        <f>IMAGE("https://images.lululemon.com/is/image/lululemon/LM7BJ0S_0001_1?wid=320&amp;op_usm=0.8",1)</f>
        <v/>
      </c>
      <c r="B689" s="7" t="inlineStr">
        <is>
          <t>Zeroed In Linerless Short 7"</t>
        </is>
      </c>
      <c r="C689" s="7" t="inlineStr">
        <is>
          <t>151651728</t>
        </is>
      </c>
      <c r="D689" s="7" t="inlineStr">
        <is>
          <t>151651728-black</t>
        </is>
      </c>
      <c r="E689" s="7" t="inlineStr">
        <is>
          <t>Zeroed In Short 7" *LL BLK S</t>
        </is>
      </c>
      <c r="F689" s="7" t="inlineStr">
        <is>
          <t>$68.00</t>
        </is>
      </c>
      <c r="G689" s="7" t="inlineStr">
        <is>
          <t>$34.00</t>
        </is>
      </c>
      <c r="H689" s="7" t="inlineStr">
        <is>
          <t>Black</t>
        </is>
      </c>
      <c r="I689" s="7">
        <f>IMAGE("https://images.lululemon.com/is/image/lululemon/0001",1)</f>
        <v/>
      </c>
      <c r="J689" s="7" t="inlineStr">
        <is>
          <t>M</t>
        </is>
      </c>
      <c r="K689" s="7" t="inlineStr">
        <is>
          <t>746/2360</t>
        </is>
      </c>
      <c r="L689" s="7" t="inlineStr">
        <is>
          <t>Yes</t>
        </is>
      </c>
      <c r="M689" s="7" t="inlineStr">
        <is>
          <t>Work out or hang out. These versatile shorts are designed to keep up with every way you like to move.</t>
        </is>
      </c>
      <c r="N689" s="7" t="inlineStr">
        <is>
          <t>Zeroed-In-Linerless-Short-7</t>
        </is>
      </c>
      <c r="O689" s="7" t="inlineStr">
        <is>
          <t>Athletic Shorts</t>
        </is>
      </c>
    </row>
    <row r="690" ht="80" customHeight="1">
      <c r="A690" s="4">
        <f>IMAGE("https://images.lululemon.com/is/image/lululemon/LM7BJ0S_0001_1?wid=320&amp;op_usm=0.8",1)</f>
        <v/>
      </c>
      <c r="B690" s="4" t="inlineStr">
        <is>
          <t>Zeroed In Linerless Short 7"</t>
        </is>
      </c>
      <c r="C690" s="4" t="inlineStr">
        <is>
          <t>151651725</t>
        </is>
      </c>
      <c r="D690" s="4" t="inlineStr">
        <is>
          <t>151651725-black</t>
        </is>
      </c>
      <c r="E690" s="4" t="inlineStr">
        <is>
          <t>Zeroed In Short 7" *LL BLK S</t>
        </is>
      </c>
      <c r="F690" s="4" t="inlineStr">
        <is>
          <t>$68.00</t>
        </is>
      </c>
      <c r="G690" s="4" t="inlineStr">
        <is>
          <t>$34.00</t>
        </is>
      </c>
      <c r="H690" s="4" t="inlineStr">
        <is>
          <t>Black</t>
        </is>
      </c>
      <c r="I690" s="4">
        <f>IMAGE("https://images.lululemon.com/is/image/lululemon/0001",1)</f>
        <v/>
      </c>
      <c r="J690" s="4" t="inlineStr">
        <is>
          <t>L</t>
        </is>
      </c>
      <c r="K690" s="4" t="inlineStr">
        <is>
          <t>619/2360</t>
        </is>
      </c>
      <c r="L690" s="4" t="inlineStr">
        <is>
          <t>Yes</t>
        </is>
      </c>
      <c r="M690" s="4" t="inlineStr">
        <is>
          <t>Work out or hang out. These versatile shorts are designed to keep up with every way you like to move.</t>
        </is>
      </c>
      <c r="N690" s="4" t="inlineStr">
        <is>
          <t>Zeroed-In-Linerless-Short-7</t>
        </is>
      </c>
      <c r="O690" s="4" t="inlineStr">
        <is>
          <t>Athletic Shorts</t>
        </is>
      </c>
    </row>
    <row r="691" ht="80" customHeight="1">
      <c r="A691" s="7">
        <f>IMAGE("https://images.lululemon.com/is/image/lululemon/LM7BJ0S_0001_1?wid=320&amp;op_usm=0.8",1)</f>
        <v/>
      </c>
      <c r="B691" s="7" t="inlineStr">
        <is>
          <t>Zeroed In Linerless Short 7"</t>
        </is>
      </c>
      <c r="C691" s="7" t="inlineStr">
        <is>
          <t>151651734</t>
        </is>
      </c>
      <c r="D691" s="7" t="inlineStr">
        <is>
          <t>151651734-black</t>
        </is>
      </c>
      <c r="E691" s="7" t="inlineStr">
        <is>
          <t>Zeroed In Short 7" *LL BLK S</t>
        </is>
      </c>
      <c r="F691" s="7" t="inlineStr">
        <is>
          <t>$68.00</t>
        </is>
      </c>
      <c r="G691" s="7" t="inlineStr">
        <is>
          <t>$34.00</t>
        </is>
      </c>
      <c r="H691" s="7" t="inlineStr">
        <is>
          <t>Black</t>
        </is>
      </c>
      <c r="I691" s="7">
        <f>IMAGE("https://images.lululemon.com/is/image/lululemon/0001",1)</f>
        <v/>
      </c>
      <c r="J691" s="7" t="inlineStr">
        <is>
          <t>XL</t>
        </is>
      </c>
      <c r="K691" s="7" t="inlineStr">
        <is>
          <t>270/2360</t>
        </is>
      </c>
      <c r="L691" s="7" t="inlineStr">
        <is>
          <t>Yes</t>
        </is>
      </c>
      <c r="M691" s="7" t="inlineStr">
        <is>
          <t>Work out or hang out. These versatile shorts are designed to keep up with every way you like to move.</t>
        </is>
      </c>
      <c r="N691" s="7" t="inlineStr">
        <is>
          <t>Zeroed-In-Linerless-Short-7</t>
        </is>
      </c>
      <c r="O691" s="7" t="inlineStr">
        <is>
          <t>Athletic Shorts</t>
        </is>
      </c>
    </row>
    <row r="692" ht="80" customHeight="1">
      <c r="A692" s="4">
        <f>IMAGE("https://images.lululemon.com/is/image/lululemon/LM7BJ0S_0001_1?wid=320&amp;op_usm=0.8",1)</f>
        <v/>
      </c>
      <c r="B692" s="4" t="inlineStr">
        <is>
          <t>Zeroed In Linerless Short 7"</t>
        </is>
      </c>
      <c r="C692" s="4" t="inlineStr">
        <is>
          <t>151651739</t>
        </is>
      </c>
      <c r="D692" s="4" t="inlineStr">
        <is>
          <t>151651739-black</t>
        </is>
      </c>
      <c r="E692" s="4" t="inlineStr">
        <is>
          <t>Zeroed In Short 7" *LL BLK S</t>
        </is>
      </c>
      <c r="F692" s="4" t="inlineStr">
        <is>
          <t>$68.00</t>
        </is>
      </c>
      <c r="G692" s="4" t="inlineStr">
        <is>
          <t>$34.00</t>
        </is>
      </c>
      <c r="H692" s="4" t="inlineStr">
        <is>
          <t>Black</t>
        </is>
      </c>
      <c r="I692" s="4">
        <f>IMAGE("https://images.lululemon.com/is/image/lululemon/0001",1)</f>
        <v/>
      </c>
      <c r="J692" s="4" t="inlineStr">
        <is>
          <t>XXL</t>
        </is>
      </c>
      <c r="K692" s="4" t="inlineStr">
        <is>
          <t>46/2360</t>
        </is>
      </c>
      <c r="L692" s="4" t="inlineStr">
        <is>
          <t>Yes</t>
        </is>
      </c>
      <c r="M692" s="4" t="inlineStr">
        <is>
          <t>Work out or hang out. These versatile shorts are designed to keep up with every way you like to move.</t>
        </is>
      </c>
      <c r="N692" s="4" t="inlineStr">
        <is>
          <t>Zeroed-In-Linerless-Short-7</t>
        </is>
      </c>
      <c r="O692" s="4" t="inlineStr">
        <is>
          <t>Athletic Shorts</t>
        </is>
      </c>
    </row>
    <row r="693" ht="80" customHeight="1">
      <c r="A693" s="7">
        <f>IMAGE("https://images.lululemon.com/is/image/lululemon/LM7BJ0S_0001_1?wid=320&amp;op_usm=0.8",1)</f>
        <v/>
      </c>
      <c r="B693" s="7" t="inlineStr">
        <is>
          <t>Zeroed In Linerless Short 7"</t>
        </is>
      </c>
      <c r="C693" s="7" t="inlineStr">
        <is>
          <t>156497594</t>
        </is>
      </c>
      <c r="D693" s="7" t="inlineStr">
        <is>
          <t>156497594-carboncrunchvapormulti</t>
        </is>
      </c>
      <c r="E693" s="7" t="inlineStr">
        <is>
          <t>Zeroed In Short 7" *LL BLK S</t>
        </is>
      </c>
      <c r="F693" s="7" t="inlineStr">
        <is>
          <t>$68.00</t>
        </is>
      </c>
      <c r="G693" s="7" t="inlineStr">
        <is>
          <t>$34.00</t>
        </is>
      </c>
      <c r="H693" s="7" t="inlineStr">
        <is>
          <t>Carbon Crunch Vapor Multi</t>
        </is>
      </c>
      <c r="I693" s="7">
        <f>IMAGE("https://images.lululemon.com/is/image/lululemon/69709",1)</f>
        <v/>
      </c>
      <c r="J693" s="7" t="inlineStr">
        <is>
          <t>S</t>
        </is>
      </c>
      <c r="K693" s="7" t="inlineStr">
        <is>
          <t>49/2360</t>
        </is>
      </c>
      <c r="L693" s="7" t="inlineStr">
        <is>
          <t>Yes</t>
        </is>
      </c>
      <c r="M693" s="7" t="inlineStr">
        <is>
          <t>Work out or hang out. These versatile shorts are designed to keep up with every way you like to move.</t>
        </is>
      </c>
      <c r="N693" s="7" t="inlineStr">
        <is>
          <t>Zeroed-In-Linerless-Short-7</t>
        </is>
      </c>
      <c r="O693" s="7" t="inlineStr">
        <is>
          <t>Athletic Shorts</t>
        </is>
      </c>
    </row>
    <row r="694" ht="80" customHeight="1">
      <c r="A694" s="4">
        <f>IMAGE("https://images.lululemon.com/is/image/lululemon/LM7BJ0S_0001_1?wid=320&amp;op_usm=0.8",1)</f>
        <v/>
      </c>
      <c r="B694" s="4" t="inlineStr">
        <is>
          <t>Zeroed In Linerless Short 7"</t>
        </is>
      </c>
      <c r="C694" s="4" t="inlineStr">
        <is>
          <t>156497578</t>
        </is>
      </c>
      <c r="D694" s="4" t="inlineStr">
        <is>
          <t>156497578-carboncrunchvapormulti</t>
        </is>
      </c>
      <c r="E694" s="4" t="inlineStr">
        <is>
          <t>Zeroed In Short 7" *LL BLK S</t>
        </is>
      </c>
      <c r="F694" s="4" t="inlineStr">
        <is>
          <t>$68.00</t>
        </is>
      </c>
      <c r="G694" s="4" t="inlineStr">
        <is>
          <t>$34.00</t>
        </is>
      </c>
      <c r="H694" s="4" t="inlineStr">
        <is>
          <t>Carbon Crunch Vapor Multi</t>
        </is>
      </c>
      <c r="I694" s="4">
        <f>IMAGE("https://images.lululemon.com/is/image/lululemon/69709",1)</f>
        <v/>
      </c>
      <c r="J694" s="4" t="inlineStr">
        <is>
          <t>M</t>
        </is>
      </c>
      <c r="K694" s="4" t="inlineStr">
        <is>
          <t>87/2360</t>
        </is>
      </c>
      <c r="L694" s="4" t="inlineStr">
        <is>
          <t>Yes</t>
        </is>
      </c>
      <c r="M694" s="4" t="inlineStr">
        <is>
          <t>Work out or hang out. These versatile shorts are designed to keep up with every way you like to move.</t>
        </is>
      </c>
      <c r="N694" s="4" t="inlineStr">
        <is>
          <t>Zeroed-In-Linerless-Short-7</t>
        </is>
      </c>
      <c r="O694" s="4" t="inlineStr">
        <is>
          <t>Athletic Shorts</t>
        </is>
      </c>
    </row>
    <row r="695" ht="80" customHeight="1">
      <c r="A695" s="7">
        <f>IMAGE("https://images.lululemon.com/is/image/lululemon/LM7BJ0S_0001_1?wid=320&amp;op_usm=0.8",1)</f>
        <v/>
      </c>
      <c r="B695" s="7" t="inlineStr">
        <is>
          <t>Zeroed In Linerless Short 7"</t>
        </is>
      </c>
      <c r="C695" s="7" t="inlineStr">
        <is>
          <t>156497558</t>
        </is>
      </c>
      <c r="D695" s="7" t="inlineStr">
        <is>
          <t>156497558-carboncrunchvapormulti</t>
        </is>
      </c>
      <c r="E695" s="7" t="inlineStr">
        <is>
          <t>Zeroed In Short 7" *LL BLK S</t>
        </is>
      </c>
      <c r="F695" s="7" t="inlineStr">
        <is>
          <t>$68.00</t>
        </is>
      </c>
      <c r="G695" s="7" t="inlineStr">
        <is>
          <t>$34.00</t>
        </is>
      </c>
      <c r="H695" s="7" t="inlineStr">
        <is>
          <t>Carbon Crunch Vapor Multi</t>
        </is>
      </c>
      <c r="I695" s="7">
        <f>IMAGE("https://images.lululemon.com/is/image/lululemon/69709",1)</f>
        <v/>
      </c>
      <c r="J695" s="7" t="inlineStr">
        <is>
          <t>L</t>
        </is>
      </c>
      <c r="K695" s="7" t="inlineStr">
        <is>
          <t>69/2360</t>
        </is>
      </c>
      <c r="L695" s="7" t="inlineStr">
        <is>
          <t>Yes</t>
        </is>
      </c>
      <c r="M695" s="7" t="inlineStr">
        <is>
          <t>Work out or hang out. These versatile shorts are designed to keep up with every way you like to move.</t>
        </is>
      </c>
      <c r="N695" s="7" t="inlineStr">
        <is>
          <t>Zeroed-In-Linerless-Short-7</t>
        </is>
      </c>
      <c r="O695" s="7" t="inlineStr">
        <is>
          <t>Athletic Shorts</t>
        </is>
      </c>
    </row>
    <row r="696" ht="80" customHeight="1">
      <c r="A696" s="4">
        <f>IMAGE("https://images.lululemon.com/is/image/lululemon/LM7BJ0S_0001_1?wid=320&amp;op_usm=0.8",1)</f>
        <v/>
      </c>
      <c r="B696" s="4" t="inlineStr">
        <is>
          <t>Zeroed In Linerless Short 7"</t>
        </is>
      </c>
      <c r="C696" s="4" t="inlineStr">
        <is>
          <t>156497616</t>
        </is>
      </c>
      <c r="D696" s="4" t="inlineStr">
        <is>
          <t>156497616-carboncrunchvapormulti</t>
        </is>
      </c>
      <c r="E696" s="4" t="inlineStr">
        <is>
          <t>Zeroed In Short 7" *LL BLK S</t>
        </is>
      </c>
      <c r="F696" s="4" t="inlineStr">
        <is>
          <t>$68.00</t>
        </is>
      </c>
      <c r="G696" s="4" t="inlineStr">
        <is>
          <t>$34.00</t>
        </is>
      </c>
      <c r="H696" s="4" t="inlineStr">
        <is>
          <t>Carbon Crunch Vapor Multi</t>
        </is>
      </c>
      <c r="I696" s="4">
        <f>IMAGE("https://images.lululemon.com/is/image/lululemon/69709",1)</f>
        <v/>
      </c>
      <c r="J696" s="4" t="inlineStr">
        <is>
          <t>XL</t>
        </is>
      </c>
      <c r="K696" s="4" t="inlineStr">
        <is>
          <t>47/2360</t>
        </is>
      </c>
      <c r="L696" s="4" t="inlineStr">
        <is>
          <t>Yes</t>
        </is>
      </c>
      <c r="M696" s="4" t="inlineStr">
        <is>
          <t>Work out or hang out. These versatile shorts are designed to keep up with every way you like to move.</t>
        </is>
      </c>
      <c r="N696" s="4" t="inlineStr">
        <is>
          <t>Zeroed-In-Linerless-Short-7</t>
        </is>
      </c>
      <c r="O696" s="4" t="inlineStr">
        <is>
          <t>Athletic Shorts</t>
        </is>
      </c>
    </row>
    <row r="697" ht="80" customHeight="1">
      <c r="A697" s="7">
        <f>IMAGE("https://images.lululemon.com/is/image/lululemon/LM7BJ0S_0001_1?wid=320&amp;op_usm=0.8",1)</f>
        <v/>
      </c>
      <c r="B697" s="7" t="inlineStr">
        <is>
          <t>Zeroed In Linerless Short 7"</t>
        </is>
      </c>
      <c r="C697" s="7" t="inlineStr">
        <is>
          <t>156497653</t>
        </is>
      </c>
      <c r="D697" s="7" t="inlineStr">
        <is>
          <t>156497653-carboncrunchvapormulti</t>
        </is>
      </c>
      <c r="E697" s="7" t="inlineStr">
        <is>
          <t>Zeroed In Short 7" *LL BLK S</t>
        </is>
      </c>
      <c r="F697" s="7" t="inlineStr">
        <is>
          <t>$68.00</t>
        </is>
      </c>
      <c r="G697" s="7" t="inlineStr">
        <is>
          <t>$34.00</t>
        </is>
      </c>
      <c r="H697" s="7" t="inlineStr">
        <is>
          <t>Carbon Crunch Vapor Multi</t>
        </is>
      </c>
      <c r="I697" s="7">
        <f>IMAGE("https://images.lululemon.com/is/image/lululemon/69709",1)</f>
        <v/>
      </c>
      <c r="J697" s="7" t="inlineStr">
        <is>
          <t>XXL</t>
        </is>
      </c>
      <c r="K697" s="7" t="inlineStr">
        <is>
          <t>18/2360</t>
        </is>
      </c>
      <c r="L697" s="7" t="inlineStr">
        <is>
          <t>Yes</t>
        </is>
      </c>
      <c r="M697" s="7" t="inlineStr">
        <is>
          <t>Work out or hang out. These versatile shorts are designed to keep up with every way you like to move.</t>
        </is>
      </c>
      <c r="N697" s="7" t="inlineStr">
        <is>
          <t>Zeroed-In-Linerless-Short-7</t>
        </is>
      </c>
      <c r="O697" s="7" t="inlineStr">
        <is>
          <t>Athletic Shorts</t>
        </is>
      </c>
    </row>
    <row r="698" ht="80" customHeight="1">
      <c r="A698" s="4">
        <f>IMAGE("https://images.lululemon.com/is/image/lululemon/LM7BJ0S_0001_1?wid=320&amp;op_usm=0.8",1)</f>
        <v/>
      </c>
      <c r="B698" s="4" t="inlineStr">
        <is>
          <t>Zeroed In Linerless Short 7"</t>
        </is>
      </c>
      <c r="C698" s="4" t="inlineStr">
        <is>
          <t>158099327</t>
        </is>
      </c>
      <c r="D698" s="4" t="inlineStr">
        <is>
          <t>158099327-warmashgrey</t>
        </is>
      </c>
      <c r="E698" s="4" t="inlineStr">
        <is>
          <t>Zeroed In Short 7" *LL BLK S</t>
        </is>
      </c>
      <c r="F698" s="4" t="inlineStr">
        <is>
          <t>$68.00</t>
        </is>
      </c>
      <c r="G698" s="4" t="inlineStr">
        <is>
          <t>$34.00</t>
        </is>
      </c>
      <c r="H698" s="4" t="inlineStr">
        <is>
          <t>Warm Ash Grey</t>
        </is>
      </c>
      <c r="I698" s="4">
        <f>IMAGE("https://images.lululemon.com/is/image/lululemon/70108",1)</f>
        <v/>
      </c>
      <c r="J698" s="4" t="inlineStr">
        <is>
          <t>S</t>
        </is>
      </c>
      <c r="K698" s="4" t="inlineStr">
        <is>
          <t>13/2360</t>
        </is>
      </c>
      <c r="L698" s="4" t="inlineStr">
        <is>
          <t>Yes</t>
        </is>
      </c>
      <c r="M698" s="4" t="inlineStr">
        <is>
          <t>Work out or hang out. These versatile shorts are designed to keep up with every way you like to move.</t>
        </is>
      </c>
      <c r="N698" s="4" t="inlineStr">
        <is>
          <t>Zeroed-In-Linerless-Short-7</t>
        </is>
      </c>
      <c r="O698" s="4" t="inlineStr">
        <is>
          <t>Athletic Shorts</t>
        </is>
      </c>
    </row>
    <row r="699" ht="80" customHeight="1">
      <c r="A699" s="7">
        <f>IMAGE("https://images.lululemon.com/is/image/lululemon/LM7BJ0S_0001_1?wid=320&amp;op_usm=0.8",1)</f>
        <v/>
      </c>
      <c r="B699" s="7" t="inlineStr">
        <is>
          <t>Zeroed In Linerless Short 7"</t>
        </is>
      </c>
      <c r="C699" s="7" t="inlineStr">
        <is>
          <t>158099311</t>
        </is>
      </c>
      <c r="D699" s="7" t="inlineStr">
        <is>
          <t>158099311-warmashgrey</t>
        </is>
      </c>
      <c r="E699" s="7" t="inlineStr">
        <is>
          <t>Zeroed In Short 7" *LL BLK S</t>
        </is>
      </c>
      <c r="F699" s="7" t="inlineStr">
        <is>
          <t>$68.00</t>
        </is>
      </c>
      <c r="G699" s="7" t="inlineStr">
        <is>
          <t>$34.00</t>
        </is>
      </c>
      <c r="H699" s="7" t="inlineStr">
        <is>
          <t>Warm Ash Grey</t>
        </is>
      </c>
      <c r="I699" s="7">
        <f>IMAGE("https://images.lululemon.com/is/image/lululemon/70108",1)</f>
        <v/>
      </c>
      <c r="J699" s="7" t="inlineStr">
        <is>
          <t>M</t>
        </is>
      </c>
      <c r="K699" s="7" t="inlineStr">
        <is>
          <t>36/2360</t>
        </is>
      </c>
      <c r="L699" s="7" t="inlineStr">
        <is>
          <t>Yes</t>
        </is>
      </c>
      <c r="M699" s="7" t="inlineStr">
        <is>
          <t>Work out or hang out. These versatile shorts are designed to keep up with every way you like to move.</t>
        </is>
      </c>
      <c r="N699" s="7" t="inlineStr">
        <is>
          <t>Zeroed-In-Linerless-Short-7</t>
        </is>
      </c>
      <c r="O699" s="7" t="inlineStr">
        <is>
          <t>Athletic Shorts</t>
        </is>
      </c>
    </row>
    <row r="700" ht="80" customHeight="1">
      <c r="A700" s="4">
        <f>IMAGE("https://images.lululemon.com/is/image/lululemon/LM7BJ0S_0001_1?wid=320&amp;op_usm=0.8",1)</f>
        <v/>
      </c>
      <c r="B700" s="4" t="inlineStr">
        <is>
          <t>Zeroed In Linerless Short 7"</t>
        </is>
      </c>
      <c r="C700" s="4" t="inlineStr">
        <is>
          <t>158099299</t>
        </is>
      </c>
      <c r="D700" s="4" t="inlineStr">
        <is>
          <t>158099299-warmashgrey</t>
        </is>
      </c>
      <c r="E700" s="4" t="inlineStr">
        <is>
          <t>Zeroed In Short 7" *LL BLK S</t>
        </is>
      </c>
      <c r="F700" s="4" t="inlineStr">
        <is>
          <t>$68.00</t>
        </is>
      </c>
      <c r="G700" s="4" t="inlineStr">
        <is>
          <t>$34.00</t>
        </is>
      </c>
      <c r="H700" s="4" t="inlineStr">
        <is>
          <t>Warm Ash Grey</t>
        </is>
      </c>
      <c r="I700" s="4">
        <f>IMAGE("https://images.lululemon.com/is/image/lululemon/70108",1)</f>
        <v/>
      </c>
      <c r="J700" s="4" t="inlineStr">
        <is>
          <t>L</t>
        </is>
      </c>
      <c r="K700" s="4" t="inlineStr">
        <is>
          <t>35/2360</t>
        </is>
      </c>
      <c r="L700" s="4" t="inlineStr">
        <is>
          <t>Yes</t>
        </is>
      </c>
      <c r="M700" s="4" t="inlineStr">
        <is>
          <t>Work out or hang out. These versatile shorts are designed to keep up with every way you like to move.</t>
        </is>
      </c>
      <c r="N700" s="4" t="inlineStr">
        <is>
          <t>Zeroed-In-Linerless-Short-7</t>
        </is>
      </c>
      <c r="O700" s="4" t="inlineStr">
        <is>
          <t>Athletic Shorts</t>
        </is>
      </c>
    </row>
    <row r="701" ht="80" customHeight="1">
      <c r="A701" s="7">
        <f>IMAGE("https://images.lululemon.com/is/image/lululemon/LM7BJ0S_0001_1?wid=320&amp;op_usm=0.8",1)</f>
        <v/>
      </c>
      <c r="B701" s="7" t="inlineStr">
        <is>
          <t>Zeroed In Linerless Short 7"</t>
        </is>
      </c>
      <c r="C701" s="7" t="inlineStr">
        <is>
          <t>158099341</t>
        </is>
      </c>
      <c r="D701" s="7" t="inlineStr">
        <is>
          <t>158099341-warmashgrey</t>
        </is>
      </c>
      <c r="E701" s="7" t="inlineStr">
        <is>
          <t>Zeroed In Short 7" *LL BLK S</t>
        </is>
      </c>
      <c r="F701" s="7" t="inlineStr">
        <is>
          <t>$68.00</t>
        </is>
      </c>
      <c r="G701" s="7" t="inlineStr">
        <is>
          <t>$34.00</t>
        </is>
      </c>
      <c r="H701" s="7" t="inlineStr">
        <is>
          <t>Warm Ash Grey</t>
        </is>
      </c>
      <c r="I701" s="7">
        <f>IMAGE("https://images.lululemon.com/is/image/lululemon/70108",1)</f>
        <v/>
      </c>
      <c r="J701" s="7" t="inlineStr">
        <is>
          <t>XL</t>
        </is>
      </c>
      <c r="K701" s="7" t="inlineStr">
        <is>
          <t>20/2360</t>
        </is>
      </c>
      <c r="L701" s="7" t="inlineStr">
        <is>
          <t>Yes</t>
        </is>
      </c>
      <c r="M701" s="7" t="inlineStr">
        <is>
          <t>Work out or hang out. These versatile shorts are designed to keep up with every way you like to move.</t>
        </is>
      </c>
      <c r="N701" s="7" t="inlineStr">
        <is>
          <t>Zeroed-In-Linerless-Short-7</t>
        </is>
      </c>
      <c r="O701" s="7" t="inlineStr">
        <is>
          <t>Athletic Shorts</t>
        </is>
      </c>
    </row>
    <row r="702" ht="80" customHeight="1">
      <c r="A702" s="4">
        <f>IMAGE("https://images.lululemon.com/is/image/lululemon/LM7BJ0S_0001_1?wid=320&amp;op_usm=0.8",1)</f>
        <v/>
      </c>
      <c r="B702" s="4" t="inlineStr">
        <is>
          <t>Zeroed In Linerless Short 7"</t>
        </is>
      </c>
      <c r="C702" s="4" t="inlineStr">
        <is>
          <t>151652275</t>
        </is>
      </c>
      <c r="D702" s="4" t="inlineStr">
        <is>
          <t>151652275-truenavy</t>
        </is>
      </c>
      <c r="E702" s="4" t="inlineStr">
        <is>
          <t>Zeroed In Short 7" *LL BLK S</t>
        </is>
      </c>
      <c r="F702" s="4" t="inlineStr">
        <is>
          <t>$68.00</t>
        </is>
      </c>
      <c r="G702" s="4" t="inlineStr">
        <is>
          <t>$34.00</t>
        </is>
      </c>
      <c r="H702" s="4" t="inlineStr">
        <is>
          <t>True Navy</t>
        </is>
      </c>
      <c r="I702" s="4">
        <f>IMAGE("https://images.lululemon.com/is/image/lululemon/31382",1)</f>
        <v/>
      </c>
      <c r="J702" s="4" t="inlineStr">
        <is>
          <t>S</t>
        </is>
      </c>
      <c r="K702" s="4" t="inlineStr">
        <is>
          <t>15/2360</t>
        </is>
      </c>
      <c r="L702" s="4" t="inlineStr">
        <is>
          <t>Yes</t>
        </is>
      </c>
      <c r="M702" s="4" t="inlineStr">
        <is>
          <t>Work out or hang out. These versatile shorts are designed to keep up with every way you like to move.</t>
        </is>
      </c>
      <c r="N702" s="4" t="inlineStr">
        <is>
          <t>Zeroed-In-Linerless-Short-7</t>
        </is>
      </c>
      <c r="O702" s="4" t="inlineStr">
        <is>
          <t>Athletic Shorts</t>
        </is>
      </c>
    </row>
    <row r="703" ht="80" customHeight="1">
      <c r="A703" s="7">
        <f>IMAGE("https://images.lululemon.com/is/image/lululemon/LM7BJ0S_0001_1?wid=320&amp;op_usm=0.8",1)</f>
        <v/>
      </c>
      <c r="B703" s="7" t="inlineStr">
        <is>
          <t>Zeroed In Linerless Short 7"</t>
        </is>
      </c>
      <c r="C703" s="7" t="inlineStr">
        <is>
          <t>151652273</t>
        </is>
      </c>
      <c r="D703" s="7" t="inlineStr">
        <is>
          <t>151652273-truenavy</t>
        </is>
      </c>
      <c r="E703" s="7" t="inlineStr">
        <is>
          <t>Zeroed In Short 7" *LL BLK S</t>
        </is>
      </c>
      <c r="F703" s="7" t="inlineStr">
        <is>
          <t>$68.00</t>
        </is>
      </c>
      <c r="G703" s="7" t="inlineStr">
        <is>
          <t>$34.00</t>
        </is>
      </c>
      <c r="H703" s="7" t="inlineStr">
        <is>
          <t>True Navy</t>
        </is>
      </c>
      <c r="I703" s="7">
        <f>IMAGE("https://images.lululemon.com/is/image/lululemon/31382",1)</f>
        <v/>
      </c>
      <c r="J703" s="7" t="inlineStr">
        <is>
          <t>M</t>
        </is>
      </c>
      <c r="K703" s="7" t="inlineStr">
        <is>
          <t>42/2360</t>
        </is>
      </c>
      <c r="L703" s="7" t="inlineStr">
        <is>
          <t>Yes</t>
        </is>
      </c>
      <c r="M703" s="7" t="inlineStr">
        <is>
          <t>Work out or hang out. These versatile shorts are designed to keep up with every way you like to move.</t>
        </is>
      </c>
      <c r="N703" s="7" t="inlineStr">
        <is>
          <t>Zeroed-In-Linerless-Short-7</t>
        </is>
      </c>
      <c r="O703" s="7" t="inlineStr">
        <is>
          <t>Athletic Shorts</t>
        </is>
      </c>
    </row>
    <row r="704" ht="80" customHeight="1">
      <c r="A704" s="4">
        <f>IMAGE("https://images.lululemon.com/is/image/lululemon/LM7BJ0S_0001_1?wid=320&amp;op_usm=0.8",1)</f>
        <v/>
      </c>
      <c r="B704" s="4" t="inlineStr">
        <is>
          <t>Zeroed In Linerless Short 7"</t>
        </is>
      </c>
      <c r="C704" s="4" t="inlineStr">
        <is>
          <t>151652271</t>
        </is>
      </c>
      <c r="D704" s="4" t="inlineStr">
        <is>
          <t>151652271-truenavy</t>
        </is>
      </c>
      <c r="E704" s="4" t="inlineStr">
        <is>
          <t>Zeroed In Short 7" *LL BLK S</t>
        </is>
      </c>
      <c r="F704" s="4" t="inlineStr">
        <is>
          <t>$68.00</t>
        </is>
      </c>
      <c r="G704" s="4" t="inlineStr">
        <is>
          <t>$34.00</t>
        </is>
      </c>
      <c r="H704" s="4" t="inlineStr">
        <is>
          <t>True Navy</t>
        </is>
      </c>
      <c r="I704" s="4">
        <f>IMAGE("https://images.lululemon.com/is/image/lululemon/31382",1)</f>
        <v/>
      </c>
      <c r="J704" s="4" t="inlineStr">
        <is>
          <t>L</t>
        </is>
      </c>
      <c r="K704" s="4" t="inlineStr">
        <is>
          <t>42/2360</t>
        </is>
      </c>
      <c r="L704" s="4" t="inlineStr">
        <is>
          <t>Yes</t>
        </is>
      </c>
      <c r="M704" s="4" t="inlineStr">
        <is>
          <t>Work out or hang out. These versatile shorts are designed to keep up with every way you like to move.</t>
        </is>
      </c>
      <c r="N704" s="4" t="inlineStr">
        <is>
          <t>Zeroed-In-Linerless-Short-7</t>
        </is>
      </c>
      <c r="O704" s="4" t="inlineStr">
        <is>
          <t>Athletic Shorts</t>
        </is>
      </c>
    </row>
    <row r="705" ht="80" customHeight="1">
      <c r="A705" s="7">
        <f>IMAGE("https://images.lululemon.com/is/image/lululemon/LM7BJ0S_0001_1?wid=320&amp;op_usm=0.8",1)</f>
        <v/>
      </c>
      <c r="B705" s="7" t="inlineStr">
        <is>
          <t>Zeroed In Linerless Short 7"</t>
        </is>
      </c>
      <c r="C705" s="7" t="inlineStr">
        <is>
          <t>151652276</t>
        </is>
      </c>
      <c r="D705" s="7" t="inlineStr">
        <is>
          <t>151652276-truenavy</t>
        </is>
      </c>
      <c r="E705" s="7" t="inlineStr">
        <is>
          <t>Zeroed In Short 7" *LL BLK S</t>
        </is>
      </c>
      <c r="F705" s="7" t="inlineStr">
        <is>
          <t>$68.00</t>
        </is>
      </c>
      <c r="G705" s="7" t="inlineStr">
        <is>
          <t>$34.00</t>
        </is>
      </c>
      <c r="H705" s="7" t="inlineStr">
        <is>
          <t>True Navy</t>
        </is>
      </c>
      <c r="I705" s="7">
        <f>IMAGE("https://images.lululemon.com/is/image/lululemon/31382",1)</f>
        <v/>
      </c>
      <c r="J705" s="7" t="inlineStr">
        <is>
          <t>XL</t>
        </is>
      </c>
      <c r="K705" s="7" t="inlineStr">
        <is>
          <t>23/2360</t>
        </is>
      </c>
      <c r="L705" s="7" t="inlineStr">
        <is>
          <t>Yes</t>
        </is>
      </c>
      <c r="M705" s="7" t="inlineStr">
        <is>
          <t>Work out or hang out. These versatile shorts are designed to keep up with every way you like to move.</t>
        </is>
      </c>
      <c r="N705" s="7" t="inlineStr">
        <is>
          <t>Zeroed-In-Linerless-Short-7</t>
        </is>
      </c>
      <c r="O705" s="7" t="inlineStr">
        <is>
          <t>Athletic Shorts</t>
        </is>
      </c>
    </row>
    <row r="706" ht="80" customHeight="1">
      <c r="A706" s="6">
        <f>IMAGE("https://images.lululemon.com/is/image/lululemon/LM7BJ0S_0001_1?wid=320&amp;op_usm=0.8",1)</f>
        <v/>
      </c>
      <c r="B706" s="6" t="inlineStr">
        <is>
          <t>Zeroed In Linerless Short 7"</t>
        </is>
      </c>
      <c r="C706" s="6" t="inlineStr">
        <is>
          <t>151652281</t>
        </is>
      </c>
      <c r="D706" s="6" t="inlineStr">
        <is>
          <t>151652281-truenavy</t>
        </is>
      </c>
      <c r="E706" s="6" t="inlineStr">
        <is>
          <t>Zeroed In Short 7" *LL BLK S</t>
        </is>
      </c>
      <c r="F706" s="6" t="inlineStr">
        <is>
          <t>$68.00</t>
        </is>
      </c>
      <c r="G706" s="6" t="inlineStr">
        <is>
          <t>$34.00</t>
        </is>
      </c>
      <c r="H706" s="6" t="inlineStr">
        <is>
          <t>True Navy</t>
        </is>
      </c>
      <c r="I706" s="6">
        <f>IMAGE("https://images.lululemon.com/is/image/lululemon/31382",1)</f>
        <v/>
      </c>
      <c r="J706" s="6" t="inlineStr">
        <is>
          <t>XXL</t>
        </is>
      </c>
      <c r="K706" s="6" t="inlineStr">
        <is>
          <t>5/2360</t>
        </is>
      </c>
      <c r="L706" s="6" t="inlineStr">
        <is>
          <t>Yes</t>
        </is>
      </c>
      <c r="M706" s="6" t="inlineStr">
        <is>
          <t>Work out or hang out. These versatile shorts are designed to keep up with every way you like to move.</t>
        </is>
      </c>
      <c r="N706" s="6" t="inlineStr">
        <is>
          <t>Zeroed-In-Linerless-Short-7</t>
        </is>
      </c>
      <c r="O706" s="6" t="inlineStr">
        <is>
          <t>Athletic Shorts</t>
        </is>
      </c>
    </row>
    <row r="707" ht="80" customHeight="1">
      <c r="A707" s="5">
        <f>IMAGE("https://images.lululemon.com/is/image/lululemon/LU9CMUS_027401_1?wid=320&amp;op_usm=0.8",1)</f>
        <v/>
      </c>
      <c r="B707" s="5" t="inlineStr">
        <is>
          <t>Back to Life Sport Bottle 24oz Straw Lid *Print</t>
        </is>
      </c>
      <c r="C707" s="5" t="inlineStr">
        <is>
          <t>157768469</t>
        </is>
      </c>
      <c r="D707" s="5" t="inlineStr">
        <is>
          <t>157768469-pelican</t>
        </is>
      </c>
      <c r="E707" s="5" t="inlineStr">
        <is>
          <t>Back to Life Sport Bottle 24oz*Straw Lid PLCN ONE SIZE</t>
        </is>
      </c>
      <c r="F707" s="5" t="inlineStr">
        <is>
          <t>$48.00</t>
        </is>
      </c>
      <c r="G707" s="5" t="inlineStr">
        <is>
          <t>$24.00</t>
        </is>
      </c>
      <c r="H707" s="5" t="inlineStr">
        <is>
          <t>Pelican</t>
        </is>
      </c>
      <c r="I707" s="5">
        <f>IMAGE("https://images.lululemon.com/is/image/lululemon/27401",1)</f>
        <v/>
      </c>
      <c r="J707" s="5" t="inlineStr">
        <is>
          <t>O/S</t>
        </is>
      </c>
      <c r="K707" s="5" t="inlineStr">
        <is>
          <t>174/174</t>
        </is>
      </c>
      <c r="L707" s="5" t="inlineStr">
        <is>
          <t>Yes</t>
        </is>
      </c>
      <c r="M707" s="5" t="inlineStr">
        <is>
          <t>Sport mode: activated. This insulated water bottle has a built-in straw lid and a slip-free texture to make one-handed drinking a breeze.</t>
        </is>
      </c>
      <c r="N707" s="5" t="inlineStr">
        <is>
          <t>Back-to-Life-Sport-Bottle-24oz-Straw-Lid-Print</t>
        </is>
      </c>
      <c r="O707" s="5" t="inlineStr"/>
    </row>
    <row r="708" ht="80" customHeight="1">
      <c r="A708" s="4">
        <f>IMAGE("https://images.lululemon.com/is/image/lululemon/LU9CACS_0001_1?wid=320&amp;op_usm=0.8",1)</f>
        <v/>
      </c>
      <c r="B708" s="4" t="inlineStr">
        <is>
          <t>Slouchy Sling Bag 6L</t>
        </is>
      </c>
      <c r="C708" s="4" t="inlineStr">
        <is>
          <t>153840523</t>
        </is>
      </c>
      <c r="D708" s="4" t="inlineStr">
        <is>
          <t>153840523-black</t>
        </is>
      </c>
      <c r="E708" s="4" t="inlineStr">
        <is>
          <t>Slouchy Sling Bag BLK ONE SIZE</t>
        </is>
      </c>
      <c r="F708" s="4" t="inlineStr">
        <is>
          <t>$68.00</t>
        </is>
      </c>
      <c r="G708" s="4" t="inlineStr">
        <is>
          <t>$34.00</t>
        </is>
      </c>
      <c r="H708" s="4" t="inlineStr">
        <is>
          <t>Black</t>
        </is>
      </c>
      <c r="I708" s="4">
        <f>IMAGE("https://images.lululemon.com/is/image/lululemon/0001",1)</f>
        <v/>
      </c>
      <c r="J708" s="4" t="inlineStr">
        <is>
          <t>O/S</t>
        </is>
      </c>
      <c r="K708" s="4" t="inlineStr">
        <is>
          <t>3/147</t>
        </is>
      </c>
      <c r="L708" s="4" t="inlineStr">
        <is>
          <t>Yes</t>
        </is>
      </c>
      <c r="M708" s="4" t="inlineStr">
        <is>
          <t>No structure, no problem. With a curved silhouette and a surprising amount of space, this slouchy sling tucks close to your frame for comfort and security.</t>
        </is>
      </c>
      <c r="N708" s="4" t="inlineStr">
        <is>
          <t>Slouchy-Sling-Bag-6L</t>
        </is>
      </c>
      <c r="O708" s="4" t="inlineStr">
        <is>
          <t>Crossbody Bags, Shoulder Bags</t>
        </is>
      </c>
    </row>
    <row r="709" ht="80" customHeight="1">
      <c r="A709" s="5">
        <f>IMAGE("https://images.lululemon.com/is/image/lululemon/LU9CACS_0001_1?wid=320&amp;op_usm=0.8",1)</f>
        <v/>
      </c>
      <c r="B709" s="5" t="inlineStr">
        <is>
          <t>Slouchy Sling Bag 6L</t>
        </is>
      </c>
      <c r="C709" s="5" t="inlineStr">
        <is>
          <t>157676118</t>
        </is>
      </c>
      <c r="D709" s="5" t="inlineStr">
        <is>
          <t>157676118-lightivory/gold</t>
        </is>
      </c>
      <c r="E709" s="5" t="inlineStr">
        <is>
          <t>Slouchy Sling Bag BLK ONE SIZE</t>
        </is>
      </c>
      <c r="F709" s="5" t="inlineStr">
        <is>
          <t>$68.00</t>
        </is>
      </c>
      <c r="G709" s="5" t="inlineStr">
        <is>
          <t>$34.00</t>
        </is>
      </c>
      <c r="H709" s="5" t="inlineStr">
        <is>
          <t>Light Ivory/Gold</t>
        </is>
      </c>
      <c r="I709" s="5">
        <f>IMAGE("https://images.lululemon.com/is/image/lululemon/42797",1)</f>
        <v/>
      </c>
      <c r="J709" s="5" t="inlineStr">
        <is>
          <t>O/S</t>
        </is>
      </c>
      <c r="K709" s="5" t="inlineStr">
        <is>
          <t>144/147</t>
        </is>
      </c>
      <c r="L709" s="5" t="inlineStr">
        <is>
          <t>Yes</t>
        </is>
      </c>
      <c r="M709" s="5" t="inlineStr">
        <is>
          <t>No structure, no problem. With a curved silhouette and a surprising amount of space, this slouchy sling tucks close to your frame for comfort and security.</t>
        </is>
      </c>
      <c r="N709" s="5" t="inlineStr">
        <is>
          <t>Slouchy-Sling-Bag-6L</t>
        </is>
      </c>
      <c r="O709" s="5" t="inlineStr">
        <is>
          <t>Crossbody Bags, Shoulder Bags</t>
        </is>
      </c>
    </row>
    <row r="710" ht="80" customHeight="1">
      <c r="A710" s="4">
        <f>IMAGE("https://images.lululemon.com/is/image/lululemon/LU9CPTS_0001_1?wid=320&amp;op_usm=0.8",1)</f>
        <v/>
      </c>
      <c r="B710" s="4" t="inlineStr">
        <is>
          <t>Unisex Power Stride Crew Socks</t>
        </is>
      </c>
      <c r="C710" s="4" t="inlineStr">
        <is>
          <t>156751324</t>
        </is>
      </c>
      <c r="D710" s="4" t="inlineStr">
        <is>
          <t>156751324-black</t>
        </is>
      </c>
      <c r="E710" s="4" t="inlineStr">
        <is>
          <t>Power Stride Socks BLK S</t>
        </is>
      </c>
      <c r="F710" s="4" t="inlineStr">
        <is>
          <t>$18.00</t>
        </is>
      </c>
      <c r="G710" s="4" t="inlineStr">
        <is>
          <t>$9.00</t>
        </is>
      </c>
      <c r="H710" s="4" t="inlineStr">
        <is>
          <t>Black</t>
        </is>
      </c>
      <c r="I710" s="4">
        <f>IMAGE("https://images.lululemon.com/is/image/lululemon/0001",1)</f>
        <v/>
      </c>
      <c r="J710" s="4" t="inlineStr">
        <is>
          <t>S</t>
        </is>
      </c>
      <c r="K710" s="4" t="inlineStr">
        <is>
          <t>65/265</t>
        </is>
      </c>
      <c r="L710" s="4" t="inlineStr">
        <is>
          <t>Yes</t>
        </is>
      </c>
      <c r="M710" s="4" t="inlineStr">
        <is>
          <t>Set the groundwork for a strong workout. We updated our versatile performance socks with intentional cushioning and enhanced breathability so you can move more comfortably.</t>
        </is>
      </c>
      <c r="N710" s="4" t="inlineStr">
        <is>
          <t>Unisex-Power-Stride-Crew-Socks</t>
        </is>
      </c>
      <c r="O710" s="4" t="inlineStr">
        <is>
          <t>Crew Socks</t>
        </is>
      </c>
    </row>
    <row r="711" ht="80" customHeight="1">
      <c r="A711" s="7">
        <f>IMAGE("https://images.lululemon.com/is/image/lululemon/LU9CPTS_0001_1?wid=320&amp;op_usm=0.8",1)</f>
        <v/>
      </c>
      <c r="B711" s="7" t="inlineStr">
        <is>
          <t>Unisex Power Stride Crew Socks</t>
        </is>
      </c>
      <c r="C711" s="7" t="inlineStr">
        <is>
          <t>156751317</t>
        </is>
      </c>
      <c r="D711" s="7" t="inlineStr">
        <is>
          <t>156751317-black</t>
        </is>
      </c>
      <c r="E711" s="7" t="inlineStr">
        <is>
          <t>Power Stride Socks BLK S</t>
        </is>
      </c>
      <c r="F711" s="7" t="inlineStr">
        <is>
          <t>$18.00</t>
        </is>
      </c>
      <c r="G711" s="7" t="inlineStr">
        <is>
          <t>$9.00</t>
        </is>
      </c>
      <c r="H711" s="7" t="inlineStr">
        <is>
          <t>Black</t>
        </is>
      </c>
      <c r="I711" s="7">
        <f>IMAGE("https://images.lululemon.com/is/image/lululemon/0001",1)</f>
        <v/>
      </c>
      <c r="J711" s="7" t="inlineStr">
        <is>
          <t>M</t>
        </is>
      </c>
      <c r="K711" s="7" t="inlineStr">
        <is>
          <t>110/265</t>
        </is>
      </c>
      <c r="L711" s="7" t="inlineStr">
        <is>
          <t>Yes</t>
        </is>
      </c>
      <c r="M711" s="7" t="inlineStr">
        <is>
          <t>Set the groundwork for a strong workout. We updated our versatile performance socks with intentional cushioning and enhanced breathability so you can move more comfortably.</t>
        </is>
      </c>
      <c r="N711" s="7" t="inlineStr">
        <is>
          <t>Unisex-Power-Stride-Crew-Socks</t>
        </is>
      </c>
      <c r="O711" s="7" t="inlineStr">
        <is>
          <t>Crew Socks</t>
        </is>
      </c>
    </row>
    <row r="712" ht="80" customHeight="1">
      <c r="A712" s="4">
        <f>IMAGE("https://images.lululemon.com/is/image/lululemon/LU9CPTS_0001_1?wid=320&amp;op_usm=0.8",1)</f>
        <v/>
      </c>
      <c r="B712" s="4" t="inlineStr">
        <is>
          <t>Unisex Power Stride Crew Socks</t>
        </is>
      </c>
      <c r="C712" s="4" t="inlineStr">
        <is>
          <t>156751309</t>
        </is>
      </c>
      <c r="D712" s="4" t="inlineStr">
        <is>
          <t>156751309-black</t>
        </is>
      </c>
      <c r="E712" s="4" t="inlineStr">
        <is>
          <t>Power Stride Socks BLK S</t>
        </is>
      </c>
      <c r="F712" s="4" t="inlineStr">
        <is>
          <t>$18.00</t>
        </is>
      </c>
      <c r="G712" s="4" t="inlineStr">
        <is>
          <t>$9.00</t>
        </is>
      </c>
      <c r="H712" s="4" t="inlineStr">
        <is>
          <t>Black</t>
        </is>
      </c>
      <c r="I712" s="4">
        <f>IMAGE("https://images.lululemon.com/is/image/lululemon/0001",1)</f>
        <v/>
      </c>
      <c r="J712" s="4" t="inlineStr">
        <is>
          <t>L</t>
        </is>
      </c>
      <c r="K712" s="4" t="inlineStr">
        <is>
          <t>79/265</t>
        </is>
      </c>
      <c r="L712" s="4" t="inlineStr">
        <is>
          <t>Yes</t>
        </is>
      </c>
      <c r="M712" s="4" t="inlineStr">
        <is>
          <t>Set the groundwork for a strong workout. We updated our versatile performance socks with intentional cushioning and enhanced breathability so you can move more comfortably.</t>
        </is>
      </c>
      <c r="N712" s="4" t="inlineStr">
        <is>
          <t>Unisex-Power-Stride-Crew-Socks</t>
        </is>
      </c>
      <c r="O712" s="4" t="inlineStr">
        <is>
          <t>Crew Socks</t>
        </is>
      </c>
    </row>
    <row r="713" ht="80" customHeight="1">
      <c r="A713" s="5">
        <f>IMAGE("https://images.lululemon.com/is/image/lululemon/LU9CPTS_0001_1?wid=320&amp;op_usm=0.8",1)</f>
        <v/>
      </c>
      <c r="B713" s="5" t="inlineStr">
        <is>
          <t>Unisex Power Stride Crew Socks</t>
        </is>
      </c>
      <c r="C713" s="5" t="inlineStr">
        <is>
          <t>156751329</t>
        </is>
      </c>
      <c r="D713" s="5" t="inlineStr">
        <is>
          <t>156751329-black</t>
        </is>
      </c>
      <c r="E713" s="5" t="inlineStr">
        <is>
          <t>Power Stride Socks BLK S</t>
        </is>
      </c>
      <c r="F713" s="5" t="inlineStr">
        <is>
          <t>$18.00</t>
        </is>
      </c>
      <c r="G713" s="5" t="inlineStr">
        <is>
          <t>$9.00</t>
        </is>
      </c>
      <c r="H713" s="5" t="inlineStr">
        <is>
          <t>Black</t>
        </is>
      </c>
      <c r="I713" s="5">
        <f>IMAGE("https://images.lululemon.com/is/image/lululemon/0001",1)</f>
        <v/>
      </c>
      <c r="J713" s="5" t="inlineStr">
        <is>
          <t>XL</t>
        </is>
      </c>
      <c r="K713" s="5" t="inlineStr">
        <is>
          <t>11/265</t>
        </is>
      </c>
      <c r="L713" s="5" t="inlineStr">
        <is>
          <t>Yes</t>
        </is>
      </c>
      <c r="M713" s="5" t="inlineStr">
        <is>
          <t>Set the groundwork for a strong workout. We updated our versatile performance socks with intentional cushioning and enhanced breathability so you can move more comfortably.</t>
        </is>
      </c>
      <c r="N713" s="5" t="inlineStr">
        <is>
          <t>Unisex-Power-Stride-Crew-Socks</t>
        </is>
      </c>
      <c r="O713" s="5" t="inlineStr">
        <is>
          <t>Crew Socks</t>
        </is>
      </c>
    </row>
    <row r="714" ht="80" customHeight="1">
      <c r="A714" s="4">
        <f>IMAGE("https://images.lululemon.com/is/image/lululemon/LM7BLXS_0002_1?wid=320&amp;op_usm=0.8",1)</f>
        <v/>
      </c>
      <c r="B714" s="4" t="inlineStr">
        <is>
          <t>Striped Mesh Tennis Short 5"</t>
        </is>
      </c>
      <c r="C714" s="4" t="inlineStr">
        <is>
          <t>155702976</t>
        </is>
      </c>
      <c r="D714" s="4" t="inlineStr">
        <is>
          <t>155702976-white</t>
        </is>
      </c>
      <c r="E714" s="4" t="inlineStr">
        <is>
          <t>Striped Mesh Tennis Short 5" WHT S</t>
        </is>
      </c>
      <c r="F714" s="4" t="inlineStr">
        <is>
          <t>$78.00</t>
        </is>
      </c>
      <c r="G714" s="4" t="inlineStr">
        <is>
          <t>$39.00</t>
        </is>
      </c>
      <c r="H714" s="4" t="inlineStr">
        <is>
          <t>White</t>
        </is>
      </c>
      <c r="I714" s="4">
        <f>IMAGE("https://images.lululemon.com/is/image/lululemon/0002",1)</f>
        <v/>
      </c>
      <c r="J714" s="4" t="inlineStr">
        <is>
          <t>S</t>
        </is>
      </c>
      <c r="K714" s="4" t="inlineStr">
        <is>
          <t>3/103</t>
        </is>
      </c>
      <c r="L714" s="4" t="inlineStr">
        <is>
          <t>Yes</t>
        </is>
      </c>
      <c r="M714" s="4" t="inlineStr">
        <is>
          <t>Keep your cool on the court. When racket sport season hits, these breathable striped mesh shorts wick away sweat and dry fast so you can focus on the game, not your gear.</t>
        </is>
      </c>
      <c r="N714" s="4" t="inlineStr">
        <is>
          <t>Striped-Mesh-Tennis-Short-5</t>
        </is>
      </c>
      <c r="O714" s="4" t="inlineStr">
        <is>
          <t>Athletic Shorts</t>
        </is>
      </c>
    </row>
    <row r="715" ht="80" customHeight="1">
      <c r="A715" s="7">
        <f>IMAGE("https://images.lululemon.com/is/image/lululemon/LM7BLXS_0002_1?wid=320&amp;op_usm=0.8",1)</f>
        <v/>
      </c>
      <c r="B715" s="7" t="inlineStr">
        <is>
          <t>Striped Mesh Tennis Short 5"</t>
        </is>
      </c>
      <c r="C715" s="7" t="inlineStr">
        <is>
          <t>155702969</t>
        </is>
      </c>
      <c r="D715" s="7" t="inlineStr">
        <is>
          <t>155702969-white</t>
        </is>
      </c>
      <c r="E715" s="7" t="inlineStr">
        <is>
          <t>Striped Mesh Tennis Short 5" WHT S</t>
        </is>
      </c>
      <c r="F715" s="7" t="inlineStr">
        <is>
          <t>$78.00</t>
        </is>
      </c>
      <c r="G715" s="7" t="inlineStr">
        <is>
          <t>$39.00</t>
        </is>
      </c>
      <c r="H715" s="7" t="inlineStr">
        <is>
          <t>White</t>
        </is>
      </c>
      <c r="I715" s="7">
        <f>IMAGE("https://images.lululemon.com/is/image/lululemon/0002",1)</f>
        <v/>
      </c>
      <c r="J715" s="7" t="inlineStr">
        <is>
          <t>M</t>
        </is>
      </c>
      <c r="K715" s="7" t="inlineStr">
        <is>
          <t>18/103</t>
        </is>
      </c>
      <c r="L715" s="7" t="inlineStr">
        <is>
          <t>Yes</t>
        </is>
      </c>
      <c r="M715" s="7" t="inlineStr">
        <is>
          <t>Keep your cool on the court. When racket sport season hits, these breathable striped mesh shorts wick away sweat and dry fast so you can focus on the game, not your gear.</t>
        </is>
      </c>
      <c r="N715" s="7" t="inlineStr">
        <is>
          <t>Striped-Mesh-Tennis-Short-5</t>
        </is>
      </c>
      <c r="O715" s="7" t="inlineStr">
        <is>
          <t>Athletic Shorts</t>
        </is>
      </c>
    </row>
    <row r="716" ht="80" customHeight="1">
      <c r="A716" s="4">
        <f>IMAGE("https://images.lululemon.com/is/image/lululemon/LM7BLXS_0002_1?wid=320&amp;op_usm=0.8",1)</f>
        <v/>
      </c>
      <c r="B716" s="4" t="inlineStr">
        <is>
          <t>Striped Mesh Tennis Short 5"</t>
        </is>
      </c>
      <c r="C716" s="4" t="inlineStr">
        <is>
          <t>155702963</t>
        </is>
      </c>
      <c r="D716" s="4" t="inlineStr">
        <is>
          <t>155702963-white</t>
        </is>
      </c>
      <c r="E716" s="4" t="inlineStr">
        <is>
          <t>Striped Mesh Tennis Short 5" WHT S</t>
        </is>
      </c>
      <c r="F716" s="4" t="inlineStr">
        <is>
          <t>$78.00</t>
        </is>
      </c>
      <c r="G716" s="4" t="inlineStr">
        <is>
          <t>$39.00</t>
        </is>
      </c>
      <c r="H716" s="4" t="inlineStr">
        <is>
          <t>White</t>
        </is>
      </c>
      <c r="I716" s="4">
        <f>IMAGE("https://images.lululemon.com/is/image/lululemon/0002",1)</f>
        <v/>
      </c>
      <c r="J716" s="4" t="inlineStr">
        <is>
          <t>L</t>
        </is>
      </c>
      <c r="K716" s="4" t="inlineStr">
        <is>
          <t>43/103</t>
        </is>
      </c>
      <c r="L716" s="4" t="inlineStr">
        <is>
          <t>Yes</t>
        </is>
      </c>
      <c r="M716" s="4" t="inlineStr">
        <is>
          <t>Keep your cool on the court. When racket sport season hits, these breathable striped mesh shorts wick away sweat and dry fast so you can focus on the game, not your gear.</t>
        </is>
      </c>
      <c r="N716" s="4" t="inlineStr">
        <is>
          <t>Striped-Mesh-Tennis-Short-5</t>
        </is>
      </c>
      <c r="O716" s="4" t="inlineStr">
        <is>
          <t>Athletic Shorts</t>
        </is>
      </c>
    </row>
    <row r="717" ht="80" customHeight="1">
      <c r="A717" s="7">
        <f>IMAGE("https://images.lululemon.com/is/image/lululemon/LM7BLXS_0002_1?wid=320&amp;op_usm=0.8",1)</f>
        <v/>
      </c>
      <c r="B717" s="7" t="inlineStr">
        <is>
          <t>Striped Mesh Tennis Short 5"</t>
        </is>
      </c>
      <c r="C717" s="7" t="inlineStr">
        <is>
          <t>155702984</t>
        </is>
      </c>
      <c r="D717" s="7" t="inlineStr">
        <is>
          <t>155702984-white</t>
        </is>
      </c>
      <c r="E717" s="7" t="inlineStr">
        <is>
          <t>Striped Mesh Tennis Short 5" WHT S</t>
        </is>
      </c>
      <c r="F717" s="7" t="inlineStr">
        <is>
          <t>$78.00</t>
        </is>
      </c>
      <c r="G717" s="7" t="inlineStr">
        <is>
          <t>$39.00</t>
        </is>
      </c>
      <c r="H717" s="7" t="inlineStr">
        <is>
          <t>White</t>
        </is>
      </c>
      <c r="I717" s="7">
        <f>IMAGE("https://images.lululemon.com/is/image/lululemon/0002",1)</f>
        <v/>
      </c>
      <c r="J717" s="7" t="inlineStr">
        <is>
          <t>XL</t>
        </is>
      </c>
      <c r="K717" s="7" t="inlineStr">
        <is>
          <t>31/103</t>
        </is>
      </c>
      <c r="L717" s="7" t="inlineStr">
        <is>
          <t>Yes</t>
        </is>
      </c>
      <c r="M717" s="7" t="inlineStr">
        <is>
          <t>Keep your cool on the court. When racket sport season hits, these breathable striped mesh shorts wick away sweat and dry fast so you can focus on the game, not your gear.</t>
        </is>
      </c>
      <c r="N717" s="7" t="inlineStr">
        <is>
          <t>Striped-Mesh-Tennis-Short-5</t>
        </is>
      </c>
      <c r="O717" s="7" t="inlineStr">
        <is>
          <t>Athletic Shorts</t>
        </is>
      </c>
    </row>
    <row r="718" ht="80" customHeight="1">
      <c r="A718" s="6">
        <f>IMAGE("https://images.lululemon.com/is/image/lululemon/LM7BLXS_0002_1?wid=320&amp;op_usm=0.8",1)</f>
        <v/>
      </c>
      <c r="B718" s="6" t="inlineStr">
        <is>
          <t>Striped Mesh Tennis Short 5"</t>
        </is>
      </c>
      <c r="C718" s="6" t="inlineStr">
        <is>
          <t>155702996</t>
        </is>
      </c>
      <c r="D718" s="6" t="inlineStr">
        <is>
          <t>155702996-white</t>
        </is>
      </c>
      <c r="E718" s="6" t="inlineStr">
        <is>
          <t>Striped Mesh Tennis Short 5" WHT S</t>
        </is>
      </c>
      <c r="F718" s="6" t="inlineStr">
        <is>
          <t>$78.00</t>
        </is>
      </c>
      <c r="G718" s="6" t="inlineStr">
        <is>
          <t>$39.00</t>
        </is>
      </c>
      <c r="H718" s="6" t="inlineStr">
        <is>
          <t>White</t>
        </is>
      </c>
      <c r="I718" s="6">
        <f>IMAGE("https://images.lululemon.com/is/image/lululemon/0002",1)</f>
        <v/>
      </c>
      <c r="J718" s="6" t="inlineStr">
        <is>
          <t>XXL</t>
        </is>
      </c>
      <c r="K718" s="6" t="inlineStr">
        <is>
          <t>8/103</t>
        </is>
      </c>
      <c r="L718" s="6" t="inlineStr">
        <is>
          <t>Yes</t>
        </is>
      </c>
      <c r="M718" s="6" t="inlineStr">
        <is>
          <t>Keep your cool on the court. When racket sport season hits, these breathable striped mesh shorts wick away sweat and dry fast so you can focus on the game, not your gear.</t>
        </is>
      </c>
      <c r="N718" s="6" t="inlineStr">
        <is>
          <t>Striped-Mesh-Tennis-Short-5</t>
        </is>
      </c>
      <c r="O718" s="6" t="inlineStr">
        <is>
          <t>Athletic Shorts</t>
        </is>
      </c>
    </row>
    <row r="719" ht="80" customHeight="1">
      <c r="A719" s="7">
        <f>IMAGE("https://images.lululemon.com/is/image/lululemon/LM3FMOS_049106_1?wid=320&amp;op_usm=0.8",1)</f>
        <v/>
      </c>
      <c r="B719" s="7" t="inlineStr">
        <is>
          <t>Steady State Pullover Hoodie</t>
        </is>
      </c>
      <c r="C719" s="7" t="inlineStr">
        <is>
          <t>157716462</t>
        </is>
      </c>
      <c r="D719" s="7" t="inlineStr">
        <is>
          <t>157716462-rainforestgreen</t>
        </is>
      </c>
      <c r="E719" s="7" t="inlineStr">
        <is>
          <t>Steady State Pullover Hoodie RNFG S</t>
        </is>
      </c>
      <c r="F719" s="7" t="inlineStr">
        <is>
          <t>$128.00</t>
        </is>
      </c>
      <c r="G719" s="7" t="inlineStr">
        <is>
          <t>$64.00</t>
        </is>
      </c>
      <c r="H719" s="7" t="inlineStr">
        <is>
          <t>Rainforest Green</t>
        </is>
      </c>
      <c r="I719" s="7">
        <f>IMAGE("https://images.lululemon.com/is/image/lululemon/49106",1)</f>
        <v/>
      </c>
      <c r="J719" s="7" t="inlineStr">
        <is>
          <t>S</t>
        </is>
      </c>
      <c r="K719" s="7" t="inlineStr">
        <is>
          <t>1/389</t>
        </is>
      </c>
      <c r="L719" s="7" t="inlineStr">
        <is>
          <t>Yes</t>
        </is>
      </c>
      <c r="M719" s="7" t="inlineStr">
        <is>
          <t>A reimagined classic. This fleece hoodie puts softness first, so you can bring comfort wherever you go.</t>
        </is>
      </c>
      <c r="N719" s="7" t="inlineStr">
        <is>
          <t>Steady-State-Pullover-Hoodie</t>
        </is>
      </c>
      <c r="O719" s="7" t="inlineStr">
        <is>
          <t>Hoodies</t>
        </is>
      </c>
    </row>
    <row r="720" ht="80" customHeight="1">
      <c r="A720" s="4">
        <f>IMAGE("https://images.lululemon.com/is/image/lululemon/LM3FMOS_049106_1?wid=320&amp;op_usm=0.8",1)</f>
        <v/>
      </c>
      <c r="B720" s="4" t="inlineStr">
        <is>
          <t>Steady State Pullover Hoodie</t>
        </is>
      </c>
      <c r="C720" s="4" t="inlineStr">
        <is>
          <t>157716426</t>
        </is>
      </c>
      <c r="D720" s="4" t="inlineStr">
        <is>
          <t>157716426-rainforestgreen</t>
        </is>
      </c>
      <c r="E720" s="4" t="inlineStr">
        <is>
          <t>Steady State Pullover Hoodie RNFG S</t>
        </is>
      </c>
      <c r="F720" s="4" t="inlineStr">
        <is>
          <t>$128.00</t>
        </is>
      </c>
      <c r="G720" s="4" t="inlineStr">
        <is>
          <t>$64.00</t>
        </is>
      </c>
      <c r="H720" s="4" t="inlineStr">
        <is>
          <t>Rainforest Green</t>
        </is>
      </c>
      <c r="I720" s="4">
        <f>IMAGE("https://images.lululemon.com/is/image/lululemon/49106",1)</f>
        <v/>
      </c>
      <c r="J720" s="4" t="inlineStr">
        <is>
          <t>L</t>
        </is>
      </c>
      <c r="K720" s="4" t="inlineStr">
        <is>
          <t>129/389</t>
        </is>
      </c>
      <c r="L720" s="4" t="inlineStr">
        <is>
          <t>Yes</t>
        </is>
      </c>
      <c r="M720" s="4" t="inlineStr">
        <is>
          <t>A reimagined classic. This fleece hoodie puts softness first, so you can bring comfort wherever you go.</t>
        </is>
      </c>
      <c r="N720" s="4" t="inlineStr">
        <is>
          <t>Steady-State-Pullover-Hoodie</t>
        </is>
      </c>
      <c r="O720" s="4" t="inlineStr">
        <is>
          <t>Hoodies</t>
        </is>
      </c>
    </row>
    <row r="721" ht="80" customHeight="1">
      <c r="A721" s="7">
        <f>IMAGE("https://images.lululemon.com/is/image/lululemon/LM3FMOS_049106_1?wid=320&amp;op_usm=0.8",1)</f>
        <v/>
      </c>
      <c r="B721" s="7" t="inlineStr">
        <is>
          <t>Steady State Pullover Hoodie</t>
        </is>
      </c>
      <c r="C721" s="7" t="inlineStr">
        <is>
          <t>157716480</t>
        </is>
      </c>
      <c r="D721" s="7" t="inlineStr">
        <is>
          <t>157716480-rainforestgreen</t>
        </is>
      </c>
      <c r="E721" s="7" t="inlineStr">
        <is>
          <t>Steady State Pullover Hoodie RNFG S</t>
        </is>
      </c>
      <c r="F721" s="7" t="inlineStr">
        <is>
          <t>$128.00</t>
        </is>
      </c>
      <c r="G721" s="7" t="inlineStr">
        <is>
          <t>$64.00</t>
        </is>
      </c>
      <c r="H721" s="7" t="inlineStr">
        <is>
          <t>Rainforest Green</t>
        </is>
      </c>
      <c r="I721" s="7">
        <f>IMAGE("https://images.lululemon.com/is/image/lululemon/49106",1)</f>
        <v/>
      </c>
      <c r="J721" s="7" t="inlineStr">
        <is>
          <t>XL</t>
        </is>
      </c>
      <c r="K721" s="7" t="inlineStr">
        <is>
          <t>79/389</t>
        </is>
      </c>
      <c r="L721" s="7" t="inlineStr">
        <is>
          <t>Yes</t>
        </is>
      </c>
      <c r="M721" s="7" t="inlineStr">
        <is>
          <t>A reimagined classic. This fleece hoodie puts softness first, so you can bring comfort wherever you go.</t>
        </is>
      </c>
      <c r="N721" s="7" t="inlineStr">
        <is>
          <t>Steady-State-Pullover-Hoodie</t>
        </is>
      </c>
      <c r="O721" s="7" t="inlineStr">
        <is>
          <t>Hoodies</t>
        </is>
      </c>
    </row>
    <row r="722" ht="80" customHeight="1">
      <c r="A722" s="4">
        <f>IMAGE("https://images.lululemon.com/is/image/lululemon/LM3FMOS_049106_1?wid=320&amp;op_usm=0.8",1)</f>
        <v/>
      </c>
      <c r="B722" s="4" t="inlineStr">
        <is>
          <t>Steady State Pullover Hoodie</t>
        </is>
      </c>
      <c r="C722" s="4" t="inlineStr">
        <is>
          <t>157716517</t>
        </is>
      </c>
      <c r="D722" s="4" t="inlineStr">
        <is>
          <t>157716517-rainforestgreen</t>
        </is>
      </c>
      <c r="E722" s="4" t="inlineStr">
        <is>
          <t>Steady State Pullover Hoodie RNFG S</t>
        </is>
      </c>
      <c r="F722" s="4" t="inlineStr">
        <is>
          <t>$128.00</t>
        </is>
      </c>
      <c r="G722" s="4" t="inlineStr">
        <is>
          <t>$64.00</t>
        </is>
      </c>
      <c r="H722" s="4" t="inlineStr">
        <is>
          <t>Rainforest Green</t>
        </is>
      </c>
      <c r="I722" s="4">
        <f>IMAGE("https://images.lululemon.com/is/image/lululemon/49106",1)</f>
        <v/>
      </c>
      <c r="J722" s="4" t="inlineStr">
        <is>
          <t>XXL</t>
        </is>
      </c>
      <c r="K722" s="4" t="inlineStr">
        <is>
          <t>11/389</t>
        </is>
      </c>
      <c r="L722" s="4" t="inlineStr">
        <is>
          <t>Yes</t>
        </is>
      </c>
      <c r="M722" s="4" t="inlineStr">
        <is>
          <t>A reimagined classic. This fleece hoodie puts softness first, so you can bring comfort wherever you go.</t>
        </is>
      </c>
      <c r="N722" s="4" t="inlineStr">
        <is>
          <t>Steady-State-Pullover-Hoodie</t>
        </is>
      </c>
      <c r="O722" s="4" t="inlineStr">
        <is>
          <t>Hoodies</t>
        </is>
      </c>
    </row>
    <row r="723" ht="80" customHeight="1">
      <c r="A723" s="7">
        <f>IMAGE("https://images.lululemon.com/is/image/lululemon/LM3FMOS_049106_1?wid=320&amp;op_usm=0.8",1)</f>
        <v/>
      </c>
      <c r="B723" s="7" t="inlineStr">
        <is>
          <t>Steady State Pullover Hoodie</t>
        </is>
      </c>
      <c r="C723" s="7" t="inlineStr">
        <is>
          <t>157716318</t>
        </is>
      </c>
      <c r="D723" s="7" t="inlineStr">
        <is>
          <t>157716318-sereneblue</t>
        </is>
      </c>
      <c r="E723" s="7" t="inlineStr">
        <is>
          <t>Steady State Pullover Hoodie RNFG S</t>
        </is>
      </c>
      <c r="F723" s="7" t="inlineStr">
        <is>
          <t>$128.00</t>
        </is>
      </c>
      <c r="G723" s="7" t="inlineStr">
        <is>
          <t>$64.00</t>
        </is>
      </c>
      <c r="H723" s="7" t="inlineStr">
        <is>
          <t>Serene Blue</t>
        </is>
      </c>
      <c r="I723" s="7">
        <f>IMAGE("https://images.lululemon.com/is/image/lululemon/32507",1)</f>
        <v/>
      </c>
      <c r="J723" s="7" t="inlineStr">
        <is>
          <t>S</t>
        </is>
      </c>
      <c r="K723" s="7" t="inlineStr">
        <is>
          <t>19/389</t>
        </is>
      </c>
      <c r="L723" s="7" t="inlineStr">
        <is>
          <t>Yes</t>
        </is>
      </c>
      <c r="M723" s="7" t="inlineStr">
        <is>
          <t>A reimagined classic. This fleece hoodie puts softness first, so you can bring comfort wherever you go.</t>
        </is>
      </c>
      <c r="N723" s="7" t="inlineStr">
        <is>
          <t>Steady-State-Pullover-Hoodie</t>
        </is>
      </c>
      <c r="O723" s="7" t="inlineStr">
        <is>
          <t>Hoodies</t>
        </is>
      </c>
    </row>
    <row r="724" ht="80" customHeight="1">
      <c r="A724" s="4">
        <f>IMAGE("https://images.lululemon.com/is/image/lululemon/LM3FMOS_049106_1?wid=320&amp;op_usm=0.8",1)</f>
        <v/>
      </c>
      <c r="B724" s="4" t="inlineStr">
        <is>
          <t>Steady State Pullover Hoodie</t>
        </is>
      </c>
      <c r="C724" s="4" t="inlineStr">
        <is>
          <t>157716300</t>
        </is>
      </c>
      <c r="D724" s="4" t="inlineStr">
        <is>
          <t>157716300-sereneblue</t>
        </is>
      </c>
      <c r="E724" s="4" t="inlineStr">
        <is>
          <t>Steady State Pullover Hoodie RNFG S</t>
        </is>
      </c>
      <c r="F724" s="4" t="inlineStr">
        <is>
          <t>$128.00</t>
        </is>
      </c>
      <c r="G724" s="4" t="inlineStr">
        <is>
          <t>$64.00</t>
        </is>
      </c>
      <c r="H724" s="4" t="inlineStr">
        <is>
          <t>Serene Blue</t>
        </is>
      </c>
      <c r="I724" s="4">
        <f>IMAGE("https://images.lululemon.com/is/image/lululemon/32507",1)</f>
        <v/>
      </c>
      <c r="J724" s="4" t="inlineStr">
        <is>
          <t>M</t>
        </is>
      </c>
      <c r="K724" s="4" t="inlineStr">
        <is>
          <t>42/389</t>
        </is>
      </c>
      <c r="L724" s="4" t="inlineStr">
        <is>
          <t>Yes</t>
        </is>
      </c>
      <c r="M724" s="4" t="inlineStr">
        <is>
          <t>A reimagined classic. This fleece hoodie puts softness first, so you can bring comfort wherever you go.</t>
        </is>
      </c>
      <c r="N724" s="4" t="inlineStr">
        <is>
          <t>Steady-State-Pullover-Hoodie</t>
        </is>
      </c>
      <c r="O724" s="4" t="inlineStr">
        <is>
          <t>Hoodies</t>
        </is>
      </c>
    </row>
    <row r="725" ht="80" customHeight="1">
      <c r="A725" s="7">
        <f>IMAGE("https://images.lululemon.com/is/image/lululemon/LM3FMOS_049106_1?wid=320&amp;op_usm=0.8",1)</f>
        <v/>
      </c>
      <c r="B725" s="7" t="inlineStr">
        <is>
          <t>Steady State Pullover Hoodie</t>
        </is>
      </c>
      <c r="C725" s="7" t="inlineStr">
        <is>
          <t>157716282</t>
        </is>
      </c>
      <c r="D725" s="7" t="inlineStr">
        <is>
          <t>157716282-sereneblue</t>
        </is>
      </c>
      <c r="E725" s="7" t="inlineStr">
        <is>
          <t>Steady State Pullover Hoodie RNFG S</t>
        </is>
      </c>
      <c r="F725" s="7" t="inlineStr">
        <is>
          <t>$128.00</t>
        </is>
      </c>
      <c r="G725" s="7" t="inlineStr">
        <is>
          <t>$64.00</t>
        </is>
      </c>
      <c r="H725" s="7" t="inlineStr">
        <is>
          <t>Serene Blue</t>
        </is>
      </c>
      <c r="I725" s="7">
        <f>IMAGE("https://images.lululemon.com/is/image/lululemon/32507",1)</f>
        <v/>
      </c>
      <c r="J725" s="7" t="inlineStr">
        <is>
          <t>L</t>
        </is>
      </c>
      <c r="K725" s="7" t="inlineStr">
        <is>
          <t>51/389</t>
        </is>
      </c>
      <c r="L725" s="7" t="inlineStr">
        <is>
          <t>Yes</t>
        </is>
      </c>
      <c r="M725" s="7" t="inlineStr">
        <is>
          <t>A reimagined classic. This fleece hoodie puts softness first, so you can bring comfort wherever you go.</t>
        </is>
      </c>
      <c r="N725" s="7" t="inlineStr">
        <is>
          <t>Steady-State-Pullover-Hoodie</t>
        </is>
      </c>
      <c r="O725" s="7" t="inlineStr">
        <is>
          <t>Hoodies</t>
        </is>
      </c>
    </row>
    <row r="726" ht="80" customHeight="1">
      <c r="A726" s="4">
        <f>IMAGE("https://images.lululemon.com/is/image/lululemon/LM3FMOS_049106_1?wid=320&amp;op_usm=0.8",1)</f>
        <v/>
      </c>
      <c r="B726" s="4" t="inlineStr">
        <is>
          <t>Steady State Pullover Hoodie</t>
        </is>
      </c>
      <c r="C726" s="4" t="inlineStr">
        <is>
          <t>157716336</t>
        </is>
      </c>
      <c r="D726" s="4" t="inlineStr">
        <is>
          <t>157716336-sereneblue</t>
        </is>
      </c>
      <c r="E726" s="4" t="inlineStr">
        <is>
          <t>Steady State Pullover Hoodie RNFG S</t>
        </is>
      </c>
      <c r="F726" s="4" t="inlineStr">
        <is>
          <t>$128.00</t>
        </is>
      </c>
      <c r="G726" s="4" t="inlineStr">
        <is>
          <t>$64.00</t>
        </is>
      </c>
      <c r="H726" s="4" t="inlineStr">
        <is>
          <t>Serene Blue</t>
        </is>
      </c>
      <c r="I726" s="4">
        <f>IMAGE("https://images.lululemon.com/is/image/lululemon/32507",1)</f>
        <v/>
      </c>
      <c r="J726" s="4" t="inlineStr">
        <is>
          <t>XL</t>
        </is>
      </c>
      <c r="K726" s="4" t="inlineStr">
        <is>
          <t>39/389</t>
        </is>
      </c>
      <c r="L726" s="4" t="inlineStr">
        <is>
          <t>Yes</t>
        </is>
      </c>
      <c r="M726" s="4" t="inlineStr">
        <is>
          <t>A reimagined classic. This fleece hoodie puts softness first, so you can bring comfort wherever you go.</t>
        </is>
      </c>
      <c r="N726" s="4" t="inlineStr">
        <is>
          <t>Steady-State-Pullover-Hoodie</t>
        </is>
      </c>
      <c r="O726" s="4" t="inlineStr">
        <is>
          <t>Hoodies</t>
        </is>
      </c>
    </row>
    <row r="727" ht="80" customHeight="1">
      <c r="A727" s="5">
        <f>IMAGE("https://images.lululemon.com/is/image/lululemon/LM3FMOS_049106_1?wid=320&amp;op_usm=0.8",1)</f>
        <v/>
      </c>
      <c r="B727" s="5" t="inlineStr">
        <is>
          <t>Steady State Pullover Hoodie</t>
        </is>
      </c>
      <c r="C727" s="5" t="inlineStr">
        <is>
          <t>157716374</t>
        </is>
      </c>
      <c r="D727" s="5" t="inlineStr">
        <is>
          <t>157716374-sereneblue</t>
        </is>
      </c>
      <c r="E727" s="5" t="inlineStr">
        <is>
          <t>Steady State Pullover Hoodie RNFG S</t>
        </is>
      </c>
      <c r="F727" s="5" t="inlineStr">
        <is>
          <t>$128.00</t>
        </is>
      </c>
      <c r="G727" s="5" t="inlineStr">
        <is>
          <t>$64.00</t>
        </is>
      </c>
      <c r="H727" s="5" t="inlineStr">
        <is>
          <t>Serene Blue</t>
        </is>
      </c>
      <c r="I727" s="5">
        <f>IMAGE("https://images.lululemon.com/is/image/lululemon/32507",1)</f>
        <v/>
      </c>
      <c r="J727" s="5" t="inlineStr">
        <is>
          <t>XXL</t>
        </is>
      </c>
      <c r="K727" s="5" t="inlineStr">
        <is>
          <t>18/389</t>
        </is>
      </c>
      <c r="L727" s="5" t="inlineStr">
        <is>
          <t>Yes</t>
        </is>
      </c>
      <c r="M727" s="5" t="inlineStr">
        <is>
          <t>A reimagined classic. This fleece hoodie puts softness first, so you can bring comfort wherever you go.</t>
        </is>
      </c>
      <c r="N727" s="5" t="inlineStr">
        <is>
          <t>Steady-State-Pullover-Hoodie</t>
        </is>
      </c>
      <c r="O727" s="5" t="inlineStr">
        <is>
          <t>Hoodies</t>
        </is>
      </c>
    </row>
    <row r="728" ht="80" customHeight="1">
      <c r="A728" s="4">
        <f>IMAGE("https://images.lululemon.com/is/image/lululemon/LM3FGXS_048432_1?wid=320&amp;op_usm=0.8",1)</f>
        <v/>
      </c>
      <c r="B728" s="4" t="inlineStr">
        <is>
          <t>Zeroed In Track Jacket</t>
        </is>
      </c>
      <c r="C728" s="4" t="inlineStr">
        <is>
          <t>153950312</t>
        </is>
      </c>
      <c r="D728" s="4" t="inlineStr">
        <is>
          <t>153950312-rawlinen</t>
        </is>
      </c>
      <c r="E728" s="4" t="inlineStr">
        <is>
          <t>Zeroed In Track Jacket RWLI S</t>
        </is>
      </c>
      <c r="F728" s="4" t="inlineStr">
        <is>
          <t>$138.00</t>
        </is>
      </c>
      <c r="G728" s="4" t="inlineStr">
        <is>
          <t>$69.00</t>
        </is>
      </c>
      <c r="H728" s="4" t="inlineStr">
        <is>
          <t>Raw Linen</t>
        </is>
      </c>
      <c r="I728" s="4">
        <f>IMAGE("https://images.lululemon.com/is/image/lululemon/48432",1)</f>
        <v/>
      </c>
      <c r="J728" s="4" t="inlineStr">
        <is>
          <t>S</t>
        </is>
      </c>
      <c r="K728" s="4" t="inlineStr">
        <is>
          <t>6/179</t>
        </is>
      </c>
      <c r="L728" s="4" t="inlineStr">
        <is>
          <t>Yes</t>
        </is>
      </c>
      <c r="M728" s="4" t="inlineStr">
        <is>
          <t>Work out or hang out. This versatile track jacket is designed to keep up with every way you like to move.</t>
        </is>
      </c>
      <c r="N728" s="4" t="inlineStr">
        <is>
          <t>Zeroed-In-Track-Jacket</t>
        </is>
      </c>
      <c r="O728" s="4" t="inlineStr">
        <is>
          <t>Athletic Jackets, Track Jackets</t>
        </is>
      </c>
    </row>
    <row r="729" ht="80" customHeight="1">
      <c r="A729" s="7">
        <f>IMAGE("https://images.lululemon.com/is/image/lululemon/LM3FGXS_048432_1?wid=320&amp;op_usm=0.8",1)</f>
        <v/>
      </c>
      <c r="B729" s="7" t="inlineStr">
        <is>
          <t>Zeroed In Track Jacket</t>
        </is>
      </c>
      <c r="C729" s="7" t="inlineStr">
        <is>
          <t>153950310</t>
        </is>
      </c>
      <c r="D729" s="7" t="inlineStr">
        <is>
          <t>153950310-rawlinen</t>
        </is>
      </c>
      <c r="E729" s="7" t="inlineStr">
        <is>
          <t>Zeroed In Track Jacket RWLI S</t>
        </is>
      </c>
      <c r="F729" s="7" t="inlineStr">
        <is>
          <t>$138.00</t>
        </is>
      </c>
      <c r="G729" s="7" t="inlineStr">
        <is>
          <t>$69.00</t>
        </is>
      </c>
      <c r="H729" s="7" t="inlineStr">
        <is>
          <t>Raw Linen</t>
        </is>
      </c>
      <c r="I729" s="7">
        <f>IMAGE("https://images.lululemon.com/is/image/lululemon/48432",1)</f>
        <v/>
      </c>
      <c r="J729" s="7" t="inlineStr">
        <is>
          <t>M</t>
        </is>
      </c>
      <c r="K729" s="7" t="inlineStr">
        <is>
          <t>17/179</t>
        </is>
      </c>
      <c r="L729" s="7" t="inlineStr">
        <is>
          <t>Yes</t>
        </is>
      </c>
      <c r="M729" s="7" t="inlineStr">
        <is>
          <t>Work out or hang out. This versatile track jacket is designed to keep up with every way you like to move.</t>
        </is>
      </c>
      <c r="N729" s="7" t="inlineStr">
        <is>
          <t>Zeroed-In-Track-Jacket</t>
        </is>
      </c>
      <c r="O729" s="7" t="inlineStr">
        <is>
          <t>Athletic Jackets, Track Jackets</t>
        </is>
      </c>
    </row>
    <row r="730" ht="80" customHeight="1">
      <c r="A730" s="4">
        <f>IMAGE("https://images.lululemon.com/is/image/lululemon/LM3FGXS_048432_1?wid=320&amp;op_usm=0.8",1)</f>
        <v/>
      </c>
      <c r="B730" s="4" t="inlineStr">
        <is>
          <t>Zeroed In Track Jacket</t>
        </is>
      </c>
      <c r="C730" s="4" t="inlineStr">
        <is>
          <t>153950308</t>
        </is>
      </c>
      <c r="D730" s="4" t="inlineStr">
        <is>
          <t>153950308-rawlinen</t>
        </is>
      </c>
      <c r="E730" s="4" t="inlineStr">
        <is>
          <t>Zeroed In Track Jacket RWLI S</t>
        </is>
      </c>
      <c r="F730" s="4" t="inlineStr">
        <is>
          <t>$138.00</t>
        </is>
      </c>
      <c r="G730" s="4" t="inlineStr">
        <is>
          <t>$69.00</t>
        </is>
      </c>
      <c r="H730" s="4" t="inlineStr">
        <is>
          <t>Raw Linen</t>
        </is>
      </c>
      <c r="I730" s="4">
        <f>IMAGE("https://images.lululemon.com/is/image/lululemon/48432",1)</f>
        <v/>
      </c>
      <c r="J730" s="4" t="inlineStr">
        <is>
          <t>L</t>
        </is>
      </c>
      <c r="K730" s="4" t="inlineStr">
        <is>
          <t>27/179</t>
        </is>
      </c>
      <c r="L730" s="4" t="inlineStr">
        <is>
          <t>Yes</t>
        </is>
      </c>
      <c r="M730" s="4" t="inlineStr">
        <is>
          <t>Work out or hang out. This versatile track jacket is designed to keep up with every way you like to move.</t>
        </is>
      </c>
      <c r="N730" s="4" t="inlineStr">
        <is>
          <t>Zeroed-In-Track-Jacket</t>
        </is>
      </c>
      <c r="O730" s="4" t="inlineStr">
        <is>
          <t>Athletic Jackets, Track Jackets</t>
        </is>
      </c>
    </row>
    <row r="731" ht="80" customHeight="1">
      <c r="A731" s="7">
        <f>IMAGE("https://images.lululemon.com/is/image/lululemon/LM3FGXS_048432_1?wid=320&amp;op_usm=0.8",1)</f>
        <v/>
      </c>
      <c r="B731" s="7" t="inlineStr">
        <is>
          <t>Zeroed In Track Jacket</t>
        </is>
      </c>
      <c r="C731" s="7" t="inlineStr">
        <is>
          <t>153950314</t>
        </is>
      </c>
      <c r="D731" s="7" t="inlineStr">
        <is>
          <t>153950314-rawlinen</t>
        </is>
      </c>
      <c r="E731" s="7" t="inlineStr">
        <is>
          <t>Zeroed In Track Jacket RWLI S</t>
        </is>
      </c>
      <c r="F731" s="7" t="inlineStr">
        <is>
          <t>$138.00</t>
        </is>
      </c>
      <c r="G731" s="7" t="inlineStr">
        <is>
          <t>$69.00</t>
        </is>
      </c>
      <c r="H731" s="7" t="inlineStr">
        <is>
          <t>Raw Linen</t>
        </is>
      </c>
      <c r="I731" s="7">
        <f>IMAGE("https://images.lululemon.com/is/image/lululemon/48432",1)</f>
        <v/>
      </c>
      <c r="J731" s="7" t="inlineStr">
        <is>
          <t>XL</t>
        </is>
      </c>
      <c r="K731" s="7" t="inlineStr">
        <is>
          <t>30/179</t>
        </is>
      </c>
      <c r="L731" s="7" t="inlineStr">
        <is>
          <t>Yes</t>
        </is>
      </c>
      <c r="M731" s="7" t="inlineStr">
        <is>
          <t>Work out or hang out. This versatile track jacket is designed to keep up with every way you like to move.</t>
        </is>
      </c>
      <c r="N731" s="7" t="inlineStr">
        <is>
          <t>Zeroed-In-Track-Jacket</t>
        </is>
      </c>
      <c r="O731" s="7" t="inlineStr">
        <is>
          <t>Athletic Jackets, Track Jackets</t>
        </is>
      </c>
    </row>
    <row r="732" ht="80" customHeight="1">
      <c r="A732" s="4">
        <f>IMAGE("https://images.lululemon.com/is/image/lululemon/LM3FGXS_048432_1?wid=320&amp;op_usm=0.8",1)</f>
        <v/>
      </c>
      <c r="B732" s="4" t="inlineStr">
        <is>
          <t>Zeroed In Track Jacket</t>
        </is>
      </c>
      <c r="C732" s="4" t="inlineStr">
        <is>
          <t>153950318</t>
        </is>
      </c>
      <c r="D732" s="4" t="inlineStr">
        <is>
          <t>153950318-rawlinen</t>
        </is>
      </c>
      <c r="E732" s="4" t="inlineStr">
        <is>
          <t>Zeroed In Track Jacket RWLI S</t>
        </is>
      </c>
      <c r="F732" s="4" t="inlineStr">
        <is>
          <t>$138.00</t>
        </is>
      </c>
      <c r="G732" s="4" t="inlineStr">
        <is>
          <t>$69.00</t>
        </is>
      </c>
      <c r="H732" s="4" t="inlineStr">
        <is>
          <t>Raw Linen</t>
        </is>
      </c>
      <c r="I732" s="4">
        <f>IMAGE("https://images.lululemon.com/is/image/lululemon/48432",1)</f>
        <v/>
      </c>
      <c r="J732" s="4" t="inlineStr">
        <is>
          <t>XXL</t>
        </is>
      </c>
      <c r="K732" s="4" t="inlineStr">
        <is>
          <t>12/179</t>
        </is>
      </c>
      <c r="L732" s="4" t="inlineStr">
        <is>
          <t>Yes</t>
        </is>
      </c>
      <c r="M732" s="4" t="inlineStr">
        <is>
          <t>Work out or hang out. This versatile track jacket is designed to keep up with every way you like to move.</t>
        </is>
      </c>
      <c r="N732" s="4" t="inlineStr">
        <is>
          <t>Zeroed-In-Track-Jacket</t>
        </is>
      </c>
      <c r="O732" s="4" t="inlineStr">
        <is>
          <t>Athletic Jackets, Track Jackets</t>
        </is>
      </c>
    </row>
    <row r="733" ht="80" customHeight="1">
      <c r="A733" s="7">
        <f>IMAGE("https://images.lululemon.com/is/image/lululemon/LM3FGXS_048432_1?wid=320&amp;op_usm=0.8",1)</f>
        <v/>
      </c>
      <c r="B733" s="7" t="inlineStr">
        <is>
          <t>Zeroed In Track Jacket</t>
        </is>
      </c>
      <c r="C733" s="7" t="inlineStr">
        <is>
          <t>155950530</t>
        </is>
      </c>
      <c r="D733" s="7" t="inlineStr">
        <is>
          <t>155950530-graphitegrey</t>
        </is>
      </c>
      <c r="E733" s="7" t="inlineStr">
        <is>
          <t>Zeroed In Track Jacket RWLI S</t>
        </is>
      </c>
      <c r="F733" s="7" t="inlineStr">
        <is>
          <t>$138.00</t>
        </is>
      </c>
      <c r="G733" s="7" t="inlineStr">
        <is>
          <t>$69.00</t>
        </is>
      </c>
      <c r="H733" s="7" t="inlineStr">
        <is>
          <t>Graphite Grey</t>
        </is>
      </c>
      <c r="I733" s="7">
        <f>IMAGE("https://images.lululemon.com/is/image/lululemon/30210",1)</f>
        <v/>
      </c>
      <c r="J733" s="7" t="inlineStr">
        <is>
          <t>S</t>
        </is>
      </c>
      <c r="K733" s="7" t="inlineStr">
        <is>
          <t>9/179</t>
        </is>
      </c>
      <c r="L733" s="7" t="inlineStr">
        <is>
          <t>Yes</t>
        </is>
      </c>
      <c r="M733" s="7" t="inlineStr">
        <is>
          <t>Work out or hang out. This versatile track jacket is designed to keep up with every way you like to move.</t>
        </is>
      </c>
      <c r="N733" s="7" t="inlineStr">
        <is>
          <t>Zeroed-In-Track-Jacket</t>
        </is>
      </c>
      <c r="O733" s="7" t="inlineStr">
        <is>
          <t>Athletic Jackets, Track Jackets</t>
        </is>
      </c>
    </row>
    <row r="734" ht="80" customHeight="1">
      <c r="A734" s="4">
        <f>IMAGE("https://images.lululemon.com/is/image/lululemon/LM3FGXS_048432_1?wid=320&amp;op_usm=0.8",1)</f>
        <v/>
      </c>
      <c r="B734" s="4" t="inlineStr">
        <is>
          <t>Zeroed In Track Jacket</t>
        </is>
      </c>
      <c r="C734" s="4" t="inlineStr">
        <is>
          <t>155950527</t>
        </is>
      </c>
      <c r="D734" s="4" t="inlineStr">
        <is>
          <t>155950527-graphitegrey</t>
        </is>
      </c>
      <c r="E734" s="4" t="inlineStr">
        <is>
          <t>Zeroed In Track Jacket RWLI S</t>
        </is>
      </c>
      <c r="F734" s="4" t="inlineStr">
        <is>
          <t>$138.00</t>
        </is>
      </c>
      <c r="G734" s="4" t="inlineStr">
        <is>
          <t>$69.00</t>
        </is>
      </c>
      <c r="H734" s="4" t="inlineStr">
        <is>
          <t>Graphite Grey</t>
        </is>
      </c>
      <c r="I734" s="4">
        <f>IMAGE("https://images.lululemon.com/is/image/lululemon/30210",1)</f>
        <v/>
      </c>
      <c r="J734" s="4" t="inlineStr">
        <is>
          <t>M</t>
        </is>
      </c>
      <c r="K734" s="4" t="inlineStr">
        <is>
          <t>20/179</t>
        </is>
      </c>
      <c r="L734" s="4" t="inlineStr">
        <is>
          <t>Yes</t>
        </is>
      </c>
      <c r="M734" s="4" t="inlineStr">
        <is>
          <t>Work out or hang out. This versatile track jacket is designed to keep up with every way you like to move.</t>
        </is>
      </c>
      <c r="N734" s="4" t="inlineStr">
        <is>
          <t>Zeroed-In-Track-Jacket</t>
        </is>
      </c>
      <c r="O734" s="4" t="inlineStr">
        <is>
          <t>Athletic Jackets, Track Jackets</t>
        </is>
      </c>
    </row>
    <row r="735" ht="80" customHeight="1">
      <c r="A735" s="7">
        <f>IMAGE("https://images.lululemon.com/is/image/lululemon/LM3FGXS_048432_1?wid=320&amp;op_usm=0.8",1)</f>
        <v/>
      </c>
      <c r="B735" s="7" t="inlineStr">
        <is>
          <t>Zeroed In Track Jacket</t>
        </is>
      </c>
      <c r="C735" s="7" t="inlineStr">
        <is>
          <t>155950525</t>
        </is>
      </c>
      <c r="D735" s="7" t="inlineStr">
        <is>
          <t>155950525-graphitegrey</t>
        </is>
      </c>
      <c r="E735" s="7" t="inlineStr">
        <is>
          <t>Zeroed In Track Jacket RWLI S</t>
        </is>
      </c>
      <c r="F735" s="7" t="inlineStr">
        <is>
          <t>$138.00</t>
        </is>
      </c>
      <c r="G735" s="7" t="inlineStr">
        <is>
          <t>$69.00</t>
        </is>
      </c>
      <c r="H735" s="7" t="inlineStr">
        <is>
          <t>Graphite Grey</t>
        </is>
      </c>
      <c r="I735" s="7">
        <f>IMAGE("https://images.lululemon.com/is/image/lululemon/30210",1)</f>
        <v/>
      </c>
      <c r="J735" s="7" t="inlineStr">
        <is>
          <t>L</t>
        </is>
      </c>
      <c r="K735" s="7" t="inlineStr">
        <is>
          <t>31/179</t>
        </is>
      </c>
      <c r="L735" s="7" t="inlineStr">
        <is>
          <t>Yes</t>
        </is>
      </c>
      <c r="M735" s="7" t="inlineStr">
        <is>
          <t>Work out or hang out. This versatile track jacket is designed to keep up with every way you like to move.</t>
        </is>
      </c>
      <c r="N735" s="7" t="inlineStr">
        <is>
          <t>Zeroed-In-Track-Jacket</t>
        </is>
      </c>
      <c r="O735" s="7" t="inlineStr">
        <is>
          <t>Athletic Jackets, Track Jackets</t>
        </is>
      </c>
    </row>
    <row r="736" ht="80" customHeight="1">
      <c r="A736" s="4">
        <f>IMAGE("https://images.lululemon.com/is/image/lululemon/LM3FGXS_048432_1?wid=320&amp;op_usm=0.8",1)</f>
        <v/>
      </c>
      <c r="B736" s="4" t="inlineStr">
        <is>
          <t>Zeroed In Track Jacket</t>
        </is>
      </c>
      <c r="C736" s="4" t="inlineStr">
        <is>
          <t>155950532</t>
        </is>
      </c>
      <c r="D736" s="4" t="inlineStr">
        <is>
          <t>155950532-graphitegrey</t>
        </is>
      </c>
      <c r="E736" s="4" t="inlineStr">
        <is>
          <t>Zeroed In Track Jacket RWLI S</t>
        </is>
      </c>
      <c r="F736" s="4" t="inlineStr">
        <is>
          <t>$138.00</t>
        </is>
      </c>
      <c r="G736" s="4" t="inlineStr">
        <is>
          <t>$69.00</t>
        </is>
      </c>
      <c r="H736" s="4" t="inlineStr">
        <is>
          <t>Graphite Grey</t>
        </is>
      </c>
      <c r="I736" s="4">
        <f>IMAGE("https://images.lululemon.com/is/image/lululemon/30210",1)</f>
        <v/>
      </c>
      <c r="J736" s="4" t="inlineStr">
        <is>
          <t>XL</t>
        </is>
      </c>
      <c r="K736" s="4" t="inlineStr">
        <is>
          <t>20/179</t>
        </is>
      </c>
      <c r="L736" s="4" t="inlineStr">
        <is>
          <t>Yes</t>
        </is>
      </c>
      <c r="M736" s="4" t="inlineStr">
        <is>
          <t>Work out or hang out. This versatile track jacket is designed to keep up with every way you like to move.</t>
        </is>
      </c>
      <c r="N736" s="4" t="inlineStr">
        <is>
          <t>Zeroed-In-Track-Jacket</t>
        </is>
      </c>
      <c r="O736" s="4" t="inlineStr">
        <is>
          <t>Athletic Jackets, Track Jackets</t>
        </is>
      </c>
    </row>
    <row r="737" ht="80" customHeight="1">
      <c r="A737" s="5">
        <f>IMAGE("https://images.lululemon.com/is/image/lululemon/LM3FGXS_048432_1?wid=320&amp;op_usm=0.8",1)</f>
        <v/>
      </c>
      <c r="B737" s="5" t="inlineStr">
        <is>
          <t>Zeroed In Track Jacket</t>
        </is>
      </c>
      <c r="C737" s="5" t="inlineStr">
        <is>
          <t>155950537</t>
        </is>
      </c>
      <c r="D737" s="5" t="inlineStr">
        <is>
          <t>155950537-graphitegrey</t>
        </is>
      </c>
      <c r="E737" s="5" t="inlineStr">
        <is>
          <t>Zeroed In Track Jacket RWLI S</t>
        </is>
      </c>
      <c r="F737" s="5" t="inlineStr">
        <is>
          <t>$138.00</t>
        </is>
      </c>
      <c r="G737" s="5" t="inlineStr">
        <is>
          <t>$69.00</t>
        </is>
      </c>
      <c r="H737" s="5" t="inlineStr">
        <is>
          <t>Graphite Grey</t>
        </is>
      </c>
      <c r="I737" s="5">
        <f>IMAGE("https://images.lululemon.com/is/image/lululemon/30210",1)</f>
        <v/>
      </c>
      <c r="J737" s="5" t="inlineStr">
        <is>
          <t>XXL</t>
        </is>
      </c>
      <c r="K737" s="5" t="inlineStr">
        <is>
          <t>7/179</t>
        </is>
      </c>
      <c r="L737" s="5" t="inlineStr">
        <is>
          <t>Yes</t>
        </is>
      </c>
      <c r="M737" s="5" t="inlineStr">
        <is>
          <t>Work out or hang out. This versatile track jacket is designed to keep up with every way you like to move.</t>
        </is>
      </c>
      <c r="N737" s="5" t="inlineStr">
        <is>
          <t>Zeroed-In-Track-Jacket</t>
        </is>
      </c>
      <c r="O737" s="5" t="inlineStr">
        <is>
          <t>Athletic Jackets, Track Jackets</t>
        </is>
      </c>
    </row>
    <row r="738" ht="80" customHeight="1">
      <c r="A738" s="4">
        <f>IMAGE("https://images.lululemon.com/is/image/lululemon/LM5BBRS_0001_1?wid=320&amp;op_usm=0.8",1)</f>
        <v/>
      </c>
      <c r="B738" s="4" t="inlineStr">
        <is>
          <t>Steady State Classic-Fit Jogger *Regular</t>
        </is>
      </c>
      <c r="C738" s="4" t="inlineStr">
        <is>
          <t>154650673</t>
        </is>
      </c>
      <c r="D738" s="4" t="inlineStr">
        <is>
          <t>154650673-black</t>
        </is>
      </c>
      <c r="E738" s="4" t="inlineStr">
        <is>
          <t>Steady State Classic-Fit Jogger *Regular BLK S</t>
        </is>
      </c>
      <c r="F738" s="4" t="inlineStr">
        <is>
          <t>$118.00</t>
        </is>
      </c>
      <c r="G738" s="4" t="inlineStr">
        <is>
          <t>$59.00</t>
        </is>
      </c>
      <c r="H738" s="4" t="inlineStr">
        <is>
          <t>Black</t>
        </is>
      </c>
      <c r="I738" s="4">
        <f>IMAGE("https://images.lululemon.com/is/image/lululemon/0001",1)</f>
        <v/>
      </c>
      <c r="J738" s="4" t="inlineStr">
        <is>
          <t>S</t>
        </is>
      </c>
      <c r="K738" s="4" t="inlineStr">
        <is>
          <t>154/519</t>
        </is>
      </c>
      <c r="L738" s="4" t="inlineStr">
        <is>
          <t>Yes</t>
        </is>
      </c>
      <c r="M738" s="4" t="inlineStr">
        <is>
          <t>A reimagined classic. These fleece joggers put softness first, so you can bring comfort wherever you go.</t>
        </is>
      </c>
      <c r="N738" s="4" t="inlineStr">
        <is>
          <t>Steady-State-Classic-Fit-Jogger</t>
        </is>
      </c>
      <c r="O738" s="4" t="inlineStr"/>
    </row>
    <row r="739" ht="80" customHeight="1">
      <c r="A739" s="7">
        <f>IMAGE("https://images.lululemon.com/is/image/lululemon/LM5BBRS_0001_1?wid=320&amp;op_usm=0.8",1)</f>
        <v/>
      </c>
      <c r="B739" s="7" t="inlineStr">
        <is>
          <t>Steady State Classic-Fit Jogger *Regular</t>
        </is>
      </c>
      <c r="C739" s="7" t="inlineStr">
        <is>
          <t>154650672</t>
        </is>
      </c>
      <c r="D739" s="7" t="inlineStr">
        <is>
          <t>154650672-black</t>
        </is>
      </c>
      <c r="E739" s="7" t="inlineStr">
        <is>
          <t>Steady State Classic-Fit Jogger *Regular BLK S</t>
        </is>
      </c>
      <c r="F739" s="7" t="inlineStr">
        <is>
          <t>$118.00</t>
        </is>
      </c>
      <c r="G739" s="7" t="inlineStr">
        <is>
          <t>$59.00</t>
        </is>
      </c>
      <c r="H739" s="7" t="inlineStr">
        <is>
          <t>Black</t>
        </is>
      </c>
      <c r="I739" s="7">
        <f>IMAGE("https://images.lululemon.com/is/image/lululemon/0001",1)</f>
        <v/>
      </c>
      <c r="J739" s="7" t="inlineStr">
        <is>
          <t>M</t>
        </is>
      </c>
      <c r="K739" s="7" t="inlineStr">
        <is>
          <t>231/519</t>
        </is>
      </c>
      <c r="L739" s="7" t="inlineStr">
        <is>
          <t>Yes</t>
        </is>
      </c>
      <c r="M739" s="7" t="inlineStr">
        <is>
          <t>A reimagined classic. These fleece joggers put softness first, so you can bring comfort wherever you go.</t>
        </is>
      </c>
      <c r="N739" s="7" t="inlineStr">
        <is>
          <t>Steady-State-Classic-Fit-Jogger</t>
        </is>
      </c>
      <c r="O739" s="7" t="inlineStr"/>
    </row>
    <row r="740" ht="80" customHeight="1">
      <c r="A740" s="4">
        <f>IMAGE("https://images.lululemon.com/is/image/lululemon/LM5BBRS_0001_1?wid=320&amp;op_usm=0.8",1)</f>
        <v/>
      </c>
      <c r="B740" s="4" t="inlineStr">
        <is>
          <t>Steady State Classic-Fit Jogger *Regular</t>
        </is>
      </c>
      <c r="C740" s="4" t="inlineStr">
        <is>
          <t>154650671</t>
        </is>
      </c>
      <c r="D740" s="4" t="inlineStr">
        <is>
          <t>154650671-black</t>
        </is>
      </c>
      <c r="E740" s="4" t="inlineStr">
        <is>
          <t>Steady State Classic-Fit Jogger *Regular BLK S</t>
        </is>
      </c>
      <c r="F740" s="4" t="inlineStr">
        <is>
          <t>$118.00</t>
        </is>
      </c>
      <c r="G740" s="4" t="inlineStr">
        <is>
          <t>$59.00</t>
        </is>
      </c>
      <c r="H740" s="4" t="inlineStr">
        <is>
          <t>Black</t>
        </is>
      </c>
      <c r="I740" s="4">
        <f>IMAGE("https://images.lululemon.com/is/image/lululemon/0001",1)</f>
        <v/>
      </c>
      <c r="J740" s="4" t="inlineStr">
        <is>
          <t>L</t>
        </is>
      </c>
      <c r="K740" s="4" t="inlineStr">
        <is>
          <t>112/519</t>
        </is>
      </c>
      <c r="L740" s="4" t="inlineStr">
        <is>
          <t>Yes</t>
        </is>
      </c>
      <c r="M740" s="4" t="inlineStr">
        <is>
          <t>A reimagined classic. These fleece joggers put softness first, so you can bring comfort wherever you go.</t>
        </is>
      </c>
      <c r="N740" s="4" t="inlineStr">
        <is>
          <t>Steady-State-Classic-Fit-Jogger</t>
        </is>
      </c>
      <c r="O740" s="4" t="inlineStr"/>
    </row>
    <row r="741" ht="80" customHeight="1">
      <c r="A741" s="7">
        <f>IMAGE("https://images.lululemon.com/is/image/lululemon/LM5BBRS_0001_1?wid=320&amp;op_usm=0.8",1)</f>
        <v/>
      </c>
      <c r="B741" s="7" t="inlineStr">
        <is>
          <t>Steady State Classic-Fit Jogger *Regular</t>
        </is>
      </c>
      <c r="C741" s="7" t="inlineStr">
        <is>
          <t>154650674</t>
        </is>
      </c>
      <c r="D741" s="7" t="inlineStr">
        <is>
          <t>154650674-black</t>
        </is>
      </c>
      <c r="E741" s="7" t="inlineStr">
        <is>
          <t>Steady State Classic-Fit Jogger *Regular BLK S</t>
        </is>
      </c>
      <c r="F741" s="7" t="inlineStr">
        <is>
          <t>$118.00</t>
        </is>
      </c>
      <c r="G741" s="7" t="inlineStr">
        <is>
          <t>$59.00</t>
        </is>
      </c>
      <c r="H741" s="7" t="inlineStr">
        <is>
          <t>Black</t>
        </is>
      </c>
      <c r="I741" s="7">
        <f>IMAGE("https://images.lululemon.com/is/image/lululemon/0001",1)</f>
        <v/>
      </c>
      <c r="J741" s="7" t="inlineStr">
        <is>
          <t>XL</t>
        </is>
      </c>
      <c r="K741" s="7" t="inlineStr">
        <is>
          <t>6/519</t>
        </is>
      </c>
      <c r="L741" s="7" t="inlineStr">
        <is>
          <t>Yes</t>
        </is>
      </c>
      <c r="M741" s="7" t="inlineStr">
        <is>
          <t>A reimagined classic. These fleece joggers put softness first, so you can bring comfort wherever you go.</t>
        </is>
      </c>
      <c r="N741" s="7" t="inlineStr">
        <is>
          <t>Steady-State-Classic-Fit-Jogger</t>
        </is>
      </c>
      <c r="O741" s="7" t="inlineStr"/>
    </row>
    <row r="742" ht="80" customHeight="1">
      <c r="A742" s="6">
        <f>IMAGE("https://images.lululemon.com/is/image/lululemon/LM5BBRS_0001_1?wid=320&amp;op_usm=0.8",1)</f>
        <v/>
      </c>
      <c r="B742" s="6" t="inlineStr">
        <is>
          <t>Steady State Classic-Fit Jogger *Regular</t>
        </is>
      </c>
      <c r="C742" s="6" t="inlineStr">
        <is>
          <t>154650676</t>
        </is>
      </c>
      <c r="D742" s="6" t="inlineStr">
        <is>
          <t>154650676-black</t>
        </is>
      </c>
      <c r="E742" s="6" t="inlineStr">
        <is>
          <t>Steady State Classic-Fit Jogger *Regular BLK S</t>
        </is>
      </c>
      <c r="F742" s="6" t="inlineStr">
        <is>
          <t>$118.00</t>
        </is>
      </c>
      <c r="G742" s="6" t="inlineStr">
        <is>
          <t>$59.00</t>
        </is>
      </c>
      <c r="H742" s="6" t="inlineStr">
        <is>
          <t>Black</t>
        </is>
      </c>
      <c r="I742" s="6">
        <f>IMAGE("https://images.lululemon.com/is/image/lululemon/0001",1)</f>
        <v/>
      </c>
      <c r="J742" s="6" t="inlineStr">
        <is>
          <t>XXL</t>
        </is>
      </c>
      <c r="K742" s="6" t="inlineStr">
        <is>
          <t>16/519</t>
        </is>
      </c>
      <c r="L742" s="6" t="inlineStr">
        <is>
          <t>Yes</t>
        </is>
      </c>
      <c r="M742" s="6" t="inlineStr">
        <is>
          <t>A reimagined classic. These fleece joggers put softness first, so you can bring comfort wherever you go.</t>
        </is>
      </c>
      <c r="N742" s="6" t="inlineStr">
        <is>
          <t>Steady-State-Classic-Fit-Jogger</t>
        </is>
      </c>
      <c r="O742" s="6" t="inlineStr"/>
    </row>
    <row r="743" ht="80" customHeight="1">
      <c r="A743" s="7">
        <f>IMAGE("https://images.lululemon.com/is/image/lululemon/LM3FTZS_043801_1?wid=320&amp;op_usm=0.8",1)</f>
        <v/>
      </c>
      <c r="B743" s="7" t="inlineStr">
        <is>
          <t>Reflective Knit Running Half Zip</t>
        </is>
      </c>
      <c r="C743" s="7" t="inlineStr">
        <is>
          <t>157676703</t>
        </is>
      </c>
      <c r="D743" s="7" t="inlineStr">
        <is>
          <t>157676703-white/silverdrop</t>
        </is>
      </c>
      <c r="E743" s="7" t="inlineStr">
        <is>
          <t>Reflective Knit Running Half Zip WHT/SILD S</t>
        </is>
      </c>
      <c r="F743" s="7" t="inlineStr">
        <is>
          <t>$148.00</t>
        </is>
      </c>
      <c r="G743" s="7" t="inlineStr">
        <is>
          <t>$74.00</t>
        </is>
      </c>
      <c r="H743" s="7" t="inlineStr">
        <is>
          <t>White/Silver Drop</t>
        </is>
      </c>
      <c r="I743" s="7">
        <f>IMAGE("https://images.lululemon.com/is/image/lululemon/43801",1)</f>
        <v/>
      </c>
      <c r="J743" s="7" t="inlineStr">
        <is>
          <t>S</t>
        </is>
      </c>
      <c r="K743" s="7" t="inlineStr">
        <is>
          <t>22/290</t>
        </is>
      </c>
      <c r="L743" s="7" t="inlineStr">
        <is>
          <t>Yes</t>
        </is>
      </c>
      <c r="M743" s="7" t="inlineStr">
        <is>
          <t>Highlight your stride. Made of four-way stretch, quick-drying fabric with reflective yarns woven throughout, this top helps keep you on the radar.</t>
        </is>
      </c>
      <c r="N743" s="7" t="inlineStr">
        <is>
          <t>Reflective-Knit-Running-Half-Zip</t>
        </is>
      </c>
      <c r="O743" s="7" t="inlineStr">
        <is>
          <t>Half Zip Sweatshirts, Quarter Zip Sweatshirts</t>
        </is>
      </c>
    </row>
    <row r="744" ht="80" customHeight="1">
      <c r="A744" s="4">
        <f>IMAGE("https://images.lululemon.com/is/image/lululemon/LM3FTZS_043801_1?wid=320&amp;op_usm=0.8",1)</f>
        <v/>
      </c>
      <c r="B744" s="4" t="inlineStr">
        <is>
          <t>Reflective Knit Running Half Zip</t>
        </is>
      </c>
      <c r="C744" s="4" t="inlineStr">
        <is>
          <t>157676701</t>
        </is>
      </c>
      <c r="D744" s="4" t="inlineStr">
        <is>
          <t>157676701-white/silverdrop</t>
        </is>
      </c>
      <c r="E744" s="4" t="inlineStr">
        <is>
          <t>Reflective Knit Running Half Zip WHT/SILD S</t>
        </is>
      </c>
      <c r="F744" s="4" t="inlineStr">
        <is>
          <t>$148.00</t>
        </is>
      </c>
      <c r="G744" s="4" t="inlineStr">
        <is>
          <t>$74.00</t>
        </is>
      </c>
      <c r="H744" s="4" t="inlineStr">
        <is>
          <t>White/Silver Drop</t>
        </is>
      </c>
      <c r="I744" s="4">
        <f>IMAGE("https://images.lululemon.com/is/image/lululemon/43801",1)</f>
        <v/>
      </c>
      <c r="J744" s="4" t="inlineStr">
        <is>
          <t>M</t>
        </is>
      </c>
      <c r="K744" s="4" t="inlineStr">
        <is>
          <t>73/290</t>
        </is>
      </c>
      <c r="L744" s="4" t="inlineStr">
        <is>
          <t>Yes</t>
        </is>
      </c>
      <c r="M744" s="4" t="inlineStr">
        <is>
          <t>Highlight your stride. Made of four-way stretch, quick-drying fabric with reflective yarns woven throughout, this top helps keep you on the radar.</t>
        </is>
      </c>
      <c r="N744" s="4" t="inlineStr">
        <is>
          <t>Reflective-Knit-Running-Half-Zip</t>
        </is>
      </c>
      <c r="O744" s="4" t="inlineStr">
        <is>
          <t>Half Zip Sweatshirts, Quarter Zip Sweatshirts</t>
        </is>
      </c>
    </row>
    <row r="745" ht="80" customHeight="1">
      <c r="A745" s="7">
        <f>IMAGE("https://images.lululemon.com/is/image/lululemon/LM3FTZS_043801_1?wid=320&amp;op_usm=0.8",1)</f>
        <v/>
      </c>
      <c r="B745" s="7" t="inlineStr">
        <is>
          <t>Reflective Knit Running Half Zip</t>
        </is>
      </c>
      <c r="C745" s="7" t="inlineStr">
        <is>
          <t>157676696</t>
        </is>
      </c>
      <c r="D745" s="7" t="inlineStr">
        <is>
          <t>157676696-white/silverdrop</t>
        </is>
      </c>
      <c r="E745" s="7" t="inlineStr">
        <is>
          <t>Reflective Knit Running Half Zip WHT/SILD S</t>
        </is>
      </c>
      <c r="F745" s="7" t="inlineStr">
        <is>
          <t>$148.00</t>
        </is>
      </c>
      <c r="G745" s="7" t="inlineStr">
        <is>
          <t>$74.00</t>
        </is>
      </c>
      <c r="H745" s="7" t="inlineStr">
        <is>
          <t>White/Silver Drop</t>
        </is>
      </c>
      <c r="I745" s="7">
        <f>IMAGE("https://images.lululemon.com/is/image/lululemon/43801",1)</f>
        <v/>
      </c>
      <c r="J745" s="7" t="inlineStr">
        <is>
          <t>L</t>
        </is>
      </c>
      <c r="K745" s="7" t="inlineStr">
        <is>
          <t>102/290</t>
        </is>
      </c>
      <c r="L745" s="7" t="inlineStr">
        <is>
          <t>Yes</t>
        </is>
      </c>
      <c r="M745" s="7" t="inlineStr">
        <is>
          <t>Highlight your stride. Made of four-way stretch, quick-drying fabric with reflective yarns woven throughout, this top helps keep you on the radar.</t>
        </is>
      </c>
      <c r="N745" s="7" t="inlineStr">
        <is>
          <t>Reflective-Knit-Running-Half-Zip</t>
        </is>
      </c>
      <c r="O745" s="7" t="inlineStr">
        <is>
          <t>Half Zip Sweatshirts, Quarter Zip Sweatshirts</t>
        </is>
      </c>
    </row>
    <row r="746" ht="80" customHeight="1">
      <c r="A746" s="4">
        <f>IMAGE("https://images.lululemon.com/is/image/lululemon/LM3FTZS_043801_1?wid=320&amp;op_usm=0.8",1)</f>
        <v/>
      </c>
      <c r="B746" s="4" t="inlineStr">
        <is>
          <t>Reflective Knit Running Half Zip</t>
        </is>
      </c>
      <c r="C746" s="4" t="inlineStr">
        <is>
          <t>157676707</t>
        </is>
      </c>
      <c r="D746" s="4" t="inlineStr">
        <is>
          <t>157676707-white/silverdrop</t>
        </is>
      </c>
      <c r="E746" s="4" t="inlineStr">
        <is>
          <t>Reflective Knit Running Half Zip WHT/SILD S</t>
        </is>
      </c>
      <c r="F746" s="4" t="inlineStr">
        <is>
          <t>$148.00</t>
        </is>
      </c>
      <c r="G746" s="4" t="inlineStr">
        <is>
          <t>$74.00</t>
        </is>
      </c>
      <c r="H746" s="4" t="inlineStr">
        <is>
          <t>White/Silver Drop</t>
        </is>
      </c>
      <c r="I746" s="4">
        <f>IMAGE("https://images.lululemon.com/is/image/lululemon/43801",1)</f>
        <v/>
      </c>
      <c r="J746" s="4" t="inlineStr">
        <is>
          <t>XL</t>
        </is>
      </c>
      <c r="K746" s="4" t="inlineStr">
        <is>
          <t>71/290</t>
        </is>
      </c>
      <c r="L746" s="4" t="inlineStr">
        <is>
          <t>Yes</t>
        </is>
      </c>
      <c r="M746" s="4" t="inlineStr">
        <is>
          <t>Highlight your stride. Made of four-way stretch, quick-drying fabric with reflective yarns woven throughout, this top helps keep you on the radar.</t>
        </is>
      </c>
      <c r="N746" s="4" t="inlineStr">
        <is>
          <t>Reflective-Knit-Running-Half-Zip</t>
        </is>
      </c>
      <c r="O746" s="4" t="inlineStr">
        <is>
          <t>Half Zip Sweatshirts, Quarter Zip Sweatshirts</t>
        </is>
      </c>
    </row>
    <row r="747" ht="80" customHeight="1">
      <c r="A747" s="5">
        <f>IMAGE("https://images.lululemon.com/is/image/lululemon/LM3FTZS_043801_1?wid=320&amp;op_usm=0.8",1)</f>
        <v/>
      </c>
      <c r="B747" s="5" t="inlineStr">
        <is>
          <t>Reflective Knit Running Half Zip</t>
        </is>
      </c>
      <c r="C747" s="5" t="inlineStr">
        <is>
          <t>157676716</t>
        </is>
      </c>
      <c r="D747" s="5" t="inlineStr">
        <is>
          <t>157676716-white/silverdrop</t>
        </is>
      </c>
      <c r="E747" s="5" t="inlineStr">
        <is>
          <t>Reflective Knit Running Half Zip WHT/SILD S</t>
        </is>
      </c>
      <c r="F747" s="5" t="inlineStr">
        <is>
          <t>$148.00</t>
        </is>
      </c>
      <c r="G747" s="5" t="inlineStr">
        <is>
          <t>$74.00</t>
        </is>
      </c>
      <c r="H747" s="5" t="inlineStr">
        <is>
          <t>White/Silver Drop</t>
        </is>
      </c>
      <c r="I747" s="5">
        <f>IMAGE("https://images.lululemon.com/is/image/lululemon/43801",1)</f>
        <v/>
      </c>
      <c r="J747" s="5" t="inlineStr">
        <is>
          <t>XXL</t>
        </is>
      </c>
      <c r="K747" s="5" t="inlineStr">
        <is>
          <t>22/290</t>
        </is>
      </c>
      <c r="L747" s="5" t="inlineStr">
        <is>
          <t>Yes</t>
        </is>
      </c>
      <c r="M747" s="5" t="inlineStr">
        <is>
          <t>Highlight your stride. Made of four-way stretch, quick-drying fabric with reflective yarns woven throughout, this top helps keep you on the radar.</t>
        </is>
      </c>
      <c r="N747" s="5" t="inlineStr">
        <is>
          <t>Reflective-Knit-Running-Half-Zip</t>
        </is>
      </c>
      <c r="O747" s="5" t="inlineStr">
        <is>
          <t>Half Zip Sweatshirts, Quarter Zip Sweatshirts</t>
        </is>
      </c>
    </row>
    <row r="748" ht="80" customHeight="1">
      <c r="A748" s="4">
        <f>IMAGE("https://images.lululemon.com/is/image/lululemon/LM5ARGS_0001_1?wid=320&amp;op_usm=0.8",1)</f>
        <v/>
      </c>
      <c r="B748" s="4" t="inlineStr">
        <is>
          <t>Pace Breaker Pant *Regular</t>
        </is>
      </c>
      <c r="C748" s="4" t="inlineStr">
        <is>
          <t>153105584</t>
        </is>
      </c>
      <c r="D748" s="4" t="inlineStr">
        <is>
          <t>153105584-black</t>
        </is>
      </c>
      <c r="E748" s="4" t="inlineStr">
        <is>
          <t>Pace Breaker Pant *Regular BLK S</t>
        </is>
      </c>
      <c r="F748" s="4" t="inlineStr">
        <is>
          <t>$128.00</t>
        </is>
      </c>
      <c r="G748" s="4" t="inlineStr">
        <is>
          <t>$64.00</t>
        </is>
      </c>
      <c r="H748" s="4" t="inlineStr">
        <is>
          <t>Black</t>
        </is>
      </c>
      <c r="I748" s="4">
        <f>IMAGE("https://images.lululemon.com/is/image/lululemon/0001",1)</f>
        <v/>
      </c>
      <c r="J748" s="4" t="inlineStr">
        <is>
          <t>S</t>
        </is>
      </c>
      <c r="K748" s="4" t="inlineStr">
        <is>
          <t>7/377</t>
        </is>
      </c>
      <c r="L748" s="4" t="inlineStr">
        <is>
          <t>Yes</t>
        </is>
      </c>
      <c r="M748" s="4" t="inlineStr">
        <is>
          <t>Give it your all. These versatile pants are designed for maximum comfort and zero distractions as you stretch, sprint, and lift.</t>
        </is>
      </c>
      <c r="N748" s="4" t="inlineStr">
        <is>
          <t>Pace-Breaker-Pant</t>
        </is>
      </c>
      <c r="O748" s="4" t="inlineStr">
        <is>
          <t>Athletic Pants</t>
        </is>
      </c>
    </row>
    <row r="749" ht="80" customHeight="1">
      <c r="A749" s="7">
        <f>IMAGE("https://images.lululemon.com/is/image/lululemon/LM5ARGS_0001_1?wid=320&amp;op_usm=0.8",1)</f>
        <v/>
      </c>
      <c r="B749" s="7" t="inlineStr">
        <is>
          <t>Pace Breaker Pant *Regular</t>
        </is>
      </c>
      <c r="C749" s="7" t="inlineStr">
        <is>
          <t>153105580</t>
        </is>
      </c>
      <c r="D749" s="7" t="inlineStr">
        <is>
          <t>153105580-black</t>
        </is>
      </c>
      <c r="E749" s="7" t="inlineStr">
        <is>
          <t>Pace Breaker Pant *Regular BLK S</t>
        </is>
      </c>
      <c r="F749" s="7" t="inlineStr">
        <is>
          <t>$128.00</t>
        </is>
      </c>
      <c r="G749" s="7" t="inlineStr">
        <is>
          <t>$64.00</t>
        </is>
      </c>
      <c r="H749" s="7" t="inlineStr">
        <is>
          <t>Black</t>
        </is>
      </c>
      <c r="I749" s="7">
        <f>IMAGE("https://images.lululemon.com/is/image/lululemon/0001",1)</f>
        <v/>
      </c>
      <c r="J749" s="7" t="inlineStr">
        <is>
          <t>M</t>
        </is>
      </c>
      <c r="K749" s="7" t="inlineStr">
        <is>
          <t>27/377</t>
        </is>
      </c>
      <c r="L749" s="7" t="inlineStr">
        <is>
          <t>Yes</t>
        </is>
      </c>
      <c r="M749" s="7" t="inlineStr">
        <is>
          <t>Give it your all. These versatile pants are designed for maximum comfort and zero distractions as you stretch, sprint, and lift.</t>
        </is>
      </c>
      <c r="N749" s="7" t="inlineStr">
        <is>
          <t>Pace-Breaker-Pant</t>
        </is>
      </c>
      <c r="O749" s="7" t="inlineStr">
        <is>
          <t>Athletic Pants</t>
        </is>
      </c>
    </row>
    <row r="750" ht="80" customHeight="1">
      <c r="A750" s="4">
        <f>IMAGE("https://images.lululemon.com/is/image/lululemon/LM5ARGS_0001_1?wid=320&amp;op_usm=0.8",1)</f>
        <v/>
      </c>
      <c r="B750" s="4" t="inlineStr">
        <is>
          <t>Pace Breaker Pant *Regular</t>
        </is>
      </c>
      <c r="C750" s="4" t="inlineStr">
        <is>
          <t>153105576</t>
        </is>
      </c>
      <c r="D750" s="4" t="inlineStr">
        <is>
          <t>153105576-black</t>
        </is>
      </c>
      <c r="E750" s="4" t="inlineStr">
        <is>
          <t>Pace Breaker Pant *Regular BLK S</t>
        </is>
      </c>
      <c r="F750" s="4" t="inlineStr">
        <is>
          <t>$128.00</t>
        </is>
      </c>
      <c r="G750" s="4" t="inlineStr">
        <is>
          <t>$64.00</t>
        </is>
      </c>
      <c r="H750" s="4" t="inlineStr">
        <is>
          <t>Black</t>
        </is>
      </c>
      <c r="I750" s="4">
        <f>IMAGE("https://images.lululemon.com/is/image/lululemon/0001",1)</f>
        <v/>
      </c>
      <c r="J750" s="4" t="inlineStr">
        <is>
          <t>L</t>
        </is>
      </c>
      <c r="K750" s="4" t="inlineStr">
        <is>
          <t>37/377</t>
        </is>
      </c>
      <c r="L750" s="4" t="inlineStr">
        <is>
          <t>Yes</t>
        </is>
      </c>
      <c r="M750" s="4" t="inlineStr">
        <is>
          <t>Give it your all. These versatile pants are designed for maximum comfort and zero distractions as you stretch, sprint, and lift.</t>
        </is>
      </c>
      <c r="N750" s="4" t="inlineStr">
        <is>
          <t>Pace-Breaker-Pant</t>
        </is>
      </c>
      <c r="O750" s="4" t="inlineStr">
        <is>
          <t>Athletic Pants</t>
        </is>
      </c>
    </row>
    <row r="751" ht="80" customHeight="1">
      <c r="A751" s="7">
        <f>IMAGE("https://images.lululemon.com/is/image/lululemon/LM5ARGS_0001_1?wid=320&amp;op_usm=0.8",1)</f>
        <v/>
      </c>
      <c r="B751" s="7" t="inlineStr">
        <is>
          <t>Pace Breaker Pant *Regular</t>
        </is>
      </c>
      <c r="C751" s="7" t="inlineStr">
        <is>
          <t>153105588</t>
        </is>
      </c>
      <c r="D751" s="7" t="inlineStr">
        <is>
          <t>153105588-black</t>
        </is>
      </c>
      <c r="E751" s="7" t="inlineStr">
        <is>
          <t>Pace Breaker Pant *Regular BLK S</t>
        </is>
      </c>
      <c r="F751" s="7" t="inlineStr">
        <is>
          <t>$128.00</t>
        </is>
      </c>
      <c r="G751" s="7" t="inlineStr">
        <is>
          <t>$64.00</t>
        </is>
      </c>
      <c r="H751" s="7" t="inlineStr">
        <is>
          <t>Black</t>
        </is>
      </c>
      <c r="I751" s="7">
        <f>IMAGE("https://images.lululemon.com/is/image/lululemon/0001",1)</f>
        <v/>
      </c>
      <c r="J751" s="7" t="inlineStr">
        <is>
          <t>XL</t>
        </is>
      </c>
      <c r="K751" s="7" t="inlineStr">
        <is>
          <t>28/377</t>
        </is>
      </c>
      <c r="L751" s="7" t="inlineStr">
        <is>
          <t>Yes</t>
        </is>
      </c>
      <c r="M751" s="7" t="inlineStr">
        <is>
          <t>Give it your all. These versatile pants are designed for maximum comfort and zero distractions as you stretch, sprint, and lift.</t>
        </is>
      </c>
      <c r="N751" s="7" t="inlineStr">
        <is>
          <t>Pace-Breaker-Pant</t>
        </is>
      </c>
      <c r="O751" s="7" t="inlineStr">
        <is>
          <t>Athletic Pants</t>
        </is>
      </c>
    </row>
    <row r="752" ht="80" customHeight="1">
      <c r="A752" s="4">
        <f>IMAGE("https://images.lululemon.com/is/image/lululemon/LM5ARGS_0001_1?wid=320&amp;op_usm=0.8",1)</f>
        <v/>
      </c>
      <c r="B752" s="4" t="inlineStr">
        <is>
          <t>Pace Breaker Pant *Regular</t>
        </is>
      </c>
      <c r="C752" s="4" t="inlineStr">
        <is>
          <t>153105595</t>
        </is>
      </c>
      <c r="D752" s="4" t="inlineStr">
        <is>
          <t>153105595-black</t>
        </is>
      </c>
      <c r="E752" s="4" t="inlineStr">
        <is>
          <t>Pace Breaker Pant *Regular BLK S</t>
        </is>
      </c>
      <c r="F752" s="4" t="inlineStr">
        <is>
          <t>$128.00</t>
        </is>
      </c>
      <c r="G752" s="4" t="inlineStr">
        <is>
          <t>$64.00</t>
        </is>
      </c>
      <c r="H752" s="4" t="inlineStr">
        <is>
          <t>Black</t>
        </is>
      </c>
      <c r="I752" s="4">
        <f>IMAGE("https://images.lululemon.com/is/image/lululemon/0001",1)</f>
        <v/>
      </c>
      <c r="J752" s="4" t="inlineStr">
        <is>
          <t>XXL</t>
        </is>
      </c>
      <c r="K752" s="4" t="inlineStr">
        <is>
          <t>12/377</t>
        </is>
      </c>
      <c r="L752" s="4" t="inlineStr">
        <is>
          <t>Yes</t>
        </is>
      </c>
      <c r="M752" s="4" t="inlineStr">
        <is>
          <t>Give it your all. These versatile pants are designed for maximum comfort and zero distractions as you stretch, sprint, and lift.</t>
        </is>
      </c>
      <c r="N752" s="4" t="inlineStr">
        <is>
          <t>Pace-Breaker-Pant</t>
        </is>
      </c>
      <c r="O752" s="4" t="inlineStr">
        <is>
          <t>Athletic Pants</t>
        </is>
      </c>
    </row>
    <row r="753" ht="80" customHeight="1">
      <c r="A753" s="7">
        <f>IMAGE("https://images.lululemon.com/is/image/lululemon/LM5ARGS_0001_1?wid=320&amp;op_usm=0.8",1)</f>
        <v/>
      </c>
      <c r="B753" s="7" t="inlineStr">
        <is>
          <t>Pace Breaker Pant *Regular</t>
        </is>
      </c>
      <c r="C753" s="7" t="inlineStr">
        <is>
          <t>157712197</t>
        </is>
      </c>
      <c r="D753" s="7" t="inlineStr">
        <is>
          <t>157712197-sequoia</t>
        </is>
      </c>
      <c r="E753" s="7" t="inlineStr">
        <is>
          <t>Pace Breaker Pant *Regular BLK S</t>
        </is>
      </c>
      <c r="F753" s="7" t="inlineStr">
        <is>
          <t>$128.00</t>
        </is>
      </c>
      <c r="G753" s="7" t="inlineStr">
        <is>
          <t>$64.00</t>
        </is>
      </c>
      <c r="H753" s="7" t="inlineStr">
        <is>
          <t>Sequoia</t>
        </is>
      </c>
      <c r="I753" s="7">
        <f>IMAGE("https://images.lululemon.com/is/image/lululemon/41179",1)</f>
        <v/>
      </c>
      <c r="J753" s="7" t="inlineStr">
        <is>
          <t>L</t>
        </is>
      </c>
      <c r="K753" s="7" t="inlineStr">
        <is>
          <t>27/377</t>
        </is>
      </c>
      <c r="L753" s="7" t="inlineStr">
        <is>
          <t>Yes</t>
        </is>
      </c>
      <c r="M753" s="7" t="inlineStr">
        <is>
          <t>Give it your all. These versatile pants are designed for maximum comfort and zero distractions as you stretch, sprint, and lift.</t>
        </is>
      </c>
      <c r="N753" s="7" t="inlineStr">
        <is>
          <t>Pace-Breaker-Pant</t>
        </is>
      </c>
      <c r="O753" s="7" t="inlineStr">
        <is>
          <t>Athletic Pants</t>
        </is>
      </c>
    </row>
    <row r="754" ht="80" customHeight="1">
      <c r="A754" s="4">
        <f>IMAGE("https://images.lululemon.com/is/image/lululemon/LM5ARGS_0001_1?wid=320&amp;op_usm=0.8",1)</f>
        <v/>
      </c>
      <c r="B754" s="4" t="inlineStr">
        <is>
          <t>Pace Breaker Pant *Regular</t>
        </is>
      </c>
      <c r="C754" s="4" t="inlineStr">
        <is>
          <t>157712221</t>
        </is>
      </c>
      <c r="D754" s="4" t="inlineStr">
        <is>
          <t>157712221-sequoia</t>
        </is>
      </c>
      <c r="E754" s="4" t="inlineStr">
        <is>
          <t>Pace Breaker Pant *Regular BLK S</t>
        </is>
      </c>
      <c r="F754" s="4" t="inlineStr">
        <is>
          <t>$128.00</t>
        </is>
      </c>
      <c r="G754" s="4" t="inlineStr">
        <is>
          <t>$64.00</t>
        </is>
      </c>
      <c r="H754" s="4" t="inlineStr">
        <is>
          <t>Sequoia</t>
        </is>
      </c>
      <c r="I754" s="4">
        <f>IMAGE("https://images.lululemon.com/is/image/lululemon/41179",1)</f>
        <v/>
      </c>
      <c r="J754" s="4" t="inlineStr">
        <is>
          <t>XL</t>
        </is>
      </c>
      <c r="K754" s="4" t="inlineStr">
        <is>
          <t>128/377</t>
        </is>
      </c>
      <c r="L754" s="4" t="inlineStr">
        <is>
          <t>Yes</t>
        </is>
      </c>
      <c r="M754" s="4" t="inlineStr">
        <is>
          <t>Give it your all. These versatile pants are designed for maximum comfort and zero distractions as you stretch, sprint, and lift.</t>
        </is>
      </c>
      <c r="N754" s="4" t="inlineStr">
        <is>
          <t>Pace-Breaker-Pant</t>
        </is>
      </c>
      <c r="O754" s="4" t="inlineStr">
        <is>
          <t>Athletic Pants</t>
        </is>
      </c>
    </row>
    <row r="755" ht="80" customHeight="1">
      <c r="A755" s="5">
        <f>IMAGE("https://images.lululemon.com/is/image/lululemon/LM5ARGS_0001_1?wid=320&amp;op_usm=0.8",1)</f>
        <v/>
      </c>
      <c r="B755" s="5" t="inlineStr">
        <is>
          <t>Pace Breaker Pant *Regular</t>
        </is>
      </c>
      <c r="C755" s="5" t="inlineStr">
        <is>
          <t>157712235</t>
        </is>
      </c>
      <c r="D755" s="5" t="inlineStr">
        <is>
          <t>157712235-sequoia</t>
        </is>
      </c>
      <c r="E755" s="5" t="inlineStr">
        <is>
          <t>Pace Breaker Pant *Regular BLK S</t>
        </is>
      </c>
      <c r="F755" s="5" t="inlineStr">
        <is>
          <t>$128.00</t>
        </is>
      </c>
      <c r="G755" s="5" t="inlineStr">
        <is>
          <t>$64.00</t>
        </is>
      </c>
      <c r="H755" s="5" t="inlineStr">
        <is>
          <t>Sequoia</t>
        </is>
      </c>
      <c r="I755" s="5">
        <f>IMAGE("https://images.lululemon.com/is/image/lululemon/41179",1)</f>
        <v/>
      </c>
      <c r="J755" s="5" t="inlineStr">
        <is>
          <t>XXL</t>
        </is>
      </c>
      <c r="K755" s="5" t="inlineStr">
        <is>
          <t>111/377</t>
        </is>
      </c>
      <c r="L755" s="5" t="inlineStr">
        <is>
          <t>Yes</t>
        </is>
      </c>
      <c r="M755" s="5" t="inlineStr">
        <is>
          <t>Give it your all. These versatile pants are designed for maximum comfort and zero distractions as you stretch, sprint, and lift.</t>
        </is>
      </c>
      <c r="N755" s="5" t="inlineStr">
        <is>
          <t>Pace-Breaker-Pant</t>
        </is>
      </c>
      <c r="O755" s="5" t="inlineStr">
        <is>
          <t>Athletic Pants</t>
        </is>
      </c>
    </row>
    <row r="756" ht="80" customHeight="1">
      <c r="A756" s="4">
        <f>IMAGE("https://images.lululemon.com/is/image/lululemon/LU9AYKS_0001_1?wid=320&amp;op_usm=0.8",1)</f>
        <v/>
      </c>
      <c r="B756" s="4" t="inlineStr">
        <is>
          <t>Fast and Free Running Armband</t>
        </is>
      </c>
      <c r="C756" s="4" t="inlineStr">
        <is>
          <t>144355704</t>
        </is>
      </c>
      <c r="D756" s="4" t="inlineStr">
        <is>
          <t>144355704-black</t>
        </is>
      </c>
      <c r="E756" s="4" t="inlineStr">
        <is>
          <t>Fast and Free Run Armband BLK S/M</t>
        </is>
      </c>
      <c r="F756" s="4" t="inlineStr">
        <is>
          <t>$38.00</t>
        </is>
      </c>
      <c r="G756" s="4" t="inlineStr">
        <is>
          <t>$19.00</t>
        </is>
      </c>
      <c r="H756" s="4" t="inlineStr">
        <is>
          <t>Black</t>
        </is>
      </c>
      <c r="I756" s="4">
        <f>IMAGE("https://images.lululemon.com/is/image/lululemon/0001",1)</f>
        <v/>
      </c>
      <c r="J756" s="4" t="inlineStr">
        <is>
          <t>S/M</t>
        </is>
      </c>
      <c r="K756" s="4" t="inlineStr">
        <is>
          <t>42/121</t>
        </is>
      </c>
      <c r="L756" s="4" t="inlineStr">
        <is>
          <t>Yes</t>
        </is>
      </c>
      <c r="M756" s="4" t="inlineStr">
        <is>
          <t>Go the distance while staying connected. This low-profile armband is lightweight and breathable, making it perfect for long runs.</t>
        </is>
      </c>
      <c r="N756" s="4" t="inlineStr">
        <is>
          <t>Fast-and-Free-Run-Arm-Band</t>
        </is>
      </c>
      <c r="O756" s="4" t="inlineStr"/>
    </row>
    <row r="757" ht="80" customHeight="1">
      <c r="A757" s="5">
        <f>IMAGE("https://images.lululemon.com/is/image/lululemon/LU9AYKS_0001_1?wid=320&amp;op_usm=0.8",1)</f>
        <v/>
      </c>
      <c r="B757" s="5" t="inlineStr">
        <is>
          <t>Fast and Free Running Armband</t>
        </is>
      </c>
      <c r="C757" s="5" t="inlineStr">
        <is>
          <t>144355702</t>
        </is>
      </c>
      <c r="D757" s="5" t="inlineStr">
        <is>
          <t>144355702-black</t>
        </is>
      </c>
      <c r="E757" s="5" t="inlineStr">
        <is>
          <t>Fast and Free Run Armband BLK S/M</t>
        </is>
      </c>
      <c r="F757" s="5" t="inlineStr">
        <is>
          <t>$38.00</t>
        </is>
      </c>
      <c r="G757" s="5" t="inlineStr">
        <is>
          <t>$19.00</t>
        </is>
      </c>
      <c r="H757" s="5" t="inlineStr">
        <is>
          <t>Black</t>
        </is>
      </c>
      <c r="I757" s="5">
        <f>IMAGE("https://images.lululemon.com/is/image/lululemon/0001",1)</f>
        <v/>
      </c>
      <c r="J757" s="5" t="inlineStr">
        <is>
          <t>L/XL</t>
        </is>
      </c>
      <c r="K757" s="5" t="inlineStr">
        <is>
          <t>79/121</t>
        </is>
      </c>
      <c r="L757" s="5" t="inlineStr">
        <is>
          <t>Yes</t>
        </is>
      </c>
      <c r="M757" s="5" t="inlineStr">
        <is>
          <t>Go the distance while staying connected. This low-profile armband is lightweight and breathable, making it perfect for long runs.</t>
        </is>
      </c>
      <c r="N757" s="5" t="inlineStr">
        <is>
          <t>Fast-and-Free-Run-Arm-Band</t>
        </is>
      </c>
      <c r="O757" s="5" t="inlineStr"/>
    </row>
    <row r="758" ht="80" customHeight="1">
      <c r="A758" s="4">
        <f>IMAGE("https://images.lululemon.com/is/image/lululemon/LM3F64S_070561_1?wid=320&amp;op_usm=0.8",1)</f>
        <v/>
      </c>
      <c r="B758" s="4" t="inlineStr">
        <is>
          <t>Metal Vent Tech Half Zip</t>
        </is>
      </c>
      <c r="C758" s="4" t="inlineStr">
        <is>
          <t>155865165</t>
        </is>
      </c>
      <c r="D758" s="4" t="inlineStr">
        <is>
          <t>155865165-vapor/solargrey</t>
        </is>
      </c>
      <c r="E758" s="4" t="inlineStr">
        <is>
          <t>Metal Vent Tech Half Zip VPOR/SOGY S</t>
        </is>
      </c>
      <c r="F758" s="4" t="inlineStr">
        <is>
          <t>$118.00</t>
        </is>
      </c>
      <c r="G758" s="4" t="inlineStr">
        <is>
          <t>$59.00</t>
        </is>
      </c>
      <c r="H758" s="4" t="inlineStr">
        <is>
          <t>Vapor/Solar Grey</t>
        </is>
      </c>
      <c r="I758" s="4">
        <f>IMAGE("https://images.lululemon.com/is/image/lululemon/70561",1)</f>
        <v/>
      </c>
      <c r="J758" s="4" t="inlineStr">
        <is>
          <t>S</t>
        </is>
      </c>
      <c r="K758" s="4" t="inlineStr">
        <is>
          <t>18/2479</t>
        </is>
      </c>
      <c r="L758" s="4" t="inlineStr">
        <is>
          <t>Yes</t>
        </is>
      </c>
      <c r="M758" s="4" t="inlineStr">
        <is>
          <t>Your potential—unlocked. The Metal Vent Tech collection uses seamless construction to minimize distractions from chafe and sweat so you can stay laser focused.</t>
        </is>
      </c>
      <c r="N758" s="4" t="inlineStr">
        <is>
          <t>Metal-Vent-Tech-Half-Zip-3</t>
        </is>
      </c>
      <c r="O758" s="4" t="inlineStr">
        <is>
          <t>Half Zip Sweatshirts, Quarter Zip Sweatshirts</t>
        </is>
      </c>
    </row>
    <row r="759" ht="80" customHeight="1">
      <c r="A759" s="7">
        <f>IMAGE("https://images.lululemon.com/is/image/lululemon/LM3F64S_070561_1?wid=320&amp;op_usm=0.8",1)</f>
        <v/>
      </c>
      <c r="B759" s="7" t="inlineStr">
        <is>
          <t>Metal Vent Tech Half Zip</t>
        </is>
      </c>
      <c r="C759" s="7" t="inlineStr">
        <is>
          <t>155865164</t>
        </is>
      </c>
      <c r="D759" s="7" t="inlineStr">
        <is>
          <t>155865164-vapor/solargrey</t>
        </is>
      </c>
      <c r="E759" s="7" t="inlineStr">
        <is>
          <t>Metal Vent Tech Half Zip VPOR/SOGY S</t>
        </is>
      </c>
      <c r="F759" s="7" t="inlineStr">
        <is>
          <t>$118.00</t>
        </is>
      </c>
      <c r="G759" s="7" t="inlineStr">
        <is>
          <t>$59.00</t>
        </is>
      </c>
      <c r="H759" s="7" t="inlineStr">
        <is>
          <t>Vapor/Solar Grey</t>
        </is>
      </c>
      <c r="I759" s="7">
        <f>IMAGE("https://images.lululemon.com/is/image/lululemon/70561",1)</f>
        <v/>
      </c>
      <c r="J759" s="7" t="inlineStr">
        <is>
          <t>M</t>
        </is>
      </c>
      <c r="K759" s="7" t="inlineStr">
        <is>
          <t>118/2479</t>
        </is>
      </c>
      <c r="L759" s="7" t="inlineStr">
        <is>
          <t>Yes</t>
        </is>
      </c>
      <c r="M759" s="7" t="inlineStr">
        <is>
          <t>Your potential—unlocked. The Metal Vent Tech collection uses seamless construction to minimize distractions from chafe and sweat so you can stay laser focused.</t>
        </is>
      </c>
      <c r="N759" s="7" t="inlineStr">
        <is>
          <t>Metal-Vent-Tech-Half-Zip-3</t>
        </is>
      </c>
      <c r="O759" s="7" t="inlineStr">
        <is>
          <t>Half Zip Sweatshirts, Quarter Zip Sweatshirts</t>
        </is>
      </c>
    </row>
    <row r="760" ht="80" customHeight="1">
      <c r="A760" s="4">
        <f>IMAGE("https://images.lululemon.com/is/image/lululemon/LM3F64S_070561_1?wid=320&amp;op_usm=0.8",1)</f>
        <v/>
      </c>
      <c r="B760" s="4" t="inlineStr">
        <is>
          <t>Metal Vent Tech Half Zip</t>
        </is>
      </c>
      <c r="C760" s="4" t="inlineStr">
        <is>
          <t>155865163</t>
        </is>
      </c>
      <c r="D760" s="4" t="inlineStr">
        <is>
          <t>155865163-vapor/solargrey</t>
        </is>
      </c>
      <c r="E760" s="4" t="inlineStr">
        <is>
          <t>Metal Vent Tech Half Zip VPOR/SOGY S</t>
        </is>
      </c>
      <c r="F760" s="4" t="inlineStr">
        <is>
          <t>$118.00</t>
        </is>
      </c>
      <c r="G760" s="4" t="inlineStr">
        <is>
          <t>$59.00</t>
        </is>
      </c>
      <c r="H760" s="4" t="inlineStr">
        <is>
          <t>Vapor/Solar Grey</t>
        </is>
      </c>
      <c r="I760" s="4">
        <f>IMAGE("https://images.lululemon.com/is/image/lululemon/70561",1)</f>
        <v/>
      </c>
      <c r="J760" s="4" t="inlineStr">
        <is>
          <t>L</t>
        </is>
      </c>
      <c r="K760" s="4" t="inlineStr">
        <is>
          <t>31/2479</t>
        </is>
      </c>
      <c r="L760" s="4" t="inlineStr">
        <is>
          <t>Yes</t>
        </is>
      </c>
      <c r="M760" s="4" t="inlineStr">
        <is>
          <t>Your potential—unlocked. The Metal Vent Tech collection uses seamless construction to minimize distractions from chafe and sweat so you can stay laser focused.</t>
        </is>
      </c>
      <c r="N760" s="4" t="inlineStr">
        <is>
          <t>Metal-Vent-Tech-Half-Zip-3</t>
        </is>
      </c>
      <c r="O760" s="4" t="inlineStr">
        <is>
          <t>Half Zip Sweatshirts, Quarter Zip Sweatshirts</t>
        </is>
      </c>
    </row>
    <row r="761" ht="80" customHeight="1">
      <c r="A761" s="7">
        <f>IMAGE("https://images.lululemon.com/is/image/lululemon/LM3F64S_070561_1?wid=320&amp;op_usm=0.8",1)</f>
        <v/>
      </c>
      <c r="B761" s="7" t="inlineStr">
        <is>
          <t>Metal Vent Tech Half Zip</t>
        </is>
      </c>
      <c r="C761" s="7" t="inlineStr">
        <is>
          <t>155865166</t>
        </is>
      </c>
      <c r="D761" s="7" t="inlineStr">
        <is>
          <t>155865166-vapor/solargrey</t>
        </is>
      </c>
      <c r="E761" s="7" t="inlineStr">
        <is>
          <t>Metal Vent Tech Half Zip VPOR/SOGY S</t>
        </is>
      </c>
      <c r="F761" s="7" t="inlineStr">
        <is>
          <t>$118.00</t>
        </is>
      </c>
      <c r="G761" s="7" t="inlineStr">
        <is>
          <t>$59.00</t>
        </is>
      </c>
      <c r="H761" s="7" t="inlineStr">
        <is>
          <t>Vapor/Solar Grey</t>
        </is>
      </c>
      <c r="I761" s="7">
        <f>IMAGE("https://images.lululemon.com/is/image/lululemon/70561",1)</f>
        <v/>
      </c>
      <c r="J761" s="7" t="inlineStr">
        <is>
          <t>XL</t>
        </is>
      </c>
      <c r="K761" s="7" t="inlineStr">
        <is>
          <t>33/2479</t>
        </is>
      </c>
      <c r="L761" s="7" t="inlineStr">
        <is>
          <t>Yes</t>
        </is>
      </c>
      <c r="M761" s="7" t="inlineStr">
        <is>
          <t>Your potential—unlocked. The Metal Vent Tech collection uses seamless construction to minimize distractions from chafe and sweat so you can stay laser focused.</t>
        </is>
      </c>
      <c r="N761" s="7" t="inlineStr">
        <is>
          <t>Metal-Vent-Tech-Half-Zip-3</t>
        </is>
      </c>
      <c r="O761" s="7" t="inlineStr">
        <is>
          <t>Half Zip Sweatshirts, Quarter Zip Sweatshirts</t>
        </is>
      </c>
    </row>
    <row r="762" ht="80" customHeight="1">
      <c r="A762" s="4">
        <f>IMAGE("https://images.lululemon.com/is/image/lululemon/LM3F64S_070561_1?wid=320&amp;op_usm=0.8",1)</f>
        <v/>
      </c>
      <c r="B762" s="4" t="inlineStr">
        <is>
          <t>Metal Vent Tech Half Zip</t>
        </is>
      </c>
      <c r="C762" s="4" t="inlineStr">
        <is>
          <t>155865168</t>
        </is>
      </c>
      <c r="D762" s="4" t="inlineStr">
        <is>
          <t>155865168-vapor/solargrey</t>
        </is>
      </c>
      <c r="E762" s="4" t="inlineStr">
        <is>
          <t>Metal Vent Tech Half Zip VPOR/SOGY S</t>
        </is>
      </c>
      <c r="F762" s="4" t="inlineStr">
        <is>
          <t>$118.00</t>
        </is>
      </c>
      <c r="G762" s="4" t="inlineStr">
        <is>
          <t>$59.00</t>
        </is>
      </c>
      <c r="H762" s="4" t="inlineStr">
        <is>
          <t>Vapor/Solar Grey</t>
        </is>
      </c>
      <c r="I762" s="4">
        <f>IMAGE("https://images.lululemon.com/is/image/lululemon/70561",1)</f>
        <v/>
      </c>
      <c r="J762" s="4" t="inlineStr">
        <is>
          <t>XXL</t>
        </is>
      </c>
      <c r="K762" s="4" t="inlineStr">
        <is>
          <t>11/2479</t>
        </is>
      </c>
      <c r="L762" s="4" t="inlineStr">
        <is>
          <t>Yes</t>
        </is>
      </c>
      <c r="M762" s="4" t="inlineStr">
        <is>
          <t>Your potential—unlocked. The Metal Vent Tech collection uses seamless construction to minimize distractions from chafe and sweat so you can stay laser focused.</t>
        </is>
      </c>
      <c r="N762" s="4" t="inlineStr">
        <is>
          <t>Metal-Vent-Tech-Half-Zip-3</t>
        </is>
      </c>
      <c r="O762" s="4" t="inlineStr">
        <is>
          <t>Half Zip Sweatshirts, Quarter Zip Sweatshirts</t>
        </is>
      </c>
    </row>
    <row r="763" ht="80" customHeight="1">
      <c r="A763" s="7">
        <f>IMAGE("https://images.lululemon.com/is/image/lululemon/LM3F64S_070561_1?wid=320&amp;op_usm=0.8",1)</f>
        <v/>
      </c>
      <c r="B763" s="7" t="inlineStr">
        <is>
          <t>Metal Vent Tech Half Zip</t>
        </is>
      </c>
      <c r="C763" s="7" t="inlineStr">
        <is>
          <t>156499706</t>
        </is>
      </c>
      <c r="D763" s="7" t="inlineStr">
        <is>
          <t>156499706-starchblue/poolparty</t>
        </is>
      </c>
      <c r="E763" s="7" t="inlineStr">
        <is>
          <t>Metal Vent Tech Half Zip VPOR/SOGY S</t>
        </is>
      </c>
      <c r="F763" s="7" t="inlineStr">
        <is>
          <t>$118.00</t>
        </is>
      </c>
      <c r="G763" s="7" t="inlineStr">
        <is>
          <t>$59.00</t>
        </is>
      </c>
      <c r="H763" s="7" t="inlineStr">
        <is>
          <t>Starch Blue/Pool Party</t>
        </is>
      </c>
      <c r="I763" s="7">
        <f>IMAGE("https://images.lululemon.com/is/image/lululemon/70822",1)</f>
        <v/>
      </c>
      <c r="J763" s="7" t="inlineStr">
        <is>
          <t>S</t>
        </is>
      </c>
      <c r="K763" s="7" t="inlineStr">
        <is>
          <t>29/2479</t>
        </is>
      </c>
      <c r="L763" s="7" t="inlineStr">
        <is>
          <t>Yes</t>
        </is>
      </c>
      <c r="M763" s="7" t="inlineStr">
        <is>
          <t>Your potential—unlocked. The Metal Vent Tech collection uses seamless construction to minimize distractions from chafe and sweat so you can stay laser focused.</t>
        </is>
      </c>
      <c r="N763" s="7" t="inlineStr">
        <is>
          <t>Metal-Vent-Tech-Half-Zip-3</t>
        </is>
      </c>
      <c r="O763" s="7" t="inlineStr">
        <is>
          <t>Half Zip Sweatshirts, Quarter Zip Sweatshirts</t>
        </is>
      </c>
    </row>
    <row r="764" ht="80" customHeight="1">
      <c r="A764" s="4">
        <f>IMAGE("https://images.lululemon.com/is/image/lululemon/LM3F64S_070561_1?wid=320&amp;op_usm=0.8",1)</f>
        <v/>
      </c>
      <c r="B764" s="4" t="inlineStr">
        <is>
          <t>Metal Vent Tech Half Zip</t>
        </is>
      </c>
      <c r="C764" s="4" t="inlineStr">
        <is>
          <t>156499702</t>
        </is>
      </c>
      <c r="D764" s="4" t="inlineStr">
        <is>
          <t>156499702-starchblue/poolparty</t>
        </is>
      </c>
      <c r="E764" s="4" t="inlineStr">
        <is>
          <t>Metal Vent Tech Half Zip VPOR/SOGY S</t>
        </is>
      </c>
      <c r="F764" s="4" t="inlineStr">
        <is>
          <t>$118.00</t>
        </is>
      </c>
      <c r="G764" s="4" t="inlineStr">
        <is>
          <t>$59.00</t>
        </is>
      </c>
      <c r="H764" s="4" t="inlineStr">
        <is>
          <t>Starch Blue/Pool Party</t>
        </is>
      </c>
      <c r="I764" s="4">
        <f>IMAGE("https://images.lululemon.com/is/image/lululemon/70822",1)</f>
        <v/>
      </c>
      <c r="J764" s="4" t="inlineStr">
        <is>
          <t>M</t>
        </is>
      </c>
      <c r="K764" s="4" t="inlineStr">
        <is>
          <t>57/2479</t>
        </is>
      </c>
      <c r="L764" s="4" t="inlineStr">
        <is>
          <t>Yes</t>
        </is>
      </c>
      <c r="M764" s="4" t="inlineStr">
        <is>
          <t>Your potential—unlocked. The Metal Vent Tech collection uses seamless construction to minimize distractions from chafe and sweat so you can stay laser focused.</t>
        </is>
      </c>
      <c r="N764" s="4" t="inlineStr">
        <is>
          <t>Metal-Vent-Tech-Half-Zip-3</t>
        </is>
      </c>
      <c r="O764" s="4" t="inlineStr">
        <is>
          <t>Half Zip Sweatshirts, Quarter Zip Sweatshirts</t>
        </is>
      </c>
    </row>
    <row r="765" ht="80" customHeight="1">
      <c r="A765" s="7">
        <f>IMAGE("https://images.lululemon.com/is/image/lululemon/LM3F64S_070561_1?wid=320&amp;op_usm=0.8",1)</f>
        <v/>
      </c>
      <c r="B765" s="7" t="inlineStr">
        <is>
          <t>Metal Vent Tech Half Zip</t>
        </is>
      </c>
      <c r="C765" s="7" t="inlineStr">
        <is>
          <t>156499699</t>
        </is>
      </c>
      <c r="D765" s="7" t="inlineStr">
        <is>
          <t>156499699-starchblue/poolparty</t>
        </is>
      </c>
      <c r="E765" s="7" t="inlineStr">
        <is>
          <t>Metal Vent Tech Half Zip VPOR/SOGY S</t>
        </is>
      </c>
      <c r="F765" s="7" t="inlineStr">
        <is>
          <t>$118.00</t>
        </is>
      </c>
      <c r="G765" s="7" t="inlineStr">
        <is>
          <t>$59.00</t>
        </is>
      </c>
      <c r="H765" s="7" t="inlineStr">
        <is>
          <t>Starch Blue/Pool Party</t>
        </is>
      </c>
      <c r="I765" s="7">
        <f>IMAGE("https://images.lululemon.com/is/image/lululemon/70822",1)</f>
        <v/>
      </c>
      <c r="J765" s="7" t="inlineStr">
        <is>
          <t>L</t>
        </is>
      </c>
      <c r="K765" s="7" t="inlineStr">
        <is>
          <t>25/2479</t>
        </is>
      </c>
      <c r="L765" s="7" t="inlineStr">
        <is>
          <t>Yes</t>
        </is>
      </c>
      <c r="M765" s="7" t="inlineStr">
        <is>
          <t>Your potential—unlocked. The Metal Vent Tech collection uses seamless construction to minimize distractions from chafe and sweat so you can stay laser focused.</t>
        </is>
      </c>
      <c r="N765" s="7" t="inlineStr">
        <is>
          <t>Metal-Vent-Tech-Half-Zip-3</t>
        </is>
      </c>
      <c r="O765" s="7" t="inlineStr">
        <is>
          <t>Half Zip Sweatshirts, Quarter Zip Sweatshirts</t>
        </is>
      </c>
    </row>
    <row r="766" ht="80" customHeight="1">
      <c r="A766" s="4">
        <f>IMAGE("https://images.lululemon.com/is/image/lululemon/LM3F64S_070561_1?wid=320&amp;op_usm=0.8",1)</f>
        <v/>
      </c>
      <c r="B766" s="4" t="inlineStr">
        <is>
          <t>Metal Vent Tech Half Zip</t>
        </is>
      </c>
      <c r="C766" s="4" t="inlineStr">
        <is>
          <t>157714559</t>
        </is>
      </c>
      <c r="D766" s="4" t="inlineStr">
        <is>
          <t>157714559-chalkblue/bluetwill</t>
        </is>
      </c>
      <c r="E766" s="4" t="inlineStr">
        <is>
          <t>Metal Vent Tech Half Zip VPOR/SOGY S</t>
        </is>
      </c>
      <c r="F766" s="4" t="inlineStr">
        <is>
          <t>$118.00</t>
        </is>
      </c>
      <c r="G766" s="4" t="inlineStr">
        <is>
          <t>$59.00</t>
        </is>
      </c>
      <c r="H766" s="4" t="inlineStr">
        <is>
          <t>Chalk Blue/Blue Twill</t>
        </is>
      </c>
      <c r="I766" s="4">
        <f>IMAGE("https://images.lululemon.com/is/image/lululemon/71159",1)</f>
        <v/>
      </c>
      <c r="J766" s="4" t="inlineStr">
        <is>
          <t>S</t>
        </is>
      </c>
      <c r="K766" s="4" t="inlineStr">
        <is>
          <t>8/2479</t>
        </is>
      </c>
      <c r="L766" s="4" t="inlineStr">
        <is>
          <t>Yes</t>
        </is>
      </c>
      <c r="M766" s="4" t="inlineStr">
        <is>
          <t>Your potential—unlocked. The Metal Vent Tech collection uses seamless construction to minimize distractions from chafe and sweat so you can stay laser focused.</t>
        </is>
      </c>
      <c r="N766" s="4" t="inlineStr">
        <is>
          <t>Metal-Vent-Tech-Half-Zip-3</t>
        </is>
      </c>
      <c r="O766" s="4" t="inlineStr">
        <is>
          <t>Half Zip Sweatshirts, Quarter Zip Sweatshirts</t>
        </is>
      </c>
    </row>
    <row r="767" ht="80" customHeight="1">
      <c r="A767" s="7">
        <f>IMAGE("https://images.lululemon.com/is/image/lululemon/LM3F64S_070561_1?wid=320&amp;op_usm=0.8",1)</f>
        <v/>
      </c>
      <c r="B767" s="7" t="inlineStr">
        <is>
          <t>Metal Vent Tech Half Zip</t>
        </is>
      </c>
      <c r="C767" s="7" t="inlineStr">
        <is>
          <t>157714545</t>
        </is>
      </c>
      <c r="D767" s="7" t="inlineStr">
        <is>
          <t>157714545-chalkblue/bluetwill</t>
        </is>
      </c>
      <c r="E767" s="7" t="inlineStr">
        <is>
          <t>Metal Vent Tech Half Zip VPOR/SOGY S</t>
        </is>
      </c>
      <c r="F767" s="7" t="inlineStr">
        <is>
          <t>$118.00</t>
        </is>
      </c>
      <c r="G767" s="7" t="inlineStr">
        <is>
          <t>$59.00</t>
        </is>
      </c>
      <c r="H767" s="7" t="inlineStr">
        <is>
          <t>Chalk Blue/Blue Twill</t>
        </is>
      </c>
      <c r="I767" s="7">
        <f>IMAGE("https://images.lululemon.com/is/image/lululemon/71159",1)</f>
        <v/>
      </c>
      <c r="J767" s="7" t="inlineStr">
        <is>
          <t>M</t>
        </is>
      </c>
      <c r="K767" s="7" t="inlineStr">
        <is>
          <t>80/2479</t>
        </is>
      </c>
      <c r="L767" s="7" t="inlineStr">
        <is>
          <t>Yes</t>
        </is>
      </c>
      <c r="M767" s="7" t="inlineStr">
        <is>
          <t>Your potential—unlocked. The Metal Vent Tech collection uses seamless construction to minimize distractions from chafe and sweat so you can stay laser focused.</t>
        </is>
      </c>
      <c r="N767" s="7" t="inlineStr">
        <is>
          <t>Metal-Vent-Tech-Half-Zip-3</t>
        </is>
      </c>
      <c r="O767" s="7" t="inlineStr">
        <is>
          <t>Half Zip Sweatshirts, Quarter Zip Sweatshirts</t>
        </is>
      </c>
    </row>
    <row r="768" ht="80" customHeight="1">
      <c r="A768" s="4">
        <f>IMAGE("https://images.lululemon.com/is/image/lululemon/LM3F64S_070561_1?wid=320&amp;op_usm=0.8",1)</f>
        <v/>
      </c>
      <c r="B768" s="4" t="inlineStr">
        <is>
          <t>Metal Vent Tech Half Zip</t>
        </is>
      </c>
      <c r="C768" s="4" t="inlineStr">
        <is>
          <t>157714526</t>
        </is>
      </c>
      <c r="D768" s="4" t="inlineStr">
        <is>
          <t>157714526-chalkblue/bluetwill</t>
        </is>
      </c>
      <c r="E768" s="4" t="inlineStr">
        <is>
          <t>Metal Vent Tech Half Zip VPOR/SOGY S</t>
        </is>
      </c>
      <c r="F768" s="4" t="inlineStr">
        <is>
          <t>$118.00</t>
        </is>
      </c>
      <c r="G768" s="4" t="inlineStr">
        <is>
          <t>$59.00</t>
        </is>
      </c>
      <c r="H768" s="4" t="inlineStr">
        <is>
          <t>Chalk Blue/Blue Twill</t>
        </is>
      </c>
      <c r="I768" s="4">
        <f>IMAGE("https://images.lululemon.com/is/image/lululemon/71159",1)</f>
        <v/>
      </c>
      <c r="J768" s="4" t="inlineStr">
        <is>
          <t>L</t>
        </is>
      </c>
      <c r="K768" s="4" t="inlineStr">
        <is>
          <t>86/2479</t>
        </is>
      </c>
      <c r="L768" s="4" t="inlineStr">
        <is>
          <t>Yes</t>
        </is>
      </c>
      <c r="M768" s="4" t="inlineStr">
        <is>
          <t>Your potential—unlocked. The Metal Vent Tech collection uses seamless construction to minimize distractions from chafe and sweat so you can stay laser focused.</t>
        </is>
      </c>
      <c r="N768" s="4" t="inlineStr">
        <is>
          <t>Metal-Vent-Tech-Half-Zip-3</t>
        </is>
      </c>
      <c r="O768" s="4" t="inlineStr">
        <is>
          <t>Half Zip Sweatshirts, Quarter Zip Sweatshirts</t>
        </is>
      </c>
    </row>
    <row r="769" ht="80" customHeight="1">
      <c r="A769" s="7">
        <f>IMAGE("https://images.lululemon.com/is/image/lululemon/LM3F64S_070561_1?wid=320&amp;op_usm=0.8",1)</f>
        <v/>
      </c>
      <c r="B769" s="7" t="inlineStr">
        <is>
          <t>Metal Vent Tech Half Zip</t>
        </is>
      </c>
      <c r="C769" s="7" t="inlineStr">
        <is>
          <t>157714574</t>
        </is>
      </c>
      <c r="D769" s="7" t="inlineStr">
        <is>
          <t>157714574-chalkblue/bluetwill</t>
        </is>
      </c>
      <c r="E769" s="7" t="inlineStr">
        <is>
          <t>Metal Vent Tech Half Zip VPOR/SOGY S</t>
        </is>
      </c>
      <c r="F769" s="7" t="inlineStr">
        <is>
          <t>$118.00</t>
        </is>
      </c>
      <c r="G769" s="7" t="inlineStr">
        <is>
          <t>$59.00</t>
        </is>
      </c>
      <c r="H769" s="7" t="inlineStr">
        <is>
          <t>Chalk Blue/Blue Twill</t>
        </is>
      </c>
      <c r="I769" s="7">
        <f>IMAGE("https://images.lululemon.com/is/image/lululemon/71159",1)</f>
        <v/>
      </c>
      <c r="J769" s="7" t="inlineStr">
        <is>
          <t>XL</t>
        </is>
      </c>
      <c r="K769" s="7" t="inlineStr">
        <is>
          <t>54/2479</t>
        </is>
      </c>
      <c r="L769" s="7" t="inlineStr">
        <is>
          <t>Yes</t>
        </is>
      </c>
      <c r="M769" s="7" t="inlineStr">
        <is>
          <t>Your potential—unlocked. The Metal Vent Tech collection uses seamless construction to minimize distractions from chafe and sweat so you can stay laser focused.</t>
        </is>
      </c>
      <c r="N769" s="7" t="inlineStr">
        <is>
          <t>Metal-Vent-Tech-Half-Zip-3</t>
        </is>
      </c>
      <c r="O769" s="7" t="inlineStr">
        <is>
          <t>Half Zip Sweatshirts, Quarter Zip Sweatshirts</t>
        </is>
      </c>
    </row>
    <row r="770" ht="80" customHeight="1">
      <c r="A770" s="4">
        <f>IMAGE("https://images.lululemon.com/is/image/lululemon/LM3F64S_070561_1?wid=320&amp;op_usm=0.8",1)</f>
        <v/>
      </c>
      <c r="B770" s="4" t="inlineStr">
        <is>
          <t>Metal Vent Tech Half Zip</t>
        </is>
      </c>
      <c r="C770" s="4" t="inlineStr">
        <is>
          <t>157714599</t>
        </is>
      </c>
      <c r="D770" s="4" t="inlineStr">
        <is>
          <t>157714599-chalkblue/bluetwill</t>
        </is>
      </c>
      <c r="E770" s="4" t="inlineStr">
        <is>
          <t>Metal Vent Tech Half Zip VPOR/SOGY S</t>
        </is>
      </c>
      <c r="F770" s="4" t="inlineStr">
        <is>
          <t>$118.00</t>
        </is>
      </c>
      <c r="G770" s="4" t="inlineStr">
        <is>
          <t>$59.00</t>
        </is>
      </c>
      <c r="H770" s="4" t="inlineStr">
        <is>
          <t>Chalk Blue/Blue Twill</t>
        </is>
      </c>
      <c r="I770" s="4">
        <f>IMAGE("https://images.lululemon.com/is/image/lululemon/71159",1)</f>
        <v/>
      </c>
      <c r="J770" s="4" t="inlineStr">
        <is>
          <t>XXL</t>
        </is>
      </c>
      <c r="K770" s="4" t="inlineStr">
        <is>
          <t>23/2479</t>
        </is>
      </c>
      <c r="L770" s="4" t="inlineStr">
        <is>
          <t>Yes</t>
        </is>
      </c>
      <c r="M770" s="4" t="inlineStr">
        <is>
          <t>Your potential—unlocked. The Metal Vent Tech collection uses seamless construction to minimize distractions from chafe and sweat so you can stay laser focused.</t>
        </is>
      </c>
      <c r="N770" s="4" t="inlineStr">
        <is>
          <t>Metal-Vent-Tech-Half-Zip-3</t>
        </is>
      </c>
      <c r="O770" s="4" t="inlineStr">
        <is>
          <t>Half Zip Sweatshirts, Quarter Zip Sweatshirts</t>
        </is>
      </c>
    </row>
    <row r="771" ht="80" customHeight="1">
      <c r="A771" s="7">
        <f>IMAGE("https://images.lululemon.com/is/image/lululemon/LM3F64S_070561_1?wid=320&amp;op_usm=0.8",1)</f>
        <v/>
      </c>
      <c r="B771" s="7" t="inlineStr">
        <is>
          <t>Metal Vent Tech Half Zip</t>
        </is>
      </c>
      <c r="C771" s="7" t="inlineStr">
        <is>
          <t>157714434</t>
        </is>
      </c>
      <c r="D771" s="7" t="inlineStr">
        <is>
          <t>157714434-warmashgrey/warmashgrey</t>
        </is>
      </c>
      <c r="E771" s="7" t="inlineStr">
        <is>
          <t>Metal Vent Tech Half Zip VPOR/SOGY S</t>
        </is>
      </c>
      <c r="F771" s="7" t="inlineStr">
        <is>
          <t>$118.00</t>
        </is>
      </c>
      <c r="G771" s="7" t="inlineStr">
        <is>
          <t>$59.00</t>
        </is>
      </c>
      <c r="H771" s="7" t="inlineStr">
        <is>
          <t>Warm Ash Grey/Warm Ash Grey</t>
        </is>
      </c>
      <c r="I771" s="7">
        <f>IMAGE("https://images.lululemon.com/is/image/lululemon/70110",1)</f>
        <v/>
      </c>
      <c r="J771" s="7" t="inlineStr">
        <is>
          <t>S</t>
        </is>
      </c>
      <c r="K771" s="7" t="inlineStr">
        <is>
          <t>30/2479</t>
        </is>
      </c>
      <c r="L771" s="7" t="inlineStr">
        <is>
          <t>Yes</t>
        </is>
      </c>
      <c r="M771" s="7" t="inlineStr">
        <is>
          <t>Your potential—unlocked. The Metal Vent Tech collection uses seamless construction to minimize distractions from chafe and sweat so you can stay laser focused.</t>
        </is>
      </c>
      <c r="N771" s="7" t="inlineStr">
        <is>
          <t>Metal-Vent-Tech-Half-Zip-3</t>
        </is>
      </c>
      <c r="O771" s="7" t="inlineStr">
        <is>
          <t>Half Zip Sweatshirts, Quarter Zip Sweatshirts</t>
        </is>
      </c>
    </row>
    <row r="772" ht="80" customHeight="1">
      <c r="A772" s="4">
        <f>IMAGE("https://images.lululemon.com/is/image/lululemon/LM3F64S_070561_1?wid=320&amp;op_usm=0.8",1)</f>
        <v/>
      </c>
      <c r="B772" s="4" t="inlineStr">
        <is>
          <t>Metal Vent Tech Half Zip</t>
        </is>
      </c>
      <c r="C772" s="4" t="inlineStr">
        <is>
          <t>157714417</t>
        </is>
      </c>
      <c r="D772" s="4" t="inlineStr">
        <is>
          <t>157714417-warmashgrey/warmashgrey</t>
        </is>
      </c>
      <c r="E772" s="4" t="inlineStr">
        <is>
          <t>Metal Vent Tech Half Zip VPOR/SOGY S</t>
        </is>
      </c>
      <c r="F772" s="4" t="inlineStr">
        <is>
          <t>$118.00</t>
        </is>
      </c>
      <c r="G772" s="4" t="inlineStr">
        <is>
          <t>$59.00</t>
        </is>
      </c>
      <c r="H772" s="4" t="inlineStr">
        <is>
          <t>Warm Ash Grey/Warm Ash Grey</t>
        </is>
      </c>
      <c r="I772" s="4">
        <f>IMAGE("https://images.lululemon.com/is/image/lululemon/70110",1)</f>
        <v/>
      </c>
      <c r="J772" s="4" t="inlineStr">
        <is>
          <t>M</t>
        </is>
      </c>
      <c r="K772" s="4" t="inlineStr">
        <is>
          <t>69/2479</t>
        </is>
      </c>
      <c r="L772" s="4" t="inlineStr">
        <is>
          <t>Yes</t>
        </is>
      </c>
      <c r="M772" s="4" t="inlineStr">
        <is>
          <t>Your potential—unlocked. The Metal Vent Tech collection uses seamless construction to minimize distractions from chafe and sweat so you can stay laser focused.</t>
        </is>
      </c>
      <c r="N772" s="4" t="inlineStr">
        <is>
          <t>Metal-Vent-Tech-Half-Zip-3</t>
        </is>
      </c>
      <c r="O772" s="4" t="inlineStr">
        <is>
          <t>Half Zip Sweatshirts, Quarter Zip Sweatshirts</t>
        </is>
      </c>
    </row>
    <row r="773" ht="80" customHeight="1">
      <c r="A773" s="7">
        <f>IMAGE("https://images.lululemon.com/is/image/lululemon/LM3F64S_070561_1?wid=320&amp;op_usm=0.8",1)</f>
        <v/>
      </c>
      <c r="B773" s="7" t="inlineStr">
        <is>
          <t>Metal Vent Tech Half Zip</t>
        </is>
      </c>
      <c r="C773" s="7" t="inlineStr">
        <is>
          <t>157714399</t>
        </is>
      </c>
      <c r="D773" s="7" t="inlineStr">
        <is>
          <t>157714399-warmashgrey/warmashgrey</t>
        </is>
      </c>
      <c r="E773" s="7" t="inlineStr">
        <is>
          <t>Metal Vent Tech Half Zip VPOR/SOGY S</t>
        </is>
      </c>
      <c r="F773" s="7" t="inlineStr">
        <is>
          <t>$118.00</t>
        </is>
      </c>
      <c r="G773" s="7" t="inlineStr">
        <is>
          <t>$59.00</t>
        </is>
      </c>
      <c r="H773" s="7" t="inlineStr">
        <is>
          <t>Warm Ash Grey/Warm Ash Grey</t>
        </is>
      </c>
      <c r="I773" s="7">
        <f>IMAGE("https://images.lululemon.com/is/image/lululemon/70110",1)</f>
        <v/>
      </c>
      <c r="J773" s="7" t="inlineStr">
        <is>
          <t>L</t>
        </is>
      </c>
      <c r="K773" s="7" t="inlineStr">
        <is>
          <t>75/2479</t>
        </is>
      </c>
      <c r="L773" s="7" t="inlineStr">
        <is>
          <t>Yes</t>
        </is>
      </c>
      <c r="M773" s="7" t="inlineStr">
        <is>
          <t>Your potential—unlocked. The Metal Vent Tech collection uses seamless construction to minimize distractions from chafe and sweat so you can stay laser focused.</t>
        </is>
      </c>
      <c r="N773" s="7" t="inlineStr">
        <is>
          <t>Metal-Vent-Tech-Half-Zip-3</t>
        </is>
      </c>
      <c r="O773" s="7" t="inlineStr">
        <is>
          <t>Half Zip Sweatshirts, Quarter Zip Sweatshirts</t>
        </is>
      </c>
    </row>
    <row r="774" ht="80" customHeight="1">
      <c r="A774" s="4">
        <f>IMAGE("https://images.lululemon.com/is/image/lululemon/LM3F64S_070561_1?wid=320&amp;op_usm=0.8",1)</f>
        <v/>
      </c>
      <c r="B774" s="4" t="inlineStr">
        <is>
          <t>Metal Vent Tech Half Zip</t>
        </is>
      </c>
      <c r="C774" s="4" t="inlineStr">
        <is>
          <t>157714452</t>
        </is>
      </c>
      <c r="D774" s="4" t="inlineStr">
        <is>
          <t>157714452-warmashgrey/warmashgrey</t>
        </is>
      </c>
      <c r="E774" s="4" t="inlineStr">
        <is>
          <t>Metal Vent Tech Half Zip VPOR/SOGY S</t>
        </is>
      </c>
      <c r="F774" s="4" t="inlineStr">
        <is>
          <t>$118.00</t>
        </is>
      </c>
      <c r="G774" s="4" t="inlineStr">
        <is>
          <t>$59.00</t>
        </is>
      </c>
      <c r="H774" s="4" t="inlineStr">
        <is>
          <t>Warm Ash Grey/Warm Ash Grey</t>
        </is>
      </c>
      <c r="I774" s="4">
        <f>IMAGE("https://images.lululemon.com/is/image/lululemon/70110",1)</f>
        <v/>
      </c>
      <c r="J774" s="4" t="inlineStr">
        <is>
          <t>XL</t>
        </is>
      </c>
      <c r="K774" s="4" t="inlineStr">
        <is>
          <t>35/2479</t>
        </is>
      </c>
      <c r="L774" s="4" t="inlineStr">
        <is>
          <t>Yes</t>
        </is>
      </c>
      <c r="M774" s="4" t="inlineStr">
        <is>
          <t>Your potential—unlocked. The Metal Vent Tech collection uses seamless construction to minimize distractions from chafe and sweat so you can stay laser focused.</t>
        </is>
      </c>
      <c r="N774" s="4" t="inlineStr">
        <is>
          <t>Metal-Vent-Tech-Half-Zip-3</t>
        </is>
      </c>
      <c r="O774" s="4" t="inlineStr">
        <is>
          <t>Half Zip Sweatshirts, Quarter Zip Sweatshirts</t>
        </is>
      </c>
    </row>
    <row r="775" ht="80" customHeight="1">
      <c r="A775" s="7">
        <f>IMAGE("https://images.lululemon.com/is/image/lululemon/LM3F64S_070561_1?wid=320&amp;op_usm=0.8",1)</f>
        <v/>
      </c>
      <c r="B775" s="7" t="inlineStr">
        <is>
          <t>Metal Vent Tech Half Zip</t>
        </is>
      </c>
      <c r="C775" s="7" t="inlineStr">
        <is>
          <t>157714490</t>
        </is>
      </c>
      <c r="D775" s="7" t="inlineStr">
        <is>
          <t>157714490-warmashgrey/warmashgrey</t>
        </is>
      </c>
      <c r="E775" s="7" t="inlineStr">
        <is>
          <t>Metal Vent Tech Half Zip VPOR/SOGY S</t>
        </is>
      </c>
      <c r="F775" s="7" t="inlineStr">
        <is>
          <t>$118.00</t>
        </is>
      </c>
      <c r="G775" s="7" t="inlineStr">
        <is>
          <t>$59.00</t>
        </is>
      </c>
      <c r="H775" s="7" t="inlineStr">
        <is>
          <t>Warm Ash Grey/Warm Ash Grey</t>
        </is>
      </c>
      <c r="I775" s="7">
        <f>IMAGE("https://images.lululemon.com/is/image/lululemon/70110",1)</f>
        <v/>
      </c>
      <c r="J775" s="7" t="inlineStr">
        <is>
          <t>XXL</t>
        </is>
      </c>
      <c r="K775" s="7" t="inlineStr">
        <is>
          <t>16/2479</t>
        </is>
      </c>
      <c r="L775" s="7" t="inlineStr">
        <is>
          <t>Yes</t>
        </is>
      </c>
      <c r="M775" s="7" t="inlineStr">
        <is>
          <t>Your potential—unlocked. The Metal Vent Tech collection uses seamless construction to minimize distractions from chafe and sweat so you can stay laser focused.</t>
        </is>
      </c>
      <c r="N775" s="7" t="inlineStr">
        <is>
          <t>Metal-Vent-Tech-Half-Zip-3</t>
        </is>
      </c>
      <c r="O775" s="7" t="inlineStr">
        <is>
          <t>Half Zip Sweatshirts, Quarter Zip Sweatshirts</t>
        </is>
      </c>
    </row>
    <row r="776" ht="80" customHeight="1">
      <c r="A776" s="4">
        <f>IMAGE("https://images.lululemon.com/is/image/lululemon/LM3F64S_070561_1?wid=320&amp;op_usm=0.8",1)</f>
        <v/>
      </c>
      <c r="B776" s="4" t="inlineStr">
        <is>
          <t>Metal Vent Tech Half Zip</t>
        </is>
      </c>
      <c r="C776" s="4" t="inlineStr">
        <is>
          <t>157701165</t>
        </is>
      </c>
      <c r="D776" s="4" t="inlineStr">
        <is>
          <t>157701165-black/black</t>
        </is>
      </c>
      <c r="E776" s="4" t="inlineStr">
        <is>
          <t>Metal Vent Tech Half Zip VPOR/SOGY S</t>
        </is>
      </c>
      <c r="F776" s="4" t="inlineStr">
        <is>
          <t>$118.00</t>
        </is>
      </c>
      <c r="G776" s="4" t="inlineStr">
        <is>
          <t>$59.00</t>
        </is>
      </c>
      <c r="H776" s="4" t="inlineStr">
        <is>
          <t>Black/Black</t>
        </is>
      </c>
      <c r="I776" s="4">
        <f>IMAGE("https://images.lululemon.com/is/image/lululemon/4780",1)</f>
        <v/>
      </c>
      <c r="J776" s="4" t="inlineStr">
        <is>
          <t>S</t>
        </is>
      </c>
      <c r="K776" s="4" t="inlineStr">
        <is>
          <t>61/2479</t>
        </is>
      </c>
      <c r="L776" s="4" t="inlineStr">
        <is>
          <t>Yes</t>
        </is>
      </c>
      <c r="M776" s="4" t="inlineStr">
        <is>
          <t>Your potential—unlocked. The Metal Vent Tech collection uses seamless construction to minimize distractions from chafe and sweat so you can stay laser focused.</t>
        </is>
      </c>
      <c r="N776" s="4" t="inlineStr">
        <is>
          <t>Metal-Vent-Tech-Half-Zip-3</t>
        </is>
      </c>
      <c r="O776" s="4" t="inlineStr">
        <is>
          <t>Half Zip Sweatshirts, Quarter Zip Sweatshirts</t>
        </is>
      </c>
    </row>
    <row r="777" ht="80" customHeight="1">
      <c r="A777" s="7">
        <f>IMAGE("https://images.lululemon.com/is/image/lululemon/LM3F64S_070561_1?wid=320&amp;op_usm=0.8",1)</f>
        <v/>
      </c>
      <c r="B777" s="7" t="inlineStr">
        <is>
          <t>Metal Vent Tech Half Zip</t>
        </is>
      </c>
      <c r="C777" s="7" t="inlineStr">
        <is>
          <t>157701154</t>
        </is>
      </c>
      <c r="D777" s="7" t="inlineStr">
        <is>
          <t>157701154-black/black</t>
        </is>
      </c>
      <c r="E777" s="7" t="inlineStr">
        <is>
          <t>Metal Vent Tech Half Zip VPOR/SOGY S</t>
        </is>
      </c>
      <c r="F777" s="7" t="inlineStr">
        <is>
          <t>$118.00</t>
        </is>
      </c>
      <c r="G777" s="7" t="inlineStr">
        <is>
          <t>$59.00</t>
        </is>
      </c>
      <c r="H777" s="7" t="inlineStr">
        <is>
          <t>Black/Black</t>
        </is>
      </c>
      <c r="I777" s="7">
        <f>IMAGE("https://images.lululemon.com/is/image/lululemon/4780",1)</f>
        <v/>
      </c>
      <c r="J777" s="7" t="inlineStr">
        <is>
          <t>M</t>
        </is>
      </c>
      <c r="K777" s="7" t="inlineStr">
        <is>
          <t>200/2479</t>
        </is>
      </c>
      <c r="L777" s="7" t="inlineStr">
        <is>
          <t>Yes</t>
        </is>
      </c>
      <c r="M777" s="7" t="inlineStr">
        <is>
          <t>Your potential—unlocked. The Metal Vent Tech collection uses seamless construction to minimize distractions from chafe and sweat so you can stay laser focused.</t>
        </is>
      </c>
      <c r="N777" s="7" t="inlineStr">
        <is>
          <t>Metal-Vent-Tech-Half-Zip-3</t>
        </is>
      </c>
      <c r="O777" s="7" t="inlineStr">
        <is>
          <t>Half Zip Sweatshirts, Quarter Zip Sweatshirts</t>
        </is>
      </c>
    </row>
    <row r="778" ht="80" customHeight="1">
      <c r="A778" s="4">
        <f>IMAGE("https://images.lululemon.com/is/image/lululemon/LM3F64S_070561_1?wid=320&amp;op_usm=0.8",1)</f>
        <v/>
      </c>
      <c r="B778" s="4" t="inlineStr">
        <is>
          <t>Metal Vent Tech Half Zip</t>
        </is>
      </c>
      <c r="C778" s="4" t="inlineStr">
        <is>
          <t>157701146</t>
        </is>
      </c>
      <c r="D778" s="4" t="inlineStr">
        <is>
          <t>157701146-black/black</t>
        </is>
      </c>
      <c r="E778" s="4" t="inlineStr">
        <is>
          <t>Metal Vent Tech Half Zip VPOR/SOGY S</t>
        </is>
      </c>
      <c r="F778" s="4" t="inlineStr">
        <is>
          <t>$118.00</t>
        </is>
      </c>
      <c r="G778" s="4" t="inlineStr">
        <is>
          <t>$59.00</t>
        </is>
      </c>
      <c r="H778" s="4" t="inlineStr">
        <is>
          <t>Black/Black</t>
        </is>
      </c>
      <c r="I778" s="4">
        <f>IMAGE("https://images.lululemon.com/is/image/lululemon/4780",1)</f>
        <v/>
      </c>
      <c r="J778" s="4" t="inlineStr">
        <is>
          <t>L</t>
        </is>
      </c>
      <c r="K778" s="4" t="inlineStr">
        <is>
          <t>287/2479</t>
        </is>
      </c>
      <c r="L778" s="4" t="inlineStr">
        <is>
          <t>Yes</t>
        </is>
      </c>
      <c r="M778" s="4" t="inlineStr">
        <is>
          <t>Your potential—unlocked. The Metal Vent Tech collection uses seamless construction to minimize distractions from chafe and sweat so you can stay laser focused.</t>
        </is>
      </c>
      <c r="N778" s="4" t="inlineStr">
        <is>
          <t>Metal-Vent-Tech-Half-Zip-3</t>
        </is>
      </c>
      <c r="O778" s="4" t="inlineStr">
        <is>
          <t>Half Zip Sweatshirts, Quarter Zip Sweatshirts</t>
        </is>
      </c>
    </row>
    <row r="779" ht="80" customHeight="1">
      <c r="A779" s="7">
        <f>IMAGE("https://images.lululemon.com/is/image/lululemon/LM3F64S_070561_1?wid=320&amp;op_usm=0.8",1)</f>
        <v/>
      </c>
      <c r="B779" s="7" t="inlineStr">
        <is>
          <t>Metal Vent Tech Half Zip</t>
        </is>
      </c>
      <c r="C779" s="7" t="inlineStr">
        <is>
          <t>157701174</t>
        </is>
      </c>
      <c r="D779" s="7" t="inlineStr">
        <is>
          <t>157701174-black/black</t>
        </is>
      </c>
      <c r="E779" s="7" t="inlineStr">
        <is>
          <t>Metal Vent Tech Half Zip VPOR/SOGY S</t>
        </is>
      </c>
      <c r="F779" s="7" t="inlineStr">
        <is>
          <t>$118.00</t>
        </is>
      </c>
      <c r="G779" s="7" t="inlineStr">
        <is>
          <t>$59.00</t>
        </is>
      </c>
      <c r="H779" s="7" t="inlineStr">
        <is>
          <t>Black/Black</t>
        </is>
      </c>
      <c r="I779" s="7">
        <f>IMAGE("https://images.lululemon.com/is/image/lululemon/4780",1)</f>
        <v/>
      </c>
      <c r="J779" s="7" t="inlineStr">
        <is>
          <t>XL</t>
        </is>
      </c>
      <c r="K779" s="7" t="inlineStr">
        <is>
          <t>218/2479</t>
        </is>
      </c>
      <c r="L779" s="7" t="inlineStr">
        <is>
          <t>Yes</t>
        </is>
      </c>
      <c r="M779" s="7" t="inlineStr">
        <is>
          <t>Your potential—unlocked. The Metal Vent Tech collection uses seamless construction to minimize distractions from chafe and sweat so you can stay laser focused.</t>
        </is>
      </c>
      <c r="N779" s="7" t="inlineStr">
        <is>
          <t>Metal-Vent-Tech-Half-Zip-3</t>
        </is>
      </c>
      <c r="O779" s="7" t="inlineStr">
        <is>
          <t>Half Zip Sweatshirts, Quarter Zip Sweatshirts</t>
        </is>
      </c>
    </row>
    <row r="780" ht="80" customHeight="1">
      <c r="A780" s="4">
        <f>IMAGE("https://images.lululemon.com/is/image/lululemon/LM3F64S_070561_1?wid=320&amp;op_usm=0.8",1)</f>
        <v/>
      </c>
      <c r="B780" s="4" t="inlineStr">
        <is>
          <t>Metal Vent Tech Half Zip</t>
        </is>
      </c>
      <c r="C780" s="4" t="inlineStr">
        <is>
          <t>157701192</t>
        </is>
      </c>
      <c r="D780" s="4" t="inlineStr">
        <is>
          <t>157701192-black/black</t>
        </is>
      </c>
      <c r="E780" s="4" t="inlineStr">
        <is>
          <t>Metal Vent Tech Half Zip VPOR/SOGY S</t>
        </is>
      </c>
      <c r="F780" s="4" t="inlineStr">
        <is>
          <t>$118.00</t>
        </is>
      </c>
      <c r="G780" s="4" t="inlineStr">
        <is>
          <t>$59.00</t>
        </is>
      </c>
      <c r="H780" s="4" t="inlineStr">
        <is>
          <t>Black/Black</t>
        </is>
      </c>
      <c r="I780" s="4">
        <f>IMAGE("https://images.lululemon.com/is/image/lululemon/4780",1)</f>
        <v/>
      </c>
      <c r="J780" s="4" t="inlineStr">
        <is>
          <t>XXL</t>
        </is>
      </c>
      <c r="K780" s="4" t="inlineStr">
        <is>
          <t>79/2479</t>
        </is>
      </c>
      <c r="L780" s="4" t="inlineStr">
        <is>
          <t>Yes</t>
        </is>
      </c>
      <c r="M780" s="4" t="inlineStr">
        <is>
          <t>Your potential—unlocked. The Metal Vent Tech collection uses seamless construction to minimize distractions from chafe and sweat so you can stay laser focused.</t>
        </is>
      </c>
      <c r="N780" s="4" t="inlineStr">
        <is>
          <t>Metal-Vent-Tech-Half-Zip-3</t>
        </is>
      </c>
      <c r="O780" s="4" t="inlineStr">
        <is>
          <t>Half Zip Sweatshirts, Quarter Zip Sweatshirts</t>
        </is>
      </c>
    </row>
    <row r="781" ht="80" customHeight="1">
      <c r="A781" s="7">
        <f>IMAGE("https://images.lululemon.com/is/image/lululemon/LM3F64S_070561_1?wid=320&amp;op_usm=0.8",1)</f>
        <v/>
      </c>
      <c r="B781" s="7" t="inlineStr">
        <is>
          <t>Metal Vent Tech Half Zip</t>
        </is>
      </c>
      <c r="C781" s="7" t="inlineStr">
        <is>
          <t>158029378</t>
        </is>
      </c>
      <c r="D781" s="7" t="inlineStr">
        <is>
          <t>158029378-indochineblue/indochineblue</t>
        </is>
      </c>
      <c r="E781" s="7" t="inlineStr">
        <is>
          <t>Metal Vent Tech Half Zip VPOR/SOGY S</t>
        </is>
      </c>
      <c r="F781" s="7" t="inlineStr">
        <is>
          <t>$118.00</t>
        </is>
      </c>
      <c r="G781" s="7" t="inlineStr">
        <is>
          <t>$59.00</t>
        </is>
      </c>
      <c r="H781" s="7" t="inlineStr">
        <is>
          <t>Indochine Blue/Indochine Blue</t>
        </is>
      </c>
      <c r="I781" s="7">
        <f>IMAGE("https://images.lululemon.com/is/image/lululemon/72654",1)</f>
        <v/>
      </c>
      <c r="J781" s="7" t="inlineStr">
        <is>
          <t>S</t>
        </is>
      </c>
      <c r="K781" s="7" t="inlineStr">
        <is>
          <t>70/2479</t>
        </is>
      </c>
      <c r="L781" s="7" t="inlineStr">
        <is>
          <t>Yes</t>
        </is>
      </c>
      <c r="M781" s="7" t="inlineStr">
        <is>
          <t>Your potential—unlocked. The Metal Vent Tech collection uses seamless construction to minimize distractions from chafe and sweat so you can stay laser focused.</t>
        </is>
      </c>
      <c r="N781" s="7" t="inlineStr">
        <is>
          <t>Metal-Vent-Tech-Half-Zip-3</t>
        </is>
      </c>
      <c r="O781" s="7" t="inlineStr">
        <is>
          <t>Half Zip Sweatshirts, Quarter Zip Sweatshirts</t>
        </is>
      </c>
    </row>
    <row r="782" ht="80" customHeight="1">
      <c r="A782" s="4">
        <f>IMAGE("https://images.lululemon.com/is/image/lululemon/LM3F64S_070561_1?wid=320&amp;op_usm=0.8",1)</f>
        <v/>
      </c>
      <c r="B782" s="4" t="inlineStr">
        <is>
          <t>Metal Vent Tech Half Zip</t>
        </is>
      </c>
      <c r="C782" s="4" t="inlineStr">
        <is>
          <t>158029372</t>
        </is>
      </c>
      <c r="D782" s="4" t="inlineStr">
        <is>
          <t>158029372-indochineblue/indochineblue</t>
        </is>
      </c>
      <c r="E782" s="4" t="inlineStr">
        <is>
          <t>Metal Vent Tech Half Zip VPOR/SOGY S</t>
        </is>
      </c>
      <c r="F782" s="4" t="inlineStr">
        <is>
          <t>$118.00</t>
        </is>
      </c>
      <c r="G782" s="4" t="inlineStr">
        <is>
          <t>$59.00</t>
        </is>
      </c>
      <c r="H782" s="4" t="inlineStr">
        <is>
          <t>Indochine Blue/Indochine Blue</t>
        </is>
      </c>
      <c r="I782" s="4">
        <f>IMAGE("https://images.lululemon.com/is/image/lululemon/72654",1)</f>
        <v/>
      </c>
      <c r="J782" s="4" t="inlineStr">
        <is>
          <t>M</t>
        </is>
      </c>
      <c r="K782" s="4" t="inlineStr">
        <is>
          <t>219/2479</t>
        </is>
      </c>
      <c r="L782" s="4" t="inlineStr">
        <is>
          <t>Yes</t>
        </is>
      </c>
      <c r="M782" s="4" t="inlineStr">
        <is>
          <t>Your potential—unlocked. The Metal Vent Tech collection uses seamless construction to minimize distractions from chafe and sweat so you can stay laser focused.</t>
        </is>
      </c>
      <c r="N782" s="4" t="inlineStr">
        <is>
          <t>Metal-Vent-Tech-Half-Zip-3</t>
        </is>
      </c>
      <c r="O782" s="4" t="inlineStr">
        <is>
          <t>Half Zip Sweatshirts, Quarter Zip Sweatshirts</t>
        </is>
      </c>
    </row>
    <row r="783" ht="80" customHeight="1">
      <c r="A783" s="7">
        <f>IMAGE("https://images.lululemon.com/is/image/lululemon/LM3F64S_070561_1?wid=320&amp;op_usm=0.8",1)</f>
        <v/>
      </c>
      <c r="B783" s="7" t="inlineStr">
        <is>
          <t>Metal Vent Tech Half Zip</t>
        </is>
      </c>
      <c r="C783" s="7" t="inlineStr">
        <is>
          <t>158029366</t>
        </is>
      </c>
      <c r="D783" s="7" t="inlineStr">
        <is>
          <t>158029366-indochineblue/indochineblue</t>
        </is>
      </c>
      <c r="E783" s="7" t="inlineStr">
        <is>
          <t>Metal Vent Tech Half Zip VPOR/SOGY S</t>
        </is>
      </c>
      <c r="F783" s="7" t="inlineStr">
        <is>
          <t>$118.00</t>
        </is>
      </c>
      <c r="G783" s="7" t="inlineStr">
        <is>
          <t>$59.00</t>
        </is>
      </c>
      <c r="H783" s="7" t="inlineStr">
        <is>
          <t>Indochine Blue/Indochine Blue</t>
        </is>
      </c>
      <c r="I783" s="7">
        <f>IMAGE("https://images.lululemon.com/is/image/lululemon/72654",1)</f>
        <v/>
      </c>
      <c r="J783" s="7" t="inlineStr">
        <is>
          <t>L</t>
        </is>
      </c>
      <c r="K783" s="7" t="inlineStr">
        <is>
          <t>289/2479</t>
        </is>
      </c>
      <c r="L783" s="7" t="inlineStr">
        <is>
          <t>Yes</t>
        </is>
      </c>
      <c r="M783" s="7" t="inlineStr">
        <is>
          <t>Your potential—unlocked. The Metal Vent Tech collection uses seamless construction to minimize distractions from chafe and sweat so you can stay laser focused.</t>
        </is>
      </c>
      <c r="N783" s="7" t="inlineStr">
        <is>
          <t>Metal-Vent-Tech-Half-Zip-3</t>
        </is>
      </c>
      <c r="O783" s="7" t="inlineStr">
        <is>
          <t>Half Zip Sweatshirts, Quarter Zip Sweatshirts</t>
        </is>
      </c>
    </row>
    <row r="784" ht="80" customHeight="1">
      <c r="A784" s="4">
        <f>IMAGE("https://images.lululemon.com/is/image/lululemon/LM3F64S_070561_1?wid=320&amp;op_usm=0.8",1)</f>
        <v/>
      </c>
      <c r="B784" s="4" t="inlineStr">
        <is>
          <t>Metal Vent Tech Half Zip</t>
        </is>
      </c>
      <c r="C784" s="4" t="inlineStr">
        <is>
          <t>158029383</t>
        </is>
      </c>
      <c r="D784" s="4" t="inlineStr">
        <is>
          <t>158029383-indochineblue/indochineblue</t>
        </is>
      </c>
      <c r="E784" s="4" t="inlineStr">
        <is>
          <t>Metal Vent Tech Half Zip VPOR/SOGY S</t>
        </is>
      </c>
      <c r="F784" s="4" t="inlineStr">
        <is>
          <t>$118.00</t>
        </is>
      </c>
      <c r="G784" s="4" t="inlineStr">
        <is>
          <t>$59.00</t>
        </is>
      </c>
      <c r="H784" s="4" t="inlineStr">
        <is>
          <t>Indochine Blue/Indochine Blue</t>
        </is>
      </c>
      <c r="I784" s="4">
        <f>IMAGE("https://images.lululemon.com/is/image/lululemon/72654",1)</f>
        <v/>
      </c>
      <c r="J784" s="4" t="inlineStr">
        <is>
          <t>XL</t>
        </is>
      </c>
      <c r="K784" s="4" t="inlineStr">
        <is>
          <t>190/2479</t>
        </is>
      </c>
      <c r="L784" s="4" t="inlineStr">
        <is>
          <t>Yes</t>
        </is>
      </c>
      <c r="M784" s="4" t="inlineStr">
        <is>
          <t>Your potential—unlocked. The Metal Vent Tech collection uses seamless construction to minimize distractions from chafe and sweat so you can stay laser focused.</t>
        </is>
      </c>
      <c r="N784" s="4" t="inlineStr">
        <is>
          <t>Metal-Vent-Tech-Half-Zip-3</t>
        </is>
      </c>
      <c r="O784" s="4" t="inlineStr">
        <is>
          <t>Half Zip Sweatshirts, Quarter Zip Sweatshirts</t>
        </is>
      </c>
    </row>
    <row r="785" ht="80" customHeight="1">
      <c r="A785" s="7">
        <f>IMAGE("https://images.lululemon.com/is/image/lululemon/LM3F64S_070561_1?wid=320&amp;op_usm=0.8",1)</f>
        <v/>
      </c>
      <c r="B785" s="7" t="inlineStr">
        <is>
          <t>Metal Vent Tech Half Zip</t>
        </is>
      </c>
      <c r="C785" s="7" t="inlineStr">
        <is>
          <t>158029393</t>
        </is>
      </c>
      <c r="D785" s="7" t="inlineStr">
        <is>
          <t>158029393-indochineblue/indochineblue</t>
        </is>
      </c>
      <c r="E785" s="7" t="inlineStr">
        <is>
          <t>Metal Vent Tech Half Zip VPOR/SOGY S</t>
        </is>
      </c>
      <c r="F785" s="7" t="inlineStr">
        <is>
          <t>$118.00</t>
        </is>
      </c>
      <c r="G785" s="7" t="inlineStr">
        <is>
          <t>$59.00</t>
        </is>
      </c>
      <c r="H785" s="7" t="inlineStr">
        <is>
          <t>Indochine Blue/Indochine Blue</t>
        </is>
      </c>
      <c r="I785" s="7">
        <f>IMAGE("https://images.lululemon.com/is/image/lululemon/72654",1)</f>
        <v/>
      </c>
      <c r="J785" s="7" t="inlineStr">
        <is>
          <t>XXL</t>
        </is>
      </c>
      <c r="K785" s="7" t="inlineStr">
        <is>
          <t>60/2479</t>
        </is>
      </c>
      <c r="L785" s="7" t="inlineStr">
        <is>
          <t>Yes</t>
        </is>
      </c>
      <c r="M785" s="7" t="inlineStr">
        <is>
          <t>Your potential—unlocked. The Metal Vent Tech collection uses seamless construction to minimize distractions from chafe and sweat so you can stay laser focused.</t>
        </is>
      </c>
      <c r="N785" s="7" t="inlineStr">
        <is>
          <t>Metal-Vent-Tech-Half-Zip-3</t>
        </is>
      </c>
      <c r="O785" s="7" t="inlineStr">
        <is>
          <t>Half Zip Sweatshirts, Quarter Zip Sweatshirts</t>
        </is>
      </c>
    </row>
    <row r="786" ht="80" customHeight="1">
      <c r="A786" s="6">
        <f>IMAGE("https://images.lululemon.com/is/image/lululemon/LM3F64S_070561_1?wid=320&amp;op_usm=0.8",1)</f>
        <v/>
      </c>
      <c r="B786" s="6" t="inlineStr">
        <is>
          <t>Metal Vent Tech Half Zip</t>
        </is>
      </c>
      <c r="C786" s="6" t="inlineStr">
        <is>
          <t>158029361</t>
        </is>
      </c>
      <c r="D786" s="6" t="inlineStr">
        <is>
          <t>158029361-indochineblue/indochineblue</t>
        </is>
      </c>
      <c r="E786" s="6" t="inlineStr">
        <is>
          <t>Metal Vent Tech Half Zip VPOR/SOGY S</t>
        </is>
      </c>
      <c r="F786" s="6" t="inlineStr">
        <is>
          <t>$118.00</t>
        </is>
      </c>
      <c r="G786" s="6" t="inlineStr">
        <is>
          <t>$59.00</t>
        </is>
      </c>
      <c r="H786" s="6" t="inlineStr">
        <is>
          <t>Indochine Blue/Indochine Blue</t>
        </is>
      </c>
      <c r="I786" s="6">
        <f>IMAGE("https://images.lululemon.com/is/image/lululemon/72654",1)</f>
        <v/>
      </c>
      <c r="J786" s="6" t="inlineStr">
        <is>
          <t>3XL</t>
        </is>
      </c>
      <c r="K786" s="6" t="inlineStr">
        <is>
          <t>8/2479</t>
        </is>
      </c>
      <c r="L786" s="6" t="inlineStr">
        <is>
          <t>Yes</t>
        </is>
      </c>
      <c r="M786" s="6" t="inlineStr">
        <is>
          <t>Your potential—unlocked. The Metal Vent Tech collection uses seamless construction to minimize distractions from chafe and sweat so you can stay laser focused.</t>
        </is>
      </c>
      <c r="N786" s="6" t="inlineStr">
        <is>
          <t>Metal-Vent-Tech-Half-Zip-3</t>
        </is>
      </c>
      <c r="O786" s="6" t="inlineStr">
        <is>
          <t>Half Zip Sweatshirts, Quarter Zip Sweatshirts</t>
        </is>
      </c>
    </row>
    <row r="787" ht="80" customHeight="1">
      <c r="A787" s="7">
        <f>IMAGE("https://images.lululemon.com/is/image/lululemon/LM7B86S_0001_1?wid=320&amp;op_usm=0.8",1)</f>
        <v/>
      </c>
      <c r="B787" s="7" t="inlineStr">
        <is>
          <t>Pace Breaker Linerless Short 5"</t>
        </is>
      </c>
      <c r="C787" s="7" t="inlineStr">
        <is>
          <t>147150965</t>
        </is>
      </c>
      <c r="D787" s="7" t="inlineStr">
        <is>
          <t>147150965-black</t>
        </is>
      </c>
      <c r="E787" s="7" t="inlineStr">
        <is>
          <t>Pace Breaker Short 5" *LL BLK S</t>
        </is>
      </c>
      <c r="F787" s="7" t="inlineStr">
        <is>
          <t>$68.00</t>
        </is>
      </c>
      <c r="G787" s="7" t="inlineStr">
        <is>
          <t>$34.00</t>
        </is>
      </c>
      <c r="H787" s="7" t="inlineStr">
        <is>
          <t>Black</t>
        </is>
      </c>
      <c r="I787" s="7">
        <f>IMAGE("https://images.lululemon.com/is/image/lululemon/0001",1)</f>
        <v/>
      </c>
      <c r="J787" s="7" t="inlineStr">
        <is>
          <t>S</t>
        </is>
      </c>
      <c r="K787" s="7" t="inlineStr">
        <is>
          <t>133/1796</t>
        </is>
      </c>
      <c r="L787" s="7" t="inlineStr">
        <is>
          <t>Yes</t>
        </is>
      </c>
      <c r="M787" s="7" t="inlineStr">
        <is>
          <t>Athlete backed, performance driven. This elevated version of our most versatile short was designed for maximum comfort and zero distractions.</t>
        </is>
      </c>
      <c r="N787" s="7" t="inlineStr">
        <is>
          <t>Pace-Breaker-Linerless-Short-5-Update</t>
        </is>
      </c>
      <c r="O787" s="7" t="inlineStr">
        <is>
          <t>Athletic Shorts, Track Shorts</t>
        </is>
      </c>
    </row>
    <row r="788" ht="80" customHeight="1">
      <c r="A788" s="4">
        <f>IMAGE("https://images.lululemon.com/is/image/lululemon/LM7B86S_0001_1?wid=320&amp;op_usm=0.8",1)</f>
        <v/>
      </c>
      <c r="B788" s="4" t="inlineStr">
        <is>
          <t>Pace Breaker Linerless Short 5"</t>
        </is>
      </c>
      <c r="C788" s="4" t="inlineStr">
        <is>
          <t>147150964</t>
        </is>
      </c>
      <c r="D788" s="4" t="inlineStr">
        <is>
          <t>147150964-black</t>
        </is>
      </c>
      <c r="E788" s="4" t="inlineStr">
        <is>
          <t>Pace Breaker Short 5" *LL BLK S</t>
        </is>
      </c>
      <c r="F788" s="4" t="inlineStr">
        <is>
          <t>$68.00</t>
        </is>
      </c>
      <c r="G788" s="4" t="inlineStr">
        <is>
          <t>$34.00</t>
        </is>
      </c>
      <c r="H788" s="4" t="inlineStr">
        <is>
          <t>Black</t>
        </is>
      </c>
      <c r="I788" s="4">
        <f>IMAGE("https://images.lululemon.com/is/image/lululemon/0001",1)</f>
        <v/>
      </c>
      <c r="J788" s="4" t="inlineStr">
        <is>
          <t>M</t>
        </is>
      </c>
      <c r="K788" s="4" t="inlineStr">
        <is>
          <t>152/1796</t>
        </is>
      </c>
      <c r="L788" s="4" t="inlineStr">
        <is>
          <t>Yes</t>
        </is>
      </c>
      <c r="M788" s="4" t="inlineStr">
        <is>
          <t>Athlete backed, performance driven. This elevated version of our most versatile short was designed for maximum comfort and zero distractions.</t>
        </is>
      </c>
      <c r="N788" s="4" t="inlineStr">
        <is>
          <t>Pace-Breaker-Linerless-Short-5-Update</t>
        </is>
      </c>
      <c r="O788" s="4" t="inlineStr">
        <is>
          <t>Athletic Shorts, Track Shorts</t>
        </is>
      </c>
    </row>
    <row r="789" ht="80" customHeight="1">
      <c r="A789" s="7">
        <f>IMAGE("https://images.lululemon.com/is/image/lululemon/LM7B86S_0001_1?wid=320&amp;op_usm=0.8",1)</f>
        <v/>
      </c>
      <c r="B789" s="7" t="inlineStr">
        <is>
          <t>Pace Breaker Linerless Short 5"</t>
        </is>
      </c>
      <c r="C789" s="7" t="inlineStr">
        <is>
          <t>147150963</t>
        </is>
      </c>
      <c r="D789" s="7" t="inlineStr">
        <is>
          <t>147150963-black</t>
        </is>
      </c>
      <c r="E789" s="7" t="inlineStr">
        <is>
          <t>Pace Breaker Short 5" *LL BLK S</t>
        </is>
      </c>
      <c r="F789" s="7" t="inlineStr">
        <is>
          <t>$68.00</t>
        </is>
      </c>
      <c r="G789" s="7" t="inlineStr">
        <is>
          <t>$34.00</t>
        </is>
      </c>
      <c r="H789" s="7" t="inlineStr">
        <is>
          <t>Black</t>
        </is>
      </c>
      <c r="I789" s="7">
        <f>IMAGE("https://images.lululemon.com/is/image/lululemon/0001",1)</f>
        <v/>
      </c>
      <c r="J789" s="7" t="inlineStr">
        <is>
          <t>L</t>
        </is>
      </c>
      <c r="K789" s="7" t="inlineStr">
        <is>
          <t>479/1796</t>
        </is>
      </c>
      <c r="L789" s="7" t="inlineStr">
        <is>
          <t>Yes</t>
        </is>
      </c>
      <c r="M789" s="7" t="inlineStr">
        <is>
          <t>Athlete backed, performance driven. This elevated version of our most versatile short was designed for maximum comfort and zero distractions.</t>
        </is>
      </c>
      <c r="N789" s="7" t="inlineStr">
        <is>
          <t>Pace-Breaker-Linerless-Short-5-Update</t>
        </is>
      </c>
      <c r="O789" s="7" t="inlineStr">
        <is>
          <t>Athletic Shorts, Track Shorts</t>
        </is>
      </c>
    </row>
    <row r="790" ht="80" customHeight="1">
      <c r="A790" s="4">
        <f>IMAGE("https://images.lululemon.com/is/image/lululemon/LM7B86S_0001_1?wid=320&amp;op_usm=0.8",1)</f>
        <v/>
      </c>
      <c r="B790" s="4" t="inlineStr">
        <is>
          <t>Pace Breaker Linerless Short 5"</t>
        </is>
      </c>
      <c r="C790" s="4" t="inlineStr">
        <is>
          <t>147150966</t>
        </is>
      </c>
      <c r="D790" s="4" t="inlineStr">
        <is>
          <t>147150966-black</t>
        </is>
      </c>
      <c r="E790" s="4" t="inlineStr">
        <is>
          <t>Pace Breaker Short 5" *LL BLK S</t>
        </is>
      </c>
      <c r="F790" s="4" t="inlineStr">
        <is>
          <t>$68.00</t>
        </is>
      </c>
      <c r="G790" s="4" t="inlineStr">
        <is>
          <t>$34.00</t>
        </is>
      </c>
      <c r="H790" s="4" t="inlineStr">
        <is>
          <t>Black</t>
        </is>
      </c>
      <c r="I790" s="4">
        <f>IMAGE("https://images.lululemon.com/is/image/lululemon/0001",1)</f>
        <v/>
      </c>
      <c r="J790" s="4" t="inlineStr">
        <is>
          <t>XL</t>
        </is>
      </c>
      <c r="K790" s="4" t="inlineStr">
        <is>
          <t>496/1796</t>
        </is>
      </c>
      <c r="L790" s="4" t="inlineStr">
        <is>
          <t>Yes</t>
        </is>
      </c>
      <c r="M790" s="4" t="inlineStr">
        <is>
          <t>Athlete backed, performance driven. This elevated version of our most versatile short was designed for maximum comfort and zero distractions.</t>
        </is>
      </c>
      <c r="N790" s="4" t="inlineStr">
        <is>
          <t>Pace-Breaker-Linerless-Short-5-Update</t>
        </is>
      </c>
      <c r="O790" s="4" t="inlineStr">
        <is>
          <t>Athletic Shorts, Track Shorts</t>
        </is>
      </c>
    </row>
    <row r="791" ht="80" customHeight="1">
      <c r="A791" s="7">
        <f>IMAGE("https://images.lululemon.com/is/image/lululemon/LM7B86S_0001_1?wid=320&amp;op_usm=0.8",1)</f>
        <v/>
      </c>
      <c r="B791" s="7" t="inlineStr">
        <is>
          <t>Pace Breaker Linerless Short 5"</t>
        </is>
      </c>
      <c r="C791" s="7" t="inlineStr">
        <is>
          <t>147150968</t>
        </is>
      </c>
      <c r="D791" s="7" t="inlineStr">
        <is>
          <t>147150968-black</t>
        </is>
      </c>
      <c r="E791" s="7" t="inlineStr">
        <is>
          <t>Pace Breaker Short 5" *LL BLK S</t>
        </is>
      </c>
      <c r="F791" s="7" t="inlineStr">
        <is>
          <t>$68.00</t>
        </is>
      </c>
      <c r="G791" s="7" t="inlineStr">
        <is>
          <t>$34.00</t>
        </is>
      </c>
      <c r="H791" s="7" t="inlineStr">
        <is>
          <t>Black</t>
        </is>
      </c>
      <c r="I791" s="7">
        <f>IMAGE("https://images.lululemon.com/is/image/lululemon/0001",1)</f>
        <v/>
      </c>
      <c r="J791" s="7" t="inlineStr">
        <is>
          <t>XXL</t>
        </is>
      </c>
      <c r="K791" s="7" t="inlineStr">
        <is>
          <t>249/1796</t>
        </is>
      </c>
      <c r="L791" s="7" t="inlineStr">
        <is>
          <t>Yes</t>
        </is>
      </c>
      <c r="M791" s="7" t="inlineStr">
        <is>
          <t>Athlete backed, performance driven. This elevated version of our most versatile short was designed for maximum comfort and zero distractions.</t>
        </is>
      </c>
      <c r="N791" s="7" t="inlineStr">
        <is>
          <t>Pace-Breaker-Linerless-Short-5-Update</t>
        </is>
      </c>
      <c r="O791" s="7" t="inlineStr">
        <is>
          <t>Athletic Shorts, Track Shorts</t>
        </is>
      </c>
    </row>
    <row r="792" ht="80" customHeight="1">
      <c r="A792" s="4">
        <f>IMAGE("https://images.lululemon.com/is/image/lululemon/LM7B86S_0001_1?wid=320&amp;op_usm=0.8",1)</f>
        <v/>
      </c>
      <c r="B792" s="4" t="inlineStr">
        <is>
          <t>Pace Breaker Linerless Short 5"</t>
        </is>
      </c>
      <c r="C792" s="4" t="inlineStr">
        <is>
          <t>158023822</t>
        </is>
      </c>
      <c r="D792" s="4" t="inlineStr">
        <is>
          <t>158023822-speckledheatherplummulti</t>
        </is>
      </c>
      <c r="E792" s="4" t="inlineStr">
        <is>
          <t>Pace Breaker Short 5" *LL BLK S</t>
        </is>
      </c>
      <c r="F792" s="4" t="inlineStr">
        <is>
          <t>$68.00</t>
        </is>
      </c>
      <c r="G792" s="4" t="inlineStr">
        <is>
          <t>$34.00</t>
        </is>
      </c>
      <c r="H792" s="4" t="inlineStr">
        <is>
          <t>Speckled Heather Plum Multi</t>
        </is>
      </c>
      <c r="I792" s="4">
        <f>IMAGE("https://images.lululemon.com/is/image/lululemon/73339",1)</f>
        <v/>
      </c>
      <c r="J792" s="4" t="inlineStr">
        <is>
          <t>S</t>
        </is>
      </c>
      <c r="K792" s="4" t="inlineStr">
        <is>
          <t>33/1796</t>
        </is>
      </c>
      <c r="L792" s="4" t="inlineStr">
        <is>
          <t>Yes</t>
        </is>
      </c>
      <c r="M792" s="4" t="inlineStr">
        <is>
          <t>Athlete backed, performance driven. This elevated version of our most versatile short was designed for maximum comfort and zero distractions.</t>
        </is>
      </c>
      <c r="N792" s="4" t="inlineStr">
        <is>
          <t>Pace-Breaker-Linerless-Short-5-Update</t>
        </is>
      </c>
      <c r="O792" s="4" t="inlineStr">
        <is>
          <t>Athletic Shorts, Track Shorts</t>
        </is>
      </c>
    </row>
    <row r="793" ht="80" customHeight="1">
      <c r="A793" s="7">
        <f>IMAGE("https://images.lululemon.com/is/image/lululemon/LM7B86S_0001_1?wid=320&amp;op_usm=0.8",1)</f>
        <v/>
      </c>
      <c r="B793" s="7" t="inlineStr">
        <is>
          <t>Pace Breaker Linerless Short 5"</t>
        </is>
      </c>
      <c r="C793" s="7" t="inlineStr">
        <is>
          <t>158023809</t>
        </is>
      </c>
      <c r="D793" s="7" t="inlineStr">
        <is>
          <t>158023809-speckledheatherplummulti</t>
        </is>
      </c>
      <c r="E793" s="7" t="inlineStr">
        <is>
          <t>Pace Breaker Short 5" *LL BLK S</t>
        </is>
      </c>
      <c r="F793" s="7" t="inlineStr">
        <is>
          <t>$68.00</t>
        </is>
      </c>
      <c r="G793" s="7" t="inlineStr">
        <is>
          <t>$34.00</t>
        </is>
      </c>
      <c r="H793" s="7" t="inlineStr">
        <is>
          <t>Speckled Heather Plum Multi</t>
        </is>
      </c>
      <c r="I793" s="7">
        <f>IMAGE("https://images.lululemon.com/is/image/lululemon/73339",1)</f>
        <v/>
      </c>
      <c r="J793" s="7" t="inlineStr">
        <is>
          <t>M</t>
        </is>
      </c>
      <c r="K793" s="7" t="inlineStr">
        <is>
          <t>91/1796</t>
        </is>
      </c>
      <c r="L793" s="7" t="inlineStr">
        <is>
          <t>Yes</t>
        </is>
      </c>
      <c r="M793" s="7" t="inlineStr">
        <is>
          <t>Athlete backed, performance driven. This elevated version of our most versatile short was designed for maximum comfort and zero distractions.</t>
        </is>
      </c>
      <c r="N793" s="7" t="inlineStr">
        <is>
          <t>Pace-Breaker-Linerless-Short-5-Update</t>
        </is>
      </c>
      <c r="O793" s="7" t="inlineStr">
        <is>
          <t>Athletic Shorts, Track Shorts</t>
        </is>
      </c>
    </row>
    <row r="794" ht="80" customHeight="1">
      <c r="A794" s="4">
        <f>IMAGE("https://images.lululemon.com/is/image/lululemon/LM7B86S_0001_1?wid=320&amp;op_usm=0.8",1)</f>
        <v/>
      </c>
      <c r="B794" s="4" t="inlineStr">
        <is>
          <t>Pace Breaker Linerless Short 5"</t>
        </is>
      </c>
      <c r="C794" s="4" t="inlineStr">
        <is>
          <t>158023796</t>
        </is>
      </c>
      <c r="D794" s="4" t="inlineStr">
        <is>
          <t>158023796-speckledheatherplummulti</t>
        </is>
      </c>
      <c r="E794" s="4" t="inlineStr">
        <is>
          <t>Pace Breaker Short 5" *LL BLK S</t>
        </is>
      </c>
      <c r="F794" s="4" t="inlineStr">
        <is>
          <t>$68.00</t>
        </is>
      </c>
      <c r="G794" s="4" t="inlineStr">
        <is>
          <t>$34.00</t>
        </is>
      </c>
      <c r="H794" s="4" t="inlineStr">
        <is>
          <t>Speckled Heather Plum Multi</t>
        </is>
      </c>
      <c r="I794" s="4">
        <f>IMAGE("https://images.lululemon.com/is/image/lululemon/73339",1)</f>
        <v/>
      </c>
      <c r="J794" s="4" t="inlineStr">
        <is>
          <t>L</t>
        </is>
      </c>
      <c r="K794" s="4" t="inlineStr">
        <is>
          <t>93/1796</t>
        </is>
      </c>
      <c r="L794" s="4" t="inlineStr">
        <is>
          <t>Yes</t>
        </is>
      </c>
      <c r="M794" s="4" t="inlineStr">
        <is>
          <t>Athlete backed, performance driven. This elevated version of our most versatile short was designed for maximum comfort and zero distractions.</t>
        </is>
      </c>
      <c r="N794" s="4" t="inlineStr">
        <is>
          <t>Pace-Breaker-Linerless-Short-5-Update</t>
        </is>
      </c>
      <c r="O794" s="4" t="inlineStr">
        <is>
          <t>Athletic Shorts, Track Shorts</t>
        </is>
      </c>
    </row>
    <row r="795" ht="80" customHeight="1">
      <c r="A795" s="7">
        <f>IMAGE("https://images.lululemon.com/is/image/lululemon/LM7B86S_0001_1?wid=320&amp;op_usm=0.8",1)</f>
        <v/>
      </c>
      <c r="B795" s="7" t="inlineStr">
        <is>
          <t>Pace Breaker Linerless Short 5"</t>
        </is>
      </c>
      <c r="C795" s="7" t="inlineStr">
        <is>
          <t>158023831</t>
        </is>
      </c>
      <c r="D795" s="7" t="inlineStr">
        <is>
          <t>158023831-speckledheatherplummulti</t>
        </is>
      </c>
      <c r="E795" s="7" t="inlineStr">
        <is>
          <t>Pace Breaker Short 5" *LL BLK S</t>
        </is>
      </c>
      <c r="F795" s="7" t="inlineStr">
        <is>
          <t>$68.00</t>
        </is>
      </c>
      <c r="G795" s="7" t="inlineStr">
        <is>
          <t>$34.00</t>
        </is>
      </c>
      <c r="H795" s="7" t="inlineStr">
        <is>
          <t>Speckled Heather Plum Multi</t>
        </is>
      </c>
      <c r="I795" s="7">
        <f>IMAGE("https://images.lululemon.com/is/image/lululemon/73339",1)</f>
        <v/>
      </c>
      <c r="J795" s="7" t="inlineStr">
        <is>
          <t>XL</t>
        </is>
      </c>
      <c r="K795" s="7" t="inlineStr">
        <is>
          <t>56/1796</t>
        </is>
      </c>
      <c r="L795" s="7" t="inlineStr">
        <is>
          <t>Yes</t>
        </is>
      </c>
      <c r="M795" s="7" t="inlineStr">
        <is>
          <t>Athlete backed, performance driven. This elevated version of our most versatile short was designed for maximum comfort and zero distractions.</t>
        </is>
      </c>
      <c r="N795" s="7" t="inlineStr">
        <is>
          <t>Pace-Breaker-Linerless-Short-5-Update</t>
        </is>
      </c>
      <c r="O795" s="7" t="inlineStr">
        <is>
          <t>Athletic Shorts, Track Shorts</t>
        </is>
      </c>
    </row>
    <row r="796" ht="80" customHeight="1">
      <c r="A796" s="6">
        <f>IMAGE("https://images.lululemon.com/is/image/lululemon/LM7B86S_0001_1?wid=320&amp;op_usm=0.8",1)</f>
        <v/>
      </c>
      <c r="B796" s="6" t="inlineStr">
        <is>
          <t>Pace Breaker Linerless Short 5"</t>
        </is>
      </c>
      <c r="C796" s="6" t="inlineStr">
        <is>
          <t>158023842</t>
        </is>
      </c>
      <c r="D796" s="6" t="inlineStr">
        <is>
          <t>158023842-speckledheatherplummulti</t>
        </is>
      </c>
      <c r="E796" s="6" t="inlineStr">
        <is>
          <t>Pace Breaker Short 5" *LL BLK S</t>
        </is>
      </c>
      <c r="F796" s="6" t="inlineStr">
        <is>
          <t>$68.00</t>
        </is>
      </c>
      <c r="G796" s="6" t="inlineStr">
        <is>
          <t>$34.00</t>
        </is>
      </c>
      <c r="H796" s="6" t="inlineStr">
        <is>
          <t>Speckled Heather Plum Multi</t>
        </is>
      </c>
      <c r="I796" s="6">
        <f>IMAGE("https://images.lululemon.com/is/image/lululemon/73339",1)</f>
        <v/>
      </c>
      <c r="J796" s="6" t="inlineStr">
        <is>
          <t>XXL</t>
        </is>
      </c>
      <c r="K796" s="6" t="inlineStr">
        <is>
          <t>14/1796</t>
        </is>
      </c>
      <c r="L796" s="6" t="inlineStr">
        <is>
          <t>Yes</t>
        </is>
      </c>
      <c r="M796" s="6" t="inlineStr">
        <is>
          <t>Athlete backed, performance driven. This elevated version of our most versatile short was designed for maximum comfort and zero distractions.</t>
        </is>
      </c>
      <c r="N796" s="6" t="inlineStr">
        <is>
          <t>Pace-Breaker-Linerless-Short-5-Update</t>
        </is>
      </c>
      <c r="O796" s="6" t="inlineStr">
        <is>
          <t>Athletic Shorts, Track Shorts</t>
        </is>
      </c>
    </row>
    <row r="797" ht="80" customHeight="1">
      <c r="A797" s="7">
        <f>IMAGE("https://images.lululemon.com/is/image/lululemon/LM3FKLS_028022_1?wid=320&amp;op_usm=0.8",1)</f>
        <v/>
      </c>
      <c r="B797" s="7" t="inlineStr">
        <is>
          <t>EasySet Training Short-Sleeve Shirt</t>
        </is>
      </c>
      <c r="C797" s="7" t="inlineStr">
        <is>
          <t>158033615</t>
        </is>
      </c>
      <c r="D797" s="7" t="inlineStr">
        <is>
          <t>158033615-indochineblue</t>
        </is>
      </c>
      <c r="E797" s="7" t="inlineStr">
        <is>
          <t>EasySet Train Short Sleeve INCB M</t>
        </is>
      </c>
      <c r="F797" s="7" t="inlineStr">
        <is>
          <t>$78.00</t>
        </is>
      </c>
      <c r="G797" s="7" t="inlineStr">
        <is>
          <t>$39.00</t>
        </is>
      </c>
      <c r="H797" s="7" t="inlineStr">
        <is>
          <t>Indochine Blue</t>
        </is>
      </c>
      <c r="I797" s="7">
        <f>IMAGE("https://images.lululemon.com/is/image/lululemon/28022",1)</f>
        <v/>
      </c>
      <c r="J797" s="7" t="inlineStr">
        <is>
          <t>M</t>
        </is>
      </c>
      <c r="K797" s="7" t="inlineStr">
        <is>
          <t>2/40</t>
        </is>
      </c>
      <c r="L797" s="7" t="inlineStr">
        <is>
          <t>Yes</t>
        </is>
      </c>
      <c r="M797" s="7" t="inlineStr">
        <is>
          <t>Go boldly. This breezy short sleeve is made of a lightweight, naturally breathable fabric to keep air flowing as you power through intense workouts.</t>
        </is>
      </c>
      <c r="N797" s="7" t="inlineStr">
        <is>
          <t>EasySet-Training-Short-Sleeve-Shirt</t>
        </is>
      </c>
      <c r="O797" s="7" t="inlineStr"/>
    </row>
    <row r="798" ht="80" customHeight="1">
      <c r="A798" s="4">
        <f>IMAGE("https://images.lululemon.com/is/image/lululemon/LM3FKLS_028022_1?wid=320&amp;op_usm=0.8",1)</f>
        <v/>
      </c>
      <c r="B798" s="4" t="inlineStr">
        <is>
          <t>EasySet Training Short-Sleeve Shirt</t>
        </is>
      </c>
      <c r="C798" s="4" t="inlineStr">
        <is>
          <t>158033605</t>
        </is>
      </c>
      <c r="D798" s="4" t="inlineStr">
        <is>
          <t>158033605-indochineblue</t>
        </is>
      </c>
      <c r="E798" s="4" t="inlineStr">
        <is>
          <t>EasySet Train Short Sleeve INCB M</t>
        </is>
      </c>
      <c r="F798" s="4" t="inlineStr">
        <is>
          <t>$78.00</t>
        </is>
      </c>
      <c r="G798" s="4" t="inlineStr">
        <is>
          <t>$39.00</t>
        </is>
      </c>
      <c r="H798" s="4" t="inlineStr">
        <is>
          <t>Indochine Blue</t>
        </is>
      </c>
      <c r="I798" s="4">
        <f>IMAGE("https://images.lululemon.com/is/image/lululemon/28022",1)</f>
        <v/>
      </c>
      <c r="J798" s="4" t="inlineStr">
        <is>
          <t>L</t>
        </is>
      </c>
      <c r="K798" s="4" t="inlineStr">
        <is>
          <t>16/40</t>
        </is>
      </c>
      <c r="L798" s="4" t="inlineStr">
        <is>
          <t>Yes</t>
        </is>
      </c>
      <c r="M798" s="4" t="inlineStr">
        <is>
          <t>Go boldly. This breezy short sleeve is made of a lightweight, naturally breathable fabric to keep air flowing as you power through intense workouts.</t>
        </is>
      </c>
      <c r="N798" s="4" t="inlineStr">
        <is>
          <t>EasySet-Training-Short-Sleeve-Shirt</t>
        </is>
      </c>
      <c r="O798" s="4" t="inlineStr"/>
    </row>
    <row r="799" ht="80" customHeight="1">
      <c r="A799" s="7">
        <f>IMAGE("https://images.lululemon.com/is/image/lululemon/LM3FKLS_028022_1?wid=320&amp;op_usm=0.8",1)</f>
        <v/>
      </c>
      <c r="B799" s="7" t="inlineStr">
        <is>
          <t>EasySet Training Short-Sleeve Shirt</t>
        </is>
      </c>
      <c r="C799" s="7" t="inlineStr">
        <is>
          <t>158033635</t>
        </is>
      </c>
      <c r="D799" s="7" t="inlineStr">
        <is>
          <t>158033635-indochineblue</t>
        </is>
      </c>
      <c r="E799" s="7" t="inlineStr">
        <is>
          <t>EasySet Train Short Sleeve INCB M</t>
        </is>
      </c>
      <c r="F799" s="7" t="inlineStr">
        <is>
          <t>$78.00</t>
        </is>
      </c>
      <c r="G799" s="7" t="inlineStr">
        <is>
          <t>$39.00</t>
        </is>
      </c>
      <c r="H799" s="7" t="inlineStr">
        <is>
          <t>Indochine Blue</t>
        </is>
      </c>
      <c r="I799" s="7">
        <f>IMAGE("https://images.lululemon.com/is/image/lululemon/28022",1)</f>
        <v/>
      </c>
      <c r="J799" s="7" t="inlineStr">
        <is>
          <t>XL</t>
        </is>
      </c>
      <c r="K799" s="7" t="inlineStr">
        <is>
          <t>15/40</t>
        </is>
      </c>
      <c r="L799" s="7" t="inlineStr">
        <is>
          <t>Yes</t>
        </is>
      </c>
      <c r="M799" s="7" t="inlineStr">
        <is>
          <t>Go boldly. This breezy short sleeve is made of a lightweight, naturally breathable fabric to keep air flowing as you power through intense workouts.</t>
        </is>
      </c>
      <c r="N799" s="7" t="inlineStr">
        <is>
          <t>EasySet-Training-Short-Sleeve-Shirt</t>
        </is>
      </c>
      <c r="O799" s="7" t="inlineStr"/>
    </row>
    <row r="800" ht="80" customHeight="1">
      <c r="A800" s="6">
        <f>IMAGE("https://images.lululemon.com/is/image/lululemon/LM3FKLS_028022_1?wid=320&amp;op_usm=0.8",1)</f>
        <v/>
      </c>
      <c r="B800" s="6" t="inlineStr">
        <is>
          <t>EasySet Training Short-Sleeve Shirt</t>
        </is>
      </c>
      <c r="C800" s="6" t="inlineStr">
        <is>
          <t>158033654</t>
        </is>
      </c>
      <c r="D800" s="6" t="inlineStr">
        <is>
          <t>158033654-indochineblue</t>
        </is>
      </c>
      <c r="E800" s="6" t="inlineStr">
        <is>
          <t>EasySet Train Short Sleeve INCB M</t>
        </is>
      </c>
      <c r="F800" s="6" t="inlineStr">
        <is>
          <t>$78.00</t>
        </is>
      </c>
      <c r="G800" s="6" t="inlineStr">
        <is>
          <t>$39.00</t>
        </is>
      </c>
      <c r="H800" s="6" t="inlineStr">
        <is>
          <t>Indochine Blue</t>
        </is>
      </c>
      <c r="I800" s="6">
        <f>IMAGE("https://images.lululemon.com/is/image/lululemon/28022",1)</f>
        <v/>
      </c>
      <c r="J800" s="6" t="inlineStr">
        <is>
          <t>XXL</t>
        </is>
      </c>
      <c r="K800" s="6" t="inlineStr">
        <is>
          <t>7/40</t>
        </is>
      </c>
      <c r="L800" s="6" t="inlineStr">
        <is>
          <t>Yes</t>
        </is>
      </c>
      <c r="M800" s="6" t="inlineStr">
        <is>
          <t>Go boldly. This breezy short sleeve is made of a lightweight, naturally breathable fabric to keep air flowing as you power through intense workouts.</t>
        </is>
      </c>
      <c r="N800" s="6" t="inlineStr">
        <is>
          <t>EasySet-Training-Short-Sleeve-Shirt</t>
        </is>
      </c>
      <c r="O800" s="6" t="inlineStr"/>
    </row>
    <row r="801" ht="80" customHeight="1">
      <c r="A801" s="7">
        <f>IMAGE("https://images.lululemon.com/is/image/lululemon/LM5AJLS_032476_1?wid=320&amp;op_usm=0.8",1)</f>
        <v/>
      </c>
      <c r="B801" s="7" t="inlineStr">
        <is>
          <t>ABC Jogger *Regular</t>
        </is>
      </c>
      <c r="C801" s="7" t="inlineStr">
        <is>
          <t>156576372</t>
        </is>
      </c>
      <c r="D801" s="7" t="inlineStr">
        <is>
          <t>156576372-black</t>
        </is>
      </c>
      <c r="E801" s="7" t="inlineStr">
        <is>
          <t>ABC Regular Jogger *Warpstreme™ BLK XS</t>
        </is>
      </c>
      <c r="F801" s="7" t="inlineStr">
        <is>
          <t>$128.00</t>
        </is>
      </c>
      <c r="G801" s="7" t="inlineStr">
        <is>
          <t>$64.00</t>
        </is>
      </c>
      <c r="H801" s="7" t="inlineStr">
        <is>
          <t>Black</t>
        </is>
      </c>
      <c r="I801" s="7">
        <f>IMAGE("https://images.lululemon.com/is/image/lululemon/0001",1)</f>
        <v/>
      </c>
      <c r="J801" s="7" t="inlineStr">
        <is>
          <t>XS</t>
        </is>
      </c>
      <c r="K801" s="7" t="inlineStr">
        <is>
          <t>8/4349</t>
        </is>
      </c>
      <c r="L801" s="7" t="inlineStr">
        <is>
          <t>Yes</t>
        </is>
      </c>
      <c r="M801" s="7" t="inlineStr">
        <is>
          <t>These sleek joggers feature our ABC™ technology, making them an obvious choice for recreation or travel.</t>
        </is>
      </c>
      <c r="N801" s="7" t="inlineStr">
        <is>
          <t>Abc-Jogger</t>
        </is>
      </c>
      <c r="O801" s="7" t="inlineStr"/>
    </row>
    <row r="802" ht="80" customHeight="1">
      <c r="A802" s="4">
        <f>IMAGE("https://images.lululemon.com/is/image/lululemon/LM5AJLS_032476_1?wid=320&amp;op_usm=0.8",1)</f>
        <v/>
      </c>
      <c r="B802" s="4" t="inlineStr">
        <is>
          <t>ABC Jogger *Regular</t>
        </is>
      </c>
      <c r="C802" s="4" t="inlineStr">
        <is>
          <t>156576368</t>
        </is>
      </c>
      <c r="D802" s="4" t="inlineStr">
        <is>
          <t>156576368-black</t>
        </is>
      </c>
      <c r="E802" s="4" t="inlineStr">
        <is>
          <t>ABC Regular Jogger *Warpstreme™ BLK XS</t>
        </is>
      </c>
      <c r="F802" s="4" t="inlineStr">
        <is>
          <t>$128.00</t>
        </is>
      </c>
      <c r="G802" s="4" t="inlineStr">
        <is>
          <t>$64.00</t>
        </is>
      </c>
      <c r="H802" s="4" t="inlineStr">
        <is>
          <t>Black</t>
        </is>
      </c>
      <c r="I802" s="4">
        <f>IMAGE("https://images.lululemon.com/is/image/lululemon/0001",1)</f>
        <v/>
      </c>
      <c r="J802" s="4" t="inlineStr">
        <is>
          <t>S</t>
        </is>
      </c>
      <c r="K802" s="4" t="inlineStr">
        <is>
          <t>80/4349</t>
        </is>
      </c>
      <c r="L802" s="4" t="inlineStr">
        <is>
          <t>Yes</t>
        </is>
      </c>
      <c r="M802" s="4" t="inlineStr">
        <is>
          <t>These sleek joggers feature our ABC™ technology, making them an obvious choice for recreation or travel.</t>
        </is>
      </c>
      <c r="N802" s="4" t="inlineStr">
        <is>
          <t>Abc-Jogger</t>
        </is>
      </c>
      <c r="O802" s="4" t="inlineStr"/>
    </row>
    <row r="803" ht="80" customHeight="1">
      <c r="A803" s="7">
        <f>IMAGE("https://images.lululemon.com/is/image/lululemon/LM5AJLS_032476_1?wid=320&amp;op_usm=0.8",1)</f>
        <v/>
      </c>
      <c r="B803" s="7" t="inlineStr">
        <is>
          <t>ABC Jogger *Regular</t>
        </is>
      </c>
      <c r="C803" s="7" t="inlineStr">
        <is>
          <t>156576366</t>
        </is>
      </c>
      <c r="D803" s="7" t="inlineStr">
        <is>
          <t>156576366-black</t>
        </is>
      </c>
      <c r="E803" s="7" t="inlineStr">
        <is>
          <t>ABC Regular Jogger *Warpstreme™ BLK XS</t>
        </is>
      </c>
      <c r="F803" s="7" t="inlineStr">
        <is>
          <t>$128.00</t>
        </is>
      </c>
      <c r="G803" s="7" t="inlineStr">
        <is>
          <t>$64.00</t>
        </is>
      </c>
      <c r="H803" s="7" t="inlineStr">
        <is>
          <t>Black</t>
        </is>
      </c>
      <c r="I803" s="7">
        <f>IMAGE("https://images.lululemon.com/is/image/lululemon/0001",1)</f>
        <v/>
      </c>
      <c r="J803" s="7" t="inlineStr">
        <is>
          <t>M</t>
        </is>
      </c>
      <c r="K803" s="7" t="inlineStr">
        <is>
          <t>346/4349</t>
        </is>
      </c>
      <c r="L803" s="7" t="inlineStr">
        <is>
          <t>Yes</t>
        </is>
      </c>
      <c r="M803" s="7" t="inlineStr">
        <is>
          <t>These sleek joggers feature our ABC™ technology, making them an obvious choice for recreation or travel.</t>
        </is>
      </c>
      <c r="N803" s="7" t="inlineStr">
        <is>
          <t>Abc-Jogger</t>
        </is>
      </c>
      <c r="O803" s="7" t="inlineStr"/>
    </row>
    <row r="804" ht="80" customHeight="1">
      <c r="A804" s="4">
        <f>IMAGE("https://images.lululemon.com/is/image/lululemon/LM5AJLS_032476_1?wid=320&amp;op_usm=0.8",1)</f>
        <v/>
      </c>
      <c r="B804" s="4" t="inlineStr">
        <is>
          <t>ABC Jogger *Regular</t>
        </is>
      </c>
      <c r="C804" s="4" t="inlineStr">
        <is>
          <t>147151420</t>
        </is>
      </c>
      <c r="D804" s="4" t="inlineStr">
        <is>
          <t>147151420-black</t>
        </is>
      </c>
      <c r="E804" s="4" t="inlineStr">
        <is>
          <t>ABC Regular Jogger *Warpstreme™ BLK XS</t>
        </is>
      </c>
      <c r="F804" s="4" t="inlineStr">
        <is>
          <t>$128.00</t>
        </is>
      </c>
      <c r="G804" s="4" t="inlineStr">
        <is>
          <t>$64.00</t>
        </is>
      </c>
      <c r="H804" s="4" t="inlineStr">
        <is>
          <t>Black</t>
        </is>
      </c>
      <c r="I804" s="4">
        <f>IMAGE("https://images.lululemon.com/is/image/lululemon/0001",1)</f>
        <v/>
      </c>
      <c r="J804" s="4" t="inlineStr">
        <is>
          <t>L</t>
        </is>
      </c>
      <c r="K804" s="4" t="inlineStr">
        <is>
          <t>309/4349</t>
        </is>
      </c>
      <c r="L804" s="4" t="inlineStr">
        <is>
          <t>Yes</t>
        </is>
      </c>
      <c r="M804" s="4" t="inlineStr">
        <is>
          <t>These sleek joggers feature our ABC™ technology, making them an obvious choice for recreation or travel.</t>
        </is>
      </c>
      <c r="N804" s="4" t="inlineStr">
        <is>
          <t>Abc-Jogger</t>
        </is>
      </c>
      <c r="O804" s="4" t="inlineStr"/>
    </row>
    <row r="805" ht="80" customHeight="1">
      <c r="A805" s="7">
        <f>IMAGE("https://images.lululemon.com/is/image/lululemon/LM5AJLS_032476_1?wid=320&amp;op_usm=0.8",1)</f>
        <v/>
      </c>
      <c r="B805" s="7" t="inlineStr">
        <is>
          <t>ABC Jogger *Regular</t>
        </is>
      </c>
      <c r="C805" s="7" t="inlineStr">
        <is>
          <t>147151430</t>
        </is>
      </c>
      <c r="D805" s="7" t="inlineStr">
        <is>
          <t>147151430-black</t>
        </is>
      </c>
      <c r="E805" s="7" t="inlineStr">
        <is>
          <t>ABC Regular Jogger *Warpstreme™ BLK XS</t>
        </is>
      </c>
      <c r="F805" s="7" t="inlineStr">
        <is>
          <t>$128.00</t>
        </is>
      </c>
      <c r="G805" s="7" t="inlineStr">
        <is>
          <t>$64.00</t>
        </is>
      </c>
      <c r="H805" s="7" t="inlineStr">
        <is>
          <t>Black</t>
        </is>
      </c>
      <c r="I805" s="7">
        <f>IMAGE("https://images.lululemon.com/is/image/lululemon/0001",1)</f>
        <v/>
      </c>
      <c r="J805" s="7" t="inlineStr">
        <is>
          <t>XL</t>
        </is>
      </c>
      <c r="K805" s="7" t="inlineStr">
        <is>
          <t>184/4349</t>
        </is>
      </c>
      <c r="L805" s="7" t="inlineStr">
        <is>
          <t>Yes</t>
        </is>
      </c>
      <c r="M805" s="7" t="inlineStr">
        <is>
          <t>These sleek joggers feature our ABC™ technology, making them an obvious choice for recreation or travel.</t>
        </is>
      </c>
      <c r="N805" s="7" t="inlineStr">
        <is>
          <t>Abc-Jogger</t>
        </is>
      </c>
      <c r="O805" s="7" t="inlineStr"/>
    </row>
    <row r="806" ht="80" customHeight="1">
      <c r="A806" s="4">
        <f>IMAGE("https://images.lululemon.com/is/image/lululemon/LM5AJLS_032476_1?wid=320&amp;op_usm=0.8",1)</f>
        <v/>
      </c>
      <c r="B806" s="4" t="inlineStr">
        <is>
          <t>ABC Jogger *Regular</t>
        </is>
      </c>
      <c r="C806" s="4" t="inlineStr">
        <is>
          <t>147151435</t>
        </is>
      </c>
      <c r="D806" s="4" t="inlineStr">
        <is>
          <t>147151435-black</t>
        </is>
      </c>
      <c r="E806" s="4" t="inlineStr">
        <is>
          <t>ABC Regular Jogger *Warpstreme™ BLK XS</t>
        </is>
      </c>
      <c r="F806" s="4" t="inlineStr">
        <is>
          <t>$128.00</t>
        </is>
      </c>
      <c r="G806" s="4" t="inlineStr">
        <is>
          <t>$64.00</t>
        </is>
      </c>
      <c r="H806" s="4" t="inlineStr">
        <is>
          <t>Black</t>
        </is>
      </c>
      <c r="I806" s="4">
        <f>IMAGE("https://images.lululemon.com/is/image/lululemon/0001",1)</f>
        <v/>
      </c>
      <c r="J806" s="4" t="inlineStr">
        <is>
          <t>XXL</t>
        </is>
      </c>
      <c r="K806" s="4" t="inlineStr">
        <is>
          <t>46/4349</t>
        </is>
      </c>
      <c r="L806" s="4" t="inlineStr">
        <is>
          <t>Yes</t>
        </is>
      </c>
      <c r="M806" s="4" t="inlineStr">
        <is>
          <t>These sleek joggers feature our ABC™ technology, making them an obvious choice for recreation or travel.</t>
        </is>
      </c>
      <c r="N806" s="4" t="inlineStr">
        <is>
          <t>Abc-Jogger</t>
        </is>
      </c>
      <c r="O806" s="4" t="inlineStr"/>
    </row>
    <row r="807" ht="80" customHeight="1">
      <c r="A807" s="7">
        <f>IMAGE("https://images.lululemon.com/is/image/lululemon/LM5AJLS_032476_1?wid=320&amp;op_usm=0.8",1)</f>
        <v/>
      </c>
      <c r="B807" s="7" t="inlineStr">
        <is>
          <t>ABC Jogger *Regular</t>
        </is>
      </c>
      <c r="C807" s="7" t="inlineStr">
        <is>
          <t>142153310</t>
        </is>
      </c>
      <c r="D807" s="7" t="inlineStr">
        <is>
          <t>142153310-obsidian</t>
        </is>
      </c>
      <c r="E807" s="7" t="inlineStr">
        <is>
          <t>ABC Regular Jogger *Warpstreme™ BLK XS</t>
        </is>
      </c>
      <c r="F807" s="7" t="inlineStr">
        <is>
          <t>$128.00</t>
        </is>
      </c>
      <c r="G807" s="7" t="inlineStr">
        <is>
          <t>$64.00</t>
        </is>
      </c>
      <c r="H807" s="7" t="inlineStr">
        <is>
          <t>Obsidian</t>
        </is>
      </c>
      <c r="I807" s="7">
        <f>IMAGE("https://images.lululemon.com/is/image/lululemon/32476",1)</f>
        <v/>
      </c>
      <c r="J807" s="7" t="inlineStr">
        <is>
          <t>S</t>
        </is>
      </c>
      <c r="K807" s="7" t="inlineStr">
        <is>
          <t>51/4349</t>
        </is>
      </c>
      <c r="L807" s="7" t="inlineStr">
        <is>
          <t>Yes</t>
        </is>
      </c>
      <c r="M807" s="7" t="inlineStr">
        <is>
          <t>These sleek joggers feature our ABC™ technology, making them an obvious choice for recreation or travel.</t>
        </is>
      </c>
      <c r="N807" s="7" t="inlineStr">
        <is>
          <t>Abc-Jogger</t>
        </is>
      </c>
      <c r="O807" s="7" t="inlineStr"/>
    </row>
    <row r="808" ht="80" customHeight="1">
      <c r="A808" s="4">
        <f>IMAGE("https://images.lululemon.com/is/image/lululemon/LM5AJLS_032476_1?wid=320&amp;op_usm=0.8",1)</f>
        <v/>
      </c>
      <c r="B808" s="4" t="inlineStr">
        <is>
          <t>ABC Jogger *Regular</t>
        </is>
      </c>
      <c r="C808" s="4" t="inlineStr">
        <is>
          <t>142153305</t>
        </is>
      </c>
      <c r="D808" s="4" t="inlineStr">
        <is>
          <t>142153305-obsidian</t>
        </is>
      </c>
      <c r="E808" s="4" t="inlineStr">
        <is>
          <t>ABC Regular Jogger *Warpstreme™ BLK XS</t>
        </is>
      </c>
      <c r="F808" s="4" t="inlineStr">
        <is>
          <t>$128.00</t>
        </is>
      </c>
      <c r="G808" s="4" t="inlineStr">
        <is>
          <t>$64.00</t>
        </is>
      </c>
      <c r="H808" s="4" t="inlineStr">
        <is>
          <t>Obsidian</t>
        </is>
      </c>
      <c r="I808" s="4">
        <f>IMAGE("https://images.lululemon.com/is/image/lululemon/32476",1)</f>
        <v/>
      </c>
      <c r="J808" s="4" t="inlineStr">
        <is>
          <t>M</t>
        </is>
      </c>
      <c r="K808" s="4" t="inlineStr">
        <is>
          <t>237/4349</t>
        </is>
      </c>
      <c r="L808" s="4" t="inlineStr">
        <is>
          <t>Yes</t>
        </is>
      </c>
      <c r="M808" s="4" t="inlineStr">
        <is>
          <t>These sleek joggers feature our ABC™ technology, making them an obvious choice for recreation or travel.</t>
        </is>
      </c>
      <c r="N808" s="4" t="inlineStr">
        <is>
          <t>Abc-Jogger</t>
        </is>
      </c>
      <c r="O808" s="4" t="inlineStr"/>
    </row>
    <row r="809" ht="80" customHeight="1">
      <c r="A809" s="7">
        <f>IMAGE("https://images.lululemon.com/is/image/lululemon/LM5AJLS_032476_1?wid=320&amp;op_usm=0.8",1)</f>
        <v/>
      </c>
      <c r="B809" s="7" t="inlineStr">
        <is>
          <t>ABC Jogger *Regular</t>
        </is>
      </c>
      <c r="C809" s="7" t="inlineStr">
        <is>
          <t>142153301</t>
        </is>
      </c>
      <c r="D809" s="7" t="inlineStr">
        <is>
          <t>142153301-obsidian</t>
        </is>
      </c>
      <c r="E809" s="7" t="inlineStr">
        <is>
          <t>ABC Regular Jogger *Warpstreme™ BLK XS</t>
        </is>
      </c>
      <c r="F809" s="7" t="inlineStr">
        <is>
          <t>$128.00</t>
        </is>
      </c>
      <c r="G809" s="7" t="inlineStr">
        <is>
          <t>$64.00</t>
        </is>
      </c>
      <c r="H809" s="7" t="inlineStr">
        <is>
          <t>Obsidian</t>
        </is>
      </c>
      <c r="I809" s="7">
        <f>IMAGE("https://images.lululemon.com/is/image/lululemon/32476",1)</f>
        <v/>
      </c>
      <c r="J809" s="7" t="inlineStr">
        <is>
          <t>L</t>
        </is>
      </c>
      <c r="K809" s="7" t="inlineStr">
        <is>
          <t>225/4349</t>
        </is>
      </c>
      <c r="L809" s="7" t="inlineStr">
        <is>
          <t>Yes</t>
        </is>
      </c>
      <c r="M809" s="7" t="inlineStr">
        <is>
          <t>These sleek joggers feature our ABC™ technology, making them an obvious choice for recreation or travel.</t>
        </is>
      </c>
      <c r="N809" s="7" t="inlineStr">
        <is>
          <t>Abc-Jogger</t>
        </is>
      </c>
      <c r="O809" s="7" t="inlineStr"/>
    </row>
    <row r="810" ht="80" customHeight="1">
      <c r="A810" s="4">
        <f>IMAGE("https://images.lululemon.com/is/image/lululemon/LM5AJLS_032476_1?wid=320&amp;op_usm=0.8",1)</f>
        <v/>
      </c>
      <c r="B810" s="4" t="inlineStr">
        <is>
          <t>ABC Jogger *Regular</t>
        </is>
      </c>
      <c r="C810" s="4" t="inlineStr">
        <is>
          <t>142153315</t>
        </is>
      </c>
      <c r="D810" s="4" t="inlineStr">
        <is>
          <t>142153315-obsidian</t>
        </is>
      </c>
      <c r="E810" s="4" t="inlineStr">
        <is>
          <t>ABC Regular Jogger *Warpstreme™ BLK XS</t>
        </is>
      </c>
      <c r="F810" s="4" t="inlineStr">
        <is>
          <t>$128.00</t>
        </is>
      </c>
      <c r="G810" s="4" t="inlineStr">
        <is>
          <t>$64.00</t>
        </is>
      </c>
      <c r="H810" s="4" t="inlineStr">
        <is>
          <t>Obsidian</t>
        </is>
      </c>
      <c r="I810" s="4">
        <f>IMAGE("https://images.lululemon.com/is/image/lululemon/32476",1)</f>
        <v/>
      </c>
      <c r="J810" s="4" t="inlineStr">
        <is>
          <t>XL</t>
        </is>
      </c>
      <c r="K810" s="4" t="inlineStr">
        <is>
          <t>103/4349</t>
        </is>
      </c>
      <c r="L810" s="4" t="inlineStr">
        <is>
          <t>Yes</t>
        </is>
      </c>
      <c r="M810" s="4" t="inlineStr">
        <is>
          <t>These sleek joggers feature our ABC™ technology, making them an obvious choice for recreation or travel.</t>
        </is>
      </c>
      <c r="N810" s="4" t="inlineStr">
        <is>
          <t>Abc-Jogger</t>
        </is>
      </c>
      <c r="O810" s="4" t="inlineStr"/>
    </row>
    <row r="811" ht="80" customHeight="1">
      <c r="A811" s="7">
        <f>IMAGE("https://images.lululemon.com/is/image/lululemon/LM5AJLS_032476_1?wid=320&amp;op_usm=0.8",1)</f>
        <v/>
      </c>
      <c r="B811" s="7" t="inlineStr">
        <is>
          <t>ABC Jogger *Regular</t>
        </is>
      </c>
      <c r="C811" s="7" t="inlineStr">
        <is>
          <t>142153326</t>
        </is>
      </c>
      <c r="D811" s="7" t="inlineStr">
        <is>
          <t>142153326-obsidian</t>
        </is>
      </c>
      <c r="E811" s="7" t="inlineStr">
        <is>
          <t>ABC Regular Jogger *Warpstreme™ BLK XS</t>
        </is>
      </c>
      <c r="F811" s="7" t="inlineStr">
        <is>
          <t>$128.00</t>
        </is>
      </c>
      <c r="G811" s="7" t="inlineStr">
        <is>
          <t>$64.00</t>
        </is>
      </c>
      <c r="H811" s="7" t="inlineStr">
        <is>
          <t>Obsidian</t>
        </is>
      </c>
      <c r="I811" s="7">
        <f>IMAGE("https://images.lululemon.com/is/image/lululemon/32476",1)</f>
        <v/>
      </c>
      <c r="J811" s="7" t="inlineStr">
        <is>
          <t>XXL</t>
        </is>
      </c>
      <c r="K811" s="7" t="inlineStr">
        <is>
          <t>47/4349</t>
        </is>
      </c>
      <c r="L811" s="7" t="inlineStr">
        <is>
          <t>Yes</t>
        </is>
      </c>
      <c r="M811" s="7" t="inlineStr">
        <is>
          <t>These sleek joggers feature our ABC™ technology, making them an obvious choice for recreation or travel.</t>
        </is>
      </c>
      <c r="N811" s="7" t="inlineStr">
        <is>
          <t>Abc-Jogger</t>
        </is>
      </c>
      <c r="O811" s="7" t="inlineStr"/>
    </row>
    <row r="812" ht="80" customHeight="1">
      <c r="A812" s="4">
        <f>IMAGE("https://images.lululemon.com/is/image/lululemon/LM5AJLS_032476_1?wid=320&amp;op_usm=0.8",1)</f>
        <v/>
      </c>
      <c r="B812" s="4" t="inlineStr">
        <is>
          <t>ABC Jogger *Regular</t>
        </is>
      </c>
      <c r="C812" s="4" t="inlineStr">
        <is>
          <t>156576386</t>
        </is>
      </c>
      <c r="D812" s="4" t="inlineStr">
        <is>
          <t>156576386-truenavy</t>
        </is>
      </c>
      <c r="E812" s="4" t="inlineStr">
        <is>
          <t>ABC Regular Jogger *Warpstreme™ BLK XS</t>
        </is>
      </c>
      <c r="F812" s="4" t="inlineStr">
        <is>
          <t>$128.00</t>
        </is>
      </c>
      <c r="G812" s="4" t="inlineStr">
        <is>
          <t>$64.00</t>
        </is>
      </c>
      <c r="H812" s="4" t="inlineStr">
        <is>
          <t>True Navy</t>
        </is>
      </c>
      <c r="I812" s="4">
        <f>IMAGE("https://images.lululemon.com/is/image/lululemon/31382",1)</f>
        <v/>
      </c>
      <c r="J812" s="4" t="inlineStr">
        <is>
          <t>S</t>
        </is>
      </c>
      <c r="K812" s="4" t="inlineStr">
        <is>
          <t>145/4349</t>
        </is>
      </c>
      <c r="L812" s="4" t="inlineStr">
        <is>
          <t>Yes</t>
        </is>
      </c>
      <c r="M812" s="4" t="inlineStr">
        <is>
          <t>These sleek joggers feature our ABC™ technology, making them an obvious choice for recreation or travel.</t>
        </is>
      </c>
      <c r="N812" s="4" t="inlineStr">
        <is>
          <t>Abc-Jogger</t>
        </is>
      </c>
      <c r="O812" s="4" t="inlineStr"/>
    </row>
    <row r="813" ht="80" customHeight="1">
      <c r="A813" s="7">
        <f>IMAGE("https://images.lululemon.com/is/image/lululemon/LM5AJLS_032476_1?wid=320&amp;op_usm=0.8",1)</f>
        <v/>
      </c>
      <c r="B813" s="7" t="inlineStr">
        <is>
          <t>ABC Jogger *Regular</t>
        </is>
      </c>
      <c r="C813" s="7" t="inlineStr">
        <is>
          <t>156576385</t>
        </is>
      </c>
      <c r="D813" s="7" t="inlineStr">
        <is>
          <t>156576385-truenavy</t>
        </is>
      </c>
      <c r="E813" s="7" t="inlineStr">
        <is>
          <t>ABC Regular Jogger *Warpstreme™ BLK XS</t>
        </is>
      </c>
      <c r="F813" s="7" t="inlineStr">
        <is>
          <t>$128.00</t>
        </is>
      </c>
      <c r="G813" s="7" t="inlineStr">
        <is>
          <t>$64.00</t>
        </is>
      </c>
      <c r="H813" s="7" t="inlineStr">
        <is>
          <t>True Navy</t>
        </is>
      </c>
      <c r="I813" s="7">
        <f>IMAGE("https://images.lululemon.com/is/image/lululemon/31382",1)</f>
        <v/>
      </c>
      <c r="J813" s="7" t="inlineStr">
        <is>
          <t>M</t>
        </is>
      </c>
      <c r="K813" s="7" t="inlineStr">
        <is>
          <t>344/4349</t>
        </is>
      </c>
      <c r="L813" s="7" t="inlineStr">
        <is>
          <t>Yes</t>
        </is>
      </c>
      <c r="M813" s="7" t="inlineStr">
        <is>
          <t>These sleek joggers feature our ABC™ technology, making them an obvious choice for recreation or travel.</t>
        </is>
      </c>
      <c r="N813" s="7" t="inlineStr">
        <is>
          <t>Abc-Jogger</t>
        </is>
      </c>
      <c r="O813" s="7" t="inlineStr"/>
    </row>
    <row r="814" ht="80" customHeight="1">
      <c r="A814" s="4">
        <f>IMAGE("https://images.lululemon.com/is/image/lululemon/LM5AJLS_032476_1?wid=320&amp;op_usm=0.8",1)</f>
        <v/>
      </c>
      <c r="B814" s="4" t="inlineStr">
        <is>
          <t>ABC Jogger *Regular</t>
        </is>
      </c>
      <c r="C814" s="4" t="inlineStr">
        <is>
          <t>156576384</t>
        </is>
      </c>
      <c r="D814" s="4" t="inlineStr">
        <is>
          <t>156576384-truenavy</t>
        </is>
      </c>
      <c r="E814" s="4" t="inlineStr">
        <is>
          <t>ABC Regular Jogger *Warpstreme™ BLK XS</t>
        </is>
      </c>
      <c r="F814" s="4" t="inlineStr">
        <is>
          <t>$128.00</t>
        </is>
      </c>
      <c r="G814" s="4" t="inlineStr">
        <is>
          <t>$64.00</t>
        </is>
      </c>
      <c r="H814" s="4" t="inlineStr">
        <is>
          <t>True Navy</t>
        </is>
      </c>
      <c r="I814" s="4">
        <f>IMAGE("https://images.lululemon.com/is/image/lululemon/31382",1)</f>
        <v/>
      </c>
      <c r="J814" s="4" t="inlineStr">
        <is>
          <t>L</t>
        </is>
      </c>
      <c r="K814" s="4" t="inlineStr">
        <is>
          <t>435/4349</t>
        </is>
      </c>
      <c r="L814" s="4" t="inlineStr">
        <is>
          <t>Yes</t>
        </is>
      </c>
      <c r="M814" s="4" t="inlineStr">
        <is>
          <t>These sleek joggers feature our ABC™ technology, making them an obvious choice for recreation or travel.</t>
        </is>
      </c>
      <c r="N814" s="4" t="inlineStr">
        <is>
          <t>Abc-Jogger</t>
        </is>
      </c>
      <c r="O814" s="4" t="inlineStr"/>
    </row>
    <row r="815" ht="80" customHeight="1">
      <c r="A815" s="7">
        <f>IMAGE("https://images.lululemon.com/is/image/lululemon/LM5AJLS_032476_1?wid=320&amp;op_usm=0.8",1)</f>
        <v/>
      </c>
      <c r="B815" s="7" t="inlineStr">
        <is>
          <t>ABC Jogger *Regular</t>
        </is>
      </c>
      <c r="C815" s="7" t="inlineStr">
        <is>
          <t>156576387</t>
        </is>
      </c>
      <c r="D815" s="7" t="inlineStr">
        <is>
          <t>156576387-truenavy</t>
        </is>
      </c>
      <c r="E815" s="7" t="inlineStr">
        <is>
          <t>ABC Regular Jogger *Warpstreme™ BLK XS</t>
        </is>
      </c>
      <c r="F815" s="7" t="inlineStr">
        <is>
          <t>$128.00</t>
        </is>
      </c>
      <c r="G815" s="7" t="inlineStr">
        <is>
          <t>$64.00</t>
        </is>
      </c>
      <c r="H815" s="7" t="inlineStr">
        <is>
          <t>True Navy</t>
        </is>
      </c>
      <c r="I815" s="7">
        <f>IMAGE("https://images.lululemon.com/is/image/lululemon/31382",1)</f>
        <v/>
      </c>
      <c r="J815" s="7" t="inlineStr">
        <is>
          <t>XL</t>
        </is>
      </c>
      <c r="K815" s="7" t="inlineStr">
        <is>
          <t>342/4349</t>
        </is>
      </c>
      <c r="L815" s="7" t="inlineStr">
        <is>
          <t>Yes</t>
        </is>
      </c>
      <c r="M815" s="7" t="inlineStr">
        <is>
          <t>These sleek joggers feature our ABC™ technology, making them an obvious choice for recreation or travel.</t>
        </is>
      </c>
      <c r="N815" s="7" t="inlineStr">
        <is>
          <t>Abc-Jogger</t>
        </is>
      </c>
      <c r="O815" s="7" t="inlineStr"/>
    </row>
    <row r="816" ht="80" customHeight="1">
      <c r="A816" s="4">
        <f>IMAGE("https://images.lululemon.com/is/image/lululemon/LM5AJLS_032476_1?wid=320&amp;op_usm=0.8",1)</f>
        <v/>
      </c>
      <c r="B816" s="4" t="inlineStr">
        <is>
          <t>ABC Jogger *Regular</t>
        </is>
      </c>
      <c r="C816" s="4" t="inlineStr">
        <is>
          <t>156576389</t>
        </is>
      </c>
      <c r="D816" s="4" t="inlineStr">
        <is>
          <t>156576389-truenavy</t>
        </is>
      </c>
      <c r="E816" s="4" t="inlineStr">
        <is>
          <t>ABC Regular Jogger *Warpstreme™ BLK XS</t>
        </is>
      </c>
      <c r="F816" s="4" t="inlineStr">
        <is>
          <t>$128.00</t>
        </is>
      </c>
      <c r="G816" s="4" t="inlineStr">
        <is>
          <t>$64.00</t>
        </is>
      </c>
      <c r="H816" s="4" t="inlineStr">
        <is>
          <t>True Navy</t>
        </is>
      </c>
      <c r="I816" s="4">
        <f>IMAGE("https://images.lululemon.com/is/image/lululemon/31382",1)</f>
        <v/>
      </c>
      <c r="J816" s="4" t="inlineStr">
        <is>
          <t>XXL</t>
        </is>
      </c>
      <c r="K816" s="4" t="inlineStr">
        <is>
          <t>171/4349</t>
        </is>
      </c>
      <c r="L816" s="4" t="inlineStr">
        <is>
          <t>Yes</t>
        </is>
      </c>
      <c r="M816" s="4" t="inlineStr">
        <is>
          <t>These sleek joggers feature our ABC™ technology, making them an obvious choice for recreation or travel.</t>
        </is>
      </c>
      <c r="N816" s="4" t="inlineStr">
        <is>
          <t>Abc-Jogger</t>
        </is>
      </c>
      <c r="O816" s="4" t="inlineStr"/>
    </row>
    <row r="817" ht="80" customHeight="1">
      <c r="A817" s="7">
        <f>IMAGE("https://images.lululemon.com/is/image/lululemon/LM5AJLS_032476_1?wid=320&amp;op_usm=0.8",1)</f>
        <v/>
      </c>
      <c r="B817" s="7" t="inlineStr">
        <is>
          <t>ABC Jogger *Regular</t>
        </is>
      </c>
      <c r="C817" s="7" t="inlineStr">
        <is>
          <t>157705189</t>
        </is>
      </c>
      <c r="D817" s="7" t="inlineStr">
        <is>
          <t>157705189-solargrey</t>
        </is>
      </c>
      <c r="E817" s="7" t="inlineStr">
        <is>
          <t>ABC Regular Jogger *Warpstreme™ BLK XS</t>
        </is>
      </c>
      <c r="F817" s="7" t="inlineStr">
        <is>
          <t>$128.00</t>
        </is>
      </c>
      <c r="G817" s="7" t="inlineStr">
        <is>
          <t>$64.00</t>
        </is>
      </c>
      <c r="H817" s="7" t="inlineStr">
        <is>
          <t>Solar Grey</t>
        </is>
      </c>
      <c r="I817" s="7">
        <f>IMAGE("https://images.lululemon.com/is/image/lululemon/38426",1)</f>
        <v/>
      </c>
      <c r="J817" s="7" t="inlineStr">
        <is>
          <t>S</t>
        </is>
      </c>
      <c r="K817" s="7" t="inlineStr">
        <is>
          <t>49/4349</t>
        </is>
      </c>
      <c r="L817" s="7" t="inlineStr">
        <is>
          <t>Yes</t>
        </is>
      </c>
      <c r="M817" s="7" t="inlineStr">
        <is>
          <t>These sleek joggers feature our ABC™ technology, making them an obvious choice for recreation or travel.</t>
        </is>
      </c>
      <c r="N817" s="7" t="inlineStr">
        <is>
          <t>Abc-Jogger</t>
        </is>
      </c>
      <c r="O817" s="7" t="inlineStr"/>
    </row>
    <row r="818" ht="80" customHeight="1">
      <c r="A818" s="4">
        <f>IMAGE("https://images.lululemon.com/is/image/lululemon/LM5AJLS_032476_1?wid=320&amp;op_usm=0.8",1)</f>
        <v/>
      </c>
      <c r="B818" s="4" t="inlineStr">
        <is>
          <t>ABC Jogger *Regular</t>
        </is>
      </c>
      <c r="C818" s="4" t="inlineStr">
        <is>
          <t>157705184</t>
        </is>
      </c>
      <c r="D818" s="4" t="inlineStr">
        <is>
          <t>157705184-solargrey</t>
        </is>
      </c>
      <c r="E818" s="4" t="inlineStr">
        <is>
          <t>ABC Regular Jogger *Warpstreme™ BLK XS</t>
        </is>
      </c>
      <c r="F818" s="4" t="inlineStr">
        <is>
          <t>$128.00</t>
        </is>
      </c>
      <c r="G818" s="4" t="inlineStr">
        <is>
          <t>$64.00</t>
        </is>
      </c>
      <c r="H818" s="4" t="inlineStr">
        <is>
          <t>Solar Grey</t>
        </is>
      </c>
      <c r="I818" s="4">
        <f>IMAGE("https://images.lululemon.com/is/image/lululemon/38426",1)</f>
        <v/>
      </c>
      <c r="J818" s="4" t="inlineStr">
        <is>
          <t>M</t>
        </is>
      </c>
      <c r="K818" s="4" t="inlineStr">
        <is>
          <t>75/4349</t>
        </is>
      </c>
      <c r="L818" s="4" t="inlineStr">
        <is>
          <t>Yes</t>
        </is>
      </c>
      <c r="M818" s="4" t="inlineStr">
        <is>
          <t>These sleek joggers feature our ABC™ technology, making them an obvious choice for recreation or travel.</t>
        </is>
      </c>
      <c r="N818" s="4" t="inlineStr">
        <is>
          <t>Abc-Jogger</t>
        </is>
      </c>
      <c r="O818" s="4" t="inlineStr"/>
    </row>
    <row r="819" ht="80" customHeight="1">
      <c r="A819" s="7">
        <f>IMAGE("https://images.lululemon.com/is/image/lululemon/LM5AJLS_032476_1?wid=320&amp;op_usm=0.8",1)</f>
        <v/>
      </c>
      <c r="B819" s="7" t="inlineStr">
        <is>
          <t>ABC Jogger *Regular</t>
        </is>
      </c>
      <c r="C819" s="7" t="inlineStr">
        <is>
          <t>157705180</t>
        </is>
      </c>
      <c r="D819" s="7" t="inlineStr">
        <is>
          <t>157705180-solargrey</t>
        </is>
      </c>
      <c r="E819" s="7" t="inlineStr">
        <is>
          <t>ABC Regular Jogger *Warpstreme™ BLK XS</t>
        </is>
      </c>
      <c r="F819" s="7" t="inlineStr">
        <is>
          <t>$128.00</t>
        </is>
      </c>
      <c r="G819" s="7" t="inlineStr">
        <is>
          <t>$64.00</t>
        </is>
      </c>
      <c r="H819" s="7" t="inlineStr">
        <is>
          <t>Solar Grey</t>
        </is>
      </c>
      <c r="I819" s="7">
        <f>IMAGE("https://images.lululemon.com/is/image/lululemon/38426",1)</f>
        <v/>
      </c>
      <c r="J819" s="7" t="inlineStr">
        <is>
          <t>L</t>
        </is>
      </c>
      <c r="K819" s="7" t="inlineStr">
        <is>
          <t>92/4349</t>
        </is>
      </c>
      <c r="L819" s="7" t="inlineStr">
        <is>
          <t>Yes</t>
        </is>
      </c>
      <c r="M819" s="7" t="inlineStr">
        <is>
          <t>These sleek joggers feature our ABC™ technology, making them an obvious choice for recreation or travel.</t>
        </is>
      </c>
      <c r="N819" s="7" t="inlineStr">
        <is>
          <t>Abc-Jogger</t>
        </is>
      </c>
      <c r="O819" s="7" t="inlineStr"/>
    </row>
    <row r="820" ht="80" customHeight="1">
      <c r="A820" s="4">
        <f>IMAGE("https://images.lululemon.com/is/image/lululemon/LM5AJLS_032476_1?wid=320&amp;op_usm=0.8",1)</f>
        <v/>
      </c>
      <c r="B820" s="4" t="inlineStr">
        <is>
          <t>ABC Jogger *Regular</t>
        </is>
      </c>
      <c r="C820" s="4" t="inlineStr">
        <is>
          <t>157705193</t>
        </is>
      </c>
      <c r="D820" s="4" t="inlineStr">
        <is>
          <t>157705193-solargrey</t>
        </is>
      </c>
      <c r="E820" s="4" t="inlineStr">
        <is>
          <t>ABC Regular Jogger *Warpstreme™ BLK XS</t>
        </is>
      </c>
      <c r="F820" s="4" t="inlineStr">
        <is>
          <t>$128.00</t>
        </is>
      </c>
      <c r="G820" s="4" t="inlineStr">
        <is>
          <t>$64.00</t>
        </is>
      </c>
      <c r="H820" s="4" t="inlineStr">
        <is>
          <t>Solar Grey</t>
        </is>
      </c>
      <c r="I820" s="4">
        <f>IMAGE("https://images.lululemon.com/is/image/lululemon/38426",1)</f>
        <v/>
      </c>
      <c r="J820" s="4" t="inlineStr">
        <is>
          <t>XL</t>
        </is>
      </c>
      <c r="K820" s="4" t="inlineStr">
        <is>
          <t>64/4349</t>
        </is>
      </c>
      <c r="L820" s="4" t="inlineStr">
        <is>
          <t>Yes</t>
        </is>
      </c>
      <c r="M820" s="4" t="inlineStr">
        <is>
          <t>These sleek joggers feature our ABC™ technology, making them an obvious choice for recreation or travel.</t>
        </is>
      </c>
      <c r="N820" s="4" t="inlineStr">
        <is>
          <t>Abc-Jogger</t>
        </is>
      </c>
      <c r="O820" s="4" t="inlineStr"/>
    </row>
    <row r="821" ht="80" customHeight="1">
      <c r="A821" s="7">
        <f>IMAGE("https://images.lululemon.com/is/image/lululemon/LM5AJLS_032476_1?wid=320&amp;op_usm=0.8",1)</f>
        <v/>
      </c>
      <c r="B821" s="7" t="inlineStr">
        <is>
          <t>ABC Jogger *Regular</t>
        </is>
      </c>
      <c r="C821" s="7" t="inlineStr">
        <is>
          <t>157705201</t>
        </is>
      </c>
      <c r="D821" s="7" t="inlineStr">
        <is>
          <t>157705201-solargrey</t>
        </is>
      </c>
      <c r="E821" s="7" t="inlineStr">
        <is>
          <t>ABC Regular Jogger *Warpstreme™ BLK XS</t>
        </is>
      </c>
      <c r="F821" s="7" t="inlineStr">
        <is>
          <t>$128.00</t>
        </is>
      </c>
      <c r="G821" s="7" t="inlineStr">
        <is>
          <t>$64.00</t>
        </is>
      </c>
      <c r="H821" s="7" t="inlineStr">
        <is>
          <t>Solar Grey</t>
        </is>
      </c>
      <c r="I821" s="7">
        <f>IMAGE("https://images.lululemon.com/is/image/lululemon/38426",1)</f>
        <v/>
      </c>
      <c r="J821" s="7" t="inlineStr">
        <is>
          <t>XXL</t>
        </is>
      </c>
      <c r="K821" s="7" t="inlineStr">
        <is>
          <t>15/4349</t>
        </is>
      </c>
      <c r="L821" s="7" t="inlineStr">
        <is>
          <t>Yes</t>
        </is>
      </c>
      <c r="M821" s="7" t="inlineStr">
        <is>
          <t>These sleek joggers feature our ABC™ technology, making them an obvious choice for recreation or travel.</t>
        </is>
      </c>
      <c r="N821" s="7" t="inlineStr">
        <is>
          <t>Abc-Jogger</t>
        </is>
      </c>
      <c r="O821" s="7" t="inlineStr"/>
    </row>
    <row r="822" ht="80" customHeight="1">
      <c r="A822" s="4">
        <f>IMAGE("https://images.lululemon.com/is/image/lululemon/LM5AJLS_032476_1?wid=320&amp;op_usm=0.8",1)</f>
        <v/>
      </c>
      <c r="B822" s="4" t="inlineStr">
        <is>
          <t>ABC Jogger *Regular</t>
        </is>
      </c>
      <c r="C822" s="4" t="inlineStr">
        <is>
          <t>157705211</t>
        </is>
      </c>
      <c r="D822" s="4" t="inlineStr">
        <is>
          <t>157705211-warmashgrey</t>
        </is>
      </c>
      <c r="E822" s="4" t="inlineStr">
        <is>
          <t>ABC Regular Jogger *Warpstreme™ BLK XS</t>
        </is>
      </c>
      <c r="F822" s="4" t="inlineStr">
        <is>
          <t>$128.00</t>
        </is>
      </c>
      <c r="G822" s="4" t="inlineStr">
        <is>
          <t>$64.00</t>
        </is>
      </c>
      <c r="H822" s="4" t="inlineStr">
        <is>
          <t>Warm Ash Grey</t>
        </is>
      </c>
      <c r="I822" s="4">
        <f>IMAGE("https://images.lululemon.com/is/image/lululemon/70108",1)</f>
        <v/>
      </c>
      <c r="J822" s="4" t="inlineStr">
        <is>
          <t>S</t>
        </is>
      </c>
      <c r="K822" s="4" t="inlineStr">
        <is>
          <t>61/4349</t>
        </is>
      </c>
      <c r="L822" s="4" t="inlineStr">
        <is>
          <t>Yes</t>
        </is>
      </c>
      <c r="M822" s="4" t="inlineStr">
        <is>
          <t>These sleek joggers feature our ABC™ technology, making them an obvious choice for recreation or travel.</t>
        </is>
      </c>
      <c r="N822" s="4" t="inlineStr">
        <is>
          <t>Abc-Jogger</t>
        </is>
      </c>
      <c r="O822" s="4" t="inlineStr"/>
    </row>
    <row r="823" ht="80" customHeight="1">
      <c r="A823" s="7">
        <f>IMAGE("https://images.lululemon.com/is/image/lululemon/LM5AJLS_032476_1?wid=320&amp;op_usm=0.8",1)</f>
        <v/>
      </c>
      <c r="B823" s="7" t="inlineStr">
        <is>
          <t>ABC Jogger *Regular</t>
        </is>
      </c>
      <c r="C823" s="7" t="inlineStr">
        <is>
          <t>157705207</t>
        </is>
      </c>
      <c r="D823" s="7" t="inlineStr">
        <is>
          <t>157705207-warmashgrey</t>
        </is>
      </c>
      <c r="E823" s="7" t="inlineStr">
        <is>
          <t>ABC Regular Jogger *Warpstreme™ BLK XS</t>
        </is>
      </c>
      <c r="F823" s="7" t="inlineStr">
        <is>
          <t>$128.00</t>
        </is>
      </c>
      <c r="G823" s="7" t="inlineStr">
        <is>
          <t>$64.00</t>
        </is>
      </c>
      <c r="H823" s="7" t="inlineStr">
        <is>
          <t>Warm Ash Grey</t>
        </is>
      </c>
      <c r="I823" s="7">
        <f>IMAGE("https://images.lululemon.com/is/image/lululemon/70108",1)</f>
        <v/>
      </c>
      <c r="J823" s="7" t="inlineStr">
        <is>
          <t>M</t>
        </is>
      </c>
      <c r="K823" s="7" t="inlineStr">
        <is>
          <t>151/4349</t>
        </is>
      </c>
      <c r="L823" s="7" t="inlineStr">
        <is>
          <t>Yes</t>
        </is>
      </c>
      <c r="M823" s="7" t="inlineStr">
        <is>
          <t>These sleek joggers feature our ABC™ technology, making them an obvious choice for recreation or travel.</t>
        </is>
      </c>
      <c r="N823" s="7" t="inlineStr">
        <is>
          <t>Abc-Jogger</t>
        </is>
      </c>
      <c r="O823" s="7" t="inlineStr"/>
    </row>
    <row r="824" ht="80" customHeight="1">
      <c r="A824" s="4">
        <f>IMAGE("https://images.lululemon.com/is/image/lululemon/LM5AJLS_032476_1?wid=320&amp;op_usm=0.8",1)</f>
        <v/>
      </c>
      <c r="B824" s="4" t="inlineStr">
        <is>
          <t>ABC Jogger *Regular</t>
        </is>
      </c>
      <c r="C824" s="4" t="inlineStr">
        <is>
          <t>157705204</t>
        </is>
      </c>
      <c r="D824" s="4" t="inlineStr">
        <is>
          <t>157705204-warmashgrey</t>
        </is>
      </c>
      <c r="E824" s="4" t="inlineStr">
        <is>
          <t>ABC Regular Jogger *Warpstreme™ BLK XS</t>
        </is>
      </c>
      <c r="F824" s="4" t="inlineStr">
        <is>
          <t>$128.00</t>
        </is>
      </c>
      <c r="G824" s="4" t="inlineStr">
        <is>
          <t>$64.00</t>
        </is>
      </c>
      <c r="H824" s="4" t="inlineStr">
        <is>
          <t>Warm Ash Grey</t>
        </is>
      </c>
      <c r="I824" s="4">
        <f>IMAGE("https://images.lululemon.com/is/image/lululemon/70108",1)</f>
        <v/>
      </c>
      <c r="J824" s="4" t="inlineStr">
        <is>
          <t>L</t>
        </is>
      </c>
      <c r="K824" s="4" t="inlineStr">
        <is>
          <t>170/4349</t>
        </is>
      </c>
      <c r="L824" s="4" t="inlineStr">
        <is>
          <t>Yes</t>
        </is>
      </c>
      <c r="M824" s="4" t="inlineStr">
        <is>
          <t>These sleek joggers feature our ABC™ technology, making them an obvious choice for recreation or travel.</t>
        </is>
      </c>
      <c r="N824" s="4" t="inlineStr">
        <is>
          <t>Abc-Jogger</t>
        </is>
      </c>
      <c r="O824" s="4" t="inlineStr"/>
    </row>
    <row r="825" ht="80" customHeight="1">
      <c r="A825" s="7">
        <f>IMAGE("https://images.lululemon.com/is/image/lululemon/LM5AJLS_032476_1?wid=320&amp;op_usm=0.8",1)</f>
        <v/>
      </c>
      <c r="B825" s="7" t="inlineStr">
        <is>
          <t>ABC Jogger *Regular</t>
        </is>
      </c>
      <c r="C825" s="7" t="inlineStr">
        <is>
          <t>157705215</t>
        </is>
      </c>
      <c r="D825" s="7" t="inlineStr">
        <is>
          <t>157705215-warmashgrey</t>
        </is>
      </c>
      <c r="E825" s="7" t="inlineStr">
        <is>
          <t>ABC Regular Jogger *Warpstreme™ BLK XS</t>
        </is>
      </c>
      <c r="F825" s="7" t="inlineStr">
        <is>
          <t>$128.00</t>
        </is>
      </c>
      <c r="G825" s="7" t="inlineStr">
        <is>
          <t>$64.00</t>
        </is>
      </c>
      <c r="H825" s="7" t="inlineStr">
        <is>
          <t>Warm Ash Grey</t>
        </is>
      </c>
      <c r="I825" s="7">
        <f>IMAGE("https://images.lululemon.com/is/image/lululemon/70108",1)</f>
        <v/>
      </c>
      <c r="J825" s="7" t="inlineStr">
        <is>
          <t>XL</t>
        </is>
      </c>
      <c r="K825" s="7" t="inlineStr">
        <is>
          <t>98/4349</t>
        </is>
      </c>
      <c r="L825" s="7" t="inlineStr">
        <is>
          <t>Yes</t>
        </is>
      </c>
      <c r="M825" s="7" t="inlineStr">
        <is>
          <t>These sleek joggers feature our ABC™ technology, making them an obvious choice for recreation or travel.</t>
        </is>
      </c>
      <c r="N825" s="7" t="inlineStr">
        <is>
          <t>Abc-Jogger</t>
        </is>
      </c>
      <c r="O825" s="7" t="inlineStr"/>
    </row>
    <row r="826" ht="80" customHeight="1">
      <c r="A826" s="4">
        <f>IMAGE("https://images.lululemon.com/is/image/lululemon/LM5AJLS_032476_1?wid=320&amp;op_usm=0.8",1)</f>
        <v/>
      </c>
      <c r="B826" s="4" t="inlineStr">
        <is>
          <t>ABC Jogger *Regular</t>
        </is>
      </c>
      <c r="C826" s="4" t="inlineStr">
        <is>
          <t>157705223</t>
        </is>
      </c>
      <c r="D826" s="4" t="inlineStr">
        <is>
          <t>157705223-warmashgrey</t>
        </is>
      </c>
      <c r="E826" s="4" t="inlineStr">
        <is>
          <t>ABC Regular Jogger *Warpstreme™ BLK XS</t>
        </is>
      </c>
      <c r="F826" s="4" t="inlineStr">
        <is>
          <t>$128.00</t>
        </is>
      </c>
      <c r="G826" s="4" t="inlineStr">
        <is>
          <t>$64.00</t>
        </is>
      </c>
      <c r="H826" s="4" t="inlineStr">
        <is>
          <t>Warm Ash Grey</t>
        </is>
      </c>
      <c r="I826" s="4">
        <f>IMAGE("https://images.lululemon.com/is/image/lululemon/70108",1)</f>
        <v/>
      </c>
      <c r="J826" s="4" t="inlineStr">
        <is>
          <t>XXL</t>
        </is>
      </c>
      <c r="K826" s="4" t="inlineStr">
        <is>
          <t>28/4349</t>
        </is>
      </c>
      <c r="L826" s="4" t="inlineStr">
        <is>
          <t>Yes</t>
        </is>
      </c>
      <c r="M826" s="4" t="inlineStr">
        <is>
          <t>These sleek joggers feature our ABC™ technology, making them an obvious choice for recreation or travel.</t>
        </is>
      </c>
      <c r="N826" s="4" t="inlineStr">
        <is>
          <t>Abc-Jogger</t>
        </is>
      </c>
      <c r="O826" s="4" t="inlineStr"/>
    </row>
    <row r="827" ht="80" customHeight="1">
      <c r="A827" s="7">
        <f>IMAGE("https://images.lululemon.com/is/image/lululemon/LM5AJLS_032476_1?wid=320&amp;op_usm=0.8",1)</f>
        <v/>
      </c>
      <c r="B827" s="7" t="inlineStr">
        <is>
          <t>ABC Jogger *Regular</t>
        </is>
      </c>
      <c r="C827" s="7" t="inlineStr">
        <is>
          <t>156576419</t>
        </is>
      </c>
      <c r="D827" s="7" t="inlineStr">
        <is>
          <t>156576419-armygreen</t>
        </is>
      </c>
      <c r="E827" s="7" t="inlineStr">
        <is>
          <t>ABC Regular Jogger *Warpstreme™ BLK XS</t>
        </is>
      </c>
      <c r="F827" s="7" t="inlineStr">
        <is>
          <t>$128.00</t>
        </is>
      </c>
      <c r="G827" s="7" t="inlineStr">
        <is>
          <t>$64.00</t>
        </is>
      </c>
      <c r="H827" s="7" t="inlineStr">
        <is>
          <t>Army Green</t>
        </is>
      </c>
      <c r="I827" s="7">
        <f>IMAGE("https://images.lululemon.com/is/image/lululemon/45739",1)</f>
        <v/>
      </c>
      <c r="J827" s="7" t="inlineStr">
        <is>
          <t>S</t>
        </is>
      </c>
      <c r="K827" s="7" t="inlineStr">
        <is>
          <t>49/4349</t>
        </is>
      </c>
      <c r="L827" s="7" t="inlineStr">
        <is>
          <t>Yes</t>
        </is>
      </c>
      <c r="M827" s="7" t="inlineStr">
        <is>
          <t>These sleek joggers feature our ABC™ technology, making them an obvious choice for recreation or travel.</t>
        </is>
      </c>
      <c r="N827" s="7" t="inlineStr">
        <is>
          <t>Abc-Jogger</t>
        </is>
      </c>
      <c r="O827" s="7" t="inlineStr"/>
    </row>
    <row r="828" ht="80" customHeight="1">
      <c r="A828" s="4">
        <f>IMAGE("https://images.lululemon.com/is/image/lululemon/LM5AJLS_032476_1?wid=320&amp;op_usm=0.8",1)</f>
        <v/>
      </c>
      <c r="B828" s="4" t="inlineStr">
        <is>
          <t>ABC Jogger *Regular</t>
        </is>
      </c>
      <c r="C828" s="4" t="inlineStr">
        <is>
          <t>156576418</t>
        </is>
      </c>
      <c r="D828" s="4" t="inlineStr">
        <is>
          <t>156576418-armygreen</t>
        </is>
      </c>
      <c r="E828" s="4" t="inlineStr">
        <is>
          <t>ABC Regular Jogger *Warpstreme™ BLK XS</t>
        </is>
      </c>
      <c r="F828" s="4" t="inlineStr">
        <is>
          <t>$128.00</t>
        </is>
      </c>
      <c r="G828" s="4" t="inlineStr">
        <is>
          <t>$64.00</t>
        </is>
      </c>
      <c r="H828" s="4" t="inlineStr">
        <is>
          <t>Army Green</t>
        </is>
      </c>
      <c r="I828" s="4">
        <f>IMAGE("https://images.lululemon.com/is/image/lululemon/45739",1)</f>
        <v/>
      </c>
      <c r="J828" s="4" t="inlineStr">
        <is>
          <t>M</t>
        </is>
      </c>
      <c r="K828" s="4" t="inlineStr">
        <is>
          <t>146/4349</t>
        </is>
      </c>
      <c r="L828" s="4" t="inlineStr">
        <is>
          <t>Yes</t>
        </is>
      </c>
      <c r="M828" s="4" t="inlineStr">
        <is>
          <t>These sleek joggers feature our ABC™ technology, making them an obvious choice for recreation or travel.</t>
        </is>
      </c>
      <c r="N828" s="4" t="inlineStr">
        <is>
          <t>Abc-Jogger</t>
        </is>
      </c>
      <c r="O828" s="4" t="inlineStr"/>
    </row>
    <row r="829" ht="80" customHeight="1">
      <c r="A829" s="7">
        <f>IMAGE("https://images.lululemon.com/is/image/lululemon/LM5AJLS_032476_1?wid=320&amp;op_usm=0.8",1)</f>
        <v/>
      </c>
      <c r="B829" s="7" t="inlineStr">
        <is>
          <t>ABC Jogger *Regular</t>
        </is>
      </c>
      <c r="C829" s="7" t="inlineStr">
        <is>
          <t>156576417</t>
        </is>
      </c>
      <c r="D829" s="7" t="inlineStr">
        <is>
          <t>156576417-armygreen</t>
        </is>
      </c>
      <c r="E829" s="7" t="inlineStr">
        <is>
          <t>ABC Regular Jogger *Warpstreme™ BLK XS</t>
        </is>
      </c>
      <c r="F829" s="7" t="inlineStr">
        <is>
          <t>$128.00</t>
        </is>
      </c>
      <c r="G829" s="7" t="inlineStr">
        <is>
          <t>$64.00</t>
        </is>
      </c>
      <c r="H829" s="7" t="inlineStr">
        <is>
          <t>Army Green</t>
        </is>
      </c>
      <c r="I829" s="7">
        <f>IMAGE("https://images.lululemon.com/is/image/lululemon/45739",1)</f>
        <v/>
      </c>
      <c r="J829" s="7" t="inlineStr">
        <is>
          <t>L</t>
        </is>
      </c>
      <c r="K829" s="7" t="inlineStr">
        <is>
          <t>167/4349</t>
        </is>
      </c>
      <c r="L829" s="7" t="inlineStr">
        <is>
          <t>Yes</t>
        </is>
      </c>
      <c r="M829" s="7" t="inlineStr">
        <is>
          <t>These sleek joggers feature our ABC™ technology, making them an obvious choice for recreation or travel.</t>
        </is>
      </c>
      <c r="N829" s="7" t="inlineStr">
        <is>
          <t>Abc-Jogger</t>
        </is>
      </c>
      <c r="O829" s="7" t="inlineStr"/>
    </row>
    <row r="830" ht="80" customHeight="1">
      <c r="A830" s="4">
        <f>IMAGE("https://images.lululemon.com/is/image/lululemon/LM5AJLS_032476_1?wid=320&amp;op_usm=0.8",1)</f>
        <v/>
      </c>
      <c r="B830" s="4" t="inlineStr">
        <is>
          <t>ABC Jogger *Regular</t>
        </is>
      </c>
      <c r="C830" s="4" t="inlineStr">
        <is>
          <t>156576420</t>
        </is>
      </c>
      <c r="D830" s="4" t="inlineStr">
        <is>
          <t>156576420-armygreen</t>
        </is>
      </c>
      <c r="E830" s="4" t="inlineStr">
        <is>
          <t>ABC Regular Jogger *Warpstreme™ BLK XS</t>
        </is>
      </c>
      <c r="F830" s="4" t="inlineStr">
        <is>
          <t>$128.00</t>
        </is>
      </c>
      <c r="G830" s="4" t="inlineStr">
        <is>
          <t>$64.00</t>
        </is>
      </c>
      <c r="H830" s="4" t="inlineStr">
        <is>
          <t>Army Green</t>
        </is>
      </c>
      <c r="I830" s="4">
        <f>IMAGE("https://images.lululemon.com/is/image/lululemon/45739",1)</f>
        <v/>
      </c>
      <c r="J830" s="4" t="inlineStr">
        <is>
          <t>XL</t>
        </is>
      </c>
      <c r="K830" s="4" t="inlineStr">
        <is>
          <t>90/4349</t>
        </is>
      </c>
      <c r="L830" s="4" t="inlineStr">
        <is>
          <t>Yes</t>
        </is>
      </c>
      <c r="M830" s="4" t="inlineStr">
        <is>
          <t>These sleek joggers feature our ABC™ technology, making them an obvious choice for recreation or travel.</t>
        </is>
      </c>
      <c r="N830" s="4" t="inlineStr">
        <is>
          <t>Abc-Jogger</t>
        </is>
      </c>
      <c r="O830" s="4" t="inlineStr"/>
    </row>
    <row r="831" ht="80" customHeight="1">
      <c r="A831" s="5">
        <f>IMAGE("https://images.lululemon.com/is/image/lululemon/LM5AJLS_032476_1?wid=320&amp;op_usm=0.8",1)</f>
        <v/>
      </c>
      <c r="B831" s="5" t="inlineStr">
        <is>
          <t>ABC Jogger *Regular</t>
        </is>
      </c>
      <c r="C831" s="5" t="inlineStr">
        <is>
          <t>156576422</t>
        </is>
      </c>
      <c r="D831" s="5" t="inlineStr">
        <is>
          <t>156576422-armygreen</t>
        </is>
      </c>
      <c r="E831" s="5" t="inlineStr">
        <is>
          <t>ABC Regular Jogger *Warpstreme™ BLK XS</t>
        </is>
      </c>
      <c r="F831" s="5" t="inlineStr">
        <is>
          <t>$128.00</t>
        </is>
      </c>
      <c r="G831" s="5" t="inlineStr">
        <is>
          <t>$64.00</t>
        </is>
      </c>
      <c r="H831" s="5" t="inlineStr">
        <is>
          <t>Army Green</t>
        </is>
      </c>
      <c r="I831" s="5">
        <f>IMAGE("https://images.lululemon.com/is/image/lululemon/45739",1)</f>
        <v/>
      </c>
      <c r="J831" s="5" t="inlineStr">
        <is>
          <t>XXL</t>
        </is>
      </c>
      <c r="K831" s="5" t="inlineStr">
        <is>
          <t>21/4349</t>
        </is>
      </c>
      <c r="L831" s="5" t="inlineStr">
        <is>
          <t>Yes</t>
        </is>
      </c>
      <c r="M831" s="5" t="inlineStr">
        <is>
          <t>These sleek joggers feature our ABC™ technology, making them an obvious choice for recreation or travel.</t>
        </is>
      </c>
      <c r="N831" s="5" t="inlineStr">
        <is>
          <t>Abc-Jogger</t>
        </is>
      </c>
      <c r="O831" s="5" t="inlineStr"/>
    </row>
    <row r="832" ht="80" customHeight="1">
      <c r="A832" s="4">
        <f>IMAGE("https://images.lululemon.com/is/image/lululemon/LM3FHLS_069063_1?wid=320&amp;op_usm=0.8",1)</f>
        <v/>
      </c>
      <c r="B832" s="4" t="inlineStr">
        <is>
          <t>Metal Vent Tech Polo Shirt</t>
        </is>
      </c>
      <c r="C832" s="4" t="inlineStr">
        <is>
          <t>156496188</t>
        </is>
      </c>
      <c r="D832" s="4" t="inlineStr">
        <is>
          <t>156496188-starchblue/truenavy</t>
        </is>
      </c>
      <c r="E832" s="4" t="inlineStr">
        <is>
          <t>Metal Vent Tech Polo STRH/TRNV S</t>
        </is>
      </c>
      <c r="F832" s="4" t="inlineStr">
        <is>
          <t>$98.00</t>
        </is>
      </c>
      <c r="G832" s="4" t="inlineStr">
        <is>
          <t>$49.00</t>
        </is>
      </c>
      <c r="H832" s="4" t="inlineStr">
        <is>
          <t>Starch Blue/True Navy</t>
        </is>
      </c>
      <c r="I832" s="4">
        <f>IMAGE("https://images.lululemon.com/is/image/lululemon/69063",1)</f>
        <v/>
      </c>
      <c r="J832" s="4" t="inlineStr">
        <is>
          <t>S</t>
        </is>
      </c>
      <c r="K832" s="4" t="inlineStr">
        <is>
          <t>13/585</t>
        </is>
      </c>
      <c r="L832" s="4" t="inlineStr">
        <is>
          <t>Yes</t>
        </is>
      </c>
      <c r="M832" s="4" t="inlineStr">
        <is>
          <t>Classic sportswear, to a tee. Using seamless construction to minimize chafe, this naturally breathable polo fits in at the golf club and the backyard BBQ.</t>
        </is>
      </c>
      <c r="N832" s="4" t="inlineStr">
        <is>
          <t>Metal-Vent-Tech-Polo-Shirt-3</t>
        </is>
      </c>
      <c r="O832" s="4" t="inlineStr"/>
    </row>
    <row r="833" ht="80" customHeight="1">
      <c r="A833" s="7">
        <f>IMAGE("https://images.lululemon.com/is/image/lululemon/LM3FHLS_069063_1?wid=320&amp;op_usm=0.8",1)</f>
        <v/>
      </c>
      <c r="B833" s="7" t="inlineStr">
        <is>
          <t>Metal Vent Tech Polo Shirt</t>
        </is>
      </c>
      <c r="C833" s="7" t="inlineStr">
        <is>
          <t>156496148</t>
        </is>
      </c>
      <c r="D833" s="7" t="inlineStr">
        <is>
          <t>156496148-starchblue/truenavy</t>
        </is>
      </c>
      <c r="E833" s="7" t="inlineStr">
        <is>
          <t>Metal Vent Tech Polo STRH/TRNV S</t>
        </is>
      </c>
      <c r="F833" s="7" t="inlineStr">
        <is>
          <t>$98.00</t>
        </is>
      </c>
      <c r="G833" s="7" t="inlineStr">
        <is>
          <t>$49.00</t>
        </is>
      </c>
      <c r="H833" s="7" t="inlineStr">
        <is>
          <t>Starch Blue/True Navy</t>
        </is>
      </c>
      <c r="I833" s="7">
        <f>IMAGE("https://images.lululemon.com/is/image/lululemon/69063",1)</f>
        <v/>
      </c>
      <c r="J833" s="7" t="inlineStr">
        <is>
          <t>L</t>
        </is>
      </c>
      <c r="K833" s="7" t="inlineStr">
        <is>
          <t>31/585</t>
        </is>
      </c>
      <c r="L833" s="7" t="inlineStr">
        <is>
          <t>Yes</t>
        </is>
      </c>
      <c r="M833" s="7" t="inlineStr">
        <is>
          <t>Classic sportswear, to a tee. Using seamless construction to minimize chafe, this naturally breathable polo fits in at the golf club and the backyard BBQ.</t>
        </is>
      </c>
      <c r="N833" s="7" t="inlineStr">
        <is>
          <t>Metal-Vent-Tech-Polo-Shirt-3</t>
        </is>
      </c>
      <c r="O833" s="7" t="inlineStr"/>
    </row>
    <row r="834" ht="80" customHeight="1">
      <c r="A834" s="4">
        <f>IMAGE("https://images.lululemon.com/is/image/lululemon/LM3FHLS_069063_1?wid=320&amp;op_usm=0.8",1)</f>
        <v/>
      </c>
      <c r="B834" s="4" t="inlineStr">
        <is>
          <t>Metal Vent Tech Polo Shirt</t>
        </is>
      </c>
      <c r="C834" s="4" t="inlineStr">
        <is>
          <t>156496209</t>
        </is>
      </c>
      <c r="D834" s="4" t="inlineStr">
        <is>
          <t>156496209-starchblue/truenavy</t>
        </is>
      </c>
      <c r="E834" s="4" t="inlineStr">
        <is>
          <t>Metal Vent Tech Polo STRH/TRNV S</t>
        </is>
      </c>
      <c r="F834" s="4" t="inlineStr">
        <is>
          <t>$98.00</t>
        </is>
      </c>
      <c r="G834" s="4" t="inlineStr">
        <is>
          <t>$49.00</t>
        </is>
      </c>
      <c r="H834" s="4" t="inlineStr">
        <is>
          <t>Starch Blue/True Navy</t>
        </is>
      </c>
      <c r="I834" s="4">
        <f>IMAGE("https://images.lululemon.com/is/image/lululemon/69063",1)</f>
        <v/>
      </c>
      <c r="J834" s="4" t="inlineStr">
        <is>
          <t>XL</t>
        </is>
      </c>
      <c r="K834" s="4" t="inlineStr">
        <is>
          <t>38/585</t>
        </is>
      </c>
      <c r="L834" s="4" t="inlineStr">
        <is>
          <t>Yes</t>
        </is>
      </c>
      <c r="M834" s="4" t="inlineStr">
        <is>
          <t>Classic sportswear, to a tee. Using seamless construction to minimize chafe, this naturally breathable polo fits in at the golf club and the backyard BBQ.</t>
        </is>
      </c>
      <c r="N834" s="4" t="inlineStr">
        <is>
          <t>Metal-Vent-Tech-Polo-Shirt-3</t>
        </is>
      </c>
      <c r="O834" s="4" t="inlineStr"/>
    </row>
    <row r="835" ht="80" customHeight="1">
      <c r="A835" s="7">
        <f>IMAGE("https://images.lululemon.com/is/image/lululemon/LM3FHLS_069063_1?wid=320&amp;op_usm=0.8",1)</f>
        <v/>
      </c>
      <c r="B835" s="7" t="inlineStr">
        <is>
          <t>Metal Vent Tech Polo Shirt</t>
        </is>
      </c>
      <c r="C835" s="7" t="inlineStr">
        <is>
          <t>156496252</t>
        </is>
      </c>
      <c r="D835" s="7" t="inlineStr">
        <is>
          <t>156496252-starchblue/truenavy</t>
        </is>
      </c>
      <c r="E835" s="7" t="inlineStr">
        <is>
          <t>Metal Vent Tech Polo STRH/TRNV S</t>
        </is>
      </c>
      <c r="F835" s="7" t="inlineStr">
        <is>
          <t>$98.00</t>
        </is>
      </c>
      <c r="G835" s="7" t="inlineStr">
        <is>
          <t>$49.00</t>
        </is>
      </c>
      <c r="H835" s="7" t="inlineStr">
        <is>
          <t>Starch Blue/True Navy</t>
        </is>
      </c>
      <c r="I835" s="7">
        <f>IMAGE("https://images.lululemon.com/is/image/lululemon/69063",1)</f>
        <v/>
      </c>
      <c r="J835" s="7" t="inlineStr">
        <is>
          <t>XXL</t>
        </is>
      </c>
      <c r="K835" s="7" t="inlineStr">
        <is>
          <t>25/585</t>
        </is>
      </c>
      <c r="L835" s="7" t="inlineStr">
        <is>
          <t>Yes</t>
        </is>
      </c>
      <c r="M835" s="7" t="inlineStr">
        <is>
          <t>Classic sportswear, to a tee. Using seamless construction to minimize chafe, this naturally breathable polo fits in at the golf club and the backyard BBQ.</t>
        </is>
      </c>
      <c r="N835" s="7" t="inlineStr">
        <is>
          <t>Metal-Vent-Tech-Polo-Shirt-3</t>
        </is>
      </c>
      <c r="O835" s="7" t="inlineStr"/>
    </row>
    <row r="836" ht="80" customHeight="1">
      <c r="A836" s="4">
        <f>IMAGE("https://images.lululemon.com/is/image/lululemon/LM3FHLS_069063_1?wid=320&amp;op_usm=0.8",1)</f>
        <v/>
      </c>
      <c r="B836" s="4" t="inlineStr">
        <is>
          <t>Metal Vent Tech Polo Shirt</t>
        </is>
      </c>
      <c r="C836" s="4" t="inlineStr">
        <is>
          <t>156496446</t>
        </is>
      </c>
      <c r="D836" s="4" t="inlineStr">
        <is>
          <t>156496446-vapor/solargrey</t>
        </is>
      </c>
      <c r="E836" s="4" t="inlineStr">
        <is>
          <t>Metal Vent Tech Polo STRH/TRNV S</t>
        </is>
      </c>
      <c r="F836" s="4" t="inlineStr">
        <is>
          <t>$98.00</t>
        </is>
      </c>
      <c r="G836" s="4" t="inlineStr">
        <is>
          <t>$49.00</t>
        </is>
      </c>
      <c r="H836" s="4" t="inlineStr">
        <is>
          <t>Vapor/Solar Grey</t>
        </is>
      </c>
      <c r="I836" s="4">
        <f>IMAGE("https://images.lululemon.com/is/image/lululemon/70561",1)</f>
        <v/>
      </c>
      <c r="J836" s="4" t="inlineStr">
        <is>
          <t>S</t>
        </is>
      </c>
      <c r="K836" s="4" t="inlineStr">
        <is>
          <t>49/585</t>
        </is>
      </c>
      <c r="L836" s="4" t="inlineStr">
        <is>
          <t>Yes</t>
        </is>
      </c>
      <c r="M836" s="4" t="inlineStr">
        <is>
          <t>Classic sportswear, to a tee. Using seamless construction to minimize chafe, this naturally breathable polo fits in at the golf club and the backyard BBQ.</t>
        </is>
      </c>
      <c r="N836" s="4" t="inlineStr">
        <is>
          <t>Metal-Vent-Tech-Polo-Shirt-3</t>
        </is>
      </c>
      <c r="O836" s="4" t="inlineStr"/>
    </row>
    <row r="837" ht="80" customHeight="1">
      <c r="A837" s="7">
        <f>IMAGE("https://images.lululemon.com/is/image/lululemon/LM3FHLS_069063_1?wid=320&amp;op_usm=0.8",1)</f>
        <v/>
      </c>
      <c r="B837" s="7" t="inlineStr">
        <is>
          <t>Metal Vent Tech Polo Shirt</t>
        </is>
      </c>
      <c r="C837" s="7" t="inlineStr">
        <is>
          <t>156496422</t>
        </is>
      </c>
      <c r="D837" s="7" t="inlineStr">
        <is>
          <t>156496422-vapor/solargrey</t>
        </is>
      </c>
      <c r="E837" s="7" t="inlineStr">
        <is>
          <t>Metal Vent Tech Polo STRH/TRNV S</t>
        </is>
      </c>
      <c r="F837" s="7" t="inlineStr">
        <is>
          <t>$98.00</t>
        </is>
      </c>
      <c r="G837" s="7" t="inlineStr">
        <is>
          <t>$49.00</t>
        </is>
      </c>
      <c r="H837" s="7" t="inlineStr">
        <is>
          <t>Vapor/Solar Grey</t>
        </is>
      </c>
      <c r="I837" s="7">
        <f>IMAGE("https://images.lululemon.com/is/image/lululemon/70561",1)</f>
        <v/>
      </c>
      <c r="J837" s="7" t="inlineStr">
        <is>
          <t>M</t>
        </is>
      </c>
      <c r="K837" s="7" t="inlineStr">
        <is>
          <t>95/585</t>
        </is>
      </c>
      <c r="L837" s="7" t="inlineStr">
        <is>
          <t>Yes</t>
        </is>
      </c>
      <c r="M837" s="7" t="inlineStr">
        <is>
          <t>Classic sportswear, to a tee. Using seamless construction to minimize chafe, this naturally breathable polo fits in at the golf club and the backyard BBQ.</t>
        </is>
      </c>
      <c r="N837" s="7" t="inlineStr">
        <is>
          <t>Metal-Vent-Tech-Polo-Shirt-3</t>
        </is>
      </c>
      <c r="O837" s="7" t="inlineStr"/>
    </row>
    <row r="838" ht="80" customHeight="1">
      <c r="A838" s="4">
        <f>IMAGE("https://images.lululemon.com/is/image/lululemon/LM3FHLS_069063_1?wid=320&amp;op_usm=0.8",1)</f>
        <v/>
      </c>
      <c r="B838" s="4" t="inlineStr">
        <is>
          <t>Metal Vent Tech Polo Shirt</t>
        </is>
      </c>
      <c r="C838" s="4" t="inlineStr">
        <is>
          <t>156496398</t>
        </is>
      </c>
      <c r="D838" s="4" t="inlineStr">
        <is>
          <t>156496398-vapor/solargrey</t>
        </is>
      </c>
      <c r="E838" s="4" t="inlineStr">
        <is>
          <t>Metal Vent Tech Polo STRH/TRNV S</t>
        </is>
      </c>
      <c r="F838" s="4" t="inlineStr">
        <is>
          <t>$98.00</t>
        </is>
      </c>
      <c r="G838" s="4" t="inlineStr">
        <is>
          <t>$49.00</t>
        </is>
      </c>
      <c r="H838" s="4" t="inlineStr">
        <is>
          <t>Vapor/Solar Grey</t>
        </is>
      </c>
      <c r="I838" s="4">
        <f>IMAGE("https://images.lululemon.com/is/image/lululemon/70561",1)</f>
        <v/>
      </c>
      <c r="J838" s="4" t="inlineStr">
        <is>
          <t>L</t>
        </is>
      </c>
      <c r="K838" s="4" t="inlineStr">
        <is>
          <t>149/585</t>
        </is>
      </c>
      <c r="L838" s="4" t="inlineStr">
        <is>
          <t>Yes</t>
        </is>
      </c>
      <c r="M838" s="4" t="inlineStr">
        <is>
          <t>Classic sportswear, to a tee. Using seamless construction to minimize chafe, this naturally breathable polo fits in at the golf club and the backyard BBQ.</t>
        </is>
      </c>
      <c r="N838" s="4" t="inlineStr">
        <is>
          <t>Metal-Vent-Tech-Polo-Shirt-3</t>
        </is>
      </c>
      <c r="O838" s="4" t="inlineStr"/>
    </row>
    <row r="839" ht="80" customHeight="1">
      <c r="A839" s="7">
        <f>IMAGE("https://images.lululemon.com/is/image/lululemon/LM3FHLS_069063_1?wid=320&amp;op_usm=0.8",1)</f>
        <v/>
      </c>
      <c r="B839" s="7" t="inlineStr">
        <is>
          <t>Metal Vent Tech Polo Shirt</t>
        </is>
      </c>
      <c r="C839" s="7" t="inlineStr">
        <is>
          <t>156496469</t>
        </is>
      </c>
      <c r="D839" s="7" t="inlineStr">
        <is>
          <t>156496469-vapor/solargrey</t>
        </is>
      </c>
      <c r="E839" s="7" t="inlineStr">
        <is>
          <t>Metal Vent Tech Polo STRH/TRNV S</t>
        </is>
      </c>
      <c r="F839" s="7" t="inlineStr">
        <is>
          <t>$98.00</t>
        </is>
      </c>
      <c r="G839" s="7" t="inlineStr">
        <is>
          <t>$49.00</t>
        </is>
      </c>
      <c r="H839" s="7" t="inlineStr">
        <is>
          <t>Vapor/Solar Grey</t>
        </is>
      </c>
      <c r="I839" s="7">
        <f>IMAGE("https://images.lululemon.com/is/image/lululemon/70561",1)</f>
        <v/>
      </c>
      <c r="J839" s="7" t="inlineStr">
        <is>
          <t>XL</t>
        </is>
      </c>
      <c r="K839" s="7" t="inlineStr">
        <is>
          <t>138/585</t>
        </is>
      </c>
      <c r="L839" s="7" t="inlineStr">
        <is>
          <t>Yes</t>
        </is>
      </c>
      <c r="M839" s="7" t="inlineStr">
        <is>
          <t>Classic sportswear, to a tee. Using seamless construction to minimize chafe, this naturally breathable polo fits in at the golf club and the backyard BBQ.</t>
        </is>
      </c>
      <c r="N839" s="7" t="inlineStr">
        <is>
          <t>Metal-Vent-Tech-Polo-Shirt-3</t>
        </is>
      </c>
      <c r="O839" s="7" t="inlineStr"/>
    </row>
    <row r="840" ht="80" customHeight="1">
      <c r="A840" s="6">
        <f>IMAGE("https://images.lululemon.com/is/image/lululemon/LM3FHLS_069063_1?wid=320&amp;op_usm=0.8",1)</f>
        <v/>
      </c>
      <c r="B840" s="6" t="inlineStr">
        <is>
          <t>Metal Vent Tech Polo Shirt</t>
        </is>
      </c>
      <c r="C840" s="6" t="inlineStr">
        <is>
          <t>156496514</t>
        </is>
      </c>
      <c r="D840" s="6" t="inlineStr">
        <is>
          <t>156496514-vapor/solargrey</t>
        </is>
      </c>
      <c r="E840" s="6" t="inlineStr">
        <is>
          <t>Metal Vent Tech Polo STRH/TRNV S</t>
        </is>
      </c>
      <c r="F840" s="6" t="inlineStr">
        <is>
          <t>$98.00</t>
        </is>
      </c>
      <c r="G840" s="6" t="inlineStr">
        <is>
          <t>$49.00</t>
        </is>
      </c>
      <c r="H840" s="6" t="inlineStr">
        <is>
          <t>Vapor/Solar Grey</t>
        </is>
      </c>
      <c r="I840" s="6">
        <f>IMAGE("https://images.lululemon.com/is/image/lululemon/70561",1)</f>
        <v/>
      </c>
      <c r="J840" s="6" t="inlineStr">
        <is>
          <t>XXL</t>
        </is>
      </c>
      <c r="K840" s="6" t="inlineStr">
        <is>
          <t>47/585</t>
        </is>
      </c>
      <c r="L840" s="6" t="inlineStr">
        <is>
          <t>Yes</t>
        </is>
      </c>
      <c r="M840" s="6" t="inlineStr">
        <is>
          <t>Classic sportswear, to a tee. Using seamless construction to minimize chafe, this naturally breathable polo fits in at the golf club and the backyard BBQ.</t>
        </is>
      </c>
      <c r="N840" s="6" t="inlineStr">
        <is>
          <t>Metal-Vent-Tech-Polo-Shirt-3</t>
        </is>
      </c>
      <c r="O840" s="6" t="inlineStr"/>
    </row>
    <row r="841" ht="80" customHeight="1">
      <c r="A841" s="7">
        <f>IMAGE("https://images.lululemon.com/is/image/lululemon/LM5AS5S_0001_1?wid=320&amp;op_usm=0.8",1)</f>
        <v/>
      </c>
      <c r="B841" s="7" t="inlineStr">
        <is>
          <t>Fast and Free Tight 28"</t>
        </is>
      </c>
      <c r="C841" s="7" t="inlineStr">
        <is>
          <t>148306947</t>
        </is>
      </c>
      <c r="D841" s="7" t="inlineStr">
        <is>
          <t>148306947-black</t>
        </is>
      </c>
      <c r="E841" s="7" t="inlineStr">
        <is>
          <t>Fast and Free Tight 28" L *Reflective BLK S</t>
        </is>
      </c>
      <c r="F841" s="7" t="inlineStr">
        <is>
          <t>$148.00</t>
        </is>
      </c>
      <c r="G841" s="7" t="inlineStr">
        <is>
          <t>$74.00</t>
        </is>
      </c>
      <c r="H841" s="7" t="inlineStr">
        <is>
          <t>Black</t>
        </is>
      </c>
      <c r="I841" s="7">
        <f>IMAGE("https://images.lululemon.com/is/image/lululemon/0001",1)</f>
        <v/>
      </c>
      <c r="J841" s="7" t="inlineStr">
        <is>
          <t>S</t>
        </is>
      </c>
      <c r="K841" s="7" t="inlineStr">
        <is>
          <t>77/716</t>
        </is>
      </c>
      <c r="L841" s="7" t="inlineStr">
        <is>
          <t>Yes</t>
        </is>
      </c>
      <c r="M841" s="7" t="inlineStr">
        <is>
          <t>100% pure running freedom. The Fast and Free collection, powered by Nulux™ fabric, is about unrestricted movement that lets you go the distance.</t>
        </is>
      </c>
      <c r="N841" s="7" t="inlineStr">
        <is>
          <t>Fast-and-Free-Tight-28</t>
        </is>
      </c>
      <c r="O841" s="7" t="inlineStr">
        <is>
          <t>Base Layers</t>
        </is>
      </c>
    </row>
    <row r="842" ht="80" customHeight="1">
      <c r="A842" s="4">
        <f>IMAGE("https://images.lululemon.com/is/image/lululemon/LM5AS5S_0001_1?wid=320&amp;op_usm=0.8",1)</f>
        <v/>
      </c>
      <c r="B842" s="4" t="inlineStr">
        <is>
          <t>Fast and Free Tight 28"</t>
        </is>
      </c>
      <c r="C842" s="4" t="inlineStr">
        <is>
          <t>148306940</t>
        </is>
      </c>
      <c r="D842" s="4" t="inlineStr">
        <is>
          <t>148306940-black</t>
        </is>
      </c>
      <c r="E842" s="4" t="inlineStr">
        <is>
          <t>Fast and Free Tight 28" L *Reflective BLK S</t>
        </is>
      </c>
      <c r="F842" s="4" t="inlineStr">
        <is>
          <t>$148.00</t>
        </is>
      </c>
      <c r="G842" s="4" t="inlineStr">
        <is>
          <t>$74.00</t>
        </is>
      </c>
      <c r="H842" s="4" t="inlineStr">
        <is>
          <t>Black</t>
        </is>
      </c>
      <c r="I842" s="4">
        <f>IMAGE("https://images.lululemon.com/is/image/lululemon/0001",1)</f>
        <v/>
      </c>
      <c r="J842" s="4" t="inlineStr">
        <is>
          <t>M</t>
        </is>
      </c>
      <c r="K842" s="4" t="inlineStr">
        <is>
          <t>208/716</t>
        </is>
      </c>
      <c r="L842" s="4" t="inlineStr">
        <is>
          <t>Yes</t>
        </is>
      </c>
      <c r="M842" s="4" t="inlineStr">
        <is>
          <t>100% pure running freedom. The Fast and Free collection, powered by Nulux™ fabric, is about unrestricted movement that lets you go the distance.</t>
        </is>
      </c>
      <c r="N842" s="4" t="inlineStr">
        <is>
          <t>Fast-and-Free-Tight-28</t>
        </is>
      </c>
      <c r="O842" s="4" t="inlineStr">
        <is>
          <t>Base Layers</t>
        </is>
      </c>
    </row>
    <row r="843" ht="80" customHeight="1">
      <c r="A843" s="7">
        <f>IMAGE("https://images.lululemon.com/is/image/lululemon/LM5AS5S_0001_1?wid=320&amp;op_usm=0.8",1)</f>
        <v/>
      </c>
      <c r="B843" s="7" t="inlineStr">
        <is>
          <t>Fast and Free Tight 28"</t>
        </is>
      </c>
      <c r="C843" s="7" t="inlineStr">
        <is>
          <t>148306934</t>
        </is>
      </c>
      <c r="D843" s="7" t="inlineStr">
        <is>
          <t>148306934-black</t>
        </is>
      </c>
      <c r="E843" s="7" t="inlineStr">
        <is>
          <t>Fast and Free Tight 28" L *Reflective BLK S</t>
        </is>
      </c>
      <c r="F843" s="7" t="inlineStr">
        <is>
          <t>$148.00</t>
        </is>
      </c>
      <c r="G843" s="7" t="inlineStr">
        <is>
          <t>$74.00</t>
        </is>
      </c>
      <c r="H843" s="7" t="inlineStr">
        <is>
          <t>Black</t>
        </is>
      </c>
      <c r="I843" s="7">
        <f>IMAGE("https://images.lululemon.com/is/image/lululemon/0001",1)</f>
        <v/>
      </c>
      <c r="J843" s="7" t="inlineStr">
        <is>
          <t>L</t>
        </is>
      </c>
      <c r="K843" s="7" t="inlineStr">
        <is>
          <t>238/716</t>
        </is>
      </c>
      <c r="L843" s="7" t="inlineStr">
        <is>
          <t>Yes</t>
        </is>
      </c>
      <c r="M843" s="7" t="inlineStr">
        <is>
          <t>100% pure running freedom. The Fast and Free collection, powered by Nulux™ fabric, is about unrestricted movement that lets you go the distance.</t>
        </is>
      </c>
      <c r="N843" s="7" t="inlineStr">
        <is>
          <t>Fast-and-Free-Tight-28</t>
        </is>
      </c>
      <c r="O843" s="7" t="inlineStr">
        <is>
          <t>Base Layers</t>
        </is>
      </c>
    </row>
    <row r="844" ht="80" customHeight="1">
      <c r="A844" s="4">
        <f>IMAGE("https://images.lululemon.com/is/image/lululemon/LM5AS5S_0001_1?wid=320&amp;op_usm=0.8",1)</f>
        <v/>
      </c>
      <c r="B844" s="4" t="inlineStr">
        <is>
          <t>Fast and Free Tight 28"</t>
        </is>
      </c>
      <c r="C844" s="4" t="inlineStr">
        <is>
          <t>148306949</t>
        </is>
      </c>
      <c r="D844" s="4" t="inlineStr">
        <is>
          <t>148306949-black</t>
        </is>
      </c>
      <c r="E844" s="4" t="inlineStr">
        <is>
          <t>Fast and Free Tight 28" L *Reflective BLK S</t>
        </is>
      </c>
      <c r="F844" s="4" t="inlineStr">
        <is>
          <t>$148.00</t>
        </is>
      </c>
      <c r="G844" s="4" t="inlineStr">
        <is>
          <t>$74.00</t>
        </is>
      </c>
      <c r="H844" s="4" t="inlineStr">
        <is>
          <t>Black</t>
        </is>
      </c>
      <c r="I844" s="4">
        <f>IMAGE("https://images.lululemon.com/is/image/lululemon/0001",1)</f>
        <v/>
      </c>
      <c r="J844" s="4" t="inlineStr">
        <is>
          <t>XL</t>
        </is>
      </c>
      <c r="K844" s="4" t="inlineStr">
        <is>
          <t>144/716</t>
        </is>
      </c>
      <c r="L844" s="4" t="inlineStr">
        <is>
          <t>Yes</t>
        </is>
      </c>
      <c r="M844" s="4" t="inlineStr">
        <is>
          <t>100% pure running freedom. The Fast and Free collection, powered by Nulux™ fabric, is about unrestricted movement that lets you go the distance.</t>
        </is>
      </c>
      <c r="N844" s="4" t="inlineStr">
        <is>
          <t>Fast-and-Free-Tight-28</t>
        </is>
      </c>
      <c r="O844" s="4" t="inlineStr">
        <is>
          <t>Base Layers</t>
        </is>
      </c>
    </row>
    <row r="845" ht="80" customHeight="1">
      <c r="A845" s="5">
        <f>IMAGE("https://images.lululemon.com/is/image/lululemon/LM5AS5S_0001_1?wid=320&amp;op_usm=0.8",1)</f>
        <v/>
      </c>
      <c r="B845" s="5" t="inlineStr">
        <is>
          <t>Fast and Free Tight 28"</t>
        </is>
      </c>
      <c r="C845" s="5" t="inlineStr">
        <is>
          <t>148306962</t>
        </is>
      </c>
      <c r="D845" s="5" t="inlineStr">
        <is>
          <t>148306962-black</t>
        </is>
      </c>
      <c r="E845" s="5" t="inlineStr">
        <is>
          <t>Fast and Free Tight 28" L *Reflective BLK S</t>
        </is>
      </c>
      <c r="F845" s="5" t="inlineStr">
        <is>
          <t>$148.00</t>
        </is>
      </c>
      <c r="G845" s="5" t="inlineStr">
        <is>
          <t>$74.00</t>
        </is>
      </c>
      <c r="H845" s="5" t="inlineStr">
        <is>
          <t>Black</t>
        </is>
      </c>
      <c r="I845" s="5">
        <f>IMAGE("https://images.lululemon.com/is/image/lululemon/0001",1)</f>
        <v/>
      </c>
      <c r="J845" s="5" t="inlineStr">
        <is>
          <t>XXL</t>
        </is>
      </c>
      <c r="K845" s="5" t="inlineStr">
        <is>
          <t>49/716</t>
        </is>
      </c>
      <c r="L845" s="5" t="inlineStr">
        <is>
          <t>Yes</t>
        </is>
      </c>
      <c r="M845" s="5" t="inlineStr">
        <is>
          <t>100% pure running freedom. The Fast and Free collection, powered by Nulux™ fabric, is about unrestricted movement that lets you go the distance.</t>
        </is>
      </c>
      <c r="N845" s="5" t="inlineStr">
        <is>
          <t>Fast-and-Free-Tight-28</t>
        </is>
      </c>
      <c r="O845" s="5" t="inlineStr">
        <is>
          <t>Base Layers</t>
        </is>
      </c>
    </row>
    <row r="846" ht="80" customHeight="1">
      <c r="A846" s="4">
        <f>IMAGE("https://images.lululemon.com/is/image/lululemon/LM3FG2S_0572_1?wid=320&amp;op_usm=0.8",1)</f>
        <v/>
      </c>
      <c r="B846" s="4" t="inlineStr">
        <is>
          <t>Metal Vent Tech Short-Sleeve Shirt</t>
        </is>
      </c>
      <c r="C846" s="4" t="inlineStr">
        <is>
          <t>155275261</t>
        </is>
      </c>
      <c r="D846" s="4" t="inlineStr">
        <is>
          <t>155275261-black/black</t>
        </is>
      </c>
      <c r="E846" s="4" t="inlineStr">
        <is>
          <t>Metal Vent Tech Short Sleeve BLK/BLK XS</t>
        </is>
      </c>
      <c r="F846" s="4" t="inlineStr">
        <is>
          <t>$78.00</t>
        </is>
      </c>
      <c r="G846" s="4" t="inlineStr">
        <is>
          <t>$39.00</t>
        </is>
      </c>
      <c r="H846" s="4" t="inlineStr">
        <is>
          <t>Black/Black</t>
        </is>
      </c>
      <c r="I846" s="4">
        <f>IMAGE("https://images.lululemon.com/is/image/lululemon/4780",1)</f>
        <v/>
      </c>
      <c r="J846" s="4" t="inlineStr">
        <is>
          <t>XS</t>
        </is>
      </c>
      <c r="K846" s="4" t="inlineStr">
        <is>
          <t>19/5173</t>
        </is>
      </c>
      <c r="L846" s="4" t="inlineStr">
        <is>
          <t>Yes</t>
        </is>
      </c>
      <c r="M846" s="4" t="inlineStr">
        <is>
          <t>Your potential—unlocked. The Metal Vent Tech collection uses seamless construction to minimize distractions from chafe and sweat so you can stay laser focused.</t>
        </is>
      </c>
      <c r="N846" s="4" t="inlineStr">
        <is>
          <t>Metal-Vent-Tech-Short-Sleeve-Shirt-3</t>
        </is>
      </c>
      <c r="O846" s="4" t="inlineStr"/>
    </row>
    <row r="847" ht="80" customHeight="1">
      <c r="A847" s="7">
        <f>IMAGE("https://images.lululemon.com/is/image/lululemon/LM3FG2S_0572_1?wid=320&amp;op_usm=0.8",1)</f>
        <v/>
      </c>
      <c r="B847" s="7" t="inlineStr">
        <is>
          <t>Metal Vent Tech Short-Sleeve Shirt</t>
        </is>
      </c>
      <c r="C847" s="7" t="inlineStr">
        <is>
          <t>155275259</t>
        </is>
      </c>
      <c r="D847" s="7" t="inlineStr">
        <is>
          <t>155275259-black/black</t>
        </is>
      </c>
      <c r="E847" s="7" t="inlineStr">
        <is>
          <t>Metal Vent Tech Short Sleeve BLK/BLK XS</t>
        </is>
      </c>
      <c r="F847" s="7" t="inlineStr">
        <is>
          <t>$78.00</t>
        </is>
      </c>
      <c r="G847" s="7" t="inlineStr">
        <is>
          <t>$39.00</t>
        </is>
      </c>
      <c r="H847" s="7" t="inlineStr">
        <is>
          <t>Black/Black</t>
        </is>
      </c>
      <c r="I847" s="7">
        <f>IMAGE("https://images.lululemon.com/is/image/lululemon/4780",1)</f>
        <v/>
      </c>
      <c r="J847" s="7" t="inlineStr">
        <is>
          <t>S</t>
        </is>
      </c>
      <c r="K847" s="7" t="inlineStr">
        <is>
          <t>169/5173</t>
        </is>
      </c>
      <c r="L847" s="7" t="inlineStr">
        <is>
          <t>Yes</t>
        </is>
      </c>
      <c r="M847" s="7" t="inlineStr">
        <is>
          <t>Your potential—unlocked. The Metal Vent Tech collection uses seamless construction to minimize distractions from chafe and sweat so you can stay laser focused.</t>
        </is>
      </c>
      <c r="N847" s="7" t="inlineStr">
        <is>
          <t>Metal-Vent-Tech-Short-Sleeve-Shirt-3</t>
        </is>
      </c>
      <c r="O847" s="7" t="inlineStr"/>
    </row>
    <row r="848" ht="80" customHeight="1">
      <c r="A848" s="4">
        <f>IMAGE("https://images.lululemon.com/is/image/lululemon/LM3FG2S_0572_1?wid=320&amp;op_usm=0.8",1)</f>
        <v/>
      </c>
      <c r="B848" s="4" t="inlineStr">
        <is>
          <t>Metal Vent Tech Short-Sleeve Shirt</t>
        </is>
      </c>
      <c r="C848" s="4" t="inlineStr">
        <is>
          <t>155275258</t>
        </is>
      </c>
      <c r="D848" s="4" t="inlineStr">
        <is>
          <t>155275258-black/black</t>
        </is>
      </c>
      <c r="E848" s="4" t="inlineStr">
        <is>
          <t>Metal Vent Tech Short Sleeve BLK/BLK XS</t>
        </is>
      </c>
      <c r="F848" s="4" t="inlineStr">
        <is>
          <t>$78.00</t>
        </is>
      </c>
      <c r="G848" s="4" t="inlineStr">
        <is>
          <t>$39.00</t>
        </is>
      </c>
      <c r="H848" s="4" t="inlineStr">
        <is>
          <t>Black/Black</t>
        </is>
      </c>
      <c r="I848" s="4">
        <f>IMAGE("https://images.lululemon.com/is/image/lululemon/4780",1)</f>
        <v/>
      </c>
      <c r="J848" s="4" t="inlineStr">
        <is>
          <t>M</t>
        </is>
      </c>
      <c r="K848" s="4" t="inlineStr">
        <is>
          <t>436/5173</t>
        </is>
      </c>
      <c r="L848" s="4" t="inlineStr">
        <is>
          <t>Yes</t>
        </is>
      </c>
      <c r="M848" s="4" t="inlineStr">
        <is>
          <t>Your potential—unlocked. The Metal Vent Tech collection uses seamless construction to minimize distractions from chafe and sweat so you can stay laser focused.</t>
        </is>
      </c>
      <c r="N848" s="4" t="inlineStr">
        <is>
          <t>Metal-Vent-Tech-Short-Sleeve-Shirt-3</t>
        </is>
      </c>
      <c r="O848" s="4" t="inlineStr"/>
    </row>
    <row r="849" ht="80" customHeight="1">
      <c r="A849" s="7">
        <f>IMAGE("https://images.lululemon.com/is/image/lululemon/LM3FG2S_0572_1?wid=320&amp;op_usm=0.8",1)</f>
        <v/>
      </c>
      <c r="B849" s="7" t="inlineStr">
        <is>
          <t>Metal Vent Tech Short-Sleeve Shirt</t>
        </is>
      </c>
      <c r="C849" s="7" t="inlineStr">
        <is>
          <t>155275257</t>
        </is>
      </c>
      <c r="D849" s="7" t="inlineStr">
        <is>
          <t>155275257-black/black</t>
        </is>
      </c>
      <c r="E849" s="7" t="inlineStr">
        <is>
          <t>Metal Vent Tech Short Sleeve BLK/BLK XS</t>
        </is>
      </c>
      <c r="F849" s="7" t="inlineStr">
        <is>
          <t>$78.00</t>
        </is>
      </c>
      <c r="G849" s="7" t="inlineStr">
        <is>
          <t>$39.00</t>
        </is>
      </c>
      <c r="H849" s="7" t="inlineStr">
        <is>
          <t>Black/Black</t>
        </is>
      </c>
      <c r="I849" s="7">
        <f>IMAGE("https://images.lululemon.com/is/image/lululemon/4780",1)</f>
        <v/>
      </c>
      <c r="J849" s="7" t="inlineStr">
        <is>
          <t>L</t>
        </is>
      </c>
      <c r="K849" s="7" t="inlineStr">
        <is>
          <t>722/5173</t>
        </is>
      </c>
      <c r="L849" s="7" t="inlineStr">
        <is>
          <t>Yes</t>
        </is>
      </c>
      <c r="M849" s="7" t="inlineStr">
        <is>
          <t>Your potential—unlocked. The Metal Vent Tech collection uses seamless construction to minimize distractions from chafe and sweat so you can stay laser focused.</t>
        </is>
      </c>
      <c r="N849" s="7" t="inlineStr">
        <is>
          <t>Metal-Vent-Tech-Short-Sleeve-Shirt-3</t>
        </is>
      </c>
      <c r="O849" s="7" t="inlineStr"/>
    </row>
    <row r="850" ht="80" customHeight="1">
      <c r="A850" s="4">
        <f>IMAGE("https://images.lululemon.com/is/image/lululemon/LM3FG2S_0572_1?wid=320&amp;op_usm=0.8",1)</f>
        <v/>
      </c>
      <c r="B850" s="4" t="inlineStr">
        <is>
          <t>Metal Vent Tech Short-Sleeve Shirt</t>
        </is>
      </c>
      <c r="C850" s="4" t="inlineStr">
        <is>
          <t>155275260</t>
        </is>
      </c>
      <c r="D850" s="4" t="inlineStr">
        <is>
          <t>155275260-black/black</t>
        </is>
      </c>
      <c r="E850" s="4" t="inlineStr">
        <is>
          <t>Metal Vent Tech Short Sleeve BLK/BLK XS</t>
        </is>
      </c>
      <c r="F850" s="4" t="inlineStr">
        <is>
          <t>$78.00</t>
        </is>
      </c>
      <c r="G850" s="4" t="inlineStr">
        <is>
          <t>$39.00</t>
        </is>
      </c>
      <c r="H850" s="4" t="inlineStr">
        <is>
          <t>Black/Black</t>
        </is>
      </c>
      <c r="I850" s="4">
        <f>IMAGE("https://images.lululemon.com/is/image/lululemon/4780",1)</f>
        <v/>
      </c>
      <c r="J850" s="4" t="inlineStr">
        <is>
          <t>XL</t>
        </is>
      </c>
      <c r="K850" s="4" t="inlineStr">
        <is>
          <t>451/5173</t>
        </is>
      </c>
      <c r="L850" s="4" t="inlineStr">
        <is>
          <t>Yes</t>
        </is>
      </c>
      <c r="M850" s="4" t="inlineStr">
        <is>
          <t>Your potential—unlocked. The Metal Vent Tech collection uses seamless construction to minimize distractions from chafe and sweat so you can stay laser focused.</t>
        </is>
      </c>
      <c r="N850" s="4" t="inlineStr">
        <is>
          <t>Metal-Vent-Tech-Short-Sleeve-Shirt-3</t>
        </is>
      </c>
      <c r="O850" s="4" t="inlineStr"/>
    </row>
    <row r="851" ht="80" customHeight="1">
      <c r="A851" s="7">
        <f>IMAGE("https://images.lululemon.com/is/image/lululemon/LM3FG2S_0572_1?wid=320&amp;op_usm=0.8",1)</f>
        <v/>
      </c>
      <c r="B851" s="7" t="inlineStr">
        <is>
          <t>Metal Vent Tech Short-Sleeve Shirt</t>
        </is>
      </c>
      <c r="C851" s="7" t="inlineStr">
        <is>
          <t>155275262</t>
        </is>
      </c>
      <c r="D851" s="7" t="inlineStr">
        <is>
          <t>155275262-black/black</t>
        </is>
      </c>
      <c r="E851" s="7" t="inlineStr">
        <is>
          <t>Metal Vent Tech Short Sleeve BLK/BLK XS</t>
        </is>
      </c>
      <c r="F851" s="7" t="inlineStr">
        <is>
          <t>$78.00</t>
        </is>
      </c>
      <c r="G851" s="7" t="inlineStr">
        <is>
          <t>$39.00</t>
        </is>
      </c>
      <c r="H851" s="7" t="inlineStr">
        <is>
          <t>Black/Black</t>
        </is>
      </c>
      <c r="I851" s="7">
        <f>IMAGE("https://images.lululemon.com/is/image/lululemon/4780",1)</f>
        <v/>
      </c>
      <c r="J851" s="7" t="inlineStr">
        <is>
          <t>XXL</t>
        </is>
      </c>
      <c r="K851" s="7" t="inlineStr">
        <is>
          <t>196/5173</t>
        </is>
      </c>
      <c r="L851" s="7" t="inlineStr">
        <is>
          <t>Yes</t>
        </is>
      </c>
      <c r="M851" s="7" t="inlineStr">
        <is>
          <t>Your potential—unlocked. The Metal Vent Tech collection uses seamless construction to minimize distractions from chafe and sweat so you can stay laser focused.</t>
        </is>
      </c>
      <c r="N851" s="7" t="inlineStr">
        <is>
          <t>Metal-Vent-Tech-Short-Sleeve-Shirt-3</t>
        </is>
      </c>
      <c r="O851" s="7" t="inlineStr"/>
    </row>
    <row r="852" ht="80" customHeight="1">
      <c r="A852" s="4">
        <f>IMAGE("https://images.lululemon.com/is/image/lululemon/LM3FG2S_0572_1?wid=320&amp;op_usm=0.8",1)</f>
        <v/>
      </c>
      <c r="B852" s="4" t="inlineStr">
        <is>
          <t>Metal Vent Tech Short-Sleeve Shirt</t>
        </is>
      </c>
      <c r="C852" s="4" t="inlineStr">
        <is>
          <t>153200317</t>
        </is>
      </c>
      <c r="D852" s="4" t="inlineStr">
        <is>
          <t>153200317-slate/white</t>
        </is>
      </c>
      <c r="E852" s="4" t="inlineStr">
        <is>
          <t>Metal Vent Tech Short Sleeve BLK/BLK XS</t>
        </is>
      </c>
      <c r="F852" s="4" t="inlineStr">
        <is>
          <t>$78.00</t>
        </is>
      </c>
      <c r="G852" s="4" t="inlineStr">
        <is>
          <t>$39.00</t>
        </is>
      </c>
      <c r="H852" s="4" t="inlineStr">
        <is>
          <t>Slate/White</t>
        </is>
      </c>
      <c r="I852" s="4">
        <f>IMAGE("https://images.lululemon.com/is/image/lululemon/0572",1)</f>
        <v/>
      </c>
      <c r="J852" s="4" t="inlineStr">
        <is>
          <t>S</t>
        </is>
      </c>
      <c r="K852" s="4" t="inlineStr">
        <is>
          <t>4/5173</t>
        </is>
      </c>
      <c r="L852" s="4" t="inlineStr">
        <is>
          <t>Yes</t>
        </is>
      </c>
      <c r="M852" s="4" t="inlineStr">
        <is>
          <t>Your potential—unlocked. The Metal Vent Tech collection uses seamless construction to minimize distractions from chafe and sweat so you can stay laser focused.</t>
        </is>
      </c>
      <c r="N852" s="4" t="inlineStr">
        <is>
          <t>Metal-Vent-Tech-Short-Sleeve-Shirt-3</t>
        </is>
      </c>
      <c r="O852" s="4" t="inlineStr"/>
    </row>
    <row r="853" ht="80" customHeight="1">
      <c r="A853" s="7">
        <f>IMAGE("https://images.lululemon.com/is/image/lululemon/LM3FG2S_0572_1?wid=320&amp;op_usm=0.8",1)</f>
        <v/>
      </c>
      <c r="B853" s="7" t="inlineStr">
        <is>
          <t>Metal Vent Tech Short-Sleeve Shirt</t>
        </is>
      </c>
      <c r="C853" s="7" t="inlineStr">
        <is>
          <t>153200314</t>
        </is>
      </c>
      <c r="D853" s="7" t="inlineStr">
        <is>
          <t>153200314-slate/white</t>
        </is>
      </c>
      <c r="E853" s="7" t="inlineStr">
        <is>
          <t>Metal Vent Tech Short Sleeve BLK/BLK XS</t>
        </is>
      </c>
      <c r="F853" s="7" t="inlineStr">
        <is>
          <t>$78.00</t>
        </is>
      </c>
      <c r="G853" s="7" t="inlineStr">
        <is>
          <t>$39.00</t>
        </is>
      </c>
      <c r="H853" s="7" t="inlineStr">
        <is>
          <t>Slate/White</t>
        </is>
      </c>
      <c r="I853" s="7">
        <f>IMAGE("https://images.lululemon.com/is/image/lululemon/0572",1)</f>
        <v/>
      </c>
      <c r="J853" s="7" t="inlineStr">
        <is>
          <t>M</t>
        </is>
      </c>
      <c r="K853" s="7" t="inlineStr">
        <is>
          <t>26/5173</t>
        </is>
      </c>
      <c r="L853" s="7" t="inlineStr">
        <is>
          <t>Yes</t>
        </is>
      </c>
      <c r="M853" s="7" t="inlineStr">
        <is>
          <t>Your potential—unlocked. The Metal Vent Tech collection uses seamless construction to minimize distractions from chafe and sweat so you can stay laser focused.</t>
        </is>
      </c>
      <c r="N853" s="7" t="inlineStr">
        <is>
          <t>Metal-Vent-Tech-Short-Sleeve-Shirt-3</t>
        </is>
      </c>
      <c r="O853" s="7" t="inlineStr"/>
    </row>
    <row r="854" ht="80" customHeight="1">
      <c r="A854" s="4">
        <f>IMAGE("https://images.lululemon.com/is/image/lululemon/LM3FG2S_0572_1?wid=320&amp;op_usm=0.8",1)</f>
        <v/>
      </c>
      <c r="B854" s="4" t="inlineStr">
        <is>
          <t>Metal Vent Tech Short-Sleeve Shirt</t>
        </is>
      </c>
      <c r="C854" s="4" t="inlineStr">
        <is>
          <t>153200310</t>
        </is>
      </c>
      <c r="D854" s="4" t="inlineStr">
        <is>
          <t>153200310-slate/white</t>
        </is>
      </c>
      <c r="E854" s="4" t="inlineStr">
        <is>
          <t>Metal Vent Tech Short Sleeve BLK/BLK XS</t>
        </is>
      </c>
      <c r="F854" s="4" t="inlineStr">
        <is>
          <t>$78.00</t>
        </is>
      </c>
      <c r="G854" s="4" t="inlineStr">
        <is>
          <t>$39.00</t>
        </is>
      </c>
      <c r="H854" s="4" t="inlineStr">
        <is>
          <t>Slate/White</t>
        </is>
      </c>
      <c r="I854" s="4">
        <f>IMAGE("https://images.lululemon.com/is/image/lululemon/0572",1)</f>
        <v/>
      </c>
      <c r="J854" s="4" t="inlineStr">
        <is>
          <t>L</t>
        </is>
      </c>
      <c r="K854" s="4" t="inlineStr">
        <is>
          <t>42/5173</t>
        </is>
      </c>
      <c r="L854" s="4" t="inlineStr">
        <is>
          <t>Yes</t>
        </is>
      </c>
      <c r="M854" s="4" t="inlineStr">
        <is>
          <t>Your potential—unlocked. The Metal Vent Tech collection uses seamless construction to minimize distractions from chafe and sweat so you can stay laser focused.</t>
        </is>
      </c>
      <c r="N854" s="4" t="inlineStr">
        <is>
          <t>Metal-Vent-Tech-Short-Sleeve-Shirt-3</t>
        </is>
      </c>
      <c r="O854" s="4" t="inlineStr"/>
    </row>
    <row r="855" ht="80" customHeight="1">
      <c r="A855" s="7">
        <f>IMAGE("https://images.lululemon.com/is/image/lululemon/LM3FG2S_0572_1?wid=320&amp;op_usm=0.8",1)</f>
        <v/>
      </c>
      <c r="B855" s="7" t="inlineStr">
        <is>
          <t>Metal Vent Tech Short-Sleeve Shirt</t>
        </is>
      </c>
      <c r="C855" s="7" t="inlineStr">
        <is>
          <t>153200321</t>
        </is>
      </c>
      <c r="D855" s="7" t="inlineStr">
        <is>
          <t>153200321-slate/white</t>
        </is>
      </c>
      <c r="E855" s="7" t="inlineStr">
        <is>
          <t>Metal Vent Tech Short Sleeve BLK/BLK XS</t>
        </is>
      </c>
      <c r="F855" s="7" t="inlineStr">
        <is>
          <t>$78.00</t>
        </is>
      </c>
      <c r="G855" s="7" t="inlineStr">
        <is>
          <t>$39.00</t>
        </is>
      </c>
      <c r="H855" s="7" t="inlineStr">
        <is>
          <t>Slate/White</t>
        </is>
      </c>
      <c r="I855" s="7">
        <f>IMAGE("https://images.lululemon.com/is/image/lululemon/0572",1)</f>
        <v/>
      </c>
      <c r="J855" s="7" t="inlineStr">
        <is>
          <t>XL</t>
        </is>
      </c>
      <c r="K855" s="7" t="inlineStr">
        <is>
          <t>98/5173</t>
        </is>
      </c>
      <c r="L855" s="7" t="inlineStr">
        <is>
          <t>Yes</t>
        </is>
      </c>
      <c r="M855" s="7" t="inlineStr">
        <is>
          <t>Your potential—unlocked. The Metal Vent Tech collection uses seamless construction to minimize distractions from chafe and sweat so you can stay laser focused.</t>
        </is>
      </c>
      <c r="N855" s="7" t="inlineStr">
        <is>
          <t>Metal-Vent-Tech-Short-Sleeve-Shirt-3</t>
        </is>
      </c>
      <c r="O855" s="7" t="inlineStr"/>
    </row>
    <row r="856" ht="80" customHeight="1">
      <c r="A856" s="4">
        <f>IMAGE("https://images.lululemon.com/is/image/lululemon/LM3FG2S_0572_1?wid=320&amp;op_usm=0.8",1)</f>
        <v/>
      </c>
      <c r="B856" s="4" t="inlineStr">
        <is>
          <t>Metal Vent Tech Short-Sleeve Shirt</t>
        </is>
      </c>
      <c r="C856" s="4" t="inlineStr">
        <is>
          <t>153200332</t>
        </is>
      </c>
      <c r="D856" s="4" t="inlineStr">
        <is>
          <t>153200332-slate/white</t>
        </is>
      </c>
      <c r="E856" s="4" t="inlineStr">
        <is>
          <t>Metal Vent Tech Short Sleeve BLK/BLK XS</t>
        </is>
      </c>
      <c r="F856" s="4" t="inlineStr">
        <is>
          <t>$78.00</t>
        </is>
      </c>
      <c r="G856" s="4" t="inlineStr">
        <is>
          <t>$39.00</t>
        </is>
      </c>
      <c r="H856" s="4" t="inlineStr">
        <is>
          <t>Slate/White</t>
        </is>
      </c>
      <c r="I856" s="4">
        <f>IMAGE("https://images.lululemon.com/is/image/lululemon/0572",1)</f>
        <v/>
      </c>
      <c r="J856" s="4" t="inlineStr">
        <is>
          <t>XXL</t>
        </is>
      </c>
      <c r="K856" s="4" t="inlineStr">
        <is>
          <t>68/5173</t>
        </is>
      </c>
      <c r="L856" s="4" t="inlineStr">
        <is>
          <t>Yes</t>
        </is>
      </c>
      <c r="M856" s="4" t="inlineStr">
        <is>
          <t>Your potential—unlocked. The Metal Vent Tech collection uses seamless construction to minimize distractions from chafe and sweat so you can stay laser focused.</t>
        </is>
      </c>
      <c r="N856" s="4" t="inlineStr">
        <is>
          <t>Metal-Vent-Tech-Short-Sleeve-Shirt-3</t>
        </is>
      </c>
      <c r="O856" s="4" t="inlineStr"/>
    </row>
    <row r="857" ht="80" customHeight="1">
      <c r="A857" s="7">
        <f>IMAGE("https://images.lululemon.com/is/image/lululemon/LM3FG2S_0572_1?wid=320&amp;op_usm=0.8",1)</f>
        <v/>
      </c>
      <c r="B857" s="7" t="inlineStr">
        <is>
          <t>Metal Vent Tech Short-Sleeve Shirt</t>
        </is>
      </c>
      <c r="C857" s="7" t="inlineStr">
        <is>
          <t>155865198</t>
        </is>
      </c>
      <c r="D857" s="7" t="inlineStr">
        <is>
          <t>155865198-vapor/solargrey</t>
        </is>
      </c>
      <c r="E857" s="7" t="inlineStr">
        <is>
          <t>Metal Vent Tech Short Sleeve BLK/BLK XS</t>
        </is>
      </c>
      <c r="F857" s="7" t="inlineStr">
        <is>
          <t>$78.00</t>
        </is>
      </c>
      <c r="G857" s="7" t="inlineStr">
        <is>
          <t>$39.00</t>
        </is>
      </c>
      <c r="H857" s="7" t="inlineStr">
        <is>
          <t>Vapor/Solar Grey</t>
        </is>
      </c>
      <c r="I857" s="7">
        <f>IMAGE("https://images.lululemon.com/is/image/lululemon/70561",1)</f>
        <v/>
      </c>
      <c r="J857" s="7" t="inlineStr">
        <is>
          <t>S</t>
        </is>
      </c>
      <c r="K857" s="7" t="inlineStr">
        <is>
          <t>1/5173</t>
        </is>
      </c>
      <c r="L857" s="7" t="inlineStr">
        <is>
          <t>Yes</t>
        </is>
      </c>
      <c r="M857" s="7" t="inlineStr">
        <is>
          <t>Your potential—unlocked. The Metal Vent Tech collection uses seamless construction to minimize distractions from chafe and sweat so you can stay laser focused.</t>
        </is>
      </c>
      <c r="N857" s="7" t="inlineStr">
        <is>
          <t>Metal-Vent-Tech-Short-Sleeve-Shirt-3</t>
        </is>
      </c>
      <c r="O857" s="7" t="inlineStr"/>
    </row>
    <row r="858" ht="80" customHeight="1">
      <c r="A858" s="4">
        <f>IMAGE("https://images.lululemon.com/is/image/lululemon/LM3FG2S_0572_1?wid=320&amp;op_usm=0.8",1)</f>
        <v/>
      </c>
      <c r="B858" s="4" t="inlineStr">
        <is>
          <t>Metal Vent Tech Short-Sleeve Shirt</t>
        </is>
      </c>
      <c r="C858" s="4" t="inlineStr">
        <is>
          <t>155865199</t>
        </is>
      </c>
      <c r="D858" s="4" t="inlineStr">
        <is>
          <t>155865199-vapor/solargrey</t>
        </is>
      </c>
      <c r="E858" s="4" t="inlineStr">
        <is>
          <t>Metal Vent Tech Short Sleeve BLK/BLK XS</t>
        </is>
      </c>
      <c r="F858" s="4" t="inlineStr">
        <is>
          <t>$78.00</t>
        </is>
      </c>
      <c r="G858" s="4" t="inlineStr">
        <is>
          <t>$39.00</t>
        </is>
      </c>
      <c r="H858" s="4" t="inlineStr">
        <is>
          <t>Vapor/Solar Grey</t>
        </is>
      </c>
      <c r="I858" s="4">
        <f>IMAGE("https://images.lululemon.com/is/image/lululemon/70561",1)</f>
        <v/>
      </c>
      <c r="J858" s="4" t="inlineStr">
        <is>
          <t>XL</t>
        </is>
      </c>
      <c r="K858" s="4" t="inlineStr">
        <is>
          <t>7/5173</t>
        </is>
      </c>
      <c r="L858" s="4" t="inlineStr">
        <is>
          <t>Yes</t>
        </is>
      </c>
      <c r="M858" s="4" t="inlineStr">
        <is>
          <t>Your potential—unlocked. The Metal Vent Tech collection uses seamless construction to minimize distractions from chafe and sweat so you can stay laser focused.</t>
        </is>
      </c>
      <c r="N858" s="4" t="inlineStr">
        <is>
          <t>Metal-Vent-Tech-Short-Sleeve-Shirt-3</t>
        </is>
      </c>
      <c r="O858" s="4" t="inlineStr"/>
    </row>
    <row r="859" ht="80" customHeight="1">
      <c r="A859" s="7">
        <f>IMAGE("https://images.lululemon.com/is/image/lululemon/LM3FG2S_0572_1?wid=320&amp;op_usm=0.8",1)</f>
        <v/>
      </c>
      <c r="B859" s="7" t="inlineStr">
        <is>
          <t>Metal Vent Tech Short-Sleeve Shirt</t>
        </is>
      </c>
      <c r="C859" s="7" t="inlineStr">
        <is>
          <t>155865201</t>
        </is>
      </c>
      <c r="D859" s="7" t="inlineStr">
        <is>
          <t>155865201-vapor/solargrey</t>
        </is>
      </c>
      <c r="E859" s="7" t="inlineStr">
        <is>
          <t>Metal Vent Tech Short Sleeve BLK/BLK XS</t>
        </is>
      </c>
      <c r="F859" s="7" t="inlineStr">
        <is>
          <t>$78.00</t>
        </is>
      </c>
      <c r="G859" s="7" t="inlineStr">
        <is>
          <t>$39.00</t>
        </is>
      </c>
      <c r="H859" s="7" t="inlineStr">
        <is>
          <t>Vapor/Solar Grey</t>
        </is>
      </c>
      <c r="I859" s="7">
        <f>IMAGE("https://images.lululemon.com/is/image/lululemon/70561",1)</f>
        <v/>
      </c>
      <c r="J859" s="7" t="inlineStr">
        <is>
          <t>XXL</t>
        </is>
      </c>
      <c r="K859" s="7" t="inlineStr">
        <is>
          <t>20/5173</t>
        </is>
      </c>
      <c r="L859" s="7" t="inlineStr">
        <is>
          <t>Yes</t>
        </is>
      </c>
      <c r="M859" s="7" t="inlineStr">
        <is>
          <t>Your potential—unlocked. The Metal Vent Tech collection uses seamless construction to minimize distractions from chafe and sweat so you can stay laser focused.</t>
        </is>
      </c>
      <c r="N859" s="7" t="inlineStr">
        <is>
          <t>Metal-Vent-Tech-Short-Sleeve-Shirt-3</t>
        </is>
      </c>
      <c r="O859" s="7" t="inlineStr"/>
    </row>
    <row r="860" ht="80" customHeight="1">
      <c r="A860" s="4">
        <f>IMAGE("https://images.lululemon.com/is/image/lululemon/LM3FG2S_0572_1?wid=320&amp;op_usm=0.8",1)</f>
        <v/>
      </c>
      <c r="B860" s="4" t="inlineStr">
        <is>
          <t>Metal Vent Tech Short-Sleeve Shirt</t>
        </is>
      </c>
      <c r="C860" s="4" t="inlineStr">
        <is>
          <t>157676652</t>
        </is>
      </c>
      <c r="D860" s="4" t="inlineStr">
        <is>
          <t>157676652-bayleaf/bayleaf</t>
        </is>
      </c>
      <c r="E860" s="4" t="inlineStr">
        <is>
          <t>Metal Vent Tech Short Sleeve BLK/BLK XS</t>
        </is>
      </c>
      <c r="F860" s="4" t="inlineStr">
        <is>
          <t>$78.00</t>
        </is>
      </c>
      <c r="G860" s="4" t="inlineStr">
        <is>
          <t>$39.00</t>
        </is>
      </c>
      <c r="H860" s="4" t="inlineStr">
        <is>
          <t>Bay Leaf/Bay Leaf</t>
        </is>
      </c>
      <c r="I860" s="4">
        <f>IMAGE("https://images.lululemon.com/is/image/lululemon/71154",1)</f>
        <v/>
      </c>
      <c r="J860" s="4" t="inlineStr">
        <is>
          <t>S</t>
        </is>
      </c>
      <c r="K860" s="4" t="inlineStr">
        <is>
          <t>7/5173</t>
        </is>
      </c>
      <c r="L860" s="4" t="inlineStr">
        <is>
          <t>Yes</t>
        </is>
      </c>
      <c r="M860" s="4" t="inlineStr">
        <is>
          <t>Your potential—unlocked. The Metal Vent Tech collection uses seamless construction to minimize distractions from chafe and sweat so you can stay laser focused.</t>
        </is>
      </c>
      <c r="N860" s="4" t="inlineStr">
        <is>
          <t>Metal-Vent-Tech-Short-Sleeve-Shirt-3</t>
        </is>
      </c>
      <c r="O860" s="4" t="inlineStr"/>
    </row>
    <row r="861" ht="80" customHeight="1">
      <c r="A861" s="7">
        <f>IMAGE("https://images.lululemon.com/is/image/lululemon/LM3FG2S_0572_1?wid=320&amp;op_usm=0.8",1)</f>
        <v/>
      </c>
      <c r="B861" s="7" t="inlineStr">
        <is>
          <t>Metal Vent Tech Short-Sleeve Shirt</t>
        </is>
      </c>
      <c r="C861" s="7" t="inlineStr">
        <is>
          <t>157676639</t>
        </is>
      </c>
      <c r="D861" s="7" t="inlineStr">
        <is>
          <t>157676639-bayleaf/bayleaf</t>
        </is>
      </c>
      <c r="E861" s="7" t="inlineStr">
        <is>
          <t>Metal Vent Tech Short Sleeve BLK/BLK XS</t>
        </is>
      </c>
      <c r="F861" s="7" t="inlineStr">
        <is>
          <t>$78.00</t>
        </is>
      </c>
      <c r="G861" s="7" t="inlineStr">
        <is>
          <t>$39.00</t>
        </is>
      </c>
      <c r="H861" s="7" t="inlineStr">
        <is>
          <t>Bay Leaf/Bay Leaf</t>
        </is>
      </c>
      <c r="I861" s="7">
        <f>IMAGE("https://images.lululemon.com/is/image/lululemon/71154",1)</f>
        <v/>
      </c>
      <c r="J861" s="7" t="inlineStr">
        <is>
          <t>M</t>
        </is>
      </c>
      <c r="K861" s="7" t="inlineStr">
        <is>
          <t>49/5173</t>
        </is>
      </c>
      <c r="L861" s="7" t="inlineStr">
        <is>
          <t>Yes</t>
        </is>
      </c>
      <c r="M861" s="7" t="inlineStr">
        <is>
          <t>Your potential—unlocked. The Metal Vent Tech collection uses seamless construction to minimize distractions from chafe and sweat so you can stay laser focused.</t>
        </is>
      </c>
      <c r="N861" s="7" t="inlineStr">
        <is>
          <t>Metal-Vent-Tech-Short-Sleeve-Shirt-3</t>
        </is>
      </c>
      <c r="O861" s="7" t="inlineStr"/>
    </row>
    <row r="862" ht="80" customHeight="1">
      <c r="A862" s="4">
        <f>IMAGE("https://images.lululemon.com/is/image/lululemon/LM3FG2S_0572_1?wid=320&amp;op_usm=0.8",1)</f>
        <v/>
      </c>
      <c r="B862" s="4" t="inlineStr">
        <is>
          <t>Metal Vent Tech Short-Sleeve Shirt</t>
        </is>
      </c>
      <c r="C862" s="4" t="inlineStr">
        <is>
          <t>157676625</t>
        </is>
      </c>
      <c r="D862" s="4" t="inlineStr">
        <is>
          <t>157676625-bayleaf/bayleaf</t>
        </is>
      </c>
      <c r="E862" s="4" t="inlineStr">
        <is>
          <t>Metal Vent Tech Short Sleeve BLK/BLK XS</t>
        </is>
      </c>
      <c r="F862" s="4" t="inlineStr">
        <is>
          <t>$78.00</t>
        </is>
      </c>
      <c r="G862" s="4" t="inlineStr">
        <is>
          <t>$39.00</t>
        </is>
      </c>
      <c r="H862" s="4" t="inlineStr">
        <is>
          <t>Bay Leaf/Bay Leaf</t>
        </is>
      </c>
      <c r="I862" s="4">
        <f>IMAGE("https://images.lululemon.com/is/image/lululemon/71154",1)</f>
        <v/>
      </c>
      <c r="J862" s="4" t="inlineStr">
        <is>
          <t>L</t>
        </is>
      </c>
      <c r="K862" s="4" t="inlineStr">
        <is>
          <t>59/5173</t>
        </is>
      </c>
      <c r="L862" s="4" t="inlineStr">
        <is>
          <t>Yes</t>
        </is>
      </c>
      <c r="M862" s="4" t="inlineStr">
        <is>
          <t>Your potential—unlocked. The Metal Vent Tech collection uses seamless construction to minimize distractions from chafe and sweat so you can stay laser focused.</t>
        </is>
      </c>
      <c r="N862" s="4" t="inlineStr">
        <is>
          <t>Metal-Vent-Tech-Short-Sleeve-Shirt-3</t>
        </is>
      </c>
      <c r="O862" s="4" t="inlineStr"/>
    </row>
    <row r="863" ht="80" customHeight="1">
      <c r="A863" s="7">
        <f>IMAGE("https://images.lululemon.com/is/image/lululemon/LM3FG2S_0572_1?wid=320&amp;op_usm=0.8",1)</f>
        <v/>
      </c>
      <c r="B863" s="7" t="inlineStr">
        <is>
          <t>Metal Vent Tech Short-Sleeve Shirt</t>
        </is>
      </c>
      <c r="C863" s="7" t="inlineStr">
        <is>
          <t>157683056</t>
        </is>
      </c>
      <c r="D863" s="7" t="inlineStr">
        <is>
          <t>157683056-rawlinen/white</t>
        </is>
      </c>
      <c r="E863" s="7" t="inlineStr">
        <is>
          <t>Metal Vent Tech Short Sleeve BLK/BLK XS</t>
        </is>
      </c>
      <c r="F863" s="7" t="inlineStr">
        <is>
          <t>$78.00</t>
        </is>
      </c>
      <c r="G863" s="7" t="inlineStr">
        <is>
          <t>$39.00</t>
        </is>
      </c>
      <c r="H863" s="7" t="inlineStr">
        <is>
          <t>Raw Linen/White</t>
        </is>
      </c>
      <c r="I863" s="7">
        <f>IMAGE("https://images.lululemon.com/is/image/lululemon/48532",1)</f>
        <v/>
      </c>
      <c r="J863" s="7" t="inlineStr">
        <is>
          <t>S</t>
        </is>
      </c>
      <c r="K863" s="7" t="inlineStr">
        <is>
          <t>65/5173</t>
        </is>
      </c>
      <c r="L863" s="7" t="inlineStr">
        <is>
          <t>Yes</t>
        </is>
      </c>
      <c r="M863" s="7" t="inlineStr">
        <is>
          <t>Your potential—unlocked. The Metal Vent Tech collection uses seamless construction to minimize distractions from chafe and sweat so you can stay laser focused.</t>
        </is>
      </c>
      <c r="N863" s="7" t="inlineStr">
        <is>
          <t>Metal-Vent-Tech-Short-Sleeve-Shirt-3</t>
        </is>
      </c>
      <c r="O863" s="7" t="inlineStr"/>
    </row>
    <row r="864" ht="80" customHeight="1">
      <c r="A864" s="4">
        <f>IMAGE("https://images.lululemon.com/is/image/lululemon/LM3FG2S_0572_1?wid=320&amp;op_usm=0.8",1)</f>
        <v/>
      </c>
      <c r="B864" s="4" t="inlineStr">
        <is>
          <t>Metal Vent Tech Short-Sleeve Shirt</t>
        </is>
      </c>
      <c r="C864" s="4" t="inlineStr">
        <is>
          <t>157683051</t>
        </is>
      </c>
      <c r="D864" s="4" t="inlineStr">
        <is>
          <t>157683051-rawlinen/white</t>
        </is>
      </c>
      <c r="E864" s="4" t="inlineStr">
        <is>
          <t>Metal Vent Tech Short Sleeve BLK/BLK XS</t>
        </is>
      </c>
      <c r="F864" s="4" t="inlineStr">
        <is>
          <t>$78.00</t>
        </is>
      </c>
      <c r="G864" s="4" t="inlineStr">
        <is>
          <t>$39.00</t>
        </is>
      </c>
      <c r="H864" s="4" t="inlineStr">
        <is>
          <t>Raw Linen/White</t>
        </is>
      </c>
      <c r="I864" s="4">
        <f>IMAGE("https://images.lululemon.com/is/image/lululemon/48532",1)</f>
        <v/>
      </c>
      <c r="J864" s="4" t="inlineStr">
        <is>
          <t>M</t>
        </is>
      </c>
      <c r="K864" s="4" t="inlineStr">
        <is>
          <t>190/5173</t>
        </is>
      </c>
      <c r="L864" s="4" t="inlineStr">
        <is>
          <t>Yes</t>
        </is>
      </c>
      <c r="M864" s="4" t="inlineStr">
        <is>
          <t>Your potential—unlocked. The Metal Vent Tech collection uses seamless construction to minimize distractions from chafe and sweat so you can stay laser focused.</t>
        </is>
      </c>
      <c r="N864" s="4" t="inlineStr">
        <is>
          <t>Metal-Vent-Tech-Short-Sleeve-Shirt-3</t>
        </is>
      </c>
      <c r="O864" s="4" t="inlineStr"/>
    </row>
    <row r="865" ht="80" customHeight="1">
      <c r="A865" s="7">
        <f>IMAGE("https://images.lululemon.com/is/image/lululemon/LM3FG2S_0572_1?wid=320&amp;op_usm=0.8",1)</f>
        <v/>
      </c>
      <c r="B865" s="7" t="inlineStr">
        <is>
          <t>Metal Vent Tech Short-Sleeve Shirt</t>
        </is>
      </c>
      <c r="C865" s="7" t="inlineStr">
        <is>
          <t>157683050</t>
        </is>
      </c>
      <c r="D865" s="7" t="inlineStr">
        <is>
          <t>157683050-rawlinen/white</t>
        </is>
      </c>
      <c r="E865" s="7" t="inlineStr">
        <is>
          <t>Metal Vent Tech Short Sleeve BLK/BLK XS</t>
        </is>
      </c>
      <c r="F865" s="7" t="inlineStr">
        <is>
          <t>$78.00</t>
        </is>
      </c>
      <c r="G865" s="7" t="inlineStr">
        <is>
          <t>$39.00</t>
        </is>
      </c>
      <c r="H865" s="7" t="inlineStr">
        <is>
          <t>Raw Linen/White</t>
        </is>
      </c>
      <c r="I865" s="7">
        <f>IMAGE("https://images.lululemon.com/is/image/lululemon/48532",1)</f>
        <v/>
      </c>
      <c r="J865" s="7" t="inlineStr">
        <is>
          <t>L</t>
        </is>
      </c>
      <c r="K865" s="7" t="inlineStr">
        <is>
          <t>240/5173</t>
        </is>
      </c>
      <c r="L865" s="7" t="inlineStr">
        <is>
          <t>Yes</t>
        </is>
      </c>
      <c r="M865" s="7" t="inlineStr">
        <is>
          <t>Your potential—unlocked. The Metal Vent Tech collection uses seamless construction to minimize distractions from chafe and sweat so you can stay laser focused.</t>
        </is>
      </c>
      <c r="N865" s="7" t="inlineStr">
        <is>
          <t>Metal-Vent-Tech-Short-Sleeve-Shirt-3</t>
        </is>
      </c>
      <c r="O865" s="7" t="inlineStr"/>
    </row>
    <row r="866" ht="80" customHeight="1">
      <c r="A866" s="4">
        <f>IMAGE("https://images.lululemon.com/is/image/lululemon/LM3FG2S_0572_1?wid=320&amp;op_usm=0.8",1)</f>
        <v/>
      </c>
      <c r="B866" s="4" t="inlineStr">
        <is>
          <t>Metal Vent Tech Short-Sleeve Shirt</t>
        </is>
      </c>
      <c r="C866" s="4" t="inlineStr">
        <is>
          <t>157683062</t>
        </is>
      </c>
      <c r="D866" s="4" t="inlineStr">
        <is>
          <t>157683062-rawlinen/white</t>
        </is>
      </c>
      <c r="E866" s="4" t="inlineStr">
        <is>
          <t>Metal Vent Tech Short Sleeve BLK/BLK XS</t>
        </is>
      </c>
      <c r="F866" s="4" t="inlineStr">
        <is>
          <t>$78.00</t>
        </is>
      </c>
      <c r="G866" s="4" t="inlineStr">
        <is>
          <t>$39.00</t>
        </is>
      </c>
      <c r="H866" s="4" t="inlineStr">
        <is>
          <t>Raw Linen/White</t>
        </is>
      </c>
      <c r="I866" s="4">
        <f>IMAGE("https://images.lululemon.com/is/image/lululemon/48532",1)</f>
        <v/>
      </c>
      <c r="J866" s="4" t="inlineStr">
        <is>
          <t>XL</t>
        </is>
      </c>
      <c r="K866" s="4" t="inlineStr">
        <is>
          <t>154/5173</t>
        </is>
      </c>
      <c r="L866" s="4" t="inlineStr">
        <is>
          <t>Yes</t>
        </is>
      </c>
      <c r="M866" s="4" t="inlineStr">
        <is>
          <t>Your potential—unlocked. The Metal Vent Tech collection uses seamless construction to minimize distractions from chafe and sweat so you can stay laser focused.</t>
        </is>
      </c>
      <c r="N866" s="4" t="inlineStr">
        <is>
          <t>Metal-Vent-Tech-Short-Sleeve-Shirt-3</t>
        </is>
      </c>
      <c r="O866" s="4" t="inlineStr"/>
    </row>
    <row r="867" ht="80" customHeight="1">
      <c r="A867" s="7">
        <f>IMAGE("https://images.lululemon.com/is/image/lululemon/LM3FG2S_0572_1?wid=320&amp;op_usm=0.8",1)</f>
        <v/>
      </c>
      <c r="B867" s="7" t="inlineStr">
        <is>
          <t>Metal Vent Tech Short-Sleeve Shirt</t>
        </is>
      </c>
      <c r="C867" s="7" t="inlineStr">
        <is>
          <t>157683066</t>
        </is>
      </c>
      <c r="D867" s="7" t="inlineStr">
        <is>
          <t>157683066-rawlinen/white</t>
        </is>
      </c>
      <c r="E867" s="7" t="inlineStr">
        <is>
          <t>Metal Vent Tech Short Sleeve BLK/BLK XS</t>
        </is>
      </c>
      <c r="F867" s="7" t="inlineStr">
        <is>
          <t>$78.00</t>
        </is>
      </c>
      <c r="G867" s="7" t="inlineStr">
        <is>
          <t>$39.00</t>
        </is>
      </c>
      <c r="H867" s="7" t="inlineStr">
        <is>
          <t>Raw Linen/White</t>
        </is>
      </c>
      <c r="I867" s="7">
        <f>IMAGE("https://images.lululemon.com/is/image/lululemon/48532",1)</f>
        <v/>
      </c>
      <c r="J867" s="7" t="inlineStr">
        <is>
          <t>XXL</t>
        </is>
      </c>
      <c r="K867" s="7" t="inlineStr">
        <is>
          <t>51/5173</t>
        </is>
      </c>
      <c r="L867" s="7" t="inlineStr">
        <is>
          <t>Yes</t>
        </is>
      </c>
      <c r="M867" s="7" t="inlineStr">
        <is>
          <t>Your potential—unlocked. The Metal Vent Tech collection uses seamless construction to minimize distractions from chafe and sweat so you can stay laser focused.</t>
        </is>
      </c>
      <c r="N867" s="7" t="inlineStr">
        <is>
          <t>Metal-Vent-Tech-Short-Sleeve-Shirt-3</t>
        </is>
      </c>
      <c r="O867" s="7" t="inlineStr"/>
    </row>
    <row r="868" ht="80" customHeight="1">
      <c r="A868" s="4">
        <f>IMAGE("https://images.lululemon.com/is/image/lululemon/LM3FG2S_0572_1?wid=320&amp;op_usm=0.8",1)</f>
        <v/>
      </c>
      <c r="B868" s="4" t="inlineStr">
        <is>
          <t>Metal Vent Tech Short-Sleeve Shirt</t>
        </is>
      </c>
      <c r="C868" s="4" t="inlineStr">
        <is>
          <t>158027705</t>
        </is>
      </c>
      <c r="D868" s="4" t="inlineStr">
        <is>
          <t>158027705-foggreen/pelican</t>
        </is>
      </c>
      <c r="E868" s="4" t="inlineStr">
        <is>
          <t>Metal Vent Tech Short Sleeve BLK/BLK XS</t>
        </is>
      </c>
      <c r="F868" s="4" t="inlineStr">
        <is>
          <t>$78.00</t>
        </is>
      </c>
      <c r="G868" s="4" t="inlineStr">
        <is>
          <t>$39.00</t>
        </is>
      </c>
      <c r="H868" s="4" t="inlineStr">
        <is>
          <t>Fog Green/Pelican</t>
        </is>
      </c>
      <c r="I868" s="4">
        <f>IMAGE("https://images.lululemon.com/is/image/lululemon/72659",1)</f>
        <v/>
      </c>
      <c r="J868" s="4" t="inlineStr">
        <is>
          <t>S</t>
        </is>
      </c>
      <c r="K868" s="4" t="inlineStr">
        <is>
          <t>85/5173</t>
        </is>
      </c>
      <c r="L868" s="4" t="inlineStr">
        <is>
          <t>Yes</t>
        </is>
      </c>
      <c r="M868" s="4" t="inlineStr">
        <is>
          <t>Your potential—unlocked. The Metal Vent Tech collection uses seamless construction to minimize distractions from chafe and sweat so you can stay laser focused.</t>
        </is>
      </c>
      <c r="N868" s="4" t="inlineStr">
        <is>
          <t>Metal-Vent-Tech-Short-Sleeve-Shirt-3</t>
        </is>
      </c>
      <c r="O868" s="4" t="inlineStr"/>
    </row>
    <row r="869" ht="80" customHeight="1">
      <c r="A869" s="7">
        <f>IMAGE("https://images.lululemon.com/is/image/lululemon/LM3FG2S_0572_1?wid=320&amp;op_usm=0.8",1)</f>
        <v/>
      </c>
      <c r="B869" s="7" t="inlineStr">
        <is>
          <t>Metal Vent Tech Short-Sleeve Shirt</t>
        </is>
      </c>
      <c r="C869" s="7" t="inlineStr">
        <is>
          <t>158027687</t>
        </is>
      </c>
      <c r="D869" s="7" t="inlineStr">
        <is>
          <t>158027687-foggreen/pelican</t>
        </is>
      </c>
      <c r="E869" s="7" t="inlineStr">
        <is>
          <t>Metal Vent Tech Short Sleeve BLK/BLK XS</t>
        </is>
      </c>
      <c r="F869" s="7" t="inlineStr">
        <is>
          <t>$78.00</t>
        </is>
      </c>
      <c r="G869" s="7" t="inlineStr">
        <is>
          <t>$39.00</t>
        </is>
      </c>
      <c r="H869" s="7" t="inlineStr">
        <is>
          <t>Fog Green/Pelican</t>
        </is>
      </c>
      <c r="I869" s="7">
        <f>IMAGE("https://images.lululemon.com/is/image/lululemon/72659",1)</f>
        <v/>
      </c>
      <c r="J869" s="7" t="inlineStr">
        <is>
          <t>M</t>
        </is>
      </c>
      <c r="K869" s="7" t="inlineStr">
        <is>
          <t>258/5173</t>
        </is>
      </c>
      <c r="L869" s="7" t="inlineStr">
        <is>
          <t>Yes</t>
        </is>
      </c>
      <c r="M869" s="7" t="inlineStr">
        <is>
          <t>Your potential—unlocked. The Metal Vent Tech collection uses seamless construction to minimize distractions from chafe and sweat so you can stay laser focused.</t>
        </is>
      </c>
      <c r="N869" s="7" t="inlineStr">
        <is>
          <t>Metal-Vent-Tech-Short-Sleeve-Shirt-3</t>
        </is>
      </c>
      <c r="O869" s="7" t="inlineStr"/>
    </row>
    <row r="870" ht="80" customHeight="1">
      <c r="A870" s="4">
        <f>IMAGE("https://images.lululemon.com/is/image/lululemon/LM3FG2S_0572_1?wid=320&amp;op_usm=0.8",1)</f>
        <v/>
      </c>
      <c r="B870" s="4" t="inlineStr">
        <is>
          <t>Metal Vent Tech Short-Sleeve Shirt</t>
        </is>
      </c>
      <c r="C870" s="4" t="inlineStr">
        <is>
          <t>158027663</t>
        </is>
      </c>
      <c r="D870" s="4" t="inlineStr">
        <is>
          <t>158027663-foggreen/pelican</t>
        </is>
      </c>
      <c r="E870" s="4" t="inlineStr">
        <is>
          <t>Metal Vent Tech Short Sleeve BLK/BLK XS</t>
        </is>
      </c>
      <c r="F870" s="4" t="inlineStr">
        <is>
          <t>$78.00</t>
        </is>
      </c>
      <c r="G870" s="4" t="inlineStr">
        <is>
          <t>$39.00</t>
        </is>
      </c>
      <c r="H870" s="4" t="inlineStr">
        <is>
          <t>Fog Green/Pelican</t>
        </is>
      </c>
      <c r="I870" s="4">
        <f>IMAGE("https://images.lululemon.com/is/image/lululemon/72659",1)</f>
        <v/>
      </c>
      <c r="J870" s="4" t="inlineStr">
        <is>
          <t>L</t>
        </is>
      </c>
      <c r="K870" s="4" t="inlineStr">
        <is>
          <t>342/5173</t>
        </is>
      </c>
      <c r="L870" s="4" t="inlineStr">
        <is>
          <t>Yes</t>
        </is>
      </c>
      <c r="M870" s="4" t="inlineStr">
        <is>
          <t>Your potential—unlocked. The Metal Vent Tech collection uses seamless construction to minimize distractions from chafe and sweat so you can stay laser focused.</t>
        </is>
      </c>
      <c r="N870" s="4" t="inlineStr">
        <is>
          <t>Metal-Vent-Tech-Short-Sleeve-Shirt-3</t>
        </is>
      </c>
      <c r="O870" s="4" t="inlineStr"/>
    </row>
    <row r="871" ht="80" customHeight="1">
      <c r="A871" s="7">
        <f>IMAGE("https://images.lululemon.com/is/image/lululemon/LM3FG2S_0572_1?wid=320&amp;op_usm=0.8",1)</f>
        <v/>
      </c>
      <c r="B871" s="7" t="inlineStr">
        <is>
          <t>Metal Vent Tech Short-Sleeve Shirt</t>
        </is>
      </c>
      <c r="C871" s="7" t="inlineStr">
        <is>
          <t>158027728</t>
        </is>
      </c>
      <c r="D871" s="7" t="inlineStr">
        <is>
          <t>158027728-foggreen/pelican</t>
        </is>
      </c>
      <c r="E871" s="7" t="inlineStr">
        <is>
          <t>Metal Vent Tech Short Sleeve BLK/BLK XS</t>
        </is>
      </c>
      <c r="F871" s="7" t="inlineStr">
        <is>
          <t>$78.00</t>
        </is>
      </c>
      <c r="G871" s="7" t="inlineStr">
        <is>
          <t>$39.00</t>
        </is>
      </c>
      <c r="H871" s="7" t="inlineStr">
        <is>
          <t>Fog Green/Pelican</t>
        </is>
      </c>
      <c r="I871" s="7">
        <f>IMAGE("https://images.lululemon.com/is/image/lululemon/72659",1)</f>
        <v/>
      </c>
      <c r="J871" s="7" t="inlineStr">
        <is>
          <t>XL</t>
        </is>
      </c>
      <c r="K871" s="7" t="inlineStr">
        <is>
          <t>225/5173</t>
        </is>
      </c>
      <c r="L871" s="7" t="inlineStr">
        <is>
          <t>Yes</t>
        </is>
      </c>
      <c r="M871" s="7" t="inlineStr">
        <is>
          <t>Your potential—unlocked. The Metal Vent Tech collection uses seamless construction to minimize distractions from chafe and sweat so you can stay laser focused.</t>
        </is>
      </c>
      <c r="N871" s="7" t="inlineStr">
        <is>
          <t>Metal-Vent-Tech-Short-Sleeve-Shirt-3</t>
        </is>
      </c>
      <c r="O871" s="7" t="inlineStr"/>
    </row>
    <row r="872" ht="80" customHeight="1">
      <c r="A872" s="4">
        <f>IMAGE("https://images.lululemon.com/is/image/lululemon/LM3FG2S_0572_1?wid=320&amp;op_usm=0.8",1)</f>
        <v/>
      </c>
      <c r="B872" s="4" t="inlineStr">
        <is>
          <t>Metal Vent Tech Short-Sleeve Shirt</t>
        </is>
      </c>
      <c r="C872" s="4" t="inlineStr">
        <is>
          <t>158027772</t>
        </is>
      </c>
      <c r="D872" s="4" t="inlineStr">
        <is>
          <t>158027772-foggreen/pelican</t>
        </is>
      </c>
      <c r="E872" s="4" t="inlineStr">
        <is>
          <t>Metal Vent Tech Short Sleeve BLK/BLK XS</t>
        </is>
      </c>
      <c r="F872" s="4" t="inlineStr">
        <is>
          <t>$78.00</t>
        </is>
      </c>
      <c r="G872" s="4" t="inlineStr">
        <is>
          <t>$39.00</t>
        </is>
      </c>
      <c r="H872" s="4" t="inlineStr">
        <is>
          <t>Fog Green/Pelican</t>
        </is>
      </c>
      <c r="I872" s="4">
        <f>IMAGE("https://images.lululemon.com/is/image/lululemon/72659",1)</f>
        <v/>
      </c>
      <c r="J872" s="4" t="inlineStr">
        <is>
          <t>XXL</t>
        </is>
      </c>
      <c r="K872" s="4" t="inlineStr">
        <is>
          <t>71/5173</t>
        </is>
      </c>
      <c r="L872" s="4" t="inlineStr">
        <is>
          <t>Yes</t>
        </is>
      </c>
      <c r="M872" s="4" t="inlineStr">
        <is>
          <t>Your potential—unlocked. The Metal Vent Tech collection uses seamless construction to minimize distractions from chafe and sweat so you can stay laser focused.</t>
        </is>
      </c>
      <c r="N872" s="4" t="inlineStr">
        <is>
          <t>Metal-Vent-Tech-Short-Sleeve-Shirt-3</t>
        </is>
      </c>
      <c r="O872" s="4" t="inlineStr"/>
    </row>
    <row r="873" ht="80" customHeight="1">
      <c r="A873" s="7">
        <f>IMAGE("https://images.lululemon.com/is/image/lululemon/LM3FG2S_0572_1?wid=320&amp;op_usm=0.8",1)</f>
        <v/>
      </c>
      <c r="B873" s="7" t="inlineStr">
        <is>
          <t>Metal Vent Tech Short-Sleeve Shirt</t>
        </is>
      </c>
      <c r="C873" s="7" t="inlineStr">
        <is>
          <t>158027452</t>
        </is>
      </c>
      <c r="D873" s="7" t="inlineStr">
        <is>
          <t>158027452-jewelledmagenta/plum</t>
        </is>
      </c>
      <c r="E873" s="7" t="inlineStr">
        <is>
          <t>Metal Vent Tech Short Sleeve BLK/BLK XS</t>
        </is>
      </c>
      <c r="F873" s="7" t="inlineStr">
        <is>
          <t>$78.00</t>
        </is>
      </c>
      <c r="G873" s="7" t="inlineStr">
        <is>
          <t>$39.00</t>
        </is>
      </c>
      <c r="H873" s="7" t="inlineStr">
        <is>
          <t>Jewelled Magenta/Plum</t>
        </is>
      </c>
      <c r="I873" s="7">
        <f>IMAGE("https://images.lululemon.com/is/image/lululemon/72655",1)</f>
        <v/>
      </c>
      <c r="J873" s="7" t="inlineStr">
        <is>
          <t>S</t>
        </is>
      </c>
      <c r="K873" s="7" t="inlineStr">
        <is>
          <t>20/5173</t>
        </is>
      </c>
      <c r="L873" s="7" t="inlineStr">
        <is>
          <t>Yes</t>
        </is>
      </c>
      <c r="M873" s="7" t="inlineStr">
        <is>
          <t>Your potential—unlocked. The Metal Vent Tech collection uses seamless construction to minimize distractions from chafe and sweat so you can stay laser focused.</t>
        </is>
      </c>
      <c r="N873" s="7" t="inlineStr">
        <is>
          <t>Metal-Vent-Tech-Short-Sleeve-Shirt-3</t>
        </is>
      </c>
      <c r="O873" s="7" t="inlineStr"/>
    </row>
    <row r="874" ht="80" customHeight="1">
      <c r="A874" s="4">
        <f>IMAGE("https://images.lululemon.com/is/image/lululemon/LM3FG2S_0572_1?wid=320&amp;op_usm=0.8",1)</f>
        <v/>
      </c>
      <c r="B874" s="4" t="inlineStr">
        <is>
          <t>Metal Vent Tech Short-Sleeve Shirt</t>
        </is>
      </c>
      <c r="C874" s="4" t="inlineStr">
        <is>
          <t>158027436</t>
        </is>
      </c>
      <c r="D874" s="4" t="inlineStr">
        <is>
          <t>158027436-jewelledmagenta/plum</t>
        </is>
      </c>
      <c r="E874" s="4" t="inlineStr">
        <is>
          <t>Metal Vent Tech Short Sleeve BLK/BLK XS</t>
        </is>
      </c>
      <c r="F874" s="4" t="inlineStr">
        <is>
          <t>$78.00</t>
        </is>
      </c>
      <c r="G874" s="4" t="inlineStr">
        <is>
          <t>$39.00</t>
        </is>
      </c>
      <c r="H874" s="4" t="inlineStr">
        <is>
          <t>Jewelled Magenta/Plum</t>
        </is>
      </c>
      <c r="I874" s="4">
        <f>IMAGE("https://images.lululemon.com/is/image/lululemon/72655",1)</f>
        <v/>
      </c>
      <c r="J874" s="4" t="inlineStr">
        <is>
          <t>M</t>
        </is>
      </c>
      <c r="K874" s="4" t="inlineStr">
        <is>
          <t>58/5173</t>
        </is>
      </c>
      <c r="L874" s="4" t="inlineStr">
        <is>
          <t>Yes</t>
        </is>
      </c>
      <c r="M874" s="4" t="inlineStr">
        <is>
          <t>Your potential—unlocked. The Metal Vent Tech collection uses seamless construction to minimize distractions from chafe and sweat so you can stay laser focused.</t>
        </is>
      </c>
      <c r="N874" s="4" t="inlineStr">
        <is>
          <t>Metal-Vent-Tech-Short-Sleeve-Shirt-3</t>
        </is>
      </c>
      <c r="O874" s="4" t="inlineStr"/>
    </row>
    <row r="875" ht="80" customHeight="1">
      <c r="A875" s="7">
        <f>IMAGE("https://images.lululemon.com/is/image/lululemon/LM3FG2S_0572_1?wid=320&amp;op_usm=0.8",1)</f>
        <v/>
      </c>
      <c r="B875" s="7" t="inlineStr">
        <is>
          <t>Metal Vent Tech Short-Sleeve Shirt</t>
        </is>
      </c>
      <c r="C875" s="7" t="inlineStr">
        <is>
          <t>158027415</t>
        </is>
      </c>
      <c r="D875" s="7" t="inlineStr">
        <is>
          <t>158027415-jewelledmagenta/plum</t>
        </is>
      </c>
      <c r="E875" s="7" t="inlineStr">
        <is>
          <t>Metal Vent Tech Short Sleeve BLK/BLK XS</t>
        </is>
      </c>
      <c r="F875" s="7" t="inlineStr">
        <is>
          <t>$78.00</t>
        </is>
      </c>
      <c r="G875" s="7" t="inlineStr">
        <is>
          <t>$39.00</t>
        </is>
      </c>
      <c r="H875" s="7" t="inlineStr">
        <is>
          <t>Jewelled Magenta/Plum</t>
        </is>
      </c>
      <c r="I875" s="7">
        <f>IMAGE("https://images.lululemon.com/is/image/lululemon/72655",1)</f>
        <v/>
      </c>
      <c r="J875" s="7" t="inlineStr">
        <is>
          <t>L</t>
        </is>
      </c>
      <c r="K875" s="7" t="inlineStr">
        <is>
          <t>77/5173</t>
        </is>
      </c>
      <c r="L875" s="7" t="inlineStr">
        <is>
          <t>Yes</t>
        </is>
      </c>
      <c r="M875" s="7" t="inlineStr">
        <is>
          <t>Your potential—unlocked. The Metal Vent Tech collection uses seamless construction to minimize distractions from chafe and sweat so you can stay laser focused.</t>
        </is>
      </c>
      <c r="N875" s="7" t="inlineStr">
        <is>
          <t>Metal-Vent-Tech-Short-Sleeve-Shirt-3</t>
        </is>
      </c>
      <c r="O875" s="7" t="inlineStr"/>
    </row>
    <row r="876" ht="80" customHeight="1">
      <c r="A876" s="4">
        <f>IMAGE("https://images.lululemon.com/is/image/lululemon/LM3FG2S_0572_1?wid=320&amp;op_usm=0.8",1)</f>
        <v/>
      </c>
      <c r="B876" s="4" t="inlineStr">
        <is>
          <t>Metal Vent Tech Short-Sleeve Shirt</t>
        </is>
      </c>
      <c r="C876" s="4" t="inlineStr">
        <is>
          <t>158027476</t>
        </is>
      </c>
      <c r="D876" s="4" t="inlineStr">
        <is>
          <t>158027476-jewelledmagenta/plum</t>
        </is>
      </c>
      <c r="E876" s="4" t="inlineStr">
        <is>
          <t>Metal Vent Tech Short Sleeve BLK/BLK XS</t>
        </is>
      </c>
      <c r="F876" s="4" t="inlineStr">
        <is>
          <t>$78.00</t>
        </is>
      </c>
      <c r="G876" s="4" t="inlineStr">
        <is>
          <t>$39.00</t>
        </is>
      </c>
      <c r="H876" s="4" t="inlineStr">
        <is>
          <t>Jewelled Magenta/Plum</t>
        </is>
      </c>
      <c r="I876" s="4">
        <f>IMAGE("https://images.lululemon.com/is/image/lululemon/72655",1)</f>
        <v/>
      </c>
      <c r="J876" s="4" t="inlineStr">
        <is>
          <t>XL</t>
        </is>
      </c>
      <c r="K876" s="4" t="inlineStr">
        <is>
          <t>53/5173</t>
        </is>
      </c>
      <c r="L876" s="4" t="inlineStr">
        <is>
          <t>Yes</t>
        </is>
      </c>
      <c r="M876" s="4" t="inlineStr">
        <is>
          <t>Your potential—unlocked. The Metal Vent Tech collection uses seamless construction to minimize distractions from chafe and sweat so you can stay laser focused.</t>
        </is>
      </c>
      <c r="N876" s="4" t="inlineStr">
        <is>
          <t>Metal-Vent-Tech-Short-Sleeve-Shirt-3</t>
        </is>
      </c>
      <c r="O876" s="4" t="inlineStr"/>
    </row>
    <row r="877" ht="80" customHeight="1">
      <c r="A877" s="7">
        <f>IMAGE("https://images.lululemon.com/is/image/lululemon/LM3FG2S_0572_1?wid=320&amp;op_usm=0.8",1)</f>
        <v/>
      </c>
      <c r="B877" s="7" t="inlineStr">
        <is>
          <t>Metal Vent Tech Short-Sleeve Shirt</t>
        </is>
      </c>
      <c r="C877" s="7" t="inlineStr">
        <is>
          <t>158027521</t>
        </is>
      </c>
      <c r="D877" s="7" t="inlineStr">
        <is>
          <t>158027521-jewelledmagenta/plum</t>
        </is>
      </c>
      <c r="E877" s="7" t="inlineStr">
        <is>
          <t>Metal Vent Tech Short Sleeve BLK/BLK XS</t>
        </is>
      </c>
      <c r="F877" s="7" t="inlineStr">
        <is>
          <t>$78.00</t>
        </is>
      </c>
      <c r="G877" s="7" t="inlineStr">
        <is>
          <t>$39.00</t>
        </is>
      </c>
      <c r="H877" s="7" t="inlineStr">
        <is>
          <t>Jewelled Magenta/Plum</t>
        </is>
      </c>
      <c r="I877" s="7">
        <f>IMAGE("https://images.lululemon.com/is/image/lululemon/72655",1)</f>
        <v/>
      </c>
      <c r="J877" s="7" t="inlineStr">
        <is>
          <t>XXL</t>
        </is>
      </c>
      <c r="K877" s="7" t="inlineStr">
        <is>
          <t>15/5173</t>
        </is>
      </c>
      <c r="L877" s="7" t="inlineStr">
        <is>
          <t>Yes</t>
        </is>
      </c>
      <c r="M877" s="7" t="inlineStr">
        <is>
          <t>Your potential—unlocked. The Metal Vent Tech collection uses seamless construction to minimize distractions from chafe and sweat so you can stay laser focused.</t>
        </is>
      </c>
      <c r="N877" s="7" t="inlineStr">
        <is>
          <t>Metal-Vent-Tech-Short-Sleeve-Shirt-3</t>
        </is>
      </c>
      <c r="O877" s="7" t="inlineStr"/>
    </row>
    <row r="878" ht="80" customHeight="1">
      <c r="A878" s="4">
        <f>IMAGE("https://images.lululemon.com/is/image/lululemon/LM3FG2S_0572_1?wid=320&amp;op_usm=0.8",1)</f>
        <v/>
      </c>
      <c r="B878" s="4" t="inlineStr">
        <is>
          <t>Metal Vent Tech Short-Sleeve Shirt</t>
        </is>
      </c>
      <c r="C878" s="4" t="inlineStr">
        <is>
          <t>158027579</t>
        </is>
      </c>
      <c r="D878" s="4" t="inlineStr">
        <is>
          <t>158027579-pelican/cornflower</t>
        </is>
      </c>
      <c r="E878" s="4" t="inlineStr">
        <is>
          <t>Metal Vent Tech Short Sleeve BLK/BLK XS</t>
        </is>
      </c>
      <c r="F878" s="4" t="inlineStr">
        <is>
          <t>$78.00</t>
        </is>
      </c>
      <c r="G878" s="4" t="inlineStr">
        <is>
          <t>$39.00</t>
        </is>
      </c>
      <c r="H878" s="4" t="inlineStr">
        <is>
          <t>Pelican/Cornflower</t>
        </is>
      </c>
      <c r="I878" s="4">
        <f>IMAGE("https://images.lululemon.com/is/image/lululemon/72657",1)</f>
        <v/>
      </c>
      <c r="J878" s="4" t="inlineStr">
        <is>
          <t>S</t>
        </is>
      </c>
      <c r="K878" s="4" t="inlineStr">
        <is>
          <t>16/5173</t>
        </is>
      </c>
      <c r="L878" s="4" t="inlineStr">
        <is>
          <t>Yes</t>
        </is>
      </c>
      <c r="M878" s="4" t="inlineStr">
        <is>
          <t>Your potential—unlocked. The Metal Vent Tech collection uses seamless construction to minimize distractions from chafe and sweat so you can stay laser focused.</t>
        </is>
      </c>
      <c r="N878" s="4" t="inlineStr">
        <is>
          <t>Metal-Vent-Tech-Short-Sleeve-Shirt-3</t>
        </is>
      </c>
      <c r="O878" s="4" t="inlineStr"/>
    </row>
    <row r="879" ht="80" customHeight="1">
      <c r="A879" s="7">
        <f>IMAGE("https://images.lululemon.com/is/image/lululemon/LM3FG2S_0572_1?wid=320&amp;op_usm=0.8",1)</f>
        <v/>
      </c>
      <c r="B879" s="7" t="inlineStr">
        <is>
          <t>Metal Vent Tech Short-Sleeve Shirt</t>
        </is>
      </c>
      <c r="C879" s="7" t="inlineStr">
        <is>
          <t>158027561</t>
        </is>
      </c>
      <c r="D879" s="7" t="inlineStr">
        <is>
          <t>158027561-pelican/cornflower</t>
        </is>
      </c>
      <c r="E879" s="7" t="inlineStr">
        <is>
          <t>Metal Vent Tech Short Sleeve BLK/BLK XS</t>
        </is>
      </c>
      <c r="F879" s="7" t="inlineStr">
        <is>
          <t>$78.00</t>
        </is>
      </c>
      <c r="G879" s="7" t="inlineStr">
        <is>
          <t>$39.00</t>
        </is>
      </c>
      <c r="H879" s="7" t="inlineStr">
        <is>
          <t>Pelican/Cornflower</t>
        </is>
      </c>
      <c r="I879" s="7">
        <f>IMAGE("https://images.lululemon.com/is/image/lululemon/72657",1)</f>
        <v/>
      </c>
      <c r="J879" s="7" t="inlineStr">
        <is>
          <t>M</t>
        </is>
      </c>
      <c r="K879" s="7" t="inlineStr">
        <is>
          <t>54/5173</t>
        </is>
      </c>
      <c r="L879" s="7" t="inlineStr">
        <is>
          <t>Yes</t>
        </is>
      </c>
      <c r="M879" s="7" t="inlineStr">
        <is>
          <t>Your potential—unlocked. The Metal Vent Tech collection uses seamless construction to minimize distractions from chafe and sweat so you can stay laser focused.</t>
        </is>
      </c>
      <c r="N879" s="7" t="inlineStr">
        <is>
          <t>Metal-Vent-Tech-Short-Sleeve-Shirt-3</t>
        </is>
      </c>
      <c r="O879" s="7" t="inlineStr"/>
    </row>
    <row r="880" ht="80" customHeight="1">
      <c r="A880" s="4">
        <f>IMAGE("https://images.lululemon.com/is/image/lululemon/LM3FG2S_0572_1?wid=320&amp;op_usm=0.8",1)</f>
        <v/>
      </c>
      <c r="B880" s="4" t="inlineStr">
        <is>
          <t>Metal Vent Tech Short-Sleeve Shirt</t>
        </is>
      </c>
      <c r="C880" s="4" t="inlineStr">
        <is>
          <t>158027541</t>
        </is>
      </c>
      <c r="D880" s="4" t="inlineStr">
        <is>
          <t>158027541-pelican/cornflower</t>
        </is>
      </c>
      <c r="E880" s="4" t="inlineStr">
        <is>
          <t>Metal Vent Tech Short Sleeve BLK/BLK XS</t>
        </is>
      </c>
      <c r="F880" s="4" t="inlineStr">
        <is>
          <t>$78.00</t>
        </is>
      </c>
      <c r="G880" s="4" t="inlineStr">
        <is>
          <t>$39.00</t>
        </is>
      </c>
      <c r="H880" s="4" t="inlineStr">
        <is>
          <t>Pelican/Cornflower</t>
        </is>
      </c>
      <c r="I880" s="4">
        <f>IMAGE("https://images.lululemon.com/is/image/lululemon/72657",1)</f>
        <v/>
      </c>
      <c r="J880" s="4" t="inlineStr">
        <is>
          <t>L</t>
        </is>
      </c>
      <c r="K880" s="4" t="inlineStr">
        <is>
          <t>76/5173</t>
        </is>
      </c>
      <c r="L880" s="4" t="inlineStr">
        <is>
          <t>Yes</t>
        </is>
      </c>
      <c r="M880" s="4" t="inlineStr">
        <is>
          <t>Your potential—unlocked. The Metal Vent Tech collection uses seamless construction to minimize distractions from chafe and sweat so you can stay laser focused.</t>
        </is>
      </c>
      <c r="N880" s="4" t="inlineStr">
        <is>
          <t>Metal-Vent-Tech-Short-Sleeve-Shirt-3</t>
        </is>
      </c>
      <c r="O880" s="4" t="inlineStr"/>
    </row>
    <row r="881" ht="80" customHeight="1">
      <c r="A881" s="7">
        <f>IMAGE("https://images.lululemon.com/is/image/lululemon/LM3FG2S_0572_1?wid=320&amp;op_usm=0.8",1)</f>
        <v/>
      </c>
      <c r="B881" s="7" t="inlineStr">
        <is>
          <t>Metal Vent Tech Short-Sleeve Shirt</t>
        </is>
      </c>
      <c r="C881" s="7" t="inlineStr">
        <is>
          <t>158027598</t>
        </is>
      </c>
      <c r="D881" s="7" t="inlineStr">
        <is>
          <t>158027598-pelican/cornflower</t>
        </is>
      </c>
      <c r="E881" s="7" t="inlineStr">
        <is>
          <t>Metal Vent Tech Short Sleeve BLK/BLK XS</t>
        </is>
      </c>
      <c r="F881" s="7" t="inlineStr">
        <is>
          <t>$78.00</t>
        </is>
      </c>
      <c r="G881" s="7" t="inlineStr">
        <is>
          <t>$39.00</t>
        </is>
      </c>
      <c r="H881" s="7" t="inlineStr">
        <is>
          <t>Pelican/Cornflower</t>
        </is>
      </c>
      <c r="I881" s="7">
        <f>IMAGE("https://images.lululemon.com/is/image/lululemon/72657",1)</f>
        <v/>
      </c>
      <c r="J881" s="7" t="inlineStr">
        <is>
          <t>XL</t>
        </is>
      </c>
      <c r="K881" s="7" t="inlineStr">
        <is>
          <t>52/5173</t>
        </is>
      </c>
      <c r="L881" s="7" t="inlineStr">
        <is>
          <t>Yes</t>
        </is>
      </c>
      <c r="M881" s="7" t="inlineStr">
        <is>
          <t>Your potential—unlocked. The Metal Vent Tech collection uses seamless construction to minimize distractions from chafe and sweat so you can stay laser focused.</t>
        </is>
      </c>
      <c r="N881" s="7" t="inlineStr">
        <is>
          <t>Metal-Vent-Tech-Short-Sleeve-Shirt-3</t>
        </is>
      </c>
      <c r="O881" s="7" t="inlineStr"/>
    </row>
    <row r="882" ht="80" customHeight="1">
      <c r="A882" s="4">
        <f>IMAGE("https://images.lululemon.com/is/image/lululemon/LM3FG2S_0572_1?wid=320&amp;op_usm=0.8",1)</f>
        <v/>
      </c>
      <c r="B882" s="4" t="inlineStr">
        <is>
          <t>Metal Vent Tech Short-Sleeve Shirt</t>
        </is>
      </c>
      <c r="C882" s="4" t="inlineStr">
        <is>
          <t>158027642</t>
        </is>
      </c>
      <c r="D882" s="4" t="inlineStr">
        <is>
          <t>158027642-pelican/cornflower</t>
        </is>
      </c>
      <c r="E882" s="4" t="inlineStr">
        <is>
          <t>Metal Vent Tech Short Sleeve BLK/BLK XS</t>
        </is>
      </c>
      <c r="F882" s="4" t="inlineStr">
        <is>
          <t>$78.00</t>
        </is>
      </c>
      <c r="G882" s="4" t="inlineStr">
        <is>
          <t>$39.00</t>
        </is>
      </c>
      <c r="H882" s="4" t="inlineStr">
        <is>
          <t>Pelican/Cornflower</t>
        </is>
      </c>
      <c r="I882" s="4">
        <f>IMAGE("https://images.lululemon.com/is/image/lululemon/72657",1)</f>
        <v/>
      </c>
      <c r="J882" s="4" t="inlineStr">
        <is>
          <t>XXL</t>
        </is>
      </c>
      <c r="K882" s="4" t="inlineStr">
        <is>
          <t>19/5173</t>
        </is>
      </c>
      <c r="L882" s="4" t="inlineStr">
        <is>
          <t>Yes</t>
        </is>
      </c>
      <c r="M882" s="4" t="inlineStr">
        <is>
          <t>Your potential—unlocked. The Metal Vent Tech collection uses seamless construction to minimize distractions from chafe and sweat so you can stay laser focused.</t>
        </is>
      </c>
      <c r="N882" s="4" t="inlineStr">
        <is>
          <t>Metal-Vent-Tech-Short-Sleeve-Shirt-3</t>
        </is>
      </c>
      <c r="O882" s="4" t="inlineStr"/>
    </row>
    <row r="883" ht="80" customHeight="1">
      <c r="A883" s="7">
        <f>IMAGE("https://images.lululemon.com/is/image/lululemon/LM3FG2S_0572_1?wid=320&amp;op_usm=0.8",1)</f>
        <v/>
      </c>
      <c r="B883" s="7" t="inlineStr">
        <is>
          <t>Metal Vent Tech Short-Sleeve Shirt</t>
        </is>
      </c>
      <c r="C883" s="7" t="inlineStr">
        <is>
          <t>158029356</t>
        </is>
      </c>
      <c r="D883" s="7" t="inlineStr">
        <is>
          <t>158029356-dovegrey/warmashgrey</t>
        </is>
      </c>
      <c r="E883" s="7" t="inlineStr">
        <is>
          <t>Metal Vent Tech Short Sleeve BLK/BLK XS</t>
        </is>
      </c>
      <c r="F883" s="7" t="inlineStr">
        <is>
          <t>$78.00</t>
        </is>
      </c>
      <c r="G883" s="7" t="inlineStr">
        <is>
          <t>$39.00</t>
        </is>
      </c>
      <c r="H883" s="7" t="inlineStr">
        <is>
          <t>Dove Grey/Warm Ash Grey</t>
        </is>
      </c>
      <c r="I883" s="7">
        <f>IMAGE("https://images.lululemon.com/is/image/lululemon/72670",1)</f>
        <v/>
      </c>
      <c r="J883" s="7" t="inlineStr">
        <is>
          <t>S</t>
        </is>
      </c>
      <c r="K883" s="7" t="inlineStr">
        <is>
          <t>15/5173</t>
        </is>
      </c>
      <c r="L883" s="7" t="inlineStr">
        <is>
          <t>Yes</t>
        </is>
      </c>
      <c r="M883" s="7" t="inlineStr">
        <is>
          <t>Your potential—unlocked. The Metal Vent Tech collection uses seamless construction to minimize distractions from chafe and sweat so you can stay laser focused.</t>
        </is>
      </c>
      <c r="N883" s="7" t="inlineStr">
        <is>
          <t>Metal-Vent-Tech-Short-Sleeve-Shirt-3</t>
        </is>
      </c>
      <c r="O883" s="7" t="inlineStr"/>
    </row>
    <row r="884" ht="80" customHeight="1">
      <c r="A884" s="4">
        <f>IMAGE("https://images.lululemon.com/is/image/lululemon/LM3FG2S_0572_1?wid=320&amp;op_usm=0.8",1)</f>
        <v/>
      </c>
      <c r="B884" s="4" t="inlineStr">
        <is>
          <t>Metal Vent Tech Short-Sleeve Shirt</t>
        </is>
      </c>
      <c r="C884" s="4" t="inlineStr">
        <is>
          <t>158029351</t>
        </is>
      </c>
      <c r="D884" s="4" t="inlineStr">
        <is>
          <t>158029351-dovegrey/warmashgrey</t>
        </is>
      </c>
      <c r="E884" s="4" t="inlineStr">
        <is>
          <t>Metal Vent Tech Short Sleeve BLK/BLK XS</t>
        </is>
      </c>
      <c r="F884" s="4" t="inlineStr">
        <is>
          <t>$78.00</t>
        </is>
      </c>
      <c r="G884" s="4" t="inlineStr">
        <is>
          <t>$39.00</t>
        </is>
      </c>
      <c r="H884" s="4" t="inlineStr">
        <is>
          <t>Dove Grey/Warm Ash Grey</t>
        </is>
      </c>
      <c r="I884" s="4">
        <f>IMAGE("https://images.lululemon.com/is/image/lululemon/72670",1)</f>
        <v/>
      </c>
      <c r="J884" s="4" t="inlineStr">
        <is>
          <t>M</t>
        </is>
      </c>
      <c r="K884" s="4" t="inlineStr">
        <is>
          <t>49/5173</t>
        </is>
      </c>
      <c r="L884" s="4" t="inlineStr">
        <is>
          <t>Yes</t>
        </is>
      </c>
      <c r="M884" s="4" t="inlineStr">
        <is>
          <t>Your potential—unlocked. The Metal Vent Tech collection uses seamless construction to minimize distractions from chafe and sweat so you can stay laser focused.</t>
        </is>
      </c>
      <c r="N884" s="4" t="inlineStr">
        <is>
          <t>Metal-Vent-Tech-Short-Sleeve-Shirt-3</t>
        </is>
      </c>
      <c r="O884" s="4" t="inlineStr"/>
    </row>
    <row r="885" ht="80" customHeight="1">
      <c r="A885" s="7">
        <f>IMAGE("https://images.lululemon.com/is/image/lululemon/LM3FG2S_0572_1?wid=320&amp;op_usm=0.8",1)</f>
        <v/>
      </c>
      <c r="B885" s="7" t="inlineStr">
        <is>
          <t>Metal Vent Tech Short-Sleeve Shirt</t>
        </is>
      </c>
      <c r="C885" s="7" t="inlineStr">
        <is>
          <t>158029346</t>
        </is>
      </c>
      <c r="D885" s="7" t="inlineStr">
        <is>
          <t>158029346-dovegrey/warmashgrey</t>
        </is>
      </c>
      <c r="E885" s="7" t="inlineStr">
        <is>
          <t>Metal Vent Tech Short Sleeve BLK/BLK XS</t>
        </is>
      </c>
      <c r="F885" s="7" t="inlineStr">
        <is>
          <t>$78.00</t>
        </is>
      </c>
      <c r="G885" s="7" t="inlineStr">
        <is>
          <t>$39.00</t>
        </is>
      </c>
      <c r="H885" s="7" t="inlineStr">
        <is>
          <t>Dove Grey/Warm Ash Grey</t>
        </is>
      </c>
      <c r="I885" s="7">
        <f>IMAGE("https://images.lululemon.com/is/image/lululemon/72670",1)</f>
        <v/>
      </c>
      <c r="J885" s="7" t="inlineStr">
        <is>
          <t>L</t>
        </is>
      </c>
      <c r="K885" s="7" t="inlineStr">
        <is>
          <t>76/5173</t>
        </is>
      </c>
      <c r="L885" s="7" t="inlineStr">
        <is>
          <t>Yes</t>
        </is>
      </c>
      <c r="M885" s="7" t="inlineStr">
        <is>
          <t>Your potential—unlocked. The Metal Vent Tech collection uses seamless construction to minimize distractions from chafe and sweat so you can stay laser focused.</t>
        </is>
      </c>
      <c r="N885" s="7" t="inlineStr">
        <is>
          <t>Metal-Vent-Tech-Short-Sleeve-Shirt-3</t>
        </is>
      </c>
      <c r="O885" s="7" t="inlineStr"/>
    </row>
    <row r="886" ht="80" customHeight="1">
      <c r="A886" s="4">
        <f>IMAGE("https://images.lululemon.com/is/image/lululemon/LM3FG2S_0572_1?wid=320&amp;op_usm=0.8",1)</f>
        <v/>
      </c>
      <c r="B886" s="4" t="inlineStr">
        <is>
          <t>Metal Vent Tech Short-Sleeve Shirt</t>
        </is>
      </c>
      <c r="C886" s="4" t="inlineStr">
        <is>
          <t>158029362</t>
        </is>
      </c>
      <c r="D886" s="4" t="inlineStr">
        <is>
          <t>158029362-dovegrey/warmashgrey</t>
        </is>
      </c>
      <c r="E886" s="4" t="inlineStr">
        <is>
          <t>Metal Vent Tech Short Sleeve BLK/BLK XS</t>
        </is>
      </c>
      <c r="F886" s="4" t="inlineStr">
        <is>
          <t>$78.00</t>
        </is>
      </c>
      <c r="G886" s="4" t="inlineStr">
        <is>
          <t>$39.00</t>
        </is>
      </c>
      <c r="H886" s="4" t="inlineStr">
        <is>
          <t>Dove Grey/Warm Ash Grey</t>
        </is>
      </c>
      <c r="I886" s="4">
        <f>IMAGE("https://images.lululemon.com/is/image/lululemon/72670",1)</f>
        <v/>
      </c>
      <c r="J886" s="4" t="inlineStr">
        <is>
          <t>XL</t>
        </is>
      </c>
      <c r="K886" s="4" t="inlineStr">
        <is>
          <t>49/5173</t>
        </is>
      </c>
      <c r="L886" s="4" t="inlineStr">
        <is>
          <t>Yes</t>
        </is>
      </c>
      <c r="M886" s="4" t="inlineStr">
        <is>
          <t>Your potential—unlocked. The Metal Vent Tech collection uses seamless construction to minimize distractions from chafe and sweat so you can stay laser focused.</t>
        </is>
      </c>
      <c r="N886" s="4" t="inlineStr">
        <is>
          <t>Metal-Vent-Tech-Short-Sleeve-Shirt-3</t>
        </is>
      </c>
      <c r="O886" s="4" t="inlineStr"/>
    </row>
    <row r="887" ht="80" customHeight="1">
      <c r="A887" s="7">
        <f>IMAGE("https://images.lululemon.com/is/image/lululemon/LM3FG2S_0572_1?wid=320&amp;op_usm=0.8",1)</f>
        <v/>
      </c>
      <c r="B887" s="7" t="inlineStr">
        <is>
          <t>Metal Vent Tech Short-Sleeve Shirt</t>
        </is>
      </c>
      <c r="C887" s="7" t="inlineStr">
        <is>
          <t>158029371</t>
        </is>
      </c>
      <c r="D887" s="7" t="inlineStr">
        <is>
          <t>158029371-dovegrey/warmashgrey</t>
        </is>
      </c>
      <c r="E887" s="7" t="inlineStr">
        <is>
          <t>Metal Vent Tech Short Sleeve BLK/BLK XS</t>
        </is>
      </c>
      <c r="F887" s="7" t="inlineStr">
        <is>
          <t>$78.00</t>
        </is>
      </c>
      <c r="G887" s="7" t="inlineStr">
        <is>
          <t>$39.00</t>
        </is>
      </c>
      <c r="H887" s="7" t="inlineStr">
        <is>
          <t>Dove Grey/Warm Ash Grey</t>
        </is>
      </c>
      <c r="I887" s="7">
        <f>IMAGE("https://images.lululemon.com/is/image/lululemon/72670",1)</f>
        <v/>
      </c>
      <c r="J887" s="7" t="inlineStr">
        <is>
          <t>XXL</t>
        </is>
      </c>
      <c r="K887" s="7" t="inlineStr">
        <is>
          <t>15/5173</t>
        </is>
      </c>
      <c r="L887" s="7" t="inlineStr">
        <is>
          <t>Yes</t>
        </is>
      </c>
      <c r="M887" s="7" t="inlineStr">
        <is>
          <t>Your potential—unlocked. The Metal Vent Tech collection uses seamless construction to minimize distractions from chafe and sweat so you can stay laser focused.</t>
        </is>
      </c>
      <c r="N887" s="7" t="inlineStr">
        <is>
          <t>Metal-Vent-Tech-Short-Sleeve-Shirt-3</t>
        </is>
      </c>
      <c r="O887" s="7" t="inlineStr"/>
    </row>
    <row r="888" ht="80" customHeight="1">
      <c r="A888" s="4">
        <f>IMAGE("https://images.lululemon.com/is/image/lululemon/LM3FG2S_0572_1?wid=320&amp;op_usm=0.8",1)</f>
        <v/>
      </c>
      <c r="B888" s="4" t="inlineStr">
        <is>
          <t>Metal Vent Tech Short-Sleeve Shirt</t>
        </is>
      </c>
      <c r="C888" s="4" t="inlineStr">
        <is>
          <t>158026567</t>
        </is>
      </c>
      <c r="D888" s="4" t="inlineStr">
        <is>
          <t>158026567-grapemist/grapemist</t>
        </is>
      </c>
      <c r="E888" s="4" t="inlineStr">
        <is>
          <t>Metal Vent Tech Short Sleeve BLK/BLK XS</t>
        </is>
      </c>
      <c r="F888" s="4" t="inlineStr">
        <is>
          <t>$78.00</t>
        </is>
      </c>
      <c r="G888" s="4" t="inlineStr">
        <is>
          <t>$39.00</t>
        </is>
      </c>
      <c r="H888" s="4" t="inlineStr">
        <is>
          <t>Grape Mist/Grape Mist</t>
        </is>
      </c>
      <c r="I888" s="4">
        <f>IMAGE("https://images.lululemon.com/is/image/lululemon/38542",1)</f>
        <v/>
      </c>
      <c r="J888" s="4" t="inlineStr">
        <is>
          <t>S</t>
        </is>
      </c>
      <c r="K888" s="4" t="inlineStr">
        <is>
          <t>41/5173</t>
        </is>
      </c>
      <c r="L888" s="4" t="inlineStr">
        <is>
          <t>Yes</t>
        </is>
      </c>
      <c r="M888" s="4" t="inlineStr">
        <is>
          <t>Your potential—unlocked. The Metal Vent Tech collection uses seamless construction to minimize distractions from chafe and sweat so you can stay laser focused.</t>
        </is>
      </c>
      <c r="N888" s="4" t="inlineStr">
        <is>
          <t>Metal-Vent-Tech-Short-Sleeve-Shirt-3</t>
        </is>
      </c>
      <c r="O888" s="4" t="inlineStr"/>
    </row>
    <row r="889" ht="80" customHeight="1">
      <c r="A889" s="7">
        <f>IMAGE("https://images.lululemon.com/is/image/lululemon/LM3FG2S_0572_1?wid=320&amp;op_usm=0.8",1)</f>
        <v/>
      </c>
      <c r="B889" s="7" t="inlineStr">
        <is>
          <t>Metal Vent Tech Short-Sleeve Shirt</t>
        </is>
      </c>
      <c r="C889" s="7" t="inlineStr">
        <is>
          <t>158026538</t>
        </is>
      </c>
      <c r="D889" s="7" t="inlineStr">
        <is>
          <t>158026538-grapemist/grapemist</t>
        </is>
      </c>
      <c r="E889" s="7" t="inlineStr">
        <is>
          <t>Metal Vent Tech Short Sleeve BLK/BLK XS</t>
        </is>
      </c>
      <c r="F889" s="7" t="inlineStr">
        <is>
          <t>$78.00</t>
        </is>
      </c>
      <c r="G889" s="7" t="inlineStr">
        <is>
          <t>$39.00</t>
        </is>
      </c>
      <c r="H889" s="7" t="inlineStr">
        <is>
          <t>Grape Mist/Grape Mist</t>
        </is>
      </c>
      <c r="I889" s="7">
        <f>IMAGE("https://images.lululemon.com/is/image/lululemon/38542",1)</f>
        <v/>
      </c>
      <c r="J889" s="7" t="inlineStr">
        <is>
          <t>M</t>
        </is>
      </c>
      <c r="K889" s="7" t="inlineStr">
        <is>
          <t>124/5173</t>
        </is>
      </c>
      <c r="L889" s="7" t="inlineStr">
        <is>
          <t>Yes</t>
        </is>
      </c>
      <c r="M889" s="7" t="inlineStr">
        <is>
          <t>Your potential—unlocked. The Metal Vent Tech collection uses seamless construction to minimize distractions from chafe and sweat so you can stay laser focused.</t>
        </is>
      </c>
      <c r="N889" s="7" t="inlineStr">
        <is>
          <t>Metal-Vent-Tech-Short-Sleeve-Shirt-3</t>
        </is>
      </c>
      <c r="O889" s="7" t="inlineStr"/>
    </row>
    <row r="890" ht="80" customHeight="1">
      <c r="A890" s="4">
        <f>IMAGE("https://images.lululemon.com/is/image/lululemon/LM3FG2S_0572_1?wid=320&amp;op_usm=0.8",1)</f>
        <v/>
      </c>
      <c r="B890" s="4" t="inlineStr">
        <is>
          <t>Metal Vent Tech Short-Sleeve Shirt</t>
        </is>
      </c>
      <c r="C890" s="4" t="inlineStr">
        <is>
          <t>158026510</t>
        </is>
      </c>
      <c r="D890" s="4" t="inlineStr">
        <is>
          <t>158026510-grapemist/grapemist</t>
        </is>
      </c>
      <c r="E890" s="4" t="inlineStr">
        <is>
          <t>Metal Vent Tech Short Sleeve BLK/BLK XS</t>
        </is>
      </c>
      <c r="F890" s="4" t="inlineStr">
        <is>
          <t>$78.00</t>
        </is>
      </c>
      <c r="G890" s="4" t="inlineStr">
        <is>
          <t>$39.00</t>
        </is>
      </c>
      <c r="H890" s="4" t="inlineStr">
        <is>
          <t>Grape Mist/Grape Mist</t>
        </is>
      </c>
      <c r="I890" s="4">
        <f>IMAGE("https://images.lululemon.com/is/image/lululemon/38542",1)</f>
        <v/>
      </c>
      <c r="J890" s="4" t="inlineStr">
        <is>
          <t>L</t>
        </is>
      </c>
      <c r="K890" s="4" t="inlineStr">
        <is>
          <t>157/5173</t>
        </is>
      </c>
      <c r="L890" s="4" t="inlineStr">
        <is>
          <t>Yes</t>
        </is>
      </c>
      <c r="M890" s="4" t="inlineStr">
        <is>
          <t>Your potential—unlocked. The Metal Vent Tech collection uses seamless construction to minimize distractions from chafe and sweat so you can stay laser focused.</t>
        </is>
      </c>
      <c r="N890" s="4" t="inlineStr">
        <is>
          <t>Metal-Vent-Tech-Short-Sleeve-Shirt-3</t>
        </is>
      </c>
      <c r="O890" s="4" t="inlineStr"/>
    </row>
    <row r="891" ht="80" customHeight="1">
      <c r="A891" s="7">
        <f>IMAGE("https://images.lululemon.com/is/image/lululemon/LM3FG2S_0572_1?wid=320&amp;op_usm=0.8",1)</f>
        <v/>
      </c>
      <c r="B891" s="7" t="inlineStr">
        <is>
          <t>Metal Vent Tech Short-Sleeve Shirt</t>
        </is>
      </c>
      <c r="C891" s="7" t="inlineStr">
        <is>
          <t>158026595</t>
        </is>
      </c>
      <c r="D891" s="7" t="inlineStr">
        <is>
          <t>158026595-grapemist/grapemist</t>
        </is>
      </c>
      <c r="E891" s="7" t="inlineStr">
        <is>
          <t>Metal Vent Tech Short Sleeve BLK/BLK XS</t>
        </is>
      </c>
      <c r="F891" s="7" t="inlineStr">
        <is>
          <t>$78.00</t>
        </is>
      </c>
      <c r="G891" s="7" t="inlineStr">
        <is>
          <t>$39.00</t>
        </is>
      </c>
      <c r="H891" s="7" t="inlineStr">
        <is>
          <t>Grape Mist/Grape Mist</t>
        </is>
      </c>
      <c r="I891" s="7">
        <f>IMAGE("https://images.lululemon.com/is/image/lululemon/38542",1)</f>
        <v/>
      </c>
      <c r="J891" s="7" t="inlineStr">
        <is>
          <t>XL</t>
        </is>
      </c>
      <c r="K891" s="7" t="inlineStr">
        <is>
          <t>108/5173</t>
        </is>
      </c>
      <c r="L891" s="7" t="inlineStr">
        <is>
          <t>Yes</t>
        </is>
      </c>
      <c r="M891" s="7" t="inlineStr">
        <is>
          <t>Your potential—unlocked. The Metal Vent Tech collection uses seamless construction to minimize distractions from chafe and sweat so you can stay laser focused.</t>
        </is>
      </c>
      <c r="N891" s="7" t="inlineStr">
        <is>
          <t>Metal-Vent-Tech-Short-Sleeve-Shirt-3</t>
        </is>
      </c>
      <c r="O891" s="7" t="inlineStr"/>
    </row>
    <row r="892" ht="80" customHeight="1">
      <c r="A892" s="4">
        <f>IMAGE("https://images.lululemon.com/is/image/lululemon/LM3FG2S_0572_1?wid=320&amp;op_usm=0.8",1)</f>
        <v/>
      </c>
      <c r="B892" s="4" t="inlineStr">
        <is>
          <t>Metal Vent Tech Short-Sleeve Shirt</t>
        </is>
      </c>
      <c r="C892" s="4" t="inlineStr">
        <is>
          <t>158026655</t>
        </is>
      </c>
      <c r="D892" s="4" t="inlineStr">
        <is>
          <t>158026655-grapemist/grapemist</t>
        </is>
      </c>
      <c r="E892" s="4" t="inlineStr">
        <is>
          <t>Metal Vent Tech Short Sleeve BLK/BLK XS</t>
        </is>
      </c>
      <c r="F892" s="4" t="inlineStr">
        <is>
          <t>$78.00</t>
        </is>
      </c>
      <c r="G892" s="4" t="inlineStr">
        <is>
          <t>$39.00</t>
        </is>
      </c>
      <c r="H892" s="4" t="inlineStr">
        <is>
          <t>Grape Mist/Grape Mist</t>
        </is>
      </c>
      <c r="I892" s="4">
        <f>IMAGE("https://images.lululemon.com/is/image/lululemon/38542",1)</f>
        <v/>
      </c>
      <c r="J892" s="4" t="inlineStr">
        <is>
          <t>XXL</t>
        </is>
      </c>
      <c r="K892" s="4" t="inlineStr">
        <is>
          <t>36/5173</t>
        </is>
      </c>
      <c r="L892" s="4" t="inlineStr">
        <is>
          <t>Yes</t>
        </is>
      </c>
      <c r="M892" s="4" t="inlineStr">
        <is>
          <t>Your potential—unlocked. The Metal Vent Tech collection uses seamless construction to minimize distractions from chafe and sweat so you can stay laser focused.</t>
        </is>
      </c>
      <c r="N892" s="4" t="inlineStr">
        <is>
          <t>Metal-Vent-Tech-Short-Sleeve-Shirt-3</t>
        </is>
      </c>
      <c r="O892" s="4" t="inlineStr"/>
    </row>
    <row r="893" ht="80" customHeight="1">
      <c r="A893" s="5">
        <f>IMAGE("https://images.lululemon.com/is/image/lululemon/LM3FG2S_0572_1?wid=320&amp;op_usm=0.8",1)</f>
        <v/>
      </c>
      <c r="B893" s="5" t="inlineStr">
        <is>
          <t>Metal Vent Tech Short-Sleeve Shirt</t>
        </is>
      </c>
      <c r="C893" s="5" t="inlineStr">
        <is>
          <t>158026423</t>
        </is>
      </c>
      <c r="D893" s="5" t="inlineStr">
        <is>
          <t>158026423-grapemist/grapemist</t>
        </is>
      </c>
      <c r="E893" s="5" t="inlineStr">
        <is>
          <t>Metal Vent Tech Short Sleeve BLK/BLK XS</t>
        </is>
      </c>
      <c r="F893" s="5" t="inlineStr">
        <is>
          <t>$78.00</t>
        </is>
      </c>
      <c r="G893" s="5" t="inlineStr">
        <is>
          <t>$39.00</t>
        </is>
      </c>
      <c r="H893" s="5" t="inlineStr">
        <is>
          <t>Grape Mist/Grape Mist</t>
        </is>
      </c>
      <c r="I893" s="5">
        <f>IMAGE("https://images.lululemon.com/is/image/lululemon/38542",1)</f>
        <v/>
      </c>
      <c r="J893" s="5" t="inlineStr">
        <is>
          <t>3XL</t>
        </is>
      </c>
      <c r="K893" s="5" t="inlineStr">
        <is>
          <t>8/5173</t>
        </is>
      </c>
      <c r="L893" s="5" t="inlineStr">
        <is>
          <t>Yes</t>
        </is>
      </c>
      <c r="M893" s="5" t="inlineStr">
        <is>
          <t>Your potential—unlocked. The Metal Vent Tech collection uses seamless construction to minimize distractions from chafe and sweat so you can stay laser focused.</t>
        </is>
      </c>
      <c r="N893" s="5" t="inlineStr">
        <is>
          <t>Metal-Vent-Tech-Short-Sleeve-Shirt-3</t>
        </is>
      </c>
      <c r="O893" s="5" t="inlineStr"/>
    </row>
    <row r="894" ht="80" customHeight="1">
      <c r="A894" s="4">
        <f>IMAGE("https://images.lululemon.com/is/image/lululemon/LM3FTDS_0554_1?wid=320&amp;op_usm=0.8",1)</f>
        <v/>
      </c>
      <c r="B894" s="4" t="inlineStr">
        <is>
          <t>Cotton-Blend Waffle Knit Hoodie</t>
        </is>
      </c>
      <c r="C894" s="4" t="inlineStr">
        <is>
          <t>158032025</t>
        </is>
      </c>
      <c r="D894" s="4" t="inlineStr">
        <is>
          <t>158032025-grapemist</t>
        </is>
      </c>
      <c r="E894" s="4" t="inlineStr">
        <is>
          <t>Cotton-Blend Waffle Knit Hoodie GMST S</t>
        </is>
      </c>
      <c r="F894" s="4" t="inlineStr">
        <is>
          <t>$118.00</t>
        </is>
      </c>
      <c r="G894" s="4" t="inlineStr">
        <is>
          <t>$59.00</t>
        </is>
      </c>
      <c r="H894" s="4" t="inlineStr">
        <is>
          <t>Grape Mist</t>
        </is>
      </c>
      <c r="I894" s="4">
        <f>IMAGE("https://images.lululemon.com/is/image/lululemon/0554",1)</f>
        <v/>
      </c>
      <c r="J894" s="4" t="inlineStr">
        <is>
          <t>S</t>
        </is>
      </c>
      <c r="K894" s="4" t="inlineStr">
        <is>
          <t>13/126</t>
        </is>
      </c>
      <c r="L894" s="4" t="inlineStr">
        <is>
          <t>Yes</t>
        </is>
      </c>
      <c r="M894" s="4" t="inlineStr">
        <is>
          <t>Low-key timeless. A classic waffle-knit texture gives this cotton-blend hoodie a soft structure that elevates joggers and makes trousers look chill.</t>
        </is>
      </c>
      <c r="N894" s="4" t="inlineStr">
        <is>
          <t>Cotton-Blend-Waffle-Knit-Hoodie</t>
        </is>
      </c>
      <c r="O894" s="4" t="inlineStr">
        <is>
          <t>Hoodies</t>
        </is>
      </c>
    </row>
    <row r="895" ht="80" customHeight="1">
      <c r="A895" s="7">
        <f>IMAGE("https://images.lululemon.com/is/image/lululemon/LM3FTDS_0554_1?wid=320&amp;op_usm=0.8",1)</f>
        <v/>
      </c>
      <c r="B895" s="7" t="inlineStr">
        <is>
          <t>Cotton-Blend Waffle Knit Hoodie</t>
        </is>
      </c>
      <c r="C895" s="7" t="inlineStr">
        <is>
          <t>158031999</t>
        </is>
      </c>
      <c r="D895" s="7" t="inlineStr">
        <is>
          <t>158031999-grapemist</t>
        </is>
      </c>
      <c r="E895" s="7" t="inlineStr">
        <is>
          <t>Cotton-Blend Waffle Knit Hoodie GMST S</t>
        </is>
      </c>
      <c r="F895" s="7" t="inlineStr">
        <is>
          <t>$118.00</t>
        </is>
      </c>
      <c r="G895" s="7" t="inlineStr">
        <is>
          <t>$59.00</t>
        </is>
      </c>
      <c r="H895" s="7" t="inlineStr">
        <is>
          <t>Grape Mist</t>
        </is>
      </c>
      <c r="I895" s="7">
        <f>IMAGE("https://images.lululemon.com/is/image/lululemon/0554",1)</f>
        <v/>
      </c>
      <c r="J895" s="7" t="inlineStr">
        <is>
          <t>M</t>
        </is>
      </c>
      <c r="K895" s="7" t="inlineStr">
        <is>
          <t>34/126</t>
        </is>
      </c>
      <c r="L895" s="7" t="inlineStr">
        <is>
          <t>Yes</t>
        </is>
      </c>
      <c r="M895" s="7" t="inlineStr">
        <is>
          <t>Low-key timeless. A classic waffle-knit texture gives this cotton-blend hoodie a soft structure that elevates joggers and makes trousers look chill.</t>
        </is>
      </c>
      <c r="N895" s="7" t="inlineStr">
        <is>
          <t>Cotton-Blend-Waffle-Knit-Hoodie</t>
        </is>
      </c>
      <c r="O895" s="7" t="inlineStr">
        <is>
          <t>Hoodies</t>
        </is>
      </c>
    </row>
    <row r="896" ht="80" customHeight="1">
      <c r="A896" s="4">
        <f>IMAGE("https://images.lululemon.com/is/image/lululemon/LM3FTDS_0554_1?wid=320&amp;op_usm=0.8",1)</f>
        <v/>
      </c>
      <c r="B896" s="4" t="inlineStr">
        <is>
          <t>Cotton-Blend Waffle Knit Hoodie</t>
        </is>
      </c>
      <c r="C896" s="4" t="inlineStr">
        <is>
          <t>158031973</t>
        </is>
      </c>
      <c r="D896" s="4" t="inlineStr">
        <is>
          <t>158031973-grapemist</t>
        </is>
      </c>
      <c r="E896" s="4" t="inlineStr">
        <is>
          <t>Cotton-Blend Waffle Knit Hoodie GMST S</t>
        </is>
      </c>
      <c r="F896" s="4" t="inlineStr">
        <is>
          <t>$118.00</t>
        </is>
      </c>
      <c r="G896" s="4" t="inlineStr">
        <is>
          <t>$59.00</t>
        </is>
      </c>
      <c r="H896" s="4" t="inlineStr">
        <is>
          <t>Grape Mist</t>
        </is>
      </c>
      <c r="I896" s="4">
        <f>IMAGE("https://images.lululemon.com/is/image/lululemon/0554",1)</f>
        <v/>
      </c>
      <c r="J896" s="4" t="inlineStr">
        <is>
          <t>L</t>
        </is>
      </c>
      <c r="K896" s="4" t="inlineStr">
        <is>
          <t>41/126</t>
        </is>
      </c>
      <c r="L896" s="4" t="inlineStr">
        <is>
          <t>Yes</t>
        </is>
      </c>
      <c r="M896" s="4" t="inlineStr">
        <is>
          <t>Low-key timeless. A classic waffle-knit texture gives this cotton-blend hoodie a soft structure that elevates joggers and makes trousers look chill.</t>
        </is>
      </c>
      <c r="N896" s="4" t="inlineStr">
        <is>
          <t>Cotton-Blend-Waffle-Knit-Hoodie</t>
        </is>
      </c>
      <c r="O896" s="4" t="inlineStr">
        <is>
          <t>Hoodies</t>
        </is>
      </c>
    </row>
    <row r="897" ht="80" customHeight="1">
      <c r="A897" s="7">
        <f>IMAGE("https://images.lululemon.com/is/image/lululemon/LM3FTDS_0554_1?wid=320&amp;op_usm=0.8",1)</f>
        <v/>
      </c>
      <c r="B897" s="7" t="inlineStr">
        <is>
          <t>Cotton-Blend Waffle Knit Hoodie</t>
        </is>
      </c>
      <c r="C897" s="7" t="inlineStr">
        <is>
          <t>158032052</t>
        </is>
      </c>
      <c r="D897" s="7" t="inlineStr">
        <is>
          <t>158032052-grapemist</t>
        </is>
      </c>
      <c r="E897" s="7" t="inlineStr">
        <is>
          <t>Cotton-Blend Waffle Knit Hoodie GMST S</t>
        </is>
      </c>
      <c r="F897" s="7" t="inlineStr">
        <is>
          <t>$118.00</t>
        </is>
      </c>
      <c r="G897" s="7" t="inlineStr">
        <is>
          <t>$59.00</t>
        </is>
      </c>
      <c r="H897" s="7" t="inlineStr">
        <is>
          <t>Grape Mist</t>
        </is>
      </c>
      <c r="I897" s="7">
        <f>IMAGE("https://images.lululemon.com/is/image/lululemon/0554",1)</f>
        <v/>
      </c>
      <c r="J897" s="7" t="inlineStr">
        <is>
          <t>XL</t>
        </is>
      </c>
      <c r="K897" s="7" t="inlineStr">
        <is>
          <t>29/126</t>
        </is>
      </c>
      <c r="L897" s="7" t="inlineStr">
        <is>
          <t>Yes</t>
        </is>
      </c>
      <c r="M897" s="7" t="inlineStr">
        <is>
          <t>Low-key timeless. A classic waffle-knit texture gives this cotton-blend hoodie a soft structure that elevates joggers and makes trousers look chill.</t>
        </is>
      </c>
      <c r="N897" s="7" t="inlineStr">
        <is>
          <t>Cotton-Blend-Waffle-Knit-Hoodie</t>
        </is>
      </c>
      <c r="O897" s="7" t="inlineStr">
        <is>
          <t>Hoodies</t>
        </is>
      </c>
    </row>
    <row r="898" ht="80" customHeight="1">
      <c r="A898" s="6">
        <f>IMAGE("https://images.lululemon.com/is/image/lululemon/LM3FTDS_0554_1?wid=320&amp;op_usm=0.8",1)</f>
        <v/>
      </c>
      <c r="B898" s="6" t="inlineStr">
        <is>
          <t>Cotton-Blend Waffle Knit Hoodie</t>
        </is>
      </c>
      <c r="C898" s="6" t="inlineStr">
        <is>
          <t>158032109</t>
        </is>
      </c>
      <c r="D898" s="6" t="inlineStr">
        <is>
          <t>158032109-grapemist</t>
        </is>
      </c>
      <c r="E898" s="6" t="inlineStr">
        <is>
          <t>Cotton-Blend Waffle Knit Hoodie GMST S</t>
        </is>
      </c>
      <c r="F898" s="6" t="inlineStr">
        <is>
          <t>$118.00</t>
        </is>
      </c>
      <c r="G898" s="6" t="inlineStr">
        <is>
          <t>$59.00</t>
        </is>
      </c>
      <c r="H898" s="6" t="inlineStr">
        <is>
          <t>Grape Mist</t>
        </is>
      </c>
      <c r="I898" s="6">
        <f>IMAGE("https://images.lululemon.com/is/image/lululemon/0554",1)</f>
        <v/>
      </c>
      <c r="J898" s="6" t="inlineStr">
        <is>
          <t>XXL</t>
        </is>
      </c>
      <c r="K898" s="6" t="inlineStr">
        <is>
          <t>9/126</t>
        </is>
      </c>
      <c r="L898" s="6" t="inlineStr">
        <is>
          <t>Yes</t>
        </is>
      </c>
      <c r="M898" s="6" t="inlineStr">
        <is>
          <t>Low-key timeless. A classic waffle-knit texture gives this cotton-blend hoodie a soft structure that elevates joggers and makes trousers look chill.</t>
        </is>
      </c>
      <c r="N898" s="6" t="inlineStr">
        <is>
          <t>Cotton-Blend-Waffle-Knit-Hoodie</t>
        </is>
      </c>
      <c r="O898" s="6" t="inlineStr">
        <is>
          <t>Hoodies</t>
        </is>
      </c>
    </row>
    <row r="899" ht="80" customHeight="1">
      <c r="A899" s="7">
        <f>IMAGE("https://images.lululemon.com/is/image/lululemon/LM5AO4S_0001_1?wid=320&amp;op_usm=0.8",1)</f>
        <v/>
      </c>
      <c r="B899" s="7" t="inlineStr">
        <is>
          <t>ABC Slim-Fit Trouser 32L *Warpstreme</t>
        </is>
      </c>
      <c r="C899" s="7" t="inlineStr">
        <is>
          <t>147151962</t>
        </is>
      </c>
      <c r="D899" s="7" t="inlineStr">
        <is>
          <t>147151962-black</t>
        </is>
      </c>
      <c r="E899" s="7" t="inlineStr">
        <is>
          <t>ABC Slim-Fit Trouser 32L *Warpstreme BLK 28</t>
        </is>
      </c>
      <c r="F899" s="7" t="inlineStr">
        <is>
          <t>$138.00</t>
        </is>
      </c>
      <c r="G899" s="7" t="inlineStr">
        <is>
          <t>$69.00</t>
        </is>
      </c>
      <c r="H899" s="7" t="inlineStr">
        <is>
          <t>Black</t>
        </is>
      </c>
      <c r="I899" s="7">
        <f>IMAGE("https://images.lululemon.com/is/image/lululemon/0001",1)</f>
        <v/>
      </c>
      <c r="J899" s="7" t="inlineStr">
        <is>
          <t>28</t>
        </is>
      </c>
      <c r="K899" s="7" t="inlineStr">
        <is>
          <t>1/1224</t>
        </is>
      </c>
      <c r="L899" s="7" t="inlineStr">
        <is>
          <t>Yes</t>
        </is>
      </c>
      <c r="M899" s="7" t="inlineStr">
        <is>
          <t>These slim-fit trousers deliver all-day comfort with an elevated look.</t>
        </is>
      </c>
      <c r="N899" s="7" t="inlineStr">
        <is>
          <t>ABC-Slim-Trouser-32</t>
        </is>
      </c>
      <c r="O899" s="7" t="inlineStr">
        <is>
          <t>Dress Pants, Chinos</t>
        </is>
      </c>
    </row>
    <row r="900" ht="80" customHeight="1">
      <c r="A900" s="4">
        <f>IMAGE("https://images.lululemon.com/is/image/lululemon/LM5AO4S_0001_1?wid=320&amp;op_usm=0.8",1)</f>
        <v/>
      </c>
      <c r="B900" s="4" t="inlineStr">
        <is>
          <t>ABC Slim-Fit Trouser 32L *Warpstreme</t>
        </is>
      </c>
      <c r="C900" s="4" t="inlineStr">
        <is>
          <t>147151968</t>
        </is>
      </c>
      <c r="D900" s="4" t="inlineStr">
        <is>
          <t>147151968-black</t>
        </is>
      </c>
      <c r="E900" s="4" t="inlineStr">
        <is>
          <t>ABC Slim-Fit Trouser 32L *Warpstreme BLK 28</t>
        </is>
      </c>
      <c r="F900" s="4" t="inlineStr">
        <is>
          <t>$138.00</t>
        </is>
      </c>
      <c r="G900" s="4" t="inlineStr">
        <is>
          <t>$69.00</t>
        </is>
      </c>
      <c r="H900" s="4" t="inlineStr">
        <is>
          <t>Black</t>
        </is>
      </c>
      <c r="I900" s="4">
        <f>IMAGE("https://images.lululemon.com/is/image/lululemon/0001",1)</f>
        <v/>
      </c>
      <c r="J900" s="4" t="inlineStr">
        <is>
          <t>30</t>
        </is>
      </c>
      <c r="K900" s="4" t="inlineStr">
        <is>
          <t>7/1224</t>
        </is>
      </c>
      <c r="L900" s="4" t="inlineStr">
        <is>
          <t>Yes</t>
        </is>
      </c>
      <c r="M900" s="4" t="inlineStr">
        <is>
          <t>These slim-fit trousers deliver all-day comfort with an elevated look.</t>
        </is>
      </c>
      <c r="N900" s="4" t="inlineStr">
        <is>
          <t>ABC-Slim-Trouser-32</t>
        </is>
      </c>
      <c r="O900" s="4" t="inlineStr">
        <is>
          <t>Dress Pants, Chinos</t>
        </is>
      </c>
    </row>
    <row r="901" ht="80" customHeight="1">
      <c r="A901" s="7">
        <f>IMAGE("https://images.lululemon.com/is/image/lululemon/LM5AO4S_0001_1?wid=320&amp;op_usm=0.8",1)</f>
        <v/>
      </c>
      <c r="B901" s="7" t="inlineStr">
        <is>
          <t>ABC Slim-Fit Trouser 32L *Warpstreme</t>
        </is>
      </c>
      <c r="C901" s="7" t="inlineStr">
        <is>
          <t>147151971</t>
        </is>
      </c>
      <c r="D901" s="7" t="inlineStr">
        <is>
          <t>147151971-black</t>
        </is>
      </c>
      <c r="E901" s="7" t="inlineStr">
        <is>
          <t>ABC Slim-Fit Trouser 32L *Warpstreme BLK 28</t>
        </is>
      </c>
      <c r="F901" s="7" t="inlineStr">
        <is>
          <t>$138.00</t>
        </is>
      </c>
      <c r="G901" s="7" t="inlineStr">
        <is>
          <t>$69.00</t>
        </is>
      </c>
      <c r="H901" s="7" t="inlineStr">
        <is>
          <t>Black</t>
        </is>
      </c>
      <c r="I901" s="7">
        <f>IMAGE("https://images.lululemon.com/is/image/lululemon/0001",1)</f>
        <v/>
      </c>
      <c r="J901" s="7" t="inlineStr">
        <is>
          <t>31</t>
        </is>
      </c>
      <c r="K901" s="7" t="inlineStr">
        <is>
          <t>7/1224</t>
        </is>
      </c>
      <c r="L901" s="7" t="inlineStr">
        <is>
          <t>Yes</t>
        </is>
      </c>
      <c r="M901" s="7" t="inlineStr">
        <is>
          <t>These slim-fit trousers deliver all-day comfort with an elevated look.</t>
        </is>
      </c>
      <c r="N901" s="7" t="inlineStr">
        <is>
          <t>ABC-Slim-Trouser-32</t>
        </is>
      </c>
      <c r="O901" s="7" t="inlineStr">
        <is>
          <t>Dress Pants, Chinos</t>
        </is>
      </c>
    </row>
    <row r="902" ht="80" customHeight="1">
      <c r="A902" s="4">
        <f>IMAGE("https://images.lululemon.com/is/image/lululemon/LM5AO4S_0001_1?wid=320&amp;op_usm=0.8",1)</f>
        <v/>
      </c>
      <c r="B902" s="4" t="inlineStr">
        <is>
          <t>ABC Slim-Fit Trouser 32L *Warpstreme</t>
        </is>
      </c>
      <c r="C902" s="4" t="inlineStr">
        <is>
          <t>147151974</t>
        </is>
      </c>
      <c r="D902" s="4" t="inlineStr">
        <is>
          <t>147151974-black</t>
        </is>
      </c>
      <c r="E902" s="4" t="inlineStr">
        <is>
          <t>ABC Slim-Fit Trouser 32L *Warpstreme BLK 28</t>
        </is>
      </c>
      <c r="F902" s="4" t="inlineStr">
        <is>
          <t>$138.00</t>
        </is>
      </c>
      <c r="G902" s="4" t="inlineStr">
        <is>
          <t>$69.00</t>
        </is>
      </c>
      <c r="H902" s="4" t="inlineStr">
        <is>
          <t>Black</t>
        </is>
      </c>
      <c r="I902" s="4">
        <f>IMAGE("https://images.lululemon.com/is/image/lululemon/0001",1)</f>
        <v/>
      </c>
      <c r="J902" s="4" t="inlineStr">
        <is>
          <t>32</t>
        </is>
      </c>
      <c r="K902" s="4" t="inlineStr">
        <is>
          <t>31/1224</t>
        </is>
      </c>
      <c r="L902" s="4" t="inlineStr">
        <is>
          <t>Yes</t>
        </is>
      </c>
      <c r="M902" s="4" t="inlineStr">
        <is>
          <t>These slim-fit trousers deliver all-day comfort with an elevated look.</t>
        </is>
      </c>
      <c r="N902" s="4" t="inlineStr">
        <is>
          <t>ABC-Slim-Trouser-32</t>
        </is>
      </c>
      <c r="O902" s="4" t="inlineStr">
        <is>
          <t>Dress Pants, Chinos</t>
        </is>
      </c>
    </row>
    <row r="903" ht="80" customHeight="1">
      <c r="A903" s="7">
        <f>IMAGE("https://images.lululemon.com/is/image/lululemon/LM5AO4S_0001_1?wid=320&amp;op_usm=0.8",1)</f>
        <v/>
      </c>
      <c r="B903" s="7" t="inlineStr">
        <is>
          <t>ABC Slim-Fit Trouser 32L *Warpstreme</t>
        </is>
      </c>
      <c r="C903" s="7" t="inlineStr">
        <is>
          <t>147151977</t>
        </is>
      </c>
      <c r="D903" s="7" t="inlineStr">
        <is>
          <t>147151977-black</t>
        </is>
      </c>
      <c r="E903" s="7" t="inlineStr">
        <is>
          <t>ABC Slim-Fit Trouser 32L *Warpstreme BLK 28</t>
        </is>
      </c>
      <c r="F903" s="7" t="inlineStr">
        <is>
          <t>$138.00</t>
        </is>
      </c>
      <c r="G903" s="7" t="inlineStr">
        <is>
          <t>$69.00</t>
        </is>
      </c>
      <c r="H903" s="7" t="inlineStr">
        <is>
          <t>Black</t>
        </is>
      </c>
      <c r="I903" s="7">
        <f>IMAGE("https://images.lululemon.com/is/image/lululemon/0001",1)</f>
        <v/>
      </c>
      <c r="J903" s="7" t="inlineStr">
        <is>
          <t>33</t>
        </is>
      </c>
      <c r="K903" s="7" t="inlineStr">
        <is>
          <t>28/1224</t>
        </is>
      </c>
      <c r="L903" s="7" t="inlineStr">
        <is>
          <t>Yes</t>
        </is>
      </c>
      <c r="M903" s="7" t="inlineStr">
        <is>
          <t>These slim-fit trousers deliver all-day comfort with an elevated look.</t>
        </is>
      </c>
      <c r="N903" s="7" t="inlineStr">
        <is>
          <t>ABC-Slim-Trouser-32</t>
        </is>
      </c>
      <c r="O903" s="7" t="inlineStr">
        <is>
          <t>Dress Pants, Chinos</t>
        </is>
      </c>
    </row>
    <row r="904" ht="80" customHeight="1">
      <c r="A904" s="4">
        <f>IMAGE("https://images.lululemon.com/is/image/lululemon/LM5AO4S_0001_1?wid=320&amp;op_usm=0.8",1)</f>
        <v/>
      </c>
      <c r="B904" s="4" t="inlineStr">
        <is>
          <t>ABC Slim-Fit Trouser 32L *Warpstreme</t>
        </is>
      </c>
      <c r="C904" s="4" t="inlineStr">
        <is>
          <t>147151981</t>
        </is>
      </c>
      <c r="D904" s="4" t="inlineStr">
        <is>
          <t>147151981-black</t>
        </is>
      </c>
      <c r="E904" s="4" t="inlineStr">
        <is>
          <t>ABC Slim-Fit Trouser 32L *Warpstreme BLK 28</t>
        </is>
      </c>
      <c r="F904" s="4" t="inlineStr">
        <is>
          <t>$138.00</t>
        </is>
      </c>
      <c r="G904" s="4" t="inlineStr">
        <is>
          <t>$69.00</t>
        </is>
      </c>
      <c r="H904" s="4" t="inlineStr">
        <is>
          <t>Black</t>
        </is>
      </c>
      <c r="I904" s="4">
        <f>IMAGE("https://images.lululemon.com/is/image/lululemon/0001",1)</f>
        <v/>
      </c>
      <c r="J904" s="4" t="inlineStr">
        <is>
          <t>34</t>
        </is>
      </c>
      <c r="K904" s="4" t="inlineStr">
        <is>
          <t>137/1224</t>
        </is>
      </c>
      <c r="L904" s="4" t="inlineStr">
        <is>
          <t>Yes</t>
        </is>
      </c>
      <c r="M904" s="4" t="inlineStr">
        <is>
          <t>These slim-fit trousers deliver all-day comfort with an elevated look.</t>
        </is>
      </c>
      <c r="N904" s="4" t="inlineStr">
        <is>
          <t>ABC-Slim-Trouser-32</t>
        </is>
      </c>
      <c r="O904" s="4" t="inlineStr">
        <is>
          <t>Dress Pants, Chinos</t>
        </is>
      </c>
    </row>
    <row r="905" ht="80" customHeight="1">
      <c r="A905" s="7">
        <f>IMAGE("https://images.lululemon.com/is/image/lululemon/LM5AO4S_0001_1?wid=320&amp;op_usm=0.8",1)</f>
        <v/>
      </c>
      <c r="B905" s="7" t="inlineStr">
        <is>
          <t>ABC Slim-Fit Trouser 32L *Warpstreme</t>
        </is>
      </c>
      <c r="C905" s="7" t="inlineStr">
        <is>
          <t>147151987</t>
        </is>
      </c>
      <c r="D905" s="7" t="inlineStr">
        <is>
          <t>147151987-black</t>
        </is>
      </c>
      <c r="E905" s="7" t="inlineStr">
        <is>
          <t>ABC Slim-Fit Trouser 32L *Warpstreme BLK 28</t>
        </is>
      </c>
      <c r="F905" s="7" t="inlineStr">
        <is>
          <t>$138.00</t>
        </is>
      </c>
      <c r="G905" s="7" t="inlineStr">
        <is>
          <t>$69.00</t>
        </is>
      </c>
      <c r="H905" s="7" t="inlineStr">
        <is>
          <t>Black</t>
        </is>
      </c>
      <c r="I905" s="7">
        <f>IMAGE("https://images.lululemon.com/is/image/lululemon/0001",1)</f>
        <v/>
      </c>
      <c r="J905" s="7" t="inlineStr">
        <is>
          <t>36</t>
        </is>
      </c>
      <c r="K905" s="7" t="inlineStr">
        <is>
          <t>180/1224</t>
        </is>
      </c>
      <c r="L905" s="7" t="inlineStr">
        <is>
          <t>Yes</t>
        </is>
      </c>
      <c r="M905" s="7" t="inlineStr">
        <is>
          <t>These slim-fit trousers deliver all-day comfort with an elevated look.</t>
        </is>
      </c>
      <c r="N905" s="7" t="inlineStr">
        <is>
          <t>ABC-Slim-Trouser-32</t>
        </is>
      </c>
      <c r="O905" s="7" t="inlineStr">
        <is>
          <t>Dress Pants, Chinos</t>
        </is>
      </c>
    </row>
    <row r="906" ht="80" customHeight="1">
      <c r="A906" s="4">
        <f>IMAGE("https://images.lululemon.com/is/image/lululemon/LM5AO4S_0001_1?wid=320&amp;op_usm=0.8",1)</f>
        <v/>
      </c>
      <c r="B906" s="4" t="inlineStr">
        <is>
          <t>ABC Slim-Fit Trouser 32L *Warpstreme</t>
        </is>
      </c>
      <c r="C906" s="4" t="inlineStr">
        <is>
          <t>147151993</t>
        </is>
      </c>
      <c r="D906" s="4" t="inlineStr">
        <is>
          <t>147151993-black</t>
        </is>
      </c>
      <c r="E906" s="4" t="inlineStr">
        <is>
          <t>ABC Slim-Fit Trouser 32L *Warpstreme BLK 28</t>
        </is>
      </c>
      <c r="F906" s="4" t="inlineStr">
        <is>
          <t>$138.00</t>
        </is>
      </c>
      <c r="G906" s="4" t="inlineStr">
        <is>
          <t>$69.00</t>
        </is>
      </c>
      <c r="H906" s="4" t="inlineStr">
        <is>
          <t>Black</t>
        </is>
      </c>
      <c r="I906" s="4">
        <f>IMAGE("https://images.lululemon.com/is/image/lululemon/0001",1)</f>
        <v/>
      </c>
      <c r="J906" s="4" t="inlineStr">
        <is>
          <t>38</t>
        </is>
      </c>
      <c r="K906" s="4" t="inlineStr">
        <is>
          <t>167/1224</t>
        </is>
      </c>
      <c r="L906" s="4" t="inlineStr">
        <is>
          <t>Yes</t>
        </is>
      </c>
      <c r="M906" s="4" t="inlineStr">
        <is>
          <t>These slim-fit trousers deliver all-day comfort with an elevated look.</t>
        </is>
      </c>
      <c r="N906" s="4" t="inlineStr">
        <is>
          <t>ABC-Slim-Trouser-32</t>
        </is>
      </c>
      <c r="O906" s="4" t="inlineStr">
        <is>
          <t>Dress Pants, Chinos</t>
        </is>
      </c>
    </row>
    <row r="907" ht="80" customHeight="1">
      <c r="A907" s="7">
        <f>IMAGE("https://images.lululemon.com/is/image/lululemon/LM5AO4S_0001_1?wid=320&amp;op_usm=0.8",1)</f>
        <v/>
      </c>
      <c r="B907" s="7" t="inlineStr">
        <is>
          <t>ABC Slim-Fit Trouser 32L *Warpstreme</t>
        </is>
      </c>
      <c r="C907" s="7" t="inlineStr">
        <is>
          <t>147151999</t>
        </is>
      </c>
      <c r="D907" s="7" t="inlineStr">
        <is>
          <t>147151999-black</t>
        </is>
      </c>
      <c r="E907" s="7" t="inlineStr">
        <is>
          <t>ABC Slim-Fit Trouser 32L *Warpstreme BLK 28</t>
        </is>
      </c>
      <c r="F907" s="7" t="inlineStr">
        <is>
          <t>$138.00</t>
        </is>
      </c>
      <c r="G907" s="7" t="inlineStr">
        <is>
          <t>$69.00</t>
        </is>
      </c>
      <c r="H907" s="7" t="inlineStr">
        <is>
          <t>Black</t>
        </is>
      </c>
      <c r="I907" s="7">
        <f>IMAGE("https://images.lululemon.com/is/image/lululemon/0001",1)</f>
        <v/>
      </c>
      <c r="J907" s="7" t="inlineStr">
        <is>
          <t>40</t>
        </is>
      </c>
      <c r="K907" s="7" t="inlineStr">
        <is>
          <t>44/1224</t>
        </is>
      </c>
      <c r="L907" s="7" t="inlineStr">
        <is>
          <t>Yes</t>
        </is>
      </c>
      <c r="M907" s="7" t="inlineStr">
        <is>
          <t>These slim-fit trousers deliver all-day comfort with an elevated look.</t>
        </is>
      </c>
      <c r="N907" s="7" t="inlineStr">
        <is>
          <t>ABC-Slim-Trouser-32</t>
        </is>
      </c>
      <c r="O907" s="7" t="inlineStr">
        <is>
          <t>Dress Pants, Chinos</t>
        </is>
      </c>
    </row>
    <row r="908" ht="80" customHeight="1">
      <c r="A908" s="4">
        <f>IMAGE("https://images.lululemon.com/is/image/lululemon/LM5AO4S_0001_1?wid=320&amp;op_usm=0.8",1)</f>
        <v/>
      </c>
      <c r="B908" s="4" t="inlineStr">
        <is>
          <t>ABC Slim-Fit Trouser 32L *Warpstreme</t>
        </is>
      </c>
      <c r="C908" s="4" t="inlineStr">
        <is>
          <t>147152029</t>
        </is>
      </c>
      <c r="D908" s="4" t="inlineStr">
        <is>
          <t>147152029-truenavy</t>
        </is>
      </c>
      <c r="E908" s="4" t="inlineStr">
        <is>
          <t>ABC Slim-Fit Trouser 32L *Warpstreme BLK 28</t>
        </is>
      </c>
      <c r="F908" s="4" t="inlineStr">
        <is>
          <t>$138.00</t>
        </is>
      </c>
      <c r="G908" s="4" t="inlineStr">
        <is>
          <t>$69.00</t>
        </is>
      </c>
      <c r="H908" s="4" t="inlineStr">
        <is>
          <t>True Navy</t>
        </is>
      </c>
      <c r="I908" s="4">
        <f>IMAGE("https://images.lululemon.com/is/image/lululemon/31382",1)</f>
        <v/>
      </c>
      <c r="J908" s="4" t="inlineStr">
        <is>
          <t>28</t>
        </is>
      </c>
      <c r="K908" s="4" t="inlineStr">
        <is>
          <t>6/1224</t>
        </is>
      </c>
      <c r="L908" s="4" t="inlineStr">
        <is>
          <t>Yes</t>
        </is>
      </c>
      <c r="M908" s="4" t="inlineStr">
        <is>
          <t>These slim-fit trousers deliver all-day comfort with an elevated look.</t>
        </is>
      </c>
      <c r="N908" s="4" t="inlineStr">
        <is>
          <t>ABC-Slim-Trouser-32</t>
        </is>
      </c>
      <c r="O908" s="4" t="inlineStr">
        <is>
          <t>Dress Pants, Chinos</t>
        </is>
      </c>
    </row>
    <row r="909" ht="80" customHeight="1">
      <c r="A909" s="7">
        <f>IMAGE("https://images.lululemon.com/is/image/lululemon/LM5AO4S_0001_1?wid=320&amp;op_usm=0.8",1)</f>
        <v/>
      </c>
      <c r="B909" s="7" t="inlineStr">
        <is>
          <t>ABC Slim-Fit Trouser 32L *Warpstreme</t>
        </is>
      </c>
      <c r="C909" s="7" t="inlineStr">
        <is>
          <t>147152039</t>
        </is>
      </c>
      <c r="D909" s="7" t="inlineStr">
        <is>
          <t>147152039-truenavy</t>
        </is>
      </c>
      <c r="E909" s="7" t="inlineStr">
        <is>
          <t>ABC Slim-Fit Trouser 32L *Warpstreme BLK 28</t>
        </is>
      </c>
      <c r="F909" s="7" t="inlineStr">
        <is>
          <t>$138.00</t>
        </is>
      </c>
      <c r="G909" s="7" t="inlineStr">
        <is>
          <t>$69.00</t>
        </is>
      </c>
      <c r="H909" s="7" t="inlineStr">
        <is>
          <t>True Navy</t>
        </is>
      </c>
      <c r="I909" s="7">
        <f>IMAGE("https://images.lululemon.com/is/image/lululemon/31382",1)</f>
        <v/>
      </c>
      <c r="J909" s="7" t="inlineStr">
        <is>
          <t>31</t>
        </is>
      </c>
      <c r="K909" s="7" t="inlineStr">
        <is>
          <t>11/1224</t>
        </is>
      </c>
      <c r="L909" s="7" t="inlineStr">
        <is>
          <t>Yes</t>
        </is>
      </c>
      <c r="M909" s="7" t="inlineStr">
        <is>
          <t>These slim-fit trousers deliver all-day comfort with an elevated look.</t>
        </is>
      </c>
      <c r="N909" s="7" t="inlineStr">
        <is>
          <t>ABC-Slim-Trouser-32</t>
        </is>
      </c>
      <c r="O909" s="7" t="inlineStr">
        <is>
          <t>Dress Pants, Chinos</t>
        </is>
      </c>
    </row>
    <row r="910" ht="80" customHeight="1">
      <c r="A910" s="4">
        <f>IMAGE("https://images.lululemon.com/is/image/lululemon/LM5AO4S_0001_1?wid=320&amp;op_usm=0.8",1)</f>
        <v/>
      </c>
      <c r="B910" s="4" t="inlineStr">
        <is>
          <t>ABC Slim-Fit Trouser 32L *Warpstreme</t>
        </is>
      </c>
      <c r="C910" s="4" t="inlineStr">
        <is>
          <t>147152042</t>
        </is>
      </c>
      <c r="D910" s="4" t="inlineStr">
        <is>
          <t>147152042-truenavy</t>
        </is>
      </c>
      <c r="E910" s="4" t="inlineStr">
        <is>
          <t>ABC Slim-Fit Trouser 32L *Warpstreme BLK 28</t>
        </is>
      </c>
      <c r="F910" s="4" t="inlineStr">
        <is>
          <t>$138.00</t>
        </is>
      </c>
      <c r="G910" s="4" t="inlineStr">
        <is>
          <t>$69.00</t>
        </is>
      </c>
      <c r="H910" s="4" t="inlineStr">
        <is>
          <t>True Navy</t>
        </is>
      </c>
      <c r="I910" s="4">
        <f>IMAGE("https://images.lululemon.com/is/image/lululemon/31382",1)</f>
        <v/>
      </c>
      <c r="J910" s="4" t="inlineStr">
        <is>
          <t>32</t>
        </is>
      </c>
      <c r="K910" s="4" t="inlineStr">
        <is>
          <t>61/1224</t>
        </is>
      </c>
      <c r="L910" s="4" t="inlineStr">
        <is>
          <t>Yes</t>
        </is>
      </c>
      <c r="M910" s="4" t="inlineStr">
        <is>
          <t>These slim-fit trousers deliver all-day comfort with an elevated look.</t>
        </is>
      </c>
      <c r="N910" s="4" t="inlineStr">
        <is>
          <t>ABC-Slim-Trouser-32</t>
        </is>
      </c>
      <c r="O910" s="4" t="inlineStr">
        <is>
          <t>Dress Pants, Chinos</t>
        </is>
      </c>
    </row>
    <row r="911" ht="80" customHeight="1">
      <c r="A911" s="7">
        <f>IMAGE("https://images.lululemon.com/is/image/lululemon/LM5AO4S_0001_1?wid=320&amp;op_usm=0.8",1)</f>
        <v/>
      </c>
      <c r="B911" s="7" t="inlineStr">
        <is>
          <t>ABC Slim-Fit Trouser 32L *Warpstreme</t>
        </is>
      </c>
      <c r="C911" s="7" t="inlineStr">
        <is>
          <t>147152044</t>
        </is>
      </c>
      <c r="D911" s="7" t="inlineStr">
        <is>
          <t>147152044-truenavy</t>
        </is>
      </c>
      <c r="E911" s="7" t="inlineStr">
        <is>
          <t>ABC Slim-Fit Trouser 32L *Warpstreme BLK 28</t>
        </is>
      </c>
      <c r="F911" s="7" t="inlineStr">
        <is>
          <t>$138.00</t>
        </is>
      </c>
      <c r="G911" s="7" t="inlineStr">
        <is>
          <t>$69.00</t>
        </is>
      </c>
      <c r="H911" s="7" t="inlineStr">
        <is>
          <t>True Navy</t>
        </is>
      </c>
      <c r="I911" s="7">
        <f>IMAGE("https://images.lululemon.com/is/image/lululemon/31382",1)</f>
        <v/>
      </c>
      <c r="J911" s="7" t="inlineStr">
        <is>
          <t>33</t>
        </is>
      </c>
      <c r="K911" s="7" t="inlineStr">
        <is>
          <t>29/1224</t>
        </is>
      </c>
      <c r="L911" s="7" t="inlineStr">
        <is>
          <t>Yes</t>
        </is>
      </c>
      <c r="M911" s="7" t="inlineStr">
        <is>
          <t>These slim-fit trousers deliver all-day comfort with an elevated look.</t>
        </is>
      </c>
      <c r="N911" s="7" t="inlineStr">
        <is>
          <t>ABC-Slim-Trouser-32</t>
        </is>
      </c>
      <c r="O911" s="7" t="inlineStr">
        <is>
          <t>Dress Pants, Chinos</t>
        </is>
      </c>
    </row>
    <row r="912" ht="80" customHeight="1">
      <c r="A912" s="4">
        <f>IMAGE("https://images.lululemon.com/is/image/lululemon/LM5AO4S_0001_1?wid=320&amp;op_usm=0.8",1)</f>
        <v/>
      </c>
      <c r="B912" s="4" t="inlineStr">
        <is>
          <t>ABC Slim-Fit Trouser 32L *Warpstreme</t>
        </is>
      </c>
      <c r="C912" s="4" t="inlineStr">
        <is>
          <t>147152046</t>
        </is>
      </c>
      <c r="D912" s="4" t="inlineStr">
        <is>
          <t>147152046-truenavy</t>
        </is>
      </c>
      <c r="E912" s="4" t="inlineStr">
        <is>
          <t>ABC Slim-Fit Trouser 32L *Warpstreme BLK 28</t>
        </is>
      </c>
      <c r="F912" s="4" t="inlineStr">
        <is>
          <t>$138.00</t>
        </is>
      </c>
      <c r="G912" s="4" t="inlineStr">
        <is>
          <t>$69.00</t>
        </is>
      </c>
      <c r="H912" s="4" t="inlineStr">
        <is>
          <t>True Navy</t>
        </is>
      </c>
      <c r="I912" s="4">
        <f>IMAGE("https://images.lululemon.com/is/image/lululemon/31382",1)</f>
        <v/>
      </c>
      <c r="J912" s="4" t="inlineStr">
        <is>
          <t>34</t>
        </is>
      </c>
      <c r="K912" s="4" t="inlineStr">
        <is>
          <t>133/1224</t>
        </is>
      </c>
      <c r="L912" s="4" t="inlineStr">
        <is>
          <t>Yes</t>
        </is>
      </c>
      <c r="M912" s="4" t="inlineStr">
        <is>
          <t>These slim-fit trousers deliver all-day comfort with an elevated look.</t>
        </is>
      </c>
      <c r="N912" s="4" t="inlineStr">
        <is>
          <t>ABC-Slim-Trouser-32</t>
        </is>
      </c>
      <c r="O912" s="4" t="inlineStr">
        <is>
          <t>Dress Pants, Chinos</t>
        </is>
      </c>
    </row>
    <row r="913" ht="80" customHeight="1">
      <c r="A913" s="7">
        <f>IMAGE("https://images.lululemon.com/is/image/lululemon/LM5AO4S_0001_1?wid=320&amp;op_usm=0.8",1)</f>
        <v/>
      </c>
      <c r="B913" s="7" t="inlineStr">
        <is>
          <t>ABC Slim-Fit Trouser 32L *Warpstreme</t>
        </is>
      </c>
      <c r="C913" s="7" t="inlineStr">
        <is>
          <t>147152051</t>
        </is>
      </c>
      <c r="D913" s="7" t="inlineStr">
        <is>
          <t>147152051-truenavy</t>
        </is>
      </c>
      <c r="E913" s="7" t="inlineStr">
        <is>
          <t>ABC Slim-Fit Trouser 32L *Warpstreme BLK 28</t>
        </is>
      </c>
      <c r="F913" s="7" t="inlineStr">
        <is>
          <t>$138.00</t>
        </is>
      </c>
      <c r="G913" s="7" t="inlineStr">
        <is>
          <t>$69.00</t>
        </is>
      </c>
      <c r="H913" s="7" t="inlineStr">
        <is>
          <t>True Navy</t>
        </is>
      </c>
      <c r="I913" s="7">
        <f>IMAGE("https://images.lululemon.com/is/image/lululemon/31382",1)</f>
        <v/>
      </c>
      <c r="J913" s="7" t="inlineStr">
        <is>
          <t>36</t>
        </is>
      </c>
      <c r="K913" s="7" t="inlineStr">
        <is>
          <t>114/1224</t>
        </is>
      </c>
      <c r="L913" s="7" t="inlineStr">
        <is>
          <t>Yes</t>
        </is>
      </c>
      <c r="M913" s="7" t="inlineStr">
        <is>
          <t>These slim-fit trousers deliver all-day comfort with an elevated look.</t>
        </is>
      </c>
      <c r="N913" s="7" t="inlineStr">
        <is>
          <t>ABC-Slim-Trouser-32</t>
        </is>
      </c>
      <c r="O913" s="7" t="inlineStr">
        <is>
          <t>Dress Pants, Chinos</t>
        </is>
      </c>
    </row>
    <row r="914" ht="80" customHeight="1">
      <c r="A914" s="4">
        <f>IMAGE("https://images.lululemon.com/is/image/lululemon/LM5AO4S_0001_1?wid=320&amp;op_usm=0.8",1)</f>
        <v/>
      </c>
      <c r="B914" s="4" t="inlineStr">
        <is>
          <t>ABC Slim-Fit Trouser 32L *Warpstreme</t>
        </is>
      </c>
      <c r="C914" s="4" t="inlineStr">
        <is>
          <t>147152055</t>
        </is>
      </c>
      <c r="D914" s="4" t="inlineStr">
        <is>
          <t>147152055-truenavy</t>
        </is>
      </c>
      <c r="E914" s="4" t="inlineStr">
        <is>
          <t>ABC Slim-Fit Trouser 32L *Warpstreme BLK 28</t>
        </is>
      </c>
      <c r="F914" s="4" t="inlineStr">
        <is>
          <t>$138.00</t>
        </is>
      </c>
      <c r="G914" s="4" t="inlineStr">
        <is>
          <t>$69.00</t>
        </is>
      </c>
      <c r="H914" s="4" t="inlineStr">
        <is>
          <t>True Navy</t>
        </is>
      </c>
      <c r="I914" s="4">
        <f>IMAGE("https://images.lululemon.com/is/image/lululemon/31382",1)</f>
        <v/>
      </c>
      <c r="J914" s="4" t="inlineStr">
        <is>
          <t>38</t>
        </is>
      </c>
      <c r="K914" s="4" t="inlineStr">
        <is>
          <t>123/1224</t>
        </is>
      </c>
      <c r="L914" s="4" t="inlineStr">
        <is>
          <t>Yes</t>
        </is>
      </c>
      <c r="M914" s="4" t="inlineStr">
        <is>
          <t>These slim-fit trousers deliver all-day comfort with an elevated look.</t>
        </is>
      </c>
      <c r="N914" s="4" t="inlineStr">
        <is>
          <t>ABC-Slim-Trouser-32</t>
        </is>
      </c>
      <c r="O914" s="4" t="inlineStr">
        <is>
          <t>Dress Pants, Chinos</t>
        </is>
      </c>
    </row>
    <row r="915" ht="80" customHeight="1">
      <c r="A915" s="7">
        <f>IMAGE("https://images.lululemon.com/is/image/lululemon/LM5AO4S_0001_1?wid=320&amp;op_usm=0.8",1)</f>
        <v/>
      </c>
      <c r="B915" s="7" t="inlineStr">
        <is>
          <t>ABC Slim-Fit Trouser 32L *Warpstreme</t>
        </is>
      </c>
      <c r="C915" s="7" t="inlineStr">
        <is>
          <t>147152059</t>
        </is>
      </c>
      <c r="D915" s="7" t="inlineStr">
        <is>
          <t>147152059-truenavy</t>
        </is>
      </c>
      <c r="E915" s="7" t="inlineStr">
        <is>
          <t>ABC Slim-Fit Trouser 32L *Warpstreme BLK 28</t>
        </is>
      </c>
      <c r="F915" s="7" t="inlineStr">
        <is>
          <t>$138.00</t>
        </is>
      </c>
      <c r="G915" s="7" t="inlineStr">
        <is>
          <t>$69.00</t>
        </is>
      </c>
      <c r="H915" s="7" t="inlineStr">
        <is>
          <t>True Navy</t>
        </is>
      </c>
      <c r="I915" s="7">
        <f>IMAGE("https://images.lululemon.com/is/image/lululemon/31382",1)</f>
        <v/>
      </c>
      <c r="J915" s="7" t="inlineStr">
        <is>
          <t>40</t>
        </is>
      </c>
      <c r="K915" s="7" t="inlineStr">
        <is>
          <t>64/1224</t>
        </is>
      </c>
      <c r="L915" s="7" t="inlineStr">
        <is>
          <t>Yes</t>
        </is>
      </c>
      <c r="M915" s="7" t="inlineStr">
        <is>
          <t>These slim-fit trousers deliver all-day comfort with an elevated look.</t>
        </is>
      </c>
      <c r="N915" s="7" t="inlineStr">
        <is>
          <t>ABC-Slim-Trouser-32</t>
        </is>
      </c>
      <c r="O915" s="7" t="inlineStr">
        <is>
          <t>Dress Pants, Chinos</t>
        </is>
      </c>
    </row>
    <row r="916" ht="80" customHeight="1">
      <c r="A916" s="4">
        <f>IMAGE("https://images.lululemon.com/is/image/lululemon/LM5AO4S_0001_1?wid=320&amp;op_usm=0.8",1)</f>
        <v/>
      </c>
      <c r="B916" s="4" t="inlineStr">
        <is>
          <t>ABC Slim-Fit Trouser 32L *Warpstreme</t>
        </is>
      </c>
      <c r="C916" s="4" t="inlineStr">
        <is>
          <t>157679772</t>
        </is>
      </c>
      <c r="D916" s="4" t="inlineStr">
        <is>
          <t>157679772-wackykhaki</t>
        </is>
      </c>
      <c r="E916" s="4" t="inlineStr">
        <is>
          <t>ABC Slim-Fit Trouser 32L *Warpstreme BLK 28</t>
        </is>
      </c>
      <c r="F916" s="4" t="inlineStr">
        <is>
          <t>$138.00</t>
        </is>
      </c>
      <c r="G916" s="4" t="inlineStr">
        <is>
          <t>$69.00</t>
        </is>
      </c>
      <c r="H916" s="4" t="inlineStr">
        <is>
          <t>Wacky Khaki</t>
        </is>
      </c>
      <c r="I916" s="4">
        <f>IMAGE("https://images.lululemon.com/is/image/lululemon/19222",1)</f>
        <v/>
      </c>
      <c r="J916" s="4" t="inlineStr">
        <is>
          <t>28</t>
        </is>
      </c>
      <c r="K916" s="4" t="inlineStr">
        <is>
          <t>2/1224</t>
        </is>
      </c>
      <c r="L916" s="4" t="inlineStr">
        <is>
          <t>Yes</t>
        </is>
      </c>
      <c r="M916" s="4" t="inlineStr">
        <is>
          <t>These slim-fit trousers deliver all-day comfort with an elevated look.</t>
        </is>
      </c>
      <c r="N916" s="4" t="inlineStr">
        <is>
          <t>ABC-Slim-Trouser-32</t>
        </is>
      </c>
      <c r="O916" s="4" t="inlineStr">
        <is>
          <t>Dress Pants, Chinos</t>
        </is>
      </c>
    </row>
    <row r="917" ht="80" customHeight="1">
      <c r="A917" s="7">
        <f>IMAGE("https://images.lululemon.com/is/image/lululemon/LM5AO4S_0001_1?wid=320&amp;op_usm=0.8",1)</f>
        <v/>
      </c>
      <c r="B917" s="7" t="inlineStr">
        <is>
          <t>ABC Slim-Fit Trouser 32L *Warpstreme</t>
        </is>
      </c>
      <c r="C917" s="7" t="inlineStr">
        <is>
          <t>157679822</t>
        </is>
      </c>
      <c r="D917" s="7" t="inlineStr">
        <is>
          <t>157679822-wackykhaki</t>
        </is>
      </c>
      <c r="E917" s="7" t="inlineStr">
        <is>
          <t>ABC Slim-Fit Trouser 32L *Warpstreme BLK 28</t>
        </is>
      </c>
      <c r="F917" s="7" t="inlineStr">
        <is>
          <t>$138.00</t>
        </is>
      </c>
      <c r="G917" s="7" t="inlineStr">
        <is>
          <t>$69.00</t>
        </is>
      </c>
      <c r="H917" s="7" t="inlineStr">
        <is>
          <t>Wacky Khaki</t>
        </is>
      </c>
      <c r="I917" s="7">
        <f>IMAGE("https://images.lululemon.com/is/image/lululemon/19222",1)</f>
        <v/>
      </c>
      <c r="J917" s="7" t="inlineStr">
        <is>
          <t>31</t>
        </is>
      </c>
      <c r="K917" s="7" t="inlineStr">
        <is>
          <t>5/1224</t>
        </is>
      </c>
      <c r="L917" s="7" t="inlineStr">
        <is>
          <t>Yes</t>
        </is>
      </c>
      <c r="M917" s="7" t="inlineStr">
        <is>
          <t>These slim-fit trousers deliver all-day comfort with an elevated look.</t>
        </is>
      </c>
      <c r="N917" s="7" t="inlineStr">
        <is>
          <t>ABC-Slim-Trouser-32</t>
        </is>
      </c>
      <c r="O917" s="7" t="inlineStr">
        <is>
          <t>Dress Pants, Chinos</t>
        </is>
      </c>
    </row>
    <row r="918" ht="80" customHeight="1">
      <c r="A918" s="4">
        <f>IMAGE("https://images.lululemon.com/is/image/lululemon/LM5AO4S_0001_1?wid=320&amp;op_usm=0.8",1)</f>
        <v/>
      </c>
      <c r="B918" s="4" t="inlineStr">
        <is>
          <t>ABC Slim-Fit Trouser 32L *Warpstreme</t>
        </is>
      </c>
      <c r="C918" s="4" t="inlineStr">
        <is>
          <t>157679838</t>
        </is>
      </c>
      <c r="D918" s="4" t="inlineStr">
        <is>
          <t>157679838-wackykhaki</t>
        </is>
      </c>
      <c r="E918" s="4" t="inlineStr">
        <is>
          <t>ABC Slim-Fit Trouser 32L *Warpstreme BLK 28</t>
        </is>
      </c>
      <c r="F918" s="4" t="inlineStr">
        <is>
          <t>$138.00</t>
        </is>
      </c>
      <c r="G918" s="4" t="inlineStr">
        <is>
          <t>$69.00</t>
        </is>
      </c>
      <c r="H918" s="4" t="inlineStr">
        <is>
          <t>Wacky Khaki</t>
        </is>
      </c>
      <c r="I918" s="4">
        <f>IMAGE("https://images.lululemon.com/is/image/lululemon/19222",1)</f>
        <v/>
      </c>
      <c r="J918" s="4" t="inlineStr">
        <is>
          <t>32</t>
        </is>
      </c>
      <c r="K918" s="4" t="inlineStr">
        <is>
          <t>16/1224</t>
        </is>
      </c>
      <c r="L918" s="4" t="inlineStr">
        <is>
          <t>Yes</t>
        </is>
      </c>
      <c r="M918" s="4" t="inlineStr">
        <is>
          <t>These slim-fit trousers deliver all-day comfort with an elevated look.</t>
        </is>
      </c>
      <c r="N918" s="4" t="inlineStr">
        <is>
          <t>ABC-Slim-Trouser-32</t>
        </is>
      </c>
      <c r="O918" s="4" t="inlineStr">
        <is>
          <t>Dress Pants, Chinos</t>
        </is>
      </c>
    </row>
    <row r="919" ht="80" customHeight="1">
      <c r="A919" s="7">
        <f>IMAGE("https://images.lululemon.com/is/image/lululemon/LM5AO4S_0001_1?wid=320&amp;op_usm=0.8",1)</f>
        <v/>
      </c>
      <c r="B919" s="7" t="inlineStr">
        <is>
          <t>ABC Slim-Fit Trouser 32L *Warpstreme</t>
        </is>
      </c>
      <c r="C919" s="7" t="inlineStr">
        <is>
          <t>157679856</t>
        </is>
      </c>
      <c r="D919" s="7" t="inlineStr">
        <is>
          <t>157679856-wackykhaki</t>
        </is>
      </c>
      <c r="E919" s="7" t="inlineStr">
        <is>
          <t>ABC Slim-Fit Trouser 32L *Warpstreme BLK 28</t>
        </is>
      </c>
      <c r="F919" s="7" t="inlineStr">
        <is>
          <t>$138.00</t>
        </is>
      </c>
      <c r="G919" s="7" t="inlineStr">
        <is>
          <t>$69.00</t>
        </is>
      </c>
      <c r="H919" s="7" t="inlineStr">
        <is>
          <t>Wacky Khaki</t>
        </is>
      </c>
      <c r="I919" s="7">
        <f>IMAGE("https://images.lululemon.com/is/image/lululemon/19222",1)</f>
        <v/>
      </c>
      <c r="J919" s="7" t="inlineStr">
        <is>
          <t>33</t>
        </is>
      </c>
      <c r="K919" s="7" t="inlineStr">
        <is>
          <t>4/1224</t>
        </is>
      </c>
      <c r="L919" s="7" t="inlineStr">
        <is>
          <t>Yes</t>
        </is>
      </c>
      <c r="M919" s="7" t="inlineStr">
        <is>
          <t>These slim-fit trousers deliver all-day comfort with an elevated look.</t>
        </is>
      </c>
      <c r="N919" s="7" t="inlineStr">
        <is>
          <t>ABC-Slim-Trouser-32</t>
        </is>
      </c>
      <c r="O919" s="7" t="inlineStr">
        <is>
          <t>Dress Pants, Chinos</t>
        </is>
      </c>
    </row>
    <row r="920" ht="80" customHeight="1">
      <c r="A920" s="4">
        <f>IMAGE("https://images.lululemon.com/is/image/lululemon/LM5AO4S_0001_1?wid=320&amp;op_usm=0.8",1)</f>
        <v/>
      </c>
      <c r="B920" s="4" t="inlineStr">
        <is>
          <t>ABC Slim-Fit Trouser 32L *Warpstreme</t>
        </is>
      </c>
      <c r="C920" s="4" t="inlineStr">
        <is>
          <t>157679872</t>
        </is>
      </c>
      <c r="D920" s="4" t="inlineStr">
        <is>
          <t>157679872-wackykhaki</t>
        </is>
      </c>
      <c r="E920" s="4" t="inlineStr">
        <is>
          <t>ABC Slim-Fit Trouser 32L *Warpstreme BLK 28</t>
        </is>
      </c>
      <c r="F920" s="4" t="inlineStr">
        <is>
          <t>$138.00</t>
        </is>
      </c>
      <c r="G920" s="4" t="inlineStr">
        <is>
          <t>$69.00</t>
        </is>
      </c>
      <c r="H920" s="4" t="inlineStr">
        <is>
          <t>Wacky Khaki</t>
        </is>
      </c>
      <c r="I920" s="4">
        <f>IMAGE("https://images.lululemon.com/is/image/lululemon/19222",1)</f>
        <v/>
      </c>
      <c r="J920" s="4" t="inlineStr">
        <is>
          <t>34</t>
        </is>
      </c>
      <c r="K920" s="4" t="inlineStr">
        <is>
          <t>22/1224</t>
        </is>
      </c>
      <c r="L920" s="4" t="inlineStr">
        <is>
          <t>Yes</t>
        </is>
      </c>
      <c r="M920" s="4" t="inlineStr">
        <is>
          <t>These slim-fit trousers deliver all-day comfort with an elevated look.</t>
        </is>
      </c>
      <c r="N920" s="4" t="inlineStr">
        <is>
          <t>ABC-Slim-Trouser-32</t>
        </is>
      </c>
      <c r="O920" s="4" t="inlineStr">
        <is>
          <t>Dress Pants, Chinos</t>
        </is>
      </c>
    </row>
    <row r="921" ht="80" customHeight="1">
      <c r="A921" s="7">
        <f>IMAGE("https://images.lululemon.com/is/image/lululemon/LM5AO4S_0001_1?wid=320&amp;op_usm=0.8",1)</f>
        <v/>
      </c>
      <c r="B921" s="7" t="inlineStr">
        <is>
          <t>ABC Slim-Fit Trouser 32L *Warpstreme</t>
        </is>
      </c>
      <c r="C921" s="7" t="inlineStr">
        <is>
          <t>157679903</t>
        </is>
      </c>
      <c r="D921" s="7" t="inlineStr">
        <is>
          <t>157679903-wackykhaki</t>
        </is>
      </c>
      <c r="E921" s="7" t="inlineStr">
        <is>
          <t>ABC Slim-Fit Trouser 32L *Warpstreme BLK 28</t>
        </is>
      </c>
      <c r="F921" s="7" t="inlineStr">
        <is>
          <t>$138.00</t>
        </is>
      </c>
      <c r="G921" s="7" t="inlineStr">
        <is>
          <t>$69.00</t>
        </is>
      </c>
      <c r="H921" s="7" t="inlineStr">
        <is>
          <t>Wacky Khaki</t>
        </is>
      </c>
      <c r="I921" s="7">
        <f>IMAGE("https://images.lululemon.com/is/image/lululemon/19222",1)</f>
        <v/>
      </c>
      <c r="J921" s="7" t="inlineStr">
        <is>
          <t>36</t>
        </is>
      </c>
      <c r="K921" s="7" t="inlineStr">
        <is>
          <t>25/1224</t>
        </is>
      </c>
      <c r="L921" s="7" t="inlineStr">
        <is>
          <t>Yes</t>
        </is>
      </c>
      <c r="M921" s="7" t="inlineStr">
        <is>
          <t>These slim-fit trousers deliver all-day comfort with an elevated look.</t>
        </is>
      </c>
      <c r="N921" s="7" t="inlineStr">
        <is>
          <t>ABC-Slim-Trouser-32</t>
        </is>
      </c>
      <c r="O921" s="7" t="inlineStr">
        <is>
          <t>Dress Pants, Chinos</t>
        </is>
      </c>
    </row>
    <row r="922" ht="80" customHeight="1">
      <c r="A922" s="6">
        <f>IMAGE("https://images.lululemon.com/is/image/lululemon/LM5AO4S_0001_1?wid=320&amp;op_usm=0.8",1)</f>
        <v/>
      </c>
      <c r="B922" s="6" t="inlineStr">
        <is>
          <t>ABC Slim-Fit Trouser 32L *Warpstreme</t>
        </is>
      </c>
      <c r="C922" s="6" t="inlineStr">
        <is>
          <t>157679966</t>
        </is>
      </c>
      <c r="D922" s="6" t="inlineStr">
        <is>
          <t>157679966-wackykhaki</t>
        </is>
      </c>
      <c r="E922" s="6" t="inlineStr">
        <is>
          <t>ABC Slim-Fit Trouser 32L *Warpstreme BLK 28</t>
        </is>
      </c>
      <c r="F922" s="6" t="inlineStr">
        <is>
          <t>$138.00</t>
        </is>
      </c>
      <c r="G922" s="6" t="inlineStr">
        <is>
          <t>$69.00</t>
        </is>
      </c>
      <c r="H922" s="6" t="inlineStr">
        <is>
          <t>Wacky Khaki</t>
        </is>
      </c>
      <c r="I922" s="6">
        <f>IMAGE("https://images.lululemon.com/is/image/lululemon/19222",1)</f>
        <v/>
      </c>
      <c r="J922" s="6" t="inlineStr">
        <is>
          <t>40</t>
        </is>
      </c>
      <c r="K922" s="6" t="inlineStr">
        <is>
          <t>7/1224</t>
        </is>
      </c>
      <c r="L922" s="6" t="inlineStr">
        <is>
          <t>Yes</t>
        </is>
      </c>
      <c r="M922" s="6" t="inlineStr">
        <is>
          <t>These slim-fit trousers deliver all-day comfort with an elevated look.</t>
        </is>
      </c>
      <c r="N922" s="6" t="inlineStr">
        <is>
          <t>ABC-Slim-Trouser-32</t>
        </is>
      </c>
      <c r="O922" s="6" t="inlineStr">
        <is>
          <t>Dress Pants, Chinos</t>
        </is>
      </c>
    </row>
    <row r="923" ht="80" customHeight="1">
      <c r="A923" s="7">
        <f>IMAGE("https://images.lululemon.com/is/image/lululemon/LU9DDSS_036168_1?wid=320&amp;op_usm=0.8",1)</f>
        <v/>
      </c>
      <c r="B923" s="7" t="inlineStr">
        <is>
          <t>Warm Revelation Beanie *Wordmark</t>
        </is>
      </c>
      <c r="C923" s="7" t="inlineStr">
        <is>
          <t>157702281</t>
        </is>
      </c>
      <c r="D923" s="7" t="inlineStr">
        <is>
          <t>157702281-heatheredlightivory</t>
        </is>
      </c>
      <c r="E923" s="7" t="inlineStr">
        <is>
          <t>Warm Revelation Beanie HRLI ONE SIZE</t>
        </is>
      </c>
      <c r="F923" s="7" t="inlineStr">
        <is>
          <t>$48.00</t>
        </is>
      </c>
      <c r="G923" s="7" t="inlineStr">
        <is>
          <t>$24.00</t>
        </is>
      </c>
      <c r="H923" s="7" t="inlineStr">
        <is>
          <t>Heathered Light Ivory</t>
        </is>
      </c>
      <c r="I923" s="7">
        <f>IMAGE("https://images.lululemon.com/is/image/lululemon/36168",1)</f>
        <v/>
      </c>
      <c r="J923" s="7" t="inlineStr">
        <is>
          <t>O/S</t>
        </is>
      </c>
      <c r="K923" s="7" t="inlineStr">
        <is>
          <t>750/904</t>
        </is>
      </c>
      <c r="L923" s="7" t="inlineStr">
        <is>
          <t>Yes</t>
        </is>
      </c>
      <c r="M923" s="7" t="inlineStr">
        <is>
          <t>Pop on this merino wool-blend beanie when the temperature drops to help keep you cozy on chilly days.</t>
        </is>
      </c>
      <c r="N923" s="7" t="inlineStr">
        <is>
          <t>Warm-Revelation-Beanie-Wordmark</t>
        </is>
      </c>
      <c r="O923" s="7" t="inlineStr">
        <is>
          <t>Beanies</t>
        </is>
      </c>
    </row>
    <row r="924" ht="80" customHeight="1">
      <c r="A924" s="6">
        <f>IMAGE("https://images.lululemon.com/is/image/lululemon/LU9DDSS_036168_1?wid=320&amp;op_usm=0.8",1)</f>
        <v/>
      </c>
      <c r="B924" s="6" t="inlineStr">
        <is>
          <t>Warm Revelation Beanie *Wordmark</t>
        </is>
      </c>
      <c r="C924" s="6" t="inlineStr">
        <is>
          <t>158019186</t>
        </is>
      </c>
      <c r="D924" s="6" t="inlineStr">
        <is>
          <t>158019186-faintlavender/grapemist</t>
        </is>
      </c>
      <c r="E924" s="6" t="inlineStr">
        <is>
          <t>Warm Revelation Beanie HRLI ONE SIZE</t>
        </is>
      </c>
      <c r="F924" s="6" t="inlineStr">
        <is>
          <t>$48.00</t>
        </is>
      </c>
      <c r="G924" s="6" t="inlineStr">
        <is>
          <t>$24.00</t>
        </is>
      </c>
      <c r="H924" s="6" t="inlineStr">
        <is>
          <t>Faint Lavender/Grape Mist</t>
        </is>
      </c>
      <c r="I924" s="6">
        <f>IMAGE("https://images.lululemon.com/is/image/lululemon/73461",1)</f>
        <v/>
      </c>
      <c r="J924" s="6" t="inlineStr">
        <is>
          <t>O/S</t>
        </is>
      </c>
      <c r="K924" s="6" t="inlineStr">
        <is>
          <t>154/904</t>
        </is>
      </c>
      <c r="L924" s="6" t="inlineStr">
        <is>
          <t>Yes</t>
        </is>
      </c>
      <c r="M924" s="6" t="inlineStr">
        <is>
          <t>Pop on this merino wool-blend beanie when the temperature drops to help keep you cozy on chilly days.</t>
        </is>
      </c>
      <c r="N924" s="6" t="inlineStr">
        <is>
          <t>Warm-Revelation-Beanie-Wordmark</t>
        </is>
      </c>
      <c r="O924" s="6" t="inlineStr">
        <is>
          <t>Beanies</t>
        </is>
      </c>
    </row>
    <row r="925" ht="80" customHeight="1">
      <c r="A925" s="7">
        <f>IMAGE("https://images.lululemon.com/is/image/lululemon/LM7BHES_0001_1?wid=320&amp;op_usm=0.8",1)</f>
        <v/>
      </c>
      <c r="B925" s="7" t="inlineStr">
        <is>
          <t>ABC Classic-Fit Golf Short 9"</t>
        </is>
      </c>
      <c r="C925" s="7" t="inlineStr">
        <is>
          <t>151554060</t>
        </is>
      </c>
      <c r="D925" s="7" t="inlineStr">
        <is>
          <t>151554060-black</t>
        </is>
      </c>
      <c r="E925" s="7" t="inlineStr">
        <is>
          <t>ABC Classic-Fit Golf Short 9" BLK 28</t>
        </is>
      </c>
      <c r="F925" s="7" t="inlineStr">
        <is>
          <t>$98.00</t>
        </is>
      </c>
      <c r="G925" s="7" t="inlineStr">
        <is>
          <t>$49.00</t>
        </is>
      </c>
      <c r="H925" s="7" t="inlineStr">
        <is>
          <t>Black</t>
        </is>
      </c>
      <c r="I925" s="7">
        <f>IMAGE("https://images.lululemon.com/is/image/lululemon/0001",1)</f>
        <v/>
      </c>
      <c r="J925" s="7" t="inlineStr">
        <is>
          <t>28</t>
        </is>
      </c>
      <c r="K925" s="7" t="inlineStr">
        <is>
          <t>9/465</t>
        </is>
      </c>
      <c r="L925" s="7" t="inlineStr">
        <is>
          <t>Yes</t>
        </is>
      </c>
      <c r="M925" s="7" t="inlineStr">
        <is>
          <t>From the first tee to the eighteenth green, these stretchy golf shorts will go the distance. Extra pockets store essentials and water-resistant fabric keeps you protected.</t>
        </is>
      </c>
      <c r="N925" s="7" t="inlineStr">
        <is>
          <t>ABC-Classic-Fit-Golf-Short-9</t>
        </is>
      </c>
      <c r="O925" s="7" t="inlineStr">
        <is>
          <t>Chino Shorts</t>
        </is>
      </c>
    </row>
    <row r="926" ht="80" customHeight="1">
      <c r="A926" s="4">
        <f>IMAGE("https://images.lululemon.com/is/image/lululemon/LM7BHES_0001_1?wid=320&amp;op_usm=0.8",1)</f>
        <v/>
      </c>
      <c r="B926" s="4" t="inlineStr">
        <is>
          <t>ABC Classic-Fit Golf Short 9"</t>
        </is>
      </c>
      <c r="C926" s="4" t="inlineStr">
        <is>
          <t>151554074</t>
        </is>
      </c>
      <c r="D926" s="4" t="inlineStr">
        <is>
          <t>151554074-black</t>
        </is>
      </c>
      <c r="E926" s="4" t="inlineStr">
        <is>
          <t>ABC Classic-Fit Golf Short 9" BLK 28</t>
        </is>
      </c>
      <c r="F926" s="4" t="inlineStr">
        <is>
          <t>$98.00</t>
        </is>
      </c>
      <c r="G926" s="4" t="inlineStr">
        <is>
          <t>$49.00</t>
        </is>
      </c>
      <c r="H926" s="4" t="inlineStr">
        <is>
          <t>Black</t>
        </is>
      </c>
      <c r="I926" s="4">
        <f>IMAGE("https://images.lululemon.com/is/image/lululemon/0001",1)</f>
        <v/>
      </c>
      <c r="J926" s="4" t="inlineStr">
        <is>
          <t>30</t>
        </is>
      </c>
      <c r="K926" s="4" t="inlineStr">
        <is>
          <t>16/465</t>
        </is>
      </c>
      <c r="L926" s="4" t="inlineStr">
        <is>
          <t>Yes</t>
        </is>
      </c>
      <c r="M926" s="4" t="inlineStr">
        <is>
          <t>From the first tee to the eighteenth green, these stretchy golf shorts will go the distance. Extra pockets store essentials and water-resistant fabric keeps you protected.</t>
        </is>
      </c>
      <c r="N926" s="4" t="inlineStr">
        <is>
          <t>ABC-Classic-Fit-Golf-Short-9</t>
        </is>
      </c>
      <c r="O926" s="4" t="inlineStr">
        <is>
          <t>Chino Shorts</t>
        </is>
      </c>
    </row>
    <row r="927" ht="80" customHeight="1">
      <c r="A927" s="7">
        <f>IMAGE("https://images.lululemon.com/is/image/lululemon/LM7BHES_0001_1?wid=320&amp;op_usm=0.8",1)</f>
        <v/>
      </c>
      <c r="B927" s="7" t="inlineStr">
        <is>
          <t>ABC Classic-Fit Golf Short 9"</t>
        </is>
      </c>
      <c r="C927" s="7" t="inlineStr">
        <is>
          <t>151554081</t>
        </is>
      </c>
      <c r="D927" s="7" t="inlineStr">
        <is>
          <t>151554081-black</t>
        </is>
      </c>
      <c r="E927" s="7" t="inlineStr">
        <is>
          <t>ABC Classic-Fit Golf Short 9" BLK 28</t>
        </is>
      </c>
      <c r="F927" s="7" t="inlineStr">
        <is>
          <t>$98.00</t>
        </is>
      </c>
      <c r="G927" s="7" t="inlineStr">
        <is>
          <t>$49.00</t>
        </is>
      </c>
      <c r="H927" s="7" t="inlineStr">
        <is>
          <t>Black</t>
        </is>
      </c>
      <c r="I927" s="7">
        <f>IMAGE("https://images.lululemon.com/is/image/lululemon/0001",1)</f>
        <v/>
      </c>
      <c r="J927" s="7" t="inlineStr">
        <is>
          <t>31</t>
        </is>
      </c>
      <c r="K927" s="7" t="inlineStr">
        <is>
          <t>7/465</t>
        </is>
      </c>
      <c r="L927" s="7" t="inlineStr">
        <is>
          <t>Yes</t>
        </is>
      </c>
      <c r="M927" s="7" t="inlineStr">
        <is>
          <t>From the first tee to the eighteenth green, these stretchy golf shorts will go the distance. Extra pockets store essentials and water-resistant fabric keeps you protected.</t>
        </is>
      </c>
      <c r="N927" s="7" t="inlineStr">
        <is>
          <t>ABC-Classic-Fit-Golf-Short-9</t>
        </is>
      </c>
      <c r="O927" s="7" t="inlineStr">
        <is>
          <t>Chino Shorts</t>
        </is>
      </c>
    </row>
    <row r="928" ht="80" customHeight="1">
      <c r="A928" s="4">
        <f>IMAGE("https://images.lululemon.com/is/image/lululemon/LM7BHES_0001_1?wid=320&amp;op_usm=0.8",1)</f>
        <v/>
      </c>
      <c r="B928" s="4" t="inlineStr">
        <is>
          <t>ABC Classic-Fit Golf Short 9"</t>
        </is>
      </c>
      <c r="C928" s="4" t="inlineStr">
        <is>
          <t>151554087</t>
        </is>
      </c>
      <c r="D928" s="4" t="inlineStr">
        <is>
          <t>151554087-black</t>
        </is>
      </c>
      <c r="E928" s="4" t="inlineStr">
        <is>
          <t>ABC Classic-Fit Golf Short 9" BLK 28</t>
        </is>
      </c>
      <c r="F928" s="4" t="inlineStr">
        <is>
          <t>$98.00</t>
        </is>
      </c>
      <c r="G928" s="4" t="inlineStr">
        <is>
          <t>$49.00</t>
        </is>
      </c>
      <c r="H928" s="4" t="inlineStr">
        <is>
          <t>Black</t>
        </is>
      </c>
      <c r="I928" s="4">
        <f>IMAGE("https://images.lululemon.com/is/image/lululemon/0001",1)</f>
        <v/>
      </c>
      <c r="J928" s="4" t="inlineStr">
        <is>
          <t>32</t>
        </is>
      </c>
      <c r="K928" s="4" t="inlineStr">
        <is>
          <t>55/465</t>
        </is>
      </c>
      <c r="L928" s="4" t="inlineStr">
        <is>
          <t>Yes</t>
        </is>
      </c>
      <c r="M928" s="4" t="inlineStr">
        <is>
          <t>From the first tee to the eighteenth green, these stretchy golf shorts will go the distance. Extra pockets store essentials and water-resistant fabric keeps you protected.</t>
        </is>
      </c>
      <c r="N928" s="4" t="inlineStr">
        <is>
          <t>ABC-Classic-Fit-Golf-Short-9</t>
        </is>
      </c>
      <c r="O928" s="4" t="inlineStr">
        <is>
          <t>Chino Shorts</t>
        </is>
      </c>
    </row>
    <row r="929" ht="80" customHeight="1">
      <c r="A929" s="7">
        <f>IMAGE("https://images.lululemon.com/is/image/lululemon/LM7BHES_0001_1?wid=320&amp;op_usm=0.8",1)</f>
        <v/>
      </c>
      <c r="B929" s="7" t="inlineStr">
        <is>
          <t>ABC Classic-Fit Golf Short 9"</t>
        </is>
      </c>
      <c r="C929" s="7" t="inlineStr">
        <is>
          <t>151554096</t>
        </is>
      </c>
      <c r="D929" s="7" t="inlineStr">
        <is>
          <t>151554096-black</t>
        </is>
      </c>
      <c r="E929" s="7" t="inlineStr">
        <is>
          <t>ABC Classic-Fit Golf Short 9" BLK 28</t>
        </is>
      </c>
      <c r="F929" s="7" t="inlineStr">
        <is>
          <t>$98.00</t>
        </is>
      </c>
      <c r="G929" s="7" t="inlineStr">
        <is>
          <t>$49.00</t>
        </is>
      </c>
      <c r="H929" s="7" t="inlineStr">
        <is>
          <t>Black</t>
        </is>
      </c>
      <c r="I929" s="7">
        <f>IMAGE("https://images.lululemon.com/is/image/lululemon/0001",1)</f>
        <v/>
      </c>
      <c r="J929" s="7" t="inlineStr">
        <is>
          <t>33</t>
        </is>
      </c>
      <c r="K929" s="7" t="inlineStr">
        <is>
          <t>25/465</t>
        </is>
      </c>
      <c r="L929" s="7" t="inlineStr">
        <is>
          <t>Yes</t>
        </is>
      </c>
      <c r="M929" s="7" t="inlineStr">
        <is>
          <t>From the first tee to the eighteenth green, these stretchy golf shorts will go the distance. Extra pockets store essentials and water-resistant fabric keeps you protected.</t>
        </is>
      </c>
      <c r="N929" s="7" t="inlineStr">
        <is>
          <t>ABC-Classic-Fit-Golf-Short-9</t>
        </is>
      </c>
      <c r="O929" s="7" t="inlineStr">
        <is>
          <t>Chino Shorts</t>
        </is>
      </c>
    </row>
    <row r="930" ht="80" customHeight="1">
      <c r="A930" s="4">
        <f>IMAGE("https://images.lululemon.com/is/image/lululemon/LM7BHES_0001_1?wid=320&amp;op_usm=0.8",1)</f>
        <v/>
      </c>
      <c r="B930" s="4" t="inlineStr">
        <is>
          <t>ABC Classic-Fit Golf Short 9"</t>
        </is>
      </c>
      <c r="C930" s="4" t="inlineStr">
        <is>
          <t>151554103</t>
        </is>
      </c>
      <c r="D930" s="4" t="inlineStr">
        <is>
          <t>151554103-black</t>
        </is>
      </c>
      <c r="E930" s="4" t="inlineStr">
        <is>
          <t>ABC Classic-Fit Golf Short 9" BLK 28</t>
        </is>
      </c>
      <c r="F930" s="4" t="inlineStr">
        <is>
          <t>$98.00</t>
        </is>
      </c>
      <c r="G930" s="4" t="inlineStr">
        <is>
          <t>$49.00</t>
        </is>
      </c>
      <c r="H930" s="4" t="inlineStr">
        <is>
          <t>Black</t>
        </is>
      </c>
      <c r="I930" s="4">
        <f>IMAGE("https://images.lululemon.com/is/image/lululemon/0001",1)</f>
        <v/>
      </c>
      <c r="J930" s="4" t="inlineStr">
        <is>
          <t>34</t>
        </is>
      </c>
      <c r="K930" s="4" t="inlineStr">
        <is>
          <t>57/465</t>
        </is>
      </c>
      <c r="L930" s="4" t="inlineStr">
        <is>
          <t>Yes</t>
        </is>
      </c>
      <c r="M930" s="4" t="inlineStr">
        <is>
          <t>From the first tee to the eighteenth green, these stretchy golf shorts will go the distance. Extra pockets store essentials and water-resistant fabric keeps you protected.</t>
        </is>
      </c>
      <c r="N930" s="4" t="inlineStr">
        <is>
          <t>ABC-Classic-Fit-Golf-Short-9</t>
        </is>
      </c>
      <c r="O930" s="4" t="inlineStr">
        <is>
          <t>Chino Shorts</t>
        </is>
      </c>
    </row>
    <row r="931" ht="80" customHeight="1">
      <c r="A931" s="7">
        <f>IMAGE("https://images.lululemon.com/is/image/lululemon/LM7BHES_0001_1?wid=320&amp;op_usm=0.8",1)</f>
        <v/>
      </c>
      <c r="B931" s="7" t="inlineStr">
        <is>
          <t>ABC Classic-Fit Golf Short 9"</t>
        </is>
      </c>
      <c r="C931" s="7" t="inlineStr">
        <is>
          <t>151554116</t>
        </is>
      </c>
      <c r="D931" s="7" t="inlineStr">
        <is>
          <t>151554116-black</t>
        </is>
      </c>
      <c r="E931" s="7" t="inlineStr">
        <is>
          <t>ABC Classic-Fit Golf Short 9" BLK 28</t>
        </is>
      </c>
      <c r="F931" s="7" t="inlineStr">
        <is>
          <t>$98.00</t>
        </is>
      </c>
      <c r="G931" s="7" t="inlineStr">
        <is>
          <t>$49.00</t>
        </is>
      </c>
      <c r="H931" s="7" t="inlineStr">
        <is>
          <t>Black</t>
        </is>
      </c>
      <c r="I931" s="7">
        <f>IMAGE("https://images.lululemon.com/is/image/lululemon/0001",1)</f>
        <v/>
      </c>
      <c r="J931" s="7" t="inlineStr">
        <is>
          <t>36</t>
        </is>
      </c>
      <c r="K931" s="7" t="inlineStr">
        <is>
          <t>39/465</t>
        </is>
      </c>
      <c r="L931" s="7" t="inlineStr">
        <is>
          <t>Yes</t>
        </is>
      </c>
      <c r="M931" s="7" t="inlineStr">
        <is>
          <t>From the first tee to the eighteenth green, these stretchy golf shorts will go the distance. Extra pockets store essentials and water-resistant fabric keeps you protected.</t>
        </is>
      </c>
      <c r="N931" s="7" t="inlineStr">
        <is>
          <t>ABC-Classic-Fit-Golf-Short-9</t>
        </is>
      </c>
      <c r="O931" s="7" t="inlineStr">
        <is>
          <t>Chino Shorts</t>
        </is>
      </c>
    </row>
    <row r="932" ht="80" customHeight="1">
      <c r="A932" s="4">
        <f>IMAGE("https://images.lululemon.com/is/image/lululemon/LM7BHES_0001_1?wid=320&amp;op_usm=0.8",1)</f>
        <v/>
      </c>
      <c r="B932" s="4" t="inlineStr">
        <is>
          <t>ABC Classic-Fit Golf Short 9"</t>
        </is>
      </c>
      <c r="C932" s="4" t="inlineStr">
        <is>
          <t>151554130</t>
        </is>
      </c>
      <c r="D932" s="4" t="inlineStr">
        <is>
          <t>151554130-black</t>
        </is>
      </c>
      <c r="E932" s="4" t="inlineStr">
        <is>
          <t>ABC Classic-Fit Golf Short 9" BLK 28</t>
        </is>
      </c>
      <c r="F932" s="4" t="inlineStr">
        <is>
          <t>$98.00</t>
        </is>
      </c>
      <c r="G932" s="4" t="inlineStr">
        <is>
          <t>$49.00</t>
        </is>
      </c>
      <c r="H932" s="4" t="inlineStr">
        <is>
          <t>Black</t>
        </is>
      </c>
      <c r="I932" s="4">
        <f>IMAGE("https://images.lululemon.com/is/image/lululemon/0001",1)</f>
        <v/>
      </c>
      <c r="J932" s="4" t="inlineStr">
        <is>
          <t>38</t>
        </is>
      </c>
      <c r="K932" s="4" t="inlineStr">
        <is>
          <t>24/465</t>
        </is>
      </c>
      <c r="L932" s="4" t="inlineStr">
        <is>
          <t>Yes</t>
        </is>
      </c>
      <c r="M932" s="4" t="inlineStr">
        <is>
          <t>From the first tee to the eighteenth green, these stretchy golf shorts will go the distance. Extra pockets store essentials and water-resistant fabric keeps you protected.</t>
        </is>
      </c>
      <c r="N932" s="4" t="inlineStr">
        <is>
          <t>ABC-Classic-Fit-Golf-Short-9</t>
        </is>
      </c>
      <c r="O932" s="4" t="inlineStr">
        <is>
          <t>Chino Shorts</t>
        </is>
      </c>
    </row>
    <row r="933" ht="80" customHeight="1">
      <c r="A933" s="7">
        <f>IMAGE("https://images.lululemon.com/is/image/lululemon/LM7BHES_0001_1?wid=320&amp;op_usm=0.8",1)</f>
        <v/>
      </c>
      <c r="B933" s="7" t="inlineStr">
        <is>
          <t>ABC Classic-Fit Golf Short 9"</t>
        </is>
      </c>
      <c r="C933" s="7" t="inlineStr">
        <is>
          <t>151554142</t>
        </is>
      </c>
      <c r="D933" s="7" t="inlineStr">
        <is>
          <t>151554142-black</t>
        </is>
      </c>
      <c r="E933" s="7" t="inlineStr">
        <is>
          <t>ABC Classic-Fit Golf Short 9" BLK 28</t>
        </is>
      </c>
      <c r="F933" s="7" t="inlineStr">
        <is>
          <t>$98.00</t>
        </is>
      </c>
      <c r="G933" s="7" t="inlineStr">
        <is>
          <t>$49.00</t>
        </is>
      </c>
      <c r="H933" s="7" t="inlineStr">
        <is>
          <t>Black</t>
        </is>
      </c>
      <c r="I933" s="7">
        <f>IMAGE("https://images.lululemon.com/is/image/lululemon/0001",1)</f>
        <v/>
      </c>
      <c r="J933" s="7" t="inlineStr">
        <is>
          <t>40</t>
        </is>
      </c>
      <c r="K933" s="7" t="inlineStr">
        <is>
          <t>6/465</t>
        </is>
      </c>
      <c r="L933" s="7" t="inlineStr">
        <is>
          <t>Yes</t>
        </is>
      </c>
      <c r="M933" s="7" t="inlineStr">
        <is>
          <t>From the first tee to the eighteenth green, these stretchy golf shorts will go the distance. Extra pockets store essentials and water-resistant fabric keeps you protected.</t>
        </is>
      </c>
      <c r="N933" s="7" t="inlineStr">
        <is>
          <t>ABC-Classic-Fit-Golf-Short-9</t>
        </is>
      </c>
      <c r="O933" s="7" t="inlineStr">
        <is>
          <t>Chino Shorts</t>
        </is>
      </c>
    </row>
    <row r="934" ht="80" customHeight="1">
      <c r="A934" s="4">
        <f>IMAGE("https://images.lululemon.com/is/image/lululemon/LM7BHES_0001_1?wid=320&amp;op_usm=0.8",1)</f>
        <v/>
      </c>
      <c r="B934" s="4" t="inlineStr">
        <is>
          <t>ABC Classic-Fit Golf Short 9"</t>
        </is>
      </c>
      <c r="C934" s="4" t="inlineStr">
        <is>
          <t>156488465</t>
        </is>
      </c>
      <c r="D934" s="4" t="inlineStr">
        <is>
          <t>156488465-clubblue</t>
        </is>
      </c>
      <c r="E934" s="4" t="inlineStr">
        <is>
          <t>ABC Classic-Fit Golf Short 9" BLK 28</t>
        </is>
      </c>
      <c r="F934" s="4" t="inlineStr">
        <is>
          <t>$98.00</t>
        </is>
      </c>
      <c r="G934" s="4" t="inlineStr">
        <is>
          <t>$49.00</t>
        </is>
      </c>
      <c r="H934" s="4" t="inlineStr">
        <is>
          <t>Club Blue</t>
        </is>
      </c>
      <c r="I934" s="4">
        <f>IMAGE("https://images.lululemon.com/is/image/lululemon/68578",1)</f>
        <v/>
      </c>
      <c r="J934" s="4" t="inlineStr">
        <is>
          <t>28</t>
        </is>
      </c>
      <c r="K934" s="4" t="inlineStr">
        <is>
          <t>6/465</t>
        </is>
      </c>
      <c r="L934" s="4" t="inlineStr">
        <is>
          <t>Yes</t>
        </is>
      </c>
      <c r="M934" s="4" t="inlineStr">
        <is>
          <t>From the first tee to the eighteenth green, these stretchy golf shorts will go the distance. Extra pockets store essentials and water-resistant fabric keeps you protected.</t>
        </is>
      </c>
      <c r="N934" s="4" t="inlineStr">
        <is>
          <t>ABC-Classic-Fit-Golf-Short-9</t>
        </is>
      </c>
      <c r="O934" s="4" t="inlineStr">
        <is>
          <t>Chino Shorts</t>
        </is>
      </c>
    </row>
    <row r="935" ht="80" customHeight="1">
      <c r="A935" s="7">
        <f>IMAGE("https://images.lululemon.com/is/image/lululemon/LM7BHES_0001_1?wid=320&amp;op_usm=0.8",1)</f>
        <v/>
      </c>
      <c r="B935" s="7" t="inlineStr">
        <is>
          <t>ABC Classic-Fit Golf Short 9"</t>
        </is>
      </c>
      <c r="C935" s="7" t="inlineStr">
        <is>
          <t>156488471</t>
        </is>
      </c>
      <c r="D935" s="7" t="inlineStr">
        <is>
          <t>156488471-clubblue</t>
        </is>
      </c>
      <c r="E935" s="7" t="inlineStr">
        <is>
          <t>ABC Classic-Fit Golf Short 9" BLK 28</t>
        </is>
      </c>
      <c r="F935" s="7" t="inlineStr">
        <is>
          <t>$98.00</t>
        </is>
      </c>
      <c r="G935" s="7" t="inlineStr">
        <is>
          <t>$49.00</t>
        </is>
      </c>
      <c r="H935" s="7" t="inlineStr">
        <is>
          <t>Club Blue</t>
        </is>
      </c>
      <c r="I935" s="7">
        <f>IMAGE("https://images.lululemon.com/is/image/lululemon/68578",1)</f>
        <v/>
      </c>
      <c r="J935" s="7" t="inlineStr">
        <is>
          <t>30</t>
        </is>
      </c>
      <c r="K935" s="7" t="inlineStr">
        <is>
          <t>16/465</t>
        </is>
      </c>
      <c r="L935" s="7" t="inlineStr">
        <is>
          <t>Yes</t>
        </is>
      </c>
      <c r="M935" s="7" t="inlineStr">
        <is>
          <t>From the first tee to the eighteenth green, these stretchy golf shorts will go the distance. Extra pockets store essentials and water-resistant fabric keeps you protected.</t>
        </is>
      </c>
      <c r="N935" s="7" t="inlineStr">
        <is>
          <t>ABC-Classic-Fit-Golf-Short-9</t>
        </is>
      </c>
      <c r="O935" s="7" t="inlineStr">
        <is>
          <t>Chino Shorts</t>
        </is>
      </c>
    </row>
    <row r="936" ht="80" customHeight="1">
      <c r="A936" s="4">
        <f>IMAGE("https://images.lululemon.com/is/image/lululemon/LM7BHES_0001_1?wid=320&amp;op_usm=0.8",1)</f>
        <v/>
      </c>
      <c r="B936" s="4" t="inlineStr">
        <is>
          <t>ABC Classic-Fit Golf Short 9"</t>
        </is>
      </c>
      <c r="C936" s="4" t="inlineStr">
        <is>
          <t>156488474</t>
        </is>
      </c>
      <c r="D936" s="4" t="inlineStr">
        <is>
          <t>156488474-clubblue</t>
        </is>
      </c>
      <c r="E936" s="4" t="inlineStr">
        <is>
          <t>ABC Classic-Fit Golf Short 9" BLK 28</t>
        </is>
      </c>
      <c r="F936" s="4" t="inlineStr">
        <is>
          <t>$98.00</t>
        </is>
      </c>
      <c r="G936" s="4" t="inlineStr">
        <is>
          <t>$49.00</t>
        </is>
      </c>
      <c r="H936" s="4" t="inlineStr">
        <is>
          <t>Club Blue</t>
        </is>
      </c>
      <c r="I936" s="4">
        <f>IMAGE("https://images.lululemon.com/is/image/lululemon/68578",1)</f>
        <v/>
      </c>
      <c r="J936" s="4" t="inlineStr">
        <is>
          <t>31</t>
        </is>
      </c>
      <c r="K936" s="4" t="inlineStr">
        <is>
          <t>8/465</t>
        </is>
      </c>
      <c r="L936" s="4" t="inlineStr">
        <is>
          <t>Yes</t>
        </is>
      </c>
      <c r="M936" s="4" t="inlineStr">
        <is>
          <t>From the first tee to the eighteenth green, these stretchy golf shorts will go the distance. Extra pockets store essentials and water-resistant fabric keeps you protected.</t>
        </is>
      </c>
      <c r="N936" s="4" t="inlineStr">
        <is>
          <t>ABC-Classic-Fit-Golf-Short-9</t>
        </is>
      </c>
      <c r="O936" s="4" t="inlineStr">
        <is>
          <t>Chino Shorts</t>
        </is>
      </c>
    </row>
    <row r="937" ht="80" customHeight="1">
      <c r="A937" s="7">
        <f>IMAGE("https://images.lululemon.com/is/image/lululemon/LM7BHES_0001_1?wid=320&amp;op_usm=0.8",1)</f>
        <v/>
      </c>
      <c r="B937" s="7" t="inlineStr">
        <is>
          <t>ABC Classic-Fit Golf Short 9"</t>
        </is>
      </c>
      <c r="C937" s="7" t="inlineStr">
        <is>
          <t>156488478</t>
        </is>
      </c>
      <c r="D937" s="7" t="inlineStr">
        <is>
          <t>156488478-clubblue</t>
        </is>
      </c>
      <c r="E937" s="7" t="inlineStr">
        <is>
          <t>ABC Classic-Fit Golf Short 9" BLK 28</t>
        </is>
      </c>
      <c r="F937" s="7" t="inlineStr">
        <is>
          <t>$98.00</t>
        </is>
      </c>
      <c r="G937" s="7" t="inlineStr">
        <is>
          <t>$49.00</t>
        </is>
      </c>
      <c r="H937" s="7" t="inlineStr">
        <is>
          <t>Club Blue</t>
        </is>
      </c>
      <c r="I937" s="7">
        <f>IMAGE("https://images.lululemon.com/is/image/lululemon/68578",1)</f>
        <v/>
      </c>
      <c r="J937" s="7" t="inlineStr">
        <is>
          <t>32</t>
        </is>
      </c>
      <c r="K937" s="7" t="inlineStr">
        <is>
          <t>47/465</t>
        </is>
      </c>
      <c r="L937" s="7" t="inlineStr">
        <is>
          <t>Yes</t>
        </is>
      </c>
      <c r="M937" s="7" t="inlineStr">
        <is>
          <t>From the first tee to the eighteenth green, these stretchy golf shorts will go the distance. Extra pockets store essentials and water-resistant fabric keeps you protected.</t>
        </is>
      </c>
      <c r="N937" s="7" t="inlineStr">
        <is>
          <t>ABC-Classic-Fit-Golf-Short-9</t>
        </is>
      </c>
      <c r="O937" s="7" t="inlineStr">
        <is>
          <t>Chino Shorts</t>
        </is>
      </c>
    </row>
    <row r="938" ht="80" customHeight="1">
      <c r="A938" s="4">
        <f>IMAGE("https://images.lululemon.com/is/image/lululemon/LM7BHES_0001_1?wid=320&amp;op_usm=0.8",1)</f>
        <v/>
      </c>
      <c r="B938" s="4" t="inlineStr">
        <is>
          <t>ABC Classic-Fit Golf Short 9"</t>
        </is>
      </c>
      <c r="C938" s="4" t="inlineStr">
        <is>
          <t>156488482</t>
        </is>
      </c>
      <c r="D938" s="4" t="inlineStr">
        <is>
          <t>156488482-clubblue</t>
        </is>
      </c>
      <c r="E938" s="4" t="inlineStr">
        <is>
          <t>ABC Classic-Fit Golf Short 9" BLK 28</t>
        </is>
      </c>
      <c r="F938" s="4" t="inlineStr">
        <is>
          <t>$98.00</t>
        </is>
      </c>
      <c r="G938" s="4" t="inlineStr">
        <is>
          <t>$49.00</t>
        </is>
      </c>
      <c r="H938" s="4" t="inlineStr">
        <is>
          <t>Club Blue</t>
        </is>
      </c>
      <c r="I938" s="4">
        <f>IMAGE("https://images.lululemon.com/is/image/lululemon/68578",1)</f>
        <v/>
      </c>
      <c r="J938" s="4" t="inlineStr">
        <is>
          <t>33</t>
        </is>
      </c>
      <c r="K938" s="4" t="inlineStr">
        <is>
          <t>25/465</t>
        </is>
      </c>
      <c r="L938" s="4" t="inlineStr">
        <is>
          <t>Yes</t>
        </is>
      </c>
      <c r="M938" s="4" t="inlineStr">
        <is>
          <t>From the first tee to the eighteenth green, these stretchy golf shorts will go the distance. Extra pockets store essentials and water-resistant fabric keeps you protected.</t>
        </is>
      </c>
      <c r="N938" s="4" t="inlineStr">
        <is>
          <t>ABC-Classic-Fit-Golf-Short-9</t>
        </is>
      </c>
      <c r="O938" s="4" t="inlineStr">
        <is>
          <t>Chino Shorts</t>
        </is>
      </c>
    </row>
    <row r="939" ht="80" customHeight="1">
      <c r="A939" s="7">
        <f>IMAGE("https://images.lululemon.com/is/image/lululemon/LM7BHES_0001_1?wid=320&amp;op_usm=0.8",1)</f>
        <v/>
      </c>
      <c r="B939" s="7" t="inlineStr">
        <is>
          <t>ABC Classic-Fit Golf Short 9"</t>
        </is>
      </c>
      <c r="C939" s="7" t="inlineStr">
        <is>
          <t>156488487</t>
        </is>
      </c>
      <c r="D939" s="7" t="inlineStr">
        <is>
          <t>156488487-clubblue</t>
        </is>
      </c>
      <c r="E939" s="7" t="inlineStr">
        <is>
          <t>ABC Classic-Fit Golf Short 9" BLK 28</t>
        </is>
      </c>
      <c r="F939" s="7" t="inlineStr">
        <is>
          <t>$98.00</t>
        </is>
      </c>
      <c r="G939" s="7" t="inlineStr">
        <is>
          <t>$49.00</t>
        </is>
      </c>
      <c r="H939" s="7" t="inlineStr">
        <is>
          <t>Club Blue</t>
        </is>
      </c>
      <c r="I939" s="7">
        <f>IMAGE("https://images.lululemon.com/is/image/lululemon/68578",1)</f>
        <v/>
      </c>
      <c r="J939" s="7" t="inlineStr">
        <is>
          <t>34</t>
        </is>
      </c>
      <c r="K939" s="7" t="inlineStr">
        <is>
          <t>50/465</t>
        </is>
      </c>
      <c r="L939" s="7" t="inlineStr">
        <is>
          <t>Yes</t>
        </is>
      </c>
      <c r="M939" s="7" t="inlineStr">
        <is>
          <t>From the first tee to the eighteenth green, these stretchy golf shorts will go the distance. Extra pockets store essentials and water-resistant fabric keeps you protected.</t>
        </is>
      </c>
      <c r="N939" s="7" t="inlineStr">
        <is>
          <t>ABC-Classic-Fit-Golf-Short-9</t>
        </is>
      </c>
      <c r="O939" s="7" t="inlineStr">
        <is>
          <t>Chino Shorts</t>
        </is>
      </c>
    </row>
    <row r="940" ht="80" customHeight="1">
      <c r="A940" s="4">
        <f>IMAGE("https://images.lululemon.com/is/image/lululemon/LM7BHES_0001_1?wid=320&amp;op_usm=0.8",1)</f>
        <v/>
      </c>
      <c r="B940" s="4" t="inlineStr">
        <is>
          <t>ABC Classic-Fit Golf Short 9"</t>
        </is>
      </c>
      <c r="C940" s="4" t="inlineStr">
        <is>
          <t>156488497</t>
        </is>
      </c>
      <c r="D940" s="4" t="inlineStr">
        <is>
          <t>156488497-clubblue</t>
        </is>
      </c>
      <c r="E940" s="4" t="inlineStr">
        <is>
          <t>ABC Classic-Fit Golf Short 9" BLK 28</t>
        </is>
      </c>
      <c r="F940" s="4" t="inlineStr">
        <is>
          <t>$98.00</t>
        </is>
      </c>
      <c r="G940" s="4" t="inlineStr">
        <is>
          <t>$49.00</t>
        </is>
      </c>
      <c r="H940" s="4" t="inlineStr">
        <is>
          <t>Club Blue</t>
        </is>
      </c>
      <c r="I940" s="4">
        <f>IMAGE("https://images.lululemon.com/is/image/lululemon/68578",1)</f>
        <v/>
      </c>
      <c r="J940" s="4" t="inlineStr">
        <is>
          <t>36</t>
        </is>
      </c>
      <c r="K940" s="4" t="inlineStr">
        <is>
          <t>45/465</t>
        </is>
      </c>
      <c r="L940" s="4" t="inlineStr">
        <is>
          <t>Yes</t>
        </is>
      </c>
      <c r="M940" s="4" t="inlineStr">
        <is>
          <t>From the first tee to the eighteenth green, these stretchy golf shorts will go the distance. Extra pockets store essentials and water-resistant fabric keeps you protected.</t>
        </is>
      </c>
      <c r="N940" s="4" t="inlineStr">
        <is>
          <t>ABC-Classic-Fit-Golf-Short-9</t>
        </is>
      </c>
      <c r="O940" s="4" t="inlineStr">
        <is>
          <t>Chino Shorts</t>
        </is>
      </c>
    </row>
    <row r="941" ht="80" customHeight="1">
      <c r="A941" s="7">
        <f>IMAGE("https://images.lululemon.com/is/image/lululemon/LM7BHES_0001_1?wid=320&amp;op_usm=0.8",1)</f>
        <v/>
      </c>
      <c r="B941" s="7" t="inlineStr">
        <is>
          <t>ABC Classic-Fit Golf Short 9"</t>
        </is>
      </c>
      <c r="C941" s="7" t="inlineStr">
        <is>
          <t>156488507</t>
        </is>
      </c>
      <c r="D941" s="7" t="inlineStr">
        <is>
          <t>156488507-clubblue</t>
        </is>
      </c>
      <c r="E941" s="7" t="inlineStr">
        <is>
          <t>ABC Classic-Fit Golf Short 9" BLK 28</t>
        </is>
      </c>
      <c r="F941" s="7" t="inlineStr">
        <is>
          <t>$98.00</t>
        </is>
      </c>
      <c r="G941" s="7" t="inlineStr">
        <is>
          <t>$49.00</t>
        </is>
      </c>
      <c r="H941" s="7" t="inlineStr">
        <is>
          <t>Club Blue</t>
        </is>
      </c>
      <c r="I941" s="7">
        <f>IMAGE("https://images.lululemon.com/is/image/lululemon/68578",1)</f>
        <v/>
      </c>
      <c r="J941" s="7" t="inlineStr">
        <is>
          <t>38</t>
        </is>
      </c>
      <c r="K941" s="7" t="inlineStr">
        <is>
          <t>23/465</t>
        </is>
      </c>
      <c r="L941" s="7" t="inlineStr">
        <is>
          <t>Yes</t>
        </is>
      </c>
      <c r="M941" s="7" t="inlineStr">
        <is>
          <t>From the first tee to the eighteenth green, these stretchy golf shorts will go the distance. Extra pockets store essentials and water-resistant fabric keeps you protected.</t>
        </is>
      </c>
      <c r="N941" s="7" t="inlineStr">
        <is>
          <t>ABC-Classic-Fit-Golf-Short-9</t>
        </is>
      </c>
      <c r="O941" s="7" t="inlineStr">
        <is>
          <t>Chino Shorts</t>
        </is>
      </c>
    </row>
    <row r="942" ht="80" customHeight="1">
      <c r="A942" s="6">
        <f>IMAGE("https://images.lululemon.com/is/image/lululemon/LM7BHES_0001_1?wid=320&amp;op_usm=0.8",1)</f>
        <v/>
      </c>
      <c r="B942" s="6" t="inlineStr">
        <is>
          <t>ABC Classic-Fit Golf Short 9"</t>
        </is>
      </c>
      <c r="C942" s="6" t="inlineStr">
        <is>
          <t>156488517</t>
        </is>
      </c>
      <c r="D942" s="6" t="inlineStr">
        <is>
          <t>156488517-clubblue</t>
        </is>
      </c>
      <c r="E942" s="6" t="inlineStr">
        <is>
          <t>ABC Classic-Fit Golf Short 9" BLK 28</t>
        </is>
      </c>
      <c r="F942" s="6" t="inlineStr">
        <is>
          <t>$98.00</t>
        </is>
      </c>
      <c r="G942" s="6" t="inlineStr">
        <is>
          <t>$49.00</t>
        </is>
      </c>
      <c r="H942" s="6" t="inlineStr">
        <is>
          <t>Club Blue</t>
        </is>
      </c>
      <c r="I942" s="6">
        <f>IMAGE("https://images.lululemon.com/is/image/lululemon/68578",1)</f>
        <v/>
      </c>
      <c r="J942" s="6" t="inlineStr">
        <is>
          <t>40</t>
        </is>
      </c>
      <c r="K942" s="6" t="inlineStr">
        <is>
          <t>7/465</t>
        </is>
      </c>
      <c r="L942" s="6" t="inlineStr">
        <is>
          <t>Yes</t>
        </is>
      </c>
      <c r="M942" s="6" t="inlineStr">
        <is>
          <t>From the first tee to the eighteenth green, these stretchy golf shorts will go the distance. Extra pockets store essentials and water-resistant fabric keeps you protected.</t>
        </is>
      </c>
      <c r="N942" s="6" t="inlineStr">
        <is>
          <t>ABC-Classic-Fit-Golf-Short-9</t>
        </is>
      </c>
      <c r="O942" s="6" t="inlineStr">
        <is>
          <t>Chino Shorts</t>
        </is>
      </c>
    </row>
    <row r="943" ht="80" customHeight="1">
      <c r="A943" s="7">
        <f>IMAGE("https://images.lululemon.com/is/image/lululemon/LM3FULS_0001_1?wid=320&amp;op_usm=0.8",1)</f>
        <v/>
      </c>
      <c r="B943" s="7" t="inlineStr">
        <is>
          <t>License to Train Textured Full Zip</t>
        </is>
      </c>
      <c r="C943" s="7" t="inlineStr">
        <is>
          <t>157676562</t>
        </is>
      </c>
      <c r="D943" s="7" t="inlineStr">
        <is>
          <t>157676562-black</t>
        </is>
      </c>
      <c r="E943" s="7" t="inlineStr">
        <is>
          <t>License to Train Textured Full Zip BLK XL</t>
        </is>
      </c>
      <c r="F943" s="7" t="inlineStr">
        <is>
          <t>$148.00</t>
        </is>
      </c>
      <c r="G943" s="7" t="inlineStr">
        <is>
          <t>$74.00</t>
        </is>
      </c>
      <c r="H943" s="7" t="inlineStr">
        <is>
          <t>Black</t>
        </is>
      </c>
      <c r="I943" s="7">
        <f>IMAGE("https://images.lululemon.com/is/image/lululemon/0001",1)</f>
        <v/>
      </c>
      <c r="J943" s="7" t="inlineStr">
        <is>
          <t>XL</t>
        </is>
      </c>
      <c r="K943" s="7" t="inlineStr">
        <is>
          <t>4/11</t>
        </is>
      </c>
      <c r="L943" s="7" t="inlineStr">
        <is>
          <t>Yes</t>
        </is>
      </c>
      <c r="M943" s="7" t="inlineStr">
        <is>
          <t>Feel the gains—not the gear. Made of lightweight, softly textured fabric with lots of stretch, this high-performance hoodie won't cling during warm-ups or tough workouts.</t>
        </is>
      </c>
      <c r="N943" s="7" t="inlineStr">
        <is>
          <t>License-to-Train-Textured-Full-Zip</t>
        </is>
      </c>
      <c r="O943" s="7" t="inlineStr">
        <is>
          <t>Zip Up Sweatshirts, Hoodies</t>
        </is>
      </c>
    </row>
    <row r="944" ht="80" customHeight="1">
      <c r="A944" s="6">
        <f>IMAGE("https://images.lululemon.com/is/image/lululemon/LM3FULS_0001_1?wid=320&amp;op_usm=0.8",1)</f>
        <v/>
      </c>
      <c r="B944" s="6" t="inlineStr">
        <is>
          <t>License to Train Textured Full Zip</t>
        </is>
      </c>
      <c r="C944" s="6" t="inlineStr">
        <is>
          <t>157676575</t>
        </is>
      </c>
      <c r="D944" s="6" t="inlineStr">
        <is>
          <t>157676575-black</t>
        </is>
      </c>
      <c r="E944" s="6" t="inlineStr">
        <is>
          <t>License to Train Textured Full Zip BLK XL</t>
        </is>
      </c>
      <c r="F944" s="6" t="inlineStr">
        <is>
          <t>$148.00</t>
        </is>
      </c>
      <c r="G944" s="6" t="inlineStr">
        <is>
          <t>$74.00</t>
        </is>
      </c>
      <c r="H944" s="6" t="inlineStr">
        <is>
          <t>Black</t>
        </is>
      </c>
      <c r="I944" s="6">
        <f>IMAGE("https://images.lululemon.com/is/image/lululemon/0001",1)</f>
        <v/>
      </c>
      <c r="J944" s="6" t="inlineStr">
        <is>
          <t>XXL</t>
        </is>
      </c>
      <c r="K944" s="6" t="inlineStr">
        <is>
          <t>7/11</t>
        </is>
      </c>
      <c r="L944" s="6" t="inlineStr">
        <is>
          <t>Yes</t>
        </is>
      </c>
      <c r="M944" s="6" t="inlineStr">
        <is>
          <t>Feel the gains—not the gear. Made of lightweight, softly textured fabric with lots of stretch, this high-performance hoodie won't cling during warm-ups or tough workouts.</t>
        </is>
      </c>
      <c r="N944" s="6" t="inlineStr">
        <is>
          <t>License-to-Train-Textured-Full-Zip</t>
        </is>
      </c>
      <c r="O944" s="6" t="inlineStr">
        <is>
          <t>Zip Up Sweatshirts, Hoodies</t>
        </is>
      </c>
    </row>
    <row r="945" ht="80" customHeight="1">
      <c r="A945" s="7">
        <f>IMAGE("https://images.lululemon.com/is/image/lululemon/LM3GFFS_0001_1?wid=320&amp;op_usm=0.8",1)</f>
        <v/>
      </c>
      <c r="B945" s="7" t="inlineStr">
        <is>
          <t>Fast and Free Short-Sleeve Shirt</t>
        </is>
      </c>
      <c r="C945" s="7" t="inlineStr">
        <is>
          <t>157718168</t>
        </is>
      </c>
      <c r="D945" s="7" t="inlineStr">
        <is>
          <t>157718168-black</t>
        </is>
      </c>
      <c r="E945" s="7" t="inlineStr">
        <is>
          <t>Fast and Free Short Sleeve BLK S</t>
        </is>
      </c>
      <c r="F945" s="7" t="inlineStr">
        <is>
          <t>$78.00</t>
        </is>
      </c>
      <c r="G945" s="7" t="inlineStr">
        <is>
          <t>$39.00</t>
        </is>
      </c>
      <c r="H945" s="7" t="inlineStr">
        <is>
          <t>Black</t>
        </is>
      </c>
      <c r="I945" s="7">
        <f>IMAGE("https://images.lululemon.com/is/image/lululemon/0001",1)</f>
        <v/>
      </c>
      <c r="J945" s="7" t="inlineStr">
        <is>
          <t>S</t>
        </is>
      </c>
      <c r="K945" s="7" t="inlineStr">
        <is>
          <t>21/443</t>
        </is>
      </c>
      <c r="L945" s="7" t="inlineStr">
        <is>
          <t>Yes</t>
        </is>
      </c>
      <c r="M945" s="7" t="inlineStr">
        <is>
          <t>100% pure running freedom. Made of lightweight, breezy mesh fabric, this top offers all the ventilation you need to go the distance.</t>
        </is>
      </c>
      <c r="N945" s="7" t="inlineStr">
        <is>
          <t>Fast-And-Free-Short-Sleeve</t>
        </is>
      </c>
      <c r="O945" s="7" t="inlineStr"/>
    </row>
    <row r="946" ht="80" customHeight="1">
      <c r="A946" s="4">
        <f>IMAGE("https://images.lululemon.com/is/image/lululemon/LM3GFFS_0001_1?wid=320&amp;op_usm=0.8",1)</f>
        <v/>
      </c>
      <c r="B946" s="4" t="inlineStr">
        <is>
          <t>Fast and Free Short-Sleeve Shirt</t>
        </is>
      </c>
      <c r="C946" s="4" t="inlineStr">
        <is>
          <t>157718167</t>
        </is>
      </c>
      <c r="D946" s="4" t="inlineStr">
        <is>
          <t>157718167-black</t>
        </is>
      </c>
      <c r="E946" s="4" t="inlineStr">
        <is>
          <t>Fast and Free Short Sleeve BLK S</t>
        </is>
      </c>
      <c r="F946" s="4" t="inlineStr">
        <is>
          <t>$78.00</t>
        </is>
      </c>
      <c r="G946" s="4" t="inlineStr">
        <is>
          <t>$39.00</t>
        </is>
      </c>
      <c r="H946" s="4" t="inlineStr">
        <is>
          <t>Black</t>
        </is>
      </c>
      <c r="I946" s="4">
        <f>IMAGE("https://images.lululemon.com/is/image/lululemon/0001",1)</f>
        <v/>
      </c>
      <c r="J946" s="4" t="inlineStr">
        <is>
          <t>M</t>
        </is>
      </c>
      <c r="K946" s="4" t="inlineStr">
        <is>
          <t>64/443</t>
        </is>
      </c>
      <c r="L946" s="4" t="inlineStr">
        <is>
          <t>Yes</t>
        </is>
      </c>
      <c r="M946" s="4" t="inlineStr">
        <is>
          <t>100% pure running freedom. Made of lightweight, breezy mesh fabric, this top offers all the ventilation you need to go the distance.</t>
        </is>
      </c>
      <c r="N946" s="4" t="inlineStr">
        <is>
          <t>Fast-And-Free-Short-Sleeve</t>
        </is>
      </c>
      <c r="O946" s="4" t="inlineStr"/>
    </row>
    <row r="947" ht="80" customHeight="1">
      <c r="A947" s="7">
        <f>IMAGE("https://images.lululemon.com/is/image/lululemon/LM3GFFS_0001_1?wid=320&amp;op_usm=0.8",1)</f>
        <v/>
      </c>
      <c r="B947" s="7" t="inlineStr">
        <is>
          <t>Fast and Free Short-Sleeve Shirt</t>
        </is>
      </c>
      <c r="C947" s="7" t="inlineStr">
        <is>
          <t>157718166</t>
        </is>
      </c>
      <c r="D947" s="7" t="inlineStr">
        <is>
          <t>157718166-black</t>
        </is>
      </c>
      <c r="E947" s="7" t="inlineStr">
        <is>
          <t>Fast and Free Short Sleeve BLK S</t>
        </is>
      </c>
      <c r="F947" s="7" t="inlineStr">
        <is>
          <t>$78.00</t>
        </is>
      </c>
      <c r="G947" s="7" t="inlineStr">
        <is>
          <t>$39.00</t>
        </is>
      </c>
      <c r="H947" s="7" t="inlineStr">
        <is>
          <t>Black</t>
        </is>
      </c>
      <c r="I947" s="7">
        <f>IMAGE("https://images.lululemon.com/is/image/lululemon/0001",1)</f>
        <v/>
      </c>
      <c r="J947" s="7" t="inlineStr">
        <is>
          <t>L</t>
        </is>
      </c>
      <c r="K947" s="7" t="inlineStr">
        <is>
          <t>87/443</t>
        </is>
      </c>
      <c r="L947" s="7" t="inlineStr">
        <is>
          <t>Yes</t>
        </is>
      </c>
      <c r="M947" s="7" t="inlineStr">
        <is>
          <t>100% pure running freedom. Made of lightweight, breezy mesh fabric, this top offers all the ventilation you need to go the distance.</t>
        </is>
      </c>
      <c r="N947" s="7" t="inlineStr">
        <is>
          <t>Fast-And-Free-Short-Sleeve</t>
        </is>
      </c>
      <c r="O947" s="7" t="inlineStr"/>
    </row>
    <row r="948" ht="80" customHeight="1">
      <c r="A948" s="4">
        <f>IMAGE("https://images.lululemon.com/is/image/lululemon/LM3GFFS_0001_1?wid=320&amp;op_usm=0.8",1)</f>
        <v/>
      </c>
      <c r="B948" s="4" t="inlineStr">
        <is>
          <t>Fast and Free Short-Sleeve Shirt</t>
        </is>
      </c>
      <c r="C948" s="4" t="inlineStr">
        <is>
          <t>157718169</t>
        </is>
      </c>
      <c r="D948" s="4" t="inlineStr">
        <is>
          <t>157718169-black</t>
        </is>
      </c>
      <c r="E948" s="4" t="inlineStr">
        <is>
          <t>Fast and Free Short Sleeve BLK S</t>
        </is>
      </c>
      <c r="F948" s="4" t="inlineStr">
        <is>
          <t>$78.00</t>
        </is>
      </c>
      <c r="G948" s="4" t="inlineStr">
        <is>
          <t>$39.00</t>
        </is>
      </c>
      <c r="H948" s="4" t="inlineStr">
        <is>
          <t>Black</t>
        </is>
      </c>
      <c r="I948" s="4">
        <f>IMAGE("https://images.lululemon.com/is/image/lululemon/0001",1)</f>
        <v/>
      </c>
      <c r="J948" s="4" t="inlineStr">
        <is>
          <t>XL</t>
        </is>
      </c>
      <c r="K948" s="4" t="inlineStr">
        <is>
          <t>59/443</t>
        </is>
      </c>
      <c r="L948" s="4" t="inlineStr">
        <is>
          <t>Yes</t>
        </is>
      </c>
      <c r="M948" s="4" t="inlineStr">
        <is>
          <t>100% pure running freedom. Made of lightweight, breezy mesh fabric, this top offers all the ventilation you need to go the distance.</t>
        </is>
      </c>
      <c r="N948" s="4" t="inlineStr">
        <is>
          <t>Fast-And-Free-Short-Sleeve</t>
        </is>
      </c>
      <c r="O948" s="4" t="inlineStr"/>
    </row>
    <row r="949" ht="80" customHeight="1">
      <c r="A949" s="7">
        <f>IMAGE("https://images.lululemon.com/is/image/lululemon/LM3GFFS_0001_1?wid=320&amp;op_usm=0.8",1)</f>
        <v/>
      </c>
      <c r="B949" s="7" t="inlineStr">
        <is>
          <t>Fast and Free Short-Sleeve Shirt</t>
        </is>
      </c>
      <c r="C949" s="7" t="inlineStr">
        <is>
          <t>157718171</t>
        </is>
      </c>
      <c r="D949" s="7" t="inlineStr">
        <is>
          <t>157718171-black</t>
        </is>
      </c>
      <c r="E949" s="7" t="inlineStr">
        <is>
          <t>Fast and Free Short Sleeve BLK S</t>
        </is>
      </c>
      <c r="F949" s="7" t="inlineStr">
        <is>
          <t>$78.00</t>
        </is>
      </c>
      <c r="G949" s="7" t="inlineStr">
        <is>
          <t>$39.00</t>
        </is>
      </c>
      <c r="H949" s="7" t="inlineStr">
        <is>
          <t>Black</t>
        </is>
      </c>
      <c r="I949" s="7">
        <f>IMAGE("https://images.lululemon.com/is/image/lululemon/0001",1)</f>
        <v/>
      </c>
      <c r="J949" s="7" t="inlineStr">
        <is>
          <t>XXL</t>
        </is>
      </c>
      <c r="K949" s="7" t="inlineStr">
        <is>
          <t>20/443</t>
        </is>
      </c>
      <c r="L949" s="7" t="inlineStr">
        <is>
          <t>Yes</t>
        </is>
      </c>
      <c r="M949" s="7" t="inlineStr">
        <is>
          <t>100% pure running freedom. Made of lightweight, breezy mesh fabric, this top offers all the ventilation you need to go the distance.</t>
        </is>
      </c>
      <c r="N949" s="7" t="inlineStr">
        <is>
          <t>Fast-And-Free-Short-Sleeve</t>
        </is>
      </c>
      <c r="O949" s="7" t="inlineStr"/>
    </row>
    <row r="950" ht="80" customHeight="1">
      <c r="A950" s="4">
        <f>IMAGE("https://images.lululemon.com/is/image/lululemon/LM3GFFS_0001_1?wid=320&amp;op_usm=0.8",1)</f>
        <v/>
      </c>
      <c r="B950" s="4" t="inlineStr">
        <is>
          <t>Fast and Free Short-Sleeve Shirt</t>
        </is>
      </c>
      <c r="C950" s="4" t="inlineStr">
        <is>
          <t>158099326</t>
        </is>
      </c>
      <c r="D950" s="4" t="inlineStr">
        <is>
          <t>158099326-silverdrop</t>
        </is>
      </c>
      <c r="E950" s="4" t="inlineStr">
        <is>
          <t>Fast and Free Short Sleeve BLK S</t>
        </is>
      </c>
      <c r="F950" s="4" t="inlineStr">
        <is>
          <t>$78.00</t>
        </is>
      </c>
      <c r="G950" s="4" t="inlineStr">
        <is>
          <t>$39.00</t>
        </is>
      </c>
      <c r="H950" s="4" t="inlineStr">
        <is>
          <t>Silver Drop</t>
        </is>
      </c>
      <c r="I950" s="4">
        <f>IMAGE("https://images.lululemon.com/is/image/lululemon/33928",1)</f>
        <v/>
      </c>
      <c r="J950" s="4" t="inlineStr">
        <is>
          <t>S</t>
        </is>
      </c>
      <c r="K950" s="4" t="inlineStr">
        <is>
          <t>16/443</t>
        </is>
      </c>
      <c r="L950" s="4" t="inlineStr">
        <is>
          <t>Yes</t>
        </is>
      </c>
      <c r="M950" s="4" t="inlineStr">
        <is>
          <t>100% pure running freedom. Made of lightweight, breezy mesh fabric, this top offers all the ventilation you need to go the distance.</t>
        </is>
      </c>
      <c r="N950" s="4" t="inlineStr">
        <is>
          <t>Fast-And-Free-Short-Sleeve</t>
        </is>
      </c>
      <c r="O950" s="4" t="inlineStr"/>
    </row>
    <row r="951" ht="80" customHeight="1">
      <c r="A951" s="7">
        <f>IMAGE("https://images.lululemon.com/is/image/lululemon/LM3GFFS_0001_1?wid=320&amp;op_usm=0.8",1)</f>
        <v/>
      </c>
      <c r="B951" s="7" t="inlineStr">
        <is>
          <t>Fast and Free Short-Sleeve Shirt</t>
        </is>
      </c>
      <c r="C951" s="7" t="inlineStr">
        <is>
          <t>158099308</t>
        </is>
      </c>
      <c r="D951" s="7" t="inlineStr">
        <is>
          <t>158099308-silverdrop</t>
        </is>
      </c>
      <c r="E951" s="7" t="inlineStr">
        <is>
          <t>Fast and Free Short Sleeve BLK S</t>
        </is>
      </c>
      <c r="F951" s="7" t="inlineStr">
        <is>
          <t>$78.00</t>
        </is>
      </c>
      <c r="G951" s="7" t="inlineStr">
        <is>
          <t>$39.00</t>
        </is>
      </c>
      <c r="H951" s="7" t="inlineStr">
        <is>
          <t>Silver Drop</t>
        </is>
      </c>
      <c r="I951" s="7">
        <f>IMAGE("https://images.lululemon.com/is/image/lululemon/33928",1)</f>
        <v/>
      </c>
      <c r="J951" s="7" t="inlineStr">
        <is>
          <t>M</t>
        </is>
      </c>
      <c r="K951" s="7" t="inlineStr">
        <is>
          <t>47/443</t>
        </is>
      </c>
      <c r="L951" s="7" t="inlineStr">
        <is>
          <t>Yes</t>
        </is>
      </c>
      <c r="M951" s="7" t="inlineStr">
        <is>
          <t>100% pure running freedom. Made of lightweight, breezy mesh fabric, this top offers all the ventilation you need to go the distance.</t>
        </is>
      </c>
      <c r="N951" s="7" t="inlineStr">
        <is>
          <t>Fast-And-Free-Short-Sleeve</t>
        </is>
      </c>
      <c r="O951" s="7" t="inlineStr"/>
    </row>
    <row r="952" ht="80" customHeight="1">
      <c r="A952" s="4">
        <f>IMAGE("https://images.lululemon.com/is/image/lululemon/LM3GFFS_0001_1?wid=320&amp;op_usm=0.8",1)</f>
        <v/>
      </c>
      <c r="B952" s="4" t="inlineStr">
        <is>
          <t>Fast and Free Short-Sleeve Shirt</t>
        </is>
      </c>
      <c r="C952" s="4" t="inlineStr">
        <is>
          <t>158099288</t>
        </is>
      </c>
      <c r="D952" s="4" t="inlineStr">
        <is>
          <t>158099288-silverdrop</t>
        </is>
      </c>
      <c r="E952" s="4" t="inlineStr">
        <is>
          <t>Fast and Free Short Sleeve BLK S</t>
        </is>
      </c>
      <c r="F952" s="4" t="inlineStr">
        <is>
          <t>$78.00</t>
        </is>
      </c>
      <c r="G952" s="4" t="inlineStr">
        <is>
          <t>$39.00</t>
        </is>
      </c>
      <c r="H952" s="4" t="inlineStr">
        <is>
          <t>Silver Drop</t>
        </is>
      </c>
      <c r="I952" s="4">
        <f>IMAGE("https://images.lululemon.com/is/image/lululemon/33928",1)</f>
        <v/>
      </c>
      <c r="J952" s="4" t="inlineStr">
        <is>
          <t>L</t>
        </is>
      </c>
      <c r="K952" s="4" t="inlineStr">
        <is>
          <t>68/443</t>
        </is>
      </c>
      <c r="L952" s="4" t="inlineStr">
        <is>
          <t>Yes</t>
        </is>
      </c>
      <c r="M952" s="4" t="inlineStr">
        <is>
          <t>100% pure running freedom. Made of lightweight, breezy mesh fabric, this top offers all the ventilation you need to go the distance.</t>
        </is>
      </c>
      <c r="N952" s="4" t="inlineStr">
        <is>
          <t>Fast-And-Free-Short-Sleeve</t>
        </is>
      </c>
      <c r="O952" s="4" t="inlineStr"/>
    </row>
    <row r="953" ht="80" customHeight="1">
      <c r="A953" s="7">
        <f>IMAGE("https://images.lululemon.com/is/image/lululemon/LM3GFFS_0001_1?wid=320&amp;op_usm=0.8",1)</f>
        <v/>
      </c>
      <c r="B953" s="7" t="inlineStr">
        <is>
          <t>Fast and Free Short-Sleeve Shirt</t>
        </is>
      </c>
      <c r="C953" s="7" t="inlineStr">
        <is>
          <t>158099345</t>
        </is>
      </c>
      <c r="D953" s="7" t="inlineStr">
        <is>
          <t>158099345-silverdrop</t>
        </is>
      </c>
      <c r="E953" s="7" t="inlineStr">
        <is>
          <t>Fast and Free Short Sleeve BLK S</t>
        </is>
      </c>
      <c r="F953" s="7" t="inlineStr">
        <is>
          <t>$78.00</t>
        </is>
      </c>
      <c r="G953" s="7" t="inlineStr">
        <is>
          <t>$39.00</t>
        </is>
      </c>
      <c r="H953" s="7" t="inlineStr">
        <is>
          <t>Silver Drop</t>
        </is>
      </c>
      <c r="I953" s="7">
        <f>IMAGE("https://images.lululemon.com/is/image/lululemon/33928",1)</f>
        <v/>
      </c>
      <c r="J953" s="7" t="inlineStr">
        <is>
          <t>XL</t>
        </is>
      </c>
      <c r="K953" s="7" t="inlineStr">
        <is>
          <t>46/443</t>
        </is>
      </c>
      <c r="L953" s="7" t="inlineStr">
        <is>
          <t>Yes</t>
        </is>
      </c>
      <c r="M953" s="7" t="inlineStr">
        <is>
          <t>100% pure running freedom. Made of lightweight, breezy mesh fabric, this top offers all the ventilation you need to go the distance.</t>
        </is>
      </c>
      <c r="N953" s="7" t="inlineStr">
        <is>
          <t>Fast-And-Free-Short-Sleeve</t>
        </is>
      </c>
      <c r="O953" s="7" t="inlineStr"/>
    </row>
    <row r="954" ht="80" customHeight="1">
      <c r="A954" s="6">
        <f>IMAGE("https://images.lululemon.com/is/image/lululemon/LM3GFFS_0001_1?wid=320&amp;op_usm=0.8",1)</f>
        <v/>
      </c>
      <c r="B954" s="6" t="inlineStr">
        <is>
          <t>Fast and Free Short-Sleeve Shirt</t>
        </is>
      </c>
      <c r="C954" s="6" t="inlineStr">
        <is>
          <t>158099386</t>
        </is>
      </c>
      <c r="D954" s="6" t="inlineStr">
        <is>
          <t>158099386-silverdrop</t>
        </is>
      </c>
      <c r="E954" s="6" t="inlineStr">
        <is>
          <t>Fast and Free Short Sleeve BLK S</t>
        </is>
      </c>
      <c r="F954" s="6" t="inlineStr">
        <is>
          <t>$78.00</t>
        </is>
      </c>
      <c r="G954" s="6" t="inlineStr">
        <is>
          <t>$39.00</t>
        </is>
      </c>
      <c r="H954" s="6" t="inlineStr">
        <is>
          <t>Silver Drop</t>
        </is>
      </c>
      <c r="I954" s="6">
        <f>IMAGE("https://images.lululemon.com/is/image/lululemon/33928",1)</f>
        <v/>
      </c>
      <c r="J954" s="6" t="inlineStr">
        <is>
          <t>XXL</t>
        </is>
      </c>
      <c r="K954" s="6" t="inlineStr">
        <is>
          <t>15/443</t>
        </is>
      </c>
      <c r="L954" s="6" t="inlineStr">
        <is>
          <t>Yes</t>
        </is>
      </c>
      <c r="M954" s="6" t="inlineStr">
        <is>
          <t>100% pure running freedom. Made of lightweight, breezy mesh fabric, this top offers all the ventilation you need to go the distance.</t>
        </is>
      </c>
      <c r="N954" s="6" t="inlineStr">
        <is>
          <t>Fast-And-Free-Short-Sleeve</t>
        </is>
      </c>
      <c r="O954" s="6" t="inlineStr"/>
    </row>
    <row r="955" ht="80" customHeight="1">
      <c r="A955" s="7">
        <f>IMAGE("https://images.lululemon.com/is/image/lululemon/LM5AY7S_0001_1?wid=320&amp;op_usm=0.8",1)</f>
        <v/>
      </c>
      <c r="B955" s="7" t="inlineStr">
        <is>
          <t>Pace Breaker Jogger *Regular</t>
        </is>
      </c>
      <c r="C955" s="7" t="inlineStr">
        <is>
          <t>153844019</t>
        </is>
      </c>
      <c r="D955" s="7" t="inlineStr">
        <is>
          <t>153844019-black</t>
        </is>
      </c>
      <c r="E955" s="7" t="inlineStr">
        <is>
          <t>Pace Breaker Jogger *Regular BLK S</t>
        </is>
      </c>
      <c r="F955" s="7" t="inlineStr">
        <is>
          <t>$128.00</t>
        </is>
      </c>
      <c r="G955" s="7" t="inlineStr">
        <is>
          <t>$64.00</t>
        </is>
      </c>
      <c r="H955" s="7" t="inlineStr">
        <is>
          <t>Black</t>
        </is>
      </c>
      <c r="I955" s="7">
        <f>IMAGE("https://images.lululemon.com/is/image/lululemon/0001",1)</f>
        <v/>
      </c>
      <c r="J955" s="7" t="inlineStr">
        <is>
          <t>S</t>
        </is>
      </c>
      <c r="K955" s="7" t="inlineStr">
        <is>
          <t>80/1473</t>
        </is>
      </c>
      <c r="L955" s="7" t="inlineStr">
        <is>
          <t>Yes</t>
        </is>
      </c>
      <c r="M955" s="7" t="inlineStr">
        <is>
          <t>Give it your all. These versatile joggers are designed for maximum comfort and zero distractions as you stretch, sprint, and lift.</t>
        </is>
      </c>
      <c r="N955" s="7" t="inlineStr">
        <is>
          <t>Pace-Breaker-Jogger</t>
        </is>
      </c>
      <c r="O955" s="7" t="inlineStr">
        <is>
          <t>Athletic Pants</t>
        </is>
      </c>
    </row>
    <row r="956" ht="80" customHeight="1">
      <c r="A956" s="4">
        <f>IMAGE("https://images.lululemon.com/is/image/lululemon/LM5AY7S_0001_1?wid=320&amp;op_usm=0.8",1)</f>
        <v/>
      </c>
      <c r="B956" s="4" t="inlineStr">
        <is>
          <t>Pace Breaker Jogger *Regular</t>
        </is>
      </c>
      <c r="C956" s="4" t="inlineStr">
        <is>
          <t>153844009</t>
        </is>
      </c>
      <c r="D956" s="4" t="inlineStr">
        <is>
          <t>153844009-black</t>
        </is>
      </c>
      <c r="E956" s="4" t="inlineStr">
        <is>
          <t>Pace Breaker Jogger *Regular BLK S</t>
        </is>
      </c>
      <c r="F956" s="4" t="inlineStr">
        <is>
          <t>$128.00</t>
        </is>
      </c>
      <c r="G956" s="4" t="inlineStr">
        <is>
          <t>$64.00</t>
        </is>
      </c>
      <c r="H956" s="4" t="inlineStr">
        <is>
          <t>Black</t>
        </is>
      </c>
      <c r="I956" s="4">
        <f>IMAGE("https://images.lululemon.com/is/image/lululemon/0001",1)</f>
        <v/>
      </c>
      <c r="J956" s="4" t="inlineStr">
        <is>
          <t>M</t>
        </is>
      </c>
      <c r="K956" s="4" t="inlineStr">
        <is>
          <t>195/1473</t>
        </is>
      </c>
      <c r="L956" s="4" t="inlineStr">
        <is>
          <t>Yes</t>
        </is>
      </c>
      <c r="M956" s="4" t="inlineStr">
        <is>
          <t>Give it your all. These versatile joggers are designed for maximum comfort and zero distractions as you stretch, sprint, and lift.</t>
        </is>
      </c>
      <c r="N956" s="4" t="inlineStr">
        <is>
          <t>Pace-Breaker-Jogger</t>
        </is>
      </c>
      <c r="O956" s="4" t="inlineStr">
        <is>
          <t>Athletic Pants</t>
        </is>
      </c>
    </row>
    <row r="957" ht="80" customHeight="1">
      <c r="A957" s="7">
        <f>IMAGE("https://images.lululemon.com/is/image/lululemon/LM5AY7S_0001_1?wid=320&amp;op_usm=0.8",1)</f>
        <v/>
      </c>
      <c r="B957" s="7" t="inlineStr">
        <is>
          <t>Pace Breaker Jogger *Regular</t>
        </is>
      </c>
      <c r="C957" s="7" t="inlineStr">
        <is>
          <t>153844000</t>
        </is>
      </c>
      <c r="D957" s="7" t="inlineStr">
        <is>
          <t>153844000-black</t>
        </is>
      </c>
      <c r="E957" s="7" t="inlineStr">
        <is>
          <t>Pace Breaker Jogger *Regular BLK S</t>
        </is>
      </c>
      <c r="F957" s="7" t="inlineStr">
        <is>
          <t>$128.00</t>
        </is>
      </c>
      <c r="G957" s="7" t="inlineStr">
        <is>
          <t>$64.00</t>
        </is>
      </c>
      <c r="H957" s="7" t="inlineStr">
        <is>
          <t>Black</t>
        </is>
      </c>
      <c r="I957" s="7">
        <f>IMAGE("https://images.lululemon.com/is/image/lululemon/0001",1)</f>
        <v/>
      </c>
      <c r="J957" s="7" t="inlineStr">
        <is>
          <t>L</t>
        </is>
      </c>
      <c r="K957" s="7" t="inlineStr">
        <is>
          <t>175/1473</t>
        </is>
      </c>
      <c r="L957" s="7" t="inlineStr">
        <is>
          <t>Yes</t>
        </is>
      </c>
      <c r="M957" s="7" t="inlineStr">
        <is>
          <t>Give it your all. These versatile joggers are designed for maximum comfort and zero distractions as you stretch, sprint, and lift.</t>
        </is>
      </c>
      <c r="N957" s="7" t="inlineStr">
        <is>
          <t>Pace-Breaker-Jogger</t>
        </is>
      </c>
      <c r="O957" s="7" t="inlineStr">
        <is>
          <t>Athletic Pants</t>
        </is>
      </c>
    </row>
    <row r="958" ht="80" customHeight="1">
      <c r="A958" s="4">
        <f>IMAGE("https://images.lululemon.com/is/image/lululemon/LM5AY7S_0001_1?wid=320&amp;op_usm=0.8",1)</f>
        <v/>
      </c>
      <c r="B958" s="4" t="inlineStr">
        <is>
          <t>Pace Breaker Jogger *Regular</t>
        </is>
      </c>
      <c r="C958" s="4" t="inlineStr">
        <is>
          <t>153844024</t>
        </is>
      </c>
      <c r="D958" s="4" t="inlineStr">
        <is>
          <t>153844024-black</t>
        </is>
      </c>
      <c r="E958" s="4" t="inlineStr">
        <is>
          <t>Pace Breaker Jogger *Regular BLK S</t>
        </is>
      </c>
      <c r="F958" s="4" t="inlineStr">
        <is>
          <t>$128.00</t>
        </is>
      </c>
      <c r="G958" s="4" t="inlineStr">
        <is>
          <t>$64.00</t>
        </is>
      </c>
      <c r="H958" s="4" t="inlineStr">
        <is>
          <t>Black</t>
        </is>
      </c>
      <c r="I958" s="4">
        <f>IMAGE("https://images.lululemon.com/is/image/lululemon/0001",1)</f>
        <v/>
      </c>
      <c r="J958" s="4" t="inlineStr">
        <is>
          <t>XL</t>
        </is>
      </c>
      <c r="K958" s="4" t="inlineStr">
        <is>
          <t>242/1473</t>
        </is>
      </c>
      <c r="L958" s="4" t="inlineStr">
        <is>
          <t>Yes</t>
        </is>
      </c>
      <c r="M958" s="4" t="inlineStr">
        <is>
          <t>Give it your all. These versatile joggers are designed for maximum comfort and zero distractions as you stretch, sprint, and lift.</t>
        </is>
      </c>
      <c r="N958" s="4" t="inlineStr">
        <is>
          <t>Pace-Breaker-Jogger</t>
        </is>
      </c>
      <c r="O958" s="4" t="inlineStr">
        <is>
          <t>Athletic Pants</t>
        </is>
      </c>
    </row>
    <row r="959" ht="80" customHeight="1">
      <c r="A959" s="7">
        <f>IMAGE("https://images.lululemon.com/is/image/lululemon/LM5AY7S_0001_1?wid=320&amp;op_usm=0.8",1)</f>
        <v/>
      </c>
      <c r="B959" s="7" t="inlineStr">
        <is>
          <t>Pace Breaker Jogger *Regular</t>
        </is>
      </c>
      <c r="C959" s="7" t="inlineStr">
        <is>
          <t>153844036</t>
        </is>
      </c>
      <c r="D959" s="7" t="inlineStr">
        <is>
          <t>153844036-black</t>
        </is>
      </c>
      <c r="E959" s="7" t="inlineStr">
        <is>
          <t>Pace Breaker Jogger *Regular BLK S</t>
        </is>
      </c>
      <c r="F959" s="7" t="inlineStr">
        <is>
          <t>$128.00</t>
        </is>
      </c>
      <c r="G959" s="7" t="inlineStr">
        <is>
          <t>$64.00</t>
        </is>
      </c>
      <c r="H959" s="7" t="inlineStr">
        <is>
          <t>Black</t>
        </is>
      </c>
      <c r="I959" s="7">
        <f>IMAGE("https://images.lululemon.com/is/image/lululemon/0001",1)</f>
        <v/>
      </c>
      <c r="J959" s="7" t="inlineStr">
        <is>
          <t>XXL</t>
        </is>
      </c>
      <c r="K959" s="7" t="inlineStr">
        <is>
          <t>136/1473</t>
        </is>
      </c>
      <c r="L959" s="7" t="inlineStr">
        <is>
          <t>Yes</t>
        </is>
      </c>
      <c r="M959" s="7" t="inlineStr">
        <is>
          <t>Give it your all. These versatile joggers are designed for maximum comfort and zero distractions as you stretch, sprint, and lift.</t>
        </is>
      </c>
      <c r="N959" s="7" t="inlineStr">
        <is>
          <t>Pace-Breaker-Jogger</t>
        </is>
      </c>
      <c r="O959" s="7" t="inlineStr">
        <is>
          <t>Athletic Pants</t>
        </is>
      </c>
    </row>
    <row r="960" ht="80" customHeight="1">
      <c r="A960" s="4">
        <f>IMAGE("https://images.lululemon.com/is/image/lululemon/LM5AY7S_0001_1?wid=320&amp;op_usm=0.8",1)</f>
        <v/>
      </c>
      <c r="B960" s="4" t="inlineStr">
        <is>
          <t>Pace Breaker Jogger *Regular</t>
        </is>
      </c>
      <c r="C960" s="4" t="inlineStr">
        <is>
          <t>158025817</t>
        </is>
      </c>
      <c r="D960" s="4" t="inlineStr">
        <is>
          <t>158025817-steelblue</t>
        </is>
      </c>
      <c r="E960" s="4" t="inlineStr">
        <is>
          <t>Pace Breaker Jogger *Regular BLK S</t>
        </is>
      </c>
      <c r="F960" s="4" t="inlineStr">
        <is>
          <t>$128.00</t>
        </is>
      </c>
      <c r="G960" s="4" t="inlineStr">
        <is>
          <t>$64.00</t>
        </is>
      </c>
      <c r="H960" s="4" t="inlineStr">
        <is>
          <t>Steel Blue</t>
        </is>
      </c>
      <c r="I960" s="4">
        <f>IMAGE("https://images.lululemon.com/is/image/lululemon/1179",1)</f>
        <v/>
      </c>
      <c r="J960" s="4" t="inlineStr">
        <is>
          <t>S</t>
        </is>
      </c>
      <c r="K960" s="4" t="inlineStr">
        <is>
          <t>72/1473</t>
        </is>
      </c>
      <c r="L960" s="4" t="inlineStr">
        <is>
          <t>Yes</t>
        </is>
      </c>
      <c r="M960" s="4" t="inlineStr">
        <is>
          <t>Give it your all. These versatile joggers are designed for maximum comfort and zero distractions as you stretch, sprint, and lift.</t>
        </is>
      </c>
      <c r="N960" s="4" t="inlineStr">
        <is>
          <t>Pace-Breaker-Jogger</t>
        </is>
      </c>
      <c r="O960" s="4" t="inlineStr">
        <is>
          <t>Athletic Pants</t>
        </is>
      </c>
    </row>
    <row r="961" ht="80" customHeight="1">
      <c r="A961" s="7">
        <f>IMAGE("https://images.lululemon.com/is/image/lululemon/LM5AY7S_0001_1?wid=320&amp;op_usm=0.8",1)</f>
        <v/>
      </c>
      <c r="B961" s="7" t="inlineStr">
        <is>
          <t>Pace Breaker Jogger *Regular</t>
        </is>
      </c>
      <c r="C961" s="7" t="inlineStr">
        <is>
          <t>158025814</t>
        </is>
      </c>
      <c r="D961" s="7" t="inlineStr">
        <is>
          <t>158025814-steelblue</t>
        </is>
      </c>
      <c r="E961" s="7" t="inlineStr">
        <is>
          <t>Pace Breaker Jogger *Regular BLK S</t>
        </is>
      </c>
      <c r="F961" s="7" t="inlineStr">
        <is>
          <t>$128.00</t>
        </is>
      </c>
      <c r="G961" s="7" t="inlineStr">
        <is>
          <t>$64.00</t>
        </is>
      </c>
      <c r="H961" s="7" t="inlineStr">
        <is>
          <t>Steel Blue</t>
        </is>
      </c>
      <c r="I961" s="7">
        <f>IMAGE("https://images.lululemon.com/is/image/lululemon/1179",1)</f>
        <v/>
      </c>
      <c r="J961" s="7" t="inlineStr">
        <is>
          <t>M</t>
        </is>
      </c>
      <c r="K961" s="7" t="inlineStr">
        <is>
          <t>193/1473</t>
        </is>
      </c>
      <c r="L961" s="7" t="inlineStr">
        <is>
          <t>Yes</t>
        </is>
      </c>
      <c r="M961" s="7" t="inlineStr">
        <is>
          <t>Give it your all. These versatile joggers are designed for maximum comfort and zero distractions as you stretch, sprint, and lift.</t>
        </is>
      </c>
      <c r="N961" s="7" t="inlineStr">
        <is>
          <t>Pace-Breaker-Jogger</t>
        </is>
      </c>
      <c r="O961" s="7" t="inlineStr">
        <is>
          <t>Athletic Pants</t>
        </is>
      </c>
    </row>
    <row r="962" ht="80" customHeight="1">
      <c r="A962" s="4">
        <f>IMAGE("https://images.lululemon.com/is/image/lululemon/LM5AY7S_0001_1?wid=320&amp;op_usm=0.8",1)</f>
        <v/>
      </c>
      <c r="B962" s="4" t="inlineStr">
        <is>
          <t>Pace Breaker Jogger *Regular</t>
        </is>
      </c>
      <c r="C962" s="4" t="inlineStr">
        <is>
          <t>158025810</t>
        </is>
      </c>
      <c r="D962" s="4" t="inlineStr">
        <is>
          <t>158025810-steelblue</t>
        </is>
      </c>
      <c r="E962" s="4" t="inlineStr">
        <is>
          <t>Pace Breaker Jogger *Regular BLK S</t>
        </is>
      </c>
      <c r="F962" s="4" t="inlineStr">
        <is>
          <t>$128.00</t>
        </is>
      </c>
      <c r="G962" s="4" t="inlineStr">
        <is>
          <t>$64.00</t>
        </is>
      </c>
      <c r="H962" s="4" t="inlineStr">
        <is>
          <t>Steel Blue</t>
        </is>
      </c>
      <c r="I962" s="4">
        <f>IMAGE("https://images.lululemon.com/is/image/lululemon/1179",1)</f>
        <v/>
      </c>
      <c r="J962" s="4" t="inlineStr">
        <is>
          <t>L</t>
        </is>
      </c>
      <c r="K962" s="4" t="inlineStr">
        <is>
          <t>222/1473</t>
        </is>
      </c>
      <c r="L962" s="4" t="inlineStr">
        <is>
          <t>Yes</t>
        </is>
      </c>
      <c r="M962" s="4" t="inlineStr">
        <is>
          <t>Give it your all. These versatile joggers are designed for maximum comfort and zero distractions as you stretch, sprint, and lift.</t>
        </is>
      </c>
      <c r="N962" s="4" t="inlineStr">
        <is>
          <t>Pace-Breaker-Jogger</t>
        </is>
      </c>
      <c r="O962" s="4" t="inlineStr">
        <is>
          <t>Athletic Pants</t>
        </is>
      </c>
    </row>
    <row r="963" ht="80" customHeight="1">
      <c r="A963" s="7">
        <f>IMAGE("https://images.lululemon.com/is/image/lululemon/LM5AY7S_0001_1?wid=320&amp;op_usm=0.8",1)</f>
        <v/>
      </c>
      <c r="B963" s="7" t="inlineStr">
        <is>
          <t>Pace Breaker Jogger *Regular</t>
        </is>
      </c>
      <c r="C963" s="7" t="inlineStr">
        <is>
          <t>158025821</t>
        </is>
      </c>
      <c r="D963" s="7" t="inlineStr">
        <is>
          <t>158025821-steelblue</t>
        </is>
      </c>
      <c r="E963" s="7" t="inlineStr">
        <is>
          <t>Pace Breaker Jogger *Regular BLK S</t>
        </is>
      </c>
      <c r="F963" s="7" t="inlineStr">
        <is>
          <t>$128.00</t>
        </is>
      </c>
      <c r="G963" s="7" t="inlineStr">
        <is>
          <t>$64.00</t>
        </is>
      </c>
      <c r="H963" s="7" t="inlineStr">
        <is>
          <t>Steel Blue</t>
        </is>
      </c>
      <c r="I963" s="7">
        <f>IMAGE("https://images.lululemon.com/is/image/lululemon/1179",1)</f>
        <v/>
      </c>
      <c r="J963" s="7" t="inlineStr">
        <is>
          <t>XL</t>
        </is>
      </c>
      <c r="K963" s="7" t="inlineStr">
        <is>
          <t>123/1473</t>
        </is>
      </c>
      <c r="L963" s="7" t="inlineStr">
        <is>
          <t>Yes</t>
        </is>
      </c>
      <c r="M963" s="7" t="inlineStr">
        <is>
          <t>Give it your all. These versatile joggers are designed for maximum comfort and zero distractions as you stretch, sprint, and lift.</t>
        </is>
      </c>
      <c r="N963" s="7" t="inlineStr">
        <is>
          <t>Pace-Breaker-Jogger</t>
        </is>
      </c>
      <c r="O963" s="7" t="inlineStr">
        <is>
          <t>Athletic Pants</t>
        </is>
      </c>
    </row>
    <row r="964" ht="80" customHeight="1">
      <c r="A964" s="6">
        <f>IMAGE("https://images.lululemon.com/is/image/lululemon/LM5AY7S_0001_1?wid=320&amp;op_usm=0.8",1)</f>
        <v/>
      </c>
      <c r="B964" s="6" t="inlineStr">
        <is>
          <t>Pace Breaker Jogger *Regular</t>
        </is>
      </c>
      <c r="C964" s="6" t="inlineStr">
        <is>
          <t>158025828</t>
        </is>
      </c>
      <c r="D964" s="6" t="inlineStr">
        <is>
          <t>158025828-steelblue</t>
        </is>
      </c>
      <c r="E964" s="6" t="inlineStr">
        <is>
          <t>Pace Breaker Jogger *Regular BLK S</t>
        </is>
      </c>
      <c r="F964" s="6" t="inlineStr">
        <is>
          <t>$128.00</t>
        </is>
      </c>
      <c r="G964" s="6" t="inlineStr">
        <is>
          <t>$64.00</t>
        </is>
      </c>
      <c r="H964" s="6" t="inlineStr">
        <is>
          <t>Steel Blue</t>
        </is>
      </c>
      <c r="I964" s="6">
        <f>IMAGE("https://images.lululemon.com/is/image/lululemon/1179",1)</f>
        <v/>
      </c>
      <c r="J964" s="6" t="inlineStr">
        <is>
          <t>XXL</t>
        </is>
      </c>
      <c r="K964" s="6" t="inlineStr">
        <is>
          <t>35/1473</t>
        </is>
      </c>
      <c r="L964" s="6" t="inlineStr">
        <is>
          <t>Yes</t>
        </is>
      </c>
      <c r="M964" s="6" t="inlineStr">
        <is>
          <t>Give it your all. These versatile joggers are designed for maximum comfort and zero distractions as you stretch, sprint, and lift.</t>
        </is>
      </c>
      <c r="N964" s="6" t="inlineStr">
        <is>
          <t>Pace-Breaker-Jogger</t>
        </is>
      </c>
      <c r="O964" s="6" t="inlineStr">
        <is>
          <t>Athletic Pants</t>
        </is>
      </c>
    </row>
    <row r="965" ht="80" customHeight="1">
      <c r="A965" s="7">
        <f>IMAGE("https://images.lululemon.com/is/image/lululemon/LM3FLMS_0001_1?wid=320&amp;op_usm=0.8",1)</f>
        <v/>
      </c>
      <c r="B965" s="7" t="inlineStr">
        <is>
          <t>Organic Cotton Classic-Fit Long-Sleeve Shirt</t>
        </is>
      </c>
      <c r="C965" s="7" t="inlineStr">
        <is>
          <t>155701430</t>
        </is>
      </c>
      <c r="D965" s="7" t="inlineStr">
        <is>
          <t>155701430-black</t>
        </is>
      </c>
      <c r="E965" s="7" t="inlineStr">
        <is>
          <t>Organic Cotton Classic-Fit Long Sleeve BLK S</t>
        </is>
      </c>
      <c r="F965" s="7" t="inlineStr">
        <is>
          <t>$68.00</t>
        </is>
      </c>
      <c r="G965" s="7" t="inlineStr">
        <is>
          <t>$34.00</t>
        </is>
      </c>
      <c r="H965" s="7" t="inlineStr">
        <is>
          <t>Black</t>
        </is>
      </c>
      <c r="I965" s="7">
        <f>IMAGE("https://images.lululemon.com/is/image/lululemon/0001",1)</f>
        <v/>
      </c>
      <c r="J965" s="7" t="inlineStr">
        <is>
          <t>S</t>
        </is>
      </c>
      <c r="K965" s="7" t="inlineStr">
        <is>
          <t>4/49</t>
        </is>
      </c>
      <c r="L965" s="7" t="inlineStr">
        <is>
          <t>Yes</t>
        </is>
      </c>
      <c r="M965" s="7" t="inlineStr">
        <is>
          <t>A mix-and-match mainstay. Made from soft organic cotton, this essential long sleeve pairs well with joggers and trousers alike.</t>
        </is>
      </c>
      <c r="N965" s="7" t="inlineStr">
        <is>
          <t>Organic-Cotton-Classic-Fit-Long-Sleeve-Shirt</t>
        </is>
      </c>
      <c r="O965" s="7" t="inlineStr"/>
    </row>
    <row r="966" ht="80" customHeight="1">
      <c r="A966" s="4">
        <f>IMAGE("https://images.lululemon.com/is/image/lululemon/LM3FLMS_0001_1?wid=320&amp;op_usm=0.8",1)</f>
        <v/>
      </c>
      <c r="B966" s="4" t="inlineStr">
        <is>
          <t>Organic Cotton Classic-Fit Long-Sleeve Shirt</t>
        </is>
      </c>
      <c r="C966" s="4" t="inlineStr">
        <is>
          <t>155701422</t>
        </is>
      </c>
      <c r="D966" s="4" t="inlineStr">
        <is>
          <t>155701422-black</t>
        </is>
      </c>
      <c r="E966" s="4" t="inlineStr">
        <is>
          <t>Organic Cotton Classic-Fit Long Sleeve BLK S</t>
        </is>
      </c>
      <c r="F966" s="4" t="inlineStr">
        <is>
          <t>$68.00</t>
        </is>
      </c>
      <c r="G966" s="4" t="inlineStr">
        <is>
          <t>$34.00</t>
        </is>
      </c>
      <c r="H966" s="4" t="inlineStr">
        <is>
          <t>Black</t>
        </is>
      </c>
      <c r="I966" s="4">
        <f>IMAGE("https://images.lululemon.com/is/image/lululemon/0001",1)</f>
        <v/>
      </c>
      <c r="J966" s="4" t="inlineStr">
        <is>
          <t>M</t>
        </is>
      </c>
      <c r="K966" s="4" t="inlineStr">
        <is>
          <t>22/49</t>
        </is>
      </c>
      <c r="L966" s="4" t="inlineStr">
        <is>
          <t>Yes</t>
        </is>
      </c>
      <c r="M966" s="4" t="inlineStr">
        <is>
          <t>A mix-and-match mainstay. Made from soft organic cotton, this essential long sleeve pairs well with joggers and trousers alike.</t>
        </is>
      </c>
      <c r="N966" s="4" t="inlineStr">
        <is>
          <t>Organic-Cotton-Classic-Fit-Long-Sleeve-Shirt</t>
        </is>
      </c>
      <c r="O966" s="4" t="inlineStr"/>
    </row>
    <row r="967" ht="80" customHeight="1">
      <c r="A967" s="7">
        <f>IMAGE("https://images.lululemon.com/is/image/lululemon/LM3FLMS_0001_1?wid=320&amp;op_usm=0.8",1)</f>
        <v/>
      </c>
      <c r="B967" s="7" t="inlineStr">
        <is>
          <t>Organic Cotton Classic-Fit Long-Sleeve Shirt</t>
        </is>
      </c>
      <c r="C967" s="7" t="inlineStr">
        <is>
          <t>155701416</t>
        </is>
      </c>
      <c r="D967" s="7" t="inlineStr">
        <is>
          <t>155701416-black</t>
        </is>
      </c>
      <c r="E967" s="7" t="inlineStr">
        <is>
          <t>Organic Cotton Classic-Fit Long Sleeve BLK S</t>
        </is>
      </c>
      <c r="F967" s="7" t="inlineStr">
        <is>
          <t>$68.00</t>
        </is>
      </c>
      <c r="G967" s="7" t="inlineStr">
        <is>
          <t>$34.00</t>
        </is>
      </c>
      <c r="H967" s="7" t="inlineStr">
        <is>
          <t>Black</t>
        </is>
      </c>
      <c r="I967" s="7">
        <f>IMAGE("https://images.lululemon.com/is/image/lululemon/0001",1)</f>
        <v/>
      </c>
      <c r="J967" s="7" t="inlineStr">
        <is>
          <t>L</t>
        </is>
      </c>
      <c r="K967" s="7" t="inlineStr">
        <is>
          <t>19/49</t>
        </is>
      </c>
      <c r="L967" s="7" t="inlineStr">
        <is>
          <t>Yes</t>
        </is>
      </c>
      <c r="M967" s="7" t="inlineStr">
        <is>
          <t>A mix-and-match mainstay. Made from soft organic cotton, this essential long sleeve pairs well with joggers and trousers alike.</t>
        </is>
      </c>
      <c r="N967" s="7" t="inlineStr">
        <is>
          <t>Organic-Cotton-Classic-Fit-Long-Sleeve-Shirt</t>
        </is>
      </c>
      <c r="O967" s="7" t="inlineStr"/>
    </row>
    <row r="968" ht="80" customHeight="1">
      <c r="A968" s="6">
        <f>IMAGE("https://images.lululemon.com/is/image/lululemon/LM3FLMS_0001_1?wid=320&amp;op_usm=0.8",1)</f>
        <v/>
      </c>
      <c r="B968" s="6" t="inlineStr">
        <is>
          <t>Organic Cotton Classic-Fit Long-Sleeve Shirt</t>
        </is>
      </c>
      <c r="C968" s="6" t="inlineStr">
        <is>
          <t>155701434</t>
        </is>
      </c>
      <c r="D968" s="6" t="inlineStr">
        <is>
          <t>155701434-black</t>
        </is>
      </c>
      <c r="E968" s="6" t="inlineStr">
        <is>
          <t>Organic Cotton Classic-Fit Long Sleeve BLK S</t>
        </is>
      </c>
      <c r="F968" s="6" t="inlineStr">
        <is>
          <t>$68.00</t>
        </is>
      </c>
      <c r="G968" s="6" t="inlineStr">
        <is>
          <t>$34.00</t>
        </is>
      </c>
      <c r="H968" s="6" t="inlineStr">
        <is>
          <t>Black</t>
        </is>
      </c>
      <c r="I968" s="6">
        <f>IMAGE("https://images.lululemon.com/is/image/lululemon/0001",1)</f>
        <v/>
      </c>
      <c r="J968" s="6" t="inlineStr">
        <is>
          <t>XL</t>
        </is>
      </c>
      <c r="K968" s="6" t="inlineStr">
        <is>
          <t>4/49</t>
        </is>
      </c>
      <c r="L968" s="6" t="inlineStr">
        <is>
          <t>Yes</t>
        </is>
      </c>
      <c r="M968" s="6" t="inlineStr">
        <is>
          <t>A mix-and-match mainstay. Made from soft organic cotton, this essential long sleeve pairs well with joggers and trousers alike.</t>
        </is>
      </c>
      <c r="N968" s="6" t="inlineStr">
        <is>
          <t>Organic-Cotton-Classic-Fit-Long-Sleeve-Shirt</t>
        </is>
      </c>
      <c r="O968" s="6" t="inlineStr"/>
    </row>
    <row r="969" ht="80" customHeight="1">
      <c r="A969" s="5">
        <f>IMAGE("https://images.lululemon.com/is/image/lululemon/LW9FNCS_3385_1?wid=320&amp;op_usm=0.8",1)</f>
        <v/>
      </c>
      <c r="B969" s="5" t="inlineStr">
        <is>
          <t>On My Level Tote Bag 20L</t>
        </is>
      </c>
      <c r="C969" s="5" t="inlineStr">
        <is>
          <t>155725278</t>
        </is>
      </c>
      <c r="D969" s="5" t="inlineStr">
        <is>
          <t>155725278-black/gold</t>
        </is>
      </c>
      <c r="E969" s="5" t="inlineStr">
        <is>
          <t>On My Level Tote BLK/GOLD ONE SIZE</t>
        </is>
      </c>
      <c r="F969" s="5" t="inlineStr">
        <is>
          <t>$128.00</t>
        </is>
      </c>
      <c r="G969" s="5" t="inlineStr">
        <is>
          <t>$64.00</t>
        </is>
      </c>
      <c r="H969" s="5" t="inlineStr">
        <is>
          <t>Black/Gold</t>
        </is>
      </c>
      <c r="I969" s="5">
        <f>IMAGE("https://images.lululemon.com/is/image/lululemon/3385",1)</f>
        <v/>
      </c>
      <c r="J969" s="5" t="inlineStr">
        <is>
          <t>O/S</t>
        </is>
      </c>
      <c r="K969" s="5" t="inlineStr">
        <is>
          <t>20/20</t>
        </is>
      </c>
      <c r="L969" s="5" t="inlineStr">
        <is>
          <t>Yes</t>
        </is>
      </c>
      <c r="M969" s="5" t="inlineStr">
        <is>
          <t>Whether your morning starts with a class or errands, this soft, slouchy tote is always a winner. Wear it over your shoulder, cross-body, or just grab it and go.</t>
        </is>
      </c>
      <c r="N969" s="5" t="inlineStr">
        <is>
          <t>On-My-Level-Tote-Bag-20L</t>
        </is>
      </c>
      <c r="O969" s="5" t="inlineStr">
        <is>
          <t>Totes</t>
        </is>
      </c>
    </row>
    <row r="970" ht="80" customHeight="1">
      <c r="A970" s="6">
        <f>IMAGE("https://images.lululemon.com/is/image/lululemon/LU9BB5S_0024_1?wid=320&amp;op_usm=0.8",1)</f>
        <v/>
      </c>
      <c r="B970" s="6" t="inlineStr">
        <is>
          <t>Removable Sweatband All-Sport Visor *Wordmark</t>
        </is>
      </c>
      <c r="C970" s="6" t="inlineStr">
        <is>
          <t>146956824</t>
        </is>
      </c>
      <c r="D970" s="6" t="inlineStr">
        <is>
          <t>146956824-white/black</t>
        </is>
      </c>
      <c r="E970" s="6" t="inlineStr">
        <is>
          <t>Removable Sweatband All-Sport Visor WHT/BLK L/XL</t>
        </is>
      </c>
      <c r="F970" s="6" t="inlineStr">
        <is>
          <t>$38.00</t>
        </is>
      </c>
      <c r="G970" s="6" t="inlineStr">
        <is>
          <t>$19.00</t>
        </is>
      </c>
      <c r="H970" s="6" t="inlineStr">
        <is>
          <t>White/Black</t>
        </is>
      </c>
      <c r="I970" s="6">
        <f>IMAGE("https://images.lululemon.com/is/image/lululemon/0024",1)</f>
        <v/>
      </c>
      <c r="J970" s="6" t="inlineStr">
        <is>
          <t>L/XL</t>
        </is>
      </c>
      <c r="K970" s="6" t="inlineStr">
        <is>
          <t>95/95</t>
        </is>
      </c>
      <c r="L970" s="6" t="inlineStr">
        <is>
          <t>Yes</t>
        </is>
      </c>
      <c r="M970" s="6" t="inlineStr">
        <is>
          <t>It's easy to stay fresh with this do-it-all visor. Toss the detachable interior sweatband in the laundry so it's ready to go for your next sweat session.</t>
        </is>
      </c>
      <c r="N970" s="6" t="inlineStr">
        <is>
          <t>Removable-SweatbAll-Sport-Visor-Woodmark</t>
        </is>
      </c>
      <c r="O970" s="6" t="inlineStr">
        <is>
          <t>Visors</t>
        </is>
      </c>
    </row>
    <row r="971" ht="80" customHeight="1">
      <c r="A971" s="7">
        <f>IMAGE("https://images.lululemon.com/is/image/lululemon/LU9D55S_027597_1?wid=320&amp;op_usm=0.8",1)</f>
        <v/>
      </c>
      <c r="B971" s="7" t="inlineStr">
        <is>
          <t>Multi-Sport Sun Hat</t>
        </is>
      </c>
      <c r="C971" s="7" t="inlineStr">
        <is>
          <t>156925673</t>
        </is>
      </c>
      <c r="D971" s="7" t="inlineStr">
        <is>
          <t>156925673-bone</t>
        </is>
      </c>
      <c r="E971" s="7" t="inlineStr">
        <is>
          <t>Multi-Sport Sun Hat BONE S/M</t>
        </is>
      </c>
      <c r="F971" s="7" t="inlineStr">
        <is>
          <t>$68.00</t>
        </is>
      </c>
      <c r="G971" s="7" t="inlineStr">
        <is>
          <t>$34.00</t>
        </is>
      </c>
      <c r="H971" s="7" t="inlineStr">
        <is>
          <t>Bone</t>
        </is>
      </c>
      <c r="I971" s="7">
        <f>IMAGE("https://images.lululemon.com/is/image/lululemon/27597",1)</f>
        <v/>
      </c>
      <c r="J971" s="7" t="inlineStr">
        <is>
          <t>S/M</t>
        </is>
      </c>
      <c r="K971" s="7" t="inlineStr">
        <is>
          <t>57/76</t>
        </is>
      </c>
      <c r="L971" s="7" t="inlineStr">
        <is>
          <t>Yes</t>
        </is>
      </c>
      <c r="M971" s="7" t="inlineStr">
        <is>
          <t>Just add sunshine. This lightweight, flexible sun hat is the perfect mix of ventilation and coverage.</t>
        </is>
      </c>
      <c r="N971" s="7" t="inlineStr">
        <is>
          <t>Multi-Sport-Sun-Hat</t>
        </is>
      </c>
      <c r="O971" s="7" t="inlineStr"/>
    </row>
    <row r="972" ht="80" customHeight="1">
      <c r="A972" s="6">
        <f>IMAGE("https://images.lululemon.com/is/image/lululemon/LU9D55S_027597_1?wid=320&amp;op_usm=0.8",1)</f>
        <v/>
      </c>
      <c r="B972" s="6" t="inlineStr">
        <is>
          <t>Multi-Sport Sun Hat</t>
        </is>
      </c>
      <c r="C972" s="6" t="inlineStr">
        <is>
          <t>156925671</t>
        </is>
      </c>
      <c r="D972" s="6" t="inlineStr">
        <is>
          <t>156925671-bone</t>
        </is>
      </c>
      <c r="E972" s="6" t="inlineStr">
        <is>
          <t>Multi-Sport Sun Hat BONE S/M</t>
        </is>
      </c>
      <c r="F972" s="6" t="inlineStr">
        <is>
          <t>$68.00</t>
        </is>
      </c>
      <c r="G972" s="6" t="inlineStr">
        <is>
          <t>$34.00</t>
        </is>
      </c>
      <c r="H972" s="6" t="inlineStr">
        <is>
          <t>Bone</t>
        </is>
      </c>
      <c r="I972" s="6">
        <f>IMAGE("https://images.lululemon.com/is/image/lululemon/27597",1)</f>
        <v/>
      </c>
      <c r="J972" s="6" t="inlineStr">
        <is>
          <t>L/XL</t>
        </is>
      </c>
      <c r="K972" s="6" t="inlineStr">
        <is>
          <t>19/76</t>
        </is>
      </c>
      <c r="L972" s="6" t="inlineStr">
        <is>
          <t>Yes</t>
        </is>
      </c>
      <c r="M972" s="6" t="inlineStr">
        <is>
          <t>Just add sunshine. This lightweight, flexible sun hat is the perfect mix of ventilation and coverage.</t>
        </is>
      </c>
      <c r="N972" s="6" t="inlineStr">
        <is>
          <t>Multi-Sport-Sun-Hat</t>
        </is>
      </c>
      <c r="O972" s="6" t="inlineStr"/>
    </row>
    <row r="973" ht="80" customHeight="1">
      <c r="A973" s="7">
        <f>IMAGE("https://images.lululemon.com/is/image/lululemon/LM3FV4S_038426_1?wid=320&amp;op_usm=0.8",1)</f>
        <v/>
      </c>
      <c r="B973" s="7" t="inlineStr">
        <is>
          <t>Textured Spacer Hoodie</t>
        </is>
      </c>
      <c r="C973" s="7" t="inlineStr">
        <is>
          <t>157701121</t>
        </is>
      </c>
      <c r="D973" s="7" t="inlineStr">
        <is>
          <t>157701121-solargrey</t>
        </is>
      </c>
      <c r="E973" s="7" t="inlineStr">
        <is>
          <t>Textured Spacer Pullover Hoodie SOGY S</t>
        </is>
      </c>
      <c r="F973" s="7" t="inlineStr">
        <is>
          <t>$148.00</t>
        </is>
      </c>
      <c r="G973" s="7" t="inlineStr">
        <is>
          <t>$74.00</t>
        </is>
      </c>
      <c r="H973" s="7" t="inlineStr">
        <is>
          <t>Solar Grey</t>
        </is>
      </c>
      <c r="I973" s="7">
        <f>IMAGE("https://images.lululemon.com/is/image/lululemon/38426",1)</f>
        <v/>
      </c>
      <c r="J973" s="7" t="inlineStr">
        <is>
          <t>S</t>
        </is>
      </c>
      <c r="K973" s="7" t="inlineStr">
        <is>
          <t>24/1124</t>
        </is>
      </c>
      <c r="L973" s="7" t="inlineStr">
        <is>
          <t>Yes</t>
        </is>
      </c>
      <c r="M973" s="7" t="inlineStr">
        <is>
          <t>Warm up and cool down in comfort. This textured hoodie is made of four-way stretch, quick-drying fabric—making it easy to go from stretch to sweat to street.</t>
        </is>
      </c>
      <c r="N973" s="7" t="inlineStr">
        <is>
          <t>Textured-Spacer-Hoodie</t>
        </is>
      </c>
      <c r="O973" s="7" t="inlineStr">
        <is>
          <t>Hoodies</t>
        </is>
      </c>
    </row>
    <row r="974" ht="80" customHeight="1">
      <c r="A974" s="4">
        <f>IMAGE("https://images.lululemon.com/is/image/lululemon/LM3FV4S_038426_1?wid=320&amp;op_usm=0.8",1)</f>
        <v/>
      </c>
      <c r="B974" s="4" t="inlineStr">
        <is>
          <t>Textured Spacer Hoodie</t>
        </is>
      </c>
      <c r="C974" s="4" t="inlineStr">
        <is>
          <t>157701116</t>
        </is>
      </c>
      <c r="D974" s="4" t="inlineStr">
        <is>
          <t>157701116-solargrey</t>
        </is>
      </c>
      <c r="E974" s="4" t="inlineStr">
        <is>
          <t>Textured Spacer Pullover Hoodie SOGY S</t>
        </is>
      </c>
      <c r="F974" s="4" t="inlineStr">
        <is>
          <t>$148.00</t>
        </is>
      </c>
      <c r="G974" s="4" t="inlineStr">
        <is>
          <t>$74.00</t>
        </is>
      </c>
      <c r="H974" s="4" t="inlineStr">
        <is>
          <t>Solar Grey</t>
        </is>
      </c>
      <c r="I974" s="4">
        <f>IMAGE("https://images.lululemon.com/is/image/lululemon/38426",1)</f>
        <v/>
      </c>
      <c r="J974" s="4" t="inlineStr">
        <is>
          <t>M</t>
        </is>
      </c>
      <c r="K974" s="4" t="inlineStr">
        <is>
          <t>40/1124</t>
        </is>
      </c>
      <c r="L974" s="4" t="inlineStr">
        <is>
          <t>Yes</t>
        </is>
      </c>
      <c r="M974" s="4" t="inlineStr">
        <is>
          <t>Warm up and cool down in comfort. This textured hoodie is made of four-way stretch, quick-drying fabric—making it easy to go from stretch to sweat to street.</t>
        </is>
      </c>
      <c r="N974" s="4" t="inlineStr">
        <is>
          <t>Textured-Spacer-Hoodie</t>
        </is>
      </c>
      <c r="O974" s="4" t="inlineStr">
        <is>
          <t>Hoodies</t>
        </is>
      </c>
    </row>
    <row r="975" ht="80" customHeight="1">
      <c r="A975" s="7">
        <f>IMAGE("https://images.lululemon.com/is/image/lululemon/LM3FV4S_038426_1?wid=320&amp;op_usm=0.8",1)</f>
        <v/>
      </c>
      <c r="B975" s="7" t="inlineStr">
        <is>
          <t>Textured Spacer Hoodie</t>
        </is>
      </c>
      <c r="C975" s="7" t="inlineStr">
        <is>
          <t>157701113</t>
        </is>
      </c>
      <c r="D975" s="7" t="inlineStr">
        <is>
          <t>157701113-solargrey</t>
        </is>
      </c>
      <c r="E975" s="7" t="inlineStr">
        <is>
          <t>Textured Spacer Pullover Hoodie SOGY S</t>
        </is>
      </c>
      <c r="F975" s="7" t="inlineStr">
        <is>
          <t>$148.00</t>
        </is>
      </c>
      <c r="G975" s="7" t="inlineStr">
        <is>
          <t>$74.00</t>
        </is>
      </c>
      <c r="H975" s="7" t="inlineStr">
        <is>
          <t>Solar Grey</t>
        </is>
      </c>
      <c r="I975" s="7">
        <f>IMAGE("https://images.lululemon.com/is/image/lululemon/38426",1)</f>
        <v/>
      </c>
      <c r="J975" s="7" t="inlineStr">
        <is>
          <t>L</t>
        </is>
      </c>
      <c r="K975" s="7" t="inlineStr">
        <is>
          <t>57/1124</t>
        </is>
      </c>
      <c r="L975" s="7" t="inlineStr">
        <is>
          <t>Yes</t>
        </is>
      </c>
      <c r="M975" s="7" t="inlineStr">
        <is>
          <t>Warm up and cool down in comfort. This textured hoodie is made of four-way stretch, quick-drying fabric—making it easy to go from stretch to sweat to street.</t>
        </is>
      </c>
      <c r="N975" s="7" t="inlineStr">
        <is>
          <t>Textured-Spacer-Hoodie</t>
        </is>
      </c>
      <c r="O975" s="7" t="inlineStr">
        <is>
          <t>Hoodies</t>
        </is>
      </c>
    </row>
    <row r="976" ht="80" customHeight="1">
      <c r="A976" s="4">
        <f>IMAGE("https://images.lululemon.com/is/image/lululemon/LM3FV4S_038426_1?wid=320&amp;op_usm=0.8",1)</f>
        <v/>
      </c>
      <c r="B976" s="4" t="inlineStr">
        <is>
          <t>Textured Spacer Hoodie</t>
        </is>
      </c>
      <c r="C976" s="4" t="inlineStr">
        <is>
          <t>157701128</t>
        </is>
      </c>
      <c r="D976" s="4" t="inlineStr">
        <is>
          <t>157701128-solargrey</t>
        </is>
      </c>
      <c r="E976" s="4" t="inlineStr">
        <is>
          <t>Textured Spacer Pullover Hoodie SOGY S</t>
        </is>
      </c>
      <c r="F976" s="4" t="inlineStr">
        <is>
          <t>$148.00</t>
        </is>
      </c>
      <c r="G976" s="4" t="inlineStr">
        <is>
          <t>$74.00</t>
        </is>
      </c>
      <c r="H976" s="4" t="inlineStr">
        <is>
          <t>Solar Grey</t>
        </is>
      </c>
      <c r="I976" s="4">
        <f>IMAGE("https://images.lululemon.com/is/image/lululemon/38426",1)</f>
        <v/>
      </c>
      <c r="J976" s="4" t="inlineStr">
        <is>
          <t>XL</t>
        </is>
      </c>
      <c r="K976" s="4" t="inlineStr">
        <is>
          <t>38/1124</t>
        </is>
      </c>
      <c r="L976" s="4" t="inlineStr">
        <is>
          <t>Yes</t>
        </is>
      </c>
      <c r="M976" s="4" t="inlineStr">
        <is>
          <t>Warm up and cool down in comfort. This textured hoodie is made of four-way stretch, quick-drying fabric—making it easy to go from stretch to sweat to street.</t>
        </is>
      </c>
      <c r="N976" s="4" t="inlineStr">
        <is>
          <t>Textured-Spacer-Hoodie</t>
        </is>
      </c>
      <c r="O976" s="4" t="inlineStr">
        <is>
          <t>Hoodies</t>
        </is>
      </c>
    </row>
    <row r="977" ht="80" customHeight="1">
      <c r="A977" s="7">
        <f>IMAGE("https://images.lululemon.com/is/image/lululemon/LM3FV4S_038426_1?wid=320&amp;op_usm=0.8",1)</f>
        <v/>
      </c>
      <c r="B977" s="7" t="inlineStr">
        <is>
          <t>Textured Spacer Hoodie</t>
        </is>
      </c>
      <c r="C977" s="7" t="inlineStr">
        <is>
          <t>157701136</t>
        </is>
      </c>
      <c r="D977" s="7" t="inlineStr">
        <is>
          <t>157701136-solargrey</t>
        </is>
      </c>
      <c r="E977" s="7" t="inlineStr">
        <is>
          <t>Textured Spacer Pullover Hoodie SOGY S</t>
        </is>
      </c>
      <c r="F977" s="7" t="inlineStr">
        <is>
          <t>$148.00</t>
        </is>
      </c>
      <c r="G977" s="7" t="inlineStr">
        <is>
          <t>$74.00</t>
        </is>
      </c>
      <c r="H977" s="7" t="inlineStr">
        <is>
          <t>Solar Grey</t>
        </is>
      </c>
      <c r="I977" s="7">
        <f>IMAGE("https://images.lululemon.com/is/image/lululemon/38426",1)</f>
        <v/>
      </c>
      <c r="J977" s="7" t="inlineStr">
        <is>
          <t>XXL</t>
        </is>
      </c>
      <c r="K977" s="7" t="inlineStr">
        <is>
          <t>14/1124</t>
        </is>
      </c>
      <c r="L977" s="7" t="inlineStr">
        <is>
          <t>Yes</t>
        </is>
      </c>
      <c r="M977" s="7" t="inlineStr">
        <is>
          <t>Warm up and cool down in comfort. This textured hoodie is made of four-way stretch, quick-drying fabric—making it easy to go from stretch to sweat to street.</t>
        </is>
      </c>
      <c r="N977" s="7" t="inlineStr">
        <is>
          <t>Textured-Spacer-Hoodie</t>
        </is>
      </c>
      <c r="O977" s="7" t="inlineStr">
        <is>
          <t>Hoodies</t>
        </is>
      </c>
    </row>
    <row r="978" ht="80" customHeight="1">
      <c r="A978" s="4">
        <f>IMAGE("https://images.lululemon.com/is/image/lululemon/LM3FV4S_038426_1?wid=320&amp;op_usm=0.8",1)</f>
        <v/>
      </c>
      <c r="B978" s="4" t="inlineStr">
        <is>
          <t>Textured Spacer Hoodie</t>
        </is>
      </c>
      <c r="C978" s="4" t="inlineStr">
        <is>
          <t>158027778</t>
        </is>
      </c>
      <c r="D978" s="4" t="inlineStr">
        <is>
          <t>158027778-rainforestgreen</t>
        </is>
      </c>
      <c r="E978" s="4" t="inlineStr">
        <is>
          <t>Textured Spacer Pullover Hoodie SOGY S</t>
        </is>
      </c>
      <c r="F978" s="4" t="inlineStr">
        <is>
          <t>$148.00</t>
        </is>
      </c>
      <c r="G978" s="4" t="inlineStr">
        <is>
          <t>$74.00</t>
        </is>
      </c>
      <c r="H978" s="4" t="inlineStr">
        <is>
          <t>Rainforest Green</t>
        </is>
      </c>
      <c r="I978" s="4">
        <f>IMAGE("https://images.lululemon.com/is/image/lululemon/49106",1)</f>
        <v/>
      </c>
      <c r="J978" s="4" t="inlineStr">
        <is>
          <t>S</t>
        </is>
      </c>
      <c r="K978" s="4" t="inlineStr">
        <is>
          <t>34/1124</t>
        </is>
      </c>
      <c r="L978" s="4" t="inlineStr">
        <is>
          <t>Yes</t>
        </is>
      </c>
      <c r="M978" s="4" t="inlineStr">
        <is>
          <t>Warm up and cool down in comfort. This textured hoodie is made of four-way stretch, quick-drying fabric—making it easy to go from stretch to sweat to street.</t>
        </is>
      </c>
      <c r="N978" s="4" t="inlineStr">
        <is>
          <t>Textured-Spacer-Hoodie</t>
        </is>
      </c>
      <c r="O978" s="4" t="inlineStr">
        <is>
          <t>Hoodies</t>
        </is>
      </c>
    </row>
    <row r="979" ht="80" customHeight="1">
      <c r="A979" s="7">
        <f>IMAGE("https://images.lululemon.com/is/image/lululemon/LM3FV4S_038426_1?wid=320&amp;op_usm=0.8",1)</f>
        <v/>
      </c>
      <c r="B979" s="7" t="inlineStr">
        <is>
          <t>Textured Spacer Hoodie</t>
        </is>
      </c>
      <c r="C979" s="7" t="inlineStr">
        <is>
          <t>158027756</t>
        </is>
      </c>
      <c r="D979" s="7" t="inlineStr">
        <is>
          <t>158027756-rainforestgreen</t>
        </is>
      </c>
      <c r="E979" s="7" t="inlineStr">
        <is>
          <t>Textured Spacer Pullover Hoodie SOGY S</t>
        </is>
      </c>
      <c r="F979" s="7" t="inlineStr">
        <is>
          <t>$148.00</t>
        </is>
      </c>
      <c r="G979" s="7" t="inlineStr">
        <is>
          <t>$74.00</t>
        </is>
      </c>
      <c r="H979" s="7" t="inlineStr">
        <is>
          <t>Rainforest Green</t>
        </is>
      </c>
      <c r="I979" s="7">
        <f>IMAGE("https://images.lululemon.com/is/image/lululemon/49106",1)</f>
        <v/>
      </c>
      <c r="J979" s="7" t="inlineStr">
        <is>
          <t>M</t>
        </is>
      </c>
      <c r="K979" s="7" t="inlineStr">
        <is>
          <t>89/1124</t>
        </is>
      </c>
      <c r="L979" s="7" t="inlineStr">
        <is>
          <t>Yes</t>
        </is>
      </c>
      <c r="M979" s="7" t="inlineStr">
        <is>
          <t>Warm up and cool down in comfort. This textured hoodie is made of four-way stretch, quick-drying fabric—making it easy to go from stretch to sweat to street.</t>
        </is>
      </c>
      <c r="N979" s="7" t="inlineStr">
        <is>
          <t>Textured-Spacer-Hoodie</t>
        </is>
      </c>
      <c r="O979" s="7" t="inlineStr">
        <is>
          <t>Hoodies</t>
        </is>
      </c>
    </row>
    <row r="980" ht="80" customHeight="1">
      <c r="A980" s="4">
        <f>IMAGE("https://images.lululemon.com/is/image/lululemon/LM3FV4S_038426_1?wid=320&amp;op_usm=0.8",1)</f>
        <v/>
      </c>
      <c r="B980" s="4" t="inlineStr">
        <is>
          <t>Textured Spacer Hoodie</t>
        </is>
      </c>
      <c r="C980" s="4" t="inlineStr">
        <is>
          <t>158027736</t>
        </is>
      </c>
      <c r="D980" s="4" t="inlineStr">
        <is>
          <t>158027736-rainforestgreen</t>
        </is>
      </c>
      <c r="E980" s="4" t="inlineStr">
        <is>
          <t>Textured Spacer Pullover Hoodie SOGY S</t>
        </is>
      </c>
      <c r="F980" s="4" t="inlineStr">
        <is>
          <t>$148.00</t>
        </is>
      </c>
      <c r="G980" s="4" t="inlineStr">
        <is>
          <t>$74.00</t>
        </is>
      </c>
      <c r="H980" s="4" t="inlineStr">
        <is>
          <t>Rainforest Green</t>
        </is>
      </c>
      <c r="I980" s="4">
        <f>IMAGE("https://images.lululemon.com/is/image/lululemon/49106",1)</f>
        <v/>
      </c>
      <c r="J980" s="4" t="inlineStr">
        <is>
          <t>L</t>
        </is>
      </c>
      <c r="K980" s="4" t="inlineStr">
        <is>
          <t>126/1124</t>
        </is>
      </c>
      <c r="L980" s="4" t="inlineStr">
        <is>
          <t>Yes</t>
        </is>
      </c>
      <c r="M980" s="4" t="inlineStr">
        <is>
          <t>Warm up and cool down in comfort. This textured hoodie is made of four-way stretch, quick-drying fabric—making it easy to go from stretch to sweat to street.</t>
        </is>
      </c>
      <c r="N980" s="4" t="inlineStr">
        <is>
          <t>Textured-Spacer-Hoodie</t>
        </is>
      </c>
      <c r="O980" s="4" t="inlineStr">
        <is>
          <t>Hoodies</t>
        </is>
      </c>
    </row>
    <row r="981" ht="80" customHeight="1">
      <c r="A981" s="7">
        <f>IMAGE("https://images.lululemon.com/is/image/lululemon/LM3FV4S_038426_1?wid=320&amp;op_usm=0.8",1)</f>
        <v/>
      </c>
      <c r="B981" s="7" t="inlineStr">
        <is>
          <t>Textured Spacer Hoodie</t>
        </is>
      </c>
      <c r="C981" s="7" t="inlineStr">
        <is>
          <t>158027801</t>
        </is>
      </c>
      <c r="D981" s="7" t="inlineStr">
        <is>
          <t>158027801-rainforestgreen</t>
        </is>
      </c>
      <c r="E981" s="7" t="inlineStr">
        <is>
          <t>Textured Spacer Pullover Hoodie SOGY S</t>
        </is>
      </c>
      <c r="F981" s="7" t="inlineStr">
        <is>
          <t>$148.00</t>
        </is>
      </c>
      <c r="G981" s="7" t="inlineStr">
        <is>
          <t>$74.00</t>
        </is>
      </c>
      <c r="H981" s="7" t="inlineStr">
        <is>
          <t>Rainforest Green</t>
        </is>
      </c>
      <c r="I981" s="7">
        <f>IMAGE("https://images.lululemon.com/is/image/lululemon/49106",1)</f>
        <v/>
      </c>
      <c r="J981" s="7" t="inlineStr">
        <is>
          <t>XL</t>
        </is>
      </c>
      <c r="K981" s="7" t="inlineStr">
        <is>
          <t>88/1124</t>
        </is>
      </c>
      <c r="L981" s="7" t="inlineStr">
        <is>
          <t>Yes</t>
        </is>
      </c>
      <c r="M981" s="7" t="inlineStr">
        <is>
          <t>Warm up and cool down in comfort. This textured hoodie is made of four-way stretch, quick-drying fabric—making it easy to go from stretch to sweat to street.</t>
        </is>
      </c>
      <c r="N981" s="7" t="inlineStr">
        <is>
          <t>Textured-Spacer-Hoodie</t>
        </is>
      </c>
      <c r="O981" s="7" t="inlineStr">
        <is>
          <t>Hoodies</t>
        </is>
      </c>
    </row>
    <row r="982" ht="80" customHeight="1">
      <c r="A982" s="4">
        <f>IMAGE("https://images.lululemon.com/is/image/lululemon/LM3FV4S_038426_1?wid=320&amp;op_usm=0.8",1)</f>
        <v/>
      </c>
      <c r="B982" s="4" t="inlineStr">
        <is>
          <t>Textured Spacer Hoodie</t>
        </is>
      </c>
      <c r="C982" s="4" t="inlineStr">
        <is>
          <t>158027841</t>
        </is>
      </c>
      <c r="D982" s="4" t="inlineStr">
        <is>
          <t>158027841-rainforestgreen</t>
        </is>
      </c>
      <c r="E982" s="4" t="inlineStr">
        <is>
          <t>Textured Spacer Pullover Hoodie SOGY S</t>
        </is>
      </c>
      <c r="F982" s="4" t="inlineStr">
        <is>
          <t>$148.00</t>
        </is>
      </c>
      <c r="G982" s="4" t="inlineStr">
        <is>
          <t>$74.00</t>
        </is>
      </c>
      <c r="H982" s="4" t="inlineStr">
        <is>
          <t>Rainforest Green</t>
        </is>
      </c>
      <c r="I982" s="4">
        <f>IMAGE("https://images.lululemon.com/is/image/lululemon/49106",1)</f>
        <v/>
      </c>
      <c r="J982" s="4" t="inlineStr">
        <is>
          <t>XXL</t>
        </is>
      </c>
      <c r="K982" s="4" t="inlineStr">
        <is>
          <t>31/1124</t>
        </is>
      </c>
      <c r="L982" s="4" t="inlineStr">
        <is>
          <t>Yes</t>
        </is>
      </c>
      <c r="M982" s="4" t="inlineStr">
        <is>
          <t>Warm up and cool down in comfort. This textured hoodie is made of four-way stretch, quick-drying fabric—making it easy to go from stretch to sweat to street.</t>
        </is>
      </c>
      <c r="N982" s="4" t="inlineStr">
        <is>
          <t>Textured-Spacer-Hoodie</t>
        </is>
      </c>
      <c r="O982" s="4" t="inlineStr">
        <is>
          <t>Hoodies</t>
        </is>
      </c>
    </row>
    <row r="983" ht="80" customHeight="1">
      <c r="A983" s="7">
        <f>IMAGE("https://images.lululemon.com/is/image/lululemon/LM3FV4S_038426_1?wid=320&amp;op_usm=0.8",1)</f>
        <v/>
      </c>
      <c r="B983" s="7" t="inlineStr">
        <is>
          <t>Textured Spacer Hoodie</t>
        </is>
      </c>
      <c r="C983" s="7" t="inlineStr">
        <is>
          <t>158027652</t>
        </is>
      </c>
      <c r="D983" s="7" t="inlineStr">
        <is>
          <t>158027652-pelican</t>
        </is>
      </c>
      <c r="E983" s="7" t="inlineStr">
        <is>
          <t>Textured Spacer Pullover Hoodie SOGY S</t>
        </is>
      </c>
      <c r="F983" s="7" t="inlineStr">
        <is>
          <t>$148.00</t>
        </is>
      </c>
      <c r="G983" s="7" t="inlineStr">
        <is>
          <t>$74.00</t>
        </is>
      </c>
      <c r="H983" s="7" t="inlineStr">
        <is>
          <t>Pelican</t>
        </is>
      </c>
      <c r="I983" s="7">
        <f>IMAGE("https://images.lululemon.com/is/image/lululemon/27401",1)</f>
        <v/>
      </c>
      <c r="J983" s="7" t="inlineStr">
        <is>
          <t>S</t>
        </is>
      </c>
      <c r="K983" s="7" t="inlineStr">
        <is>
          <t>22/1124</t>
        </is>
      </c>
      <c r="L983" s="7" t="inlineStr">
        <is>
          <t>Yes</t>
        </is>
      </c>
      <c r="M983" s="7" t="inlineStr">
        <is>
          <t>Warm up and cool down in comfort. This textured hoodie is made of four-way stretch, quick-drying fabric—making it easy to go from stretch to sweat to street.</t>
        </is>
      </c>
      <c r="N983" s="7" t="inlineStr">
        <is>
          <t>Textured-Spacer-Hoodie</t>
        </is>
      </c>
      <c r="O983" s="7" t="inlineStr">
        <is>
          <t>Hoodies</t>
        </is>
      </c>
    </row>
    <row r="984" ht="80" customHeight="1">
      <c r="A984" s="4">
        <f>IMAGE("https://images.lululemon.com/is/image/lululemon/LM3FV4S_038426_1?wid=320&amp;op_usm=0.8",1)</f>
        <v/>
      </c>
      <c r="B984" s="4" t="inlineStr">
        <is>
          <t>Textured Spacer Hoodie</t>
        </is>
      </c>
      <c r="C984" s="4" t="inlineStr">
        <is>
          <t>158027627</t>
        </is>
      </c>
      <c r="D984" s="4" t="inlineStr">
        <is>
          <t>158027627-pelican</t>
        </is>
      </c>
      <c r="E984" s="4" t="inlineStr">
        <is>
          <t>Textured Spacer Pullover Hoodie SOGY S</t>
        </is>
      </c>
      <c r="F984" s="4" t="inlineStr">
        <is>
          <t>$148.00</t>
        </is>
      </c>
      <c r="G984" s="4" t="inlineStr">
        <is>
          <t>$74.00</t>
        </is>
      </c>
      <c r="H984" s="4" t="inlineStr">
        <is>
          <t>Pelican</t>
        </is>
      </c>
      <c r="I984" s="4">
        <f>IMAGE("https://images.lululemon.com/is/image/lululemon/27401",1)</f>
        <v/>
      </c>
      <c r="J984" s="4" t="inlineStr">
        <is>
          <t>M</t>
        </is>
      </c>
      <c r="K984" s="4" t="inlineStr">
        <is>
          <t>62/1124</t>
        </is>
      </c>
      <c r="L984" s="4" t="inlineStr">
        <is>
          <t>Yes</t>
        </is>
      </c>
      <c r="M984" s="4" t="inlineStr">
        <is>
          <t>Warm up and cool down in comfort. This textured hoodie is made of four-way stretch, quick-drying fabric—making it easy to go from stretch to sweat to street.</t>
        </is>
      </c>
      <c r="N984" s="4" t="inlineStr">
        <is>
          <t>Textured-Spacer-Hoodie</t>
        </is>
      </c>
      <c r="O984" s="4" t="inlineStr">
        <is>
          <t>Hoodies</t>
        </is>
      </c>
    </row>
    <row r="985" ht="80" customHeight="1">
      <c r="A985" s="7">
        <f>IMAGE("https://images.lululemon.com/is/image/lululemon/LM3FV4S_038426_1?wid=320&amp;op_usm=0.8",1)</f>
        <v/>
      </c>
      <c r="B985" s="7" t="inlineStr">
        <is>
          <t>Textured Spacer Hoodie</t>
        </is>
      </c>
      <c r="C985" s="7" t="inlineStr">
        <is>
          <t>158027607</t>
        </is>
      </c>
      <c r="D985" s="7" t="inlineStr">
        <is>
          <t>158027607-pelican</t>
        </is>
      </c>
      <c r="E985" s="7" t="inlineStr">
        <is>
          <t>Textured Spacer Pullover Hoodie SOGY S</t>
        </is>
      </c>
      <c r="F985" s="7" t="inlineStr">
        <is>
          <t>$148.00</t>
        </is>
      </c>
      <c r="G985" s="7" t="inlineStr">
        <is>
          <t>$74.00</t>
        </is>
      </c>
      <c r="H985" s="7" t="inlineStr">
        <is>
          <t>Pelican</t>
        </is>
      </c>
      <c r="I985" s="7">
        <f>IMAGE("https://images.lululemon.com/is/image/lululemon/27401",1)</f>
        <v/>
      </c>
      <c r="J985" s="7" t="inlineStr">
        <is>
          <t>L</t>
        </is>
      </c>
      <c r="K985" s="7" t="inlineStr">
        <is>
          <t>86/1124</t>
        </is>
      </c>
      <c r="L985" s="7" t="inlineStr">
        <is>
          <t>Yes</t>
        </is>
      </c>
      <c r="M985" s="7" t="inlineStr">
        <is>
          <t>Warm up and cool down in comfort. This textured hoodie is made of four-way stretch, quick-drying fabric—making it easy to go from stretch to sweat to street.</t>
        </is>
      </c>
      <c r="N985" s="7" t="inlineStr">
        <is>
          <t>Textured-Spacer-Hoodie</t>
        </is>
      </c>
      <c r="O985" s="7" t="inlineStr">
        <is>
          <t>Hoodies</t>
        </is>
      </c>
    </row>
    <row r="986" ht="80" customHeight="1">
      <c r="A986" s="4">
        <f>IMAGE("https://images.lululemon.com/is/image/lululemon/LM3FV4S_038426_1?wid=320&amp;op_usm=0.8",1)</f>
        <v/>
      </c>
      <c r="B986" s="4" t="inlineStr">
        <is>
          <t>Textured Spacer Hoodie</t>
        </is>
      </c>
      <c r="C986" s="4" t="inlineStr">
        <is>
          <t>158027672</t>
        </is>
      </c>
      <c r="D986" s="4" t="inlineStr">
        <is>
          <t>158027672-pelican</t>
        </is>
      </c>
      <c r="E986" s="4" t="inlineStr">
        <is>
          <t>Textured Spacer Pullover Hoodie SOGY S</t>
        </is>
      </c>
      <c r="F986" s="4" t="inlineStr">
        <is>
          <t>$148.00</t>
        </is>
      </c>
      <c r="G986" s="4" t="inlineStr">
        <is>
          <t>$74.00</t>
        </is>
      </c>
      <c r="H986" s="4" t="inlineStr">
        <is>
          <t>Pelican</t>
        </is>
      </c>
      <c r="I986" s="4">
        <f>IMAGE("https://images.lululemon.com/is/image/lululemon/27401",1)</f>
        <v/>
      </c>
      <c r="J986" s="4" t="inlineStr">
        <is>
          <t>XL</t>
        </is>
      </c>
      <c r="K986" s="4" t="inlineStr">
        <is>
          <t>58/1124</t>
        </is>
      </c>
      <c r="L986" s="4" t="inlineStr">
        <is>
          <t>Yes</t>
        </is>
      </c>
      <c r="M986" s="4" t="inlineStr">
        <is>
          <t>Warm up and cool down in comfort. This textured hoodie is made of four-way stretch, quick-drying fabric—making it easy to go from stretch to sweat to street.</t>
        </is>
      </c>
      <c r="N986" s="4" t="inlineStr">
        <is>
          <t>Textured-Spacer-Hoodie</t>
        </is>
      </c>
      <c r="O986" s="4" t="inlineStr">
        <is>
          <t>Hoodies</t>
        </is>
      </c>
    </row>
    <row r="987" ht="80" customHeight="1">
      <c r="A987" s="7">
        <f>IMAGE("https://images.lululemon.com/is/image/lululemon/LM3FV4S_038426_1?wid=320&amp;op_usm=0.8",1)</f>
        <v/>
      </c>
      <c r="B987" s="7" t="inlineStr">
        <is>
          <t>Textured Spacer Hoodie</t>
        </is>
      </c>
      <c r="C987" s="7" t="inlineStr">
        <is>
          <t>158027714</t>
        </is>
      </c>
      <c r="D987" s="7" t="inlineStr">
        <is>
          <t>158027714-pelican</t>
        </is>
      </c>
      <c r="E987" s="7" t="inlineStr">
        <is>
          <t>Textured Spacer Pullover Hoodie SOGY S</t>
        </is>
      </c>
      <c r="F987" s="7" t="inlineStr">
        <is>
          <t>$148.00</t>
        </is>
      </c>
      <c r="G987" s="7" t="inlineStr">
        <is>
          <t>$74.00</t>
        </is>
      </c>
      <c r="H987" s="7" t="inlineStr">
        <is>
          <t>Pelican</t>
        </is>
      </c>
      <c r="I987" s="7">
        <f>IMAGE("https://images.lululemon.com/is/image/lululemon/27401",1)</f>
        <v/>
      </c>
      <c r="J987" s="7" t="inlineStr">
        <is>
          <t>XXL</t>
        </is>
      </c>
      <c r="K987" s="7" t="inlineStr">
        <is>
          <t>20/1124</t>
        </is>
      </c>
      <c r="L987" s="7" t="inlineStr">
        <is>
          <t>Yes</t>
        </is>
      </c>
      <c r="M987" s="7" t="inlineStr">
        <is>
          <t>Warm up and cool down in comfort. This textured hoodie is made of four-way stretch, quick-drying fabric—making it easy to go from stretch to sweat to street.</t>
        </is>
      </c>
      <c r="N987" s="7" t="inlineStr">
        <is>
          <t>Textured-Spacer-Hoodie</t>
        </is>
      </c>
      <c r="O987" s="7" t="inlineStr">
        <is>
          <t>Hoodies</t>
        </is>
      </c>
    </row>
    <row r="988" ht="80" customHeight="1">
      <c r="A988" s="4">
        <f>IMAGE("https://images.lululemon.com/is/image/lululemon/LM3FV4S_038426_1?wid=320&amp;op_usm=0.8",1)</f>
        <v/>
      </c>
      <c r="B988" s="4" t="inlineStr">
        <is>
          <t>Textured Spacer Hoodie</t>
        </is>
      </c>
      <c r="C988" s="4" t="inlineStr">
        <is>
          <t>157712988</t>
        </is>
      </c>
      <c r="D988" s="4" t="inlineStr">
        <is>
          <t>157712988-lightivory</t>
        </is>
      </c>
      <c r="E988" s="4" t="inlineStr">
        <is>
          <t>Textured Spacer Pullover Hoodie SOGY S</t>
        </is>
      </c>
      <c r="F988" s="4" t="inlineStr">
        <is>
          <t>$148.00</t>
        </is>
      </c>
      <c r="G988" s="4" t="inlineStr">
        <is>
          <t>$74.00</t>
        </is>
      </c>
      <c r="H988" s="4" t="inlineStr">
        <is>
          <t>Light Ivory</t>
        </is>
      </c>
      <c r="I988" s="4">
        <f>IMAGE("https://images.lululemon.com/is/image/lululemon/33454",1)</f>
        <v/>
      </c>
      <c r="J988" s="4" t="inlineStr">
        <is>
          <t>S</t>
        </is>
      </c>
      <c r="K988" s="4" t="inlineStr">
        <is>
          <t>21/1124</t>
        </is>
      </c>
      <c r="L988" s="4" t="inlineStr">
        <is>
          <t>Yes</t>
        </is>
      </c>
      <c r="M988" s="4" t="inlineStr">
        <is>
          <t>Warm up and cool down in comfort. This textured hoodie is made of four-way stretch, quick-drying fabric—making it easy to go from stretch to sweat to street.</t>
        </is>
      </c>
      <c r="N988" s="4" t="inlineStr">
        <is>
          <t>Textured-Spacer-Hoodie</t>
        </is>
      </c>
      <c r="O988" s="4" t="inlineStr">
        <is>
          <t>Hoodies</t>
        </is>
      </c>
    </row>
    <row r="989" ht="80" customHeight="1">
      <c r="A989" s="7">
        <f>IMAGE("https://images.lululemon.com/is/image/lululemon/LM3FV4S_038426_1?wid=320&amp;op_usm=0.8",1)</f>
        <v/>
      </c>
      <c r="B989" s="7" t="inlineStr">
        <is>
          <t>Textured Spacer Hoodie</t>
        </is>
      </c>
      <c r="C989" s="7" t="inlineStr">
        <is>
          <t>157712974</t>
        </is>
      </c>
      <c r="D989" s="7" t="inlineStr">
        <is>
          <t>157712974-lightivory</t>
        </is>
      </c>
      <c r="E989" s="7" t="inlineStr">
        <is>
          <t>Textured Spacer Pullover Hoodie SOGY S</t>
        </is>
      </c>
      <c r="F989" s="7" t="inlineStr">
        <is>
          <t>$148.00</t>
        </is>
      </c>
      <c r="G989" s="7" t="inlineStr">
        <is>
          <t>$74.00</t>
        </is>
      </c>
      <c r="H989" s="7" t="inlineStr">
        <is>
          <t>Light Ivory</t>
        </is>
      </c>
      <c r="I989" s="7">
        <f>IMAGE("https://images.lululemon.com/is/image/lululemon/33454",1)</f>
        <v/>
      </c>
      <c r="J989" s="7" t="inlineStr">
        <is>
          <t>M</t>
        </is>
      </c>
      <c r="K989" s="7" t="inlineStr">
        <is>
          <t>57/1124</t>
        </is>
      </c>
      <c r="L989" s="7" t="inlineStr">
        <is>
          <t>Yes</t>
        </is>
      </c>
      <c r="M989" s="7" t="inlineStr">
        <is>
          <t>Warm up and cool down in comfort. This textured hoodie is made of four-way stretch, quick-drying fabric—making it easy to go from stretch to sweat to street.</t>
        </is>
      </c>
      <c r="N989" s="7" t="inlineStr">
        <is>
          <t>Textured-Spacer-Hoodie</t>
        </is>
      </c>
      <c r="O989" s="7" t="inlineStr">
        <is>
          <t>Hoodies</t>
        </is>
      </c>
    </row>
    <row r="990" ht="80" customHeight="1">
      <c r="A990" s="4">
        <f>IMAGE("https://images.lululemon.com/is/image/lululemon/LM3FV4S_038426_1?wid=320&amp;op_usm=0.8",1)</f>
        <v/>
      </c>
      <c r="B990" s="4" t="inlineStr">
        <is>
          <t>Textured Spacer Hoodie</t>
        </is>
      </c>
      <c r="C990" s="4" t="inlineStr">
        <is>
          <t>157712962</t>
        </is>
      </c>
      <c r="D990" s="4" t="inlineStr">
        <is>
          <t>157712962-lightivory</t>
        </is>
      </c>
      <c r="E990" s="4" t="inlineStr">
        <is>
          <t>Textured Spacer Pullover Hoodie SOGY S</t>
        </is>
      </c>
      <c r="F990" s="4" t="inlineStr">
        <is>
          <t>$148.00</t>
        </is>
      </c>
      <c r="G990" s="4" t="inlineStr">
        <is>
          <t>$74.00</t>
        </is>
      </c>
      <c r="H990" s="4" t="inlineStr">
        <is>
          <t>Light Ivory</t>
        </is>
      </c>
      <c r="I990" s="4">
        <f>IMAGE("https://images.lululemon.com/is/image/lululemon/33454",1)</f>
        <v/>
      </c>
      <c r="J990" s="4" t="inlineStr">
        <is>
          <t>L</t>
        </is>
      </c>
      <c r="K990" s="4" t="inlineStr">
        <is>
          <t>81/1124</t>
        </is>
      </c>
      <c r="L990" s="4" t="inlineStr">
        <is>
          <t>Yes</t>
        </is>
      </c>
      <c r="M990" s="4" t="inlineStr">
        <is>
          <t>Warm up and cool down in comfort. This textured hoodie is made of four-way stretch, quick-drying fabric—making it easy to go from stretch to sweat to street.</t>
        </is>
      </c>
      <c r="N990" s="4" t="inlineStr">
        <is>
          <t>Textured-Spacer-Hoodie</t>
        </is>
      </c>
      <c r="O990" s="4" t="inlineStr">
        <is>
          <t>Hoodies</t>
        </is>
      </c>
    </row>
    <row r="991" ht="80" customHeight="1">
      <c r="A991" s="7">
        <f>IMAGE("https://images.lululemon.com/is/image/lululemon/LM3FV4S_038426_1?wid=320&amp;op_usm=0.8",1)</f>
        <v/>
      </c>
      <c r="B991" s="7" t="inlineStr">
        <is>
          <t>Textured Spacer Hoodie</t>
        </is>
      </c>
      <c r="C991" s="7" t="inlineStr">
        <is>
          <t>157713000</t>
        </is>
      </c>
      <c r="D991" s="7" t="inlineStr">
        <is>
          <t>157713000-lightivory</t>
        </is>
      </c>
      <c r="E991" s="7" t="inlineStr">
        <is>
          <t>Textured Spacer Pullover Hoodie SOGY S</t>
        </is>
      </c>
      <c r="F991" s="7" t="inlineStr">
        <is>
          <t>$148.00</t>
        </is>
      </c>
      <c r="G991" s="7" t="inlineStr">
        <is>
          <t>$74.00</t>
        </is>
      </c>
      <c r="H991" s="7" t="inlineStr">
        <is>
          <t>Light Ivory</t>
        </is>
      </c>
      <c r="I991" s="7">
        <f>IMAGE("https://images.lululemon.com/is/image/lululemon/33454",1)</f>
        <v/>
      </c>
      <c r="J991" s="7" t="inlineStr">
        <is>
          <t>XL</t>
        </is>
      </c>
      <c r="K991" s="7" t="inlineStr">
        <is>
          <t>66/1124</t>
        </is>
      </c>
      <c r="L991" s="7" t="inlineStr">
        <is>
          <t>Yes</t>
        </is>
      </c>
      <c r="M991" s="7" t="inlineStr">
        <is>
          <t>Warm up and cool down in comfort. This textured hoodie is made of four-way stretch, quick-drying fabric—making it easy to go from stretch to sweat to street.</t>
        </is>
      </c>
      <c r="N991" s="7" t="inlineStr">
        <is>
          <t>Textured-Spacer-Hoodie</t>
        </is>
      </c>
      <c r="O991" s="7" t="inlineStr">
        <is>
          <t>Hoodies</t>
        </is>
      </c>
    </row>
    <row r="992" ht="80" customHeight="1">
      <c r="A992" s="4">
        <f>IMAGE("https://images.lululemon.com/is/image/lululemon/LM3FV4S_038426_1?wid=320&amp;op_usm=0.8",1)</f>
        <v/>
      </c>
      <c r="B992" s="4" t="inlineStr">
        <is>
          <t>Textured Spacer Hoodie</t>
        </is>
      </c>
      <c r="C992" s="4" t="inlineStr">
        <is>
          <t>157713026</t>
        </is>
      </c>
      <c r="D992" s="4" t="inlineStr">
        <is>
          <t>157713026-lightivory</t>
        </is>
      </c>
      <c r="E992" s="4" t="inlineStr">
        <is>
          <t>Textured Spacer Pullover Hoodie SOGY S</t>
        </is>
      </c>
      <c r="F992" s="4" t="inlineStr">
        <is>
          <t>$148.00</t>
        </is>
      </c>
      <c r="G992" s="4" t="inlineStr">
        <is>
          <t>$74.00</t>
        </is>
      </c>
      <c r="H992" s="4" t="inlineStr">
        <is>
          <t>Light Ivory</t>
        </is>
      </c>
      <c r="I992" s="4">
        <f>IMAGE("https://images.lululemon.com/is/image/lululemon/33454",1)</f>
        <v/>
      </c>
      <c r="J992" s="4" t="inlineStr">
        <is>
          <t>XXL</t>
        </is>
      </c>
      <c r="K992" s="4" t="inlineStr">
        <is>
          <t>21/1124</t>
        </is>
      </c>
      <c r="L992" s="4" t="inlineStr">
        <is>
          <t>Yes</t>
        </is>
      </c>
      <c r="M992" s="4" t="inlineStr">
        <is>
          <t>Warm up and cool down in comfort. This textured hoodie is made of four-way stretch, quick-drying fabric—making it easy to go from stretch to sweat to street.</t>
        </is>
      </c>
      <c r="N992" s="4" t="inlineStr">
        <is>
          <t>Textured-Spacer-Hoodie</t>
        </is>
      </c>
      <c r="O992" s="4" t="inlineStr">
        <is>
          <t>Hoodies</t>
        </is>
      </c>
    </row>
    <row r="993" ht="80" customHeight="1">
      <c r="A993" s="7">
        <f>IMAGE("https://images.lululemon.com/is/image/lululemon/LM3FV4S_038426_1?wid=320&amp;op_usm=0.8",1)</f>
        <v/>
      </c>
      <c r="B993" s="7" t="inlineStr">
        <is>
          <t>Textured Spacer Hoodie</t>
        </is>
      </c>
      <c r="C993" s="7" t="inlineStr">
        <is>
          <t>157701088</t>
        </is>
      </c>
      <c r="D993" s="7" t="inlineStr">
        <is>
          <t>157701088-black</t>
        </is>
      </c>
      <c r="E993" s="7" t="inlineStr">
        <is>
          <t>Textured Spacer Pullover Hoodie SOGY S</t>
        </is>
      </c>
      <c r="F993" s="7" t="inlineStr">
        <is>
          <t>$148.00</t>
        </is>
      </c>
      <c r="G993" s="7" t="inlineStr">
        <is>
          <t>$74.00</t>
        </is>
      </c>
      <c r="H993" s="7" t="inlineStr">
        <is>
          <t>Black</t>
        </is>
      </c>
      <c r="I993" s="7">
        <f>IMAGE("https://images.lululemon.com/is/image/lululemon/0001",1)</f>
        <v/>
      </c>
      <c r="J993" s="7" t="inlineStr">
        <is>
          <t>M</t>
        </is>
      </c>
      <c r="K993" s="7" t="inlineStr">
        <is>
          <t>12/1124</t>
        </is>
      </c>
      <c r="L993" s="7" t="inlineStr">
        <is>
          <t>Yes</t>
        </is>
      </c>
      <c r="M993" s="7" t="inlineStr">
        <is>
          <t>Warm up and cool down in comfort. This textured hoodie is made of four-way stretch, quick-drying fabric—making it easy to go from stretch to sweat to street.</t>
        </is>
      </c>
      <c r="N993" s="7" t="inlineStr">
        <is>
          <t>Textured-Spacer-Hoodie</t>
        </is>
      </c>
      <c r="O993" s="7" t="inlineStr">
        <is>
          <t>Hoodies</t>
        </is>
      </c>
    </row>
    <row r="994" ht="80" customHeight="1">
      <c r="A994" s="4">
        <f>IMAGE("https://images.lululemon.com/is/image/lululemon/LM3FV4S_038426_1?wid=320&amp;op_usm=0.8",1)</f>
        <v/>
      </c>
      <c r="B994" s="4" t="inlineStr">
        <is>
          <t>Textured Spacer Hoodie</t>
        </is>
      </c>
      <c r="C994" s="4" t="inlineStr">
        <is>
          <t>157701086</t>
        </is>
      </c>
      <c r="D994" s="4" t="inlineStr">
        <is>
          <t>157701086-black</t>
        </is>
      </c>
      <c r="E994" s="4" t="inlineStr">
        <is>
          <t>Textured Spacer Pullover Hoodie SOGY S</t>
        </is>
      </c>
      <c r="F994" s="4" t="inlineStr">
        <is>
          <t>$148.00</t>
        </is>
      </c>
      <c r="G994" s="4" t="inlineStr">
        <is>
          <t>$74.00</t>
        </is>
      </c>
      <c r="H994" s="4" t="inlineStr">
        <is>
          <t>Black</t>
        </is>
      </c>
      <c r="I994" s="4">
        <f>IMAGE("https://images.lululemon.com/is/image/lululemon/0001",1)</f>
        <v/>
      </c>
      <c r="J994" s="4" t="inlineStr">
        <is>
          <t>L</t>
        </is>
      </c>
      <c r="K994" s="4" t="inlineStr">
        <is>
          <t>26/1124</t>
        </is>
      </c>
      <c r="L994" s="4" t="inlineStr">
        <is>
          <t>Yes</t>
        </is>
      </c>
      <c r="M994" s="4" t="inlineStr">
        <is>
          <t>Warm up and cool down in comfort. This textured hoodie is made of four-way stretch, quick-drying fabric—making it easy to go from stretch to sweat to street.</t>
        </is>
      </c>
      <c r="N994" s="4" t="inlineStr">
        <is>
          <t>Textured-Spacer-Hoodie</t>
        </is>
      </c>
      <c r="O994" s="4" t="inlineStr">
        <is>
          <t>Hoodies</t>
        </is>
      </c>
    </row>
    <row r="995" ht="80" customHeight="1">
      <c r="A995" s="7">
        <f>IMAGE("https://images.lululemon.com/is/image/lululemon/LM3FV4S_038426_1?wid=320&amp;op_usm=0.8",1)</f>
        <v/>
      </c>
      <c r="B995" s="7" t="inlineStr">
        <is>
          <t>Textured Spacer Hoodie</t>
        </is>
      </c>
      <c r="C995" s="7" t="inlineStr">
        <is>
          <t>157701099</t>
        </is>
      </c>
      <c r="D995" s="7" t="inlineStr">
        <is>
          <t>157701099-black</t>
        </is>
      </c>
      <c r="E995" s="7" t="inlineStr">
        <is>
          <t>Textured Spacer Pullover Hoodie SOGY S</t>
        </is>
      </c>
      <c r="F995" s="7" t="inlineStr">
        <is>
          <t>$148.00</t>
        </is>
      </c>
      <c r="G995" s="7" t="inlineStr">
        <is>
          <t>$74.00</t>
        </is>
      </c>
      <c r="H995" s="7" t="inlineStr">
        <is>
          <t>Black</t>
        </is>
      </c>
      <c r="I995" s="7">
        <f>IMAGE("https://images.lululemon.com/is/image/lululemon/0001",1)</f>
        <v/>
      </c>
      <c r="J995" s="7" t="inlineStr">
        <is>
          <t>XL</t>
        </is>
      </c>
      <c r="K995" s="7" t="inlineStr">
        <is>
          <t>30/1124</t>
        </is>
      </c>
      <c r="L995" s="7" t="inlineStr">
        <is>
          <t>Yes</t>
        </is>
      </c>
      <c r="M995" s="7" t="inlineStr">
        <is>
          <t>Warm up and cool down in comfort. This textured hoodie is made of four-way stretch, quick-drying fabric—making it easy to go from stretch to sweat to street.</t>
        </is>
      </c>
      <c r="N995" s="7" t="inlineStr">
        <is>
          <t>Textured-Spacer-Hoodie</t>
        </is>
      </c>
      <c r="O995" s="7" t="inlineStr">
        <is>
          <t>Hoodies</t>
        </is>
      </c>
    </row>
    <row r="996" ht="80" customHeight="1">
      <c r="A996" s="6">
        <f>IMAGE("https://images.lululemon.com/is/image/lululemon/LM3FV4S_038426_1?wid=320&amp;op_usm=0.8",1)</f>
        <v/>
      </c>
      <c r="B996" s="6" t="inlineStr">
        <is>
          <t>Textured Spacer Hoodie</t>
        </is>
      </c>
      <c r="C996" s="6" t="inlineStr">
        <is>
          <t>157701108</t>
        </is>
      </c>
      <c r="D996" s="6" t="inlineStr">
        <is>
          <t>157701108-black</t>
        </is>
      </c>
      <c r="E996" s="6" t="inlineStr">
        <is>
          <t>Textured Spacer Pullover Hoodie SOGY S</t>
        </is>
      </c>
      <c r="F996" s="6" t="inlineStr">
        <is>
          <t>$148.00</t>
        </is>
      </c>
      <c r="G996" s="6" t="inlineStr">
        <is>
          <t>$74.00</t>
        </is>
      </c>
      <c r="H996" s="6" t="inlineStr">
        <is>
          <t>Black</t>
        </is>
      </c>
      <c r="I996" s="6">
        <f>IMAGE("https://images.lululemon.com/is/image/lululemon/0001",1)</f>
        <v/>
      </c>
      <c r="J996" s="6" t="inlineStr">
        <is>
          <t>XXL</t>
        </is>
      </c>
      <c r="K996" s="6" t="inlineStr">
        <is>
          <t>21/1124</t>
        </is>
      </c>
      <c r="L996" s="6" t="inlineStr">
        <is>
          <t>Yes</t>
        </is>
      </c>
      <c r="M996" s="6" t="inlineStr">
        <is>
          <t>Warm up and cool down in comfort. This textured hoodie is made of four-way stretch, quick-drying fabric—making it easy to go from stretch to sweat to street.</t>
        </is>
      </c>
      <c r="N996" s="6" t="inlineStr">
        <is>
          <t>Textured-Spacer-Hoodie</t>
        </is>
      </c>
      <c r="O996" s="6" t="inlineStr">
        <is>
          <t>Hoodies</t>
        </is>
      </c>
    </row>
    <row r="997" ht="80" customHeight="1">
      <c r="A997" s="7">
        <f>IMAGE("https://images.lululemon.com/is/image/lululemon/LM3FK9S_068578_1?wid=320&amp;op_usm=0.8",1)</f>
        <v/>
      </c>
      <c r="B997" s="7" t="inlineStr">
        <is>
          <t>Windproof Golf Pullover Quarter-Zip Jacket</t>
        </is>
      </c>
      <c r="C997" s="7" t="inlineStr">
        <is>
          <t>156499003</t>
        </is>
      </c>
      <c r="D997" s="7" t="inlineStr">
        <is>
          <t>156499003-clubblue</t>
        </is>
      </c>
      <c r="E997" s="7" t="inlineStr">
        <is>
          <t>Windproof Golf Pullover Jacket CLBL S</t>
        </is>
      </c>
      <c r="F997" s="7" t="inlineStr">
        <is>
          <t>$198.00</t>
        </is>
      </c>
      <c r="G997" s="7" t="inlineStr">
        <is>
          <t>$99.00</t>
        </is>
      </c>
      <c r="H997" s="7" t="inlineStr">
        <is>
          <t>Club Blue</t>
        </is>
      </c>
      <c r="I997" s="7">
        <f>IMAGE("https://images.lululemon.com/is/image/lululemon/68578",1)</f>
        <v/>
      </c>
      <c r="J997" s="7" t="inlineStr">
        <is>
          <t>S</t>
        </is>
      </c>
      <c r="K997" s="7" t="inlineStr">
        <is>
          <t>51/881</t>
        </is>
      </c>
      <c r="L997" s="7" t="inlineStr">
        <is>
          <t>Yes</t>
        </is>
      </c>
      <c r="M997" s="7" t="inlineStr">
        <is>
          <t>Caddy: optional. This clubhouse-ready golf jacket is made from tough, water-repellent fabric that holds up to light rain and your golf bag.</t>
        </is>
      </c>
      <c r="N997" s="7" t="inlineStr">
        <is>
          <t>Windproof-Golf-Pullover-Quarter-Zip-Jacket</t>
        </is>
      </c>
      <c r="O997" s="7" t="inlineStr">
        <is>
          <t>Athletic Jackets</t>
        </is>
      </c>
    </row>
    <row r="998" ht="80" customHeight="1">
      <c r="A998" s="4">
        <f>IMAGE("https://images.lululemon.com/is/image/lululemon/LM3FK9S_068578_1?wid=320&amp;op_usm=0.8",1)</f>
        <v/>
      </c>
      <c r="B998" s="4" t="inlineStr">
        <is>
          <t>Windproof Golf Pullover Quarter-Zip Jacket</t>
        </is>
      </c>
      <c r="C998" s="4" t="inlineStr">
        <is>
          <t>156498993</t>
        </is>
      </c>
      <c r="D998" s="4" t="inlineStr">
        <is>
          <t>156498993-clubblue</t>
        </is>
      </c>
      <c r="E998" s="4" t="inlineStr">
        <is>
          <t>Windproof Golf Pullover Jacket CLBL S</t>
        </is>
      </c>
      <c r="F998" s="4" t="inlineStr">
        <is>
          <t>$198.00</t>
        </is>
      </c>
      <c r="G998" s="4" t="inlineStr">
        <is>
          <t>$99.00</t>
        </is>
      </c>
      <c r="H998" s="4" t="inlineStr">
        <is>
          <t>Club Blue</t>
        </is>
      </c>
      <c r="I998" s="4">
        <f>IMAGE("https://images.lululemon.com/is/image/lululemon/68578",1)</f>
        <v/>
      </c>
      <c r="J998" s="4" t="inlineStr">
        <is>
          <t>M</t>
        </is>
      </c>
      <c r="K998" s="4" t="inlineStr">
        <is>
          <t>135/881</t>
        </is>
      </c>
      <c r="L998" s="4" t="inlineStr">
        <is>
          <t>Yes</t>
        </is>
      </c>
      <c r="M998" s="4" t="inlineStr">
        <is>
          <t>Caddy: optional. This clubhouse-ready golf jacket is made from tough, water-repellent fabric that holds up to light rain and your golf bag.</t>
        </is>
      </c>
      <c r="N998" s="4" t="inlineStr">
        <is>
          <t>Windproof-Golf-Pullover-Quarter-Zip-Jacket</t>
        </is>
      </c>
      <c r="O998" s="4" t="inlineStr">
        <is>
          <t>Athletic Jackets</t>
        </is>
      </c>
    </row>
    <row r="999" ht="80" customHeight="1">
      <c r="A999" s="7">
        <f>IMAGE("https://images.lululemon.com/is/image/lululemon/LM3FK9S_068578_1?wid=320&amp;op_usm=0.8",1)</f>
        <v/>
      </c>
      <c r="B999" s="7" t="inlineStr">
        <is>
          <t>Windproof Golf Pullover Quarter-Zip Jacket</t>
        </is>
      </c>
      <c r="C999" s="7" t="inlineStr">
        <is>
          <t>156498985</t>
        </is>
      </c>
      <c r="D999" s="7" t="inlineStr">
        <is>
          <t>156498985-clubblue</t>
        </is>
      </c>
      <c r="E999" s="7" t="inlineStr">
        <is>
          <t>Windproof Golf Pullover Jacket CLBL S</t>
        </is>
      </c>
      <c r="F999" s="7" t="inlineStr">
        <is>
          <t>$198.00</t>
        </is>
      </c>
      <c r="G999" s="7" t="inlineStr">
        <is>
          <t>$99.00</t>
        </is>
      </c>
      <c r="H999" s="7" t="inlineStr">
        <is>
          <t>Club Blue</t>
        </is>
      </c>
      <c r="I999" s="7">
        <f>IMAGE("https://images.lululemon.com/is/image/lululemon/68578",1)</f>
        <v/>
      </c>
      <c r="J999" s="7" t="inlineStr">
        <is>
          <t>L</t>
        </is>
      </c>
      <c r="K999" s="7" t="inlineStr">
        <is>
          <t>185/881</t>
        </is>
      </c>
      <c r="L999" s="7" t="inlineStr">
        <is>
          <t>Yes</t>
        </is>
      </c>
      <c r="M999" s="7" t="inlineStr">
        <is>
          <t>Caddy: optional. This clubhouse-ready golf jacket is made from tough, water-repellent fabric that holds up to light rain and your golf bag.</t>
        </is>
      </c>
      <c r="N999" s="7" t="inlineStr">
        <is>
          <t>Windproof-Golf-Pullover-Quarter-Zip-Jacket</t>
        </is>
      </c>
      <c r="O999" s="7" t="inlineStr">
        <is>
          <t>Athletic Jackets</t>
        </is>
      </c>
    </row>
    <row r="1000" ht="80" customHeight="1">
      <c r="A1000" s="4">
        <f>IMAGE("https://images.lululemon.com/is/image/lululemon/LM3FK9S_068578_1?wid=320&amp;op_usm=0.8",1)</f>
        <v/>
      </c>
      <c r="B1000" s="4" t="inlineStr">
        <is>
          <t>Windproof Golf Pullover Quarter-Zip Jacket</t>
        </is>
      </c>
      <c r="C1000" s="4" t="inlineStr">
        <is>
          <t>156499014</t>
        </is>
      </c>
      <c r="D1000" s="4" t="inlineStr">
        <is>
          <t>156499014-clubblue</t>
        </is>
      </c>
      <c r="E1000" s="4" t="inlineStr">
        <is>
          <t>Windproof Golf Pullover Jacket CLBL S</t>
        </is>
      </c>
      <c r="F1000" s="4" t="inlineStr">
        <is>
          <t>$198.00</t>
        </is>
      </c>
      <c r="G1000" s="4" t="inlineStr">
        <is>
          <t>$99.00</t>
        </is>
      </c>
      <c r="H1000" s="4" t="inlineStr">
        <is>
          <t>Club Blue</t>
        </is>
      </c>
      <c r="I1000" s="4">
        <f>IMAGE("https://images.lululemon.com/is/image/lululemon/68578",1)</f>
        <v/>
      </c>
      <c r="J1000" s="4" t="inlineStr">
        <is>
          <t>XL</t>
        </is>
      </c>
      <c r="K1000" s="4" t="inlineStr">
        <is>
          <t>131/881</t>
        </is>
      </c>
      <c r="L1000" s="4" t="inlineStr">
        <is>
          <t>Yes</t>
        </is>
      </c>
      <c r="M1000" s="4" t="inlineStr">
        <is>
          <t>Caddy: optional. This clubhouse-ready golf jacket is made from tough, water-repellent fabric that holds up to light rain and your golf bag.</t>
        </is>
      </c>
      <c r="N1000" s="4" t="inlineStr">
        <is>
          <t>Windproof-Golf-Pullover-Quarter-Zip-Jacket</t>
        </is>
      </c>
      <c r="O1000" s="4" t="inlineStr">
        <is>
          <t>Athletic Jackets</t>
        </is>
      </c>
    </row>
    <row r="1001" ht="80" customHeight="1">
      <c r="A1001" s="7">
        <f>IMAGE("https://images.lululemon.com/is/image/lululemon/LM3FK9S_068578_1?wid=320&amp;op_usm=0.8",1)</f>
        <v/>
      </c>
      <c r="B1001" s="7" t="inlineStr">
        <is>
          <t>Windproof Golf Pullover Quarter-Zip Jacket</t>
        </is>
      </c>
      <c r="C1001" s="7" t="inlineStr">
        <is>
          <t>156499037</t>
        </is>
      </c>
      <c r="D1001" s="7" t="inlineStr">
        <is>
          <t>156499037-clubblue</t>
        </is>
      </c>
      <c r="E1001" s="7" t="inlineStr">
        <is>
          <t>Windproof Golf Pullover Jacket CLBL S</t>
        </is>
      </c>
      <c r="F1001" s="7" t="inlineStr">
        <is>
          <t>$198.00</t>
        </is>
      </c>
      <c r="G1001" s="7" t="inlineStr">
        <is>
          <t>$99.00</t>
        </is>
      </c>
      <c r="H1001" s="7" t="inlineStr">
        <is>
          <t>Club Blue</t>
        </is>
      </c>
      <c r="I1001" s="7">
        <f>IMAGE("https://images.lululemon.com/is/image/lululemon/68578",1)</f>
        <v/>
      </c>
      <c r="J1001" s="7" t="inlineStr">
        <is>
          <t>XXL</t>
        </is>
      </c>
      <c r="K1001" s="7" t="inlineStr">
        <is>
          <t>47/881</t>
        </is>
      </c>
      <c r="L1001" s="7" t="inlineStr">
        <is>
          <t>Yes</t>
        </is>
      </c>
      <c r="M1001" s="7" t="inlineStr">
        <is>
          <t>Caddy: optional. This clubhouse-ready golf jacket is made from tough, water-repellent fabric that holds up to light rain and your golf bag.</t>
        </is>
      </c>
      <c r="N1001" s="7" t="inlineStr">
        <is>
          <t>Windproof-Golf-Pullover-Quarter-Zip-Jacket</t>
        </is>
      </c>
      <c r="O1001" s="7" t="inlineStr">
        <is>
          <t>Athletic Jackets</t>
        </is>
      </c>
    </row>
    <row r="1002" ht="80" customHeight="1">
      <c r="A1002" s="4">
        <f>IMAGE("https://images.lululemon.com/is/image/lululemon/LM3FK9S_068578_1?wid=320&amp;op_usm=0.8",1)</f>
        <v/>
      </c>
      <c r="B1002" s="4" t="inlineStr">
        <is>
          <t>Windproof Golf Pullover Quarter-Zip Jacket</t>
        </is>
      </c>
      <c r="C1002" s="4" t="inlineStr">
        <is>
          <t>155861184</t>
        </is>
      </c>
      <c r="D1002" s="4" t="inlineStr">
        <is>
          <t>155861184-black</t>
        </is>
      </c>
      <c r="E1002" s="4" t="inlineStr">
        <is>
          <t>Windproof Golf Pullover Jacket CLBL S</t>
        </is>
      </c>
      <c r="F1002" s="4" t="inlineStr">
        <is>
          <t>$198.00</t>
        </is>
      </c>
      <c r="G1002" s="4" t="inlineStr">
        <is>
          <t>$99.00</t>
        </is>
      </c>
      <c r="H1002" s="4" t="inlineStr">
        <is>
          <t>Black</t>
        </is>
      </c>
      <c r="I1002" s="4">
        <f>IMAGE("https://images.lululemon.com/is/image/lululemon/0001",1)</f>
        <v/>
      </c>
      <c r="J1002" s="4" t="inlineStr">
        <is>
          <t>S</t>
        </is>
      </c>
      <c r="K1002" s="4" t="inlineStr">
        <is>
          <t>32/881</t>
        </is>
      </c>
      <c r="L1002" s="4" t="inlineStr">
        <is>
          <t>Yes</t>
        </is>
      </c>
      <c r="M1002" s="4" t="inlineStr">
        <is>
          <t>Caddy: optional. This clubhouse-ready golf jacket is made from tough, water-repellent fabric that holds up to light rain and your golf bag.</t>
        </is>
      </c>
      <c r="N1002" s="4" t="inlineStr">
        <is>
          <t>Windproof-Golf-Pullover-Quarter-Zip-Jacket</t>
        </is>
      </c>
      <c r="O1002" s="4" t="inlineStr">
        <is>
          <t>Athletic Jackets</t>
        </is>
      </c>
    </row>
    <row r="1003" ht="80" customHeight="1">
      <c r="A1003" s="7">
        <f>IMAGE("https://images.lululemon.com/is/image/lululemon/LM3FK9S_068578_1?wid=320&amp;op_usm=0.8",1)</f>
        <v/>
      </c>
      <c r="B1003" s="7" t="inlineStr">
        <is>
          <t>Windproof Golf Pullover Quarter-Zip Jacket</t>
        </is>
      </c>
      <c r="C1003" s="7" t="inlineStr">
        <is>
          <t>155861173</t>
        </is>
      </c>
      <c r="D1003" s="7" t="inlineStr">
        <is>
          <t>155861173-black</t>
        </is>
      </c>
      <c r="E1003" s="7" t="inlineStr">
        <is>
          <t>Windproof Golf Pullover Jacket CLBL S</t>
        </is>
      </c>
      <c r="F1003" s="7" t="inlineStr">
        <is>
          <t>$198.00</t>
        </is>
      </c>
      <c r="G1003" s="7" t="inlineStr">
        <is>
          <t>$99.00</t>
        </is>
      </c>
      <c r="H1003" s="7" t="inlineStr">
        <is>
          <t>Black</t>
        </is>
      </c>
      <c r="I1003" s="7">
        <f>IMAGE("https://images.lululemon.com/is/image/lululemon/0001",1)</f>
        <v/>
      </c>
      <c r="J1003" s="7" t="inlineStr">
        <is>
          <t>M</t>
        </is>
      </c>
      <c r="K1003" s="7" t="inlineStr">
        <is>
          <t>94/881</t>
        </is>
      </c>
      <c r="L1003" s="7" t="inlineStr">
        <is>
          <t>Yes</t>
        </is>
      </c>
      <c r="M1003" s="7" t="inlineStr">
        <is>
          <t>Caddy: optional. This clubhouse-ready golf jacket is made from tough, water-repellent fabric that holds up to light rain and your golf bag.</t>
        </is>
      </c>
      <c r="N1003" s="7" t="inlineStr">
        <is>
          <t>Windproof-Golf-Pullover-Quarter-Zip-Jacket</t>
        </is>
      </c>
      <c r="O1003" s="7" t="inlineStr">
        <is>
          <t>Athletic Jackets</t>
        </is>
      </c>
    </row>
    <row r="1004" ht="80" customHeight="1">
      <c r="A1004" s="4">
        <f>IMAGE("https://images.lululemon.com/is/image/lululemon/LM3FK9S_068578_1?wid=320&amp;op_usm=0.8",1)</f>
        <v/>
      </c>
      <c r="B1004" s="4" t="inlineStr">
        <is>
          <t>Windproof Golf Pullover Quarter-Zip Jacket</t>
        </is>
      </c>
      <c r="C1004" s="4" t="inlineStr">
        <is>
          <t>155861161</t>
        </is>
      </c>
      <c r="D1004" s="4" t="inlineStr">
        <is>
          <t>155861161-black</t>
        </is>
      </c>
      <c r="E1004" s="4" t="inlineStr">
        <is>
          <t>Windproof Golf Pullover Jacket CLBL S</t>
        </is>
      </c>
      <c r="F1004" s="4" t="inlineStr">
        <is>
          <t>$198.00</t>
        </is>
      </c>
      <c r="G1004" s="4" t="inlineStr">
        <is>
          <t>$99.00</t>
        </is>
      </c>
      <c r="H1004" s="4" t="inlineStr">
        <is>
          <t>Black</t>
        </is>
      </c>
      <c r="I1004" s="4">
        <f>IMAGE("https://images.lululemon.com/is/image/lululemon/0001",1)</f>
        <v/>
      </c>
      <c r="J1004" s="4" t="inlineStr">
        <is>
          <t>L</t>
        </is>
      </c>
      <c r="K1004" s="4" t="inlineStr">
        <is>
          <t>116/881</t>
        </is>
      </c>
      <c r="L1004" s="4" t="inlineStr">
        <is>
          <t>Yes</t>
        </is>
      </c>
      <c r="M1004" s="4" t="inlineStr">
        <is>
          <t>Caddy: optional. This clubhouse-ready golf jacket is made from tough, water-repellent fabric that holds up to light rain and your golf bag.</t>
        </is>
      </c>
      <c r="N1004" s="4" t="inlineStr">
        <is>
          <t>Windproof-Golf-Pullover-Quarter-Zip-Jacket</t>
        </is>
      </c>
      <c r="O1004" s="4" t="inlineStr">
        <is>
          <t>Athletic Jackets</t>
        </is>
      </c>
    </row>
    <row r="1005" ht="80" customHeight="1">
      <c r="A1005" s="7">
        <f>IMAGE("https://images.lululemon.com/is/image/lululemon/LM3FK9S_068578_1?wid=320&amp;op_usm=0.8",1)</f>
        <v/>
      </c>
      <c r="B1005" s="7" t="inlineStr">
        <is>
          <t>Windproof Golf Pullover Quarter-Zip Jacket</t>
        </is>
      </c>
      <c r="C1005" s="7" t="inlineStr">
        <is>
          <t>155861196</t>
        </is>
      </c>
      <c r="D1005" s="7" t="inlineStr">
        <is>
          <t>155861196-black</t>
        </is>
      </c>
      <c r="E1005" s="7" t="inlineStr">
        <is>
          <t>Windproof Golf Pullover Jacket CLBL S</t>
        </is>
      </c>
      <c r="F1005" s="7" t="inlineStr">
        <is>
          <t>$198.00</t>
        </is>
      </c>
      <c r="G1005" s="7" t="inlineStr">
        <is>
          <t>$99.00</t>
        </is>
      </c>
      <c r="H1005" s="7" t="inlineStr">
        <is>
          <t>Black</t>
        </is>
      </c>
      <c r="I1005" s="7">
        <f>IMAGE("https://images.lululemon.com/is/image/lululemon/0001",1)</f>
        <v/>
      </c>
      <c r="J1005" s="7" t="inlineStr">
        <is>
          <t>XL</t>
        </is>
      </c>
      <c r="K1005" s="7" t="inlineStr">
        <is>
          <t>74/881</t>
        </is>
      </c>
      <c r="L1005" s="7" t="inlineStr">
        <is>
          <t>Yes</t>
        </is>
      </c>
      <c r="M1005" s="7" t="inlineStr">
        <is>
          <t>Caddy: optional. This clubhouse-ready golf jacket is made from tough, water-repellent fabric that holds up to light rain and your golf bag.</t>
        </is>
      </c>
      <c r="N1005" s="7" t="inlineStr">
        <is>
          <t>Windproof-Golf-Pullover-Quarter-Zip-Jacket</t>
        </is>
      </c>
      <c r="O1005" s="7" t="inlineStr">
        <is>
          <t>Athletic Jackets</t>
        </is>
      </c>
    </row>
    <row r="1006" ht="80" customHeight="1">
      <c r="A1006" s="6">
        <f>IMAGE("https://images.lululemon.com/is/image/lululemon/LM3FK9S_068578_1?wid=320&amp;op_usm=0.8",1)</f>
        <v/>
      </c>
      <c r="B1006" s="6" t="inlineStr">
        <is>
          <t>Windproof Golf Pullover Quarter-Zip Jacket</t>
        </is>
      </c>
      <c r="C1006" s="6" t="inlineStr">
        <is>
          <t>155861221</t>
        </is>
      </c>
      <c r="D1006" s="6" t="inlineStr">
        <is>
          <t>155861221-black</t>
        </is>
      </c>
      <c r="E1006" s="6" t="inlineStr">
        <is>
          <t>Windproof Golf Pullover Jacket CLBL S</t>
        </is>
      </c>
      <c r="F1006" s="6" t="inlineStr">
        <is>
          <t>$198.00</t>
        </is>
      </c>
      <c r="G1006" s="6" t="inlineStr">
        <is>
          <t>$99.00</t>
        </is>
      </c>
      <c r="H1006" s="6" t="inlineStr">
        <is>
          <t>Black</t>
        </is>
      </c>
      <c r="I1006" s="6">
        <f>IMAGE("https://images.lululemon.com/is/image/lululemon/0001",1)</f>
        <v/>
      </c>
      <c r="J1006" s="6" t="inlineStr">
        <is>
          <t>XXL</t>
        </is>
      </c>
      <c r="K1006" s="6" t="inlineStr">
        <is>
          <t>16/881</t>
        </is>
      </c>
      <c r="L1006" s="6" t="inlineStr">
        <is>
          <t>Yes</t>
        </is>
      </c>
      <c r="M1006" s="6" t="inlineStr">
        <is>
          <t>Caddy: optional. This clubhouse-ready golf jacket is made from tough, water-repellent fabric that holds up to light rain and your golf bag.</t>
        </is>
      </c>
      <c r="N1006" s="6" t="inlineStr">
        <is>
          <t>Windproof-Golf-Pullover-Quarter-Zip-Jacket</t>
        </is>
      </c>
      <c r="O1006" s="6" t="inlineStr">
        <is>
          <t>Athletic Jackets</t>
        </is>
      </c>
    </row>
    <row r="1007" ht="80" customHeight="1">
      <c r="A1007" s="7">
        <f>IMAGE("https://images.lululemon.com/is/image/lululemon/LM7BD6S_025461_1?wid=320&amp;op_usm=0.8",1)</f>
        <v/>
      </c>
      <c r="B1007" s="7" t="inlineStr">
        <is>
          <t>Pace Breaker Linerless Short 9"</t>
        </is>
      </c>
      <c r="C1007" s="7" t="inlineStr">
        <is>
          <t>156650752</t>
        </is>
      </c>
      <c r="D1007" s="7" t="inlineStr">
        <is>
          <t>156650752-poolparty</t>
        </is>
      </c>
      <c r="E1007" s="7" t="inlineStr">
        <is>
          <t>Pace Breaker Short 9" *LL POOL S</t>
        </is>
      </c>
      <c r="F1007" s="7" t="inlineStr">
        <is>
          <t>$68.00</t>
        </is>
      </c>
      <c r="G1007" s="7" t="inlineStr">
        <is>
          <t>$34.00</t>
        </is>
      </c>
      <c r="H1007" s="7" t="inlineStr">
        <is>
          <t>Pool Party</t>
        </is>
      </c>
      <c r="I1007" s="7">
        <f>IMAGE("https://images.lululemon.com/is/image/lululemon/25461",1)</f>
        <v/>
      </c>
      <c r="J1007" s="7" t="inlineStr">
        <is>
          <t>S</t>
        </is>
      </c>
      <c r="K1007" s="7" t="inlineStr">
        <is>
          <t>41/579</t>
        </is>
      </c>
      <c r="L1007" s="7" t="inlineStr">
        <is>
          <t>Yes</t>
        </is>
      </c>
      <c r="M1007" s="7" t="inlineStr">
        <is>
          <t>Athlete backed, performance driven. This elevated version of our most versatile short was designed for maximum comfort and zero distractions.</t>
        </is>
      </c>
      <c r="N1007" s="7" t="inlineStr">
        <is>
          <t>Pace-Breaker-Short-Linerless-Updated</t>
        </is>
      </c>
      <c r="O1007" s="7" t="inlineStr">
        <is>
          <t>Athletic Shorts</t>
        </is>
      </c>
    </row>
    <row r="1008" ht="80" customHeight="1">
      <c r="A1008" s="4">
        <f>IMAGE("https://images.lululemon.com/is/image/lululemon/LM7BD6S_025461_1?wid=320&amp;op_usm=0.8",1)</f>
        <v/>
      </c>
      <c r="B1008" s="4" t="inlineStr">
        <is>
          <t>Pace Breaker Linerless Short 9"</t>
        </is>
      </c>
      <c r="C1008" s="4" t="inlineStr">
        <is>
          <t>156650751</t>
        </is>
      </c>
      <c r="D1008" s="4" t="inlineStr">
        <is>
          <t>156650751-poolparty</t>
        </is>
      </c>
      <c r="E1008" s="4" t="inlineStr">
        <is>
          <t>Pace Breaker Short 9" *LL POOL S</t>
        </is>
      </c>
      <c r="F1008" s="4" t="inlineStr">
        <is>
          <t>$68.00</t>
        </is>
      </c>
      <c r="G1008" s="4" t="inlineStr">
        <is>
          <t>$34.00</t>
        </is>
      </c>
      <c r="H1008" s="4" t="inlineStr">
        <is>
          <t>Pool Party</t>
        </is>
      </c>
      <c r="I1008" s="4">
        <f>IMAGE("https://images.lululemon.com/is/image/lululemon/25461",1)</f>
        <v/>
      </c>
      <c r="J1008" s="4" t="inlineStr">
        <is>
          <t>M</t>
        </is>
      </c>
      <c r="K1008" s="4" t="inlineStr">
        <is>
          <t>112/579</t>
        </is>
      </c>
      <c r="L1008" s="4" t="inlineStr">
        <is>
          <t>Yes</t>
        </is>
      </c>
      <c r="M1008" s="4" t="inlineStr">
        <is>
          <t>Athlete backed, performance driven. This elevated version of our most versatile short was designed for maximum comfort and zero distractions.</t>
        </is>
      </c>
      <c r="N1008" s="4" t="inlineStr">
        <is>
          <t>Pace-Breaker-Short-Linerless-Updated</t>
        </is>
      </c>
      <c r="O1008" s="4" t="inlineStr">
        <is>
          <t>Athletic Shorts</t>
        </is>
      </c>
    </row>
    <row r="1009" ht="80" customHeight="1">
      <c r="A1009" s="7">
        <f>IMAGE("https://images.lululemon.com/is/image/lululemon/LM7BD6S_025461_1?wid=320&amp;op_usm=0.8",1)</f>
        <v/>
      </c>
      <c r="B1009" s="7" t="inlineStr">
        <is>
          <t>Pace Breaker Linerless Short 9"</t>
        </is>
      </c>
      <c r="C1009" s="7" t="inlineStr">
        <is>
          <t>156650750</t>
        </is>
      </c>
      <c r="D1009" s="7" t="inlineStr">
        <is>
          <t>156650750-poolparty</t>
        </is>
      </c>
      <c r="E1009" s="7" t="inlineStr">
        <is>
          <t>Pace Breaker Short 9" *LL POOL S</t>
        </is>
      </c>
      <c r="F1009" s="7" t="inlineStr">
        <is>
          <t>$68.00</t>
        </is>
      </c>
      <c r="G1009" s="7" t="inlineStr">
        <is>
          <t>$34.00</t>
        </is>
      </c>
      <c r="H1009" s="7" t="inlineStr">
        <is>
          <t>Pool Party</t>
        </is>
      </c>
      <c r="I1009" s="7">
        <f>IMAGE("https://images.lululemon.com/is/image/lululemon/25461",1)</f>
        <v/>
      </c>
      <c r="J1009" s="7" t="inlineStr">
        <is>
          <t>L</t>
        </is>
      </c>
      <c r="K1009" s="7" t="inlineStr">
        <is>
          <t>40/579</t>
        </is>
      </c>
      <c r="L1009" s="7" t="inlineStr">
        <is>
          <t>Yes</t>
        </is>
      </c>
      <c r="M1009" s="7" t="inlineStr">
        <is>
          <t>Athlete backed, performance driven. This elevated version of our most versatile short was designed for maximum comfort and zero distractions.</t>
        </is>
      </c>
      <c r="N1009" s="7" t="inlineStr">
        <is>
          <t>Pace-Breaker-Short-Linerless-Updated</t>
        </is>
      </c>
      <c r="O1009" s="7" t="inlineStr">
        <is>
          <t>Athletic Shorts</t>
        </is>
      </c>
    </row>
    <row r="1010" ht="80" customHeight="1">
      <c r="A1010" s="4">
        <f>IMAGE("https://images.lululemon.com/is/image/lululemon/LM7BD6S_025461_1?wid=320&amp;op_usm=0.8",1)</f>
        <v/>
      </c>
      <c r="B1010" s="4" t="inlineStr">
        <is>
          <t>Pace Breaker Linerless Short 9"</t>
        </is>
      </c>
      <c r="C1010" s="4" t="inlineStr">
        <is>
          <t>156650753</t>
        </is>
      </c>
      <c r="D1010" s="4" t="inlineStr">
        <is>
          <t>156650753-poolparty</t>
        </is>
      </c>
      <c r="E1010" s="4" t="inlineStr">
        <is>
          <t>Pace Breaker Short 9" *LL POOL S</t>
        </is>
      </c>
      <c r="F1010" s="4" t="inlineStr">
        <is>
          <t>$68.00</t>
        </is>
      </c>
      <c r="G1010" s="4" t="inlineStr">
        <is>
          <t>$34.00</t>
        </is>
      </c>
      <c r="H1010" s="4" t="inlineStr">
        <is>
          <t>Pool Party</t>
        </is>
      </c>
      <c r="I1010" s="4">
        <f>IMAGE("https://images.lululemon.com/is/image/lululemon/25461",1)</f>
        <v/>
      </c>
      <c r="J1010" s="4" t="inlineStr">
        <is>
          <t>XL</t>
        </is>
      </c>
      <c r="K1010" s="4" t="inlineStr">
        <is>
          <t>124/579</t>
        </is>
      </c>
      <c r="L1010" s="4" t="inlineStr">
        <is>
          <t>Yes</t>
        </is>
      </c>
      <c r="M1010" s="4" t="inlineStr">
        <is>
          <t>Athlete backed, performance driven. This elevated version of our most versatile short was designed for maximum comfort and zero distractions.</t>
        </is>
      </c>
      <c r="N1010" s="4" t="inlineStr">
        <is>
          <t>Pace-Breaker-Short-Linerless-Updated</t>
        </is>
      </c>
      <c r="O1010" s="4" t="inlineStr">
        <is>
          <t>Athletic Shorts</t>
        </is>
      </c>
    </row>
    <row r="1011" ht="80" customHeight="1">
      <c r="A1011" s="7">
        <f>IMAGE("https://images.lululemon.com/is/image/lululemon/LM7BD6S_025461_1?wid=320&amp;op_usm=0.8",1)</f>
        <v/>
      </c>
      <c r="B1011" s="7" t="inlineStr">
        <is>
          <t>Pace Breaker Linerless Short 9"</t>
        </is>
      </c>
      <c r="C1011" s="7" t="inlineStr">
        <is>
          <t>156650755</t>
        </is>
      </c>
      <c r="D1011" s="7" t="inlineStr">
        <is>
          <t>156650755-poolparty</t>
        </is>
      </c>
      <c r="E1011" s="7" t="inlineStr">
        <is>
          <t>Pace Breaker Short 9" *LL POOL S</t>
        </is>
      </c>
      <c r="F1011" s="7" t="inlineStr">
        <is>
          <t>$68.00</t>
        </is>
      </c>
      <c r="G1011" s="7" t="inlineStr">
        <is>
          <t>$34.00</t>
        </is>
      </c>
      <c r="H1011" s="7" t="inlineStr">
        <is>
          <t>Pool Party</t>
        </is>
      </c>
      <c r="I1011" s="7">
        <f>IMAGE("https://images.lululemon.com/is/image/lululemon/25461",1)</f>
        <v/>
      </c>
      <c r="J1011" s="7" t="inlineStr">
        <is>
          <t>XXL</t>
        </is>
      </c>
      <c r="K1011" s="7" t="inlineStr">
        <is>
          <t>10/579</t>
        </is>
      </c>
      <c r="L1011" s="7" t="inlineStr">
        <is>
          <t>Yes</t>
        </is>
      </c>
      <c r="M1011" s="7" t="inlineStr">
        <is>
          <t>Athlete backed, performance driven. This elevated version of our most versatile short was designed for maximum comfort and zero distractions.</t>
        </is>
      </c>
      <c r="N1011" s="7" t="inlineStr">
        <is>
          <t>Pace-Breaker-Short-Linerless-Updated</t>
        </is>
      </c>
      <c r="O1011" s="7" t="inlineStr">
        <is>
          <t>Athletic Shorts</t>
        </is>
      </c>
    </row>
    <row r="1012" ht="80" customHeight="1">
      <c r="A1012" s="4">
        <f>IMAGE("https://images.lululemon.com/is/image/lululemon/LM7BD6S_025461_1?wid=320&amp;op_usm=0.8",1)</f>
        <v/>
      </c>
      <c r="B1012" s="4" t="inlineStr">
        <is>
          <t>Pace Breaker Linerless Short 9"</t>
        </is>
      </c>
      <c r="C1012" s="4" t="inlineStr">
        <is>
          <t>157708132</t>
        </is>
      </c>
      <c r="D1012" s="4" t="inlineStr">
        <is>
          <t>157708132-speckledheatherblackmulti</t>
        </is>
      </c>
      <c r="E1012" s="4" t="inlineStr">
        <is>
          <t>Pace Breaker Short 9" *LL POOL S</t>
        </is>
      </c>
      <c r="F1012" s="4" t="inlineStr">
        <is>
          <t>$68.00</t>
        </is>
      </c>
      <c r="G1012" s="4" t="inlineStr">
        <is>
          <t>$34.00</t>
        </is>
      </c>
      <c r="H1012" s="4" t="inlineStr">
        <is>
          <t>Speckled Heather Black Multi</t>
        </is>
      </c>
      <c r="I1012" s="4">
        <f>IMAGE("https://images.lululemon.com/is/image/lululemon/72044",1)</f>
        <v/>
      </c>
      <c r="J1012" s="4" t="inlineStr">
        <is>
          <t>S</t>
        </is>
      </c>
      <c r="K1012" s="4" t="inlineStr">
        <is>
          <t>30/579</t>
        </is>
      </c>
      <c r="L1012" s="4" t="inlineStr">
        <is>
          <t>Yes</t>
        </is>
      </c>
      <c r="M1012" s="4" t="inlineStr">
        <is>
          <t>Athlete backed, performance driven. This elevated version of our most versatile short was designed for maximum comfort and zero distractions.</t>
        </is>
      </c>
      <c r="N1012" s="4" t="inlineStr">
        <is>
          <t>Pace-Breaker-Short-Linerless-Updated</t>
        </is>
      </c>
      <c r="O1012" s="4" t="inlineStr">
        <is>
          <t>Athletic Shorts</t>
        </is>
      </c>
    </row>
    <row r="1013" ht="80" customHeight="1">
      <c r="A1013" s="7">
        <f>IMAGE("https://images.lululemon.com/is/image/lululemon/LM7BD6S_025461_1?wid=320&amp;op_usm=0.8",1)</f>
        <v/>
      </c>
      <c r="B1013" s="7" t="inlineStr">
        <is>
          <t>Pace Breaker Linerless Short 9"</t>
        </is>
      </c>
      <c r="C1013" s="7" t="inlineStr">
        <is>
          <t>157708110</t>
        </is>
      </c>
      <c r="D1013" s="7" t="inlineStr">
        <is>
          <t>157708110-speckledheatherblackmulti</t>
        </is>
      </c>
      <c r="E1013" s="7" t="inlineStr">
        <is>
          <t>Pace Breaker Short 9" *LL POOL S</t>
        </is>
      </c>
      <c r="F1013" s="7" t="inlineStr">
        <is>
          <t>$68.00</t>
        </is>
      </c>
      <c r="G1013" s="7" t="inlineStr">
        <is>
          <t>$34.00</t>
        </is>
      </c>
      <c r="H1013" s="7" t="inlineStr">
        <is>
          <t>Speckled Heather Black Multi</t>
        </is>
      </c>
      <c r="I1013" s="7">
        <f>IMAGE("https://images.lululemon.com/is/image/lululemon/72044",1)</f>
        <v/>
      </c>
      <c r="J1013" s="7" t="inlineStr">
        <is>
          <t>M</t>
        </is>
      </c>
      <c r="K1013" s="7" t="inlineStr">
        <is>
          <t>81/579</t>
        </is>
      </c>
      <c r="L1013" s="7" t="inlineStr">
        <is>
          <t>Yes</t>
        </is>
      </c>
      <c r="M1013" s="7" t="inlineStr">
        <is>
          <t>Athlete backed, performance driven. This elevated version of our most versatile short was designed for maximum comfort and zero distractions.</t>
        </is>
      </c>
      <c r="N1013" s="7" t="inlineStr">
        <is>
          <t>Pace-Breaker-Short-Linerless-Updated</t>
        </is>
      </c>
      <c r="O1013" s="7" t="inlineStr">
        <is>
          <t>Athletic Shorts</t>
        </is>
      </c>
    </row>
    <row r="1014" ht="80" customHeight="1">
      <c r="A1014" s="4">
        <f>IMAGE("https://images.lululemon.com/is/image/lululemon/LM7BD6S_025461_1?wid=320&amp;op_usm=0.8",1)</f>
        <v/>
      </c>
      <c r="B1014" s="4" t="inlineStr">
        <is>
          <t>Pace Breaker Linerless Short 9"</t>
        </is>
      </c>
      <c r="C1014" s="4" t="inlineStr">
        <is>
          <t>157708088</t>
        </is>
      </c>
      <c r="D1014" s="4" t="inlineStr">
        <is>
          <t>157708088-speckledheatherblackmulti</t>
        </is>
      </c>
      <c r="E1014" s="4" t="inlineStr">
        <is>
          <t>Pace Breaker Short 9" *LL POOL S</t>
        </is>
      </c>
      <c r="F1014" s="4" t="inlineStr">
        <is>
          <t>$68.00</t>
        </is>
      </c>
      <c r="G1014" s="4" t="inlineStr">
        <is>
          <t>$34.00</t>
        </is>
      </c>
      <c r="H1014" s="4" t="inlineStr">
        <is>
          <t>Speckled Heather Black Multi</t>
        </is>
      </c>
      <c r="I1014" s="4">
        <f>IMAGE("https://images.lululemon.com/is/image/lululemon/72044",1)</f>
        <v/>
      </c>
      <c r="J1014" s="4" t="inlineStr">
        <is>
          <t>L</t>
        </is>
      </c>
      <c r="K1014" s="4" t="inlineStr">
        <is>
          <t>82/579</t>
        </is>
      </c>
      <c r="L1014" s="4" t="inlineStr">
        <is>
          <t>Yes</t>
        </is>
      </c>
      <c r="M1014" s="4" t="inlineStr">
        <is>
          <t>Athlete backed, performance driven. This elevated version of our most versatile short was designed for maximum comfort and zero distractions.</t>
        </is>
      </c>
      <c r="N1014" s="4" t="inlineStr">
        <is>
          <t>Pace-Breaker-Short-Linerless-Updated</t>
        </is>
      </c>
      <c r="O1014" s="4" t="inlineStr">
        <is>
          <t>Athletic Shorts</t>
        </is>
      </c>
    </row>
    <row r="1015" ht="80" customHeight="1">
      <c r="A1015" s="7">
        <f>IMAGE("https://images.lululemon.com/is/image/lululemon/LM7BD6S_025461_1?wid=320&amp;op_usm=0.8",1)</f>
        <v/>
      </c>
      <c r="B1015" s="7" t="inlineStr">
        <is>
          <t>Pace Breaker Linerless Short 9"</t>
        </is>
      </c>
      <c r="C1015" s="7" t="inlineStr">
        <is>
          <t>157708155</t>
        </is>
      </c>
      <c r="D1015" s="7" t="inlineStr">
        <is>
          <t>157708155-speckledheatherblackmulti</t>
        </is>
      </c>
      <c r="E1015" s="7" t="inlineStr">
        <is>
          <t>Pace Breaker Short 9" *LL POOL S</t>
        </is>
      </c>
      <c r="F1015" s="7" t="inlineStr">
        <is>
          <t>$68.00</t>
        </is>
      </c>
      <c r="G1015" s="7" t="inlineStr">
        <is>
          <t>$34.00</t>
        </is>
      </c>
      <c r="H1015" s="7" t="inlineStr">
        <is>
          <t>Speckled Heather Black Multi</t>
        </is>
      </c>
      <c r="I1015" s="7">
        <f>IMAGE("https://images.lululemon.com/is/image/lululemon/72044",1)</f>
        <v/>
      </c>
      <c r="J1015" s="7" t="inlineStr">
        <is>
          <t>XL</t>
        </is>
      </c>
      <c r="K1015" s="7" t="inlineStr">
        <is>
          <t>47/579</t>
        </is>
      </c>
      <c r="L1015" s="7" t="inlineStr">
        <is>
          <t>Yes</t>
        </is>
      </c>
      <c r="M1015" s="7" t="inlineStr">
        <is>
          <t>Athlete backed, performance driven. This elevated version of our most versatile short was designed for maximum comfort and zero distractions.</t>
        </is>
      </c>
      <c r="N1015" s="7" t="inlineStr">
        <is>
          <t>Pace-Breaker-Short-Linerless-Updated</t>
        </is>
      </c>
      <c r="O1015" s="7" t="inlineStr">
        <is>
          <t>Athletic Shorts</t>
        </is>
      </c>
    </row>
    <row r="1016" ht="80" customHeight="1">
      <c r="A1016" s="6">
        <f>IMAGE("https://images.lululemon.com/is/image/lululemon/LM7BD6S_025461_1?wid=320&amp;op_usm=0.8",1)</f>
        <v/>
      </c>
      <c r="B1016" s="6" t="inlineStr">
        <is>
          <t>Pace Breaker Linerless Short 9"</t>
        </is>
      </c>
      <c r="C1016" s="6" t="inlineStr">
        <is>
          <t>157708197</t>
        </is>
      </c>
      <c r="D1016" s="6" t="inlineStr">
        <is>
          <t>157708197-speckledheatherblackmulti</t>
        </is>
      </c>
      <c r="E1016" s="6" t="inlineStr">
        <is>
          <t>Pace Breaker Short 9" *LL POOL S</t>
        </is>
      </c>
      <c r="F1016" s="6" t="inlineStr">
        <is>
          <t>$68.00</t>
        </is>
      </c>
      <c r="G1016" s="6" t="inlineStr">
        <is>
          <t>$34.00</t>
        </is>
      </c>
      <c r="H1016" s="6" t="inlineStr">
        <is>
          <t>Speckled Heather Black Multi</t>
        </is>
      </c>
      <c r="I1016" s="6">
        <f>IMAGE("https://images.lululemon.com/is/image/lululemon/72044",1)</f>
        <v/>
      </c>
      <c r="J1016" s="6" t="inlineStr">
        <is>
          <t>XXL</t>
        </is>
      </c>
      <c r="K1016" s="6" t="inlineStr">
        <is>
          <t>12/579</t>
        </is>
      </c>
      <c r="L1016" s="6" t="inlineStr">
        <is>
          <t>Yes</t>
        </is>
      </c>
      <c r="M1016" s="6" t="inlineStr">
        <is>
          <t>Athlete backed, performance driven. This elevated version of our most versatile short was designed for maximum comfort and zero distractions.</t>
        </is>
      </c>
      <c r="N1016" s="6" t="inlineStr">
        <is>
          <t>Pace-Breaker-Short-Linerless-Updated</t>
        </is>
      </c>
      <c r="O1016" s="6" t="inlineStr">
        <is>
          <t>Athletic Shorts</t>
        </is>
      </c>
    </row>
    <row r="1017" ht="80" customHeight="1">
      <c r="A1017" s="5">
        <f>IMAGE("https://images.lululemon.com/is/image/lululemon/LM9AMRS_033068_1?wid=320&amp;op_usm=0.8",1)</f>
        <v/>
      </c>
      <c r="B1017" s="5" t="inlineStr">
        <is>
          <t>Always In Motion Boxer 5"</t>
        </is>
      </c>
      <c r="C1017" s="5" t="inlineStr">
        <is>
          <t>158030185</t>
        </is>
      </c>
      <c r="D1017" s="5" t="inlineStr">
        <is>
          <t>158030185-sinatrablue</t>
        </is>
      </c>
      <c r="E1017" s="5" t="inlineStr">
        <is>
          <t>AIM Boxer SNBL XXL</t>
        </is>
      </c>
      <c r="F1017" s="5" t="inlineStr">
        <is>
          <t>$28.00</t>
        </is>
      </c>
      <c r="G1017" s="5" t="inlineStr">
        <is>
          <t>$14.00</t>
        </is>
      </c>
      <c r="H1017" s="5" t="inlineStr">
        <is>
          <t>Sinatra Blue</t>
        </is>
      </c>
      <c r="I1017" s="5">
        <f>IMAGE("https://images.lululemon.com/is/image/lululemon/33068",1)</f>
        <v/>
      </c>
      <c r="J1017" s="5" t="inlineStr">
        <is>
          <t>XXL</t>
        </is>
      </c>
      <c r="K1017" s="5" t="inlineStr">
        <is>
          <t>3/3</t>
        </is>
      </c>
      <c r="L1017" s="5" t="inlineStr">
        <is>
          <t>Yes</t>
        </is>
      </c>
      <c r="M1017" s="5" t="inlineStr">
        <is>
          <t>The good stuff. These boxers feature an ergonomic design and super-soft, quick-drying fabric for total comfort while working out or on the go.</t>
        </is>
      </c>
      <c r="N1017" s="5" t="inlineStr">
        <is>
          <t>Aim-Boxer</t>
        </is>
      </c>
      <c r="O1017" s="5" t="inlineStr">
        <is>
          <t>Boxers</t>
        </is>
      </c>
    </row>
    <row r="1018" ht="80" customHeight="1">
      <c r="A1018" s="4">
        <f>IMAGE("https://images.lululemon.com/is/image/lululemon/LU9BOTS_0023_1?wid=320&amp;op_usm=0.8",1)</f>
        <v/>
      </c>
      <c r="B1018" s="4" t="inlineStr">
        <is>
          <t>Classic Ball Cap *Wordmark</t>
        </is>
      </c>
      <c r="C1018" s="4" t="inlineStr">
        <is>
          <t>155801250</t>
        </is>
      </c>
      <c r="D1018" s="4" t="inlineStr">
        <is>
          <t>155801250-mintbreeze</t>
        </is>
      </c>
      <c r="E1018" s="4" t="inlineStr">
        <is>
          <t>Unisex Classic Ball Cap MIBR S/M</t>
        </is>
      </c>
      <c r="F1018" s="4" t="inlineStr">
        <is>
          <t>$38.00</t>
        </is>
      </c>
      <c r="G1018" s="4" t="inlineStr">
        <is>
          <t>$19.00</t>
        </is>
      </c>
      <c r="H1018" s="4" t="inlineStr">
        <is>
          <t>Mint Breeze</t>
        </is>
      </c>
      <c r="I1018" s="4">
        <f>IMAGE("https://images.lululemon.com/is/image/lululemon/69040",1)</f>
        <v/>
      </c>
      <c r="J1018" s="4" t="inlineStr">
        <is>
          <t>S/M</t>
        </is>
      </c>
      <c r="K1018" s="4" t="inlineStr">
        <is>
          <t>52/413</t>
        </is>
      </c>
      <c r="L1018" s="4" t="inlineStr">
        <is>
          <t>Yes</t>
        </is>
      </c>
      <c r="M1018" s="4" t="inlineStr">
        <is>
          <t>Anywhere, anytime. This soft, lightweight cap is a year-round favourite for days on the go.</t>
        </is>
      </c>
      <c r="N1018" s="4" t="inlineStr">
        <is>
          <t>Ball-Cap-Wordmark</t>
        </is>
      </c>
      <c r="O1018" s="4" t="inlineStr">
        <is>
          <t>Caps</t>
        </is>
      </c>
    </row>
    <row r="1019" ht="80" customHeight="1">
      <c r="A1019" s="7">
        <f>IMAGE("https://images.lululemon.com/is/image/lululemon/LU9BOTS_0023_1?wid=320&amp;op_usm=0.8",1)</f>
        <v/>
      </c>
      <c r="B1019" s="7" t="inlineStr">
        <is>
          <t>Classic Ball Cap *Wordmark</t>
        </is>
      </c>
      <c r="C1019" s="7" t="inlineStr">
        <is>
          <t>155801245</t>
        </is>
      </c>
      <c r="D1019" s="7" t="inlineStr">
        <is>
          <t>155801245-mintbreeze</t>
        </is>
      </c>
      <c r="E1019" s="7" t="inlineStr">
        <is>
          <t>Unisex Classic Ball Cap MIBR S/M</t>
        </is>
      </c>
      <c r="F1019" s="7" t="inlineStr">
        <is>
          <t>$38.00</t>
        </is>
      </c>
      <c r="G1019" s="7" t="inlineStr">
        <is>
          <t>$19.00</t>
        </is>
      </c>
      <c r="H1019" s="7" t="inlineStr">
        <is>
          <t>Mint Breeze</t>
        </is>
      </c>
      <c r="I1019" s="7">
        <f>IMAGE("https://images.lululemon.com/is/image/lululemon/69040",1)</f>
        <v/>
      </c>
      <c r="J1019" s="7" t="inlineStr">
        <is>
          <t>L/XL</t>
        </is>
      </c>
      <c r="K1019" s="7" t="inlineStr">
        <is>
          <t>74/413</t>
        </is>
      </c>
      <c r="L1019" s="7" t="inlineStr">
        <is>
          <t>Yes</t>
        </is>
      </c>
      <c r="M1019" s="7" t="inlineStr">
        <is>
          <t>Anywhere, anytime. This soft, lightweight cap is a year-round favourite for days on the go.</t>
        </is>
      </c>
      <c r="N1019" s="7" t="inlineStr">
        <is>
          <t>Ball-Cap-Wordmark</t>
        </is>
      </c>
      <c r="O1019" s="7" t="inlineStr">
        <is>
          <t>Caps</t>
        </is>
      </c>
    </row>
    <row r="1020" ht="80" customHeight="1">
      <c r="A1020" s="4">
        <f>IMAGE("https://images.lululemon.com/is/image/lululemon/LU9BOTS_0023_1?wid=320&amp;op_usm=0.8",1)</f>
        <v/>
      </c>
      <c r="B1020" s="4" t="inlineStr">
        <is>
          <t>Classic Ball Cap *Wordmark</t>
        </is>
      </c>
      <c r="C1020" s="4" t="inlineStr">
        <is>
          <t>150050253</t>
        </is>
      </c>
      <c r="D1020" s="4" t="inlineStr">
        <is>
          <t>150050253-black/white</t>
        </is>
      </c>
      <c r="E1020" s="4" t="inlineStr">
        <is>
          <t>Unisex Classic Ball Cap MIBR S/M</t>
        </is>
      </c>
      <c r="F1020" s="4" t="inlineStr">
        <is>
          <t>$38.00</t>
        </is>
      </c>
      <c r="G1020" s="4" t="inlineStr">
        <is>
          <t>$19.00</t>
        </is>
      </c>
      <c r="H1020" s="4" t="inlineStr">
        <is>
          <t>Black/White</t>
        </is>
      </c>
      <c r="I1020" s="4">
        <f>IMAGE("https://images.lululemon.com/is/image/lululemon/0023",1)</f>
        <v/>
      </c>
      <c r="J1020" s="4" t="inlineStr">
        <is>
          <t>S/M</t>
        </is>
      </c>
      <c r="K1020" s="4" t="inlineStr">
        <is>
          <t>59/413</t>
        </is>
      </c>
      <c r="L1020" s="4" t="inlineStr">
        <is>
          <t>Yes</t>
        </is>
      </c>
      <c r="M1020" s="4" t="inlineStr">
        <is>
          <t>Anywhere, anytime. This soft, lightweight cap is a year-round favourite for days on the go.</t>
        </is>
      </c>
      <c r="N1020" s="4" t="inlineStr">
        <is>
          <t>Ball-Cap-Wordmark</t>
        </is>
      </c>
      <c r="O1020" s="4" t="inlineStr">
        <is>
          <t>Caps</t>
        </is>
      </c>
    </row>
    <row r="1021" ht="80" customHeight="1">
      <c r="A1021" s="7">
        <f>IMAGE("https://images.lululemon.com/is/image/lululemon/LU9BOTS_0023_1?wid=320&amp;op_usm=0.8",1)</f>
        <v/>
      </c>
      <c r="B1021" s="7" t="inlineStr">
        <is>
          <t>Classic Ball Cap *Wordmark</t>
        </is>
      </c>
      <c r="C1021" s="7" t="inlineStr">
        <is>
          <t>150050250</t>
        </is>
      </c>
      <c r="D1021" s="7" t="inlineStr">
        <is>
          <t>150050250-black/white</t>
        </is>
      </c>
      <c r="E1021" s="7" t="inlineStr">
        <is>
          <t>Unisex Classic Ball Cap MIBR S/M</t>
        </is>
      </c>
      <c r="F1021" s="7" t="inlineStr">
        <is>
          <t>$38.00</t>
        </is>
      </c>
      <c r="G1021" s="7" t="inlineStr">
        <is>
          <t>$19.00</t>
        </is>
      </c>
      <c r="H1021" s="7" t="inlineStr">
        <is>
          <t>Black/White</t>
        </is>
      </c>
      <c r="I1021" s="7">
        <f>IMAGE("https://images.lululemon.com/is/image/lululemon/0023",1)</f>
        <v/>
      </c>
      <c r="J1021" s="7" t="inlineStr">
        <is>
          <t>L/XL</t>
        </is>
      </c>
      <c r="K1021" s="7" t="inlineStr">
        <is>
          <t>200/413</t>
        </is>
      </c>
      <c r="L1021" s="7" t="inlineStr">
        <is>
          <t>Yes</t>
        </is>
      </c>
      <c r="M1021" s="7" t="inlineStr">
        <is>
          <t>Anywhere, anytime. This soft, lightweight cap is a year-round favourite for days on the go.</t>
        </is>
      </c>
      <c r="N1021" s="7" t="inlineStr">
        <is>
          <t>Ball-Cap-Wordmark</t>
        </is>
      </c>
      <c r="O1021" s="7" t="inlineStr">
        <is>
          <t>Caps</t>
        </is>
      </c>
    </row>
    <row r="1022" ht="80" customHeight="1">
      <c r="A1022" s="6">
        <f>IMAGE("https://images.lululemon.com/is/image/lululemon/LU9BOTS_0023_1?wid=320&amp;op_usm=0.8",1)</f>
        <v/>
      </c>
      <c r="B1022" s="6" t="inlineStr">
        <is>
          <t>Classic Ball Cap *Wordmark</t>
        </is>
      </c>
      <c r="C1022" s="6" t="inlineStr">
        <is>
          <t>153156574</t>
        </is>
      </c>
      <c r="D1022" s="6" t="inlineStr">
        <is>
          <t>153156574-white/black</t>
        </is>
      </c>
      <c r="E1022" s="6" t="inlineStr">
        <is>
          <t>Unisex Classic Ball Cap MIBR S/M</t>
        </is>
      </c>
      <c r="F1022" s="6" t="inlineStr">
        <is>
          <t>$38.00</t>
        </is>
      </c>
      <c r="G1022" s="6" t="inlineStr">
        <is>
          <t>$19.00</t>
        </is>
      </c>
      <c r="H1022" s="6" t="inlineStr">
        <is>
          <t>White/Black</t>
        </is>
      </c>
      <c r="I1022" s="6">
        <f>IMAGE("https://images.lululemon.com/is/image/lululemon/0024",1)</f>
        <v/>
      </c>
      <c r="J1022" s="6" t="inlineStr">
        <is>
          <t>L/XL</t>
        </is>
      </c>
      <c r="K1022" s="6" t="inlineStr">
        <is>
          <t>28/413</t>
        </is>
      </c>
      <c r="L1022" s="6" t="inlineStr">
        <is>
          <t>Yes</t>
        </is>
      </c>
      <c r="M1022" s="6" t="inlineStr">
        <is>
          <t>Anywhere, anytime. This soft, lightweight cap is a year-round favourite for days on the go.</t>
        </is>
      </c>
      <c r="N1022" s="6" t="inlineStr">
        <is>
          <t>Ball-Cap-Wordmark</t>
        </is>
      </c>
      <c r="O1022" s="6" t="inlineStr">
        <is>
          <t>Caps</t>
        </is>
      </c>
    </row>
    <row r="1023" ht="80" customHeight="1">
      <c r="A1023" s="7">
        <f>IMAGE("https://images.lululemon.com/is/image/lululemon/LM3EJXS_0001_1?wid=320&amp;op_usm=0.8",1)</f>
        <v/>
      </c>
      <c r="B1023" s="7" t="inlineStr">
        <is>
          <t>License to Train Long-Sleeve Shirt</t>
        </is>
      </c>
      <c r="C1023" s="7" t="inlineStr">
        <is>
          <t>148227347</t>
        </is>
      </c>
      <c r="D1023" s="7" t="inlineStr">
        <is>
          <t>148227347-black</t>
        </is>
      </c>
      <c r="E1023" s="7" t="inlineStr">
        <is>
          <t>License to Train Long Sleeve BLK S</t>
        </is>
      </c>
      <c r="F1023" s="7" t="inlineStr">
        <is>
          <t>$88.00</t>
        </is>
      </c>
      <c r="G1023" s="7" t="inlineStr">
        <is>
          <t>$44.00</t>
        </is>
      </c>
      <c r="H1023" s="7" t="inlineStr">
        <is>
          <t>Black</t>
        </is>
      </c>
      <c r="I1023" s="7">
        <f>IMAGE("https://images.lululemon.com/is/image/lululemon/0001",1)</f>
        <v/>
      </c>
      <c r="J1023" s="7" t="inlineStr">
        <is>
          <t>S</t>
        </is>
      </c>
      <c r="K1023" s="7" t="inlineStr">
        <is>
          <t>83/2067</t>
        </is>
      </c>
      <c r="L1023" s="7" t="inlineStr">
        <is>
          <t>Yes</t>
        </is>
      </c>
      <c r="M1023" s="7" t="inlineStr">
        <is>
          <t>All bets on sweat. Powered by anti-stink technology, this training top won't cling to sweaty skin so you can stay comfortable and focused.</t>
        </is>
      </c>
      <c r="N1023" s="7" t="inlineStr">
        <is>
          <t>License-to-Train-Long-Sleeve-Shirt</t>
        </is>
      </c>
      <c r="O1023" s="7" t="inlineStr"/>
    </row>
    <row r="1024" ht="80" customHeight="1">
      <c r="A1024" s="4">
        <f>IMAGE("https://images.lululemon.com/is/image/lululemon/LM3EJXS_0001_1?wid=320&amp;op_usm=0.8",1)</f>
        <v/>
      </c>
      <c r="B1024" s="4" t="inlineStr">
        <is>
          <t>License to Train Long-Sleeve Shirt</t>
        </is>
      </c>
      <c r="C1024" s="4" t="inlineStr">
        <is>
          <t>148227342</t>
        </is>
      </c>
      <c r="D1024" s="4" t="inlineStr">
        <is>
          <t>148227342-black</t>
        </is>
      </c>
      <c r="E1024" s="4" t="inlineStr">
        <is>
          <t>License to Train Long Sleeve BLK S</t>
        </is>
      </c>
      <c r="F1024" s="4" t="inlineStr">
        <is>
          <t>$88.00</t>
        </is>
      </c>
      <c r="G1024" s="4" t="inlineStr">
        <is>
          <t>$44.00</t>
        </is>
      </c>
      <c r="H1024" s="4" t="inlineStr">
        <is>
          <t>Black</t>
        </is>
      </c>
      <c r="I1024" s="4">
        <f>IMAGE("https://images.lululemon.com/is/image/lululemon/0001",1)</f>
        <v/>
      </c>
      <c r="J1024" s="4" t="inlineStr">
        <is>
          <t>M</t>
        </is>
      </c>
      <c r="K1024" s="4" t="inlineStr">
        <is>
          <t>324/2067</t>
        </is>
      </c>
      <c r="L1024" s="4" t="inlineStr">
        <is>
          <t>Yes</t>
        </is>
      </c>
      <c r="M1024" s="4" t="inlineStr">
        <is>
          <t>All bets on sweat. Powered by anti-stink technology, this training top won't cling to sweaty skin so you can stay comfortable and focused.</t>
        </is>
      </c>
      <c r="N1024" s="4" t="inlineStr">
        <is>
          <t>License-to-Train-Long-Sleeve-Shirt</t>
        </is>
      </c>
      <c r="O1024" s="4" t="inlineStr"/>
    </row>
    <row r="1025" ht="80" customHeight="1">
      <c r="A1025" s="7">
        <f>IMAGE("https://images.lululemon.com/is/image/lululemon/LM3EJXS_0001_1?wid=320&amp;op_usm=0.8",1)</f>
        <v/>
      </c>
      <c r="B1025" s="7" t="inlineStr">
        <is>
          <t>License to Train Long-Sleeve Shirt</t>
        </is>
      </c>
      <c r="C1025" s="7" t="inlineStr">
        <is>
          <t>148227336</t>
        </is>
      </c>
      <c r="D1025" s="7" t="inlineStr">
        <is>
          <t>148227336-black</t>
        </is>
      </c>
      <c r="E1025" s="7" t="inlineStr">
        <is>
          <t>License to Train Long Sleeve BLK S</t>
        </is>
      </c>
      <c r="F1025" s="7" t="inlineStr">
        <is>
          <t>$88.00</t>
        </is>
      </c>
      <c r="G1025" s="7" t="inlineStr">
        <is>
          <t>$44.00</t>
        </is>
      </c>
      <c r="H1025" s="7" t="inlineStr">
        <is>
          <t>Black</t>
        </is>
      </c>
      <c r="I1025" s="7">
        <f>IMAGE("https://images.lululemon.com/is/image/lululemon/0001",1)</f>
        <v/>
      </c>
      <c r="J1025" s="7" t="inlineStr">
        <is>
          <t>L</t>
        </is>
      </c>
      <c r="K1025" s="7" t="inlineStr">
        <is>
          <t>497/2067</t>
        </is>
      </c>
      <c r="L1025" s="7" t="inlineStr">
        <is>
          <t>Yes</t>
        </is>
      </c>
      <c r="M1025" s="7" t="inlineStr">
        <is>
          <t>All bets on sweat. Powered by anti-stink technology, this training top won't cling to sweaty skin so you can stay comfortable and focused.</t>
        </is>
      </c>
      <c r="N1025" s="7" t="inlineStr">
        <is>
          <t>License-to-Train-Long-Sleeve-Shirt</t>
        </is>
      </c>
      <c r="O1025" s="7" t="inlineStr"/>
    </row>
    <row r="1026" ht="80" customHeight="1">
      <c r="A1026" s="4">
        <f>IMAGE("https://images.lululemon.com/is/image/lululemon/LM3EJXS_0001_1?wid=320&amp;op_usm=0.8",1)</f>
        <v/>
      </c>
      <c r="B1026" s="4" t="inlineStr">
        <is>
          <t>License to Train Long-Sleeve Shirt</t>
        </is>
      </c>
      <c r="C1026" s="4" t="inlineStr">
        <is>
          <t>148227354</t>
        </is>
      </c>
      <c r="D1026" s="4" t="inlineStr">
        <is>
          <t>148227354-black</t>
        </is>
      </c>
      <c r="E1026" s="4" t="inlineStr">
        <is>
          <t>License to Train Long Sleeve BLK S</t>
        </is>
      </c>
      <c r="F1026" s="4" t="inlineStr">
        <is>
          <t>$88.00</t>
        </is>
      </c>
      <c r="G1026" s="4" t="inlineStr">
        <is>
          <t>$44.00</t>
        </is>
      </c>
      <c r="H1026" s="4" t="inlineStr">
        <is>
          <t>Black</t>
        </is>
      </c>
      <c r="I1026" s="4">
        <f>IMAGE("https://images.lululemon.com/is/image/lululemon/0001",1)</f>
        <v/>
      </c>
      <c r="J1026" s="4" t="inlineStr">
        <is>
          <t>XL</t>
        </is>
      </c>
      <c r="K1026" s="4" t="inlineStr">
        <is>
          <t>330/2067</t>
        </is>
      </c>
      <c r="L1026" s="4" t="inlineStr">
        <is>
          <t>Yes</t>
        </is>
      </c>
      <c r="M1026" s="4" t="inlineStr">
        <is>
          <t>All bets on sweat. Powered by anti-stink technology, this training top won't cling to sweaty skin so you can stay comfortable and focused.</t>
        </is>
      </c>
      <c r="N1026" s="4" t="inlineStr">
        <is>
          <t>License-to-Train-Long-Sleeve-Shirt</t>
        </is>
      </c>
      <c r="O1026" s="4" t="inlineStr"/>
    </row>
    <row r="1027" ht="80" customHeight="1">
      <c r="A1027" s="7">
        <f>IMAGE("https://images.lululemon.com/is/image/lululemon/LM3EJXS_0001_1?wid=320&amp;op_usm=0.8",1)</f>
        <v/>
      </c>
      <c r="B1027" s="7" t="inlineStr">
        <is>
          <t>License to Train Long-Sleeve Shirt</t>
        </is>
      </c>
      <c r="C1027" s="7" t="inlineStr">
        <is>
          <t>148227363</t>
        </is>
      </c>
      <c r="D1027" s="7" t="inlineStr">
        <is>
          <t>148227363-black</t>
        </is>
      </c>
      <c r="E1027" s="7" t="inlineStr">
        <is>
          <t>License to Train Long Sleeve BLK S</t>
        </is>
      </c>
      <c r="F1027" s="7" t="inlineStr">
        <is>
          <t>$88.00</t>
        </is>
      </c>
      <c r="G1027" s="7" t="inlineStr">
        <is>
          <t>$44.00</t>
        </is>
      </c>
      <c r="H1027" s="7" t="inlineStr">
        <is>
          <t>Black</t>
        </is>
      </c>
      <c r="I1027" s="7">
        <f>IMAGE("https://images.lululemon.com/is/image/lululemon/0001",1)</f>
        <v/>
      </c>
      <c r="J1027" s="7" t="inlineStr">
        <is>
          <t>XXL</t>
        </is>
      </c>
      <c r="K1027" s="7" t="inlineStr">
        <is>
          <t>120/2067</t>
        </is>
      </c>
      <c r="L1027" s="7" t="inlineStr">
        <is>
          <t>Yes</t>
        </is>
      </c>
      <c r="M1027" s="7" t="inlineStr">
        <is>
          <t>All bets on sweat. Powered by anti-stink technology, this training top won't cling to sweaty skin so you can stay comfortable and focused.</t>
        </is>
      </c>
      <c r="N1027" s="7" t="inlineStr">
        <is>
          <t>License-to-Train-Long-Sleeve-Shirt</t>
        </is>
      </c>
      <c r="O1027" s="7" t="inlineStr"/>
    </row>
    <row r="1028" ht="80" customHeight="1">
      <c r="A1028" s="4">
        <f>IMAGE("https://images.lululemon.com/is/image/lululemon/LM3EJXS_0001_1?wid=320&amp;op_usm=0.8",1)</f>
        <v/>
      </c>
      <c r="B1028" s="4" t="inlineStr">
        <is>
          <t>License to Train Long-Sleeve Shirt</t>
        </is>
      </c>
      <c r="C1028" s="4" t="inlineStr">
        <is>
          <t>153831113</t>
        </is>
      </c>
      <c r="D1028" s="4" t="inlineStr">
        <is>
          <t>153831113-vapor</t>
        </is>
      </c>
      <c r="E1028" s="4" t="inlineStr">
        <is>
          <t>License to Train Long Sleeve BLK S</t>
        </is>
      </c>
      <c r="F1028" s="4" t="inlineStr">
        <is>
          <t>$88.00</t>
        </is>
      </c>
      <c r="G1028" s="4" t="inlineStr">
        <is>
          <t>$44.00</t>
        </is>
      </c>
      <c r="H1028" s="4" t="inlineStr">
        <is>
          <t>Vapor</t>
        </is>
      </c>
      <c r="I1028" s="4">
        <f>IMAGE("https://images.lululemon.com/is/image/lululemon/32894",1)</f>
        <v/>
      </c>
      <c r="J1028" s="4" t="inlineStr">
        <is>
          <t>S</t>
        </is>
      </c>
      <c r="K1028" s="4" t="inlineStr">
        <is>
          <t>14/2067</t>
        </is>
      </c>
      <c r="L1028" s="4" t="inlineStr">
        <is>
          <t>Yes</t>
        </is>
      </c>
      <c r="M1028" s="4" t="inlineStr">
        <is>
          <t>All bets on sweat. Powered by anti-stink technology, this training top won't cling to sweaty skin so you can stay comfortable and focused.</t>
        </is>
      </c>
      <c r="N1028" s="4" t="inlineStr">
        <is>
          <t>License-to-Train-Long-Sleeve-Shirt</t>
        </is>
      </c>
      <c r="O1028" s="4" t="inlineStr"/>
    </row>
    <row r="1029" ht="80" customHeight="1">
      <c r="A1029" s="7">
        <f>IMAGE("https://images.lululemon.com/is/image/lululemon/LM3EJXS_0001_1?wid=320&amp;op_usm=0.8",1)</f>
        <v/>
      </c>
      <c r="B1029" s="7" t="inlineStr">
        <is>
          <t>License to Train Long-Sleeve Shirt</t>
        </is>
      </c>
      <c r="C1029" s="7" t="inlineStr">
        <is>
          <t>153831106</t>
        </is>
      </c>
      <c r="D1029" s="7" t="inlineStr">
        <is>
          <t>153831106-vapor</t>
        </is>
      </c>
      <c r="E1029" s="7" t="inlineStr">
        <is>
          <t>License to Train Long Sleeve BLK S</t>
        </is>
      </c>
      <c r="F1029" s="7" t="inlineStr">
        <is>
          <t>$88.00</t>
        </is>
      </c>
      <c r="G1029" s="7" t="inlineStr">
        <is>
          <t>$44.00</t>
        </is>
      </c>
      <c r="H1029" s="7" t="inlineStr">
        <is>
          <t>Vapor</t>
        </is>
      </c>
      <c r="I1029" s="7">
        <f>IMAGE("https://images.lululemon.com/is/image/lululemon/32894",1)</f>
        <v/>
      </c>
      <c r="J1029" s="7" t="inlineStr">
        <is>
          <t>M</t>
        </is>
      </c>
      <c r="K1029" s="7" t="inlineStr">
        <is>
          <t>65/2067</t>
        </is>
      </c>
      <c r="L1029" s="7" t="inlineStr">
        <is>
          <t>Yes</t>
        </is>
      </c>
      <c r="M1029" s="7" t="inlineStr">
        <is>
          <t>All bets on sweat. Powered by anti-stink technology, this training top won't cling to sweaty skin so you can stay comfortable and focused.</t>
        </is>
      </c>
      <c r="N1029" s="7" t="inlineStr">
        <is>
          <t>License-to-Train-Long-Sleeve-Shirt</t>
        </is>
      </c>
      <c r="O1029" s="7" t="inlineStr"/>
    </row>
    <row r="1030" ht="80" customHeight="1">
      <c r="A1030" s="4">
        <f>IMAGE("https://images.lululemon.com/is/image/lululemon/LM3EJXS_0001_1?wid=320&amp;op_usm=0.8",1)</f>
        <v/>
      </c>
      <c r="B1030" s="4" t="inlineStr">
        <is>
          <t>License to Train Long-Sleeve Shirt</t>
        </is>
      </c>
      <c r="C1030" s="4" t="inlineStr">
        <is>
          <t>153831099</t>
        </is>
      </c>
      <c r="D1030" s="4" t="inlineStr">
        <is>
          <t>153831099-vapor</t>
        </is>
      </c>
      <c r="E1030" s="4" t="inlineStr">
        <is>
          <t>License to Train Long Sleeve BLK S</t>
        </is>
      </c>
      <c r="F1030" s="4" t="inlineStr">
        <is>
          <t>$88.00</t>
        </is>
      </c>
      <c r="G1030" s="4" t="inlineStr">
        <is>
          <t>$44.00</t>
        </is>
      </c>
      <c r="H1030" s="4" t="inlineStr">
        <is>
          <t>Vapor</t>
        </is>
      </c>
      <c r="I1030" s="4">
        <f>IMAGE("https://images.lululemon.com/is/image/lululemon/32894",1)</f>
        <v/>
      </c>
      <c r="J1030" s="4" t="inlineStr">
        <is>
          <t>L</t>
        </is>
      </c>
      <c r="K1030" s="4" t="inlineStr">
        <is>
          <t>39/2067</t>
        </is>
      </c>
      <c r="L1030" s="4" t="inlineStr">
        <is>
          <t>Yes</t>
        </is>
      </c>
      <c r="M1030" s="4" t="inlineStr">
        <is>
          <t>All bets on sweat. Powered by anti-stink technology, this training top won't cling to sweaty skin so you can stay comfortable and focused.</t>
        </is>
      </c>
      <c r="N1030" s="4" t="inlineStr">
        <is>
          <t>License-to-Train-Long-Sleeve-Shirt</t>
        </is>
      </c>
      <c r="O1030" s="4" t="inlineStr"/>
    </row>
    <row r="1031" ht="80" customHeight="1">
      <c r="A1031" s="7">
        <f>IMAGE("https://images.lululemon.com/is/image/lululemon/LM3EJXS_0001_1?wid=320&amp;op_usm=0.8",1)</f>
        <v/>
      </c>
      <c r="B1031" s="7" t="inlineStr">
        <is>
          <t>License to Train Long-Sleeve Shirt</t>
        </is>
      </c>
      <c r="C1031" s="7" t="inlineStr">
        <is>
          <t>153831122</t>
        </is>
      </c>
      <c r="D1031" s="7" t="inlineStr">
        <is>
          <t>153831122-vapor</t>
        </is>
      </c>
      <c r="E1031" s="7" t="inlineStr">
        <is>
          <t>License to Train Long Sleeve BLK S</t>
        </is>
      </c>
      <c r="F1031" s="7" t="inlineStr">
        <is>
          <t>$88.00</t>
        </is>
      </c>
      <c r="G1031" s="7" t="inlineStr">
        <is>
          <t>$44.00</t>
        </is>
      </c>
      <c r="H1031" s="7" t="inlineStr">
        <is>
          <t>Vapor</t>
        </is>
      </c>
      <c r="I1031" s="7">
        <f>IMAGE("https://images.lululemon.com/is/image/lululemon/32894",1)</f>
        <v/>
      </c>
      <c r="J1031" s="7" t="inlineStr">
        <is>
          <t>XL</t>
        </is>
      </c>
      <c r="K1031" s="7" t="inlineStr">
        <is>
          <t>33/2067</t>
        </is>
      </c>
      <c r="L1031" s="7" t="inlineStr">
        <is>
          <t>Yes</t>
        </is>
      </c>
      <c r="M1031" s="7" t="inlineStr">
        <is>
          <t>All bets on sweat. Powered by anti-stink technology, this training top won't cling to sweaty skin so you can stay comfortable and focused.</t>
        </is>
      </c>
      <c r="N1031" s="7" t="inlineStr">
        <is>
          <t>License-to-Train-Long-Sleeve-Shirt</t>
        </is>
      </c>
      <c r="O1031" s="7" t="inlineStr"/>
    </row>
    <row r="1032" ht="80" customHeight="1">
      <c r="A1032" s="4">
        <f>IMAGE("https://images.lululemon.com/is/image/lululemon/LM3EJXS_0001_1?wid=320&amp;op_usm=0.8",1)</f>
        <v/>
      </c>
      <c r="B1032" s="4" t="inlineStr">
        <is>
          <t>License to Train Long-Sleeve Shirt</t>
        </is>
      </c>
      <c r="C1032" s="4" t="inlineStr">
        <is>
          <t>153831138</t>
        </is>
      </c>
      <c r="D1032" s="4" t="inlineStr">
        <is>
          <t>153831138-vapor</t>
        </is>
      </c>
      <c r="E1032" s="4" t="inlineStr">
        <is>
          <t>License to Train Long Sleeve BLK S</t>
        </is>
      </c>
      <c r="F1032" s="4" t="inlineStr">
        <is>
          <t>$88.00</t>
        </is>
      </c>
      <c r="G1032" s="4" t="inlineStr">
        <is>
          <t>$44.00</t>
        </is>
      </c>
      <c r="H1032" s="4" t="inlineStr">
        <is>
          <t>Vapor</t>
        </is>
      </c>
      <c r="I1032" s="4">
        <f>IMAGE("https://images.lululemon.com/is/image/lululemon/32894",1)</f>
        <v/>
      </c>
      <c r="J1032" s="4" t="inlineStr">
        <is>
          <t>XXL</t>
        </is>
      </c>
      <c r="K1032" s="4" t="inlineStr">
        <is>
          <t>35/2067</t>
        </is>
      </c>
      <c r="L1032" s="4" t="inlineStr">
        <is>
          <t>Yes</t>
        </is>
      </c>
      <c r="M1032" s="4" t="inlineStr">
        <is>
          <t>All bets on sweat. Powered by anti-stink technology, this training top won't cling to sweaty skin so you can stay comfortable and focused.</t>
        </is>
      </c>
      <c r="N1032" s="4" t="inlineStr">
        <is>
          <t>License-to-Train-Long-Sleeve-Shirt</t>
        </is>
      </c>
      <c r="O1032" s="4" t="inlineStr"/>
    </row>
    <row r="1033" ht="80" customHeight="1">
      <c r="A1033" s="7">
        <f>IMAGE("https://images.lululemon.com/is/image/lululemon/LM3EJXS_0001_1?wid=320&amp;op_usm=0.8",1)</f>
        <v/>
      </c>
      <c r="B1033" s="7" t="inlineStr">
        <is>
          <t>License to Train Long-Sleeve Shirt</t>
        </is>
      </c>
      <c r="C1033" s="7" t="inlineStr">
        <is>
          <t>157682051</t>
        </is>
      </c>
      <c r="D1033" s="7" t="inlineStr">
        <is>
          <t>157682051-heatheredvapor</t>
        </is>
      </c>
      <c r="E1033" s="7" t="inlineStr">
        <is>
          <t>License to Train Long Sleeve BLK S</t>
        </is>
      </c>
      <c r="F1033" s="7" t="inlineStr">
        <is>
          <t>$88.00</t>
        </is>
      </c>
      <c r="G1033" s="7" t="inlineStr">
        <is>
          <t>$44.00</t>
        </is>
      </c>
      <c r="H1033" s="7" t="inlineStr">
        <is>
          <t>Heathered Vapor</t>
        </is>
      </c>
      <c r="I1033" s="7">
        <f>IMAGE("https://images.lululemon.com/is/image/lululemon/8395",1)</f>
        <v/>
      </c>
      <c r="J1033" s="7" t="inlineStr">
        <is>
          <t>S</t>
        </is>
      </c>
      <c r="K1033" s="7" t="inlineStr">
        <is>
          <t>29/2067</t>
        </is>
      </c>
      <c r="L1033" s="7" t="inlineStr">
        <is>
          <t>Yes</t>
        </is>
      </c>
      <c r="M1033" s="7" t="inlineStr">
        <is>
          <t>All bets on sweat. Powered by anti-stink technology, this training top won't cling to sweaty skin so you can stay comfortable and focused.</t>
        </is>
      </c>
      <c r="N1033" s="7" t="inlineStr">
        <is>
          <t>License-to-Train-Long-Sleeve-Shirt</t>
        </is>
      </c>
      <c r="O1033" s="7" t="inlineStr"/>
    </row>
    <row r="1034" ht="80" customHeight="1">
      <c r="A1034" s="4">
        <f>IMAGE("https://images.lululemon.com/is/image/lululemon/LM3EJXS_0001_1?wid=320&amp;op_usm=0.8",1)</f>
        <v/>
      </c>
      <c r="B1034" s="4" t="inlineStr">
        <is>
          <t>License to Train Long-Sleeve Shirt</t>
        </is>
      </c>
      <c r="C1034" s="4" t="inlineStr">
        <is>
          <t>157682038</t>
        </is>
      </c>
      <c r="D1034" s="4" t="inlineStr">
        <is>
          <t>157682038-heatheredvapor</t>
        </is>
      </c>
      <c r="E1034" s="4" t="inlineStr">
        <is>
          <t>License to Train Long Sleeve BLK S</t>
        </is>
      </c>
      <c r="F1034" s="4" t="inlineStr">
        <is>
          <t>$88.00</t>
        </is>
      </c>
      <c r="G1034" s="4" t="inlineStr">
        <is>
          <t>$44.00</t>
        </is>
      </c>
      <c r="H1034" s="4" t="inlineStr">
        <is>
          <t>Heathered Vapor</t>
        </is>
      </c>
      <c r="I1034" s="4">
        <f>IMAGE("https://images.lululemon.com/is/image/lululemon/8395",1)</f>
        <v/>
      </c>
      <c r="J1034" s="4" t="inlineStr">
        <is>
          <t>M</t>
        </is>
      </c>
      <c r="K1034" s="4" t="inlineStr">
        <is>
          <t>87/2067</t>
        </is>
      </c>
      <c r="L1034" s="4" t="inlineStr">
        <is>
          <t>Yes</t>
        </is>
      </c>
      <c r="M1034" s="4" t="inlineStr">
        <is>
          <t>All bets on sweat. Powered by anti-stink technology, this training top won't cling to sweaty skin so you can stay comfortable and focused.</t>
        </is>
      </c>
      <c r="N1034" s="4" t="inlineStr">
        <is>
          <t>License-to-Train-Long-Sleeve-Shirt</t>
        </is>
      </c>
      <c r="O1034" s="4" t="inlineStr"/>
    </row>
    <row r="1035" ht="80" customHeight="1">
      <c r="A1035" s="7">
        <f>IMAGE("https://images.lululemon.com/is/image/lululemon/LM3EJXS_0001_1?wid=320&amp;op_usm=0.8",1)</f>
        <v/>
      </c>
      <c r="B1035" s="7" t="inlineStr">
        <is>
          <t>License to Train Long-Sleeve Shirt</t>
        </is>
      </c>
      <c r="C1035" s="7" t="inlineStr">
        <is>
          <t>157682022</t>
        </is>
      </c>
      <c r="D1035" s="7" t="inlineStr">
        <is>
          <t>157682022-heatheredvapor</t>
        </is>
      </c>
      <c r="E1035" s="7" t="inlineStr">
        <is>
          <t>License to Train Long Sleeve BLK S</t>
        </is>
      </c>
      <c r="F1035" s="7" t="inlineStr">
        <is>
          <t>$88.00</t>
        </is>
      </c>
      <c r="G1035" s="7" t="inlineStr">
        <is>
          <t>$44.00</t>
        </is>
      </c>
      <c r="H1035" s="7" t="inlineStr">
        <is>
          <t>Heathered Vapor</t>
        </is>
      </c>
      <c r="I1035" s="7">
        <f>IMAGE("https://images.lululemon.com/is/image/lululemon/8395",1)</f>
        <v/>
      </c>
      <c r="J1035" s="7" t="inlineStr">
        <is>
          <t>L</t>
        </is>
      </c>
      <c r="K1035" s="7" t="inlineStr">
        <is>
          <t>121/2067</t>
        </is>
      </c>
      <c r="L1035" s="7" t="inlineStr">
        <is>
          <t>Yes</t>
        </is>
      </c>
      <c r="M1035" s="7" t="inlineStr">
        <is>
          <t>All bets on sweat. Powered by anti-stink technology, this training top won't cling to sweaty skin so you can stay comfortable and focused.</t>
        </is>
      </c>
      <c r="N1035" s="7" t="inlineStr">
        <is>
          <t>License-to-Train-Long-Sleeve-Shirt</t>
        </is>
      </c>
      <c r="O1035" s="7" t="inlineStr"/>
    </row>
    <row r="1036" ht="80" customHeight="1">
      <c r="A1036" s="4">
        <f>IMAGE("https://images.lululemon.com/is/image/lululemon/LM3EJXS_0001_1?wid=320&amp;op_usm=0.8",1)</f>
        <v/>
      </c>
      <c r="B1036" s="4" t="inlineStr">
        <is>
          <t>License to Train Long-Sleeve Shirt</t>
        </is>
      </c>
      <c r="C1036" s="4" t="inlineStr">
        <is>
          <t>157682065</t>
        </is>
      </c>
      <c r="D1036" s="4" t="inlineStr">
        <is>
          <t>157682065-heatheredvapor</t>
        </is>
      </c>
      <c r="E1036" s="4" t="inlineStr">
        <is>
          <t>License to Train Long Sleeve BLK S</t>
        </is>
      </c>
      <c r="F1036" s="4" t="inlineStr">
        <is>
          <t>$88.00</t>
        </is>
      </c>
      <c r="G1036" s="4" t="inlineStr">
        <is>
          <t>$44.00</t>
        </is>
      </c>
      <c r="H1036" s="4" t="inlineStr">
        <is>
          <t>Heathered Vapor</t>
        </is>
      </c>
      <c r="I1036" s="4">
        <f>IMAGE("https://images.lululemon.com/is/image/lululemon/8395",1)</f>
        <v/>
      </c>
      <c r="J1036" s="4" t="inlineStr">
        <is>
          <t>XL</t>
        </is>
      </c>
      <c r="K1036" s="4" t="inlineStr">
        <is>
          <t>80/2067</t>
        </is>
      </c>
      <c r="L1036" s="4" t="inlineStr">
        <is>
          <t>Yes</t>
        </is>
      </c>
      <c r="M1036" s="4" t="inlineStr">
        <is>
          <t>All bets on sweat. Powered by anti-stink technology, this training top won't cling to sweaty skin so you can stay comfortable and focused.</t>
        </is>
      </c>
      <c r="N1036" s="4" t="inlineStr">
        <is>
          <t>License-to-Train-Long-Sleeve-Shirt</t>
        </is>
      </c>
      <c r="O1036" s="4" t="inlineStr"/>
    </row>
    <row r="1037" ht="80" customHeight="1">
      <c r="A1037" s="7">
        <f>IMAGE("https://images.lululemon.com/is/image/lululemon/LM3EJXS_0001_1?wid=320&amp;op_usm=0.8",1)</f>
        <v/>
      </c>
      <c r="B1037" s="7" t="inlineStr">
        <is>
          <t>License to Train Long-Sleeve Shirt</t>
        </is>
      </c>
      <c r="C1037" s="7" t="inlineStr">
        <is>
          <t>157682094</t>
        </is>
      </c>
      <c r="D1037" s="7" t="inlineStr">
        <is>
          <t>157682094-heatheredvapor</t>
        </is>
      </c>
      <c r="E1037" s="7" t="inlineStr">
        <is>
          <t>License to Train Long Sleeve BLK S</t>
        </is>
      </c>
      <c r="F1037" s="7" t="inlineStr">
        <is>
          <t>$88.00</t>
        </is>
      </c>
      <c r="G1037" s="7" t="inlineStr">
        <is>
          <t>$44.00</t>
        </is>
      </c>
      <c r="H1037" s="7" t="inlineStr">
        <is>
          <t>Heathered Vapor</t>
        </is>
      </c>
      <c r="I1037" s="7">
        <f>IMAGE("https://images.lululemon.com/is/image/lululemon/8395",1)</f>
        <v/>
      </c>
      <c r="J1037" s="7" t="inlineStr">
        <is>
          <t>XXL</t>
        </is>
      </c>
      <c r="K1037" s="7" t="inlineStr">
        <is>
          <t>29/2067</t>
        </is>
      </c>
      <c r="L1037" s="7" t="inlineStr">
        <is>
          <t>Yes</t>
        </is>
      </c>
      <c r="M1037" s="7" t="inlineStr">
        <is>
          <t>All bets on sweat. Powered by anti-stink technology, this training top won't cling to sweaty skin so you can stay comfortable and focused.</t>
        </is>
      </c>
      <c r="N1037" s="7" t="inlineStr">
        <is>
          <t>License-to-Train-Long-Sleeve-Shirt</t>
        </is>
      </c>
      <c r="O1037" s="7" t="inlineStr"/>
    </row>
    <row r="1038" ht="80" customHeight="1">
      <c r="A1038" s="4">
        <f>IMAGE("https://images.lululemon.com/is/image/lululemon/LM3EJXS_0001_1?wid=320&amp;op_usm=0.8",1)</f>
        <v/>
      </c>
      <c r="B1038" s="4" t="inlineStr">
        <is>
          <t>License to Train Long-Sleeve Shirt</t>
        </is>
      </c>
      <c r="C1038" s="4" t="inlineStr">
        <is>
          <t>158020844</t>
        </is>
      </c>
      <c r="D1038" s="4" t="inlineStr">
        <is>
          <t>158020844-heatheredindochineblue</t>
        </is>
      </c>
      <c r="E1038" s="4" t="inlineStr">
        <is>
          <t>License to Train Long Sleeve BLK S</t>
        </is>
      </c>
      <c r="F1038" s="4" t="inlineStr">
        <is>
          <t>$88.00</t>
        </is>
      </c>
      <c r="G1038" s="4" t="inlineStr">
        <is>
          <t>$44.00</t>
        </is>
      </c>
      <c r="H1038" s="4" t="inlineStr">
        <is>
          <t>Heathered Indochine Blue</t>
        </is>
      </c>
      <c r="I1038" s="4">
        <f>IMAGE("https://images.lululemon.com/is/image/lululemon/28396",1)</f>
        <v/>
      </c>
      <c r="J1038" s="4" t="inlineStr">
        <is>
          <t>S</t>
        </is>
      </c>
      <c r="K1038" s="4" t="inlineStr">
        <is>
          <t>16/2067</t>
        </is>
      </c>
      <c r="L1038" s="4" t="inlineStr">
        <is>
          <t>Yes</t>
        </is>
      </c>
      <c r="M1038" s="4" t="inlineStr">
        <is>
          <t>All bets on sweat. Powered by anti-stink technology, this training top won't cling to sweaty skin so you can stay comfortable and focused.</t>
        </is>
      </c>
      <c r="N1038" s="4" t="inlineStr">
        <is>
          <t>License-to-Train-Long-Sleeve-Shirt</t>
        </is>
      </c>
      <c r="O1038" s="4" t="inlineStr"/>
    </row>
    <row r="1039" ht="80" customHeight="1">
      <c r="A1039" s="7">
        <f>IMAGE("https://images.lululemon.com/is/image/lululemon/LM3EJXS_0001_1?wid=320&amp;op_usm=0.8",1)</f>
        <v/>
      </c>
      <c r="B1039" s="7" t="inlineStr">
        <is>
          <t>License to Train Long-Sleeve Shirt</t>
        </is>
      </c>
      <c r="C1039" s="7" t="inlineStr">
        <is>
          <t>158020832</t>
        </is>
      </c>
      <c r="D1039" s="7" t="inlineStr">
        <is>
          <t>158020832-heatheredindochineblue</t>
        </is>
      </c>
      <c r="E1039" s="7" t="inlineStr">
        <is>
          <t>License to Train Long Sleeve BLK S</t>
        </is>
      </c>
      <c r="F1039" s="7" t="inlineStr">
        <is>
          <t>$88.00</t>
        </is>
      </c>
      <c r="G1039" s="7" t="inlineStr">
        <is>
          <t>$44.00</t>
        </is>
      </c>
      <c r="H1039" s="7" t="inlineStr">
        <is>
          <t>Heathered Indochine Blue</t>
        </is>
      </c>
      <c r="I1039" s="7">
        <f>IMAGE("https://images.lululemon.com/is/image/lululemon/28396",1)</f>
        <v/>
      </c>
      <c r="J1039" s="7" t="inlineStr">
        <is>
          <t>M</t>
        </is>
      </c>
      <c r="K1039" s="7" t="inlineStr">
        <is>
          <t>47/2067</t>
        </is>
      </c>
      <c r="L1039" s="7" t="inlineStr">
        <is>
          <t>Yes</t>
        </is>
      </c>
      <c r="M1039" s="7" t="inlineStr">
        <is>
          <t>All bets on sweat. Powered by anti-stink technology, this training top won't cling to sweaty skin so you can stay comfortable and focused.</t>
        </is>
      </c>
      <c r="N1039" s="7" t="inlineStr">
        <is>
          <t>License-to-Train-Long-Sleeve-Shirt</t>
        </is>
      </c>
      <c r="O1039" s="7" t="inlineStr"/>
    </row>
    <row r="1040" ht="80" customHeight="1">
      <c r="A1040" s="4">
        <f>IMAGE("https://images.lululemon.com/is/image/lululemon/LM3EJXS_0001_1?wid=320&amp;op_usm=0.8",1)</f>
        <v/>
      </c>
      <c r="B1040" s="4" t="inlineStr">
        <is>
          <t>License to Train Long-Sleeve Shirt</t>
        </is>
      </c>
      <c r="C1040" s="4" t="inlineStr">
        <is>
          <t>158020818</t>
        </is>
      </c>
      <c r="D1040" s="4" t="inlineStr">
        <is>
          <t>158020818-heatheredindochineblue</t>
        </is>
      </c>
      <c r="E1040" s="4" t="inlineStr">
        <is>
          <t>License to Train Long Sleeve BLK S</t>
        </is>
      </c>
      <c r="F1040" s="4" t="inlineStr">
        <is>
          <t>$88.00</t>
        </is>
      </c>
      <c r="G1040" s="4" t="inlineStr">
        <is>
          <t>$44.00</t>
        </is>
      </c>
      <c r="H1040" s="4" t="inlineStr">
        <is>
          <t>Heathered Indochine Blue</t>
        </is>
      </c>
      <c r="I1040" s="4">
        <f>IMAGE("https://images.lululemon.com/is/image/lululemon/28396",1)</f>
        <v/>
      </c>
      <c r="J1040" s="4" t="inlineStr">
        <is>
          <t>L</t>
        </is>
      </c>
      <c r="K1040" s="4" t="inlineStr">
        <is>
          <t>62/2067</t>
        </is>
      </c>
      <c r="L1040" s="4" t="inlineStr">
        <is>
          <t>Yes</t>
        </is>
      </c>
      <c r="M1040" s="4" t="inlineStr">
        <is>
          <t>All bets on sweat. Powered by anti-stink technology, this training top won't cling to sweaty skin so you can stay comfortable and focused.</t>
        </is>
      </c>
      <c r="N1040" s="4" t="inlineStr">
        <is>
          <t>License-to-Train-Long-Sleeve-Shirt</t>
        </is>
      </c>
      <c r="O1040" s="4" t="inlineStr"/>
    </row>
    <row r="1041" ht="80" customHeight="1">
      <c r="A1041" s="7">
        <f>IMAGE("https://images.lululemon.com/is/image/lululemon/LM3EJXS_0001_1?wid=320&amp;op_usm=0.8",1)</f>
        <v/>
      </c>
      <c r="B1041" s="7" t="inlineStr">
        <is>
          <t>License to Train Long-Sleeve Shirt</t>
        </is>
      </c>
      <c r="C1041" s="7" t="inlineStr">
        <is>
          <t>158020855</t>
        </is>
      </c>
      <c r="D1041" s="7" t="inlineStr">
        <is>
          <t>158020855-heatheredindochineblue</t>
        </is>
      </c>
      <c r="E1041" s="7" t="inlineStr">
        <is>
          <t>License to Train Long Sleeve BLK S</t>
        </is>
      </c>
      <c r="F1041" s="7" t="inlineStr">
        <is>
          <t>$88.00</t>
        </is>
      </c>
      <c r="G1041" s="7" t="inlineStr">
        <is>
          <t>$44.00</t>
        </is>
      </c>
      <c r="H1041" s="7" t="inlineStr">
        <is>
          <t>Heathered Indochine Blue</t>
        </is>
      </c>
      <c r="I1041" s="7">
        <f>IMAGE("https://images.lululemon.com/is/image/lululemon/28396",1)</f>
        <v/>
      </c>
      <c r="J1041" s="7" t="inlineStr">
        <is>
          <t>XL</t>
        </is>
      </c>
      <c r="K1041" s="7" t="inlineStr">
        <is>
          <t>41/2067</t>
        </is>
      </c>
      <c r="L1041" s="7" t="inlineStr">
        <is>
          <t>Yes</t>
        </is>
      </c>
      <c r="M1041" s="7" t="inlineStr">
        <is>
          <t>All bets on sweat. Powered by anti-stink technology, this training top won't cling to sweaty skin so you can stay comfortable and focused.</t>
        </is>
      </c>
      <c r="N1041" s="7" t="inlineStr">
        <is>
          <t>License-to-Train-Long-Sleeve-Shirt</t>
        </is>
      </c>
      <c r="O1041" s="7" t="inlineStr"/>
    </row>
    <row r="1042" ht="80" customHeight="1">
      <c r="A1042" s="6">
        <f>IMAGE("https://images.lululemon.com/is/image/lululemon/LM3EJXS_0001_1?wid=320&amp;op_usm=0.8",1)</f>
        <v/>
      </c>
      <c r="B1042" s="6" t="inlineStr">
        <is>
          <t>License to Train Long-Sleeve Shirt</t>
        </is>
      </c>
      <c r="C1042" s="6" t="inlineStr">
        <is>
          <t>158020878</t>
        </is>
      </c>
      <c r="D1042" s="6" t="inlineStr">
        <is>
          <t>158020878-heatheredindochineblue</t>
        </is>
      </c>
      <c r="E1042" s="6" t="inlineStr">
        <is>
          <t>License to Train Long Sleeve BLK S</t>
        </is>
      </c>
      <c r="F1042" s="6" t="inlineStr">
        <is>
          <t>$88.00</t>
        </is>
      </c>
      <c r="G1042" s="6" t="inlineStr">
        <is>
          <t>$44.00</t>
        </is>
      </c>
      <c r="H1042" s="6" t="inlineStr">
        <is>
          <t>Heathered Indochine Blue</t>
        </is>
      </c>
      <c r="I1042" s="6">
        <f>IMAGE("https://images.lululemon.com/is/image/lululemon/28396",1)</f>
        <v/>
      </c>
      <c r="J1042" s="6" t="inlineStr">
        <is>
          <t>XXL</t>
        </is>
      </c>
      <c r="K1042" s="6" t="inlineStr">
        <is>
          <t>15/2067</t>
        </is>
      </c>
      <c r="L1042" s="6" t="inlineStr">
        <is>
          <t>Yes</t>
        </is>
      </c>
      <c r="M1042" s="6" t="inlineStr">
        <is>
          <t>All bets on sweat. Powered by anti-stink technology, this training top won't cling to sweaty skin so you can stay comfortable and focused.</t>
        </is>
      </c>
      <c r="N1042" s="6" t="inlineStr">
        <is>
          <t>License-to-Train-Long-Sleeve-Shirt</t>
        </is>
      </c>
      <c r="O1042" s="6" t="inlineStr"/>
    </row>
    <row r="1043" ht="80" customHeight="1">
      <c r="A1043" s="5">
        <f>IMAGE("https://images.lululemon.com/is/image/lululemon/LU9AY4S_072619_1?wid=320&amp;op_usm=0.8",1)</f>
        <v/>
      </c>
      <c r="B1043" s="5" t="inlineStr">
        <is>
          <t>The Towel</t>
        </is>
      </c>
      <c r="C1043" s="5" t="inlineStr">
        <is>
          <t>157793522</t>
        </is>
      </c>
      <c r="D1043" s="5" t="inlineStr">
        <is>
          <t>157793522-meadowhazegreymulti</t>
        </is>
      </c>
      <c r="E1043" s="5" t="inlineStr">
        <is>
          <t>The Towel MHGM ONE SIZE</t>
        </is>
      </c>
      <c r="F1043" s="5" t="inlineStr">
        <is>
          <t>$42.00</t>
        </is>
      </c>
      <c r="G1043" s="5" t="inlineStr">
        <is>
          <t>$21.00</t>
        </is>
      </c>
      <c r="H1043" s="5" t="inlineStr">
        <is>
          <t>Meadow Haze Grey Multi</t>
        </is>
      </c>
      <c r="I1043" s="5">
        <f>IMAGE("https://images.lululemon.com/is/image/lululemon/72619",1)</f>
        <v/>
      </c>
      <c r="J1043" s="5" t="inlineStr">
        <is>
          <t>O/S</t>
        </is>
      </c>
      <c r="K1043" s="5" t="inlineStr">
        <is>
          <t>182/182</t>
        </is>
      </c>
      <c r="L1043" s="5" t="inlineStr">
        <is>
          <t>Yes</t>
        </is>
      </c>
      <c r="M1043" s="5" t="inlineStr">
        <is>
          <t>Whether it's soaking up sweat during hot yoga classes or drying off post-shower, this absorbent microfibre towel handles it all.</t>
        </is>
      </c>
      <c r="N1043" s="5" t="inlineStr">
        <is>
          <t>The-Towel</t>
        </is>
      </c>
      <c r="O1043" s="5" t="inlineStr">
        <is>
          <t>Towels</t>
        </is>
      </c>
    </row>
    <row r="1044" ht="80" customHeight="1">
      <c r="A1044" s="4">
        <f>IMAGE("https://images.lululemon.com/is/image/lululemon/LM3GGIS_072761_1?wid=320&amp;op_usm=0.8",1)</f>
        <v/>
      </c>
      <c r="B1044" s="4" t="inlineStr">
        <is>
          <t>Heavyweight Soft Jersey Half Zip</t>
        </is>
      </c>
      <c r="C1044" s="4" t="inlineStr">
        <is>
          <t>158101871</t>
        </is>
      </c>
      <c r="D1044" s="4" t="inlineStr">
        <is>
          <t>158101871-walnutcrunch</t>
        </is>
      </c>
      <c r="E1044" s="4" t="inlineStr">
        <is>
          <t>Heavy Soft Jersey Half Zip WALC S</t>
        </is>
      </c>
      <c r="F1044" s="4" t="inlineStr">
        <is>
          <t>$128.00</t>
        </is>
      </c>
      <c r="G1044" s="4" t="inlineStr">
        <is>
          <t>$64.00</t>
        </is>
      </c>
      <c r="H1044" s="4" t="inlineStr">
        <is>
          <t>Walnut Crunch</t>
        </is>
      </c>
      <c r="I1044" s="4">
        <f>IMAGE("https://images.lululemon.com/is/image/lululemon/72761",1)</f>
        <v/>
      </c>
      <c r="J1044" s="4" t="inlineStr">
        <is>
          <t>S</t>
        </is>
      </c>
      <c r="K1044" s="4" t="inlineStr">
        <is>
          <t>28/318</t>
        </is>
      </c>
      <c r="L1044" s="4" t="inlineStr">
        <is>
          <t>Yes</t>
        </is>
      </c>
      <c r="M1044" s="4" t="inlineStr">
        <is>
          <t>Laid back, levelled up. Made of weighty, blanket-soft jersey fabric with a brushed interior, this half zip provides the elevated downtime you deserve.</t>
        </is>
      </c>
      <c r="N1044" s="4" t="inlineStr">
        <is>
          <t>Heavyweight-Soft-Jersey-Half-Zip</t>
        </is>
      </c>
      <c r="O1044" s="4" t="inlineStr">
        <is>
          <t>Half Zip Sweatshirts, Quarter Zip Sweatshirts</t>
        </is>
      </c>
    </row>
    <row r="1045" ht="80" customHeight="1">
      <c r="A1045" s="7">
        <f>IMAGE("https://images.lululemon.com/is/image/lululemon/LM3GGIS_072761_1?wid=320&amp;op_usm=0.8",1)</f>
        <v/>
      </c>
      <c r="B1045" s="7" t="inlineStr">
        <is>
          <t>Heavyweight Soft Jersey Half Zip</t>
        </is>
      </c>
      <c r="C1045" s="7" t="inlineStr">
        <is>
          <t>158101862</t>
        </is>
      </c>
      <c r="D1045" s="7" t="inlineStr">
        <is>
          <t>158101862-walnutcrunch</t>
        </is>
      </c>
      <c r="E1045" s="7" t="inlineStr">
        <is>
          <t>Heavy Soft Jersey Half Zip WALC S</t>
        </is>
      </c>
      <c r="F1045" s="7" t="inlineStr">
        <is>
          <t>$128.00</t>
        </is>
      </c>
      <c r="G1045" s="7" t="inlineStr">
        <is>
          <t>$64.00</t>
        </is>
      </c>
      <c r="H1045" s="7" t="inlineStr">
        <is>
          <t>Walnut Crunch</t>
        </is>
      </c>
      <c r="I1045" s="7">
        <f>IMAGE("https://images.lululemon.com/is/image/lululemon/72761",1)</f>
        <v/>
      </c>
      <c r="J1045" s="7" t="inlineStr">
        <is>
          <t>M</t>
        </is>
      </c>
      <c r="K1045" s="7" t="inlineStr">
        <is>
          <t>77/318</t>
        </is>
      </c>
      <c r="L1045" s="7" t="inlineStr">
        <is>
          <t>Yes</t>
        </is>
      </c>
      <c r="M1045" s="7" t="inlineStr">
        <is>
          <t>Laid back, levelled up. Made of weighty, blanket-soft jersey fabric with a brushed interior, this half zip provides the elevated downtime you deserve.</t>
        </is>
      </c>
      <c r="N1045" s="7" t="inlineStr">
        <is>
          <t>Heavyweight-Soft-Jersey-Half-Zip</t>
        </is>
      </c>
      <c r="O1045" s="7" t="inlineStr">
        <is>
          <t>Half Zip Sweatshirts, Quarter Zip Sweatshirts</t>
        </is>
      </c>
    </row>
    <row r="1046" ht="80" customHeight="1">
      <c r="A1046" s="4">
        <f>IMAGE("https://images.lululemon.com/is/image/lululemon/LM3GGIS_072761_1?wid=320&amp;op_usm=0.8",1)</f>
        <v/>
      </c>
      <c r="B1046" s="4" t="inlineStr">
        <is>
          <t>Heavyweight Soft Jersey Half Zip</t>
        </is>
      </c>
      <c r="C1046" s="4" t="inlineStr">
        <is>
          <t>158101852</t>
        </is>
      </c>
      <c r="D1046" s="4" t="inlineStr">
        <is>
          <t>158101852-walnutcrunch</t>
        </is>
      </c>
      <c r="E1046" s="4" t="inlineStr">
        <is>
          <t>Heavy Soft Jersey Half Zip WALC S</t>
        </is>
      </c>
      <c r="F1046" s="4" t="inlineStr">
        <is>
          <t>$128.00</t>
        </is>
      </c>
      <c r="G1046" s="4" t="inlineStr">
        <is>
          <t>$64.00</t>
        </is>
      </c>
      <c r="H1046" s="4" t="inlineStr">
        <is>
          <t>Walnut Crunch</t>
        </is>
      </c>
      <c r="I1046" s="4">
        <f>IMAGE("https://images.lululemon.com/is/image/lululemon/72761",1)</f>
        <v/>
      </c>
      <c r="J1046" s="4" t="inlineStr">
        <is>
          <t>L</t>
        </is>
      </c>
      <c r="K1046" s="4" t="inlineStr">
        <is>
          <t>113/318</t>
        </is>
      </c>
      <c r="L1046" s="4" t="inlineStr">
        <is>
          <t>Yes</t>
        </is>
      </c>
      <c r="M1046" s="4" t="inlineStr">
        <is>
          <t>Laid back, levelled up. Made of weighty, blanket-soft jersey fabric with a brushed interior, this half zip provides the elevated downtime you deserve.</t>
        </is>
      </c>
      <c r="N1046" s="4" t="inlineStr">
        <is>
          <t>Heavyweight-Soft-Jersey-Half-Zip</t>
        </is>
      </c>
      <c r="O1046" s="4" t="inlineStr">
        <is>
          <t>Half Zip Sweatshirts, Quarter Zip Sweatshirts</t>
        </is>
      </c>
    </row>
    <row r="1047" ht="80" customHeight="1">
      <c r="A1047" s="7">
        <f>IMAGE("https://images.lululemon.com/is/image/lululemon/LM3GGIS_072761_1?wid=320&amp;op_usm=0.8",1)</f>
        <v/>
      </c>
      <c r="B1047" s="7" t="inlineStr">
        <is>
          <t>Heavyweight Soft Jersey Half Zip</t>
        </is>
      </c>
      <c r="C1047" s="7" t="inlineStr">
        <is>
          <t>158101879</t>
        </is>
      </c>
      <c r="D1047" s="7" t="inlineStr">
        <is>
          <t>158101879-walnutcrunch</t>
        </is>
      </c>
      <c r="E1047" s="7" t="inlineStr">
        <is>
          <t>Heavy Soft Jersey Half Zip WALC S</t>
        </is>
      </c>
      <c r="F1047" s="7" t="inlineStr">
        <is>
          <t>$128.00</t>
        </is>
      </c>
      <c r="G1047" s="7" t="inlineStr">
        <is>
          <t>$64.00</t>
        </is>
      </c>
      <c r="H1047" s="7" t="inlineStr">
        <is>
          <t>Walnut Crunch</t>
        </is>
      </c>
      <c r="I1047" s="7">
        <f>IMAGE("https://images.lululemon.com/is/image/lululemon/72761",1)</f>
        <v/>
      </c>
      <c r="J1047" s="7" t="inlineStr">
        <is>
          <t>XL</t>
        </is>
      </c>
      <c r="K1047" s="7" t="inlineStr">
        <is>
          <t>74/318</t>
        </is>
      </c>
      <c r="L1047" s="7" t="inlineStr">
        <is>
          <t>Yes</t>
        </is>
      </c>
      <c r="M1047" s="7" t="inlineStr">
        <is>
          <t>Laid back, levelled up. Made of weighty, blanket-soft jersey fabric with a brushed interior, this half zip provides the elevated downtime you deserve.</t>
        </is>
      </c>
      <c r="N1047" s="7" t="inlineStr">
        <is>
          <t>Heavyweight-Soft-Jersey-Half-Zip</t>
        </is>
      </c>
      <c r="O1047" s="7" t="inlineStr">
        <is>
          <t>Half Zip Sweatshirts, Quarter Zip Sweatshirts</t>
        </is>
      </c>
    </row>
    <row r="1048" ht="80" customHeight="1">
      <c r="A1048" s="6">
        <f>IMAGE("https://images.lululemon.com/is/image/lululemon/LM3GGIS_072761_1?wid=320&amp;op_usm=0.8",1)</f>
        <v/>
      </c>
      <c r="B1048" s="6" t="inlineStr">
        <is>
          <t>Heavyweight Soft Jersey Half Zip</t>
        </is>
      </c>
      <c r="C1048" s="6" t="inlineStr">
        <is>
          <t>158101897</t>
        </is>
      </c>
      <c r="D1048" s="6" t="inlineStr">
        <is>
          <t>158101897-walnutcrunch</t>
        </is>
      </c>
      <c r="E1048" s="6" t="inlineStr">
        <is>
          <t>Heavy Soft Jersey Half Zip WALC S</t>
        </is>
      </c>
      <c r="F1048" s="6" t="inlineStr">
        <is>
          <t>$128.00</t>
        </is>
      </c>
      <c r="G1048" s="6" t="inlineStr">
        <is>
          <t>$64.00</t>
        </is>
      </c>
      <c r="H1048" s="6" t="inlineStr">
        <is>
          <t>Walnut Crunch</t>
        </is>
      </c>
      <c r="I1048" s="6">
        <f>IMAGE("https://images.lululemon.com/is/image/lululemon/72761",1)</f>
        <v/>
      </c>
      <c r="J1048" s="6" t="inlineStr">
        <is>
          <t>XXL</t>
        </is>
      </c>
      <c r="K1048" s="6" t="inlineStr">
        <is>
          <t>26/318</t>
        </is>
      </c>
      <c r="L1048" s="6" t="inlineStr">
        <is>
          <t>Yes</t>
        </is>
      </c>
      <c r="M1048" s="6" t="inlineStr">
        <is>
          <t>Laid back, levelled up. Made of weighty, blanket-soft jersey fabric with a brushed interior, this half zip provides the elevated downtime you deserve.</t>
        </is>
      </c>
      <c r="N1048" s="6" t="inlineStr">
        <is>
          <t>Heavyweight-Soft-Jersey-Half-Zip</t>
        </is>
      </c>
      <c r="O1048" s="6" t="inlineStr">
        <is>
          <t>Half Zip Sweatshirts, Quarter Zip Sweatshirts</t>
        </is>
      </c>
    </row>
    <row r="1049" ht="80" customHeight="1">
      <c r="A1049" s="5">
        <f>IMAGE("https://images.lululemon.com/is/image/lululemon/LU9ALBS_0001_1?wid=320&amp;op_usm=0.8",1)</f>
        <v/>
      </c>
      <c r="B1049" s="5" t="inlineStr">
        <is>
          <t>Back to Life Sport Bottle 32oz</t>
        </is>
      </c>
      <c r="C1049" s="5" t="inlineStr">
        <is>
          <t>124875044</t>
        </is>
      </c>
      <c r="D1049" s="5" t="inlineStr">
        <is>
          <t>124875044-black</t>
        </is>
      </c>
      <c r="E1049" s="5" t="inlineStr">
        <is>
          <t>Back to Life Sport Bottle 32oz BLK ONE SIZE</t>
        </is>
      </c>
      <c r="F1049" s="5" t="inlineStr">
        <is>
          <t>$54.00</t>
        </is>
      </c>
      <c r="G1049" s="5" t="inlineStr">
        <is>
          <t>$27.00</t>
        </is>
      </c>
      <c r="H1049" s="5" t="inlineStr">
        <is>
          <t>Black</t>
        </is>
      </c>
      <c r="I1049" s="5">
        <f>IMAGE("https://images.lululemon.com/is/image/lululemon/0001",1)</f>
        <v/>
      </c>
      <c r="J1049" s="5" t="inlineStr">
        <is>
          <t>O/S</t>
        </is>
      </c>
      <c r="K1049" s="5" t="inlineStr">
        <is>
          <t>1716/1716</t>
        </is>
      </c>
      <c r="L1049" s="5" t="inlineStr">
        <is>
          <t>Yes</t>
        </is>
      </c>
      <c r="M1049" s="5" t="inlineStr">
        <is>
          <t>This insulated water bottle features a leak-proof lid and slip-free texture, so no matter how adventurous the adventure gets, your drink is safe.</t>
        </is>
      </c>
      <c r="N1049" s="5" t="inlineStr">
        <is>
          <t>Back-to-Life-Sport-Bottle-32oz</t>
        </is>
      </c>
      <c r="O1049" s="5" t="inlineStr"/>
    </row>
    <row r="1050" ht="80" customHeight="1">
      <c r="A1050" s="4">
        <f>IMAGE("https://images.lululemon.com/is/image/lululemon/LM3EJSS_0001_1?wid=320&amp;op_usm=0.8",1)</f>
        <v/>
      </c>
      <c r="B1050" s="4" t="inlineStr">
        <is>
          <t>License to Train Hoodie</t>
        </is>
      </c>
      <c r="C1050" s="4" t="inlineStr">
        <is>
          <t>147002413</t>
        </is>
      </c>
      <c r="D1050" s="4" t="inlineStr">
        <is>
          <t>147002413-black</t>
        </is>
      </c>
      <c r="E1050" s="4" t="inlineStr">
        <is>
          <t>License to Train Hoodie BLK XS</t>
        </is>
      </c>
      <c r="F1050" s="4" t="inlineStr">
        <is>
          <t>$118.00</t>
        </is>
      </c>
      <c r="G1050" s="4" t="inlineStr">
        <is>
          <t>$59.00</t>
        </is>
      </c>
      <c r="H1050" s="4" t="inlineStr">
        <is>
          <t>Black</t>
        </is>
      </c>
      <c r="I1050" s="4">
        <f>IMAGE("https://images.lululemon.com/is/image/lululemon/0001",1)</f>
        <v/>
      </c>
      <c r="J1050" s="4" t="inlineStr">
        <is>
          <t>XS</t>
        </is>
      </c>
      <c r="K1050" s="4" t="inlineStr">
        <is>
          <t>2/3030</t>
        </is>
      </c>
      <c r="L1050" s="4" t="inlineStr">
        <is>
          <t>Yes</t>
        </is>
      </c>
      <c r="M1050" s="4" t="inlineStr">
        <is>
          <t>All bets on sweat. Powered by anti-stink technology, this training top won't cling to sweaty skin so you can stay comfortable and focused.</t>
        </is>
      </c>
      <c r="N1050" s="4" t="inlineStr">
        <is>
          <t>License-To-Train-Hoodie-LS</t>
        </is>
      </c>
      <c r="O1050" s="4" t="inlineStr">
        <is>
          <t>Hoodies</t>
        </is>
      </c>
    </row>
    <row r="1051" ht="80" customHeight="1">
      <c r="A1051" s="7">
        <f>IMAGE("https://images.lululemon.com/is/image/lululemon/LM3EJSS_0001_1?wid=320&amp;op_usm=0.8",1)</f>
        <v/>
      </c>
      <c r="B1051" s="7" t="inlineStr">
        <is>
          <t>License to Train Hoodie</t>
        </is>
      </c>
      <c r="C1051" s="7" t="inlineStr">
        <is>
          <t>147002401</t>
        </is>
      </c>
      <c r="D1051" s="7" t="inlineStr">
        <is>
          <t>147002401-black</t>
        </is>
      </c>
      <c r="E1051" s="7" t="inlineStr">
        <is>
          <t>License to Train Hoodie BLK XS</t>
        </is>
      </c>
      <c r="F1051" s="7" t="inlineStr">
        <is>
          <t>$118.00</t>
        </is>
      </c>
      <c r="G1051" s="7" t="inlineStr">
        <is>
          <t>$59.00</t>
        </is>
      </c>
      <c r="H1051" s="7" t="inlineStr">
        <is>
          <t>Black</t>
        </is>
      </c>
      <c r="I1051" s="7">
        <f>IMAGE("https://images.lululemon.com/is/image/lululemon/0001",1)</f>
        <v/>
      </c>
      <c r="J1051" s="7" t="inlineStr">
        <is>
          <t>S</t>
        </is>
      </c>
      <c r="K1051" s="7" t="inlineStr">
        <is>
          <t>94/3030</t>
        </is>
      </c>
      <c r="L1051" s="7" t="inlineStr">
        <is>
          <t>Yes</t>
        </is>
      </c>
      <c r="M1051" s="7" t="inlineStr">
        <is>
          <t>All bets on sweat. Powered by anti-stink technology, this training top won't cling to sweaty skin so you can stay comfortable and focused.</t>
        </is>
      </c>
      <c r="N1051" s="7" t="inlineStr">
        <is>
          <t>License-To-Train-Hoodie-LS</t>
        </is>
      </c>
      <c r="O1051" s="7" t="inlineStr">
        <is>
          <t>Hoodies</t>
        </is>
      </c>
    </row>
    <row r="1052" ht="80" customHeight="1">
      <c r="A1052" s="4">
        <f>IMAGE("https://images.lululemon.com/is/image/lululemon/LM3EJSS_0001_1?wid=320&amp;op_usm=0.8",1)</f>
        <v/>
      </c>
      <c r="B1052" s="4" t="inlineStr">
        <is>
          <t>License to Train Hoodie</t>
        </is>
      </c>
      <c r="C1052" s="4" t="inlineStr">
        <is>
          <t>147002393</t>
        </is>
      </c>
      <c r="D1052" s="4" t="inlineStr">
        <is>
          <t>147002393-black</t>
        </is>
      </c>
      <c r="E1052" s="4" t="inlineStr">
        <is>
          <t>License to Train Hoodie BLK XS</t>
        </is>
      </c>
      <c r="F1052" s="4" t="inlineStr">
        <is>
          <t>$118.00</t>
        </is>
      </c>
      <c r="G1052" s="4" t="inlineStr">
        <is>
          <t>$59.00</t>
        </is>
      </c>
      <c r="H1052" s="4" t="inlineStr">
        <is>
          <t>Black</t>
        </is>
      </c>
      <c r="I1052" s="4">
        <f>IMAGE("https://images.lululemon.com/is/image/lululemon/0001",1)</f>
        <v/>
      </c>
      <c r="J1052" s="4" t="inlineStr">
        <is>
          <t>M</t>
        </is>
      </c>
      <c r="K1052" s="4" t="inlineStr">
        <is>
          <t>257/3030</t>
        </is>
      </c>
      <c r="L1052" s="4" t="inlineStr">
        <is>
          <t>Yes</t>
        </is>
      </c>
      <c r="M1052" s="4" t="inlineStr">
        <is>
          <t>All bets on sweat. Powered by anti-stink technology, this training top won't cling to sweaty skin so you can stay comfortable and focused.</t>
        </is>
      </c>
      <c r="N1052" s="4" t="inlineStr">
        <is>
          <t>License-To-Train-Hoodie-LS</t>
        </is>
      </c>
      <c r="O1052" s="4" t="inlineStr">
        <is>
          <t>Hoodies</t>
        </is>
      </c>
    </row>
    <row r="1053" ht="80" customHeight="1">
      <c r="A1053" s="7">
        <f>IMAGE("https://images.lululemon.com/is/image/lululemon/LM3EJSS_0001_1?wid=320&amp;op_usm=0.8",1)</f>
        <v/>
      </c>
      <c r="B1053" s="7" t="inlineStr">
        <is>
          <t>License to Train Hoodie</t>
        </is>
      </c>
      <c r="C1053" s="7" t="inlineStr">
        <is>
          <t>147002384</t>
        </is>
      </c>
      <c r="D1053" s="7" t="inlineStr">
        <is>
          <t>147002384-black</t>
        </is>
      </c>
      <c r="E1053" s="7" t="inlineStr">
        <is>
          <t>License to Train Hoodie BLK XS</t>
        </is>
      </c>
      <c r="F1053" s="7" t="inlineStr">
        <is>
          <t>$118.00</t>
        </is>
      </c>
      <c r="G1053" s="7" t="inlineStr">
        <is>
          <t>$59.00</t>
        </is>
      </c>
      <c r="H1053" s="7" t="inlineStr">
        <is>
          <t>Black</t>
        </is>
      </c>
      <c r="I1053" s="7">
        <f>IMAGE("https://images.lululemon.com/is/image/lululemon/0001",1)</f>
        <v/>
      </c>
      <c r="J1053" s="7" t="inlineStr">
        <is>
          <t>L</t>
        </is>
      </c>
      <c r="K1053" s="7" t="inlineStr">
        <is>
          <t>321/3030</t>
        </is>
      </c>
      <c r="L1053" s="7" t="inlineStr">
        <is>
          <t>Yes</t>
        </is>
      </c>
      <c r="M1053" s="7" t="inlineStr">
        <is>
          <t>All bets on sweat. Powered by anti-stink technology, this training top won't cling to sweaty skin so you can stay comfortable and focused.</t>
        </is>
      </c>
      <c r="N1053" s="7" t="inlineStr">
        <is>
          <t>License-To-Train-Hoodie-LS</t>
        </is>
      </c>
      <c r="O1053" s="7" t="inlineStr">
        <is>
          <t>Hoodies</t>
        </is>
      </c>
    </row>
    <row r="1054" ht="80" customHeight="1">
      <c r="A1054" s="4">
        <f>IMAGE("https://images.lululemon.com/is/image/lululemon/LM3EJSS_0001_1?wid=320&amp;op_usm=0.8",1)</f>
        <v/>
      </c>
      <c r="B1054" s="4" t="inlineStr">
        <is>
          <t>License to Train Hoodie</t>
        </is>
      </c>
      <c r="C1054" s="4" t="inlineStr">
        <is>
          <t>147002407</t>
        </is>
      </c>
      <c r="D1054" s="4" t="inlineStr">
        <is>
          <t>147002407-black</t>
        </is>
      </c>
      <c r="E1054" s="4" t="inlineStr">
        <is>
          <t>License to Train Hoodie BLK XS</t>
        </is>
      </c>
      <c r="F1054" s="4" t="inlineStr">
        <is>
          <t>$118.00</t>
        </is>
      </c>
      <c r="G1054" s="4" t="inlineStr">
        <is>
          <t>$59.00</t>
        </is>
      </c>
      <c r="H1054" s="4" t="inlineStr">
        <is>
          <t>Black</t>
        </is>
      </c>
      <c r="I1054" s="4">
        <f>IMAGE("https://images.lululemon.com/is/image/lululemon/0001",1)</f>
        <v/>
      </c>
      <c r="J1054" s="4" t="inlineStr">
        <is>
          <t>XL</t>
        </is>
      </c>
      <c r="K1054" s="4" t="inlineStr">
        <is>
          <t>211/3030</t>
        </is>
      </c>
      <c r="L1054" s="4" t="inlineStr">
        <is>
          <t>Yes</t>
        </is>
      </c>
      <c r="M1054" s="4" t="inlineStr">
        <is>
          <t>All bets on sweat. Powered by anti-stink technology, this training top won't cling to sweaty skin so you can stay comfortable and focused.</t>
        </is>
      </c>
      <c r="N1054" s="4" t="inlineStr">
        <is>
          <t>License-To-Train-Hoodie-LS</t>
        </is>
      </c>
      <c r="O1054" s="4" t="inlineStr">
        <is>
          <t>Hoodies</t>
        </is>
      </c>
    </row>
    <row r="1055" ht="80" customHeight="1">
      <c r="A1055" s="7">
        <f>IMAGE("https://images.lululemon.com/is/image/lululemon/LM3EJSS_0001_1?wid=320&amp;op_usm=0.8",1)</f>
        <v/>
      </c>
      <c r="B1055" s="7" t="inlineStr">
        <is>
          <t>License to Train Hoodie</t>
        </is>
      </c>
      <c r="C1055" s="7" t="inlineStr">
        <is>
          <t>147002420</t>
        </is>
      </c>
      <c r="D1055" s="7" t="inlineStr">
        <is>
          <t>147002420-black</t>
        </is>
      </c>
      <c r="E1055" s="7" t="inlineStr">
        <is>
          <t>License to Train Hoodie BLK XS</t>
        </is>
      </c>
      <c r="F1055" s="7" t="inlineStr">
        <is>
          <t>$118.00</t>
        </is>
      </c>
      <c r="G1055" s="7" t="inlineStr">
        <is>
          <t>$59.00</t>
        </is>
      </c>
      <c r="H1055" s="7" t="inlineStr">
        <is>
          <t>Black</t>
        </is>
      </c>
      <c r="I1055" s="7">
        <f>IMAGE("https://images.lululemon.com/is/image/lululemon/0001",1)</f>
        <v/>
      </c>
      <c r="J1055" s="7" t="inlineStr">
        <is>
          <t>XXL</t>
        </is>
      </c>
      <c r="K1055" s="7" t="inlineStr">
        <is>
          <t>69/3030</t>
        </is>
      </c>
      <c r="L1055" s="7" t="inlineStr">
        <is>
          <t>Yes</t>
        </is>
      </c>
      <c r="M1055" s="7" t="inlineStr">
        <is>
          <t>All bets on sweat. Powered by anti-stink technology, this training top won't cling to sweaty skin so you can stay comfortable and focused.</t>
        </is>
      </c>
      <c r="N1055" s="7" t="inlineStr">
        <is>
          <t>License-To-Train-Hoodie-LS</t>
        </is>
      </c>
      <c r="O1055" s="7" t="inlineStr">
        <is>
          <t>Hoodies</t>
        </is>
      </c>
    </row>
    <row r="1056" ht="80" customHeight="1">
      <c r="A1056" s="4">
        <f>IMAGE("https://images.lululemon.com/is/image/lululemon/LM3EJSS_0001_1?wid=320&amp;op_usm=0.8",1)</f>
        <v/>
      </c>
      <c r="B1056" s="4" t="inlineStr">
        <is>
          <t>License to Train Hoodie</t>
        </is>
      </c>
      <c r="C1056" s="4" t="inlineStr">
        <is>
          <t>147002358</t>
        </is>
      </c>
      <c r="D1056" s="4" t="inlineStr">
        <is>
          <t>147002358-black</t>
        </is>
      </c>
      <c r="E1056" s="4" t="inlineStr">
        <is>
          <t>License to Train Hoodie BLK XS</t>
        </is>
      </c>
      <c r="F1056" s="4" t="inlineStr">
        <is>
          <t>$118.00</t>
        </is>
      </c>
      <c r="G1056" s="4" t="inlineStr">
        <is>
          <t>$59.00</t>
        </is>
      </c>
      <c r="H1056" s="4" t="inlineStr">
        <is>
          <t>Black</t>
        </is>
      </c>
      <c r="I1056" s="4">
        <f>IMAGE("https://images.lululemon.com/is/image/lululemon/0001",1)</f>
        <v/>
      </c>
      <c r="J1056" s="4" t="inlineStr">
        <is>
          <t>3XL</t>
        </is>
      </c>
      <c r="K1056" s="4" t="inlineStr">
        <is>
          <t>4/3030</t>
        </is>
      </c>
      <c r="L1056" s="4" t="inlineStr">
        <is>
          <t>Yes</t>
        </is>
      </c>
      <c r="M1056" s="4" t="inlineStr">
        <is>
          <t>All bets on sweat. Powered by anti-stink technology, this training top won't cling to sweaty skin so you can stay comfortable and focused.</t>
        </is>
      </c>
      <c r="N1056" s="4" t="inlineStr">
        <is>
          <t>License-To-Train-Hoodie-LS</t>
        </is>
      </c>
      <c r="O1056" s="4" t="inlineStr">
        <is>
          <t>Hoodies</t>
        </is>
      </c>
    </row>
    <row r="1057" ht="80" customHeight="1">
      <c r="A1057" s="7">
        <f>IMAGE("https://images.lululemon.com/is/image/lululemon/LM3EJSS_0001_1?wid=320&amp;op_usm=0.8",1)</f>
        <v/>
      </c>
      <c r="B1057" s="7" t="inlineStr">
        <is>
          <t>License to Train Hoodie</t>
        </is>
      </c>
      <c r="C1057" s="7" t="inlineStr">
        <is>
          <t>147200323</t>
        </is>
      </c>
      <c r="D1057" s="7" t="inlineStr">
        <is>
          <t>147200323-truenavy</t>
        </is>
      </c>
      <c r="E1057" s="7" t="inlineStr">
        <is>
          <t>License to Train Hoodie BLK XS</t>
        </is>
      </c>
      <c r="F1057" s="7" t="inlineStr">
        <is>
          <t>$118.00</t>
        </is>
      </c>
      <c r="G1057" s="7" t="inlineStr">
        <is>
          <t>$59.00</t>
        </is>
      </c>
      <c r="H1057" s="7" t="inlineStr">
        <is>
          <t>True Navy</t>
        </is>
      </c>
      <c r="I1057" s="7">
        <f>IMAGE("https://images.lululemon.com/is/image/lululemon/31382",1)</f>
        <v/>
      </c>
      <c r="J1057" s="7" t="inlineStr">
        <is>
          <t>S</t>
        </is>
      </c>
      <c r="K1057" s="7" t="inlineStr">
        <is>
          <t>11/3030</t>
        </is>
      </c>
      <c r="L1057" s="7" t="inlineStr">
        <is>
          <t>Yes</t>
        </is>
      </c>
      <c r="M1057" s="7" t="inlineStr">
        <is>
          <t>All bets on sweat. Powered by anti-stink technology, this training top won't cling to sweaty skin so you can stay comfortable and focused.</t>
        </is>
      </c>
      <c r="N1057" s="7" t="inlineStr">
        <is>
          <t>License-To-Train-Hoodie-LS</t>
        </is>
      </c>
      <c r="O1057" s="7" t="inlineStr">
        <is>
          <t>Hoodies</t>
        </is>
      </c>
    </row>
    <row r="1058" ht="80" customHeight="1">
      <c r="A1058" s="4">
        <f>IMAGE("https://images.lululemon.com/is/image/lululemon/LM3EJSS_0001_1?wid=320&amp;op_usm=0.8",1)</f>
        <v/>
      </c>
      <c r="B1058" s="4" t="inlineStr">
        <is>
          <t>License to Train Hoodie</t>
        </is>
      </c>
      <c r="C1058" s="4" t="inlineStr">
        <is>
          <t>147200319</t>
        </is>
      </c>
      <c r="D1058" s="4" t="inlineStr">
        <is>
          <t>147200319-truenavy</t>
        </is>
      </c>
      <c r="E1058" s="4" t="inlineStr">
        <is>
          <t>License to Train Hoodie BLK XS</t>
        </is>
      </c>
      <c r="F1058" s="4" t="inlineStr">
        <is>
          <t>$118.00</t>
        </is>
      </c>
      <c r="G1058" s="4" t="inlineStr">
        <is>
          <t>$59.00</t>
        </is>
      </c>
      <c r="H1058" s="4" t="inlineStr">
        <is>
          <t>True Navy</t>
        </is>
      </c>
      <c r="I1058" s="4">
        <f>IMAGE("https://images.lululemon.com/is/image/lululemon/31382",1)</f>
        <v/>
      </c>
      <c r="J1058" s="4" t="inlineStr">
        <is>
          <t>M</t>
        </is>
      </c>
      <c r="K1058" s="4" t="inlineStr">
        <is>
          <t>4/3030</t>
        </is>
      </c>
      <c r="L1058" s="4" t="inlineStr">
        <is>
          <t>Yes</t>
        </is>
      </c>
      <c r="M1058" s="4" t="inlineStr">
        <is>
          <t>All bets on sweat. Powered by anti-stink technology, this training top won't cling to sweaty skin so you can stay comfortable and focused.</t>
        </is>
      </c>
      <c r="N1058" s="4" t="inlineStr">
        <is>
          <t>License-To-Train-Hoodie-LS</t>
        </is>
      </c>
      <c r="O1058" s="4" t="inlineStr">
        <is>
          <t>Hoodies</t>
        </is>
      </c>
    </row>
    <row r="1059" ht="80" customHeight="1">
      <c r="A1059" s="7">
        <f>IMAGE("https://images.lululemon.com/is/image/lululemon/LM3EJSS_0001_1?wid=320&amp;op_usm=0.8",1)</f>
        <v/>
      </c>
      <c r="B1059" s="7" t="inlineStr">
        <is>
          <t>License to Train Hoodie</t>
        </is>
      </c>
      <c r="C1059" s="7" t="inlineStr">
        <is>
          <t>147200327</t>
        </is>
      </c>
      <c r="D1059" s="7" t="inlineStr">
        <is>
          <t>147200327-truenavy</t>
        </is>
      </c>
      <c r="E1059" s="7" t="inlineStr">
        <is>
          <t>License to Train Hoodie BLK XS</t>
        </is>
      </c>
      <c r="F1059" s="7" t="inlineStr">
        <is>
          <t>$118.00</t>
        </is>
      </c>
      <c r="G1059" s="7" t="inlineStr">
        <is>
          <t>$59.00</t>
        </is>
      </c>
      <c r="H1059" s="7" t="inlineStr">
        <is>
          <t>True Navy</t>
        </is>
      </c>
      <c r="I1059" s="7">
        <f>IMAGE("https://images.lululemon.com/is/image/lululemon/31382",1)</f>
        <v/>
      </c>
      <c r="J1059" s="7" t="inlineStr">
        <is>
          <t>XL</t>
        </is>
      </c>
      <c r="K1059" s="7" t="inlineStr">
        <is>
          <t>3/3030</t>
        </is>
      </c>
      <c r="L1059" s="7" t="inlineStr">
        <is>
          <t>Yes</t>
        </is>
      </c>
      <c r="M1059" s="7" t="inlineStr">
        <is>
          <t>All bets on sweat. Powered by anti-stink technology, this training top won't cling to sweaty skin so you can stay comfortable and focused.</t>
        </is>
      </c>
      <c r="N1059" s="7" t="inlineStr">
        <is>
          <t>License-To-Train-Hoodie-LS</t>
        </is>
      </c>
      <c r="O1059" s="7" t="inlineStr">
        <is>
          <t>Hoodies</t>
        </is>
      </c>
    </row>
    <row r="1060" ht="80" customHeight="1">
      <c r="A1060" s="4">
        <f>IMAGE("https://images.lululemon.com/is/image/lululemon/LM3EJSS_0001_1?wid=320&amp;op_usm=0.8",1)</f>
        <v/>
      </c>
      <c r="B1060" s="4" t="inlineStr">
        <is>
          <t>License to Train Hoodie</t>
        </is>
      </c>
      <c r="C1060" s="4" t="inlineStr">
        <is>
          <t>147200336</t>
        </is>
      </c>
      <c r="D1060" s="4" t="inlineStr">
        <is>
          <t>147200336-truenavy</t>
        </is>
      </c>
      <c r="E1060" s="4" t="inlineStr">
        <is>
          <t>License to Train Hoodie BLK XS</t>
        </is>
      </c>
      <c r="F1060" s="4" t="inlineStr">
        <is>
          <t>$118.00</t>
        </is>
      </c>
      <c r="G1060" s="4" t="inlineStr">
        <is>
          <t>$59.00</t>
        </is>
      </c>
      <c r="H1060" s="4" t="inlineStr">
        <is>
          <t>True Navy</t>
        </is>
      </c>
      <c r="I1060" s="4">
        <f>IMAGE("https://images.lululemon.com/is/image/lululemon/31382",1)</f>
        <v/>
      </c>
      <c r="J1060" s="4" t="inlineStr">
        <is>
          <t>XXL</t>
        </is>
      </c>
      <c r="K1060" s="4" t="inlineStr">
        <is>
          <t>25/3030</t>
        </is>
      </c>
      <c r="L1060" s="4" t="inlineStr">
        <is>
          <t>Yes</t>
        </is>
      </c>
      <c r="M1060" s="4" t="inlineStr">
        <is>
          <t>All bets on sweat. Powered by anti-stink technology, this training top won't cling to sweaty skin so you can stay comfortable and focused.</t>
        </is>
      </c>
      <c r="N1060" s="4" t="inlineStr">
        <is>
          <t>License-To-Train-Hoodie-LS</t>
        </is>
      </c>
      <c r="O1060" s="4" t="inlineStr">
        <is>
          <t>Hoodies</t>
        </is>
      </c>
    </row>
    <row r="1061" ht="80" customHeight="1">
      <c r="A1061" s="7">
        <f>IMAGE("https://images.lululemon.com/is/image/lululemon/LM3EJSS_0001_1?wid=320&amp;op_usm=0.8",1)</f>
        <v/>
      </c>
      <c r="B1061" s="7" t="inlineStr">
        <is>
          <t>License to Train Hoodie</t>
        </is>
      </c>
      <c r="C1061" s="7" t="inlineStr">
        <is>
          <t>147200296</t>
        </is>
      </c>
      <c r="D1061" s="7" t="inlineStr">
        <is>
          <t>147200296-truenavy</t>
        </is>
      </c>
      <c r="E1061" s="7" t="inlineStr">
        <is>
          <t>License to Train Hoodie BLK XS</t>
        </is>
      </c>
      <c r="F1061" s="7" t="inlineStr">
        <is>
          <t>$118.00</t>
        </is>
      </c>
      <c r="G1061" s="7" t="inlineStr">
        <is>
          <t>$59.00</t>
        </is>
      </c>
      <c r="H1061" s="7" t="inlineStr">
        <is>
          <t>True Navy</t>
        </is>
      </c>
      <c r="I1061" s="7">
        <f>IMAGE("https://images.lululemon.com/is/image/lululemon/31382",1)</f>
        <v/>
      </c>
      <c r="J1061" s="7" t="inlineStr">
        <is>
          <t>3XL</t>
        </is>
      </c>
      <c r="K1061" s="7" t="inlineStr">
        <is>
          <t>5/3030</t>
        </is>
      </c>
      <c r="L1061" s="7" t="inlineStr">
        <is>
          <t>Yes</t>
        </is>
      </c>
      <c r="M1061" s="7" t="inlineStr">
        <is>
          <t>All bets on sweat. Powered by anti-stink technology, this training top won't cling to sweaty skin so you can stay comfortable and focused.</t>
        </is>
      </c>
      <c r="N1061" s="7" t="inlineStr">
        <is>
          <t>License-To-Train-Hoodie-LS</t>
        </is>
      </c>
      <c r="O1061" s="7" t="inlineStr">
        <is>
          <t>Hoodies</t>
        </is>
      </c>
    </row>
    <row r="1062" ht="80" customHeight="1">
      <c r="A1062" s="4">
        <f>IMAGE("https://images.lululemon.com/is/image/lululemon/LM3EJSS_0001_1?wid=320&amp;op_usm=0.8",1)</f>
        <v/>
      </c>
      <c r="B1062" s="4" t="inlineStr">
        <is>
          <t>License to Train Hoodie</t>
        </is>
      </c>
      <c r="C1062" s="4" t="inlineStr">
        <is>
          <t>157701315</t>
        </is>
      </c>
      <c r="D1062" s="4" t="inlineStr">
        <is>
          <t>157701315-bluetwill</t>
        </is>
      </c>
      <c r="E1062" s="4" t="inlineStr">
        <is>
          <t>License to Train Hoodie BLK XS</t>
        </is>
      </c>
      <c r="F1062" s="4" t="inlineStr">
        <is>
          <t>$118.00</t>
        </is>
      </c>
      <c r="G1062" s="4" t="inlineStr">
        <is>
          <t>$59.00</t>
        </is>
      </c>
      <c r="H1062" s="4" t="inlineStr">
        <is>
          <t>Blue Twill</t>
        </is>
      </c>
      <c r="I1062" s="4">
        <f>IMAGE("https://images.lululemon.com/is/image/lululemon/71150",1)</f>
        <v/>
      </c>
      <c r="J1062" s="4" t="inlineStr">
        <is>
          <t>S</t>
        </is>
      </c>
      <c r="K1062" s="4" t="inlineStr">
        <is>
          <t>4/3030</t>
        </is>
      </c>
      <c r="L1062" s="4" t="inlineStr">
        <is>
          <t>Yes</t>
        </is>
      </c>
      <c r="M1062" s="4" t="inlineStr">
        <is>
          <t>All bets on sweat. Powered by anti-stink technology, this training top won't cling to sweaty skin so you can stay comfortable and focused.</t>
        </is>
      </c>
      <c r="N1062" s="4" t="inlineStr">
        <is>
          <t>License-To-Train-Hoodie-LS</t>
        </is>
      </c>
      <c r="O1062" s="4" t="inlineStr">
        <is>
          <t>Hoodies</t>
        </is>
      </c>
    </row>
    <row r="1063" ht="80" customHeight="1">
      <c r="A1063" s="7">
        <f>IMAGE("https://images.lululemon.com/is/image/lululemon/LM3EJSS_0001_1?wid=320&amp;op_usm=0.8",1)</f>
        <v/>
      </c>
      <c r="B1063" s="7" t="inlineStr">
        <is>
          <t>License to Train Hoodie</t>
        </is>
      </c>
      <c r="C1063" s="7" t="inlineStr">
        <is>
          <t>157689488</t>
        </is>
      </c>
      <c r="D1063" s="7" t="inlineStr">
        <is>
          <t>157689488-heatheredvapor</t>
        </is>
      </c>
      <c r="E1063" s="7" t="inlineStr">
        <is>
          <t>License to Train Hoodie BLK XS</t>
        </is>
      </c>
      <c r="F1063" s="7" t="inlineStr">
        <is>
          <t>$118.00</t>
        </is>
      </c>
      <c r="G1063" s="7" t="inlineStr">
        <is>
          <t>$59.00</t>
        </is>
      </c>
      <c r="H1063" s="7" t="inlineStr">
        <is>
          <t>Heathered Vapor</t>
        </is>
      </c>
      <c r="I1063" s="7">
        <f>IMAGE("https://images.lululemon.com/is/image/lululemon/8395",1)</f>
        <v/>
      </c>
      <c r="J1063" s="7" t="inlineStr">
        <is>
          <t>S</t>
        </is>
      </c>
      <c r="K1063" s="7" t="inlineStr">
        <is>
          <t>110/3030</t>
        </is>
      </c>
      <c r="L1063" s="7" t="inlineStr">
        <is>
          <t>Yes</t>
        </is>
      </c>
      <c r="M1063" s="7" t="inlineStr">
        <is>
          <t>All bets on sweat. Powered by anti-stink technology, this training top won't cling to sweaty skin so you can stay comfortable and focused.</t>
        </is>
      </c>
      <c r="N1063" s="7" t="inlineStr">
        <is>
          <t>License-To-Train-Hoodie-LS</t>
        </is>
      </c>
      <c r="O1063" s="7" t="inlineStr">
        <is>
          <t>Hoodies</t>
        </is>
      </c>
    </row>
    <row r="1064" ht="80" customHeight="1">
      <c r="A1064" s="4">
        <f>IMAGE("https://images.lululemon.com/is/image/lululemon/LM3EJSS_0001_1?wid=320&amp;op_usm=0.8",1)</f>
        <v/>
      </c>
      <c r="B1064" s="4" t="inlineStr">
        <is>
          <t>License to Train Hoodie</t>
        </is>
      </c>
      <c r="C1064" s="4" t="inlineStr">
        <is>
          <t>157689487</t>
        </is>
      </c>
      <c r="D1064" s="4" t="inlineStr">
        <is>
          <t>157689487-heatheredvapor</t>
        </is>
      </c>
      <c r="E1064" s="4" t="inlineStr">
        <is>
          <t>License to Train Hoodie BLK XS</t>
        </is>
      </c>
      <c r="F1064" s="4" t="inlineStr">
        <is>
          <t>$118.00</t>
        </is>
      </c>
      <c r="G1064" s="4" t="inlineStr">
        <is>
          <t>$59.00</t>
        </is>
      </c>
      <c r="H1064" s="4" t="inlineStr">
        <is>
          <t>Heathered Vapor</t>
        </is>
      </c>
      <c r="I1064" s="4">
        <f>IMAGE("https://images.lululemon.com/is/image/lululemon/8395",1)</f>
        <v/>
      </c>
      <c r="J1064" s="4" t="inlineStr">
        <is>
          <t>M</t>
        </is>
      </c>
      <c r="K1064" s="4" t="inlineStr">
        <is>
          <t>298/3030</t>
        </is>
      </c>
      <c r="L1064" s="4" t="inlineStr">
        <is>
          <t>Yes</t>
        </is>
      </c>
      <c r="M1064" s="4" t="inlineStr">
        <is>
          <t>All bets on sweat. Powered by anti-stink technology, this training top won't cling to sweaty skin so you can stay comfortable and focused.</t>
        </is>
      </c>
      <c r="N1064" s="4" t="inlineStr">
        <is>
          <t>License-To-Train-Hoodie-LS</t>
        </is>
      </c>
      <c r="O1064" s="4" t="inlineStr">
        <is>
          <t>Hoodies</t>
        </is>
      </c>
    </row>
    <row r="1065" ht="80" customHeight="1">
      <c r="A1065" s="7">
        <f>IMAGE("https://images.lululemon.com/is/image/lululemon/LM3EJSS_0001_1?wid=320&amp;op_usm=0.8",1)</f>
        <v/>
      </c>
      <c r="B1065" s="7" t="inlineStr">
        <is>
          <t>License to Train Hoodie</t>
        </is>
      </c>
      <c r="C1065" s="7" t="inlineStr">
        <is>
          <t>157689486</t>
        </is>
      </c>
      <c r="D1065" s="7" t="inlineStr">
        <is>
          <t>157689486-heatheredvapor</t>
        </is>
      </c>
      <c r="E1065" s="7" t="inlineStr">
        <is>
          <t>License to Train Hoodie BLK XS</t>
        </is>
      </c>
      <c r="F1065" s="7" t="inlineStr">
        <is>
          <t>$118.00</t>
        </is>
      </c>
      <c r="G1065" s="7" t="inlineStr">
        <is>
          <t>$59.00</t>
        </is>
      </c>
      <c r="H1065" s="7" t="inlineStr">
        <is>
          <t>Heathered Vapor</t>
        </is>
      </c>
      <c r="I1065" s="7">
        <f>IMAGE("https://images.lululemon.com/is/image/lululemon/8395",1)</f>
        <v/>
      </c>
      <c r="J1065" s="7" t="inlineStr">
        <is>
          <t>L</t>
        </is>
      </c>
      <c r="K1065" s="7" t="inlineStr">
        <is>
          <t>359/3030</t>
        </is>
      </c>
      <c r="L1065" s="7" t="inlineStr">
        <is>
          <t>Yes</t>
        </is>
      </c>
      <c r="M1065" s="7" t="inlineStr">
        <is>
          <t>All bets on sweat. Powered by anti-stink technology, this training top won't cling to sweaty skin so you can stay comfortable and focused.</t>
        </is>
      </c>
      <c r="N1065" s="7" t="inlineStr">
        <is>
          <t>License-To-Train-Hoodie-LS</t>
        </is>
      </c>
      <c r="O1065" s="7" t="inlineStr">
        <is>
          <t>Hoodies</t>
        </is>
      </c>
    </row>
    <row r="1066" ht="80" customHeight="1">
      <c r="A1066" s="4">
        <f>IMAGE("https://images.lululemon.com/is/image/lululemon/LM3EJSS_0001_1?wid=320&amp;op_usm=0.8",1)</f>
        <v/>
      </c>
      <c r="B1066" s="4" t="inlineStr">
        <is>
          <t>License to Train Hoodie</t>
        </is>
      </c>
      <c r="C1066" s="4" t="inlineStr">
        <is>
          <t>157689489</t>
        </is>
      </c>
      <c r="D1066" s="4" t="inlineStr">
        <is>
          <t>157689489-heatheredvapor</t>
        </is>
      </c>
      <c r="E1066" s="4" t="inlineStr">
        <is>
          <t>License to Train Hoodie BLK XS</t>
        </is>
      </c>
      <c r="F1066" s="4" t="inlineStr">
        <is>
          <t>$118.00</t>
        </is>
      </c>
      <c r="G1066" s="4" t="inlineStr">
        <is>
          <t>$59.00</t>
        </is>
      </c>
      <c r="H1066" s="4" t="inlineStr">
        <is>
          <t>Heathered Vapor</t>
        </is>
      </c>
      <c r="I1066" s="4">
        <f>IMAGE("https://images.lululemon.com/is/image/lululemon/8395",1)</f>
        <v/>
      </c>
      <c r="J1066" s="4" t="inlineStr">
        <is>
          <t>XL</t>
        </is>
      </c>
      <c r="K1066" s="4" t="inlineStr">
        <is>
          <t>252/3030</t>
        </is>
      </c>
      <c r="L1066" s="4" t="inlineStr">
        <is>
          <t>Yes</t>
        </is>
      </c>
      <c r="M1066" s="4" t="inlineStr">
        <is>
          <t>All bets on sweat. Powered by anti-stink technology, this training top won't cling to sweaty skin so you can stay comfortable and focused.</t>
        </is>
      </c>
      <c r="N1066" s="4" t="inlineStr">
        <is>
          <t>License-To-Train-Hoodie-LS</t>
        </is>
      </c>
      <c r="O1066" s="4" t="inlineStr">
        <is>
          <t>Hoodies</t>
        </is>
      </c>
    </row>
    <row r="1067" ht="80" customHeight="1">
      <c r="A1067" s="7">
        <f>IMAGE("https://images.lululemon.com/is/image/lululemon/LM3EJSS_0001_1?wid=320&amp;op_usm=0.8",1)</f>
        <v/>
      </c>
      <c r="B1067" s="7" t="inlineStr">
        <is>
          <t>License to Train Hoodie</t>
        </is>
      </c>
      <c r="C1067" s="7" t="inlineStr">
        <is>
          <t>157689490</t>
        </is>
      </c>
      <c r="D1067" s="7" t="inlineStr">
        <is>
          <t>157689490-heatheredvapor</t>
        </is>
      </c>
      <c r="E1067" s="7" t="inlineStr">
        <is>
          <t>License to Train Hoodie BLK XS</t>
        </is>
      </c>
      <c r="F1067" s="7" t="inlineStr">
        <is>
          <t>$118.00</t>
        </is>
      </c>
      <c r="G1067" s="7" t="inlineStr">
        <is>
          <t>$59.00</t>
        </is>
      </c>
      <c r="H1067" s="7" t="inlineStr">
        <is>
          <t>Heathered Vapor</t>
        </is>
      </c>
      <c r="I1067" s="7">
        <f>IMAGE("https://images.lululemon.com/is/image/lululemon/8395",1)</f>
        <v/>
      </c>
      <c r="J1067" s="7" t="inlineStr">
        <is>
          <t>XXL</t>
        </is>
      </c>
      <c r="K1067" s="7" t="inlineStr">
        <is>
          <t>92/3030</t>
        </is>
      </c>
      <c r="L1067" s="7" t="inlineStr">
        <is>
          <t>Yes</t>
        </is>
      </c>
      <c r="M1067" s="7" t="inlineStr">
        <is>
          <t>All bets on sweat. Powered by anti-stink technology, this training top won't cling to sweaty skin so you can stay comfortable and focused.</t>
        </is>
      </c>
      <c r="N1067" s="7" t="inlineStr">
        <is>
          <t>License-To-Train-Hoodie-LS</t>
        </is>
      </c>
      <c r="O1067" s="7" t="inlineStr">
        <is>
          <t>Hoodies</t>
        </is>
      </c>
    </row>
    <row r="1068" ht="80" customHeight="1">
      <c r="A1068" s="4">
        <f>IMAGE("https://images.lululemon.com/is/image/lululemon/LM3EJSS_0001_1?wid=320&amp;op_usm=0.8",1)</f>
        <v/>
      </c>
      <c r="B1068" s="4" t="inlineStr">
        <is>
          <t>License to Train Hoodie</t>
        </is>
      </c>
      <c r="C1068" s="4" t="inlineStr">
        <is>
          <t>158020357</t>
        </is>
      </c>
      <c r="D1068" s="4" t="inlineStr">
        <is>
          <t>158020357-heatheredindochineblue</t>
        </is>
      </c>
      <c r="E1068" s="4" t="inlineStr">
        <is>
          <t>License to Train Hoodie BLK XS</t>
        </is>
      </c>
      <c r="F1068" s="4" t="inlineStr">
        <is>
          <t>$118.00</t>
        </is>
      </c>
      <c r="G1068" s="4" t="inlineStr">
        <is>
          <t>$59.00</t>
        </is>
      </c>
      <c r="H1068" s="4" t="inlineStr">
        <is>
          <t>Heathered Indochine Blue</t>
        </is>
      </c>
      <c r="I1068" s="4">
        <f>IMAGE("https://images.lululemon.com/is/image/lululemon/28396",1)</f>
        <v/>
      </c>
      <c r="J1068" s="4" t="inlineStr">
        <is>
          <t>S</t>
        </is>
      </c>
      <c r="K1068" s="4" t="inlineStr">
        <is>
          <t>49/3030</t>
        </is>
      </c>
      <c r="L1068" s="4" t="inlineStr">
        <is>
          <t>Yes</t>
        </is>
      </c>
      <c r="M1068" s="4" t="inlineStr">
        <is>
          <t>All bets on sweat. Powered by anti-stink technology, this training top won't cling to sweaty skin so you can stay comfortable and focused.</t>
        </is>
      </c>
      <c r="N1068" s="4" t="inlineStr">
        <is>
          <t>License-To-Train-Hoodie-LS</t>
        </is>
      </c>
      <c r="O1068" s="4" t="inlineStr">
        <is>
          <t>Hoodies</t>
        </is>
      </c>
    </row>
    <row r="1069" ht="80" customHeight="1">
      <c r="A1069" s="7">
        <f>IMAGE("https://images.lululemon.com/is/image/lululemon/LM3EJSS_0001_1?wid=320&amp;op_usm=0.8",1)</f>
        <v/>
      </c>
      <c r="B1069" s="7" t="inlineStr">
        <is>
          <t>License to Train Hoodie</t>
        </is>
      </c>
      <c r="C1069" s="7" t="inlineStr">
        <is>
          <t>158020346</t>
        </is>
      </c>
      <c r="D1069" s="7" t="inlineStr">
        <is>
          <t>158020346-heatheredindochineblue</t>
        </is>
      </c>
      <c r="E1069" s="7" t="inlineStr">
        <is>
          <t>License to Train Hoodie BLK XS</t>
        </is>
      </c>
      <c r="F1069" s="7" t="inlineStr">
        <is>
          <t>$118.00</t>
        </is>
      </c>
      <c r="G1069" s="7" t="inlineStr">
        <is>
          <t>$59.00</t>
        </is>
      </c>
      <c r="H1069" s="7" t="inlineStr">
        <is>
          <t>Heathered Indochine Blue</t>
        </is>
      </c>
      <c r="I1069" s="7">
        <f>IMAGE("https://images.lululemon.com/is/image/lululemon/28396",1)</f>
        <v/>
      </c>
      <c r="J1069" s="7" t="inlineStr">
        <is>
          <t>M</t>
        </is>
      </c>
      <c r="K1069" s="7" t="inlineStr">
        <is>
          <t>128/3030</t>
        </is>
      </c>
      <c r="L1069" s="7" t="inlineStr">
        <is>
          <t>Yes</t>
        </is>
      </c>
      <c r="M1069" s="7" t="inlineStr">
        <is>
          <t>All bets on sweat. Powered by anti-stink technology, this training top won't cling to sweaty skin so you can stay comfortable and focused.</t>
        </is>
      </c>
      <c r="N1069" s="7" t="inlineStr">
        <is>
          <t>License-To-Train-Hoodie-LS</t>
        </is>
      </c>
      <c r="O1069" s="7" t="inlineStr">
        <is>
          <t>Hoodies</t>
        </is>
      </c>
    </row>
    <row r="1070" ht="80" customHeight="1">
      <c r="A1070" s="4">
        <f>IMAGE("https://images.lululemon.com/is/image/lululemon/LM3EJSS_0001_1?wid=320&amp;op_usm=0.8",1)</f>
        <v/>
      </c>
      <c r="B1070" s="4" t="inlineStr">
        <is>
          <t>License to Train Hoodie</t>
        </is>
      </c>
      <c r="C1070" s="4" t="inlineStr">
        <is>
          <t>158020336</t>
        </is>
      </c>
      <c r="D1070" s="4" t="inlineStr">
        <is>
          <t>158020336-heatheredindochineblue</t>
        </is>
      </c>
      <c r="E1070" s="4" t="inlineStr">
        <is>
          <t>License to Train Hoodie BLK XS</t>
        </is>
      </c>
      <c r="F1070" s="4" t="inlineStr">
        <is>
          <t>$118.00</t>
        </is>
      </c>
      <c r="G1070" s="4" t="inlineStr">
        <is>
          <t>$59.00</t>
        </is>
      </c>
      <c r="H1070" s="4" t="inlineStr">
        <is>
          <t>Heathered Indochine Blue</t>
        </is>
      </c>
      <c r="I1070" s="4">
        <f>IMAGE("https://images.lululemon.com/is/image/lululemon/28396",1)</f>
        <v/>
      </c>
      <c r="J1070" s="4" t="inlineStr">
        <is>
          <t>L</t>
        </is>
      </c>
      <c r="K1070" s="4" t="inlineStr">
        <is>
          <t>172/3030</t>
        </is>
      </c>
      <c r="L1070" s="4" t="inlineStr">
        <is>
          <t>Yes</t>
        </is>
      </c>
      <c r="M1070" s="4" t="inlineStr">
        <is>
          <t>All bets on sweat. Powered by anti-stink technology, this training top won't cling to sweaty skin so you can stay comfortable and focused.</t>
        </is>
      </c>
      <c r="N1070" s="4" t="inlineStr">
        <is>
          <t>License-To-Train-Hoodie-LS</t>
        </is>
      </c>
      <c r="O1070" s="4" t="inlineStr">
        <is>
          <t>Hoodies</t>
        </is>
      </c>
    </row>
    <row r="1071" ht="80" customHeight="1">
      <c r="A1071" s="7">
        <f>IMAGE("https://images.lululemon.com/is/image/lululemon/LM3EJSS_0001_1?wid=320&amp;op_usm=0.8",1)</f>
        <v/>
      </c>
      <c r="B1071" s="7" t="inlineStr">
        <is>
          <t>License to Train Hoodie</t>
        </is>
      </c>
      <c r="C1071" s="7" t="inlineStr">
        <is>
          <t>158020368</t>
        </is>
      </c>
      <c r="D1071" s="7" t="inlineStr">
        <is>
          <t>158020368-heatheredindochineblue</t>
        </is>
      </c>
      <c r="E1071" s="7" t="inlineStr">
        <is>
          <t>License to Train Hoodie BLK XS</t>
        </is>
      </c>
      <c r="F1071" s="7" t="inlineStr">
        <is>
          <t>$118.00</t>
        </is>
      </c>
      <c r="G1071" s="7" t="inlineStr">
        <is>
          <t>$59.00</t>
        </is>
      </c>
      <c r="H1071" s="7" t="inlineStr">
        <is>
          <t>Heathered Indochine Blue</t>
        </is>
      </c>
      <c r="I1071" s="7">
        <f>IMAGE("https://images.lululemon.com/is/image/lululemon/28396",1)</f>
        <v/>
      </c>
      <c r="J1071" s="7" t="inlineStr">
        <is>
          <t>XL</t>
        </is>
      </c>
      <c r="K1071" s="7" t="inlineStr">
        <is>
          <t>112/3030</t>
        </is>
      </c>
      <c r="L1071" s="7" t="inlineStr">
        <is>
          <t>Yes</t>
        </is>
      </c>
      <c r="M1071" s="7" t="inlineStr">
        <is>
          <t>All bets on sweat. Powered by anti-stink technology, this training top won't cling to sweaty skin so you can stay comfortable and focused.</t>
        </is>
      </c>
      <c r="N1071" s="7" t="inlineStr">
        <is>
          <t>License-To-Train-Hoodie-LS</t>
        </is>
      </c>
      <c r="O1071" s="7" t="inlineStr">
        <is>
          <t>Hoodies</t>
        </is>
      </c>
    </row>
    <row r="1072" ht="80" customHeight="1">
      <c r="A1072" s="4">
        <f>IMAGE("https://images.lululemon.com/is/image/lululemon/LM3EJSS_0001_1?wid=320&amp;op_usm=0.8",1)</f>
        <v/>
      </c>
      <c r="B1072" s="4" t="inlineStr">
        <is>
          <t>License to Train Hoodie</t>
        </is>
      </c>
      <c r="C1072" s="4" t="inlineStr">
        <is>
          <t>158020390</t>
        </is>
      </c>
      <c r="D1072" s="4" t="inlineStr">
        <is>
          <t>158020390-heatheredindochineblue</t>
        </is>
      </c>
      <c r="E1072" s="4" t="inlineStr">
        <is>
          <t>License to Train Hoodie BLK XS</t>
        </is>
      </c>
      <c r="F1072" s="4" t="inlineStr">
        <is>
          <t>$118.00</t>
        </is>
      </c>
      <c r="G1072" s="4" t="inlineStr">
        <is>
          <t>$59.00</t>
        </is>
      </c>
      <c r="H1072" s="4" t="inlineStr">
        <is>
          <t>Heathered Indochine Blue</t>
        </is>
      </c>
      <c r="I1072" s="4">
        <f>IMAGE("https://images.lululemon.com/is/image/lululemon/28396",1)</f>
        <v/>
      </c>
      <c r="J1072" s="4" t="inlineStr">
        <is>
          <t>XXL</t>
        </is>
      </c>
      <c r="K1072" s="4" t="inlineStr">
        <is>
          <t>32/3030</t>
        </is>
      </c>
      <c r="L1072" s="4" t="inlineStr">
        <is>
          <t>Yes</t>
        </is>
      </c>
      <c r="M1072" s="4" t="inlineStr">
        <is>
          <t>All bets on sweat. Powered by anti-stink technology, this training top won't cling to sweaty skin so you can stay comfortable and focused.</t>
        </is>
      </c>
      <c r="N1072" s="4" t="inlineStr">
        <is>
          <t>License-To-Train-Hoodie-LS</t>
        </is>
      </c>
      <c r="O1072" s="4" t="inlineStr">
        <is>
          <t>Hoodies</t>
        </is>
      </c>
    </row>
    <row r="1073" ht="80" customHeight="1">
      <c r="A1073" s="7">
        <f>IMAGE("https://images.lululemon.com/is/image/lululemon/LM3EJSS_0001_1?wid=320&amp;op_usm=0.8",1)</f>
        <v/>
      </c>
      <c r="B1073" s="7" t="inlineStr">
        <is>
          <t>License to Train Hoodie</t>
        </is>
      </c>
      <c r="C1073" s="7" t="inlineStr">
        <is>
          <t>158027698</t>
        </is>
      </c>
      <c r="D1073" s="7" t="inlineStr">
        <is>
          <t>158027698-olivebrown</t>
        </is>
      </c>
      <c r="E1073" s="7" t="inlineStr">
        <is>
          <t>License to Train Hoodie BLK XS</t>
        </is>
      </c>
      <c r="F1073" s="7" t="inlineStr">
        <is>
          <t>$118.00</t>
        </is>
      </c>
      <c r="G1073" s="7" t="inlineStr">
        <is>
          <t>$59.00</t>
        </is>
      </c>
      <c r="H1073" s="7" t="inlineStr">
        <is>
          <t>Olive Brown</t>
        </is>
      </c>
      <c r="I1073" s="7">
        <f>IMAGE("https://images.lululemon.com/is/image/lululemon/71148",1)</f>
        <v/>
      </c>
      <c r="J1073" s="7" t="inlineStr">
        <is>
          <t>S</t>
        </is>
      </c>
      <c r="K1073" s="7" t="inlineStr">
        <is>
          <t>34/3030</t>
        </is>
      </c>
      <c r="L1073" s="7" t="inlineStr">
        <is>
          <t>Yes</t>
        </is>
      </c>
      <c r="M1073" s="7" t="inlineStr">
        <is>
          <t>All bets on sweat. Powered by anti-stink technology, this training top won't cling to sweaty skin so you can stay comfortable and focused.</t>
        </is>
      </c>
      <c r="N1073" s="7" t="inlineStr">
        <is>
          <t>License-To-Train-Hoodie-LS</t>
        </is>
      </c>
      <c r="O1073" s="7" t="inlineStr">
        <is>
          <t>Hoodies</t>
        </is>
      </c>
    </row>
    <row r="1074" ht="80" customHeight="1">
      <c r="A1074" s="4">
        <f>IMAGE("https://images.lululemon.com/is/image/lululemon/LM3EJSS_0001_1?wid=320&amp;op_usm=0.8",1)</f>
        <v/>
      </c>
      <c r="B1074" s="4" t="inlineStr">
        <is>
          <t>License to Train Hoodie</t>
        </is>
      </c>
      <c r="C1074" s="4" t="inlineStr">
        <is>
          <t>158027681</t>
        </is>
      </c>
      <c r="D1074" s="4" t="inlineStr">
        <is>
          <t>158027681-olivebrown</t>
        </is>
      </c>
      <c r="E1074" s="4" t="inlineStr">
        <is>
          <t>License to Train Hoodie BLK XS</t>
        </is>
      </c>
      <c r="F1074" s="4" t="inlineStr">
        <is>
          <t>$118.00</t>
        </is>
      </c>
      <c r="G1074" s="4" t="inlineStr">
        <is>
          <t>$59.00</t>
        </is>
      </c>
      <c r="H1074" s="4" t="inlineStr">
        <is>
          <t>Olive Brown</t>
        </is>
      </c>
      <c r="I1074" s="4">
        <f>IMAGE("https://images.lululemon.com/is/image/lululemon/71148",1)</f>
        <v/>
      </c>
      <c r="J1074" s="4" t="inlineStr">
        <is>
          <t>M</t>
        </is>
      </c>
      <c r="K1074" s="4" t="inlineStr">
        <is>
          <t>109/3030</t>
        </is>
      </c>
      <c r="L1074" s="4" t="inlineStr">
        <is>
          <t>Yes</t>
        </is>
      </c>
      <c r="M1074" s="4" t="inlineStr">
        <is>
          <t>All bets on sweat. Powered by anti-stink technology, this training top won't cling to sweaty skin so you can stay comfortable and focused.</t>
        </is>
      </c>
      <c r="N1074" s="4" t="inlineStr">
        <is>
          <t>License-To-Train-Hoodie-LS</t>
        </is>
      </c>
      <c r="O1074" s="4" t="inlineStr">
        <is>
          <t>Hoodies</t>
        </is>
      </c>
    </row>
    <row r="1075" ht="80" customHeight="1">
      <c r="A1075" s="7">
        <f>IMAGE("https://images.lululemon.com/is/image/lululemon/LM3EJSS_0001_1?wid=320&amp;op_usm=0.8",1)</f>
        <v/>
      </c>
      <c r="B1075" s="7" t="inlineStr">
        <is>
          <t>License to Train Hoodie</t>
        </is>
      </c>
      <c r="C1075" s="7" t="inlineStr">
        <is>
          <t>158027666</t>
        </is>
      </c>
      <c r="D1075" s="7" t="inlineStr">
        <is>
          <t>158027666-olivebrown</t>
        </is>
      </c>
      <c r="E1075" s="7" t="inlineStr">
        <is>
          <t>License to Train Hoodie BLK XS</t>
        </is>
      </c>
      <c r="F1075" s="7" t="inlineStr">
        <is>
          <t>$118.00</t>
        </is>
      </c>
      <c r="G1075" s="7" t="inlineStr">
        <is>
          <t>$59.00</t>
        </is>
      </c>
      <c r="H1075" s="7" t="inlineStr">
        <is>
          <t>Olive Brown</t>
        </is>
      </c>
      <c r="I1075" s="7">
        <f>IMAGE("https://images.lululemon.com/is/image/lululemon/71148",1)</f>
        <v/>
      </c>
      <c r="J1075" s="7" t="inlineStr">
        <is>
          <t>L</t>
        </is>
      </c>
      <c r="K1075" s="7" t="inlineStr">
        <is>
          <t>147/3030</t>
        </is>
      </c>
      <c r="L1075" s="7" t="inlineStr">
        <is>
          <t>Yes</t>
        </is>
      </c>
      <c r="M1075" s="7" t="inlineStr">
        <is>
          <t>All bets on sweat. Powered by anti-stink technology, this training top won't cling to sweaty skin so you can stay comfortable and focused.</t>
        </is>
      </c>
      <c r="N1075" s="7" t="inlineStr">
        <is>
          <t>License-To-Train-Hoodie-LS</t>
        </is>
      </c>
      <c r="O1075" s="7" t="inlineStr">
        <is>
          <t>Hoodies</t>
        </is>
      </c>
    </row>
    <row r="1076" ht="80" customHeight="1">
      <c r="A1076" s="4">
        <f>IMAGE("https://images.lululemon.com/is/image/lululemon/LM3EJSS_0001_1?wid=320&amp;op_usm=0.8",1)</f>
        <v/>
      </c>
      <c r="B1076" s="4" t="inlineStr">
        <is>
          <t>License to Train Hoodie</t>
        </is>
      </c>
      <c r="C1076" s="4" t="inlineStr">
        <is>
          <t>158027715</t>
        </is>
      </c>
      <c r="D1076" s="4" t="inlineStr">
        <is>
          <t>158027715-olivebrown</t>
        </is>
      </c>
      <c r="E1076" s="4" t="inlineStr">
        <is>
          <t>License to Train Hoodie BLK XS</t>
        </is>
      </c>
      <c r="F1076" s="4" t="inlineStr">
        <is>
          <t>$118.00</t>
        </is>
      </c>
      <c r="G1076" s="4" t="inlineStr">
        <is>
          <t>$59.00</t>
        </is>
      </c>
      <c r="H1076" s="4" t="inlineStr">
        <is>
          <t>Olive Brown</t>
        </is>
      </c>
      <c r="I1076" s="4">
        <f>IMAGE("https://images.lululemon.com/is/image/lululemon/71148",1)</f>
        <v/>
      </c>
      <c r="J1076" s="4" t="inlineStr">
        <is>
          <t>XL</t>
        </is>
      </c>
      <c r="K1076" s="4" t="inlineStr">
        <is>
          <t>94/3030</t>
        </is>
      </c>
      <c r="L1076" s="4" t="inlineStr">
        <is>
          <t>Yes</t>
        </is>
      </c>
      <c r="M1076" s="4" t="inlineStr">
        <is>
          <t>All bets on sweat. Powered by anti-stink technology, this training top won't cling to sweaty skin so you can stay comfortable and focused.</t>
        </is>
      </c>
      <c r="N1076" s="4" t="inlineStr">
        <is>
          <t>License-To-Train-Hoodie-LS</t>
        </is>
      </c>
      <c r="O1076" s="4" t="inlineStr">
        <is>
          <t>Hoodies</t>
        </is>
      </c>
    </row>
    <row r="1077" ht="80" customHeight="1">
      <c r="A1077" s="5">
        <f>IMAGE("https://images.lululemon.com/is/image/lululemon/LM3EJSS_0001_1?wid=320&amp;op_usm=0.8",1)</f>
        <v/>
      </c>
      <c r="B1077" s="5" t="inlineStr">
        <is>
          <t>License to Train Hoodie</t>
        </is>
      </c>
      <c r="C1077" s="5" t="inlineStr">
        <is>
          <t>158027750</t>
        </is>
      </c>
      <c r="D1077" s="5" t="inlineStr">
        <is>
          <t>158027750-olivebrown</t>
        </is>
      </c>
      <c r="E1077" s="5" t="inlineStr">
        <is>
          <t>License to Train Hoodie BLK XS</t>
        </is>
      </c>
      <c r="F1077" s="5" t="inlineStr">
        <is>
          <t>$118.00</t>
        </is>
      </c>
      <c r="G1077" s="5" t="inlineStr">
        <is>
          <t>$59.00</t>
        </is>
      </c>
      <c r="H1077" s="5" t="inlineStr">
        <is>
          <t>Olive Brown</t>
        </is>
      </c>
      <c r="I1077" s="5">
        <f>IMAGE("https://images.lululemon.com/is/image/lululemon/71148",1)</f>
        <v/>
      </c>
      <c r="J1077" s="5" t="inlineStr">
        <is>
          <t>XXL</t>
        </is>
      </c>
      <c r="K1077" s="5" t="inlineStr">
        <is>
          <t>32/3030</t>
        </is>
      </c>
      <c r="L1077" s="5" t="inlineStr">
        <is>
          <t>Yes</t>
        </is>
      </c>
      <c r="M1077" s="5" t="inlineStr">
        <is>
          <t>All bets on sweat. Powered by anti-stink technology, this training top won't cling to sweaty skin so you can stay comfortable and focused.</t>
        </is>
      </c>
      <c r="N1077" s="5" t="inlineStr">
        <is>
          <t>License-To-Train-Hoodie-LS</t>
        </is>
      </c>
      <c r="O1077" s="5" t="inlineStr">
        <is>
          <t>Hoodies</t>
        </is>
      </c>
    </row>
    <row r="1078" ht="80" customHeight="1">
      <c r="A1078" s="4">
        <f>IMAGE("https://images.lululemon.com/is/image/lululemon/LU9CU5S_031382_1?wid=320&amp;op_usm=0.8",1)</f>
        <v/>
      </c>
      <c r="B1078" s="4" t="inlineStr">
        <is>
          <t>Easy Clip Nano Golf Pouch</t>
        </is>
      </c>
      <c r="C1078" s="4" t="inlineStr">
        <is>
          <t>156484978</t>
        </is>
      </c>
      <c r="D1078" s="4" t="inlineStr">
        <is>
          <t>156484978-truenavy</t>
        </is>
      </c>
      <c r="E1078" s="4" t="inlineStr">
        <is>
          <t>Easy Clip Nano Golf Pouch TRNV ONE SIZE</t>
        </is>
      </c>
      <c r="F1078" s="4" t="inlineStr">
        <is>
          <t>$34.00</t>
        </is>
      </c>
      <c r="G1078" s="4" t="inlineStr">
        <is>
          <t>$17.00</t>
        </is>
      </c>
      <c r="H1078" s="4" t="inlineStr">
        <is>
          <t>True Navy</t>
        </is>
      </c>
      <c r="I1078" s="4">
        <f>IMAGE("https://images.lululemon.com/is/image/lululemon/31382",1)</f>
        <v/>
      </c>
      <c r="J1078" s="4" t="inlineStr">
        <is>
          <t>O/S</t>
        </is>
      </c>
      <c r="K1078" s="4" t="inlineStr">
        <is>
          <t>25/46</t>
        </is>
      </c>
      <c r="L1078" s="4" t="inlineStr">
        <is>
          <t>Yes</t>
        </is>
      </c>
      <c r="M1078" s="4" t="inlineStr">
        <is>
          <t>Fore! This pouch clips onto  your golf bag to keep extra  balls and tees conveniently  close when your shot goes out  of bounds.</t>
        </is>
      </c>
      <c r="N1078" s="4" t="inlineStr">
        <is>
          <t>Easy-Clip-Nano-Golf-Pouch</t>
        </is>
      </c>
      <c r="O1078" s="4" t="inlineStr">
        <is>
          <t>Wallets and Pouches, Bag Accessories</t>
        </is>
      </c>
    </row>
    <row r="1079" ht="80" customHeight="1">
      <c r="A1079" s="5">
        <f>IMAGE("https://images.lululemon.com/is/image/lululemon/LU9CU5S_031382_1?wid=320&amp;op_usm=0.8",1)</f>
        <v/>
      </c>
      <c r="B1079" s="5" t="inlineStr">
        <is>
          <t>Easy Clip Nano Golf Pouch</t>
        </is>
      </c>
      <c r="C1079" s="5" t="inlineStr">
        <is>
          <t>156484973</t>
        </is>
      </c>
      <c r="D1079" s="5" t="inlineStr">
        <is>
          <t>156484973-black</t>
        </is>
      </c>
      <c r="E1079" s="5" t="inlineStr">
        <is>
          <t>Easy Clip Nano Golf Pouch TRNV ONE SIZE</t>
        </is>
      </c>
      <c r="F1079" s="5" t="inlineStr">
        <is>
          <t>$34.00</t>
        </is>
      </c>
      <c r="G1079" s="5" t="inlineStr">
        <is>
          <t>$17.00</t>
        </is>
      </c>
      <c r="H1079" s="5" t="inlineStr">
        <is>
          <t>Black</t>
        </is>
      </c>
      <c r="I1079" s="5">
        <f>IMAGE("https://images.lululemon.com/is/image/lululemon/0001",1)</f>
        <v/>
      </c>
      <c r="J1079" s="5" t="inlineStr">
        <is>
          <t>O/S</t>
        </is>
      </c>
      <c r="K1079" s="5" t="inlineStr">
        <is>
          <t>21/46</t>
        </is>
      </c>
      <c r="L1079" s="5" t="inlineStr">
        <is>
          <t>Yes</t>
        </is>
      </c>
      <c r="M1079" s="5" t="inlineStr">
        <is>
          <t>Fore! This pouch clips onto  your golf bag to keep extra  balls and tees conveniently  close when your shot goes out  of bounds.</t>
        </is>
      </c>
      <c r="N1079" s="5" t="inlineStr">
        <is>
          <t>Easy-Clip-Nano-Golf-Pouch</t>
        </is>
      </c>
      <c r="O1079" s="5" t="inlineStr">
        <is>
          <t>Wallets and Pouches, Bag Accessories</t>
        </is>
      </c>
    </row>
    <row r="1080" ht="80" customHeight="1">
      <c r="A1080" s="4">
        <f>IMAGE("https://images.lululemon.com/is/image/lululemon/LM3GC8S_0002_1?wid=320&amp;op_usm=0.8",1)</f>
        <v/>
      </c>
      <c r="B1080" s="4" t="inlineStr">
        <is>
          <t>UV-Protective Slim-Fit Zipped Golf Polo Shirt</t>
        </is>
      </c>
      <c r="C1080" s="4" t="inlineStr">
        <is>
          <t>158096528</t>
        </is>
      </c>
      <c r="D1080" s="4" t="inlineStr">
        <is>
          <t>158096528-white</t>
        </is>
      </c>
      <c r="E1080" s="4" t="inlineStr">
        <is>
          <t>UV-Protective Zipped Golf Polo WHT S</t>
        </is>
      </c>
      <c r="F1080" s="4" t="inlineStr">
        <is>
          <t>$98.00</t>
        </is>
      </c>
      <c r="G1080" s="4" t="inlineStr">
        <is>
          <t>$49.00</t>
        </is>
      </c>
      <c r="H1080" s="4" t="inlineStr">
        <is>
          <t>White</t>
        </is>
      </c>
      <c r="I1080" s="4">
        <f>IMAGE("https://images.lululemon.com/is/image/lululemon/0002",1)</f>
        <v/>
      </c>
      <c r="J1080" s="4" t="inlineStr">
        <is>
          <t>S</t>
        </is>
      </c>
      <c r="K1080" s="4" t="inlineStr">
        <is>
          <t>40/442</t>
        </is>
      </c>
      <c r="L1080" s="4" t="inlineStr">
        <is>
          <t>Yes</t>
        </is>
      </c>
      <c r="M1080" s="4" t="inlineStr">
        <is>
          <t>Stretch for your swing. Cut from four-way stretch fabric, this sweat-wicking golf polo offers unrestricted movement whether you're teeing off, chipping in, or hanging out.</t>
        </is>
      </c>
      <c r="N1080" s="4" t="inlineStr">
        <is>
          <t>UV-Protective-Slim-Fit-Zipped-Golf-Polo-Shirt</t>
        </is>
      </c>
      <c r="O1080" s="4" t="inlineStr"/>
    </row>
    <row r="1081" ht="80" customHeight="1">
      <c r="A1081" s="7">
        <f>IMAGE("https://images.lululemon.com/is/image/lululemon/LM3GC8S_0002_1?wid=320&amp;op_usm=0.8",1)</f>
        <v/>
      </c>
      <c r="B1081" s="7" t="inlineStr">
        <is>
          <t>UV-Protective Slim-Fit Zipped Golf Polo Shirt</t>
        </is>
      </c>
      <c r="C1081" s="7" t="inlineStr">
        <is>
          <t>158096520</t>
        </is>
      </c>
      <c r="D1081" s="7" t="inlineStr">
        <is>
          <t>158096520-white</t>
        </is>
      </c>
      <c r="E1081" s="7" t="inlineStr">
        <is>
          <t>UV-Protective Zipped Golf Polo WHT S</t>
        </is>
      </c>
      <c r="F1081" s="7" t="inlineStr">
        <is>
          <t>$98.00</t>
        </is>
      </c>
      <c r="G1081" s="7" t="inlineStr">
        <is>
          <t>$49.00</t>
        </is>
      </c>
      <c r="H1081" s="7" t="inlineStr">
        <is>
          <t>White</t>
        </is>
      </c>
      <c r="I1081" s="7">
        <f>IMAGE("https://images.lululemon.com/is/image/lululemon/0002",1)</f>
        <v/>
      </c>
      <c r="J1081" s="7" t="inlineStr">
        <is>
          <t>M</t>
        </is>
      </c>
      <c r="K1081" s="7" t="inlineStr">
        <is>
          <t>119/442</t>
        </is>
      </c>
      <c r="L1081" s="7" t="inlineStr">
        <is>
          <t>Yes</t>
        </is>
      </c>
      <c r="M1081" s="7" t="inlineStr">
        <is>
          <t>Stretch for your swing. Cut from four-way stretch fabric, this sweat-wicking golf polo offers unrestricted movement whether you're teeing off, chipping in, or hanging out.</t>
        </is>
      </c>
      <c r="N1081" s="7" t="inlineStr">
        <is>
          <t>UV-Protective-Slim-Fit-Zipped-Golf-Polo-Shirt</t>
        </is>
      </c>
      <c r="O1081" s="7" t="inlineStr"/>
    </row>
    <row r="1082" ht="80" customHeight="1">
      <c r="A1082" s="4">
        <f>IMAGE("https://images.lululemon.com/is/image/lululemon/LM3GC8S_0002_1?wid=320&amp;op_usm=0.8",1)</f>
        <v/>
      </c>
      <c r="B1082" s="4" t="inlineStr">
        <is>
          <t>UV-Protective Slim-Fit Zipped Golf Polo Shirt</t>
        </is>
      </c>
      <c r="C1082" s="4" t="inlineStr">
        <is>
          <t>158096514</t>
        </is>
      </c>
      <c r="D1082" s="4" t="inlineStr">
        <is>
          <t>158096514-white</t>
        </is>
      </c>
      <c r="E1082" s="4" t="inlineStr">
        <is>
          <t>UV-Protective Zipped Golf Polo WHT S</t>
        </is>
      </c>
      <c r="F1082" s="4" t="inlineStr">
        <is>
          <t>$98.00</t>
        </is>
      </c>
      <c r="G1082" s="4" t="inlineStr">
        <is>
          <t>$49.00</t>
        </is>
      </c>
      <c r="H1082" s="4" t="inlineStr">
        <is>
          <t>White</t>
        </is>
      </c>
      <c r="I1082" s="4">
        <f>IMAGE("https://images.lululemon.com/is/image/lululemon/0002",1)</f>
        <v/>
      </c>
      <c r="J1082" s="4" t="inlineStr">
        <is>
          <t>L</t>
        </is>
      </c>
      <c r="K1082" s="4" t="inlineStr">
        <is>
          <t>150/442</t>
        </is>
      </c>
      <c r="L1082" s="4" t="inlineStr">
        <is>
          <t>Yes</t>
        </is>
      </c>
      <c r="M1082" s="4" t="inlineStr">
        <is>
          <t>Stretch for your swing. Cut from four-way stretch fabric, this sweat-wicking golf polo offers unrestricted movement whether you're teeing off, chipping in, or hanging out.</t>
        </is>
      </c>
      <c r="N1082" s="4" t="inlineStr">
        <is>
          <t>UV-Protective-Slim-Fit-Zipped-Golf-Polo-Shirt</t>
        </is>
      </c>
      <c r="O1082" s="4" t="inlineStr"/>
    </row>
    <row r="1083" ht="80" customHeight="1">
      <c r="A1083" s="7">
        <f>IMAGE("https://images.lululemon.com/is/image/lululemon/LM3GC8S_0002_1?wid=320&amp;op_usm=0.8",1)</f>
        <v/>
      </c>
      <c r="B1083" s="7" t="inlineStr">
        <is>
          <t>UV-Protective Slim-Fit Zipped Golf Polo Shirt</t>
        </is>
      </c>
      <c r="C1083" s="7" t="inlineStr">
        <is>
          <t>158096534</t>
        </is>
      </c>
      <c r="D1083" s="7" t="inlineStr">
        <is>
          <t>158096534-white</t>
        </is>
      </c>
      <c r="E1083" s="7" t="inlineStr">
        <is>
          <t>UV-Protective Zipped Golf Polo WHT S</t>
        </is>
      </c>
      <c r="F1083" s="7" t="inlineStr">
        <is>
          <t>$98.00</t>
        </is>
      </c>
      <c r="G1083" s="7" t="inlineStr">
        <is>
          <t>$49.00</t>
        </is>
      </c>
      <c r="H1083" s="7" t="inlineStr">
        <is>
          <t>White</t>
        </is>
      </c>
      <c r="I1083" s="7">
        <f>IMAGE("https://images.lululemon.com/is/image/lululemon/0002",1)</f>
        <v/>
      </c>
      <c r="J1083" s="7" t="inlineStr">
        <is>
          <t>XL</t>
        </is>
      </c>
      <c r="K1083" s="7" t="inlineStr">
        <is>
          <t>101/442</t>
        </is>
      </c>
      <c r="L1083" s="7" t="inlineStr">
        <is>
          <t>Yes</t>
        </is>
      </c>
      <c r="M1083" s="7" t="inlineStr">
        <is>
          <t>Stretch for your swing. Cut from four-way stretch fabric, this sweat-wicking golf polo offers unrestricted movement whether you're teeing off, chipping in, or hanging out.</t>
        </is>
      </c>
      <c r="N1083" s="7" t="inlineStr">
        <is>
          <t>UV-Protective-Slim-Fit-Zipped-Golf-Polo-Shirt</t>
        </is>
      </c>
      <c r="O1083" s="7" t="inlineStr"/>
    </row>
    <row r="1084" ht="80" customHeight="1">
      <c r="A1084" s="6">
        <f>IMAGE("https://images.lululemon.com/is/image/lululemon/LM3GC8S_0002_1?wid=320&amp;op_usm=0.8",1)</f>
        <v/>
      </c>
      <c r="B1084" s="6" t="inlineStr">
        <is>
          <t>UV-Protective Slim-Fit Zipped Golf Polo Shirt</t>
        </is>
      </c>
      <c r="C1084" s="6" t="inlineStr">
        <is>
          <t>158096548</t>
        </is>
      </c>
      <c r="D1084" s="6" t="inlineStr">
        <is>
          <t>158096548-white</t>
        </is>
      </c>
      <c r="E1084" s="6" t="inlineStr">
        <is>
          <t>UV-Protective Zipped Golf Polo WHT S</t>
        </is>
      </c>
      <c r="F1084" s="6" t="inlineStr">
        <is>
          <t>$98.00</t>
        </is>
      </c>
      <c r="G1084" s="6" t="inlineStr">
        <is>
          <t>$49.00</t>
        </is>
      </c>
      <c r="H1084" s="6" t="inlineStr">
        <is>
          <t>White</t>
        </is>
      </c>
      <c r="I1084" s="6">
        <f>IMAGE("https://images.lululemon.com/is/image/lululemon/0002",1)</f>
        <v/>
      </c>
      <c r="J1084" s="6" t="inlineStr">
        <is>
          <t>XXL</t>
        </is>
      </c>
      <c r="K1084" s="6" t="inlineStr">
        <is>
          <t>32/442</t>
        </is>
      </c>
      <c r="L1084" s="6" t="inlineStr">
        <is>
          <t>Yes</t>
        </is>
      </c>
      <c r="M1084" s="6" t="inlineStr">
        <is>
          <t>Stretch for your swing. Cut from four-way stretch fabric, this sweat-wicking golf polo offers unrestricted movement whether you're teeing off, chipping in, or hanging out.</t>
        </is>
      </c>
      <c r="N1084" s="6" t="inlineStr">
        <is>
          <t>UV-Protective-Slim-Fit-Zipped-Golf-Polo-Shirt</t>
        </is>
      </c>
      <c r="O1084" s="6" t="inlineStr"/>
    </row>
    <row r="1085" ht="80" customHeight="1">
      <c r="A1085" s="7">
        <f>IMAGE("https://images.lululemon.com/is/image/lululemon/LM3CZOS_0001_1?wid=320&amp;op_usm=0.8",1)</f>
        <v/>
      </c>
      <c r="B1085" s="7" t="inlineStr">
        <is>
          <t>Sojourn Jacket</t>
        </is>
      </c>
      <c r="C1085" s="7" t="inlineStr">
        <is>
          <t>136275265</t>
        </is>
      </c>
      <c r="D1085" s="7" t="inlineStr">
        <is>
          <t>136275265-truenavy</t>
        </is>
      </c>
      <c r="E1085" s="7" t="inlineStr">
        <is>
          <t>Sojourn Jacket TRNV S</t>
        </is>
      </c>
      <c r="F1085" s="7" t="inlineStr">
        <is>
          <t>$148.00</t>
        </is>
      </c>
      <c r="G1085" s="7" t="inlineStr">
        <is>
          <t>$74.00</t>
        </is>
      </c>
      <c r="H1085" s="7" t="inlineStr">
        <is>
          <t>True Navy</t>
        </is>
      </c>
      <c r="I1085" s="7">
        <f>IMAGE("https://images.lululemon.com/is/image/lululemon/31382",1)</f>
        <v/>
      </c>
      <c r="J1085" s="7" t="inlineStr">
        <is>
          <t>S</t>
        </is>
      </c>
      <c r="K1085" s="7" t="inlineStr">
        <is>
          <t>7/262</t>
        </is>
      </c>
      <c r="L1085" s="7" t="inlineStr">
        <is>
          <t>Yes</t>
        </is>
      </c>
      <c r="M1085" s="7" t="inlineStr">
        <is>
          <t>Going somewhere? This sleek track jacket was designed with plenty of secure pockets so you can take the essentials with you (and maybe a little more).</t>
        </is>
      </c>
      <c r="N1085" s="7" t="inlineStr">
        <is>
          <t>Sojourn-Jacket</t>
        </is>
      </c>
      <c r="O1085" s="7" t="inlineStr">
        <is>
          <t>Athletic Jackets</t>
        </is>
      </c>
    </row>
    <row r="1086" ht="80" customHeight="1">
      <c r="A1086" s="4">
        <f>IMAGE("https://images.lululemon.com/is/image/lululemon/LM3CZOS_0001_1?wid=320&amp;op_usm=0.8",1)</f>
        <v/>
      </c>
      <c r="B1086" s="4" t="inlineStr">
        <is>
          <t>Sojourn Jacket</t>
        </is>
      </c>
      <c r="C1086" s="4" t="inlineStr">
        <is>
          <t>136275261</t>
        </is>
      </c>
      <c r="D1086" s="4" t="inlineStr">
        <is>
          <t>136275261-truenavy</t>
        </is>
      </c>
      <c r="E1086" s="4" t="inlineStr">
        <is>
          <t>Sojourn Jacket TRNV S</t>
        </is>
      </c>
      <c r="F1086" s="4" t="inlineStr">
        <is>
          <t>$148.00</t>
        </is>
      </c>
      <c r="G1086" s="4" t="inlineStr">
        <is>
          <t>$74.00</t>
        </is>
      </c>
      <c r="H1086" s="4" t="inlineStr">
        <is>
          <t>True Navy</t>
        </is>
      </c>
      <c r="I1086" s="4">
        <f>IMAGE("https://images.lululemon.com/is/image/lululemon/31382",1)</f>
        <v/>
      </c>
      <c r="J1086" s="4" t="inlineStr">
        <is>
          <t>M</t>
        </is>
      </c>
      <c r="K1086" s="4" t="inlineStr">
        <is>
          <t>1/262</t>
        </is>
      </c>
      <c r="L1086" s="4" t="inlineStr">
        <is>
          <t>Yes</t>
        </is>
      </c>
      <c r="M1086" s="4" t="inlineStr">
        <is>
          <t>Going somewhere? This sleek track jacket was designed with plenty of secure pockets so you can take the essentials with you (and maybe a little more).</t>
        </is>
      </c>
      <c r="N1086" s="4" t="inlineStr">
        <is>
          <t>Sojourn-Jacket</t>
        </is>
      </c>
      <c r="O1086" s="4" t="inlineStr">
        <is>
          <t>Athletic Jackets</t>
        </is>
      </c>
    </row>
    <row r="1087" ht="80" customHeight="1">
      <c r="A1087" s="7">
        <f>IMAGE("https://images.lululemon.com/is/image/lululemon/LM3CZOS_0001_1?wid=320&amp;op_usm=0.8",1)</f>
        <v/>
      </c>
      <c r="B1087" s="7" t="inlineStr">
        <is>
          <t>Sojourn Jacket</t>
        </is>
      </c>
      <c r="C1087" s="7" t="inlineStr">
        <is>
          <t>136275256</t>
        </is>
      </c>
      <c r="D1087" s="7" t="inlineStr">
        <is>
          <t>136275256-truenavy</t>
        </is>
      </c>
      <c r="E1087" s="7" t="inlineStr">
        <is>
          <t>Sojourn Jacket TRNV S</t>
        </is>
      </c>
      <c r="F1087" s="7" t="inlineStr">
        <is>
          <t>$148.00</t>
        </is>
      </c>
      <c r="G1087" s="7" t="inlineStr">
        <is>
          <t>$74.00</t>
        </is>
      </c>
      <c r="H1087" s="7" t="inlineStr">
        <is>
          <t>True Navy</t>
        </is>
      </c>
      <c r="I1087" s="7">
        <f>IMAGE("https://images.lululemon.com/is/image/lululemon/31382",1)</f>
        <v/>
      </c>
      <c r="J1087" s="7" t="inlineStr">
        <is>
          <t>L</t>
        </is>
      </c>
      <c r="K1087" s="7" t="inlineStr">
        <is>
          <t>28/262</t>
        </is>
      </c>
      <c r="L1087" s="7" t="inlineStr">
        <is>
          <t>Yes</t>
        </is>
      </c>
      <c r="M1087" s="7" t="inlineStr">
        <is>
          <t>Going somewhere? This sleek track jacket was designed with plenty of secure pockets so you can take the essentials with you (and maybe a little more).</t>
        </is>
      </c>
      <c r="N1087" s="7" t="inlineStr">
        <is>
          <t>Sojourn-Jacket</t>
        </is>
      </c>
      <c r="O1087" s="7" t="inlineStr">
        <is>
          <t>Athletic Jackets</t>
        </is>
      </c>
    </row>
    <row r="1088" ht="80" customHeight="1">
      <c r="A1088" s="4">
        <f>IMAGE("https://images.lululemon.com/is/image/lululemon/LM3CZOS_0001_1?wid=320&amp;op_usm=0.8",1)</f>
        <v/>
      </c>
      <c r="B1088" s="4" t="inlineStr">
        <is>
          <t>Sojourn Jacket</t>
        </is>
      </c>
      <c r="C1088" s="4" t="inlineStr">
        <is>
          <t>136275270</t>
        </is>
      </c>
      <c r="D1088" s="4" t="inlineStr">
        <is>
          <t>136275270-truenavy</t>
        </is>
      </c>
      <c r="E1088" s="4" t="inlineStr">
        <is>
          <t>Sojourn Jacket TRNV S</t>
        </is>
      </c>
      <c r="F1088" s="4" t="inlineStr">
        <is>
          <t>$148.00</t>
        </is>
      </c>
      <c r="G1088" s="4" t="inlineStr">
        <is>
          <t>$74.00</t>
        </is>
      </c>
      <c r="H1088" s="4" t="inlineStr">
        <is>
          <t>True Navy</t>
        </is>
      </c>
      <c r="I1088" s="4">
        <f>IMAGE("https://images.lululemon.com/is/image/lululemon/31382",1)</f>
        <v/>
      </c>
      <c r="J1088" s="4" t="inlineStr">
        <is>
          <t>XL</t>
        </is>
      </c>
      <c r="K1088" s="4" t="inlineStr">
        <is>
          <t>8/262</t>
        </is>
      </c>
      <c r="L1088" s="4" t="inlineStr">
        <is>
          <t>Yes</t>
        </is>
      </c>
      <c r="M1088" s="4" t="inlineStr">
        <is>
          <t>Going somewhere? This sleek track jacket was designed with plenty of secure pockets so you can take the essentials with you (and maybe a little more).</t>
        </is>
      </c>
      <c r="N1088" s="4" t="inlineStr">
        <is>
          <t>Sojourn-Jacket</t>
        </is>
      </c>
      <c r="O1088" s="4" t="inlineStr">
        <is>
          <t>Athletic Jackets</t>
        </is>
      </c>
    </row>
    <row r="1089" ht="80" customHeight="1">
      <c r="A1089" s="7">
        <f>IMAGE("https://images.lululemon.com/is/image/lululemon/LM3CZOS_0001_1?wid=320&amp;op_usm=0.8",1)</f>
        <v/>
      </c>
      <c r="B1089" s="7" t="inlineStr">
        <is>
          <t>Sojourn Jacket</t>
        </is>
      </c>
      <c r="C1089" s="7" t="inlineStr">
        <is>
          <t>136275280</t>
        </is>
      </c>
      <c r="D1089" s="7" t="inlineStr">
        <is>
          <t>136275280-truenavy</t>
        </is>
      </c>
      <c r="E1089" s="7" t="inlineStr">
        <is>
          <t>Sojourn Jacket TRNV S</t>
        </is>
      </c>
      <c r="F1089" s="7" t="inlineStr">
        <is>
          <t>$148.00</t>
        </is>
      </c>
      <c r="G1089" s="7" t="inlineStr">
        <is>
          <t>$74.00</t>
        </is>
      </c>
      <c r="H1089" s="7" t="inlineStr">
        <is>
          <t>True Navy</t>
        </is>
      </c>
      <c r="I1089" s="7">
        <f>IMAGE("https://images.lululemon.com/is/image/lululemon/31382",1)</f>
        <v/>
      </c>
      <c r="J1089" s="7" t="inlineStr">
        <is>
          <t>XXL</t>
        </is>
      </c>
      <c r="K1089" s="7" t="inlineStr">
        <is>
          <t>1/262</t>
        </is>
      </c>
      <c r="L1089" s="7" t="inlineStr">
        <is>
          <t>Yes</t>
        </is>
      </c>
      <c r="M1089" s="7" t="inlineStr">
        <is>
          <t>Going somewhere? This sleek track jacket was designed with plenty of secure pockets so you can take the essentials with you (and maybe a little more).</t>
        </is>
      </c>
      <c r="N1089" s="7" t="inlineStr">
        <is>
          <t>Sojourn-Jacket</t>
        </is>
      </c>
      <c r="O1089" s="7" t="inlineStr">
        <is>
          <t>Athletic Jackets</t>
        </is>
      </c>
    </row>
    <row r="1090" ht="80" customHeight="1">
      <c r="A1090" s="4">
        <f>IMAGE("https://images.lululemon.com/is/image/lululemon/LM3CZOS_0001_1?wid=320&amp;op_usm=0.8",1)</f>
        <v/>
      </c>
      <c r="B1090" s="4" t="inlineStr">
        <is>
          <t>Sojourn Jacket</t>
        </is>
      </c>
      <c r="C1090" s="4" t="inlineStr">
        <is>
          <t>136275213</t>
        </is>
      </c>
      <c r="D1090" s="4" t="inlineStr">
        <is>
          <t>136275213-black</t>
        </is>
      </c>
      <c r="E1090" s="4" t="inlineStr">
        <is>
          <t>Sojourn Jacket TRNV S</t>
        </is>
      </c>
      <c r="F1090" s="4" t="inlineStr">
        <is>
          <t>$148.00</t>
        </is>
      </c>
      <c r="G1090" s="4" t="inlineStr">
        <is>
          <t>$74.00</t>
        </is>
      </c>
      <c r="H1090" s="4" t="inlineStr">
        <is>
          <t>Black</t>
        </is>
      </c>
      <c r="I1090" s="4">
        <f>IMAGE("https://images.lululemon.com/is/image/lululemon/0001",1)</f>
        <v/>
      </c>
      <c r="J1090" s="4" t="inlineStr">
        <is>
          <t>L</t>
        </is>
      </c>
      <c r="K1090" s="4" t="inlineStr">
        <is>
          <t>99/262</t>
        </is>
      </c>
      <c r="L1090" s="4" t="inlineStr">
        <is>
          <t>Yes</t>
        </is>
      </c>
      <c r="M1090" s="4" t="inlineStr">
        <is>
          <t>Going somewhere? This sleek track jacket was designed with plenty of secure pockets so you can take the essentials with you (and maybe a little more).</t>
        </is>
      </c>
      <c r="N1090" s="4" t="inlineStr">
        <is>
          <t>Sojourn-Jacket</t>
        </is>
      </c>
      <c r="O1090" s="4" t="inlineStr">
        <is>
          <t>Athletic Jackets</t>
        </is>
      </c>
    </row>
    <row r="1091" ht="80" customHeight="1">
      <c r="A1091" s="7">
        <f>IMAGE("https://images.lululemon.com/is/image/lululemon/LM3CZOS_0001_1?wid=320&amp;op_usm=0.8",1)</f>
        <v/>
      </c>
      <c r="B1091" s="7" t="inlineStr">
        <is>
          <t>Sojourn Jacket</t>
        </is>
      </c>
      <c r="C1091" s="7" t="inlineStr">
        <is>
          <t>136275224</t>
        </is>
      </c>
      <c r="D1091" s="7" t="inlineStr">
        <is>
          <t>136275224-black</t>
        </is>
      </c>
      <c r="E1091" s="7" t="inlineStr">
        <is>
          <t>Sojourn Jacket TRNV S</t>
        </is>
      </c>
      <c r="F1091" s="7" t="inlineStr">
        <is>
          <t>$148.00</t>
        </is>
      </c>
      <c r="G1091" s="7" t="inlineStr">
        <is>
          <t>$74.00</t>
        </is>
      </c>
      <c r="H1091" s="7" t="inlineStr">
        <is>
          <t>Black</t>
        </is>
      </c>
      <c r="I1091" s="7">
        <f>IMAGE("https://images.lululemon.com/is/image/lululemon/0001",1)</f>
        <v/>
      </c>
      <c r="J1091" s="7" t="inlineStr">
        <is>
          <t>XL</t>
        </is>
      </c>
      <c r="K1091" s="7" t="inlineStr">
        <is>
          <t>99/262</t>
        </is>
      </c>
      <c r="L1091" s="7" t="inlineStr">
        <is>
          <t>Yes</t>
        </is>
      </c>
      <c r="M1091" s="7" t="inlineStr">
        <is>
          <t>Going somewhere? This sleek track jacket was designed with plenty of secure pockets so you can take the essentials with you (and maybe a little more).</t>
        </is>
      </c>
      <c r="N1091" s="7" t="inlineStr">
        <is>
          <t>Sojourn-Jacket</t>
        </is>
      </c>
      <c r="O1091" s="7" t="inlineStr">
        <is>
          <t>Athletic Jackets</t>
        </is>
      </c>
    </row>
    <row r="1092" ht="80" customHeight="1">
      <c r="A1092" s="6">
        <f>IMAGE("https://images.lululemon.com/is/image/lululemon/LM3CZOS_0001_1?wid=320&amp;op_usm=0.8",1)</f>
        <v/>
      </c>
      <c r="B1092" s="6" t="inlineStr">
        <is>
          <t>Sojourn Jacket</t>
        </is>
      </c>
      <c r="C1092" s="6" t="inlineStr">
        <is>
          <t>136275232</t>
        </is>
      </c>
      <c r="D1092" s="6" t="inlineStr">
        <is>
          <t>136275232-black</t>
        </is>
      </c>
      <c r="E1092" s="6" t="inlineStr">
        <is>
          <t>Sojourn Jacket TRNV S</t>
        </is>
      </c>
      <c r="F1092" s="6" t="inlineStr">
        <is>
          <t>$148.00</t>
        </is>
      </c>
      <c r="G1092" s="6" t="inlineStr">
        <is>
          <t>$74.00</t>
        </is>
      </c>
      <c r="H1092" s="6" t="inlineStr">
        <is>
          <t>Black</t>
        </is>
      </c>
      <c r="I1092" s="6">
        <f>IMAGE("https://images.lululemon.com/is/image/lululemon/0001",1)</f>
        <v/>
      </c>
      <c r="J1092" s="6" t="inlineStr">
        <is>
          <t>XXL</t>
        </is>
      </c>
      <c r="K1092" s="6" t="inlineStr">
        <is>
          <t>19/262</t>
        </is>
      </c>
      <c r="L1092" s="6" t="inlineStr">
        <is>
          <t>Yes</t>
        </is>
      </c>
      <c r="M1092" s="6" t="inlineStr">
        <is>
          <t>Going somewhere? This sleek track jacket was designed with plenty of secure pockets so you can take the essentials with you (and maybe a little more).</t>
        </is>
      </c>
      <c r="N1092" s="6" t="inlineStr">
        <is>
          <t>Sojourn-Jacket</t>
        </is>
      </c>
      <c r="O1092" s="6" t="inlineStr">
        <is>
          <t>Athletic Jackets</t>
        </is>
      </c>
    </row>
    <row r="1093" ht="80" customHeight="1">
      <c r="A1093" s="7">
        <f>IMAGE("https://images.lululemon.com/is/image/lululemon/LM3ES3S_063781_1?wid=320&amp;op_usm=0.8",1)</f>
        <v/>
      </c>
      <c r="B1093" s="7" t="inlineStr">
        <is>
          <t>Soft Jersey Short-Sleeve Shirt</t>
        </is>
      </c>
      <c r="C1093" s="7" t="inlineStr">
        <is>
          <t>148229196</t>
        </is>
      </c>
      <c r="D1093" s="7" t="inlineStr">
        <is>
          <t>148229196-heatheredvapor/heatheredsilverdrop</t>
        </is>
      </c>
      <c r="E1093" s="7" t="inlineStr">
        <is>
          <t>Soft Jersey Short Sleeve HVPR/HSVD S</t>
        </is>
      </c>
      <c r="F1093" s="7" t="inlineStr">
        <is>
          <t>$58.00</t>
        </is>
      </c>
      <c r="G1093" s="7" t="inlineStr">
        <is>
          <t>$29.00</t>
        </is>
      </c>
      <c r="H1093" s="7" t="inlineStr">
        <is>
          <t>Heathered Vapor/Heathered Silver Drop</t>
        </is>
      </c>
      <c r="I1093" s="7">
        <f>IMAGE("https://images.lululemon.com/is/image/lululemon/63781",1)</f>
        <v/>
      </c>
      <c r="J1093" s="7" t="inlineStr">
        <is>
          <t>S</t>
        </is>
      </c>
      <c r="K1093" s="7" t="inlineStr">
        <is>
          <t>23/720</t>
        </is>
      </c>
      <c r="L1093" s="7" t="inlineStr">
        <is>
          <t>Yes</t>
        </is>
      </c>
      <c r="M1093" s="7" t="inlineStr">
        <is>
          <t>Rest and reset. This lightweight jersey top has a softly brushed interior that makes downtime irresistible.</t>
        </is>
      </c>
      <c r="N1093" s="7" t="inlineStr">
        <is>
          <t>Soft-Jersey-Short-Sleeve-Shirt</t>
        </is>
      </c>
      <c r="O1093" s="7" t="inlineStr"/>
    </row>
    <row r="1094" ht="80" customHeight="1">
      <c r="A1094" s="4">
        <f>IMAGE("https://images.lululemon.com/is/image/lululemon/LM3ES3S_063781_1?wid=320&amp;op_usm=0.8",1)</f>
        <v/>
      </c>
      <c r="B1094" s="4" t="inlineStr">
        <is>
          <t>Soft Jersey Short-Sleeve Shirt</t>
        </is>
      </c>
      <c r="C1094" s="4" t="inlineStr">
        <is>
          <t>148229191</t>
        </is>
      </c>
      <c r="D1094" s="4" t="inlineStr">
        <is>
          <t>148229191-heatheredvapor/heatheredsilverdrop</t>
        </is>
      </c>
      <c r="E1094" s="4" t="inlineStr">
        <is>
          <t>Soft Jersey Short Sleeve HVPR/HSVD S</t>
        </is>
      </c>
      <c r="F1094" s="4" t="inlineStr">
        <is>
          <t>$58.00</t>
        </is>
      </c>
      <c r="G1094" s="4" t="inlineStr">
        <is>
          <t>$29.00</t>
        </is>
      </c>
      <c r="H1094" s="4" t="inlineStr">
        <is>
          <t>Heathered Vapor/Heathered Silver Drop</t>
        </is>
      </c>
      <c r="I1094" s="4">
        <f>IMAGE("https://images.lululemon.com/is/image/lululemon/63781",1)</f>
        <v/>
      </c>
      <c r="J1094" s="4" t="inlineStr">
        <is>
          <t>M</t>
        </is>
      </c>
      <c r="K1094" s="4" t="inlineStr">
        <is>
          <t>80/720</t>
        </is>
      </c>
      <c r="L1094" s="4" t="inlineStr">
        <is>
          <t>Yes</t>
        </is>
      </c>
      <c r="M1094" s="4" t="inlineStr">
        <is>
          <t>Rest and reset. This lightweight jersey top has a softly brushed interior that makes downtime irresistible.</t>
        </is>
      </c>
      <c r="N1094" s="4" t="inlineStr">
        <is>
          <t>Soft-Jersey-Short-Sleeve-Shirt</t>
        </is>
      </c>
      <c r="O1094" s="4" t="inlineStr"/>
    </row>
    <row r="1095" ht="80" customHeight="1">
      <c r="A1095" s="7">
        <f>IMAGE("https://images.lululemon.com/is/image/lululemon/LM3ES3S_063781_1?wid=320&amp;op_usm=0.8",1)</f>
        <v/>
      </c>
      <c r="B1095" s="7" t="inlineStr">
        <is>
          <t>Soft Jersey Short-Sleeve Shirt</t>
        </is>
      </c>
      <c r="C1095" s="7" t="inlineStr">
        <is>
          <t>148229183</t>
        </is>
      </c>
      <c r="D1095" s="7" t="inlineStr">
        <is>
          <t>148229183-heatheredvapor/heatheredsilverdrop</t>
        </is>
      </c>
      <c r="E1095" s="7" t="inlineStr">
        <is>
          <t>Soft Jersey Short Sleeve HVPR/HSVD S</t>
        </is>
      </c>
      <c r="F1095" s="7" t="inlineStr">
        <is>
          <t>$58.00</t>
        </is>
      </c>
      <c r="G1095" s="7" t="inlineStr">
        <is>
          <t>$29.00</t>
        </is>
      </c>
      <c r="H1095" s="7" t="inlineStr">
        <is>
          <t>Heathered Vapor/Heathered Silver Drop</t>
        </is>
      </c>
      <c r="I1095" s="7">
        <f>IMAGE("https://images.lululemon.com/is/image/lululemon/63781",1)</f>
        <v/>
      </c>
      <c r="J1095" s="7" t="inlineStr">
        <is>
          <t>L</t>
        </is>
      </c>
      <c r="K1095" s="7" t="inlineStr">
        <is>
          <t>95/720</t>
        </is>
      </c>
      <c r="L1095" s="7" t="inlineStr">
        <is>
          <t>Yes</t>
        </is>
      </c>
      <c r="M1095" s="7" t="inlineStr">
        <is>
          <t>Rest and reset. This lightweight jersey top has a softly brushed interior that makes downtime irresistible.</t>
        </is>
      </c>
      <c r="N1095" s="7" t="inlineStr">
        <is>
          <t>Soft-Jersey-Short-Sleeve-Shirt</t>
        </is>
      </c>
      <c r="O1095" s="7" t="inlineStr"/>
    </row>
    <row r="1096" ht="80" customHeight="1">
      <c r="A1096" s="4">
        <f>IMAGE("https://images.lululemon.com/is/image/lululemon/LM3ES3S_063781_1?wid=320&amp;op_usm=0.8",1)</f>
        <v/>
      </c>
      <c r="B1096" s="4" t="inlineStr">
        <is>
          <t>Soft Jersey Short-Sleeve Shirt</t>
        </is>
      </c>
      <c r="C1096" s="4" t="inlineStr">
        <is>
          <t>148229202</t>
        </is>
      </c>
      <c r="D1096" s="4" t="inlineStr">
        <is>
          <t>148229202-heatheredvapor/heatheredsilverdrop</t>
        </is>
      </c>
      <c r="E1096" s="4" t="inlineStr">
        <is>
          <t>Soft Jersey Short Sleeve HVPR/HSVD S</t>
        </is>
      </c>
      <c r="F1096" s="4" t="inlineStr">
        <is>
          <t>$58.00</t>
        </is>
      </c>
      <c r="G1096" s="4" t="inlineStr">
        <is>
          <t>$29.00</t>
        </is>
      </c>
      <c r="H1096" s="4" t="inlineStr">
        <is>
          <t>Heathered Vapor/Heathered Silver Drop</t>
        </is>
      </c>
      <c r="I1096" s="4">
        <f>IMAGE("https://images.lululemon.com/is/image/lululemon/63781",1)</f>
        <v/>
      </c>
      <c r="J1096" s="4" t="inlineStr">
        <is>
          <t>XL</t>
        </is>
      </c>
      <c r="K1096" s="4" t="inlineStr">
        <is>
          <t>47/720</t>
        </is>
      </c>
      <c r="L1096" s="4" t="inlineStr">
        <is>
          <t>Yes</t>
        </is>
      </c>
      <c r="M1096" s="4" t="inlineStr">
        <is>
          <t>Rest and reset. This lightweight jersey top has a softly brushed interior that makes downtime irresistible.</t>
        </is>
      </c>
      <c r="N1096" s="4" t="inlineStr">
        <is>
          <t>Soft-Jersey-Short-Sleeve-Shirt</t>
        </is>
      </c>
      <c r="O1096" s="4" t="inlineStr"/>
    </row>
    <row r="1097" ht="80" customHeight="1">
      <c r="A1097" s="7">
        <f>IMAGE("https://images.lululemon.com/is/image/lululemon/LM3ES3S_063781_1?wid=320&amp;op_usm=0.8",1)</f>
        <v/>
      </c>
      <c r="B1097" s="7" t="inlineStr">
        <is>
          <t>Soft Jersey Short-Sleeve Shirt</t>
        </is>
      </c>
      <c r="C1097" s="7" t="inlineStr">
        <is>
          <t>148229214</t>
        </is>
      </c>
      <c r="D1097" s="7" t="inlineStr">
        <is>
          <t>148229214-heatheredvapor/heatheredsilverdrop</t>
        </is>
      </c>
      <c r="E1097" s="7" t="inlineStr">
        <is>
          <t>Soft Jersey Short Sleeve HVPR/HSVD S</t>
        </is>
      </c>
      <c r="F1097" s="7" t="inlineStr">
        <is>
          <t>$58.00</t>
        </is>
      </c>
      <c r="G1097" s="7" t="inlineStr">
        <is>
          <t>$29.00</t>
        </is>
      </c>
      <c r="H1097" s="7" t="inlineStr">
        <is>
          <t>Heathered Vapor/Heathered Silver Drop</t>
        </is>
      </c>
      <c r="I1097" s="7">
        <f>IMAGE("https://images.lululemon.com/is/image/lululemon/63781",1)</f>
        <v/>
      </c>
      <c r="J1097" s="7" t="inlineStr">
        <is>
          <t>XXL</t>
        </is>
      </c>
      <c r="K1097" s="7" t="inlineStr">
        <is>
          <t>17/720</t>
        </is>
      </c>
      <c r="L1097" s="7" t="inlineStr">
        <is>
          <t>Yes</t>
        </is>
      </c>
      <c r="M1097" s="7" t="inlineStr">
        <is>
          <t>Rest and reset. This lightweight jersey top has a softly brushed interior that makes downtime irresistible.</t>
        </is>
      </c>
      <c r="N1097" s="7" t="inlineStr">
        <is>
          <t>Soft-Jersey-Short-Sleeve-Shirt</t>
        </is>
      </c>
      <c r="O1097" s="7" t="inlineStr"/>
    </row>
    <row r="1098" ht="80" customHeight="1">
      <c r="A1098" s="4">
        <f>IMAGE("https://images.lululemon.com/is/image/lululemon/LM3ES3S_063781_1?wid=320&amp;op_usm=0.8",1)</f>
        <v/>
      </c>
      <c r="B1098" s="4" t="inlineStr">
        <is>
          <t>Soft Jersey Short-Sleeve Shirt</t>
        </is>
      </c>
      <c r="C1098" s="4" t="inlineStr">
        <is>
          <t>154475260</t>
        </is>
      </c>
      <c r="D1098" s="4" t="inlineStr">
        <is>
          <t>154475260-white</t>
        </is>
      </c>
      <c r="E1098" s="4" t="inlineStr">
        <is>
          <t>Soft Jersey Short Sleeve HVPR/HSVD S</t>
        </is>
      </c>
      <c r="F1098" s="4" t="inlineStr">
        <is>
          <t>$58.00</t>
        </is>
      </c>
      <c r="G1098" s="4" t="inlineStr">
        <is>
          <t>$29.00</t>
        </is>
      </c>
      <c r="H1098" s="4" t="inlineStr">
        <is>
          <t>White</t>
        </is>
      </c>
      <c r="I1098" s="4">
        <f>IMAGE("https://images.lululemon.com/is/image/lululemon/0002",1)</f>
        <v/>
      </c>
      <c r="J1098" s="4" t="inlineStr">
        <is>
          <t>S</t>
        </is>
      </c>
      <c r="K1098" s="4" t="inlineStr">
        <is>
          <t>10/720</t>
        </is>
      </c>
      <c r="L1098" s="4" t="inlineStr">
        <is>
          <t>Yes</t>
        </is>
      </c>
      <c r="M1098" s="4" t="inlineStr">
        <is>
          <t>Rest and reset. This lightweight jersey top has a softly brushed interior that makes downtime irresistible.</t>
        </is>
      </c>
      <c r="N1098" s="4" t="inlineStr">
        <is>
          <t>Soft-Jersey-Short-Sleeve-Shirt</t>
        </is>
      </c>
      <c r="O1098" s="4" t="inlineStr"/>
    </row>
    <row r="1099" ht="80" customHeight="1">
      <c r="A1099" s="7">
        <f>IMAGE("https://images.lululemon.com/is/image/lululemon/LM3ES3S_063781_1?wid=320&amp;op_usm=0.8",1)</f>
        <v/>
      </c>
      <c r="B1099" s="7" t="inlineStr">
        <is>
          <t>Soft Jersey Short-Sleeve Shirt</t>
        </is>
      </c>
      <c r="C1099" s="7" t="inlineStr">
        <is>
          <t>154475257</t>
        </is>
      </c>
      <c r="D1099" s="7" t="inlineStr">
        <is>
          <t>154475257-white</t>
        </is>
      </c>
      <c r="E1099" s="7" t="inlineStr">
        <is>
          <t>Soft Jersey Short Sleeve HVPR/HSVD S</t>
        </is>
      </c>
      <c r="F1099" s="7" t="inlineStr">
        <is>
          <t>$58.00</t>
        </is>
      </c>
      <c r="G1099" s="7" t="inlineStr">
        <is>
          <t>$29.00</t>
        </is>
      </c>
      <c r="H1099" s="7" t="inlineStr">
        <is>
          <t>White</t>
        </is>
      </c>
      <c r="I1099" s="7">
        <f>IMAGE("https://images.lululemon.com/is/image/lululemon/0002",1)</f>
        <v/>
      </c>
      <c r="J1099" s="7" t="inlineStr">
        <is>
          <t>M</t>
        </is>
      </c>
      <c r="K1099" s="7" t="inlineStr">
        <is>
          <t>29/720</t>
        </is>
      </c>
      <c r="L1099" s="7" t="inlineStr">
        <is>
          <t>Yes</t>
        </is>
      </c>
      <c r="M1099" s="7" t="inlineStr">
        <is>
          <t>Rest and reset. This lightweight jersey top has a softly brushed interior that makes downtime irresistible.</t>
        </is>
      </c>
      <c r="N1099" s="7" t="inlineStr">
        <is>
          <t>Soft-Jersey-Short-Sleeve-Shirt</t>
        </is>
      </c>
      <c r="O1099" s="7" t="inlineStr"/>
    </row>
    <row r="1100" ht="80" customHeight="1">
      <c r="A1100" s="4">
        <f>IMAGE("https://images.lululemon.com/is/image/lululemon/LM3ES3S_063781_1?wid=320&amp;op_usm=0.8",1)</f>
        <v/>
      </c>
      <c r="B1100" s="4" t="inlineStr">
        <is>
          <t>Soft Jersey Short-Sleeve Shirt</t>
        </is>
      </c>
      <c r="C1100" s="4" t="inlineStr">
        <is>
          <t>154475253</t>
        </is>
      </c>
      <c r="D1100" s="4" t="inlineStr">
        <is>
          <t>154475253-white</t>
        </is>
      </c>
      <c r="E1100" s="4" t="inlineStr">
        <is>
          <t>Soft Jersey Short Sleeve HVPR/HSVD S</t>
        </is>
      </c>
      <c r="F1100" s="4" t="inlineStr">
        <is>
          <t>$58.00</t>
        </is>
      </c>
      <c r="G1100" s="4" t="inlineStr">
        <is>
          <t>$29.00</t>
        </is>
      </c>
      <c r="H1100" s="4" t="inlineStr">
        <is>
          <t>White</t>
        </is>
      </c>
      <c r="I1100" s="4">
        <f>IMAGE("https://images.lululemon.com/is/image/lululemon/0002",1)</f>
        <v/>
      </c>
      <c r="J1100" s="4" t="inlineStr">
        <is>
          <t>L</t>
        </is>
      </c>
      <c r="K1100" s="4" t="inlineStr">
        <is>
          <t>65/720</t>
        </is>
      </c>
      <c r="L1100" s="4" t="inlineStr">
        <is>
          <t>Yes</t>
        </is>
      </c>
      <c r="M1100" s="4" t="inlineStr">
        <is>
          <t>Rest and reset. This lightweight jersey top has a softly brushed interior that makes downtime irresistible.</t>
        </is>
      </c>
      <c r="N1100" s="4" t="inlineStr">
        <is>
          <t>Soft-Jersey-Short-Sleeve-Shirt</t>
        </is>
      </c>
      <c r="O1100" s="4" t="inlineStr"/>
    </row>
    <row r="1101" ht="80" customHeight="1">
      <c r="A1101" s="7">
        <f>IMAGE("https://images.lululemon.com/is/image/lululemon/LM3ES3S_063781_1?wid=320&amp;op_usm=0.8",1)</f>
        <v/>
      </c>
      <c r="B1101" s="7" t="inlineStr">
        <is>
          <t>Soft Jersey Short-Sleeve Shirt</t>
        </is>
      </c>
      <c r="C1101" s="7" t="inlineStr">
        <is>
          <t>154475263</t>
        </is>
      </c>
      <c r="D1101" s="7" t="inlineStr">
        <is>
          <t>154475263-white</t>
        </is>
      </c>
      <c r="E1101" s="7" t="inlineStr">
        <is>
          <t>Soft Jersey Short Sleeve HVPR/HSVD S</t>
        </is>
      </c>
      <c r="F1101" s="7" t="inlineStr">
        <is>
          <t>$58.00</t>
        </is>
      </c>
      <c r="G1101" s="7" t="inlineStr">
        <is>
          <t>$29.00</t>
        </is>
      </c>
      <c r="H1101" s="7" t="inlineStr">
        <is>
          <t>White</t>
        </is>
      </c>
      <c r="I1101" s="7">
        <f>IMAGE("https://images.lululemon.com/is/image/lululemon/0002",1)</f>
        <v/>
      </c>
      <c r="J1101" s="7" t="inlineStr">
        <is>
          <t>XL</t>
        </is>
      </c>
      <c r="K1101" s="7" t="inlineStr">
        <is>
          <t>26/720</t>
        </is>
      </c>
      <c r="L1101" s="7" t="inlineStr">
        <is>
          <t>Yes</t>
        </is>
      </c>
      <c r="M1101" s="7" t="inlineStr">
        <is>
          <t>Rest and reset. This lightweight jersey top has a softly brushed interior that makes downtime irresistible.</t>
        </is>
      </c>
      <c r="N1101" s="7" t="inlineStr">
        <is>
          <t>Soft-Jersey-Short-Sleeve-Shirt</t>
        </is>
      </c>
      <c r="O1101" s="7" t="inlineStr"/>
    </row>
    <row r="1102" ht="80" customHeight="1">
      <c r="A1102" s="4">
        <f>IMAGE("https://images.lululemon.com/is/image/lululemon/LM3ES3S_063781_1?wid=320&amp;op_usm=0.8",1)</f>
        <v/>
      </c>
      <c r="B1102" s="4" t="inlineStr">
        <is>
          <t>Soft Jersey Short-Sleeve Shirt</t>
        </is>
      </c>
      <c r="C1102" s="4" t="inlineStr">
        <is>
          <t>154475269</t>
        </is>
      </c>
      <c r="D1102" s="4" t="inlineStr">
        <is>
          <t>154475269-white</t>
        </is>
      </c>
      <c r="E1102" s="4" t="inlineStr">
        <is>
          <t>Soft Jersey Short Sleeve HVPR/HSVD S</t>
        </is>
      </c>
      <c r="F1102" s="4" t="inlineStr">
        <is>
          <t>$58.00</t>
        </is>
      </c>
      <c r="G1102" s="4" t="inlineStr">
        <is>
          <t>$29.00</t>
        </is>
      </c>
      <c r="H1102" s="4" t="inlineStr">
        <is>
          <t>White</t>
        </is>
      </c>
      <c r="I1102" s="4">
        <f>IMAGE("https://images.lululemon.com/is/image/lululemon/0002",1)</f>
        <v/>
      </c>
      <c r="J1102" s="4" t="inlineStr">
        <is>
          <t>XXL</t>
        </is>
      </c>
      <c r="K1102" s="4" t="inlineStr">
        <is>
          <t>42/720</t>
        </is>
      </c>
      <c r="L1102" s="4" t="inlineStr">
        <is>
          <t>Yes</t>
        </is>
      </c>
      <c r="M1102" s="4" t="inlineStr">
        <is>
          <t>Rest and reset. This lightweight jersey top has a softly brushed interior that makes downtime irresistible.</t>
        </is>
      </c>
      <c r="N1102" s="4" t="inlineStr">
        <is>
          <t>Soft-Jersey-Short-Sleeve-Shirt</t>
        </is>
      </c>
      <c r="O1102" s="4" t="inlineStr"/>
    </row>
    <row r="1103" ht="80" customHeight="1">
      <c r="A1103" s="7">
        <f>IMAGE("https://images.lululemon.com/is/image/lululemon/LM3ES3S_063781_1?wid=320&amp;op_usm=0.8",1)</f>
        <v/>
      </c>
      <c r="B1103" s="7" t="inlineStr">
        <is>
          <t>Soft Jersey Short-Sleeve Shirt</t>
        </is>
      </c>
      <c r="C1103" s="7" t="inlineStr">
        <is>
          <t>158028962</t>
        </is>
      </c>
      <c r="D1103" s="7" t="inlineStr">
        <is>
          <t>158028962-atmosphericpurple</t>
        </is>
      </c>
      <c r="E1103" s="7" t="inlineStr">
        <is>
          <t>Soft Jersey Short Sleeve HVPR/HSVD S</t>
        </is>
      </c>
      <c r="F1103" s="7" t="inlineStr">
        <is>
          <t>$58.00</t>
        </is>
      </c>
      <c r="G1103" s="7" t="inlineStr">
        <is>
          <t>$29.00</t>
        </is>
      </c>
      <c r="H1103" s="7" t="inlineStr">
        <is>
          <t>Atmospheric Purple</t>
        </is>
      </c>
      <c r="I1103" s="7">
        <f>IMAGE("https://images.lululemon.com/is/image/lululemon/63787",1)</f>
        <v/>
      </c>
      <c r="J1103" s="7" t="inlineStr">
        <is>
          <t>S</t>
        </is>
      </c>
      <c r="K1103" s="7" t="inlineStr">
        <is>
          <t>25/720</t>
        </is>
      </c>
      <c r="L1103" s="7" t="inlineStr">
        <is>
          <t>Yes</t>
        </is>
      </c>
      <c r="M1103" s="7" t="inlineStr">
        <is>
          <t>Rest and reset. This lightweight jersey top has a softly brushed interior that makes downtime irresistible.</t>
        </is>
      </c>
      <c r="N1103" s="7" t="inlineStr">
        <is>
          <t>Soft-Jersey-Short-Sleeve-Shirt</t>
        </is>
      </c>
      <c r="O1103" s="7" t="inlineStr"/>
    </row>
    <row r="1104" ht="80" customHeight="1">
      <c r="A1104" s="4">
        <f>IMAGE("https://images.lululemon.com/is/image/lululemon/LM3ES3S_063781_1?wid=320&amp;op_usm=0.8",1)</f>
        <v/>
      </c>
      <c r="B1104" s="4" t="inlineStr">
        <is>
          <t>Soft Jersey Short-Sleeve Shirt</t>
        </is>
      </c>
      <c r="C1104" s="4" t="inlineStr">
        <is>
          <t>158028953</t>
        </is>
      </c>
      <c r="D1104" s="4" t="inlineStr">
        <is>
          <t>158028953-atmosphericpurple</t>
        </is>
      </c>
      <c r="E1104" s="4" t="inlineStr">
        <is>
          <t>Soft Jersey Short Sleeve HVPR/HSVD S</t>
        </is>
      </c>
      <c r="F1104" s="4" t="inlineStr">
        <is>
          <t>$58.00</t>
        </is>
      </c>
      <c r="G1104" s="4" t="inlineStr">
        <is>
          <t>$29.00</t>
        </is>
      </c>
      <c r="H1104" s="4" t="inlineStr">
        <is>
          <t>Atmospheric Purple</t>
        </is>
      </c>
      <c r="I1104" s="4">
        <f>IMAGE("https://images.lululemon.com/is/image/lululemon/63787",1)</f>
        <v/>
      </c>
      <c r="J1104" s="4" t="inlineStr">
        <is>
          <t>M</t>
        </is>
      </c>
      <c r="K1104" s="4" t="inlineStr">
        <is>
          <t>74/720</t>
        </is>
      </c>
      <c r="L1104" s="4" t="inlineStr">
        <is>
          <t>Yes</t>
        </is>
      </c>
      <c r="M1104" s="4" t="inlineStr">
        <is>
          <t>Rest and reset. This lightweight jersey top has a softly brushed interior that makes downtime irresistible.</t>
        </is>
      </c>
      <c r="N1104" s="4" t="inlineStr">
        <is>
          <t>Soft-Jersey-Short-Sleeve-Shirt</t>
        </is>
      </c>
      <c r="O1104" s="4" t="inlineStr"/>
    </row>
    <row r="1105" ht="80" customHeight="1">
      <c r="A1105" s="7">
        <f>IMAGE("https://images.lululemon.com/is/image/lululemon/LM3ES3S_063781_1?wid=320&amp;op_usm=0.8",1)</f>
        <v/>
      </c>
      <c r="B1105" s="7" t="inlineStr">
        <is>
          <t>Soft Jersey Short-Sleeve Shirt</t>
        </is>
      </c>
      <c r="C1105" s="7" t="inlineStr">
        <is>
          <t>158028944</t>
        </is>
      </c>
      <c r="D1105" s="7" t="inlineStr">
        <is>
          <t>158028944-atmosphericpurple</t>
        </is>
      </c>
      <c r="E1105" s="7" t="inlineStr">
        <is>
          <t>Soft Jersey Short Sleeve HVPR/HSVD S</t>
        </is>
      </c>
      <c r="F1105" s="7" t="inlineStr">
        <is>
          <t>$58.00</t>
        </is>
      </c>
      <c r="G1105" s="7" t="inlineStr">
        <is>
          <t>$29.00</t>
        </is>
      </c>
      <c r="H1105" s="7" t="inlineStr">
        <is>
          <t>Atmospheric Purple</t>
        </is>
      </c>
      <c r="I1105" s="7">
        <f>IMAGE("https://images.lululemon.com/is/image/lululemon/63787",1)</f>
        <v/>
      </c>
      <c r="J1105" s="7" t="inlineStr">
        <is>
          <t>L</t>
        </is>
      </c>
      <c r="K1105" s="7" t="inlineStr">
        <is>
          <t>98/720</t>
        </is>
      </c>
      <c r="L1105" s="7" t="inlineStr">
        <is>
          <t>Yes</t>
        </is>
      </c>
      <c r="M1105" s="7" t="inlineStr">
        <is>
          <t>Rest and reset. This lightweight jersey top has a softly brushed interior that makes downtime irresistible.</t>
        </is>
      </c>
      <c r="N1105" s="7" t="inlineStr">
        <is>
          <t>Soft-Jersey-Short-Sleeve-Shirt</t>
        </is>
      </c>
      <c r="O1105" s="7" t="inlineStr"/>
    </row>
    <row r="1106" ht="80" customHeight="1">
      <c r="A1106" s="4">
        <f>IMAGE("https://images.lululemon.com/is/image/lululemon/LM3ES3S_063781_1?wid=320&amp;op_usm=0.8",1)</f>
        <v/>
      </c>
      <c r="B1106" s="4" t="inlineStr">
        <is>
          <t>Soft Jersey Short-Sleeve Shirt</t>
        </is>
      </c>
      <c r="C1106" s="4" t="inlineStr">
        <is>
          <t>158028968</t>
        </is>
      </c>
      <c r="D1106" s="4" t="inlineStr">
        <is>
          <t>158028968-atmosphericpurple</t>
        </is>
      </c>
      <c r="E1106" s="4" t="inlineStr">
        <is>
          <t>Soft Jersey Short Sleeve HVPR/HSVD S</t>
        </is>
      </c>
      <c r="F1106" s="4" t="inlineStr">
        <is>
          <t>$58.00</t>
        </is>
      </c>
      <c r="G1106" s="4" t="inlineStr">
        <is>
          <t>$29.00</t>
        </is>
      </c>
      <c r="H1106" s="4" t="inlineStr">
        <is>
          <t>Atmospheric Purple</t>
        </is>
      </c>
      <c r="I1106" s="4">
        <f>IMAGE("https://images.lululemon.com/is/image/lululemon/63787",1)</f>
        <v/>
      </c>
      <c r="J1106" s="4" t="inlineStr">
        <is>
          <t>XL</t>
        </is>
      </c>
      <c r="K1106" s="4" t="inlineStr">
        <is>
          <t>67/720</t>
        </is>
      </c>
      <c r="L1106" s="4" t="inlineStr">
        <is>
          <t>Yes</t>
        </is>
      </c>
      <c r="M1106" s="4" t="inlineStr">
        <is>
          <t>Rest and reset. This lightweight jersey top has a softly brushed interior that makes downtime irresistible.</t>
        </is>
      </c>
      <c r="N1106" s="4" t="inlineStr">
        <is>
          <t>Soft-Jersey-Short-Sleeve-Shirt</t>
        </is>
      </c>
      <c r="O1106" s="4" t="inlineStr"/>
    </row>
    <row r="1107" ht="80" customHeight="1">
      <c r="A1107" s="5">
        <f>IMAGE("https://images.lululemon.com/is/image/lululemon/LM3ES3S_063781_1?wid=320&amp;op_usm=0.8",1)</f>
        <v/>
      </c>
      <c r="B1107" s="5" t="inlineStr">
        <is>
          <t>Soft Jersey Short-Sleeve Shirt</t>
        </is>
      </c>
      <c r="C1107" s="5" t="inlineStr">
        <is>
          <t>158028989</t>
        </is>
      </c>
      <c r="D1107" s="5" t="inlineStr">
        <is>
          <t>158028989-atmosphericpurple</t>
        </is>
      </c>
      <c r="E1107" s="5" t="inlineStr">
        <is>
          <t>Soft Jersey Short Sleeve HVPR/HSVD S</t>
        </is>
      </c>
      <c r="F1107" s="5" t="inlineStr">
        <is>
          <t>$58.00</t>
        </is>
      </c>
      <c r="G1107" s="5" t="inlineStr">
        <is>
          <t>$29.00</t>
        </is>
      </c>
      <c r="H1107" s="5" t="inlineStr">
        <is>
          <t>Atmospheric Purple</t>
        </is>
      </c>
      <c r="I1107" s="5">
        <f>IMAGE("https://images.lululemon.com/is/image/lululemon/63787",1)</f>
        <v/>
      </c>
      <c r="J1107" s="5" t="inlineStr">
        <is>
          <t>XXL</t>
        </is>
      </c>
      <c r="K1107" s="5" t="inlineStr">
        <is>
          <t>22/720</t>
        </is>
      </c>
      <c r="L1107" s="5" t="inlineStr">
        <is>
          <t>Yes</t>
        </is>
      </c>
      <c r="M1107" s="5" t="inlineStr">
        <is>
          <t>Rest and reset. This lightweight jersey top has a softly brushed interior that makes downtime irresistible.</t>
        </is>
      </c>
      <c r="N1107" s="5" t="inlineStr">
        <is>
          <t>Soft-Jersey-Short-Sleeve-Shirt</t>
        </is>
      </c>
      <c r="O1107" s="5" t="inlineStr"/>
    </row>
    <row r="1108" ht="80" customHeight="1">
      <c r="A1108" s="4">
        <f>IMAGE("https://images.lululemon.com/is/image/lululemon/LM3F45S_0001_1?wid=320&amp;op_usm=0.8",1)</f>
        <v/>
      </c>
      <c r="B1108" s="4" t="inlineStr">
        <is>
          <t>Soft Jersey Half Zip</t>
        </is>
      </c>
      <c r="C1108" s="4" t="inlineStr">
        <is>
          <t>148229492</t>
        </is>
      </c>
      <c r="D1108" s="4" t="inlineStr">
        <is>
          <t>148229492-black</t>
        </is>
      </c>
      <c r="E1108" s="4" t="inlineStr">
        <is>
          <t>Soft Jersey Half Zip BLK S</t>
        </is>
      </c>
      <c r="F1108" s="4" t="inlineStr">
        <is>
          <t>$98.00</t>
        </is>
      </c>
      <c r="G1108" s="4" t="inlineStr">
        <is>
          <t>$49.00</t>
        </is>
      </c>
      <c r="H1108" s="4" t="inlineStr">
        <is>
          <t>Black</t>
        </is>
      </c>
      <c r="I1108" s="4">
        <f>IMAGE("https://images.lululemon.com/is/image/lululemon/0001",1)</f>
        <v/>
      </c>
      <c r="J1108" s="4" t="inlineStr">
        <is>
          <t>S</t>
        </is>
      </c>
      <c r="K1108" s="4" t="inlineStr">
        <is>
          <t>33/3989</t>
        </is>
      </c>
      <c r="L1108" s="4" t="inlineStr">
        <is>
          <t>Yes</t>
        </is>
      </c>
      <c r="M1108" s="4" t="inlineStr">
        <is>
          <t>Rest and reset. This lightweight jersey half zip has a softly brushed interior that makes downtime irresistible.</t>
        </is>
      </c>
      <c r="N1108" s="4" t="inlineStr">
        <is>
          <t>Soft-Jersey-Half-Zip</t>
        </is>
      </c>
      <c r="O1108" s="4" t="inlineStr">
        <is>
          <t>Half Zip Sweatshirts, Quarter Zip Sweatshirts</t>
        </is>
      </c>
    </row>
    <row r="1109" ht="80" customHeight="1">
      <c r="A1109" s="7">
        <f>IMAGE("https://images.lululemon.com/is/image/lululemon/LM3F45S_0001_1?wid=320&amp;op_usm=0.8",1)</f>
        <v/>
      </c>
      <c r="B1109" s="7" t="inlineStr">
        <is>
          <t>Soft Jersey Half Zip</t>
        </is>
      </c>
      <c r="C1109" s="7" t="inlineStr">
        <is>
          <t>148229485</t>
        </is>
      </c>
      <c r="D1109" s="7" t="inlineStr">
        <is>
          <t>148229485-black</t>
        </is>
      </c>
      <c r="E1109" s="7" t="inlineStr">
        <is>
          <t>Soft Jersey Half Zip BLK S</t>
        </is>
      </c>
      <c r="F1109" s="7" t="inlineStr">
        <is>
          <t>$98.00</t>
        </is>
      </c>
      <c r="G1109" s="7" t="inlineStr">
        <is>
          <t>$49.00</t>
        </is>
      </c>
      <c r="H1109" s="7" t="inlineStr">
        <is>
          <t>Black</t>
        </is>
      </c>
      <c r="I1109" s="7">
        <f>IMAGE("https://images.lululemon.com/is/image/lululemon/0001",1)</f>
        <v/>
      </c>
      <c r="J1109" s="7" t="inlineStr">
        <is>
          <t>M</t>
        </is>
      </c>
      <c r="K1109" s="7" t="inlineStr">
        <is>
          <t>103/3989</t>
        </is>
      </c>
      <c r="L1109" s="7" t="inlineStr">
        <is>
          <t>Yes</t>
        </is>
      </c>
      <c r="M1109" s="7" t="inlineStr">
        <is>
          <t>Rest and reset. This lightweight jersey half zip has a softly brushed interior that makes downtime irresistible.</t>
        </is>
      </c>
      <c r="N1109" s="7" t="inlineStr">
        <is>
          <t>Soft-Jersey-Half-Zip</t>
        </is>
      </c>
      <c r="O1109" s="7" t="inlineStr">
        <is>
          <t>Half Zip Sweatshirts, Quarter Zip Sweatshirts</t>
        </is>
      </c>
    </row>
    <row r="1110" ht="80" customHeight="1">
      <c r="A1110" s="4">
        <f>IMAGE("https://images.lululemon.com/is/image/lululemon/LM3F45S_0001_1?wid=320&amp;op_usm=0.8",1)</f>
        <v/>
      </c>
      <c r="B1110" s="4" t="inlineStr">
        <is>
          <t>Soft Jersey Half Zip</t>
        </is>
      </c>
      <c r="C1110" s="4" t="inlineStr">
        <is>
          <t>148229478</t>
        </is>
      </c>
      <c r="D1110" s="4" t="inlineStr">
        <is>
          <t>148229478-black</t>
        </is>
      </c>
      <c r="E1110" s="4" t="inlineStr">
        <is>
          <t>Soft Jersey Half Zip BLK S</t>
        </is>
      </c>
      <c r="F1110" s="4" t="inlineStr">
        <is>
          <t>$98.00</t>
        </is>
      </c>
      <c r="G1110" s="4" t="inlineStr">
        <is>
          <t>$49.00</t>
        </is>
      </c>
      <c r="H1110" s="4" t="inlineStr">
        <is>
          <t>Black</t>
        </is>
      </c>
      <c r="I1110" s="4">
        <f>IMAGE("https://images.lululemon.com/is/image/lululemon/0001",1)</f>
        <v/>
      </c>
      <c r="J1110" s="4" t="inlineStr">
        <is>
          <t>L</t>
        </is>
      </c>
      <c r="K1110" s="4" t="inlineStr">
        <is>
          <t>116/3989</t>
        </is>
      </c>
      <c r="L1110" s="4" t="inlineStr">
        <is>
          <t>Yes</t>
        </is>
      </c>
      <c r="M1110" s="4" t="inlineStr">
        <is>
          <t>Rest and reset. This lightweight jersey half zip has a softly brushed interior that makes downtime irresistible.</t>
        </is>
      </c>
      <c r="N1110" s="4" t="inlineStr">
        <is>
          <t>Soft-Jersey-Half-Zip</t>
        </is>
      </c>
      <c r="O1110" s="4" t="inlineStr">
        <is>
          <t>Half Zip Sweatshirts, Quarter Zip Sweatshirts</t>
        </is>
      </c>
    </row>
    <row r="1111" ht="80" customHeight="1">
      <c r="A1111" s="7">
        <f>IMAGE("https://images.lululemon.com/is/image/lululemon/LM3F45S_0001_1?wid=320&amp;op_usm=0.8",1)</f>
        <v/>
      </c>
      <c r="B1111" s="7" t="inlineStr">
        <is>
          <t>Soft Jersey Half Zip</t>
        </is>
      </c>
      <c r="C1111" s="7" t="inlineStr">
        <is>
          <t>148229496</t>
        </is>
      </c>
      <c r="D1111" s="7" t="inlineStr">
        <is>
          <t>148229496-black</t>
        </is>
      </c>
      <c r="E1111" s="7" t="inlineStr">
        <is>
          <t>Soft Jersey Half Zip BLK S</t>
        </is>
      </c>
      <c r="F1111" s="7" t="inlineStr">
        <is>
          <t>$98.00</t>
        </is>
      </c>
      <c r="G1111" s="7" t="inlineStr">
        <is>
          <t>$49.00</t>
        </is>
      </c>
      <c r="H1111" s="7" t="inlineStr">
        <is>
          <t>Black</t>
        </is>
      </c>
      <c r="I1111" s="7">
        <f>IMAGE("https://images.lululemon.com/is/image/lululemon/0001",1)</f>
        <v/>
      </c>
      <c r="J1111" s="7" t="inlineStr">
        <is>
          <t>XL</t>
        </is>
      </c>
      <c r="K1111" s="7" t="inlineStr">
        <is>
          <t>72/3989</t>
        </is>
      </c>
      <c r="L1111" s="7" t="inlineStr">
        <is>
          <t>Yes</t>
        </is>
      </c>
      <c r="M1111" s="7" t="inlineStr">
        <is>
          <t>Rest and reset. This lightweight jersey half zip has a softly brushed interior that makes downtime irresistible.</t>
        </is>
      </c>
      <c r="N1111" s="7" t="inlineStr">
        <is>
          <t>Soft-Jersey-Half-Zip</t>
        </is>
      </c>
      <c r="O1111" s="7" t="inlineStr">
        <is>
          <t>Half Zip Sweatshirts, Quarter Zip Sweatshirts</t>
        </is>
      </c>
    </row>
    <row r="1112" ht="80" customHeight="1">
      <c r="A1112" s="4">
        <f>IMAGE("https://images.lululemon.com/is/image/lululemon/LM3F45S_0001_1?wid=320&amp;op_usm=0.8",1)</f>
        <v/>
      </c>
      <c r="B1112" s="4" t="inlineStr">
        <is>
          <t>Soft Jersey Half Zip</t>
        </is>
      </c>
      <c r="C1112" s="4" t="inlineStr">
        <is>
          <t>148229509</t>
        </is>
      </c>
      <c r="D1112" s="4" t="inlineStr">
        <is>
          <t>148229509-black</t>
        </is>
      </c>
      <c r="E1112" s="4" t="inlineStr">
        <is>
          <t>Soft Jersey Half Zip BLK S</t>
        </is>
      </c>
      <c r="F1112" s="4" t="inlineStr">
        <is>
          <t>$98.00</t>
        </is>
      </c>
      <c r="G1112" s="4" t="inlineStr">
        <is>
          <t>$49.00</t>
        </is>
      </c>
      <c r="H1112" s="4" t="inlineStr">
        <is>
          <t>Black</t>
        </is>
      </c>
      <c r="I1112" s="4">
        <f>IMAGE("https://images.lululemon.com/is/image/lululemon/0001",1)</f>
        <v/>
      </c>
      <c r="J1112" s="4" t="inlineStr">
        <is>
          <t>XXL</t>
        </is>
      </c>
      <c r="K1112" s="4" t="inlineStr">
        <is>
          <t>20/3989</t>
        </is>
      </c>
      <c r="L1112" s="4" t="inlineStr">
        <is>
          <t>Yes</t>
        </is>
      </c>
      <c r="M1112" s="4" t="inlineStr">
        <is>
          <t>Rest and reset. This lightweight jersey half zip has a softly brushed interior that makes downtime irresistible.</t>
        </is>
      </c>
      <c r="N1112" s="4" t="inlineStr">
        <is>
          <t>Soft-Jersey-Half-Zip</t>
        </is>
      </c>
      <c r="O1112" s="4" t="inlineStr">
        <is>
          <t>Half Zip Sweatshirts, Quarter Zip Sweatshirts</t>
        </is>
      </c>
    </row>
    <row r="1113" ht="80" customHeight="1">
      <c r="A1113" s="7">
        <f>IMAGE("https://images.lululemon.com/is/image/lululemon/LM3F45S_0001_1?wid=320&amp;op_usm=0.8",1)</f>
        <v/>
      </c>
      <c r="B1113" s="7" t="inlineStr">
        <is>
          <t>Soft Jersey Half Zip</t>
        </is>
      </c>
      <c r="C1113" s="7" t="inlineStr">
        <is>
          <t>148228986</t>
        </is>
      </c>
      <c r="D1113" s="7" t="inlineStr">
        <is>
          <t>148228986-heatheredvapor/heatheredsilverdrop</t>
        </is>
      </c>
      <c r="E1113" s="7" t="inlineStr">
        <is>
          <t>Soft Jersey Half Zip BLK S</t>
        </is>
      </c>
      <c r="F1113" s="7" t="inlineStr">
        <is>
          <t>$98.00</t>
        </is>
      </c>
      <c r="G1113" s="7" t="inlineStr">
        <is>
          <t>$49.00</t>
        </is>
      </c>
      <c r="H1113" s="7" t="inlineStr">
        <is>
          <t>Heathered Vapor/Heathered Silver Drop</t>
        </is>
      </c>
      <c r="I1113" s="7">
        <f>IMAGE("https://images.lululemon.com/is/image/lululemon/63781",1)</f>
        <v/>
      </c>
      <c r="J1113" s="7" t="inlineStr">
        <is>
          <t>S</t>
        </is>
      </c>
      <c r="K1113" s="7" t="inlineStr">
        <is>
          <t>46/3989</t>
        </is>
      </c>
      <c r="L1113" s="7" t="inlineStr">
        <is>
          <t>Yes</t>
        </is>
      </c>
      <c r="M1113" s="7" t="inlineStr">
        <is>
          <t>Rest and reset. This lightweight jersey half zip has a softly brushed interior that makes downtime irresistible.</t>
        </is>
      </c>
      <c r="N1113" s="7" t="inlineStr">
        <is>
          <t>Soft-Jersey-Half-Zip</t>
        </is>
      </c>
      <c r="O1113" s="7" t="inlineStr">
        <is>
          <t>Half Zip Sweatshirts, Quarter Zip Sweatshirts</t>
        </is>
      </c>
    </row>
    <row r="1114" ht="80" customHeight="1">
      <c r="A1114" s="4">
        <f>IMAGE("https://images.lululemon.com/is/image/lululemon/LM3F45S_0001_1?wid=320&amp;op_usm=0.8",1)</f>
        <v/>
      </c>
      <c r="B1114" s="4" t="inlineStr">
        <is>
          <t>Soft Jersey Half Zip</t>
        </is>
      </c>
      <c r="C1114" s="4" t="inlineStr">
        <is>
          <t>148228981</t>
        </is>
      </c>
      <c r="D1114" s="4" t="inlineStr">
        <is>
          <t>148228981-heatheredvapor/heatheredsilverdrop</t>
        </is>
      </c>
      <c r="E1114" s="4" t="inlineStr">
        <is>
          <t>Soft Jersey Half Zip BLK S</t>
        </is>
      </c>
      <c r="F1114" s="4" t="inlineStr">
        <is>
          <t>$98.00</t>
        </is>
      </c>
      <c r="G1114" s="4" t="inlineStr">
        <is>
          <t>$49.00</t>
        </is>
      </c>
      <c r="H1114" s="4" t="inlineStr">
        <is>
          <t>Heathered Vapor/Heathered Silver Drop</t>
        </is>
      </c>
      <c r="I1114" s="4">
        <f>IMAGE("https://images.lululemon.com/is/image/lululemon/63781",1)</f>
        <v/>
      </c>
      <c r="J1114" s="4" t="inlineStr">
        <is>
          <t>M</t>
        </is>
      </c>
      <c r="K1114" s="4" t="inlineStr">
        <is>
          <t>183/3989</t>
        </is>
      </c>
      <c r="L1114" s="4" t="inlineStr">
        <is>
          <t>Yes</t>
        </is>
      </c>
      <c r="M1114" s="4" t="inlineStr">
        <is>
          <t>Rest and reset. This lightweight jersey half zip has a softly brushed interior that makes downtime irresistible.</t>
        </is>
      </c>
      <c r="N1114" s="4" t="inlineStr">
        <is>
          <t>Soft-Jersey-Half-Zip</t>
        </is>
      </c>
      <c r="O1114" s="4" t="inlineStr">
        <is>
          <t>Half Zip Sweatshirts, Quarter Zip Sweatshirts</t>
        </is>
      </c>
    </row>
    <row r="1115" ht="80" customHeight="1">
      <c r="A1115" s="7">
        <f>IMAGE("https://images.lululemon.com/is/image/lululemon/LM3F45S_0001_1?wid=320&amp;op_usm=0.8",1)</f>
        <v/>
      </c>
      <c r="B1115" s="7" t="inlineStr">
        <is>
          <t>Soft Jersey Half Zip</t>
        </is>
      </c>
      <c r="C1115" s="7" t="inlineStr">
        <is>
          <t>148228975</t>
        </is>
      </c>
      <c r="D1115" s="7" t="inlineStr">
        <is>
          <t>148228975-heatheredvapor/heatheredsilverdrop</t>
        </is>
      </c>
      <c r="E1115" s="7" t="inlineStr">
        <is>
          <t>Soft Jersey Half Zip BLK S</t>
        </is>
      </c>
      <c r="F1115" s="7" t="inlineStr">
        <is>
          <t>$98.00</t>
        </is>
      </c>
      <c r="G1115" s="7" t="inlineStr">
        <is>
          <t>$49.00</t>
        </is>
      </c>
      <c r="H1115" s="7" t="inlineStr">
        <is>
          <t>Heathered Vapor/Heathered Silver Drop</t>
        </is>
      </c>
      <c r="I1115" s="7">
        <f>IMAGE("https://images.lululemon.com/is/image/lululemon/63781",1)</f>
        <v/>
      </c>
      <c r="J1115" s="7" t="inlineStr">
        <is>
          <t>L</t>
        </is>
      </c>
      <c r="K1115" s="7" t="inlineStr">
        <is>
          <t>182/3989</t>
        </is>
      </c>
      <c r="L1115" s="7" t="inlineStr">
        <is>
          <t>Yes</t>
        </is>
      </c>
      <c r="M1115" s="7" t="inlineStr">
        <is>
          <t>Rest and reset. This lightweight jersey half zip has a softly brushed interior that makes downtime irresistible.</t>
        </is>
      </c>
      <c r="N1115" s="7" t="inlineStr">
        <is>
          <t>Soft-Jersey-Half-Zip</t>
        </is>
      </c>
      <c r="O1115" s="7" t="inlineStr">
        <is>
          <t>Half Zip Sweatshirts, Quarter Zip Sweatshirts</t>
        </is>
      </c>
    </row>
    <row r="1116" ht="80" customHeight="1">
      <c r="A1116" s="4">
        <f>IMAGE("https://images.lululemon.com/is/image/lululemon/LM3F45S_0001_1?wid=320&amp;op_usm=0.8",1)</f>
        <v/>
      </c>
      <c r="B1116" s="4" t="inlineStr">
        <is>
          <t>Soft Jersey Half Zip</t>
        </is>
      </c>
      <c r="C1116" s="4" t="inlineStr">
        <is>
          <t>148228993</t>
        </is>
      </c>
      <c r="D1116" s="4" t="inlineStr">
        <is>
          <t>148228993-heatheredvapor/heatheredsilverdrop</t>
        </is>
      </c>
      <c r="E1116" s="4" t="inlineStr">
        <is>
          <t>Soft Jersey Half Zip BLK S</t>
        </is>
      </c>
      <c r="F1116" s="4" t="inlineStr">
        <is>
          <t>$98.00</t>
        </is>
      </c>
      <c r="G1116" s="4" t="inlineStr">
        <is>
          <t>$49.00</t>
        </is>
      </c>
      <c r="H1116" s="4" t="inlineStr">
        <is>
          <t>Heathered Vapor/Heathered Silver Drop</t>
        </is>
      </c>
      <c r="I1116" s="4">
        <f>IMAGE("https://images.lululemon.com/is/image/lululemon/63781",1)</f>
        <v/>
      </c>
      <c r="J1116" s="4" t="inlineStr">
        <is>
          <t>XL</t>
        </is>
      </c>
      <c r="K1116" s="4" t="inlineStr">
        <is>
          <t>143/3989</t>
        </is>
      </c>
      <c r="L1116" s="4" t="inlineStr">
        <is>
          <t>Yes</t>
        </is>
      </c>
      <c r="M1116" s="4" t="inlineStr">
        <is>
          <t>Rest and reset. This lightweight jersey half zip has a softly brushed interior that makes downtime irresistible.</t>
        </is>
      </c>
      <c r="N1116" s="4" t="inlineStr">
        <is>
          <t>Soft-Jersey-Half-Zip</t>
        </is>
      </c>
      <c r="O1116" s="4" t="inlineStr">
        <is>
          <t>Half Zip Sweatshirts, Quarter Zip Sweatshirts</t>
        </is>
      </c>
    </row>
    <row r="1117" ht="80" customHeight="1">
      <c r="A1117" s="7">
        <f>IMAGE("https://images.lululemon.com/is/image/lululemon/LM3F45S_0001_1?wid=320&amp;op_usm=0.8",1)</f>
        <v/>
      </c>
      <c r="B1117" s="7" t="inlineStr">
        <is>
          <t>Soft Jersey Half Zip</t>
        </is>
      </c>
      <c r="C1117" s="7" t="inlineStr">
        <is>
          <t>148229008</t>
        </is>
      </c>
      <c r="D1117" s="7" t="inlineStr">
        <is>
          <t>148229008-heatheredvapor/heatheredsilverdrop</t>
        </is>
      </c>
      <c r="E1117" s="7" t="inlineStr">
        <is>
          <t>Soft Jersey Half Zip BLK S</t>
        </is>
      </c>
      <c r="F1117" s="7" t="inlineStr">
        <is>
          <t>$98.00</t>
        </is>
      </c>
      <c r="G1117" s="7" t="inlineStr">
        <is>
          <t>$49.00</t>
        </is>
      </c>
      <c r="H1117" s="7" t="inlineStr">
        <is>
          <t>Heathered Vapor/Heathered Silver Drop</t>
        </is>
      </c>
      <c r="I1117" s="7">
        <f>IMAGE("https://images.lululemon.com/is/image/lululemon/63781",1)</f>
        <v/>
      </c>
      <c r="J1117" s="7" t="inlineStr">
        <is>
          <t>XXL</t>
        </is>
      </c>
      <c r="K1117" s="7" t="inlineStr">
        <is>
          <t>50/3989</t>
        </is>
      </c>
      <c r="L1117" s="7" t="inlineStr">
        <is>
          <t>Yes</t>
        </is>
      </c>
      <c r="M1117" s="7" t="inlineStr">
        <is>
          <t>Rest and reset. This lightweight jersey half zip has a softly brushed interior that makes downtime irresistible.</t>
        </is>
      </c>
      <c r="N1117" s="7" t="inlineStr">
        <is>
          <t>Soft-Jersey-Half-Zip</t>
        </is>
      </c>
      <c r="O1117" s="7" t="inlineStr">
        <is>
          <t>Half Zip Sweatshirts, Quarter Zip Sweatshirts</t>
        </is>
      </c>
    </row>
    <row r="1118" ht="80" customHeight="1">
      <c r="A1118" s="4">
        <f>IMAGE("https://images.lululemon.com/is/image/lululemon/LM3F45S_0001_1?wid=320&amp;op_usm=0.8",1)</f>
        <v/>
      </c>
      <c r="B1118" s="4" t="inlineStr">
        <is>
          <t>Soft Jersey Half Zip</t>
        </is>
      </c>
      <c r="C1118" s="4" t="inlineStr">
        <is>
          <t>155857090</t>
        </is>
      </c>
      <c r="D1118" s="4" t="inlineStr">
        <is>
          <t>155857090-rainforestgreen</t>
        </is>
      </c>
      <c r="E1118" s="4" t="inlineStr">
        <is>
          <t>Soft Jersey Half Zip BLK S</t>
        </is>
      </c>
      <c r="F1118" s="4" t="inlineStr">
        <is>
          <t>$98.00</t>
        </is>
      </c>
      <c r="G1118" s="4" t="inlineStr">
        <is>
          <t>$49.00</t>
        </is>
      </c>
      <c r="H1118" s="4" t="inlineStr">
        <is>
          <t>Rainforest Green</t>
        </is>
      </c>
      <c r="I1118" s="4">
        <f>IMAGE("https://images.lululemon.com/is/image/lululemon/49106",1)</f>
        <v/>
      </c>
      <c r="J1118" s="4" t="inlineStr">
        <is>
          <t>S</t>
        </is>
      </c>
      <c r="K1118" s="4" t="inlineStr">
        <is>
          <t>22/3989</t>
        </is>
      </c>
      <c r="L1118" s="4" t="inlineStr">
        <is>
          <t>Yes</t>
        </is>
      </c>
      <c r="M1118" s="4" t="inlineStr">
        <is>
          <t>Rest and reset. This lightweight jersey half zip has a softly brushed interior that makes downtime irresistible.</t>
        </is>
      </c>
      <c r="N1118" s="4" t="inlineStr">
        <is>
          <t>Soft-Jersey-Half-Zip</t>
        </is>
      </c>
      <c r="O1118" s="4" t="inlineStr">
        <is>
          <t>Half Zip Sweatshirts, Quarter Zip Sweatshirts</t>
        </is>
      </c>
    </row>
    <row r="1119" ht="80" customHeight="1">
      <c r="A1119" s="7">
        <f>IMAGE("https://images.lululemon.com/is/image/lululemon/LM3F45S_0001_1?wid=320&amp;op_usm=0.8",1)</f>
        <v/>
      </c>
      <c r="B1119" s="7" t="inlineStr">
        <is>
          <t>Soft Jersey Half Zip</t>
        </is>
      </c>
      <c r="C1119" s="7" t="inlineStr">
        <is>
          <t>155857089</t>
        </is>
      </c>
      <c r="D1119" s="7" t="inlineStr">
        <is>
          <t>155857089-rainforestgreen</t>
        </is>
      </c>
      <c r="E1119" s="7" t="inlineStr">
        <is>
          <t>Soft Jersey Half Zip BLK S</t>
        </is>
      </c>
      <c r="F1119" s="7" t="inlineStr">
        <is>
          <t>$98.00</t>
        </is>
      </c>
      <c r="G1119" s="7" t="inlineStr">
        <is>
          <t>$49.00</t>
        </is>
      </c>
      <c r="H1119" s="7" t="inlineStr">
        <is>
          <t>Rainforest Green</t>
        </is>
      </c>
      <c r="I1119" s="7">
        <f>IMAGE("https://images.lululemon.com/is/image/lululemon/49106",1)</f>
        <v/>
      </c>
      <c r="J1119" s="7" t="inlineStr">
        <is>
          <t>M</t>
        </is>
      </c>
      <c r="K1119" s="7" t="inlineStr">
        <is>
          <t>91/3989</t>
        </is>
      </c>
      <c r="L1119" s="7" t="inlineStr">
        <is>
          <t>Yes</t>
        </is>
      </c>
      <c r="M1119" s="7" t="inlineStr">
        <is>
          <t>Rest and reset. This lightweight jersey half zip has a softly brushed interior that makes downtime irresistible.</t>
        </is>
      </c>
      <c r="N1119" s="7" t="inlineStr">
        <is>
          <t>Soft-Jersey-Half-Zip</t>
        </is>
      </c>
      <c r="O1119" s="7" t="inlineStr">
        <is>
          <t>Half Zip Sweatshirts, Quarter Zip Sweatshirts</t>
        </is>
      </c>
    </row>
    <row r="1120" ht="80" customHeight="1">
      <c r="A1120" s="4">
        <f>IMAGE("https://images.lululemon.com/is/image/lululemon/LM3F45S_0001_1?wid=320&amp;op_usm=0.8",1)</f>
        <v/>
      </c>
      <c r="B1120" s="4" t="inlineStr">
        <is>
          <t>Soft Jersey Half Zip</t>
        </is>
      </c>
      <c r="C1120" s="4" t="inlineStr">
        <is>
          <t>155857088</t>
        </is>
      </c>
      <c r="D1120" s="4" t="inlineStr">
        <is>
          <t>155857088-rainforestgreen</t>
        </is>
      </c>
      <c r="E1120" s="4" t="inlineStr">
        <is>
          <t>Soft Jersey Half Zip BLK S</t>
        </is>
      </c>
      <c r="F1120" s="4" t="inlineStr">
        <is>
          <t>$98.00</t>
        </is>
      </c>
      <c r="G1120" s="4" t="inlineStr">
        <is>
          <t>$49.00</t>
        </is>
      </c>
      <c r="H1120" s="4" t="inlineStr">
        <is>
          <t>Rainforest Green</t>
        </is>
      </c>
      <c r="I1120" s="4">
        <f>IMAGE("https://images.lululemon.com/is/image/lululemon/49106",1)</f>
        <v/>
      </c>
      <c r="J1120" s="4" t="inlineStr">
        <is>
          <t>L</t>
        </is>
      </c>
      <c r="K1120" s="4" t="inlineStr">
        <is>
          <t>103/3989</t>
        </is>
      </c>
      <c r="L1120" s="4" t="inlineStr">
        <is>
          <t>Yes</t>
        </is>
      </c>
      <c r="M1120" s="4" t="inlineStr">
        <is>
          <t>Rest and reset. This lightweight jersey half zip has a softly brushed interior that makes downtime irresistible.</t>
        </is>
      </c>
      <c r="N1120" s="4" t="inlineStr">
        <is>
          <t>Soft-Jersey-Half-Zip</t>
        </is>
      </c>
      <c r="O1120" s="4" t="inlineStr">
        <is>
          <t>Half Zip Sweatshirts, Quarter Zip Sweatshirts</t>
        </is>
      </c>
    </row>
    <row r="1121" ht="80" customHeight="1">
      <c r="A1121" s="7">
        <f>IMAGE("https://images.lululemon.com/is/image/lululemon/LM3F45S_0001_1?wid=320&amp;op_usm=0.8",1)</f>
        <v/>
      </c>
      <c r="B1121" s="7" t="inlineStr">
        <is>
          <t>Soft Jersey Half Zip</t>
        </is>
      </c>
      <c r="C1121" s="7" t="inlineStr">
        <is>
          <t>155857091</t>
        </is>
      </c>
      <c r="D1121" s="7" t="inlineStr">
        <is>
          <t>155857091-rainforestgreen</t>
        </is>
      </c>
      <c r="E1121" s="7" t="inlineStr">
        <is>
          <t>Soft Jersey Half Zip BLK S</t>
        </is>
      </c>
      <c r="F1121" s="7" t="inlineStr">
        <is>
          <t>$98.00</t>
        </is>
      </c>
      <c r="G1121" s="7" t="inlineStr">
        <is>
          <t>$49.00</t>
        </is>
      </c>
      <c r="H1121" s="7" t="inlineStr">
        <is>
          <t>Rainforest Green</t>
        </is>
      </c>
      <c r="I1121" s="7">
        <f>IMAGE("https://images.lululemon.com/is/image/lululemon/49106",1)</f>
        <v/>
      </c>
      <c r="J1121" s="7" t="inlineStr">
        <is>
          <t>XL</t>
        </is>
      </c>
      <c r="K1121" s="7" t="inlineStr">
        <is>
          <t>64/3989</t>
        </is>
      </c>
      <c r="L1121" s="7" t="inlineStr">
        <is>
          <t>Yes</t>
        </is>
      </c>
      <c r="M1121" s="7" t="inlineStr">
        <is>
          <t>Rest and reset. This lightweight jersey half zip has a softly brushed interior that makes downtime irresistible.</t>
        </is>
      </c>
      <c r="N1121" s="7" t="inlineStr">
        <is>
          <t>Soft-Jersey-Half-Zip</t>
        </is>
      </c>
      <c r="O1121" s="7" t="inlineStr">
        <is>
          <t>Half Zip Sweatshirts, Quarter Zip Sweatshirts</t>
        </is>
      </c>
    </row>
    <row r="1122" ht="80" customHeight="1">
      <c r="A1122" s="4">
        <f>IMAGE("https://images.lululemon.com/is/image/lululemon/LM3F45S_0001_1?wid=320&amp;op_usm=0.8",1)</f>
        <v/>
      </c>
      <c r="B1122" s="4" t="inlineStr">
        <is>
          <t>Soft Jersey Half Zip</t>
        </is>
      </c>
      <c r="C1122" s="4" t="inlineStr">
        <is>
          <t>155857093</t>
        </is>
      </c>
      <c r="D1122" s="4" t="inlineStr">
        <is>
          <t>155857093-rainforestgreen</t>
        </is>
      </c>
      <c r="E1122" s="4" t="inlineStr">
        <is>
          <t>Soft Jersey Half Zip BLK S</t>
        </is>
      </c>
      <c r="F1122" s="4" t="inlineStr">
        <is>
          <t>$98.00</t>
        </is>
      </c>
      <c r="G1122" s="4" t="inlineStr">
        <is>
          <t>$49.00</t>
        </is>
      </c>
      <c r="H1122" s="4" t="inlineStr">
        <is>
          <t>Rainforest Green</t>
        </is>
      </c>
      <c r="I1122" s="4">
        <f>IMAGE("https://images.lululemon.com/is/image/lululemon/49106",1)</f>
        <v/>
      </c>
      <c r="J1122" s="4" t="inlineStr">
        <is>
          <t>XXL</t>
        </is>
      </c>
      <c r="K1122" s="4" t="inlineStr">
        <is>
          <t>26/3989</t>
        </is>
      </c>
      <c r="L1122" s="4" t="inlineStr">
        <is>
          <t>Yes</t>
        </is>
      </c>
      <c r="M1122" s="4" t="inlineStr">
        <is>
          <t>Rest and reset. This lightweight jersey half zip has a softly brushed interior that makes downtime irresistible.</t>
        </is>
      </c>
      <c r="N1122" s="4" t="inlineStr">
        <is>
          <t>Soft-Jersey-Half-Zip</t>
        </is>
      </c>
      <c r="O1122" s="4" t="inlineStr">
        <is>
          <t>Half Zip Sweatshirts, Quarter Zip Sweatshirts</t>
        </is>
      </c>
    </row>
    <row r="1123" ht="80" customHeight="1">
      <c r="A1123" s="7">
        <f>IMAGE("https://images.lululemon.com/is/image/lululemon/LM3F45S_0001_1?wid=320&amp;op_usm=0.8",1)</f>
        <v/>
      </c>
      <c r="B1123" s="7" t="inlineStr">
        <is>
          <t>Soft Jersey Half Zip</t>
        </is>
      </c>
      <c r="C1123" s="7" t="inlineStr">
        <is>
          <t>149502838</t>
        </is>
      </c>
      <c r="D1123" s="7" t="inlineStr">
        <is>
          <t>149502838-heatheredblack/heatheredgraphitegrey</t>
        </is>
      </c>
      <c r="E1123" s="7" t="inlineStr">
        <is>
          <t>Soft Jersey Half Zip BLK S</t>
        </is>
      </c>
      <c r="F1123" s="7" t="inlineStr">
        <is>
          <t>$98.00</t>
        </is>
      </c>
      <c r="G1123" s="7" t="inlineStr">
        <is>
          <t>$49.00</t>
        </is>
      </c>
      <c r="H1123" s="7" t="inlineStr">
        <is>
          <t>Heathered Black/Heathered Graphite Grey</t>
        </is>
      </c>
      <c r="I1123" s="7">
        <f>IMAGE("https://images.lululemon.com/is/image/lululemon/64587",1)</f>
        <v/>
      </c>
      <c r="J1123" s="7" t="inlineStr">
        <is>
          <t>S</t>
        </is>
      </c>
      <c r="K1123" s="7" t="inlineStr">
        <is>
          <t>76/3989</t>
        </is>
      </c>
      <c r="L1123" s="7" t="inlineStr">
        <is>
          <t>Yes</t>
        </is>
      </c>
      <c r="M1123" s="7" t="inlineStr">
        <is>
          <t>Rest and reset. This lightweight jersey half zip has a softly brushed interior that makes downtime irresistible.</t>
        </is>
      </c>
      <c r="N1123" s="7" t="inlineStr">
        <is>
          <t>Soft-Jersey-Half-Zip</t>
        </is>
      </c>
      <c r="O1123" s="7" t="inlineStr">
        <is>
          <t>Half Zip Sweatshirts, Quarter Zip Sweatshirts</t>
        </is>
      </c>
    </row>
    <row r="1124" ht="80" customHeight="1">
      <c r="A1124" s="4">
        <f>IMAGE("https://images.lululemon.com/is/image/lululemon/LM3F45S_0001_1?wid=320&amp;op_usm=0.8",1)</f>
        <v/>
      </c>
      <c r="B1124" s="4" t="inlineStr">
        <is>
          <t>Soft Jersey Half Zip</t>
        </is>
      </c>
      <c r="C1124" s="4" t="inlineStr">
        <is>
          <t>149502826</t>
        </is>
      </c>
      <c r="D1124" s="4" t="inlineStr">
        <is>
          <t>149502826-heatheredblack/heatheredgraphitegrey</t>
        </is>
      </c>
      <c r="E1124" s="4" t="inlineStr">
        <is>
          <t>Soft Jersey Half Zip BLK S</t>
        </is>
      </c>
      <c r="F1124" s="4" t="inlineStr">
        <is>
          <t>$98.00</t>
        </is>
      </c>
      <c r="G1124" s="4" t="inlineStr">
        <is>
          <t>$49.00</t>
        </is>
      </c>
      <c r="H1124" s="4" t="inlineStr">
        <is>
          <t>Heathered Black/Heathered Graphite Grey</t>
        </is>
      </c>
      <c r="I1124" s="4">
        <f>IMAGE("https://images.lululemon.com/is/image/lululemon/64587",1)</f>
        <v/>
      </c>
      <c r="J1124" s="4" t="inlineStr">
        <is>
          <t>M</t>
        </is>
      </c>
      <c r="K1124" s="4" t="inlineStr">
        <is>
          <t>210/3989</t>
        </is>
      </c>
      <c r="L1124" s="4" t="inlineStr">
        <is>
          <t>Yes</t>
        </is>
      </c>
      <c r="M1124" s="4" t="inlineStr">
        <is>
          <t>Rest and reset. This lightweight jersey half zip has a softly brushed interior that makes downtime irresistible.</t>
        </is>
      </c>
      <c r="N1124" s="4" t="inlineStr">
        <is>
          <t>Soft-Jersey-Half-Zip</t>
        </is>
      </c>
      <c r="O1124" s="4" t="inlineStr">
        <is>
          <t>Half Zip Sweatshirts, Quarter Zip Sweatshirts</t>
        </is>
      </c>
    </row>
    <row r="1125" ht="80" customHeight="1">
      <c r="A1125" s="7">
        <f>IMAGE("https://images.lululemon.com/is/image/lululemon/LM3F45S_0001_1?wid=320&amp;op_usm=0.8",1)</f>
        <v/>
      </c>
      <c r="B1125" s="7" t="inlineStr">
        <is>
          <t>Soft Jersey Half Zip</t>
        </is>
      </c>
      <c r="C1125" s="7" t="inlineStr">
        <is>
          <t>149502811</t>
        </is>
      </c>
      <c r="D1125" s="7" t="inlineStr">
        <is>
          <t>149502811-heatheredblack/heatheredgraphitegrey</t>
        </is>
      </c>
      <c r="E1125" s="7" t="inlineStr">
        <is>
          <t>Soft Jersey Half Zip BLK S</t>
        </is>
      </c>
      <c r="F1125" s="7" t="inlineStr">
        <is>
          <t>$98.00</t>
        </is>
      </c>
      <c r="G1125" s="7" t="inlineStr">
        <is>
          <t>$49.00</t>
        </is>
      </c>
      <c r="H1125" s="7" t="inlineStr">
        <is>
          <t>Heathered Black/Heathered Graphite Grey</t>
        </is>
      </c>
      <c r="I1125" s="7">
        <f>IMAGE("https://images.lululemon.com/is/image/lululemon/64587",1)</f>
        <v/>
      </c>
      <c r="J1125" s="7" t="inlineStr">
        <is>
          <t>L</t>
        </is>
      </c>
      <c r="K1125" s="7" t="inlineStr">
        <is>
          <t>256/3989</t>
        </is>
      </c>
      <c r="L1125" s="7" t="inlineStr">
        <is>
          <t>Yes</t>
        </is>
      </c>
      <c r="M1125" s="7" t="inlineStr">
        <is>
          <t>Rest and reset. This lightweight jersey half zip has a softly brushed interior that makes downtime irresistible.</t>
        </is>
      </c>
      <c r="N1125" s="7" t="inlineStr">
        <is>
          <t>Soft-Jersey-Half-Zip</t>
        </is>
      </c>
      <c r="O1125" s="7" t="inlineStr">
        <is>
          <t>Half Zip Sweatshirts, Quarter Zip Sweatshirts</t>
        </is>
      </c>
    </row>
    <row r="1126" ht="80" customHeight="1">
      <c r="A1126" s="4">
        <f>IMAGE("https://images.lululemon.com/is/image/lululemon/LM3F45S_0001_1?wid=320&amp;op_usm=0.8",1)</f>
        <v/>
      </c>
      <c r="B1126" s="4" t="inlineStr">
        <is>
          <t>Soft Jersey Half Zip</t>
        </is>
      </c>
      <c r="C1126" s="4" t="inlineStr">
        <is>
          <t>149502850</t>
        </is>
      </c>
      <c r="D1126" s="4" t="inlineStr">
        <is>
          <t>149502850-heatheredblack/heatheredgraphitegrey</t>
        </is>
      </c>
      <c r="E1126" s="4" t="inlineStr">
        <is>
          <t>Soft Jersey Half Zip BLK S</t>
        </is>
      </c>
      <c r="F1126" s="4" t="inlineStr">
        <is>
          <t>$98.00</t>
        </is>
      </c>
      <c r="G1126" s="4" t="inlineStr">
        <is>
          <t>$49.00</t>
        </is>
      </c>
      <c r="H1126" s="4" t="inlineStr">
        <is>
          <t>Heathered Black/Heathered Graphite Grey</t>
        </is>
      </c>
      <c r="I1126" s="4">
        <f>IMAGE("https://images.lululemon.com/is/image/lululemon/64587",1)</f>
        <v/>
      </c>
      <c r="J1126" s="4" t="inlineStr">
        <is>
          <t>XL</t>
        </is>
      </c>
      <c r="K1126" s="4" t="inlineStr">
        <is>
          <t>142/3989</t>
        </is>
      </c>
      <c r="L1126" s="4" t="inlineStr">
        <is>
          <t>Yes</t>
        </is>
      </c>
      <c r="M1126" s="4" t="inlineStr">
        <is>
          <t>Rest and reset. This lightweight jersey half zip has a softly brushed interior that makes downtime irresistible.</t>
        </is>
      </c>
      <c r="N1126" s="4" t="inlineStr">
        <is>
          <t>Soft-Jersey-Half-Zip</t>
        </is>
      </c>
      <c r="O1126" s="4" t="inlineStr">
        <is>
          <t>Half Zip Sweatshirts, Quarter Zip Sweatshirts</t>
        </is>
      </c>
    </row>
    <row r="1127" ht="80" customHeight="1">
      <c r="A1127" s="7">
        <f>IMAGE("https://images.lululemon.com/is/image/lululemon/LM3F45S_0001_1?wid=320&amp;op_usm=0.8",1)</f>
        <v/>
      </c>
      <c r="B1127" s="7" t="inlineStr">
        <is>
          <t>Soft Jersey Half Zip</t>
        </is>
      </c>
      <c r="C1127" s="7" t="inlineStr">
        <is>
          <t>149502876</t>
        </is>
      </c>
      <c r="D1127" s="7" t="inlineStr">
        <is>
          <t>149502876-heatheredblack/heatheredgraphitegrey</t>
        </is>
      </c>
      <c r="E1127" s="7" t="inlineStr">
        <is>
          <t>Soft Jersey Half Zip BLK S</t>
        </is>
      </c>
      <c r="F1127" s="7" t="inlineStr">
        <is>
          <t>$98.00</t>
        </is>
      </c>
      <c r="G1127" s="7" t="inlineStr">
        <is>
          <t>$49.00</t>
        </is>
      </c>
      <c r="H1127" s="7" t="inlineStr">
        <is>
          <t>Heathered Black/Heathered Graphite Grey</t>
        </is>
      </c>
      <c r="I1127" s="7">
        <f>IMAGE("https://images.lululemon.com/is/image/lululemon/64587",1)</f>
        <v/>
      </c>
      <c r="J1127" s="7" t="inlineStr">
        <is>
          <t>XXL</t>
        </is>
      </c>
      <c r="K1127" s="7" t="inlineStr">
        <is>
          <t>54/3989</t>
        </is>
      </c>
      <c r="L1127" s="7" t="inlineStr">
        <is>
          <t>Yes</t>
        </is>
      </c>
      <c r="M1127" s="7" t="inlineStr">
        <is>
          <t>Rest and reset. This lightweight jersey half zip has a softly brushed interior that makes downtime irresistible.</t>
        </is>
      </c>
      <c r="N1127" s="7" t="inlineStr">
        <is>
          <t>Soft-Jersey-Half-Zip</t>
        </is>
      </c>
      <c r="O1127" s="7" t="inlineStr">
        <is>
          <t>Half Zip Sweatshirts, Quarter Zip Sweatshirts</t>
        </is>
      </c>
    </row>
    <row r="1128" ht="80" customHeight="1">
      <c r="A1128" s="4">
        <f>IMAGE("https://images.lululemon.com/is/image/lululemon/LM3F45S_0001_1?wid=320&amp;op_usm=0.8",1)</f>
        <v/>
      </c>
      <c r="B1128" s="4" t="inlineStr">
        <is>
          <t>Soft Jersey Half Zip</t>
        </is>
      </c>
      <c r="C1128" s="4" t="inlineStr">
        <is>
          <t>157676826</t>
        </is>
      </c>
      <c r="D1128" s="4" t="inlineStr">
        <is>
          <t>157676826-heatheredbluetwill/heathereddovegrey</t>
        </is>
      </c>
      <c r="E1128" s="4" t="inlineStr">
        <is>
          <t>Soft Jersey Half Zip BLK S</t>
        </is>
      </c>
      <c r="F1128" s="4" t="inlineStr">
        <is>
          <t>$98.00</t>
        </is>
      </c>
      <c r="G1128" s="4" t="inlineStr">
        <is>
          <t>$49.00</t>
        </is>
      </c>
      <c r="H1128" s="4" t="inlineStr">
        <is>
          <t>Heathered Blue Twill/Heathered Dove Grey</t>
        </is>
      </c>
      <c r="I1128" s="4">
        <f>IMAGE("https://images.lululemon.com/is/image/lululemon/72145",1)</f>
        <v/>
      </c>
      <c r="J1128" s="4" t="inlineStr">
        <is>
          <t>S</t>
        </is>
      </c>
      <c r="K1128" s="4" t="inlineStr">
        <is>
          <t>40/3989</t>
        </is>
      </c>
      <c r="L1128" s="4" t="inlineStr">
        <is>
          <t>Yes</t>
        </is>
      </c>
      <c r="M1128" s="4" t="inlineStr">
        <is>
          <t>Rest and reset. This lightweight jersey half zip has a softly brushed interior that makes downtime irresistible.</t>
        </is>
      </c>
      <c r="N1128" s="4" t="inlineStr">
        <is>
          <t>Soft-Jersey-Half-Zip</t>
        </is>
      </c>
      <c r="O1128" s="4" t="inlineStr">
        <is>
          <t>Half Zip Sweatshirts, Quarter Zip Sweatshirts</t>
        </is>
      </c>
    </row>
    <row r="1129" ht="80" customHeight="1">
      <c r="A1129" s="7">
        <f>IMAGE("https://images.lululemon.com/is/image/lululemon/LM3F45S_0001_1?wid=320&amp;op_usm=0.8",1)</f>
        <v/>
      </c>
      <c r="B1129" s="7" t="inlineStr">
        <is>
          <t>Soft Jersey Half Zip</t>
        </is>
      </c>
      <c r="C1129" s="7" t="inlineStr">
        <is>
          <t>157676823</t>
        </is>
      </c>
      <c r="D1129" s="7" t="inlineStr">
        <is>
          <t>157676823-heatheredbluetwill/heathereddovegrey</t>
        </is>
      </c>
      <c r="E1129" s="7" t="inlineStr">
        <is>
          <t>Soft Jersey Half Zip BLK S</t>
        </is>
      </c>
      <c r="F1129" s="7" t="inlineStr">
        <is>
          <t>$98.00</t>
        </is>
      </c>
      <c r="G1129" s="7" t="inlineStr">
        <is>
          <t>$49.00</t>
        </is>
      </c>
      <c r="H1129" s="7" t="inlineStr">
        <is>
          <t>Heathered Blue Twill/Heathered Dove Grey</t>
        </is>
      </c>
      <c r="I1129" s="7">
        <f>IMAGE("https://images.lululemon.com/is/image/lululemon/72145",1)</f>
        <v/>
      </c>
      <c r="J1129" s="7" t="inlineStr">
        <is>
          <t>M</t>
        </is>
      </c>
      <c r="K1129" s="7" t="inlineStr">
        <is>
          <t>130/3989</t>
        </is>
      </c>
      <c r="L1129" s="7" t="inlineStr">
        <is>
          <t>Yes</t>
        </is>
      </c>
      <c r="M1129" s="7" t="inlineStr">
        <is>
          <t>Rest and reset. This lightweight jersey half zip has a softly brushed interior that makes downtime irresistible.</t>
        </is>
      </c>
      <c r="N1129" s="7" t="inlineStr">
        <is>
          <t>Soft-Jersey-Half-Zip</t>
        </is>
      </c>
      <c r="O1129" s="7" t="inlineStr">
        <is>
          <t>Half Zip Sweatshirts, Quarter Zip Sweatshirts</t>
        </is>
      </c>
    </row>
    <row r="1130" ht="80" customHeight="1">
      <c r="A1130" s="4">
        <f>IMAGE("https://images.lululemon.com/is/image/lululemon/LM3F45S_0001_1?wid=320&amp;op_usm=0.8",1)</f>
        <v/>
      </c>
      <c r="B1130" s="4" t="inlineStr">
        <is>
          <t>Soft Jersey Half Zip</t>
        </is>
      </c>
      <c r="C1130" s="4" t="inlineStr">
        <is>
          <t>157676820</t>
        </is>
      </c>
      <c r="D1130" s="4" t="inlineStr">
        <is>
          <t>157676820-heatheredbluetwill/heathereddovegrey</t>
        </is>
      </c>
      <c r="E1130" s="4" t="inlineStr">
        <is>
          <t>Soft Jersey Half Zip BLK S</t>
        </is>
      </c>
      <c r="F1130" s="4" t="inlineStr">
        <is>
          <t>$98.00</t>
        </is>
      </c>
      <c r="G1130" s="4" t="inlineStr">
        <is>
          <t>$49.00</t>
        </is>
      </c>
      <c r="H1130" s="4" t="inlineStr">
        <is>
          <t>Heathered Blue Twill/Heathered Dove Grey</t>
        </is>
      </c>
      <c r="I1130" s="4">
        <f>IMAGE("https://images.lululemon.com/is/image/lululemon/72145",1)</f>
        <v/>
      </c>
      <c r="J1130" s="4" t="inlineStr">
        <is>
          <t>L</t>
        </is>
      </c>
      <c r="K1130" s="4" t="inlineStr">
        <is>
          <t>100/3989</t>
        </is>
      </c>
      <c r="L1130" s="4" t="inlineStr">
        <is>
          <t>Yes</t>
        </is>
      </c>
      <c r="M1130" s="4" t="inlineStr">
        <is>
          <t>Rest and reset. This lightweight jersey half zip has a softly brushed interior that makes downtime irresistible.</t>
        </is>
      </c>
      <c r="N1130" s="4" t="inlineStr">
        <is>
          <t>Soft-Jersey-Half-Zip</t>
        </is>
      </c>
      <c r="O1130" s="4" t="inlineStr">
        <is>
          <t>Half Zip Sweatshirts, Quarter Zip Sweatshirts</t>
        </is>
      </c>
    </row>
    <row r="1131" ht="80" customHeight="1">
      <c r="A1131" s="7">
        <f>IMAGE("https://images.lululemon.com/is/image/lululemon/LM3F45S_0001_1?wid=320&amp;op_usm=0.8",1)</f>
        <v/>
      </c>
      <c r="B1131" s="7" t="inlineStr">
        <is>
          <t>Soft Jersey Half Zip</t>
        </is>
      </c>
      <c r="C1131" s="7" t="inlineStr">
        <is>
          <t>157676829</t>
        </is>
      </c>
      <c r="D1131" s="7" t="inlineStr">
        <is>
          <t>157676829-heatheredbluetwill/heathereddovegrey</t>
        </is>
      </c>
      <c r="E1131" s="7" t="inlineStr">
        <is>
          <t>Soft Jersey Half Zip BLK S</t>
        </is>
      </c>
      <c r="F1131" s="7" t="inlineStr">
        <is>
          <t>$98.00</t>
        </is>
      </c>
      <c r="G1131" s="7" t="inlineStr">
        <is>
          <t>$49.00</t>
        </is>
      </c>
      <c r="H1131" s="7" t="inlineStr">
        <is>
          <t>Heathered Blue Twill/Heathered Dove Grey</t>
        </is>
      </c>
      <c r="I1131" s="7">
        <f>IMAGE("https://images.lululemon.com/is/image/lululemon/72145",1)</f>
        <v/>
      </c>
      <c r="J1131" s="7" t="inlineStr">
        <is>
          <t>XL</t>
        </is>
      </c>
      <c r="K1131" s="7" t="inlineStr">
        <is>
          <t>43/3989</t>
        </is>
      </c>
      <c r="L1131" s="7" t="inlineStr">
        <is>
          <t>Yes</t>
        </is>
      </c>
      <c r="M1131" s="7" t="inlineStr">
        <is>
          <t>Rest and reset. This lightweight jersey half zip has a softly brushed interior that makes downtime irresistible.</t>
        </is>
      </c>
      <c r="N1131" s="7" t="inlineStr">
        <is>
          <t>Soft-Jersey-Half-Zip</t>
        </is>
      </c>
      <c r="O1131" s="7" t="inlineStr">
        <is>
          <t>Half Zip Sweatshirts, Quarter Zip Sweatshirts</t>
        </is>
      </c>
    </row>
    <row r="1132" ht="80" customHeight="1">
      <c r="A1132" s="4">
        <f>IMAGE("https://images.lululemon.com/is/image/lululemon/LM3F45S_0001_1?wid=320&amp;op_usm=0.8",1)</f>
        <v/>
      </c>
      <c r="B1132" s="4" t="inlineStr">
        <is>
          <t>Soft Jersey Half Zip</t>
        </is>
      </c>
      <c r="C1132" s="4" t="inlineStr">
        <is>
          <t>157676833</t>
        </is>
      </c>
      <c r="D1132" s="4" t="inlineStr">
        <is>
          <t>157676833-heatheredbluetwill/heathereddovegrey</t>
        </is>
      </c>
      <c r="E1132" s="4" t="inlineStr">
        <is>
          <t>Soft Jersey Half Zip BLK S</t>
        </is>
      </c>
      <c r="F1132" s="4" t="inlineStr">
        <is>
          <t>$98.00</t>
        </is>
      </c>
      <c r="G1132" s="4" t="inlineStr">
        <is>
          <t>$49.00</t>
        </is>
      </c>
      <c r="H1132" s="4" t="inlineStr">
        <is>
          <t>Heathered Blue Twill/Heathered Dove Grey</t>
        </is>
      </c>
      <c r="I1132" s="4">
        <f>IMAGE("https://images.lululemon.com/is/image/lululemon/72145",1)</f>
        <v/>
      </c>
      <c r="J1132" s="4" t="inlineStr">
        <is>
          <t>XXL</t>
        </is>
      </c>
      <c r="K1132" s="4" t="inlineStr">
        <is>
          <t>27/3989</t>
        </is>
      </c>
      <c r="L1132" s="4" t="inlineStr">
        <is>
          <t>Yes</t>
        </is>
      </c>
      <c r="M1132" s="4" t="inlineStr">
        <is>
          <t>Rest and reset. This lightweight jersey half zip has a softly brushed interior that makes downtime irresistible.</t>
        </is>
      </c>
      <c r="N1132" s="4" t="inlineStr">
        <is>
          <t>Soft-Jersey-Half-Zip</t>
        </is>
      </c>
      <c r="O1132" s="4" t="inlineStr">
        <is>
          <t>Half Zip Sweatshirts, Quarter Zip Sweatshirts</t>
        </is>
      </c>
    </row>
    <row r="1133" ht="80" customHeight="1">
      <c r="A1133" s="7">
        <f>IMAGE("https://images.lululemon.com/is/image/lululemon/LM3F45S_0001_1?wid=320&amp;op_usm=0.8",1)</f>
        <v/>
      </c>
      <c r="B1133" s="7" t="inlineStr">
        <is>
          <t>Soft Jersey Half Zip</t>
        </is>
      </c>
      <c r="C1133" s="7" t="inlineStr">
        <is>
          <t>157676838</t>
        </is>
      </c>
      <c r="D1133" s="7" t="inlineStr">
        <is>
          <t>157676838-heatheredpalmdeco/heatheredbayleaf</t>
        </is>
      </c>
      <c r="E1133" s="7" t="inlineStr">
        <is>
          <t>Soft Jersey Half Zip BLK S</t>
        </is>
      </c>
      <c r="F1133" s="7" t="inlineStr">
        <is>
          <t>$98.00</t>
        </is>
      </c>
      <c r="G1133" s="7" t="inlineStr">
        <is>
          <t>$49.00</t>
        </is>
      </c>
      <c r="H1133" s="7" t="inlineStr">
        <is>
          <t>Heathered Palm Deco/Heathered Bay Leaf</t>
        </is>
      </c>
      <c r="I1133" s="7">
        <f>IMAGE("https://images.lululemon.com/is/image/lululemon/72148",1)</f>
        <v/>
      </c>
      <c r="J1133" s="7" t="inlineStr">
        <is>
          <t>S</t>
        </is>
      </c>
      <c r="K1133" s="7" t="inlineStr">
        <is>
          <t>61/3989</t>
        </is>
      </c>
      <c r="L1133" s="7" t="inlineStr">
        <is>
          <t>Yes</t>
        </is>
      </c>
      <c r="M1133" s="7" t="inlineStr">
        <is>
          <t>Rest and reset. This lightweight jersey half zip has a softly brushed interior that makes downtime irresistible.</t>
        </is>
      </c>
      <c r="N1133" s="7" t="inlineStr">
        <is>
          <t>Soft-Jersey-Half-Zip</t>
        </is>
      </c>
      <c r="O1133" s="7" t="inlineStr">
        <is>
          <t>Half Zip Sweatshirts, Quarter Zip Sweatshirts</t>
        </is>
      </c>
    </row>
    <row r="1134" ht="80" customHeight="1">
      <c r="A1134" s="4">
        <f>IMAGE("https://images.lululemon.com/is/image/lululemon/LM3F45S_0001_1?wid=320&amp;op_usm=0.8",1)</f>
        <v/>
      </c>
      <c r="B1134" s="4" t="inlineStr">
        <is>
          <t>Soft Jersey Half Zip</t>
        </is>
      </c>
      <c r="C1134" s="4" t="inlineStr">
        <is>
          <t>157676837</t>
        </is>
      </c>
      <c r="D1134" s="4" t="inlineStr">
        <is>
          <t>157676837-heatheredpalmdeco/heatheredbayleaf</t>
        </is>
      </c>
      <c r="E1134" s="4" t="inlineStr">
        <is>
          <t>Soft Jersey Half Zip BLK S</t>
        </is>
      </c>
      <c r="F1134" s="4" t="inlineStr">
        <is>
          <t>$98.00</t>
        </is>
      </c>
      <c r="G1134" s="4" t="inlineStr">
        <is>
          <t>$49.00</t>
        </is>
      </c>
      <c r="H1134" s="4" t="inlineStr">
        <is>
          <t>Heathered Palm Deco/Heathered Bay Leaf</t>
        </is>
      </c>
      <c r="I1134" s="4">
        <f>IMAGE("https://images.lululemon.com/is/image/lululemon/72148",1)</f>
        <v/>
      </c>
      <c r="J1134" s="4" t="inlineStr">
        <is>
          <t>M</t>
        </is>
      </c>
      <c r="K1134" s="4" t="inlineStr">
        <is>
          <t>137/3989</t>
        </is>
      </c>
      <c r="L1134" s="4" t="inlineStr">
        <is>
          <t>Yes</t>
        </is>
      </c>
      <c r="M1134" s="4" t="inlineStr">
        <is>
          <t>Rest and reset. This lightweight jersey half zip has a softly brushed interior that makes downtime irresistible.</t>
        </is>
      </c>
      <c r="N1134" s="4" t="inlineStr">
        <is>
          <t>Soft-Jersey-Half-Zip</t>
        </is>
      </c>
      <c r="O1134" s="4" t="inlineStr">
        <is>
          <t>Half Zip Sweatshirts, Quarter Zip Sweatshirts</t>
        </is>
      </c>
    </row>
    <row r="1135" ht="80" customHeight="1">
      <c r="A1135" s="7">
        <f>IMAGE("https://images.lululemon.com/is/image/lululemon/LM3F45S_0001_1?wid=320&amp;op_usm=0.8",1)</f>
        <v/>
      </c>
      <c r="B1135" s="7" t="inlineStr">
        <is>
          <t>Soft Jersey Half Zip</t>
        </is>
      </c>
      <c r="C1135" s="7" t="inlineStr">
        <is>
          <t>157676835</t>
        </is>
      </c>
      <c r="D1135" s="7" t="inlineStr">
        <is>
          <t>157676835-heatheredpalmdeco/heatheredbayleaf</t>
        </is>
      </c>
      <c r="E1135" s="7" t="inlineStr">
        <is>
          <t>Soft Jersey Half Zip BLK S</t>
        </is>
      </c>
      <c r="F1135" s="7" t="inlineStr">
        <is>
          <t>$98.00</t>
        </is>
      </c>
      <c r="G1135" s="7" t="inlineStr">
        <is>
          <t>$49.00</t>
        </is>
      </c>
      <c r="H1135" s="7" t="inlineStr">
        <is>
          <t>Heathered Palm Deco/Heathered Bay Leaf</t>
        </is>
      </c>
      <c r="I1135" s="7">
        <f>IMAGE("https://images.lululemon.com/is/image/lululemon/72148",1)</f>
        <v/>
      </c>
      <c r="J1135" s="7" t="inlineStr">
        <is>
          <t>L</t>
        </is>
      </c>
      <c r="K1135" s="7" t="inlineStr">
        <is>
          <t>163/3989</t>
        </is>
      </c>
      <c r="L1135" s="7" t="inlineStr">
        <is>
          <t>Yes</t>
        </is>
      </c>
      <c r="M1135" s="7" t="inlineStr">
        <is>
          <t>Rest and reset. This lightweight jersey half zip has a softly brushed interior that makes downtime irresistible.</t>
        </is>
      </c>
      <c r="N1135" s="7" t="inlineStr">
        <is>
          <t>Soft-Jersey-Half-Zip</t>
        </is>
      </c>
      <c r="O1135" s="7" t="inlineStr">
        <is>
          <t>Half Zip Sweatshirts, Quarter Zip Sweatshirts</t>
        </is>
      </c>
    </row>
    <row r="1136" ht="80" customHeight="1">
      <c r="A1136" s="4">
        <f>IMAGE("https://images.lululemon.com/is/image/lululemon/LM3F45S_0001_1?wid=320&amp;op_usm=0.8",1)</f>
        <v/>
      </c>
      <c r="B1136" s="4" t="inlineStr">
        <is>
          <t>Soft Jersey Half Zip</t>
        </is>
      </c>
      <c r="C1136" s="4" t="inlineStr">
        <is>
          <t>157676839</t>
        </is>
      </c>
      <c r="D1136" s="4" t="inlineStr">
        <is>
          <t>157676839-heatheredpalmdeco/heatheredbayleaf</t>
        </is>
      </c>
      <c r="E1136" s="4" t="inlineStr">
        <is>
          <t>Soft Jersey Half Zip BLK S</t>
        </is>
      </c>
      <c r="F1136" s="4" t="inlineStr">
        <is>
          <t>$98.00</t>
        </is>
      </c>
      <c r="G1136" s="4" t="inlineStr">
        <is>
          <t>$49.00</t>
        </is>
      </c>
      <c r="H1136" s="4" t="inlineStr">
        <is>
          <t>Heathered Palm Deco/Heathered Bay Leaf</t>
        </is>
      </c>
      <c r="I1136" s="4">
        <f>IMAGE("https://images.lululemon.com/is/image/lululemon/72148",1)</f>
        <v/>
      </c>
      <c r="J1136" s="4" t="inlineStr">
        <is>
          <t>XL</t>
        </is>
      </c>
      <c r="K1136" s="4" t="inlineStr">
        <is>
          <t>88/3989</t>
        </is>
      </c>
      <c r="L1136" s="4" t="inlineStr">
        <is>
          <t>Yes</t>
        </is>
      </c>
      <c r="M1136" s="4" t="inlineStr">
        <is>
          <t>Rest and reset. This lightweight jersey half zip has a softly brushed interior that makes downtime irresistible.</t>
        </is>
      </c>
      <c r="N1136" s="4" t="inlineStr">
        <is>
          <t>Soft-Jersey-Half-Zip</t>
        </is>
      </c>
      <c r="O1136" s="4" t="inlineStr">
        <is>
          <t>Half Zip Sweatshirts, Quarter Zip Sweatshirts</t>
        </is>
      </c>
    </row>
    <row r="1137" ht="80" customHeight="1">
      <c r="A1137" s="7">
        <f>IMAGE("https://images.lululemon.com/is/image/lululemon/LM3F45S_0001_1?wid=320&amp;op_usm=0.8",1)</f>
        <v/>
      </c>
      <c r="B1137" s="7" t="inlineStr">
        <is>
          <t>Soft Jersey Half Zip</t>
        </is>
      </c>
      <c r="C1137" s="7" t="inlineStr">
        <is>
          <t>157676841</t>
        </is>
      </c>
      <c r="D1137" s="7" t="inlineStr">
        <is>
          <t>157676841-heatheredpalmdeco/heatheredbayleaf</t>
        </is>
      </c>
      <c r="E1137" s="7" t="inlineStr">
        <is>
          <t>Soft Jersey Half Zip BLK S</t>
        </is>
      </c>
      <c r="F1137" s="7" t="inlineStr">
        <is>
          <t>$98.00</t>
        </is>
      </c>
      <c r="G1137" s="7" t="inlineStr">
        <is>
          <t>$49.00</t>
        </is>
      </c>
      <c r="H1137" s="7" t="inlineStr">
        <is>
          <t>Heathered Palm Deco/Heathered Bay Leaf</t>
        </is>
      </c>
      <c r="I1137" s="7">
        <f>IMAGE("https://images.lululemon.com/is/image/lululemon/72148",1)</f>
        <v/>
      </c>
      <c r="J1137" s="7" t="inlineStr">
        <is>
          <t>XXL</t>
        </is>
      </c>
      <c r="K1137" s="7" t="inlineStr">
        <is>
          <t>38/3989</t>
        </is>
      </c>
      <c r="L1137" s="7" t="inlineStr">
        <is>
          <t>Yes</t>
        </is>
      </c>
      <c r="M1137" s="7" t="inlineStr">
        <is>
          <t>Rest and reset. This lightweight jersey half zip has a softly brushed interior that makes downtime irresistible.</t>
        </is>
      </c>
      <c r="N1137" s="7" t="inlineStr">
        <is>
          <t>Soft-Jersey-Half-Zip</t>
        </is>
      </c>
      <c r="O1137" s="7" t="inlineStr">
        <is>
          <t>Half Zip Sweatshirts, Quarter Zip Sweatshirts</t>
        </is>
      </c>
    </row>
    <row r="1138" ht="80" customHeight="1">
      <c r="A1138" s="4">
        <f>IMAGE("https://images.lululemon.com/is/image/lululemon/LM3F45S_0001_1?wid=320&amp;op_usm=0.8",1)</f>
        <v/>
      </c>
      <c r="B1138" s="4" t="inlineStr">
        <is>
          <t>Soft Jersey Half Zip</t>
        </is>
      </c>
      <c r="C1138" s="4" t="inlineStr">
        <is>
          <t>158099460</t>
        </is>
      </c>
      <c r="D1138" s="4" t="inlineStr">
        <is>
          <t>158099460-heatheredtruenavy/heatheredclubblue</t>
        </is>
      </c>
      <c r="E1138" s="4" t="inlineStr">
        <is>
          <t>Soft Jersey Half Zip BLK S</t>
        </is>
      </c>
      <c r="F1138" s="4" t="inlineStr">
        <is>
          <t>$98.00</t>
        </is>
      </c>
      <c r="G1138" s="4" t="inlineStr">
        <is>
          <t>$49.00</t>
        </is>
      </c>
      <c r="H1138" s="4" t="inlineStr">
        <is>
          <t>Heathered True Navy/Heathered Club Blue</t>
        </is>
      </c>
      <c r="I1138" s="4">
        <f>IMAGE("https://images.lululemon.com/is/image/lululemon/69737",1)</f>
        <v/>
      </c>
      <c r="J1138" s="4" t="inlineStr">
        <is>
          <t>S</t>
        </is>
      </c>
      <c r="K1138" s="4" t="inlineStr">
        <is>
          <t>42/3989</t>
        </is>
      </c>
      <c r="L1138" s="4" t="inlineStr">
        <is>
          <t>Yes</t>
        </is>
      </c>
      <c r="M1138" s="4" t="inlineStr">
        <is>
          <t>Rest and reset. This lightweight jersey half zip has a softly brushed interior that makes downtime irresistible.</t>
        </is>
      </c>
      <c r="N1138" s="4" t="inlineStr">
        <is>
          <t>Soft-Jersey-Half-Zip</t>
        </is>
      </c>
      <c r="O1138" s="4" t="inlineStr">
        <is>
          <t>Half Zip Sweatshirts, Quarter Zip Sweatshirts</t>
        </is>
      </c>
    </row>
    <row r="1139" ht="80" customHeight="1">
      <c r="A1139" s="7">
        <f>IMAGE("https://images.lululemon.com/is/image/lululemon/LM3F45S_0001_1?wid=320&amp;op_usm=0.8",1)</f>
        <v/>
      </c>
      <c r="B1139" s="7" t="inlineStr">
        <is>
          <t>Soft Jersey Half Zip</t>
        </is>
      </c>
      <c r="C1139" s="7" t="inlineStr">
        <is>
          <t>158099442</t>
        </is>
      </c>
      <c r="D1139" s="7" t="inlineStr">
        <is>
          <t>158099442-heatheredtruenavy/heatheredclubblue</t>
        </is>
      </c>
      <c r="E1139" s="7" t="inlineStr">
        <is>
          <t>Soft Jersey Half Zip BLK S</t>
        </is>
      </c>
      <c r="F1139" s="7" t="inlineStr">
        <is>
          <t>$98.00</t>
        </is>
      </c>
      <c r="G1139" s="7" t="inlineStr">
        <is>
          <t>$49.00</t>
        </is>
      </c>
      <c r="H1139" s="7" t="inlineStr">
        <is>
          <t>Heathered True Navy/Heathered Club Blue</t>
        </is>
      </c>
      <c r="I1139" s="7">
        <f>IMAGE("https://images.lululemon.com/is/image/lululemon/69737",1)</f>
        <v/>
      </c>
      <c r="J1139" s="7" t="inlineStr">
        <is>
          <t>M</t>
        </is>
      </c>
      <c r="K1139" s="7" t="inlineStr">
        <is>
          <t>138/3989</t>
        </is>
      </c>
      <c r="L1139" s="7" t="inlineStr">
        <is>
          <t>Yes</t>
        </is>
      </c>
      <c r="M1139" s="7" t="inlineStr">
        <is>
          <t>Rest and reset. This lightweight jersey half zip has a softly brushed interior that makes downtime irresistible.</t>
        </is>
      </c>
      <c r="N1139" s="7" t="inlineStr">
        <is>
          <t>Soft-Jersey-Half-Zip</t>
        </is>
      </c>
      <c r="O1139" s="7" t="inlineStr">
        <is>
          <t>Half Zip Sweatshirts, Quarter Zip Sweatshirts</t>
        </is>
      </c>
    </row>
    <row r="1140" ht="80" customHeight="1">
      <c r="A1140" s="4">
        <f>IMAGE("https://images.lululemon.com/is/image/lululemon/LM3F45S_0001_1?wid=320&amp;op_usm=0.8",1)</f>
        <v/>
      </c>
      <c r="B1140" s="4" t="inlineStr">
        <is>
          <t>Soft Jersey Half Zip</t>
        </is>
      </c>
      <c r="C1140" s="4" t="inlineStr">
        <is>
          <t>158099420</t>
        </is>
      </c>
      <c r="D1140" s="4" t="inlineStr">
        <is>
          <t>158099420-heatheredtruenavy/heatheredclubblue</t>
        </is>
      </c>
      <c r="E1140" s="4" t="inlineStr">
        <is>
          <t>Soft Jersey Half Zip BLK S</t>
        </is>
      </c>
      <c r="F1140" s="4" t="inlineStr">
        <is>
          <t>$98.00</t>
        </is>
      </c>
      <c r="G1140" s="4" t="inlineStr">
        <is>
          <t>$49.00</t>
        </is>
      </c>
      <c r="H1140" s="4" t="inlineStr">
        <is>
          <t>Heathered True Navy/Heathered Club Blue</t>
        </is>
      </c>
      <c r="I1140" s="4">
        <f>IMAGE("https://images.lululemon.com/is/image/lululemon/69737",1)</f>
        <v/>
      </c>
      <c r="J1140" s="4" t="inlineStr">
        <is>
          <t>L</t>
        </is>
      </c>
      <c r="K1140" s="4" t="inlineStr">
        <is>
          <t>180/3989</t>
        </is>
      </c>
      <c r="L1140" s="4" t="inlineStr">
        <is>
          <t>Yes</t>
        </is>
      </c>
      <c r="M1140" s="4" t="inlineStr">
        <is>
          <t>Rest and reset. This lightweight jersey half zip has a softly brushed interior that makes downtime irresistible.</t>
        </is>
      </c>
      <c r="N1140" s="4" t="inlineStr">
        <is>
          <t>Soft-Jersey-Half-Zip</t>
        </is>
      </c>
      <c r="O1140" s="4" t="inlineStr">
        <is>
          <t>Half Zip Sweatshirts, Quarter Zip Sweatshirts</t>
        </is>
      </c>
    </row>
    <row r="1141" ht="80" customHeight="1">
      <c r="A1141" s="7">
        <f>IMAGE("https://images.lululemon.com/is/image/lululemon/LM3F45S_0001_1?wid=320&amp;op_usm=0.8",1)</f>
        <v/>
      </c>
      <c r="B1141" s="7" t="inlineStr">
        <is>
          <t>Soft Jersey Half Zip</t>
        </is>
      </c>
      <c r="C1141" s="7" t="inlineStr">
        <is>
          <t>158099482</t>
        </is>
      </c>
      <c r="D1141" s="7" t="inlineStr">
        <is>
          <t>158099482-heatheredtruenavy/heatheredclubblue</t>
        </is>
      </c>
      <c r="E1141" s="7" t="inlineStr">
        <is>
          <t>Soft Jersey Half Zip BLK S</t>
        </is>
      </c>
      <c r="F1141" s="7" t="inlineStr">
        <is>
          <t>$98.00</t>
        </is>
      </c>
      <c r="G1141" s="7" t="inlineStr">
        <is>
          <t>$49.00</t>
        </is>
      </c>
      <c r="H1141" s="7" t="inlineStr">
        <is>
          <t>Heathered True Navy/Heathered Club Blue</t>
        </is>
      </c>
      <c r="I1141" s="7">
        <f>IMAGE("https://images.lululemon.com/is/image/lululemon/69737",1)</f>
        <v/>
      </c>
      <c r="J1141" s="7" t="inlineStr">
        <is>
          <t>XL</t>
        </is>
      </c>
      <c r="K1141" s="7" t="inlineStr">
        <is>
          <t>108/3989</t>
        </is>
      </c>
      <c r="L1141" s="7" t="inlineStr">
        <is>
          <t>Yes</t>
        </is>
      </c>
      <c r="M1141" s="7" t="inlineStr">
        <is>
          <t>Rest and reset. This lightweight jersey half zip has a softly brushed interior that makes downtime irresistible.</t>
        </is>
      </c>
      <c r="N1141" s="7" t="inlineStr">
        <is>
          <t>Soft-Jersey-Half-Zip</t>
        </is>
      </c>
      <c r="O1141" s="7" t="inlineStr">
        <is>
          <t>Half Zip Sweatshirts, Quarter Zip Sweatshirts</t>
        </is>
      </c>
    </row>
    <row r="1142" ht="80" customHeight="1">
      <c r="A1142" s="4">
        <f>IMAGE("https://images.lululemon.com/is/image/lululemon/LM3F45S_0001_1?wid=320&amp;op_usm=0.8",1)</f>
        <v/>
      </c>
      <c r="B1142" s="4" t="inlineStr">
        <is>
          <t>Soft Jersey Half Zip</t>
        </is>
      </c>
      <c r="C1142" s="4" t="inlineStr">
        <is>
          <t>158099523</t>
        </is>
      </c>
      <c r="D1142" s="4" t="inlineStr">
        <is>
          <t>158099523-heatheredtruenavy/heatheredclubblue</t>
        </is>
      </c>
      <c r="E1142" s="4" t="inlineStr">
        <is>
          <t>Soft Jersey Half Zip BLK S</t>
        </is>
      </c>
      <c r="F1142" s="4" t="inlineStr">
        <is>
          <t>$98.00</t>
        </is>
      </c>
      <c r="G1142" s="4" t="inlineStr">
        <is>
          <t>$49.00</t>
        </is>
      </c>
      <c r="H1142" s="4" t="inlineStr">
        <is>
          <t>Heathered True Navy/Heathered Club Blue</t>
        </is>
      </c>
      <c r="I1142" s="4">
        <f>IMAGE("https://images.lululemon.com/is/image/lululemon/69737",1)</f>
        <v/>
      </c>
      <c r="J1142" s="4" t="inlineStr">
        <is>
          <t>XXL</t>
        </is>
      </c>
      <c r="K1142" s="4" t="inlineStr">
        <is>
          <t>35/3989</t>
        </is>
      </c>
      <c r="L1142" s="4" t="inlineStr">
        <is>
          <t>Yes</t>
        </is>
      </c>
      <c r="M1142" s="4" t="inlineStr">
        <is>
          <t>Rest and reset. This lightweight jersey half zip has a softly brushed interior that makes downtime irresistible.</t>
        </is>
      </c>
      <c r="N1142" s="4" t="inlineStr">
        <is>
          <t>Soft-Jersey-Half-Zip</t>
        </is>
      </c>
      <c r="O1142" s="4" t="inlineStr">
        <is>
          <t>Half Zip Sweatshirts, Quarter Zip Sweatshirts</t>
        </is>
      </c>
    </row>
    <row r="1143" ht="80" customHeight="1">
      <c r="A1143" s="7">
        <f>IMAGE("https://images.lululemon.com/is/image/lululemon/LM3F45S_0001_1?wid=320&amp;op_usm=0.8",1)</f>
        <v/>
      </c>
      <c r="B1143" s="7" t="inlineStr">
        <is>
          <t>Soft Jersey Half Zip</t>
        </is>
      </c>
      <c r="C1143" s="7" t="inlineStr">
        <is>
          <t>158099397</t>
        </is>
      </c>
      <c r="D1143" s="7" t="inlineStr">
        <is>
          <t>158099397-heatheredtruenavy/heatheredclubblue</t>
        </is>
      </c>
      <c r="E1143" s="7" t="inlineStr">
        <is>
          <t>Soft Jersey Half Zip BLK S</t>
        </is>
      </c>
      <c r="F1143" s="7" t="inlineStr">
        <is>
          <t>$98.00</t>
        </is>
      </c>
      <c r="G1143" s="7" t="inlineStr">
        <is>
          <t>$49.00</t>
        </is>
      </c>
      <c r="H1143" s="7" t="inlineStr">
        <is>
          <t>Heathered True Navy/Heathered Club Blue</t>
        </is>
      </c>
      <c r="I1143" s="7">
        <f>IMAGE("https://images.lululemon.com/is/image/lululemon/69737",1)</f>
        <v/>
      </c>
      <c r="J1143" s="7" t="inlineStr">
        <is>
          <t>3XL</t>
        </is>
      </c>
      <c r="K1143" s="7" t="inlineStr">
        <is>
          <t>14/3989</t>
        </is>
      </c>
      <c r="L1143" s="7" t="inlineStr">
        <is>
          <t>Yes</t>
        </is>
      </c>
      <c r="M1143" s="7" t="inlineStr">
        <is>
          <t>Rest and reset. This lightweight jersey half zip has a softly brushed interior that makes downtime irresistible.</t>
        </is>
      </c>
      <c r="N1143" s="7" t="inlineStr">
        <is>
          <t>Soft-Jersey-Half-Zip</t>
        </is>
      </c>
      <c r="O1143" s="7" t="inlineStr">
        <is>
          <t>Half Zip Sweatshirts, Quarter Zip Sweatshirts</t>
        </is>
      </c>
    </row>
    <row r="1144" ht="80" customHeight="1">
      <c r="A1144" s="4">
        <f>IMAGE("https://images.lululemon.com/is/image/lululemon/LM3F45S_0001_1?wid=320&amp;op_usm=0.8",1)</f>
        <v/>
      </c>
      <c r="B1144" s="4" t="inlineStr">
        <is>
          <t>Soft Jersey Half Zip</t>
        </is>
      </c>
      <c r="C1144" s="4" t="inlineStr">
        <is>
          <t>158100603</t>
        </is>
      </c>
      <c r="D1144" s="4" t="inlineStr">
        <is>
          <t>158100603-dovegrey</t>
        </is>
      </c>
      <c r="E1144" s="4" t="inlineStr">
        <is>
          <t>Soft Jersey Half Zip BLK S</t>
        </is>
      </c>
      <c r="F1144" s="4" t="inlineStr">
        <is>
          <t>$98.00</t>
        </is>
      </c>
      <c r="G1144" s="4" t="inlineStr">
        <is>
          <t>$49.00</t>
        </is>
      </c>
      <c r="H1144" s="4" t="inlineStr">
        <is>
          <t>Dove Grey</t>
        </is>
      </c>
      <c r="I1144" s="4">
        <f>IMAGE("https://images.lululemon.com/is/image/lululemon/36865",1)</f>
        <v/>
      </c>
      <c r="J1144" s="4" t="inlineStr">
        <is>
          <t>S</t>
        </is>
      </c>
      <c r="K1144" s="4" t="inlineStr">
        <is>
          <t>56/3989</t>
        </is>
      </c>
      <c r="L1144" s="4" t="inlineStr">
        <is>
          <t>Yes</t>
        </is>
      </c>
      <c r="M1144" s="4" t="inlineStr">
        <is>
          <t>Rest and reset. This lightweight jersey half zip has a softly brushed interior that makes downtime irresistible.</t>
        </is>
      </c>
      <c r="N1144" s="4" t="inlineStr">
        <is>
          <t>Soft-Jersey-Half-Zip</t>
        </is>
      </c>
      <c r="O1144" s="4" t="inlineStr">
        <is>
          <t>Half Zip Sweatshirts, Quarter Zip Sweatshirts</t>
        </is>
      </c>
    </row>
    <row r="1145" ht="80" customHeight="1">
      <c r="A1145" s="7">
        <f>IMAGE("https://images.lululemon.com/is/image/lululemon/LM3F45S_0001_1?wid=320&amp;op_usm=0.8",1)</f>
        <v/>
      </c>
      <c r="B1145" s="7" t="inlineStr">
        <is>
          <t>Soft Jersey Half Zip</t>
        </is>
      </c>
      <c r="C1145" s="7" t="inlineStr">
        <is>
          <t>158100593</t>
        </is>
      </c>
      <c r="D1145" s="7" t="inlineStr">
        <is>
          <t>158100593-dovegrey</t>
        </is>
      </c>
      <c r="E1145" s="7" t="inlineStr">
        <is>
          <t>Soft Jersey Half Zip BLK S</t>
        </is>
      </c>
      <c r="F1145" s="7" t="inlineStr">
        <is>
          <t>$98.00</t>
        </is>
      </c>
      <c r="G1145" s="7" t="inlineStr">
        <is>
          <t>$49.00</t>
        </is>
      </c>
      <c r="H1145" s="7" t="inlineStr">
        <is>
          <t>Dove Grey</t>
        </is>
      </c>
      <c r="I1145" s="7">
        <f>IMAGE("https://images.lululemon.com/is/image/lululemon/36865",1)</f>
        <v/>
      </c>
      <c r="J1145" s="7" t="inlineStr">
        <is>
          <t>M</t>
        </is>
      </c>
      <c r="K1145" s="7" t="inlineStr">
        <is>
          <t>173/3989</t>
        </is>
      </c>
      <c r="L1145" s="7" t="inlineStr">
        <is>
          <t>Yes</t>
        </is>
      </c>
      <c r="M1145" s="7" t="inlineStr">
        <is>
          <t>Rest and reset. This lightweight jersey half zip has a softly brushed interior that makes downtime irresistible.</t>
        </is>
      </c>
      <c r="N1145" s="7" t="inlineStr">
        <is>
          <t>Soft-Jersey-Half-Zip</t>
        </is>
      </c>
      <c r="O1145" s="7" t="inlineStr">
        <is>
          <t>Half Zip Sweatshirts, Quarter Zip Sweatshirts</t>
        </is>
      </c>
    </row>
    <row r="1146" ht="80" customHeight="1">
      <c r="A1146" s="4">
        <f>IMAGE("https://images.lululemon.com/is/image/lululemon/LM3F45S_0001_1?wid=320&amp;op_usm=0.8",1)</f>
        <v/>
      </c>
      <c r="B1146" s="4" t="inlineStr">
        <is>
          <t>Soft Jersey Half Zip</t>
        </is>
      </c>
      <c r="C1146" s="4" t="inlineStr">
        <is>
          <t>158100584</t>
        </is>
      </c>
      <c r="D1146" s="4" t="inlineStr">
        <is>
          <t>158100584-dovegrey</t>
        </is>
      </c>
      <c r="E1146" s="4" t="inlineStr">
        <is>
          <t>Soft Jersey Half Zip BLK S</t>
        </is>
      </c>
      <c r="F1146" s="4" t="inlineStr">
        <is>
          <t>$98.00</t>
        </is>
      </c>
      <c r="G1146" s="4" t="inlineStr">
        <is>
          <t>$49.00</t>
        </is>
      </c>
      <c r="H1146" s="4" t="inlineStr">
        <is>
          <t>Dove Grey</t>
        </is>
      </c>
      <c r="I1146" s="4">
        <f>IMAGE("https://images.lululemon.com/is/image/lululemon/36865",1)</f>
        <v/>
      </c>
      <c r="J1146" s="4" t="inlineStr">
        <is>
          <t>L</t>
        </is>
      </c>
      <c r="K1146" s="4" t="inlineStr">
        <is>
          <t>227/3989</t>
        </is>
      </c>
      <c r="L1146" s="4" t="inlineStr">
        <is>
          <t>Yes</t>
        </is>
      </c>
      <c r="M1146" s="4" t="inlineStr">
        <is>
          <t>Rest and reset. This lightweight jersey half zip has a softly brushed interior that makes downtime irresistible.</t>
        </is>
      </c>
      <c r="N1146" s="4" t="inlineStr">
        <is>
          <t>Soft-Jersey-Half-Zip</t>
        </is>
      </c>
      <c r="O1146" s="4" t="inlineStr">
        <is>
          <t>Half Zip Sweatshirts, Quarter Zip Sweatshirts</t>
        </is>
      </c>
    </row>
    <row r="1147" ht="80" customHeight="1">
      <c r="A1147" s="7">
        <f>IMAGE("https://images.lululemon.com/is/image/lululemon/LM3F45S_0001_1?wid=320&amp;op_usm=0.8",1)</f>
        <v/>
      </c>
      <c r="B1147" s="7" t="inlineStr">
        <is>
          <t>Soft Jersey Half Zip</t>
        </is>
      </c>
      <c r="C1147" s="7" t="inlineStr">
        <is>
          <t>158100612</t>
        </is>
      </c>
      <c r="D1147" s="7" t="inlineStr">
        <is>
          <t>158100612-dovegrey</t>
        </is>
      </c>
      <c r="E1147" s="7" t="inlineStr">
        <is>
          <t>Soft Jersey Half Zip BLK S</t>
        </is>
      </c>
      <c r="F1147" s="7" t="inlineStr">
        <is>
          <t>$98.00</t>
        </is>
      </c>
      <c r="G1147" s="7" t="inlineStr">
        <is>
          <t>$49.00</t>
        </is>
      </c>
      <c r="H1147" s="7" t="inlineStr">
        <is>
          <t>Dove Grey</t>
        </is>
      </c>
      <c r="I1147" s="7">
        <f>IMAGE("https://images.lululemon.com/is/image/lululemon/36865",1)</f>
        <v/>
      </c>
      <c r="J1147" s="7" t="inlineStr">
        <is>
          <t>XL</t>
        </is>
      </c>
      <c r="K1147" s="7" t="inlineStr">
        <is>
          <t>148/3989</t>
        </is>
      </c>
      <c r="L1147" s="7" t="inlineStr">
        <is>
          <t>Yes</t>
        </is>
      </c>
      <c r="M1147" s="7" t="inlineStr">
        <is>
          <t>Rest and reset. This lightweight jersey half zip has a softly brushed interior that makes downtime irresistible.</t>
        </is>
      </c>
      <c r="N1147" s="7" t="inlineStr">
        <is>
          <t>Soft-Jersey-Half-Zip</t>
        </is>
      </c>
      <c r="O1147" s="7" t="inlineStr">
        <is>
          <t>Half Zip Sweatshirts, Quarter Zip Sweatshirts</t>
        </is>
      </c>
    </row>
    <row r="1148" ht="80" customHeight="1">
      <c r="A1148" s="6">
        <f>IMAGE("https://images.lululemon.com/is/image/lululemon/LM3F45S_0001_1?wid=320&amp;op_usm=0.8",1)</f>
        <v/>
      </c>
      <c r="B1148" s="6" t="inlineStr">
        <is>
          <t>Soft Jersey Half Zip</t>
        </is>
      </c>
      <c r="C1148" s="6" t="inlineStr">
        <is>
          <t>158100620</t>
        </is>
      </c>
      <c r="D1148" s="6" t="inlineStr">
        <is>
          <t>158100620-dovegrey</t>
        </is>
      </c>
      <c r="E1148" s="6" t="inlineStr">
        <is>
          <t>Soft Jersey Half Zip BLK S</t>
        </is>
      </c>
      <c r="F1148" s="6" t="inlineStr">
        <is>
          <t>$98.00</t>
        </is>
      </c>
      <c r="G1148" s="6" t="inlineStr">
        <is>
          <t>$49.00</t>
        </is>
      </c>
      <c r="H1148" s="6" t="inlineStr">
        <is>
          <t>Dove Grey</t>
        </is>
      </c>
      <c r="I1148" s="6">
        <f>IMAGE("https://images.lululemon.com/is/image/lululemon/36865",1)</f>
        <v/>
      </c>
      <c r="J1148" s="6" t="inlineStr">
        <is>
          <t>XXL</t>
        </is>
      </c>
      <c r="K1148" s="6" t="inlineStr">
        <is>
          <t>49/3989</t>
        </is>
      </c>
      <c r="L1148" s="6" t="inlineStr">
        <is>
          <t>Yes</t>
        </is>
      </c>
      <c r="M1148" s="6" t="inlineStr">
        <is>
          <t>Rest and reset. This lightweight jersey half zip has a softly brushed interior that makes downtime irresistible.</t>
        </is>
      </c>
      <c r="N1148" s="6" t="inlineStr">
        <is>
          <t>Soft-Jersey-Half-Zip</t>
        </is>
      </c>
      <c r="O1148" s="6" t="inlineStr">
        <is>
          <t>Half Zip Sweatshirts, Quarter Zip Sweatshirts</t>
        </is>
      </c>
    </row>
    <row r="1149" ht="80" customHeight="1">
      <c r="A1149" s="7">
        <f>IMAGE("https://images.lululemon.com/is/image/lululemon/LU9BSJS_072760_1?wid=320&amp;op_usm=0.8",1)</f>
        <v/>
      </c>
      <c r="B1149" s="7" t="inlineStr">
        <is>
          <t>Curved Crossbody Bag 3L</t>
        </is>
      </c>
      <c r="C1149" s="7" t="inlineStr">
        <is>
          <t>158029888</t>
        </is>
      </c>
      <c r="D1149" s="7" t="inlineStr">
        <is>
          <t>158029888-onyxgrey</t>
        </is>
      </c>
      <c r="E1149" s="7" t="inlineStr">
        <is>
          <t>Curved Crossbody Bag ONGE ONE SIZE</t>
        </is>
      </c>
      <c r="F1149" s="7" t="inlineStr">
        <is>
          <t>$78.00</t>
        </is>
      </c>
      <c r="G1149" s="7" t="inlineStr">
        <is>
          <t>$39.00</t>
        </is>
      </c>
      <c r="H1149" s="7" t="inlineStr">
        <is>
          <t>Onyx Grey</t>
        </is>
      </c>
      <c r="I1149" s="7">
        <f>IMAGE("https://images.lululemon.com/is/image/lululemon/72760",1)</f>
        <v/>
      </c>
      <c r="J1149" s="7" t="inlineStr">
        <is>
          <t>O/S</t>
        </is>
      </c>
      <c r="K1149" s="7" t="inlineStr">
        <is>
          <t>484/1184</t>
        </is>
      </c>
      <c r="L1149" s="7" t="inlineStr">
        <is>
          <t>Yes</t>
        </is>
      </c>
      <c r="M1149" s="7" t="inlineStr">
        <is>
          <t>Look at you, all hands-free and hydrated. This cross-body's unique design lets you stow your water bottle in a hidden drop-down pocket.</t>
        </is>
      </c>
      <c r="N1149" s="7" t="inlineStr">
        <is>
          <t>Curved-Crossbody-Bag-3L</t>
        </is>
      </c>
      <c r="O1149" s="7" t="inlineStr">
        <is>
          <t>Crossbody Bags</t>
        </is>
      </c>
    </row>
    <row r="1150" ht="80" customHeight="1">
      <c r="A1150" s="6">
        <f>IMAGE("https://images.lululemon.com/is/image/lululemon/LU9BSJS_072760_1?wid=320&amp;op_usm=0.8",1)</f>
        <v/>
      </c>
      <c r="B1150" s="6" t="inlineStr">
        <is>
          <t>Curved Crossbody Bag 3L</t>
        </is>
      </c>
      <c r="C1150" s="6" t="inlineStr">
        <is>
          <t>158029839</t>
        </is>
      </c>
      <c r="D1150" s="6" t="inlineStr">
        <is>
          <t>158029839-berryrumble</t>
        </is>
      </c>
      <c r="E1150" s="6" t="inlineStr">
        <is>
          <t>Curved Crossbody Bag ONGE ONE SIZE</t>
        </is>
      </c>
      <c r="F1150" s="6" t="inlineStr">
        <is>
          <t>$78.00</t>
        </is>
      </c>
      <c r="G1150" s="6" t="inlineStr">
        <is>
          <t>$39.00</t>
        </is>
      </c>
      <c r="H1150" s="6" t="inlineStr">
        <is>
          <t>Berry Rumble</t>
        </is>
      </c>
      <c r="I1150" s="6">
        <f>IMAGE("https://images.lululemon.com/is/image/lululemon/21363",1)</f>
        <v/>
      </c>
      <c r="J1150" s="6" t="inlineStr">
        <is>
          <t>O/S</t>
        </is>
      </c>
      <c r="K1150" s="6" t="inlineStr">
        <is>
          <t>700/1184</t>
        </is>
      </c>
      <c r="L1150" s="6" t="inlineStr">
        <is>
          <t>Yes</t>
        </is>
      </c>
      <c r="M1150" s="6" t="inlineStr">
        <is>
          <t>Look at you, all hands-free and hydrated. This cross-body's unique design lets you stow your water bottle in a hidden drop-down pocket.</t>
        </is>
      </c>
      <c r="N1150" s="6" t="inlineStr">
        <is>
          <t>Curved-Crossbody-Bag-3L</t>
        </is>
      </c>
      <c r="O1150" s="6" t="inlineStr">
        <is>
          <t>Crossbody Bags</t>
        </is>
      </c>
    </row>
    <row r="1151" ht="80" customHeight="1">
      <c r="A1151" s="7">
        <f>IMAGE("https://images.lululemon.com/is/image/lululemon/LM3FYES_039270_1?wid=320&amp;op_usm=0.8",1)</f>
        <v/>
      </c>
      <c r="B1151" s="7" t="inlineStr">
        <is>
          <t>3D Waffle-Knit Jacquard Vest</t>
        </is>
      </c>
      <c r="C1151" s="7" t="inlineStr">
        <is>
          <t>158028827</t>
        </is>
      </c>
      <c r="D1151" s="7" t="inlineStr">
        <is>
          <t>158028827-solargrey/solargrey</t>
        </is>
      </c>
      <c r="E1151" s="7" t="inlineStr">
        <is>
          <t>3D Waffle Jacquard Vest SOGY/SOGY S</t>
        </is>
      </c>
      <c r="F1151" s="7" t="inlineStr">
        <is>
          <t>$128.00</t>
        </is>
      </c>
      <c r="G1151" s="7" t="inlineStr">
        <is>
          <t>$64.00</t>
        </is>
      </c>
      <c r="H1151" s="7" t="inlineStr">
        <is>
          <t>Solar Grey/Solar Grey</t>
        </is>
      </c>
      <c r="I1151" s="7">
        <f>IMAGE("https://images.lululemon.com/is/image/lululemon/39270",1)</f>
        <v/>
      </c>
      <c r="J1151" s="7" t="inlineStr">
        <is>
          <t>S</t>
        </is>
      </c>
      <c r="K1151" s="7" t="inlineStr">
        <is>
          <t>16/172</t>
        </is>
      </c>
      <c r="L1151" s="7" t="inlineStr">
        <is>
          <t>Yes</t>
        </is>
      </c>
      <c r="M1151" s="7" t="inlineStr">
        <is>
          <t>For running a 5k or just to the store, this snap-front vest features a casual neckline and softly textured fabric for breathable, versatile comfort.</t>
        </is>
      </c>
      <c r="N1151" s="7" t="inlineStr">
        <is>
          <t>3D-Waffle-Knit-Jacquard-Vest</t>
        </is>
      </c>
      <c r="O1151" s="7" t="inlineStr">
        <is>
          <t>Vests, Athletic Jackets</t>
        </is>
      </c>
    </row>
    <row r="1152" ht="80" customHeight="1">
      <c r="A1152" s="4">
        <f>IMAGE("https://images.lululemon.com/is/image/lululemon/LM3FYES_039270_1?wid=320&amp;op_usm=0.8",1)</f>
        <v/>
      </c>
      <c r="B1152" s="4" t="inlineStr">
        <is>
          <t>3D Waffle-Knit Jacquard Vest</t>
        </is>
      </c>
      <c r="C1152" s="4" t="inlineStr">
        <is>
          <t>158028821</t>
        </is>
      </c>
      <c r="D1152" s="4" t="inlineStr">
        <is>
          <t>158028821-solargrey/solargrey</t>
        </is>
      </c>
      <c r="E1152" s="4" t="inlineStr">
        <is>
          <t>3D Waffle Jacquard Vest SOGY/SOGY S</t>
        </is>
      </c>
      <c r="F1152" s="4" t="inlineStr">
        <is>
          <t>$128.00</t>
        </is>
      </c>
      <c r="G1152" s="4" t="inlineStr">
        <is>
          <t>$64.00</t>
        </is>
      </c>
      <c r="H1152" s="4" t="inlineStr">
        <is>
          <t>Solar Grey/Solar Grey</t>
        </is>
      </c>
      <c r="I1152" s="4">
        <f>IMAGE("https://images.lululemon.com/is/image/lululemon/39270",1)</f>
        <v/>
      </c>
      <c r="J1152" s="4" t="inlineStr">
        <is>
          <t>M</t>
        </is>
      </c>
      <c r="K1152" s="4" t="inlineStr">
        <is>
          <t>42/172</t>
        </is>
      </c>
      <c r="L1152" s="4" t="inlineStr">
        <is>
          <t>Yes</t>
        </is>
      </c>
      <c r="M1152" s="4" t="inlineStr">
        <is>
          <t>For running a 5k or just to the store, this snap-front vest features a casual neckline and softly textured fabric for breathable, versatile comfort.</t>
        </is>
      </c>
      <c r="N1152" s="4" t="inlineStr">
        <is>
          <t>3D-Waffle-Knit-Jacquard-Vest</t>
        </is>
      </c>
      <c r="O1152" s="4" t="inlineStr">
        <is>
          <t>Vests, Athletic Jackets</t>
        </is>
      </c>
    </row>
    <row r="1153" ht="80" customHeight="1">
      <c r="A1153" s="7">
        <f>IMAGE("https://images.lululemon.com/is/image/lululemon/LM3FYES_039270_1?wid=320&amp;op_usm=0.8",1)</f>
        <v/>
      </c>
      <c r="B1153" s="7" t="inlineStr">
        <is>
          <t>3D Waffle-Knit Jacquard Vest</t>
        </is>
      </c>
      <c r="C1153" s="7" t="inlineStr">
        <is>
          <t>158028815</t>
        </is>
      </c>
      <c r="D1153" s="7" t="inlineStr">
        <is>
          <t>158028815-solargrey/solargrey</t>
        </is>
      </c>
      <c r="E1153" s="7" t="inlineStr">
        <is>
          <t>3D Waffle Jacquard Vest SOGY/SOGY S</t>
        </is>
      </c>
      <c r="F1153" s="7" t="inlineStr">
        <is>
          <t>$128.00</t>
        </is>
      </c>
      <c r="G1153" s="7" t="inlineStr">
        <is>
          <t>$64.00</t>
        </is>
      </c>
      <c r="H1153" s="7" t="inlineStr">
        <is>
          <t>Solar Grey/Solar Grey</t>
        </is>
      </c>
      <c r="I1153" s="7">
        <f>IMAGE("https://images.lululemon.com/is/image/lululemon/39270",1)</f>
        <v/>
      </c>
      <c r="J1153" s="7" t="inlineStr">
        <is>
          <t>L</t>
        </is>
      </c>
      <c r="K1153" s="7" t="inlineStr">
        <is>
          <t>60/172</t>
        </is>
      </c>
      <c r="L1153" s="7" t="inlineStr">
        <is>
          <t>Yes</t>
        </is>
      </c>
      <c r="M1153" s="7" t="inlineStr">
        <is>
          <t>For running a 5k or just to the store, this snap-front vest features a casual neckline and softly textured fabric for breathable, versatile comfort.</t>
        </is>
      </c>
      <c r="N1153" s="7" t="inlineStr">
        <is>
          <t>3D-Waffle-Knit-Jacquard-Vest</t>
        </is>
      </c>
      <c r="O1153" s="7" t="inlineStr">
        <is>
          <t>Vests, Athletic Jackets</t>
        </is>
      </c>
    </row>
    <row r="1154" ht="80" customHeight="1">
      <c r="A1154" s="4">
        <f>IMAGE("https://images.lululemon.com/is/image/lululemon/LM3FYES_039270_1?wid=320&amp;op_usm=0.8",1)</f>
        <v/>
      </c>
      <c r="B1154" s="4" t="inlineStr">
        <is>
          <t>3D Waffle-Knit Jacquard Vest</t>
        </is>
      </c>
      <c r="C1154" s="4" t="inlineStr">
        <is>
          <t>158028833</t>
        </is>
      </c>
      <c r="D1154" s="4" t="inlineStr">
        <is>
          <t>158028833-solargrey/solargrey</t>
        </is>
      </c>
      <c r="E1154" s="4" t="inlineStr">
        <is>
          <t>3D Waffle Jacquard Vest SOGY/SOGY S</t>
        </is>
      </c>
      <c r="F1154" s="4" t="inlineStr">
        <is>
          <t>$128.00</t>
        </is>
      </c>
      <c r="G1154" s="4" t="inlineStr">
        <is>
          <t>$64.00</t>
        </is>
      </c>
      <c r="H1154" s="4" t="inlineStr">
        <is>
          <t>Solar Grey/Solar Grey</t>
        </is>
      </c>
      <c r="I1154" s="4">
        <f>IMAGE("https://images.lululemon.com/is/image/lululemon/39270",1)</f>
        <v/>
      </c>
      <c r="J1154" s="4" t="inlineStr">
        <is>
          <t>XL</t>
        </is>
      </c>
      <c r="K1154" s="4" t="inlineStr">
        <is>
          <t>40/172</t>
        </is>
      </c>
      <c r="L1154" s="4" t="inlineStr">
        <is>
          <t>Yes</t>
        </is>
      </c>
      <c r="M1154" s="4" t="inlineStr">
        <is>
          <t>For running a 5k or just to the store, this snap-front vest features a casual neckline and softly textured fabric for breathable, versatile comfort.</t>
        </is>
      </c>
      <c r="N1154" s="4" t="inlineStr">
        <is>
          <t>3D-Waffle-Knit-Jacquard-Vest</t>
        </is>
      </c>
      <c r="O1154" s="4" t="inlineStr">
        <is>
          <t>Vests, Athletic Jackets</t>
        </is>
      </c>
    </row>
    <row r="1155" ht="80" customHeight="1">
      <c r="A1155" s="5">
        <f>IMAGE("https://images.lululemon.com/is/image/lululemon/LM3FYES_039270_1?wid=320&amp;op_usm=0.8",1)</f>
        <v/>
      </c>
      <c r="B1155" s="5" t="inlineStr">
        <is>
          <t>3D Waffle-Knit Jacquard Vest</t>
        </is>
      </c>
      <c r="C1155" s="5" t="inlineStr">
        <is>
          <t>158028844</t>
        </is>
      </c>
      <c r="D1155" s="5" t="inlineStr">
        <is>
          <t>158028844-solargrey/solargrey</t>
        </is>
      </c>
      <c r="E1155" s="5" t="inlineStr">
        <is>
          <t>3D Waffle Jacquard Vest SOGY/SOGY S</t>
        </is>
      </c>
      <c r="F1155" s="5" t="inlineStr">
        <is>
          <t>$128.00</t>
        </is>
      </c>
      <c r="G1155" s="5" t="inlineStr">
        <is>
          <t>$64.00</t>
        </is>
      </c>
      <c r="H1155" s="5" t="inlineStr">
        <is>
          <t>Solar Grey/Solar Grey</t>
        </is>
      </c>
      <c r="I1155" s="5">
        <f>IMAGE("https://images.lululemon.com/is/image/lululemon/39270",1)</f>
        <v/>
      </c>
      <c r="J1155" s="5" t="inlineStr">
        <is>
          <t>XXL</t>
        </is>
      </c>
      <c r="K1155" s="5" t="inlineStr">
        <is>
          <t>14/172</t>
        </is>
      </c>
      <c r="L1155" s="5" t="inlineStr">
        <is>
          <t>Yes</t>
        </is>
      </c>
      <c r="M1155" s="5" t="inlineStr">
        <is>
          <t>For running a 5k or just to the store, this snap-front vest features a casual neckline and softly textured fabric for breathable, versatile comfort.</t>
        </is>
      </c>
      <c r="N1155" s="5" t="inlineStr">
        <is>
          <t>3D-Waffle-Knit-Jacquard-Vest</t>
        </is>
      </c>
      <c r="O1155" s="5" t="inlineStr">
        <is>
          <t>Vests, Athletic Jackets</t>
        </is>
      </c>
    </row>
    <row r="1156" ht="80" customHeight="1">
      <c r="A1156" s="4">
        <f>IMAGE("https://images.lululemon.com/is/image/lululemon/LM3FFZS_068027_1?wid=320&amp;op_usm=0.8",1)</f>
        <v/>
      </c>
      <c r="B1156" s="4" t="inlineStr">
        <is>
          <t>Relaxed-Fit Smooth Twill Track Jacket</t>
        </is>
      </c>
      <c r="C1156" s="4" t="inlineStr">
        <is>
          <t>154886392</t>
        </is>
      </c>
      <c r="D1156" s="4" t="inlineStr">
        <is>
          <t>154886392-greyoasis</t>
        </is>
      </c>
      <c r="E1156" s="4" t="inlineStr">
        <is>
          <t>Relaxed-Fit Twill Track Jacket GYOS S</t>
        </is>
      </c>
      <c r="F1156" s="4" t="inlineStr">
        <is>
          <t>$148.00</t>
        </is>
      </c>
      <c r="G1156" s="4" t="inlineStr">
        <is>
          <t>$74.00</t>
        </is>
      </c>
      <c r="H1156" s="4" t="inlineStr">
        <is>
          <t>Grey Oasis</t>
        </is>
      </c>
      <c r="I1156" s="4">
        <f>IMAGE("https://images.lululemon.com/is/image/lululemon/68027",1)</f>
        <v/>
      </c>
      <c r="J1156" s="4" t="inlineStr">
        <is>
          <t>S</t>
        </is>
      </c>
      <c r="K1156" s="4" t="inlineStr">
        <is>
          <t>57/703</t>
        </is>
      </c>
      <c r="L1156" s="4" t="inlineStr">
        <is>
          <t>Yes</t>
        </is>
      </c>
      <c r="M1156" s="4" t="inlineStr">
        <is>
          <t>Go beyond the gym. This jacket is made from abrasion-resistant fabric to withstand exposure to equipment and the great outdoors.</t>
        </is>
      </c>
      <c r="N1156" s="4" t="inlineStr">
        <is>
          <t>Relaxed-Fit-Smooth-Twill-Track-Jacket</t>
        </is>
      </c>
      <c r="O1156" s="4" t="inlineStr">
        <is>
          <t>Athletic Jackets, Track Jackets</t>
        </is>
      </c>
    </row>
    <row r="1157" ht="80" customHeight="1">
      <c r="A1157" s="7">
        <f>IMAGE("https://images.lululemon.com/is/image/lululemon/LM3FFZS_068027_1?wid=320&amp;op_usm=0.8",1)</f>
        <v/>
      </c>
      <c r="B1157" s="7" t="inlineStr">
        <is>
          <t>Relaxed-Fit Smooth Twill Track Jacket</t>
        </is>
      </c>
      <c r="C1157" s="7" t="inlineStr">
        <is>
          <t>154886384</t>
        </is>
      </c>
      <c r="D1157" s="7" t="inlineStr">
        <is>
          <t>154886384-greyoasis</t>
        </is>
      </c>
      <c r="E1157" s="7" t="inlineStr">
        <is>
          <t>Relaxed-Fit Twill Track Jacket GYOS S</t>
        </is>
      </c>
      <c r="F1157" s="7" t="inlineStr">
        <is>
          <t>$148.00</t>
        </is>
      </c>
      <c r="G1157" s="7" t="inlineStr">
        <is>
          <t>$74.00</t>
        </is>
      </c>
      <c r="H1157" s="7" t="inlineStr">
        <is>
          <t>Grey Oasis</t>
        </is>
      </c>
      <c r="I1157" s="7">
        <f>IMAGE("https://images.lululemon.com/is/image/lululemon/68027",1)</f>
        <v/>
      </c>
      <c r="J1157" s="7" t="inlineStr">
        <is>
          <t>M</t>
        </is>
      </c>
      <c r="K1157" s="7" t="inlineStr">
        <is>
          <t>194/703</t>
        </is>
      </c>
      <c r="L1157" s="7" t="inlineStr">
        <is>
          <t>Yes</t>
        </is>
      </c>
      <c r="M1157" s="7" t="inlineStr">
        <is>
          <t>Go beyond the gym. This jacket is made from abrasion-resistant fabric to withstand exposure to equipment and the great outdoors.</t>
        </is>
      </c>
      <c r="N1157" s="7" t="inlineStr">
        <is>
          <t>Relaxed-Fit-Smooth-Twill-Track-Jacket</t>
        </is>
      </c>
      <c r="O1157" s="7" t="inlineStr">
        <is>
          <t>Athletic Jackets, Track Jackets</t>
        </is>
      </c>
    </row>
    <row r="1158" ht="80" customHeight="1">
      <c r="A1158" s="4">
        <f>IMAGE("https://images.lululemon.com/is/image/lululemon/LM3FFZS_068027_1?wid=320&amp;op_usm=0.8",1)</f>
        <v/>
      </c>
      <c r="B1158" s="4" t="inlineStr">
        <is>
          <t>Relaxed-Fit Smooth Twill Track Jacket</t>
        </is>
      </c>
      <c r="C1158" s="4" t="inlineStr">
        <is>
          <t>154886376</t>
        </is>
      </c>
      <c r="D1158" s="4" t="inlineStr">
        <is>
          <t>154886376-greyoasis</t>
        </is>
      </c>
      <c r="E1158" s="4" t="inlineStr">
        <is>
          <t>Relaxed-Fit Twill Track Jacket GYOS S</t>
        </is>
      </c>
      <c r="F1158" s="4" t="inlineStr">
        <is>
          <t>$148.00</t>
        </is>
      </c>
      <c r="G1158" s="4" t="inlineStr">
        <is>
          <t>$74.00</t>
        </is>
      </c>
      <c r="H1158" s="4" t="inlineStr">
        <is>
          <t>Grey Oasis</t>
        </is>
      </c>
      <c r="I1158" s="4">
        <f>IMAGE("https://images.lululemon.com/is/image/lululemon/68027",1)</f>
        <v/>
      </c>
      <c r="J1158" s="4" t="inlineStr">
        <is>
          <t>L</t>
        </is>
      </c>
      <c r="K1158" s="4" t="inlineStr">
        <is>
          <t>243/703</t>
        </is>
      </c>
      <c r="L1158" s="4" t="inlineStr">
        <is>
          <t>Yes</t>
        </is>
      </c>
      <c r="M1158" s="4" t="inlineStr">
        <is>
          <t>Go beyond the gym. This jacket is made from abrasion-resistant fabric to withstand exposure to equipment and the great outdoors.</t>
        </is>
      </c>
      <c r="N1158" s="4" t="inlineStr">
        <is>
          <t>Relaxed-Fit-Smooth-Twill-Track-Jacket</t>
        </is>
      </c>
      <c r="O1158" s="4" t="inlineStr">
        <is>
          <t>Athletic Jackets, Track Jackets</t>
        </is>
      </c>
    </row>
    <row r="1159" ht="80" customHeight="1">
      <c r="A1159" s="7">
        <f>IMAGE("https://images.lululemon.com/is/image/lululemon/LM3FFZS_068027_1?wid=320&amp;op_usm=0.8",1)</f>
        <v/>
      </c>
      <c r="B1159" s="7" t="inlineStr">
        <is>
          <t>Relaxed-Fit Smooth Twill Track Jacket</t>
        </is>
      </c>
      <c r="C1159" s="7" t="inlineStr">
        <is>
          <t>154886397</t>
        </is>
      </c>
      <c r="D1159" s="7" t="inlineStr">
        <is>
          <t>154886397-greyoasis</t>
        </is>
      </c>
      <c r="E1159" s="7" t="inlineStr">
        <is>
          <t>Relaxed-Fit Twill Track Jacket GYOS S</t>
        </is>
      </c>
      <c r="F1159" s="7" t="inlineStr">
        <is>
          <t>$148.00</t>
        </is>
      </c>
      <c r="G1159" s="7" t="inlineStr">
        <is>
          <t>$74.00</t>
        </is>
      </c>
      <c r="H1159" s="7" t="inlineStr">
        <is>
          <t>Grey Oasis</t>
        </is>
      </c>
      <c r="I1159" s="7">
        <f>IMAGE("https://images.lululemon.com/is/image/lululemon/68027",1)</f>
        <v/>
      </c>
      <c r="J1159" s="7" t="inlineStr">
        <is>
          <t>XL</t>
        </is>
      </c>
      <c r="K1159" s="7" t="inlineStr">
        <is>
          <t>166/703</t>
        </is>
      </c>
      <c r="L1159" s="7" t="inlineStr">
        <is>
          <t>Yes</t>
        </is>
      </c>
      <c r="M1159" s="7" t="inlineStr">
        <is>
          <t>Go beyond the gym. This jacket is made from abrasion-resistant fabric to withstand exposure to equipment and the great outdoors.</t>
        </is>
      </c>
      <c r="N1159" s="7" t="inlineStr">
        <is>
          <t>Relaxed-Fit-Smooth-Twill-Track-Jacket</t>
        </is>
      </c>
      <c r="O1159" s="7" t="inlineStr">
        <is>
          <t>Athletic Jackets, Track Jackets</t>
        </is>
      </c>
    </row>
    <row r="1160" ht="80" customHeight="1">
      <c r="A1160" s="6">
        <f>IMAGE("https://images.lululemon.com/is/image/lululemon/LM3FFZS_068027_1?wid=320&amp;op_usm=0.8",1)</f>
        <v/>
      </c>
      <c r="B1160" s="6" t="inlineStr">
        <is>
          <t>Relaxed-Fit Smooth Twill Track Jacket</t>
        </is>
      </c>
      <c r="C1160" s="6" t="inlineStr">
        <is>
          <t>154886411</t>
        </is>
      </c>
      <c r="D1160" s="6" t="inlineStr">
        <is>
          <t>154886411-greyoasis</t>
        </is>
      </c>
      <c r="E1160" s="6" t="inlineStr">
        <is>
          <t>Relaxed-Fit Twill Track Jacket GYOS S</t>
        </is>
      </c>
      <c r="F1160" s="6" t="inlineStr">
        <is>
          <t>$148.00</t>
        </is>
      </c>
      <c r="G1160" s="6" t="inlineStr">
        <is>
          <t>$74.00</t>
        </is>
      </c>
      <c r="H1160" s="6" t="inlineStr">
        <is>
          <t>Grey Oasis</t>
        </is>
      </c>
      <c r="I1160" s="6">
        <f>IMAGE("https://images.lululemon.com/is/image/lululemon/68027",1)</f>
        <v/>
      </c>
      <c r="J1160" s="6" t="inlineStr">
        <is>
          <t>XXL</t>
        </is>
      </c>
      <c r="K1160" s="6" t="inlineStr">
        <is>
          <t>43/703</t>
        </is>
      </c>
      <c r="L1160" s="6" t="inlineStr">
        <is>
          <t>Yes</t>
        </is>
      </c>
      <c r="M1160" s="6" t="inlineStr">
        <is>
          <t>Go beyond the gym. This jacket is made from abrasion-resistant fabric to withstand exposure to equipment and the great outdoors.</t>
        </is>
      </c>
      <c r="N1160" s="6" t="inlineStr">
        <is>
          <t>Relaxed-Fit-Smooth-Twill-Track-Jacket</t>
        </is>
      </c>
      <c r="O1160" s="6" t="inlineStr">
        <is>
          <t>Athletic Jackets, Track Jackets</t>
        </is>
      </c>
    </row>
    <row r="1161" ht="80" customHeight="1">
      <c r="A1161" s="7">
        <f>IMAGE("https://images.lululemon.com/is/image/lululemon/LM7BPSS_033928_1?wid=320&amp;op_usm=0.8",1)</f>
        <v/>
      </c>
      <c r="B1161" s="7" t="inlineStr">
        <is>
          <t>Zeroed In Linerless Crinkle Texture Short 5"</t>
        </is>
      </c>
      <c r="C1161" s="7" t="inlineStr">
        <is>
          <t>158100758</t>
        </is>
      </c>
      <c r="D1161" s="7" t="inlineStr">
        <is>
          <t>158100758-silverdrop</t>
        </is>
      </c>
      <c r="E1161" s="7" t="inlineStr">
        <is>
          <t>Zeroed In Crinkle Texture Short 5" *LL SILD S</t>
        </is>
      </c>
      <c r="F1161" s="7" t="inlineStr">
        <is>
          <t>$78.00</t>
        </is>
      </c>
      <c r="G1161" s="7" t="inlineStr">
        <is>
          <t>$39.00</t>
        </is>
      </c>
      <c r="H1161" s="7" t="inlineStr">
        <is>
          <t>Silver Drop</t>
        </is>
      </c>
      <c r="I1161" s="7">
        <f>IMAGE("https://images.lululemon.com/is/image/lululemon/33928",1)</f>
        <v/>
      </c>
      <c r="J1161" s="7" t="inlineStr">
        <is>
          <t>S</t>
        </is>
      </c>
      <c r="K1161" s="7" t="inlineStr">
        <is>
          <t>10/176</t>
        </is>
      </c>
      <c r="L1161" s="7" t="inlineStr">
        <is>
          <t>Yes</t>
        </is>
      </c>
      <c r="M1161" s="7" t="inlineStr">
        <is>
          <t>Work out or hang out. These versatile shorts are designed to keep up with every way you like to move.</t>
        </is>
      </c>
      <c r="N1161" s="7" t="inlineStr">
        <is>
          <t>Zeroed-In-Linerless-Crinkle-Texture-Short-5</t>
        </is>
      </c>
      <c r="O1161" s="7" t="inlineStr"/>
    </row>
    <row r="1162" ht="80" customHeight="1">
      <c r="A1162" s="4">
        <f>IMAGE("https://images.lululemon.com/is/image/lululemon/LM7BPSS_033928_1?wid=320&amp;op_usm=0.8",1)</f>
        <v/>
      </c>
      <c r="B1162" s="4" t="inlineStr">
        <is>
          <t>Zeroed In Linerless Crinkle Texture Short 5"</t>
        </is>
      </c>
      <c r="C1162" s="4" t="inlineStr">
        <is>
          <t>158100753</t>
        </is>
      </c>
      <c r="D1162" s="4" t="inlineStr">
        <is>
          <t>158100753-silverdrop</t>
        </is>
      </c>
      <c r="E1162" s="4" t="inlineStr">
        <is>
          <t>Zeroed In Crinkle Texture Short 5" *LL SILD S</t>
        </is>
      </c>
      <c r="F1162" s="4" t="inlineStr">
        <is>
          <t>$78.00</t>
        </is>
      </c>
      <c r="G1162" s="4" t="inlineStr">
        <is>
          <t>$39.00</t>
        </is>
      </c>
      <c r="H1162" s="4" t="inlineStr">
        <is>
          <t>Silver Drop</t>
        </is>
      </c>
      <c r="I1162" s="4">
        <f>IMAGE("https://images.lululemon.com/is/image/lululemon/33928",1)</f>
        <v/>
      </c>
      <c r="J1162" s="4" t="inlineStr">
        <is>
          <t>M</t>
        </is>
      </c>
      <c r="K1162" s="4" t="inlineStr">
        <is>
          <t>31/176</t>
        </is>
      </c>
      <c r="L1162" s="4" t="inlineStr">
        <is>
          <t>Yes</t>
        </is>
      </c>
      <c r="M1162" s="4" t="inlineStr">
        <is>
          <t>Work out or hang out. These versatile shorts are designed to keep up with every way you like to move.</t>
        </is>
      </c>
      <c r="N1162" s="4" t="inlineStr">
        <is>
          <t>Zeroed-In-Linerless-Crinkle-Texture-Short-5</t>
        </is>
      </c>
      <c r="O1162" s="4" t="inlineStr"/>
    </row>
    <row r="1163" ht="80" customHeight="1">
      <c r="A1163" s="7">
        <f>IMAGE("https://images.lululemon.com/is/image/lululemon/LM7BPSS_033928_1?wid=320&amp;op_usm=0.8",1)</f>
        <v/>
      </c>
      <c r="B1163" s="7" t="inlineStr">
        <is>
          <t>Zeroed In Linerless Crinkle Texture Short 5"</t>
        </is>
      </c>
      <c r="C1163" s="7" t="inlineStr">
        <is>
          <t>158100748</t>
        </is>
      </c>
      <c r="D1163" s="7" t="inlineStr">
        <is>
          <t>158100748-silverdrop</t>
        </is>
      </c>
      <c r="E1163" s="7" t="inlineStr">
        <is>
          <t>Zeroed In Crinkle Texture Short 5" *LL SILD S</t>
        </is>
      </c>
      <c r="F1163" s="7" t="inlineStr">
        <is>
          <t>$78.00</t>
        </is>
      </c>
      <c r="G1163" s="7" t="inlineStr">
        <is>
          <t>$39.00</t>
        </is>
      </c>
      <c r="H1163" s="7" t="inlineStr">
        <is>
          <t>Silver Drop</t>
        </is>
      </c>
      <c r="I1163" s="7">
        <f>IMAGE("https://images.lululemon.com/is/image/lululemon/33928",1)</f>
        <v/>
      </c>
      <c r="J1163" s="7" t="inlineStr">
        <is>
          <t>L</t>
        </is>
      </c>
      <c r="K1163" s="7" t="inlineStr">
        <is>
          <t>32/176</t>
        </is>
      </c>
      <c r="L1163" s="7" t="inlineStr">
        <is>
          <t>Yes</t>
        </is>
      </c>
      <c r="M1163" s="7" t="inlineStr">
        <is>
          <t>Work out or hang out. These versatile shorts are designed to keep up with every way you like to move.</t>
        </is>
      </c>
      <c r="N1163" s="7" t="inlineStr">
        <is>
          <t>Zeroed-In-Linerless-Crinkle-Texture-Short-5</t>
        </is>
      </c>
      <c r="O1163" s="7" t="inlineStr"/>
    </row>
    <row r="1164" ht="80" customHeight="1">
      <c r="A1164" s="4">
        <f>IMAGE("https://images.lululemon.com/is/image/lululemon/LM7BPSS_033928_1?wid=320&amp;op_usm=0.8",1)</f>
        <v/>
      </c>
      <c r="B1164" s="4" t="inlineStr">
        <is>
          <t>Zeroed In Linerless Crinkle Texture Short 5"</t>
        </is>
      </c>
      <c r="C1164" s="4" t="inlineStr">
        <is>
          <t>158100761</t>
        </is>
      </c>
      <c r="D1164" s="4" t="inlineStr">
        <is>
          <t>158100761-silverdrop</t>
        </is>
      </c>
      <c r="E1164" s="4" t="inlineStr">
        <is>
          <t>Zeroed In Crinkle Texture Short 5" *LL SILD S</t>
        </is>
      </c>
      <c r="F1164" s="4" t="inlineStr">
        <is>
          <t>$78.00</t>
        </is>
      </c>
      <c r="G1164" s="4" t="inlineStr">
        <is>
          <t>$39.00</t>
        </is>
      </c>
      <c r="H1164" s="4" t="inlineStr">
        <is>
          <t>Silver Drop</t>
        </is>
      </c>
      <c r="I1164" s="4">
        <f>IMAGE("https://images.lululemon.com/is/image/lululemon/33928",1)</f>
        <v/>
      </c>
      <c r="J1164" s="4" t="inlineStr">
        <is>
          <t>XL</t>
        </is>
      </c>
      <c r="K1164" s="4" t="inlineStr">
        <is>
          <t>22/176</t>
        </is>
      </c>
      <c r="L1164" s="4" t="inlineStr">
        <is>
          <t>Yes</t>
        </is>
      </c>
      <c r="M1164" s="4" t="inlineStr">
        <is>
          <t>Work out or hang out. These versatile shorts are designed to keep up with every way you like to move.</t>
        </is>
      </c>
      <c r="N1164" s="4" t="inlineStr">
        <is>
          <t>Zeroed-In-Linerless-Crinkle-Texture-Short-5</t>
        </is>
      </c>
      <c r="O1164" s="4" t="inlineStr"/>
    </row>
    <row r="1165" ht="80" customHeight="1">
      <c r="A1165" s="7">
        <f>IMAGE("https://images.lululemon.com/is/image/lululemon/LM7BPSS_033928_1?wid=320&amp;op_usm=0.8",1)</f>
        <v/>
      </c>
      <c r="B1165" s="7" t="inlineStr">
        <is>
          <t>Zeroed In Linerless Crinkle Texture Short 5"</t>
        </is>
      </c>
      <c r="C1165" s="7" t="inlineStr">
        <is>
          <t>158100771</t>
        </is>
      </c>
      <c r="D1165" s="7" t="inlineStr">
        <is>
          <t>158100771-silverdrop</t>
        </is>
      </c>
      <c r="E1165" s="7" t="inlineStr">
        <is>
          <t>Zeroed In Crinkle Texture Short 5" *LL SILD S</t>
        </is>
      </c>
      <c r="F1165" s="7" t="inlineStr">
        <is>
          <t>$78.00</t>
        </is>
      </c>
      <c r="G1165" s="7" t="inlineStr">
        <is>
          <t>$39.00</t>
        </is>
      </c>
      <c r="H1165" s="7" t="inlineStr">
        <is>
          <t>Silver Drop</t>
        </is>
      </c>
      <c r="I1165" s="7">
        <f>IMAGE("https://images.lululemon.com/is/image/lululemon/33928",1)</f>
        <v/>
      </c>
      <c r="J1165" s="7" t="inlineStr">
        <is>
          <t>XXL</t>
        </is>
      </c>
      <c r="K1165" s="7" t="inlineStr">
        <is>
          <t>6/176</t>
        </is>
      </c>
      <c r="L1165" s="7" t="inlineStr">
        <is>
          <t>Yes</t>
        </is>
      </c>
      <c r="M1165" s="7" t="inlineStr">
        <is>
          <t>Work out or hang out. These versatile shorts are designed to keep up with every way you like to move.</t>
        </is>
      </c>
      <c r="N1165" s="7" t="inlineStr">
        <is>
          <t>Zeroed-In-Linerless-Crinkle-Texture-Short-5</t>
        </is>
      </c>
      <c r="O1165" s="7" t="inlineStr"/>
    </row>
    <row r="1166" ht="80" customHeight="1">
      <c r="A1166" s="4">
        <f>IMAGE("https://images.lululemon.com/is/image/lululemon/LM7BPSS_033928_1?wid=320&amp;op_usm=0.8",1)</f>
        <v/>
      </c>
      <c r="B1166" s="4" t="inlineStr">
        <is>
          <t>Zeroed In Linerless Crinkle Texture Short 5"</t>
        </is>
      </c>
      <c r="C1166" s="4" t="inlineStr">
        <is>
          <t>158100731</t>
        </is>
      </c>
      <c r="D1166" s="4" t="inlineStr">
        <is>
          <t>158100731-black</t>
        </is>
      </c>
      <c r="E1166" s="4" t="inlineStr">
        <is>
          <t>Zeroed In Crinkle Texture Short 5" *LL SILD S</t>
        </is>
      </c>
      <c r="F1166" s="4" t="inlineStr">
        <is>
          <t>$78.00</t>
        </is>
      </c>
      <c r="G1166" s="4" t="inlineStr">
        <is>
          <t>$39.00</t>
        </is>
      </c>
      <c r="H1166" s="4" t="inlineStr">
        <is>
          <t>Black</t>
        </is>
      </c>
      <c r="I1166" s="4">
        <f>IMAGE("https://images.lululemon.com/is/image/lululemon/0001",1)</f>
        <v/>
      </c>
      <c r="J1166" s="4" t="inlineStr">
        <is>
          <t>S</t>
        </is>
      </c>
      <c r="K1166" s="4" t="inlineStr">
        <is>
          <t>8/176</t>
        </is>
      </c>
      <c r="L1166" s="4" t="inlineStr">
        <is>
          <t>Yes</t>
        </is>
      </c>
      <c r="M1166" s="4" t="inlineStr">
        <is>
          <t>Work out or hang out. These versatile shorts are designed to keep up with every way you like to move.</t>
        </is>
      </c>
      <c r="N1166" s="4" t="inlineStr">
        <is>
          <t>Zeroed-In-Linerless-Crinkle-Texture-Short-5</t>
        </is>
      </c>
      <c r="O1166" s="4" t="inlineStr"/>
    </row>
    <row r="1167" ht="80" customHeight="1">
      <c r="A1167" s="7">
        <f>IMAGE("https://images.lululemon.com/is/image/lululemon/LM7BPSS_033928_1?wid=320&amp;op_usm=0.8",1)</f>
        <v/>
      </c>
      <c r="B1167" s="7" t="inlineStr">
        <is>
          <t>Zeroed In Linerless Crinkle Texture Short 5"</t>
        </is>
      </c>
      <c r="C1167" s="7" t="inlineStr">
        <is>
          <t>158100724</t>
        </is>
      </c>
      <c r="D1167" s="7" t="inlineStr">
        <is>
          <t>158100724-black</t>
        </is>
      </c>
      <c r="E1167" s="7" t="inlineStr">
        <is>
          <t>Zeroed In Crinkle Texture Short 5" *LL SILD S</t>
        </is>
      </c>
      <c r="F1167" s="7" t="inlineStr">
        <is>
          <t>$78.00</t>
        </is>
      </c>
      <c r="G1167" s="7" t="inlineStr">
        <is>
          <t>$39.00</t>
        </is>
      </c>
      <c r="H1167" s="7" t="inlineStr">
        <is>
          <t>Black</t>
        </is>
      </c>
      <c r="I1167" s="7">
        <f>IMAGE("https://images.lululemon.com/is/image/lululemon/0001",1)</f>
        <v/>
      </c>
      <c r="J1167" s="7" t="inlineStr">
        <is>
          <t>M</t>
        </is>
      </c>
      <c r="K1167" s="7" t="inlineStr">
        <is>
          <t>23/176</t>
        </is>
      </c>
      <c r="L1167" s="7" t="inlineStr">
        <is>
          <t>Yes</t>
        </is>
      </c>
      <c r="M1167" s="7" t="inlineStr">
        <is>
          <t>Work out or hang out. These versatile shorts are designed to keep up with every way you like to move.</t>
        </is>
      </c>
      <c r="N1167" s="7" t="inlineStr">
        <is>
          <t>Zeroed-In-Linerless-Crinkle-Texture-Short-5</t>
        </is>
      </c>
      <c r="O1167" s="7" t="inlineStr"/>
    </row>
    <row r="1168" ht="80" customHeight="1">
      <c r="A1168" s="4">
        <f>IMAGE("https://images.lululemon.com/is/image/lululemon/LM7BPSS_033928_1?wid=320&amp;op_usm=0.8",1)</f>
        <v/>
      </c>
      <c r="B1168" s="4" t="inlineStr">
        <is>
          <t>Zeroed In Linerless Crinkle Texture Short 5"</t>
        </is>
      </c>
      <c r="C1168" s="4" t="inlineStr">
        <is>
          <t>158100720</t>
        </is>
      </c>
      <c r="D1168" s="4" t="inlineStr">
        <is>
          <t>158100720-black</t>
        </is>
      </c>
      <c r="E1168" s="4" t="inlineStr">
        <is>
          <t>Zeroed In Crinkle Texture Short 5" *LL SILD S</t>
        </is>
      </c>
      <c r="F1168" s="4" t="inlineStr">
        <is>
          <t>$78.00</t>
        </is>
      </c>
      <c r="G1168" s="4" t="inlineStr">
        <is>
          <t>$39.00</t>
        </is>
      </c>
      <c r="H1168" s="4" t="inlineStr">
        <is>
          <t>Black</t>
        </is>
      </c>
      <c r="I1168" s="4">
        <f>IMAGE("https://images.lululemon.com/is/image/lululemon/0001",1)</f>
        <v/>
      </c>
      <c r="J1168" s="4" t="inlineStr">
        <is>
          <t>L</t>
        </is>
      </c>
      <c r="K1168" s="4" t="inlineStr">
        <is>
          <t>26/176</t>
        </is>
      </c>
      <c r="L1168" s="4" t="inlineStr">
        <is>
          <t>Yes</t>
        </is>
      </c>
      <c r="M1168" s="4" t="inlineStr">
        <is>
          <t>Work out or hang out. These versatile shorts are designed to keep up with every way you like to move.</t>
        </is>
      </c>
      <c r="N1168" s="4" t="inlineStr">
        <is>
          <t>Zeroed-In-Linerless-Crinkle-Texture-Short-5</t>
        </is>
      </c>
      <c r="O1168" s="4" t="inlineStr"/>
    </row>
    <row r="1169" ht="80" customHeight="1">
      <c r="A1169" s="7">
        <f>IMAGE("https://images.lululemon.com/is/image/lululemon/LM7BPSS_033928_1?wid=320&amp;op_usm=0.8",1)</f>
        <v/>
      </c>
      <c r="B1169" s="7" t="inlineStr">
        <is>
          <t>Zeroed In Linerless Crinkle Texture Short 5"</t>
        </is>
      </c>
      <c r="C1169" s="7" t="inlineStr">
        <is>
          <t>158100734</t>
        </is>
      </c>
      <c r="D1169" s="7" t="inlineStr">
        <is>
          <t>158100734-black</t>
        </is>
      </c>
      <c r="E1169" s="7" t="inlineStr">
        <is>
          <t>Zeroed In Crinkle Texture Short 5" *LL SILD S</t>
        </is>
      </c>
      <c r="F1169" s="7" t="inlineStr">
        <is>
          <t>$78.00</t>
        </is>
      </c>
      <c r="G1169" s="7" t="inlineStr">
        <is>
          <t>$39.00</t>
        </is>
      </c>
      <c r="H1169" s="7" t="inlineStr">
        <is>
          <t>Black</t>
        </is>
      </c>
      <c r="I1169" s="7">
        <f>IMAGE("https://images.lululemon.com/is/image/lululemon/0001",1)</f>
        <v/>
      </c>
      <c r="J1169" s="7" t="inlineStr">
        <is>
          <t>XL</t>
        </is>
      </c>
      <c r="K1169" s="7" t="inlineStr">
        <is>
          <t>15/176</t>
        </is>
      </c>
      <c r="L1169" s="7" t="inlineStr">
        <is>
          <t>Yes</t>
        </is>
      </c>
      <c r="M1169" s="7" t="inlineStr">
        <is>
          <t>Work out or hang out. These versatile shorts are designed to keep up with every way you like to move.</t>
        </is>
      </c>
      <c r="N1169" s="7" t="inlineStr">
        <is>
          <t>Zeroed-In-Linerless-Crinkle-Texture-Short-5</t>
        </is>
      </c>
      <c r="O1169" s="7" t="inlineStr"/>
    </row>
    <row r="1170" ht="80" customHeight="1">
      <c r="A1170" s="6">
        <f>IMAGE("https://images.lululemon.com/is/image/lululemon/LM7BPSS_033928_1?wid=320&amp;op_usm=0.8",1)</f>
        <v/>
      </c>
      <c r="B1170" s="6" t="inlineStr">
        <is>
          <t>Zeroed In Linerless Crinkle Texture Short 5"</t>
        </is>
      </c>
      <c r="C1170" s="6" t="inlineStr">
        <is>
          <t>158100744</t>
        </is>
      </c>
      <c r="D1170" s="6" t="inlineStr">
        <is>
          <t>158100744-black</t>
        </is>
      </c>
      <c r="E1170" s="6" t="inlineStr">
        <is>
          <t>Zeroed In Crinkle Texture Short 5" *LL SILD S</t>
        </is>
      </c>
      <c r="F1170" s="6" t="inlineStr">
        <is>
          <t>$78.00</t>
        </is>
      </c>
      <c r="G1170" s="6" t="inlineStr">
        <is>
          <t>$39.00</t>
        </is>
      </c>
      <c r="H1170" s="6" t="inlineStr">
        <is>
          <t>Black</t>
        </is>
      </c>
      <c r="I1170" s="6">
        <f>IMAGE("https://images.lululemon.com/is/image/lululemon/0001",1)</f>
        <v/>
      </c>
      <c r="J1170" s="6" t="inlineStr">
        <is>
          <t>XXL</t>
        </is>
      </c>
      <c r="K1170" s="6" t="inlineStr">
        <is>
          <t>3/176</t>
        </is>
      </c>
      <c r="L1170" s="6" t="inlineStr">
        <is>
          <t>Yes</t>
        </is>
      </c>
      <c r="M1170" s="6" t="inlineStr">
        <is>
          <t>Work out or hang out. These versatile shorts are designed to keep up with every way you like to move.</t>
        </is>
      </c>
      <c r="N1170" s="6" t="inlineStr">
        <is>
          <t>Zeroed-In-Linerless-Crinkle-Texture-Short-5</t>
        </is>
      </c>
      <c r="O1170" s="6" t="inlineStr"/>
    </row>
    <row r="1171" ht="80" customHeight="1">
      <c r="A1171" s="7">
        <f>IMAGE("https://images.lululemon.com/is/image/lululemon/LM7BMHS_031382_1?wid=320&amp;op_usm=0.8",1)</f>
        <v/>
      </c>
      <c r="B1171" s="7" t="inlineStr">
        <is>
          <t>ABC Classic-Fit Short 7" *Warpstreme</t>
        </is>
      </c>
      <c r="C1171" s="7" t="inlineStr">
        <is>
          <t>151850215</t>
        </is>
      </c>
      <c r="D1171" s="7" t="inlineStr">
        <is>
          <t>151850215-truenavy</t>
        </is>
      </c>
      <c r="E1171" s="7" t="inlineStr">
        <is>
          <t>ABC Classic-Fit Short 7" *Warpstreme TRNV 32</t>
        </is>
      </c>
      <c r="F1171" s="7" t="inlineStr">
        <is>
          <t>$88.00</t>
        </is>
      </c>
      <c r="G1171" s="7" t="inlineStr">
        <is>
          <t>$44.00</t>
        </is>
      </c>
      <c r="H1171" s="7" t="inlineStr">
        <is>
          <t>True Navy</t>
        </is>
      </c>
      <c r="I1171" s="7">
        <f>IMAGE("https://images.lululemon.com/is/image/lululemon/31382",1)</f>
        <v/>
      </c>
      <c r="J1171" s="7" t="inlineStr">
        <is>
          <t>32</t>
        </is>
      </c>
      <c r="K1171" s="7" t="inlineStr">
        <is>
          <t>40/957</t>
        </is>
      </c>
      <c r="L1171" s="7" t="inlineStr">
        <is>
          <t>Yes</t>
        </is>
      </c>
      <c r="M1171" s="7" t="inlineStr">
        <is>
          <t>Welcome to the all-day comfort club. Streamlined yet technical, these shorts elevate any look.</t>
        </is>
      </c>
      <c r="N1171" s="7" t="inlineStr">
        <is>
          <t>ABC-Short-Classic-7</t>
        </is>
      </c>
      <c r="O1171" s="7" t="inlineStr">
        <is>
          <t>Chino Shorts</t>
        </is>
      </c>
    </row>
    <row r="1172" ht="80" customHeight="1">
      <c r="A1172" s="4">
        <f>IMAGE("https://images.lululemon.com/is/image/lululemon/LM7BMHS_031382_1?wid=320&amp;op_usm=0.8",1)</f>
        <v/>
      </c>
      <c r="B1172" s="4" t="inlineStr">
        <is>
          <t>ABC Classic-Fit Short 7" *Warpstreme</t>
        </is>
      </c>
      <c r="C1172" s="4" t="inlineStr">
        <is>
          <t>151850216</t>
        </is>
      </c>
      <c r="D1172" s="4" t="inlineStr">
        <is>
          <t>151850216-truenavy</t>
        </is>
      </c>
      <c r="E1172" s="4" t="inlineStr">
        <is>
          <t>ABC Classic-Fit Short 7" *Warpstreme TRNV 32</t>
        </is>
      </c>
      <c r="F1172" s="4" t="inlineStr">
        <is>
          <t>$88.00</t>
        </is>
      </c>
      <c r="G1172" s="4" t="inlineStr">
        <is>
          <t>$44.00</t>
        </is>
      </c>
      <c r="H1172" s="4" t="inlineStr">
        <is>
          <t>True Navy</t>
        </is>
      </c>
      <c r="I1172" s="4">
        <f>IMAGE("https://images.lululemon.com/is/image/lululemon/31382",1)</f>
        <v/>
      </c>
      <c r="J1172" s="4" t="inlineStr">
        <is>
          <t>33</t>
        </is>
      </c>
      <c r="K1172" s="4" t="inlineStr">
        <is>
          <t>41/957</t>
        </is>
      </c>
      <c r="L1172" s="4" t="inlineStr">
        <is>
          <t>Yes</t>
        </is>
      </c>
      <c r="M1172" s="4" t="inlineStr">
        <is>
          <t>Welcome to the all-day comfort club. Streamlined yet technical, these shorts elevate any look.</t>
        </is>
      </c>
      <c r="N1172" s="4" t="inlineStr">
        <is>
          <t>ABC-Short-Classic-7</t>
        </is>
      </c>
      <c r="O1172" s="4" t="inlineStr">
        <is>
          <t>Chino Shorts</t>
        </is>
      </c>
    </row>
    <row r="1173" ht="80" customHeight="1">
      <c r="A1173" s="7">
        <f>IMAGE("https://images.lululemon.com/is/image/lululemon/LM7BMHS_031382_1?wid=320&amp;op_usm=0.8",1)</f>
        <v/>
      </c>
      <c r="B1173" s="7" t="inlineStr">
        <is>
          <t>ABC Classic-Fit Short 7" *Warpstreme</t>
        </is>
      </c>
      <c r="C1173" s="7" t="inlineStr">
        <is>
          <t>151850217</t>
        </is>
      </c>
      <c r="D1173" s="7" t="inlineStr">
        <is>
          <t>151850217-truenavy</t>
        </is>
      </c>
      <c r="E1173" s="7" t="inlineStr">
        <is>
          <t>ABC Classic-Fit Short 7" *Warpstreme TRNV 32</t>
        </is>
      </c>
      <c r="F1173" s="7" t="inlineStr">
        <is>
          <t>$88.00</t>
        </is>
      </c>
      <c r="G1173" s="7" t="inlineStr">
        <is>
          <t>$44.00</t>
        </is>
      </c>
      <c r="H1173" s="7" t="inlineStr">
        <is>
          <t>True Navy</t>
        </is>
      </c>
      <c r="I1173" s="7">
        <f>IMAGE("https://images.lululemon.com/is/image/lululemon/31382",1)</f>
        <v/>
      </c>
      <c r="J1173" s="7" t="inlineStr">
        <is>
          <t>34</t>
        </is>
      </c>
      <c r="K1173" s="7" t="inlineStr">
        <is>
          <t>195/957</t>
        </is>
      </c>
      <c r="L1173" s="7" t="inlineStr">
        <is>
          <t>Yes</t>
        </is>
      </c>
      <c r="M1173" s="7" t="inlineStr">
        <is>
          <t>Welcome to the all-day comfort club. Streamlined yet technical, these shorts elevate any look.</t>
        </is>
      </c>
      <c r="N1173" s="7" t="inlineStr">
        <is>
          <t>ABC-Short-Classic-7</t>
        </is>
      </c>
      <c r="O1173" s="7" t="inlineStr">
        <is>
          <t>Chino Shorts</t>
        </is>
      </c>
    </row>
    <row r="1174" ht="80" customHeight="1">
      <c r="A1174" s="4">
        <f>IMAGE("https://images.lululemon.com/is/image/lululemon/LM7BMHS_031382_1?wid=320&amp;op_usm=0.8",1)</f>
        <v/>
      </c>
      <c r="B1174" s="4" t="inlineStr">
        <is>
          <t>ABC Classic-Fit Short 7" *Warpstreme</t>
        </is>
      </c>
      <c r="C1174" s="4" t="inlineStr">
        <is>
          <t>151850219</t>
        </is>
      </c>
      <c r="D1174" s="4" t="inlineStr">
        <is>
          <t>151850219-truenavy</t>
        </is>
      </c>
      <c r="E1174" s="4" t="inlineStr">
        <is>
          <t>ABC Classic-Fit Short 7" *Warpstreme TRNV 32</t>
        </is>
      </c>
      <c r="F1174" s="4" t="inlineStr">
        <is>
          <t>$88.00</t>
        </is>
      </c>
      <c r="G1174" s="4" t="inlineStr">
        <is>
          <t>$44.00</t>
        </is>
      </c>
      <c r="H1174" s="4" t="inlineStr">
        <is>
          <t>True Navy</t>
        </is>
      </c>
      <c r="I1174" s="4">
        <f>IMAGE("https://images.lululemon.com/is/image/lululemon/31382",1)</f>
        <v/>
      </c>
      <c r="J1174" s="4" t="inlineStr">
        <is>
          <t>36</t>
        </is>
      </c>
      <c r="K1174" s="4" t="inlineStr">
        <is>
          <t>192/957</t>
        </is>
      </c>
      <c r="L1174" s="4" t="inlineStr">
        <is>
          <t>Yes</t>
        </is>
      </c>
      <c r="M1174" s="4" t="inlineStr">
        <is>
          <t>Welcome to the all-day comfort club. Streamlined yet technical, these shorts elevate any look.</t>
        </is>
      </c>
      <c r="N1174" s="4" t="inlineStr">
        <is>
          <t>ABC-Short-Classic-7</t>
        </is>
      </c>
      <c r="O1174" s="4" t="inlineStr">
        <is>
          <t>Chino Shorts</t>
        </is>
      </c>
    </row>
    <row r="1175" ht="80" customHeight="1">
      <c r="A1175" s="7">
        <f>IMAGE("https://images.lululemon.com/is/image/lululemon/LM7BMHS_031382_1?wid=320&amp;op_usm=0.8",1)</f>
        <v/>
      </c>
      <c r="B1175" s="7" t="inlineStr">
        <is>
          <t>ABC Classic-Fit Short 7" *Warpstreme</t>
        </is>
      </c>
      <c r="C1175" s="7" t="inlineStr">
        <is>
          <t>151850221</t>
        </is>
      </c>
      <c r="D1175" s="7" t="inlineStr">
        <is>
          <t>151850221-truenavy</t>
        </is>
      </c>
      <c r="E1175" s="7" t="inlineStr">
        <is>
          <t>ABC Classic-Fit Short 7" *Warpstreme TRNV 32</t>
        </is>
      </c>
      <c r="F1175" s="7" t="inlineStr">
        <is>
          <t>$88.00</t>
        </is>
      </c>
      <c r="G1175" s="7" t="inlineStr">
        <is>
          <t>$44.00</t>
        </is>
      </c>
      <c r="H1175" s="7" t="inlineStr">
        <is>
          <t>True Navy</t>
        </is>
      </c>
      <c r="I1175" s="7">
        <f>IMAGE("https://images.lululemon.com/is/image/lululemon/31382",1)</f>
        <v/>
      </c>
      <c r="J1175" s="7" t="inlineStr">
        <is>
          <t>38</t>
        </is>
      </c>
      <c r="K1175" s="7" t="inlineStr">
        <is>
          <t>177/957</t>
        </is>
      </c>
      <c r="L1175" s="7" t="inlineStr">
        <is>
          <t>Yes</t>
        </is>
      </c>
      <c r="M1175" s="7" t="inlineStr">
        <is>
          <t>Welcome to the all-day comfort club. Streamlined yet technical, these shorts elevate any look.</t>
        </is>
      </c>
      <c r="N1175" s="7" t="inlineStr">
        <is>
          <t>ABC-Short-Classic-7</t>
        </is>
      </c>
      <c r="O1175" s="7" t="inlineStr">
        <is>
          <t>Chino Shorts</t>
        </is>
      </c>
    </row>
    <row r="1176" ht="80" customHeight="1">
      <c r="A1176" s="4">
        <f>IMAGE("https://images.lululemon.com/is/image/lululemon/LM7BMHS_031382_1?wid=320&amp;op_usm=0.8",1)</f>
        <v/>
      </c>
      <c r="B1176" s="4" t="inlineStr">
        <is>
          <t>ABC Classic-Fit Short 7" *Warpstreme</t>
        </is>
      </c>
      <c r="C1176" s="4" t="inlineStr">
        <is>
          <t>151850223</t>
        </is>
      </c>
      <c r="D1176" s="4" t="inlineStr">
        <is>
          <t>151850223-truenavy</t>
        </is>
      </c>
      <c r="E1176" s="4" t="inlineStr">
        <is>
          <t>ABC Classic-Fit Short 7" *Warpstreme TRNV 32</t>
        </is>
      </c>
      <c r="F1176" s="4" t="inlineStr">
        <is>
          <t>$88.00</t>
        </is>
      </c>
      <c r="G1176" s="4" t="inlineStr">
        <is>
          <t>$44.00</t>
        </is>
      </c>
      <c r="H1176" s="4" t="inlineStr">
        <is>
          <t>True Navy</t>
        </is>
      </c>
      <c r="I1176" s="4">
        <f>IMAGE("https://images.lululemon.com/is/image/lululemon/31382",1)</f>
        <v/>
      </c>
      <c r="J1176" s="4" t="inlineStr">
        <is>
          <t>40</t>
        </is>
      </c>
      <c r="K1176" s="4" t="inlineStr">
        <is>
          <t>44/957</t>
        </is>
      </c>
      <c r="L1176" s="4" t="inlineStr">
        <is>
          <t>Yes</t>
        </is>
      </c>
      <c r="M1176" s="4" t="inlineStr">
        <is>
          <t>Welcome to the all-day comfort club. Streamlined yet technical, these shorts elevate any look.</t>
        </is>
      </c>
      <c r="N1176" s="4" t="inlineStr">
        <is>
          <t>ABC-Short-Classic-7</t>
        </is>
      </c>
      <c r="O1176" s="4" t="inlineStr">
        <is>
          <t>Chino Shorts</t>
        </is>
      </c>
    </row>
    <row r="1177" ht="80" customHeight="1">
      <c r="A1177" s="7">
        <f>IMAGE("https://images.lululemon.com/is/image/lululemon/LM7BMHS_031382_1?wid=320&amp;op_usm=0.8",1)</f>
        <v/>
      </c>
      <c r="B1177" s="7" t="inlineStr">
        <is>
          <t>ABC Classic-Fit Short 7" *Warpstreme</t>
        </is>
      </c>
      <c r="C1177" s="7" t="inlineStr">
        <is>
          <t>151925182</t>
        </is>
      </c>
      <c r="D1177" s="7" t="inlineStr">
        <is>
          <t>151925182-black</t>
        </is>
      </c>
      <c r="E1177" s="7" t="inlineStr">
        <is>
          <t>ABC Classic-Fit Short 7" *Warpstreme TRNV 32</t>
        </is>
      </c>
      <c r="F1177" s="7" t="inlineStr">
        <is>
          <t>$88.00</t>
        </is>
      </c>
      <c r="G1177" s="7" t="inlineStr">
        <is>
          <t>$44.00</t>
        </is>
      </c>
      <c r="H1177" s="7" t="inlineStr">
        <is>
          <t>Black</t>
        </is>
      </c>
      <c r="I1177" s="7">
        <f>IMAGE("https://images.lululemon.com/is/image/lululemon/0001",1)</f>
        <v/>
      </c>
      <c r="J1177" s="7" t="inlineStr">
        <is>
          <t>33</t>
        </is>
      </c>
      <c r="K1177" s="7" t="inlineStr">
        <is>
          <t>32/957</t>
        </is>
      </c>
      <c r="L1177" s="7" t="inlineStr">
        <is>
          <t>Yes</t>
        </is>
      </c>
      <c r="M1177" s="7" t="inlineStr">
        <is>
          <t>Welcome to the all-day comfort club. Streamlined yet technical, these shorts elevate any look.</t>
        </is>
      </c>
      <c r="N1177" s="7" t="inlineStr">
        <is>
          <t>ABC-Short-Classic-7</t>
        </is>
      </c>
      <c r="O1177" s="7" t="inlineStr">
        <is>
          <t>Chino Shorts</t>
        </is>
      </c>
    </row>
    <row r="1178" ht="80" customHeight="1">
      <c r="A1178" s="4">
        <f>IMAGE("https://images.lululemon.com/is/image/lululemon/LM7BMHS_031382_1?wid=320&amp;op_usm=0.8",1)</f>
        <v/>
      </c>
      <c r="B1178" s="4" t="inlineStr">
        <is>
          <t>ABC Classic-Fit Short 7" *Warpstreme</t>
        </is>
      </c>
      <c r="C1178" s="4" t="inlineStr">
        <is>
          <t>151925184</t>
        </is>
      </c>
      <c r="D1178" s="4" t="inlineStr">
        <is>
          <t>151925184-black</t>
        </is>
      </c>
      <c r="E1178" s="4" t="inlineStr">
        <is>
          <t>ABC Classic-Fit Short 7" *Warpstreme TRNV 32</t>
        </is>
      </c>
      <c r="F1178" s="4" t="inlineStr">
        <is>
          <t>$88.00</t>
        </is>
      </c>
      <c r="G1178" s="4" t="inlineStr">
        <is>
          <t>$44.00</t>
        </is>
      </c>
      <c r="H1178" s="4" t="inlineStr">
        <is>
          <t>Black</t>
        </is>
      </c>
      <c r="I1178" s="4">
        <f>IMAGE("https://images.lululemon.com/is/image/lululemon/0001",1)</f>
        <v/>
      </c>
      <c r="J1178" s="4" t="inlineStr">
        <is>
          <t>34</t>
        </is>
      </c>
      <c r="K1178" s="4" t="inlineStr">
        <is>
          <t>83/957</t>
        </is>
      </c>
      <c r="L1178" s="4" t="inlineStr">
        <is>
          <t>Yes</t>
        </is>
      </c>
      <c r="M1178" s="4" t="inlineStr">
        <is>
          <t>Welcome to the all-day comfort club. Streamlined yet technical, these shorts elevate any look.</t>
        </is>
      </c>
      <c r="N1178" s="4" t="inlineStr">
        <is>
          <t>ABC-Short-Classic-7</t>
        </is>
      </c>
      <c r="O1178" s="4" t="inlineStr">
        <is>
          <t>Chino Shorts</t>
        </is>
      </c>
    </row>
    <row r="1179" ht="80" customHeight="1">
      <c r="A1179" s="7">
        <f>IMAGE("https://images.lululemon.com/is/image/lululemon/LM7BMHS_031382_1?wid=320&amp;op_usm=0.8",1)</f>
        <v/>
      </c>
      <c r="B1179" s="7" t="inlineStr">
        <is>
          <t>ABC Classic-Fit Short 7" *Warpstreme</t>
        </is>
      </c>
      <c r="C1179" s="7" t="inlineStr">
        <is>
          <t>151925188</t>
        </is>
      </c>
      <c r="D1179" s="7" t="inlineStr">
        <is>
          <t>151925188-black</t>
        </is>
      </c>
      <c r="E1179" s="7" t="inlineStr">
        <is>
          <t>ABC Classic-Fit Short 7" *Warpstreme TRNV 32</t>
        </is>
      </c>
      <c r="F1179" s="7" t="inlineStr">
        <is>
          <t>$88.00</t>
        </is>
      </c>
      <c r="G1179" s="7" t="inlineStr">
        <is>
          <t>$44.00</t>
        </is>
      </c>
      <c r="H1179" s="7" t="inlineStr">
        <is>
          <t>Black</t>
        </is>
      </c>
      <c r="I1179" s="7">
        <f>IMAGE("https://images.lululemon.com/is/image/lululemon/0001",1)</f>
        <v/>
      </c>
      <c r="J1179" s="7" t="inlineStr">
        <is>
          <t>36</t>
        </is>
      </c>
      <c r="K1179" s="7" t="inlineStr">
        <is>
          <t>66/957</t>
        </is>
      </c>
      <c r="L1179" s="7" t="inlineStr">
        <is>
          <t>Yes</t>
        </is>
      </c>
      <c r="M1179" s="7" t="inlineStr">
        <is>
          <t>Welcome to the all-day comfort club. Streamlined yet technical, these shorts elevate any look.</t>
        </is>
      </c>
      <c r="N1179" s="7" t="inlineStr">
        <is>
          <t>ABC-Short-Classic-7</t>
        </is>
      </c>
      <c r="O1179" s="7" t="inlineStr">
        <is>
          <t>Chino Shorts</t>
        </is>
      </c>
    </row>
    <row r="1180" ht="80" customHeight="1">
      <c r="A1180" s="4">
        <f>IMAGE("https://images.lululemon.com/is/image/lululemon/LM7BMHS_031382_1?wid=320&amp;op_usm=0.8",1)</f>
        <v/>
      </c>
      <c r="B1180" s="4" t="inlineStr">
        <is>
          <t>ABC Classic-Fit Short 7" *Warpstreme</t>
        </is>
      </c>
      <c r="C1180" s="4" t="inlineStr">
        <is>
          <t>151925192</t>
        </is>
      </c>
      <c r="D1180" s="4" t="inlineStr">
        <is>
          <t>151925192-black</t>
        </is>
      </c>
      <c r="E1180" s="4" t="inlineStr">
        <is>
          <t>ABC Classic-Fit Short 7" *Warpstreme TRNV 32</t>
        </is>
      </c>
      <c r="F1180" s="4" t="inlineStr">
        <is>
          <t>$88.00</t>
        </is>
      </c>
      <c r="G1180" s="4" t="inlineStr">
        <is>
          <t>$44.00</t>
        </is>
      </c>
      <c r="H1180" s="4" t="inlineStr">
        <is>
          <t>Black</t>
        </is>
      </c>
      <c r="I1180" s="4">
        <f>IMAGE("https://images.lululemon.com/is/image/lululemon/0001",1)</f>
        <v/>
      </c>
      <c r="J1180" s="4" t="inlineStr">
        <is>
          <t>38</t>
        </is>
      </c>
      <c r="K1180" s="4" t="inlineStr">
        <is>
          <t>42/957</t>
        </is>
      </c>
      <c r="L1180" s="4" t="inlineStr">
        <is>
          <t>Yes</t>
        </is>
      </c>
      <c r="M1180" s="4" t="inlineStr">
        <is>
          <t>Welcome to the all-day comfort club. Streamlined yet technical, these shorts elevate any look.</t>
        </is>
      </c>
      <c r="N1180" s="4" t="inlineStr">
        <is>
          <t>ABC-Short-Classic-7</t>
        </is>
      </c>
      <c r="O1180" s="4" t="inlineStr">
        <is>
          <t>Chino Shorts</t>
        </is>
      </c>
    </row>
    <row r="1181" ht="80" customHeight="1">
      <c r="A1181" s="5">
        <f>IMAGE("https://images.lululemon.com/is/image/lululemon/LM7BMHS_031382_1?wid=320&amp;op_usm=0.8",1)</f>
        <v/>
      </c>
      <c r="B1181" s="5" t="inlineStr">
        <is>
          <t>ABC Classic-Fit Short 7" *Warpstreme</t>
        </is>
      </c>
      <c r="C1181" s="5" t="inlineStr">
        <is>
          <t>151925196</t>
        </is>
      </c>
      <c r="D1181" s="5" t="inlineStr">
        <is>
          <t>151925196-black</t>
        </is>
      </c>
      <c r="E1181" s="5" t="inlineStr">
        <is>
          <t>ABC Classic-Fit Short 7" *Warpstreme TRNV 32</t>
        </is>
      </c>
      <c r="F1181" s="5" t="inlineStr">
        <is>
          <t>$88.00</t>
        </is>
      </c>
      <c r="G1181" s="5" t="inlineStr">
        <is>
          <t>$44.00</t>
        </is>
      </c>
      <c r="H1181" s="5" t="inlineStr">
        <is>
          <t>Black</t>
        </is>
      </c>
      <c r="I1181" s="5">
        <f>IMAGE("https://images.lululemon.com/is/image/lululemon/0001",1)</f>
        <v/>
      </c>
      <c r="J1181" s="5" t="inlineStr">
        <is>
          <t>40</t>
        </is>
      </c>
      <c r="K1181" s="5" t="inlineStr">
        <is>
          <t>45/957</t>
        </is>
      </c>
      <c r="L1181" s="5" t="inlineStr">
        <is>
          <t>Yes</t>
        </is>
      </c>
      <c r="M1181" s="5" t="inlineStr">
        <is>
          <t>Welcome to the all-day comfort club. Streamlined yet technical, these shorts elevate any look.</t>
        </is>
      </c>
      <c r="N1181" s="5" t="inlineStr">
        <is>
          <t>ABC-Short-Classic-7</t>
        </is>
      </c>
      <c r="O1181" s="5" t="inlineStr">
        <is>
          <t>Chino Shorts</t>
        </is>
      </c>
    </row>
    <row r="1182" ht="80" customHeight="1">
      <c r="A1182" s="6">
        <f>IMAGE("https://images.lululemon.com/is/image/lululemon/LU9BW1S_0001_1?wid=320&amp;op_usm=0.8",1)</f>
        <v/>
      </c>
      <c r="B1182" s="6" t="inlineStr">
        <is>
          <t>Close-Fit Wool-Blend Ribbed Knit Beanie</t>
        </is>
      </c>
      <c r="C1182" s="6" t="inlineStr">
        <is>
          <t>153826998</t>
        </is>
      </c>
      <c r="D1182" s="6" t="inlineStr">
        <is>
          <t>153826998-black</t>
        </is>
      </c>
      <c r="E1182" s="6" t="inlineStr">
        <is>
          <t>Close-Fit Wool-Blend Ribbed Knit Beanie BLK ONE SIZE</t>
        </is>
      </c>
      <c r="F1182" s="6" t="inlineStr">
        <is>
          <t>$48.00</t>
        </is>
      </c>
      <c r="G1182" s="6" t="inlineStr">
        <is>
          <t>$24.00</t>
        </is>
      </c>
      <c r="H1182" s="6" t="inlineStr">
        <is>
          <t>Black</t>
        </is>
      </c>
      <c r="I1182" s="6">
        <f>IMAGE("https://images.lululemon.com/is/image/lululemon/0001",1)</f>
        <v/>
      </c>
      <c r="J1182" s="6" t="inlineStr">
        <is>
          <t>O/S</t>
        </is>
      </c>
      <c r="K1182" s="6" t="inlineStr">
        <is>
          <t>380/380</t>
        </is>
      </c>
      <c r="L1182" s="6" t="inlineStr">
        <is>
          <t>Yes</t>
        </is>
      </c>
      <c r="M1182" s="6" t="inlineStr">
        <is>
          <t>Keep the cozy close. This lightweight, soft beanie is strategically knit to maintain a close fit, keeping things toasty up top.</t>
        </is>
      </c>
      <c r="N1182" s="6" t="inlineStr">
        <is>
          <t>Close-Wool-Blend-Ribbed-Knit-Beanie</t>
        </is>
      </c>
      <c r="O1182" s="6" t="inlineStr">
        <is>
          <t>Beanies</t>
        </is>
      </c>
    </row>
    <row r="1183" ht="80" customHeight="1">
      <c r="A1183" s="7">
        <f>IMAGE("https://images.lululemon.com/is/image/lululemon/LU9BYLS_069147_1?wid=320&amp;op_usm=0.8",1)</f>
        <v/>
      </c>
      <c r="B1183" s="7" t="inlineStr">
        <is>
          <t>Back to Life Sport Bottle 24oz *Straw Lid</t>
        </is>
      </c>
      <c r="C1183" s="7" t="inlineStr">
        <is>
          <t>157718272</t>
        </is>
      </c>
      <c r="D1183" s="7" t="inlineStr">
        <is>
          <t>157718272-black/violetindigo/duskylavender</t>
        </is>
      </c>
      <c r="E1183" s="7" t="inlineStr">
        <is>
          <t>Back to Life Sport Bottle 24oz*Straw Lid BLK/VIOI/DKLV ONE SIZE</t>
        </is>
      </c>
      <c r="F1183" s="7" t="inlineStr">
        <is>
          <t>$44.00</t>
        </is>
      </c>
      <c r="G1183" s="7" t="inlineStr">
        <is>
          <t>$22.00</t>
        </is>
      </c>
      <c r="H1183" s="7" t="inlineStr">
        <is>
          <t>Black/Violet Indigo/Dusky Lavender</t>
        </is>
      </c>
      <c r="I1183" s="7">
        <f>IMAGE("https://images.lululemon.com/is/image/lululemon/69147",1)</f>
        <v/>
      </c>
      <c r="J1183" s="7" t="inlineStr">
        <is>
          <t>O/S</t>
        </is>
      </c>
      <c r="K1183" s="7" t="inlineStr">
        <is>
          <t>106/220</t>
        </is>
      </c>
      <c r="L1183" s="7" t="inlineStr">
        <is>
          <t>Yes</t>
        </is>
      </c>
      <c r="M1183" s="7" t="inlineStr">
        <is>
          <t>Sport mode: activated. This insulated water bottle has a built-in straw lid and a slip-free texture to make one-handed drinking a breeze.</t>
        </is>
      </c>
      <c r="N1183" s="7" t="inlineStr">
        <is>
          <t>Bck-to-Life-Sprt-Bttle-24oz-Straw-Lid</t>
        </is>
      </c>
      <c r="O1183" s="7" t="inlineStr"/>
    </row>
    <row r="1184" ht="80" customHeight="1">
      <c r="A1184" s="4">
        <f>IMAGE("https://images.lululemon.com/is/image/lululemon/LU9BYLS_069147_1?wid=320&amp;op_usm=0.8",1)</f>
        <v/>
      </c>
      <c r="B1184" s="4" t="inlineStr">
        <is>
          <t>Back to Life Sport Bottle 24oz *Straw Lid</t>
        </is>
      </c>
      <c r="C1184" s="4" t="inlineStr">
        <is>
          <t>157718216</t>
        </is>
      </c>
      <c r="D1184" s="4" t="inlineStr">
        <is>
          <t>157718216-white/dovegrey/pelican</t>
        </is>
      </c>
      <c r="E1184" s="4" t="inlineStr">
        <is>
          <t>Back to Life Sport Bottle 24oz*Straw Lid BLK/VIOI/DKLV ONE SIZE</t>
        </is>
      </c>
      <c r="F1184" s="4" t="inlineStr">
        <is>
          <t>$44.00</t>
        </is>
      </c>
      <c r="G1184" s="4" t="inlineStr">
        <is>
          <t>$22.00</t>
        </is>
      </c>
      <c r="H1184" s="4" t="inlineStr">
        <is>
          <t>White/Dove Grey/Pelican</t>
        </is>
      </c>
      <c r="I1184" s="4">
        <f>IMAGE("https://images.lululemon.com/is/image/lululemon/74492",1)</f>
        <v/>
      </c>
      <c r="J1184" s="4" t="inlineStr">
        <is>
          <t>O/S</t>
        </is>
      </c>
      <c r="K1184" s="4" t="inlineStr">
        <is>
          <t>112/220</t>
        </is>
      </c>
      <c r="L1184" s="4" t="inlineStr">
        <is>
          <t>Yes</t>
        </is>
      </c>
      <c r="M1184" s="4" t="inlineStr">
        <is>
          <t>Sport mode: activated. This insulated water bottle has a built-in straw lid and a slip-free texture to make one-handed drinking a breeze.</t>
        </is>
      </c>
      <c r="N1184" s="4" t="inlineStr">
        <is>
          <t>Bck-to-Life-Sprt-Bttle-24oz-Straw-Lid</t>
        </is>
      </c>
      <c r="O1184" s="4" t="inlineStr"/>
    </row>
    <row r="1185" ht="80" customHeight="1">
      <c r="A1185" s="5">
        <f>IMAGE("https://images.lululemon.com/is/image/lululemon/LU9BYLS_069147_1?wid=320&amp;op_usm=0.8",1)</f>
        <v/>
      </c>
      <c r="B1185" s="5" t="inlineStr">
        <is>
          <t>Back to Life Sport Bottle 24oz *Straw Lid</t>
        </is>
      </c>
      <c r="C1185" s="5" t="inlineStr">
        <is>
          <t>148400244</t>
        </is>
      </c>
      <c r="D1185" s="5" t="inlineStr">
        <is>
          <t>148400244-white</t>
        </is>
      </c>
      <c r="E1185" s="5" t="inlineStr">
        <is>
          <t>Back to Life Sport Bottle 24oz*Straw Lid BLK/VIOI/DKLV ONE SIZE</t>
        </is>
      </c>
      <c r="F1185" s="5" t="inlineStr">
        <is>
          <t>$44.00</t>
        </is>
      </c>
      <c r="G1185" s="5" t="inlineStr">
        <is>
          <t>$22.00</t>
        </is>
      </c>
      <c r="H1185" s="5" t="inlineStr">
        <is>
          <t>White</t>
        </is>
      </c>
      <c r="I1185" s="5">
        <f>IMAGE("https://images.lululemon.com/is/image/lululemon/0002",1)</f>
        <v/>
      </c>
      <c r="J1185" s="5" t="inlineStr">
        <is>
          <t>O/S</t>
        </is>
      </c>
      <c r="K1185" s="5" t="inlineStr">
        <is>
          <t>2/220</t>
        </is>
      </c>
      <c r="L1185" s="5" t="inlineStr">
        <is>
          <t>Yes</t>
        </is>
      </c>
      <c r="M1185" s="5" t="inlineStr">
        <is>
          <t>Sport mode: activated. This insulated water bottle has a built-in straw lid and a slip-free texture to make one-handed drinking a breeze.</t>
        </is>
      </c>
      <c r="N1185" s="5" t="inlineStr">
        <is>
          <t>Bck-to-Life-Sprt-Bttle-24oz-Straw-Lid</t>
        </is>
      </c>
      <c r="O1185" s="5" t="inlineStr"/>
    </row>
    <row r="1186" ht="80" customHeight="1">
      <c r="A1186" s="6">
        <f>IMAGE("https://images.lululemon.com/is/image/lululemon/LW9FM7S_0002_1?wid=320&amp;op_usm=0.8",1)</f>
        <v/>
      </c>
      <c r="B1186" s="6" t="inlineStr">
        <is>
          <t>Women's Fast Paced Wide Band Running Visor</t>
        </is>
      </c>
      <c r="C1186" s="6" t="inlineStr">
        <is>
          <t>150750152</t>
        </is>
      </c>
      <c r="D1186" s="6" t="inlineStr">
        <is>
          <t>150750152-white</t>
        </is>
      </c>
      <c r="E1186" s="6" t="inlineStr">
        <is>
          <t>Fast Paced Wide Band Run Visor WHT ONE SIZE</t>
        </is>
      </c>
      <c r="F1186" s="6" t="inlineStr">
        <is>
          <t>$28.00</t>
        </is>
      </c>
      <c r="G1186" s="6" t="inlineStr">
        <is>
          <t>$14.00</t>
        </is>
      </c>
      <c r="H1186" s="6" t="inlineStr">
        <is>
          <t>White</t>
        </is>
      </c>
      <c r="I1186" s="6">
        <f>IMAGE("https://images.lululemon.com/is/image/lululemon/0002",1)</f>
        <v/>
      </c>
      <c r="J1186" s="6" t="inlineStr">
        <is>
          <t>O/S</t>
        </is>
      </c>
      <c r="K1186" s="6" t="inlineStr">
        <is>
          <t>716/716</t>
        </is>
      </c>
      <c r="L1186" s="6" t="inlineStr">
        <is>
          <t>Yes</t>
        </is>
      </c>
      <c r="M1186" s="6" t="inlineStr">
        <is>
          <t>Feel the wind, not the rays. We added height to the front band of this visor for extra coverage on your forehead. The ultimate run-in-the-sun solution just levelled up.</t>
        </is>
      </c>
      <c r="N1186" s="6" t="inlineStr">
        <is>
          <t>W-Fast-Paced-Wide-Band-Running-Visor</t>
        </is>
      </c>
      <c r="O1186" s="6" t="inlineStr">
        <is>
          <t>Visors</t>
        </is>
      </c>
    </row>
    <row r="1187" ht="80" customHeight="1">
      <c r="A1187" s="7">
        <f>IMAGE("https://images.lululemon.com/is/image/lululemon/LU9DO5S_0002_1?wid=320&amp;op_usm=0.8",1)</f>
        <v/>
      </c>
      <c r="B1187" s="7" t="inlineStr">
        <is>
          <t>Unisex Daily Essential Crew Socks</t>
        </is>
      </c>
      <c r="C1187" s="7" t="inlineStr">
        <is>
          <t>157768511</t>
        </is>
      </c>
      <c r="D1187" s="7" t="inlineStr">
        <is>
          <t>157768511-white</t>
        </is>
      </c>
      <c r="E1187" s="7" t="inlineStr">
        <is>
          <t>Daily Essential Socks WHT S</t>
        </is>
      </c>
      <c r="F1187" s="7" t="inlineStr">
        <is>
          <t>$14.00</t>
        </is>
      </c>
      <c r="G1187" s="7" t="inlineStr">
        <is>
          <t>$7.00</t>
        </is>
      </c>
      <c r="H1187" s="7" t="inlineStr">
        <is>
          <t>White</t>
        </is>
      </c>
      <c r="I1187" s="7">
        <f>IMAGE("https://images.lululemon.com/is/image/lululemon/0002",1)</f>
        <v/>
      </c>
      <c r="J1187" s="7" t="inlineStr">
        <is>
          <t>S</t>
        </is>
      </c>
      <c r="K1187" s="7" t="inlineStr">
        <is>
          <t>38/183</t>
        </is>
      </c>
      <c r="L1187" s="7" t="inlineStr">
        <is>
          <t>Yes</t>
        </is>
      </c>
      <c r="M1187" s="7" t="inlineStr">
        <is>
          <t>Top drawer comfort. These soft cotton socks combine integrated arch support and plush cushioning.</t>
        </is>
      </c>
      <c r="N1187" s="7" t="inlineStr">
        <is>
          <t>Unisex-Daily-Essential-Crew-Socks</t>
        </is>
      </c>
      <c r="O1187" s="7" t="inlineStr">
        <is>
          <t>Crew Socks</t>
        </is>
      </c>
    </row>
    <row r="1188" ht="80" customHeight="1">
      <c r="A1188" s="4">
        <f>IMAGE("https://images.lululemon.com/is/image/lululemon/LU9DO5S_0002_1?wid=320&amp;op_usm=0.8",1)</f>
        <v/>
      </c>
      <c r="B1188" s="4" t="inlineStr">
        <is>
          <t>Unisex Daily Essential Crew Socks</t>
        </is>
      </c>
      <c r="C1188" s="4" t="inlineStr">
        <is>
          <t>157768509</t>
        </is>
      </c>
      <c r="D1188" s="4" t="inlineStr">
        <is>
          <t>157768509-white</t>
        </is>
      </c>
      <c r="E1188" s="4" t="inlineStr">
        <is>
          <t>Daily Essential Socks WHT S</t>
        </is>
      </c>
      <c r="F1188" s="4" t="inlineStr">
        <is>
          <t>$14.00</t>
        </is>
      </c>
      <c r="G1188" s="4" t="inlineStr">
        <is>
          <t>$7.00</t>
        </is>
      </c>
      <c r="H1188" s="4" t="inlineStr">
        <is>
          <t>White</t>
        </is>
      </c>
      <c r="I1188" s="4">
        <f>IMAGE("https://images.lululemon.com/is/image/lululemon/0002",1)</f>
        <v/>
      </c>
      <c r="J1188" s="4" t="inlineStr">
        <is>
          <t>M</t>
        </is>
      </c>
      <c r="K1188" s="4" t="inlineStr">
        <is>
          <t>68/183</t>
        </is>
      </c>
      <c r="L1188" s="4" t="inlineStr">
        <is>
          <t>Yes</t>
        </is>
      </c>
      <c r="M1188" s="4" t="inlineStr">
        <is>
          <t>Top drawer comfort. These soft cotton socks combine integrated arch support and plush cushioning.</t>
        </is>
      </c>
      <c r="N1188" s="4" t="inlineStr">
        <is>
          <t>Unisex-Daily-Essential-Crew-Socks</t>
        </is>
      </c>
      <c r="O1188" s="4" t="inlineStr">
        <is>
          <t>Crew Socks</t>
        </is>
      </c>
    </row>
    <row r="1189" ht="80" customHeight="1">
      <c r="A1189" s="7">
        <f>IMAGE("https://images.lululemon.com/is/image/lululemon/LU9DO5S_0002_1?wid=320&amp;op_usm=0.8",1)</f>
        <v/>
      </c>
      <c r="B1189" s="7" t="inlineStr">
        <is>
          <t>Unisex Daily Essential Crew Socks</t>
        </is>
      </c>
      <c r="C1189" s="7" t="inlineStr">
        <is>
          <t>157768503</t>
        </is>
      </c>
      <c r="D1189" s="7" t="inlineStr">
        <is>
          <t>157768503-white</t>
        </is>
      </c>
      <c r="E1189" s="7" t="inlineStr">
        <is>
          <t>Daily Essential Socks WHT S</t>
        </is>
      </c>
      <c r="F1189" s="7" t="inlineStr">
        <is>
          <t>$14.00</t>
        </is>
      </c>
      <c r="G1189" s="7" t="inlineStr">
        <is>
          <t>$7.00</t>
        </is>
      </c>
      <c r="H1189" s="7" t="inlineStr">
        <is>
          <t>White</t>
        </is>
      </c>
      <c r="I1189" s="7">
        <f>IMAGE("https://images.lululemon.com/is/image/lululemon/0002",1)</f>
        <v/>
      </c>
      <c r="J1189" s="7" t="inlineStr">
        <is>
          <t>L</t>
        </is>
      </c>
      <c r="K1189" s="7" t="inlineStr">
        <is>
          <t>56/183</t>
        </is>
      </c>
      <c r="L1189" s="7" t="inlineStr">
        <is>
          <t>Yes</t>
        </is>
      </c>
      <c r="M1189" s="7" t="inlineStr">
        <is>
          <t>Top drawer comfort. These soft cotton socks combine integrated arch support and plush cushioning.</t>
        </is>
      </c>
      <c r="N1189" s="7" t="inlineStr">
        <is>
          <t>Unisex-Daily-Essential-Crew-Socks</t>
        </is>
      </c>
      <c r="O1189" s="7" t="inlineStr">
        <is>
          <t>Crew Socks</t>
        </is>
      </c>
    </row>
    <row r="1190" ht="80" customHeight="1">
      <c r="A1190" s="6">
        <f>IMAGE("https://images.lululemon.com/is/image/lululemon/LU9DO5S_0002_1?wid=320&amp;op_usm=0.8",1)</f>
        <v/>
      </c>
      <c r="B1190" s="6" t="inlineStr">
        <is>
          <t>Unisex Daily Essential Crew Socks</t>
        </is>
      </c>
      <c r="C1190" s="6" t="inlineStr">
        <is>
          <t>157768518</t>
        </is>
      </c>
      <c r="D1190" s="6" t="inlineStr">
        <is>
          <t>157768518-white</t>
        </is>
      </c>
      <c r="E1190" s="6" t="inlineStr">
        <is>
          <t>Daily Essential Socks WHT S</t>
        </is>
      </c>
      <c r="F1190" s="6" t="inlineStr">
        <is>
          <t>$14.00</t>
        </is>
      </c>
      <c r="G1190" s="6" t="inlineStr">
        <is>
          <t>$7.00</t>
        </is>
      </c>
      <c r="H1190" s="6" t="inlineStr">
        <is>
          <t>White</t>
        </is>
      </c>
      <c r="I1190" s="6">
        <f>IMAGE("https://images.lululemon.com/is/image/lululemon/0002",1)</f>
        <v/>
      </c>
      <c r="J1190" s="6" t="inlineStr">
        <is>
          <t>XL</t>
        </is>
      </c>
      <c r="K1190" s="6" t="inlineStr">
        <is>
          <t>21/183</t>
        </is>
      </c>
      <c r="L1190" s="6" t="inlineStr">
        <is>
          <t>Yes</t>
        </is>
      </c>
      <c r="M1190" s="6" t="inlineStr">
        <is>
          <t>Top drawer comfort. These soft cotton socks combine integrated arch support and plush cushioning.</t>
        </is>
      </c>
      <c r="N1190" s="6" t="inlineStr">
        <is>
          <t>Unisex-Daily-Essential-Crew-Socks</t>
        </is>
      </c>
      <c r="O1190" s="6" t="inlineStr">
        <is>
          <t>Crew Socks</t>
        </is>
      </c>
    </row>
    <row r="1191" ht="80" customHeight="1">
      <c r="A1191" s="7">
        <f>IMAGE("https://images.lululemon.com/is/image/lululemon/LM7B92S_8650_1?wid=320&amp;op_usm=0.8",1)</f>
        <v/>
      </c>
      <c r="B1191" s="7" t="inlineStr">
        <is>
          <t>Textured Double-Knit Cotton Short 7"</t>
        </is>
      </c>
      <c r="C1191" s="7" t="inlineStr">
        <is>
          <t>148302460</t>
        </is>
      </c>
      <c r="D1191" s="7" t="inlineStr">
        <is>
          <t>148302460-heatheredblack/black</t>
        </is>
      </c>
      <c r="E1191" s="7" t="inlineStr">
        <is>
          <t>Textured Double-Knit Cotton Short 7" HBLK/BLK S</t>
        </is>
      </c>
      <c r="F1191" s="7" t="inlineStr">
        <is>
          <t>$78.00</t>
        </is>
      </c>
      <c r="G1191" s="7" t="inlineStr">
        <is>
          <t>$39.00</t>
        </is>
      </c>
      <c r="H1191" s="7" t="inlineStr">
        <is>
          <t>Heathered Black/Black</t>
        </is>
      </c>
      <c r="I1191" s="7">
        <f>IMAGE("https://images.lululemon.com/is/image/lululemon/8650",1)</f>
        <v/>
      </c>
      <c r="J1191" s="7" t="inlineStr">
        <is>
          <t>S</t>
        </is>
      </c>
      <c r="K1191" s="7" t="inlineStr">
        <is>
          <t>9/112</t>
        </is>
      </c>
      <c r="L1191" s="7" t="inlineStr">
        <is>
          <t>Yes</t>
        </is>
      </c>
      <c r="M1191" s="7" t="inlineStr">
        <is>
          <t>Whether it's go time or chill time, these naturally breathable shorts feature stretchy, textured fabric that moves with you.</t>
        </is>
      </c>
      <c r="N1191" s="7" t="inlineStr">
        <is>
          <t>Textured-Double-Knit-Cotton-Short-7</t>
        </is>
      </c>
      <c r="O1191" s="7" t="inlineStr">
        <is>
          <t>Sweat Shorts</t>
        </is>
      </c>
    </row>
    <row r="1192" ht="80" customHeight="1">
      <c r="A1192" s="4">
        <f>IMAGE("https://images.lululemon.com/is/image/lululemon/LM7B92S_8650_1?wid=320&amp;op_usm=0.8",1)</f>
        <v/>
      </c>
      <c r="B1192" s="4" t="inlineStr">
        <is>
          <t>Textured Double-Knit Cotton Short 7"</t>
        </is>
      </c>
      <c r="C1192" s="4" t="inlineStr">
        <is>
          <t>148302454</t>
        </is>
      </c>
      <c r="D1192" s="4" t="inlineStr">
        <is>
          <t>148302454-heatheredblack/black</t>
        </is>
      </c>
      <c r="E1192" s="4" t="inlineStr">
        <is>
          <t>Textured Double-Knit Cotton Short 7" HBLK/BLK S</t>
        </is>
      </c>
      <c r="F1192" s="4" t="inlineStr">
        <is>
          <t>$78.00</t>
        </is>
      </c>
      <c r="G1192" s="4" t="inlineStr">
        <is>
          <t>$39.00</t>
        </is>
      </c>
      <c r="H1192" s="4" t="inlineStr">
        <is>
          <t>Heathered Black/Black</t>
        </is>
      </c>
      <c r="I1192" s="4">
        <f>IMAGE("https://images.lululemon.com/is/image/lululemon/8650",1)</f>
        <v/>
      </c>
      <c r="J1192" s="4" t="inlineStr">
        <is>
          <t>M</t>
        </is>
      </c>
      <c r="K1192" s="4" t="inlineStr">
        <is>
          <t>21/112</t>
        </is>
      </c>
      <c r="L1192" s="4" t="inlineStr">
        <is>
          <t>Yes</t>
        </is>
      </c>
      <c r="M1192" s="4" t="inlineStr">
        <is>
          <t>Whether it's go time or chill time, these naturally breathable shorts feature stretchy, textured fabric that moves with you.</t>
        </is>
      </c>
      <c r="N1192" s="4" t="inlineStr">
        <is>
          <t>Textured-Double-Knit-Cotton-Short-7</t>
        </is>
      </c>
      <c r="O1192" s="4" t="inlineStr">
        <is>
          <t>Sweat Shorts</t>
        </is>
      </c>
    </row>
    <row r="1193" ht="80" customHeight="1">
      <c r="A1193" s="7">
        <f>IMAGE("https://images.lululemon.com/is/image/lululemon/LM7B92S_8650_1?wid=320&amp;op_usm=0.8",1)</f>
        <v/>
      </c>
      <c r="B1193" s="7" t="inlineStr">
        <is>
          <t>Textured Double-Knit Cotton Short 7"</t>
        </is>
      </c>
      <c r="C1193" s="7" t="inlineStr">
        <is>
          <t>148302453</t>
        </is>
      </c>
      <c r="D1193" s="7" t="inlineStr">
        <is>
          <t>148302453-heatheredblack/black</t>
        </is>
      </c>
      <c r="E1193" s="7" t="inlineStr">
        <is>
          <t>Textured Double-Knit Cotton Short 7" HBLK/BLK S</t>
        </is>
      </c>
      <c r="F1193" s="7" t="inlineStr">
        <is>
          <t>$78.00</t>
        </is>
      </c>
      <c r="G1193" s="7" t="inlineStr">
        <is>
          <t>$39.00</t>
        </is>
      </c>
      <c r="H1193" s="7" t="inlineStr">
        <is>
          <t>Heathered Black/Black</t>
        </is>
      </c>
      <c r="I1193" s="7">
        <f>IMAGE("https://images.lululemon.com/is/image/lululemon/8650",1)</f>
        <v/>
      </c>
      <c r="J1193" s="7" t="inlineStr">
        <is>
          <t>L</t>
        </is>
      </c>
      <c r="K1193" s="7" t="inlineStr">
        <is>
          <t>28/112</t>
        </is>
      </c>
      <c r="L1193" s="7" t="inlineStr">
        <is>
          <t>Yes</t>
        </is>
      </c>
      <c r="M1193" s="7" t="inlineStr">
        <is>
          <t>Whether it's go time or chill time, these naturally breathable shorts feature stretchy, textured fabric that moves with you.</t>
        </is>
      </c>
      <c r="N1193" s="7" t="inlineStr">
        <is>
          <t>Textured-Double-Knit-Cotton-Short-7</t>
        </is>
      </c>
      <c r="O1193" s="7" t="inlineStr">
        <is>
          <t>Sweat Shorts</t>
        </is>
      </c>
    </row>
    <row r="1194" ht="80" customHeight="1">
      <c r="A1194" s="4">
        <f>IMAGE("https://images.lululemon.com/is/image/lululemon/LM7B92S_8650_1?wid=320&amp;op_usm=0.8",1)</f>
        <v/>
      </c>
      <c r="B1194" s="4" t="inlineStr">
        <is>
          <t>Textured Double-Knit Cotton Short 7"</t>
        </is>
      </c>
      <c r="C1194" s="4" t="inlineStr">
        <is>
          <t>148302463</t>
        </is>
      </c>
      <c r="D1194" s="4" t="inlineStr">
        <is>
          <t>148302463-heatheredblack/black</t>
        </is>
      </c>
      <c r="E1194" s="4" t="inlineStr">
        <is>
          <t>Textured Double-Knit Cotton Short 7" HBLK/BLK S</t>
        </is>
      </c>
      <c r="F1194" s="4" t="inlineStr">
        <is>
          <t>$78.00</t>
        </is>
      </c>
      <c r="G1194" s="4" t="inlineStr">
        <is>
          <t>$39.00</t>
        </is>
      </c>
      <c r="H1194" s="4" t="inlineStr">
        <is>
          <t>Heathered Black/Black</t>
        </is>
      </c>
      <c r="I1194" s="4">
        <f>IMAGE("https://images.lululemon.com/is/image/lululemon/8650",1)</f>
        <v/>
      </c>
      <c r="J1194" s="4" t="inlineStr">
        <is>
          <t>XL</t>
        </is>
      </c>
      <c r="K1194" s="4" t="inlineStr">
        <is>
          <t>34/112</t>
        </is>
      </c>
      <c r="L1194" s="4" t="inlineStr">
        <is>
          <t>Yes</t>
        </is>
      </c>
      <c r="M1194" s="4" t="inlineStr">
        <is>
          <t>Whether it's go time or chill time, these naturally breathable shorts feature stretchy, textured fabric that moves with you.</t>
        </is>
      </c>
      <c r="N1194" s="4" t="inlineStr">
        <is>
          <t>Textured-Double-Knit-Cotton-Short-7</t>
        </is>
      </c>
      <c r="O1194" s="4" t="inlineStr">
        <is>
          <t>Sweat Shorts</t>
        </is>
      </c>
    </row>
    <row r="1195" ht="80" customHeight="1">
      <c r="A1195" s="5">
        <f>IMAGE("https://images.lululemon.com/is/image/lululemon/LM7B92S_8650_1?wid=320&amp;op_usm=0.8",1)</f>
        <v/>
      </c>
      <c r="B1195" s="5" t="inlineStr">
        <is>
          <t>Textured Double-Knit Cotton Short 7"</t>
        </is>
      </c>
      <c r="C1195" s="5" t="inlineStr">
        <is>
          <t>148302469</t>
        </is>
      </c>
      <c r="D1195" s="5" t="inlineStr">
        <is>
          <t>148302469-heatheredblack/black</t>
        </is>
      </c>
      <c r="E1195" s="5" t="inlineStr">
        <is>
          <t>Textured Double-Knit Cotton Short 7" HBLK/BLK S</t>
        </is>
      </c>
      <c r="F1195" s="5" t="inlineStr">
        <is>
          <t>$78.00</t>
        </is>
      </c>
      <c r="G1195" s="5" t="inlineStr">
        <is>
          <t>$39.00</t>
        </is>
      </c>
      <c r="H1195" s="5" t="inlineStr">
        <is>
          <t>Heathered Black/Black</t>
        </is>
      </c>
      <c r="I1195" s="5">
        <f>IMAGE("https://images.lululemon.com/is/image/lululemon/8650",1)</f>
        <v/>
      </c>
      <c r="J1195" s="5" t="inlineStr">
        <is>
          <t>XXL</t>
        </is>
      </c>
      <c r="K1195" s="5" t="inlineStr">
        <is>
          <t>20/112</t>
        </is>
      </c>
      <c r="L1195" s="5" t="inlineStr">
        <is>
          <t>Yes</t>
        </is>
      </c>
      <c r="M1195" s="5" t="inlineStr">
        <is>
          <t>Whether it's go time or chill time, these naturally breathable shorts feature stretchy, textured fabric that moves with you.</t>
        </is>
      </c>
      <c r="N1195" s="5" t="inlineStr">
        <is>
          <t>Textured-Double-Knit-Cotton-Short-7</t>
        </is>
      </c>
      <c r="O1195" s="5" t="inlineStr">
        <is>
          <t>Sweat Shorts</t>
        </is>
      </c>
    </row>
    <row r="1196" ht="80" customHeight="1">
      <c r="A1196" s="4">
        <f>IMAGE("https://images.lululemon.com/is/image/lululemon/LM3EX7S_0001_1?wid=320&amp;op_usm=0.8",1)</f>
        <v/>
      </c>
      <c r="B1196" s="4" t="inlineStr">
        <is>
          <t>Waffle-Knit Half Zip</t>
        </is>
      </c>
      <c r="C1196" s="4" t="inlineStr">
        <is>
          <t>149503444</t>
        </is>
      </c>
      <c r="D1196" s="4" t="inlineStr">
        <is>
          <t>149503444-black</t>
        </is>
      </c>
      <c r="E1196" s="4" t="inlineStr">
        <is>
          <t>Waffle-Knit Half Zip BLK S</t>
        </is>
      </c>
      <c r="F1196" s="4" t="inlineStr">
        <is>
          <t>$128.00</t>
        </is>
      </c>
      <c r="G1196" s="4" t="inlineStr">
        <is>
          <t>$64.00</t>
        </is>
      </c>
      <c r="H1196" s="4" t="inlineStr">
        <is>
          <t>Black</t>
        </is>
      </c>
      <c r="I1196" s="4">
        <f>IMAGE("https://images.lululemon.com/is/image/lululemon/0001",1)</f>
        <v/>
      </c>
      <c r="J1196" s="4" t="inlineStr">
        <is>
          <t>S</t>
        </is>
      </c>
      <c r="K1196" s="4" t="inlineStr">
        <is>
          <t>19/205</t>
        </is>
      </c>
      <c r="L1196" s="4" t="inlineStr">
        <is>
          <t>Yes</t>
        </is>
      </c>
      <c r="M1196" s="4" t="inlineStr">
        <is>
          <t>Cold-weather convert. This sweat-wicking thermal layer helps lock in heat to keep you running when the temperature drops.</t>
        </is>
      </c>
      <c r="N1196" s="4" t="inlineStr">
        <is>
          <t>Waffle-Knit-Half-Zip</t>
        </is>
      </c>
      <c r="O1196" s="4" t="inlineStr">
        <is>
          <t>Half Zip Sweatshirts, Quarter Zip Sweatshirts</t>
        </is>
      </c>
    </row>
    <row r="1197" ht="80" customHeight="1">
      <c r="A1197" s="7">
        <f>IMAGE("https://images.lululemon.com/is/image/lululemon/LM3EX7S_0001_1?wid=320&amp;op_usm=0.8",1)</f>
        <v/>
      </c>
      <c r="B1197" s="7" t="inlineStr">
        <is>
          <t>Waffle-Knit Half Zip</t>
        </is>
      </c>
      <c r="C1197" s="7" t="inlineStr">
        <is>
          <t>149503441</t>
        </is>
      </c>
      <c r="D1197" s="7" t="inlineStr">
        <is>
          <t>149503441-black</t>
        </is>
      </c>
      <c r="E1197" s="7" t="inlineStr">
        <is>
          <t>Waffle-Knit Half Zip BLK S</t>
        </is>
      </c>
      <c r="F1197" s="7" t="inlineStr">
        <is>
          <t>$128.00</t>
        </is>
      </c>
      <c r="G1197" s="7" t="inlineStr">
        <is>
          <t>$64.00</t>
        </is>
      </c>
      <c r="H1197" s="7" t="inlineStr">
        <is>
          <t>Black</t>
        </is>
      </c>
      <c r="I1197" s="7">
        <f>IMAGE("https://images.lululemon.com/is/image/lululemon/0001",1)</f>
        <v/>
      </c>
      <c r="J1197" s="7" t="inlineStr">
        <is>
          <t>M</t>
        </is>
      </c>
      <c r="K1197" s="7" t="inlineStr">
        <is>
          <t>49/205</t>
        </is>
      </c>
      <c r="L1197" s="7" t="inlineStr">
        <is>
          <t>Yes</t>
        </is>
      </c>
      <c r="M1197" s="7" t="inlineStr">
        <is>
          <t>Cold-weather convert. This sweat-wicking thermal layer helps lock in heat to keep you running when the temperature drops.</t>
        </is>
      </c>
      <c r="N1197" s="7" t="inlineStr">
        <is>
          <t>Waffle-Knit-Half-Zip</t>
        </is>
      </c>
      <c r="O1197" s="7" t="inlineStr">
        <is>
          <t>Half Zip Sweatshirts, Quarter Zip Sweatshirts</t>
        </is>
      </c>
    </row>
    <row r="1198" ht="80" customHeight="1">
      <c r="A1198" s="4">
        <f>IMAGE("https://images.lululemon.com/is/image/lululemon/LM3EX7S_0001_1?wid=320&amp;op_usm=0.8",1)</f>
        <v/>
      </c>
      <c r="B1198" s="4" t="inlineStr">
        <is>
          <t>Waffle-Knit Half Zip</t>
        </is>
      </c>
      <c r="C1198" s="4" t="inlineStr">
        <is>
          <t>149503435</t>
        </is>
      </c>
      <c r="D1198" s="4" t="inlineStr">
        <is>
          <t>149503435-black</t>
        </is>
      </c>
      <c r="E1198" s="4" t="inlineStr">
        <is>
          <t>Waffle-Knit Half Zip BLK S</t>
        </is>
      </c>
      <c r="F1198" s="4" t="inlineStr">
        <is>
          <t>$128.00</t>
        </is>
      </c>
      <c r="G1198" s="4" t="inlineStr">
        <is>
          <t>$64.00</t>
        </is>
      </c>
      <c r="H1198" s="4" t="inlineStr">
        <is>
          <t>Black</t>
        </is>
      </c>
      <c r="I1198" s="4">
        <f>IMAGE("https://images.lululemon.com/is/image/lululemon/0001",1)</f>
        <v/>
      </c>
      <c r="J1198" s="4" t="inlineStr">
        <is>
          <t>L</t>
        </is>
      </c>
      <c r="K1198" s="4" t="inlineStr">
        <is>
          <t>73/205</t>
        </is>
      </c>
      <c r="L1198" s="4" t="inlineStr">
        <is>
          <t>Yes</t>
        </is>
      </c>
      <c r="M1198" s="4" t="inlineStr">
        <is>
          <t>Cold-weather convert. This sweat-wicking thermal layer helps lock in heat to keep you running when the temperature drops.</t>
        </is>
      </c>
      <c r="N1198" s="4" t="inlineStr">
        <is>
          <t>Waffle-Knit-Half-Zip</t>
        </is>
      </c>
      <c r="O1198" s="4" t="inlineStr">
        <is>
          <t>Half Zip Sweatshirts, Quarter Zip Sweatshirts</t>
        </is>
      </c>
    </row>
    <row r="1199" ht="80" customHeight="1">
      <c r="A1199" s="7">
        <f>IMAGE("https://images.lululemon.com/is/image/lululemon/LM3EX7S_0001_1?wid=320&amp;op_usm=0.8",1)</f>
        <v/>
      </c>
      <c r="B1199" s="7" t="inlineStr">
        <is>
          <t>Waffle-Knit Half Zip</t>
        </is>
      </c>
      <c r="C1199" s="7" t="inlineStr">
        <is>
          <t>149503446</t>
        </is>
      </c>
      <c r="D1199" s="7" t="inlineStr">
        <is>
          <t>149503446-black</t>
        </is>
      </c>
      <c r="E1199" s="7" t="inlineStr">
        <is>
          <t>Waffle-Knit Half Zip BLK S</t>
        </is>
      </c>
      <c r="F1199" s="7" t="inlineStr">
        <is>
          <t>$128.00</t>
        </is>
      </c>
      <c r="G1199" s="7" t="inlineStr">
        <is>
          <t>$64.00</t>
        </is>
      </c>
      <c r="H1199" s="7" t="inlineStr">
        <is>
          <t>Black</t>
        </is>
      </c>
      <c r="I1199" s="7">
        <f>IMAGE("https://images.lululemon.com/is/image/lululemon/0001",1)</f>
        <v/>
      </c>
      <c r="J1199" s="7" t="inlineStr">
        <is>
          <t>XL</t>
        </is>
      </c>
      <c r="K1199" s="7" t="inlineStr">
        <is>
          <t>47/205</t>
        </is>
      </c>
      <c r="L1199" s="7" t="inlineStr">
        <is>
          <t>Yes</t>
        </is>
      </c>
      <c r="M1199" s="7" t="inlineStr">
        <is>
          <t>Cold-weather convert. This sweat-wicking thermal layer helps lock in heat to keep you running when the temperature drops.</t>
        </is>
      </c>
      <c r="N1199" s="7" t="inlineStr">
        <is>
          <t>Waffle-Knit-Half-Zip</t>
        </is>
      </c>
      <c r="O1199" s="7" t="inlineStr">
        <is>
          <t>Half Zip Sweatshirts, Quarter Zip Sweatshirts</t>
        </is>
      </c>
    </row>
    <row r="1200" ht="80" customHeight="1">
      <c r="A1200" s="6">
        <f>IMAGE("https://images.lululemon.com/is/image/lululemon/LM3EX7S_0001_1?wid=320&amp;op_usm=0.8",1)</f>
        <v/>
      </c>
      <c r="B1200" s="6" t="inlineStr">
        <is>
          <t>Waffle-Knit Half Zip</t>
        </is>
      </c>
      <c r="C1200" s="6" t="inlineStr">
        <is>
          <t>149503454</t>
        </is>
      </c>
      <c r="D1200" s="6" t="inlineStr">
        <is>
          <t>149503454-black</t>
        </is>
      </c>
      <c r="E1200" s="6" t="inlineStr">
        <is>
          <t>Waffle-Knit Half Zip BLK S</t>
        </is>
      </c>
      <c r="F1200" s="6" t="inlineStr">
        <is>
          <t>$128.00</t>
        </is>
      </c>
      <c r="G1200" s="6" t="inlineStr">
        <is>
          <t>$64.00</t>
        </is>
      </c>
      <c r="H1200" s="6" t="inlineStr">
        <is>
          <t>Black</t>
        </is>
      </c>
      <c r="I1200" s="6">
        <f>IMAGE("https://images.lululemon.com/is/image/lululemon/0001",1)</f>
        <v/>
      </c>
      <c r="J1200" s="6" t="inlineStr">
        <is>
          <t>XXL</t>
        </is>
      </c>
      <c r="K1200" s="6" t="inlineStr">
        <is>
          <t>17/205</t>
        </is>
      </c>
      <c r="L1200" s="6" t="inlineStr">
        <is>
          <t>Yes</t>
        </is>
      </c>
      <c r="M1200" s="6" t="inlineStr">
        <is>
          <t>Cold-weather convert. This sweat-wicking thermal layer helps lock in heat to keep you running when the temperature drops.</t>
        </is>
      </c>
      <c r="N1200" s="6" t="inlineStr">
        <is>
          <t>Waffle-Knit-Half-Zip</t>
        </is>
      </c>
      <c r="O1200" s="6" t="inlineStr">
        <is>
          <t>Half Zip Sweatshirts, Quarter Zip Sweatshirts</t>
        </is>
      </c>
    </row>
    <row r="1201" ht="80" customHeight="1">
      <c r="A1201" s="7">
        <f>IMAGE("https://images.lululemon.com/is/image/lululemon/LM7BJ1S_0001_1?wid=320&amp;op_usm=0.8",1)</f>
        <v/>
      </c>
      <c r="B1201" s="7" t="inlineStr">
        <is>
          <t>Zeroed In Linerless Short 9"</t>
        </is>
      </c>
      <c r="C1201" s="7" t="inlineStr">
        <is>
          <t>153159461</t>
        </is>
      </c>
      <c r="D1201" s="7" t="inlineStr">
        <is>
          <t>153159461-black</t>
        </is>
      </c>
      <c r="E1201" s="7" t="inlineStr">
        <is>
          <t>Zeroed In Short 9" *LL BLK S</t>
        </is>
      </c>
      <c r="F1201" s="7" t="inlineStr">
        <is>
          <t>$68.00</t>
        </is>
      </c>
      <c r="G1201" s="7" t="inlineStr">
        <is>
          <t>$34.00</t>
        </is>
      </c>
      <c r="H1201" s="7" t="inlineStr">
        <is>
          <t>Black</t>
        </is>
      </c>
      <c r="I1201" s="7">
        <f>IMAGE("https://images.lululemon.com/is/image/lululemon/0001",1)</f>
        <v/>
      </c>
      <c r="J1201" s="7" t="inlineStr">
        <is>
          <t>S</t>
        </is>
      </c>
      <c r="K1201" s="7" t="inlineStr">
        <is>
          <t>36/497</t>
        </is>
      </c>
      <c r="L1201" s="7" t="inlineStr">
        <is>
          <t>Yes</t>
        </is>
      </c>
      <c r="M1201" s="7" t="inlineStr">
        <is>
          <t>Work out or hang out. These versatile shorts are designed to keep up with every way you like to move.</t>
        </is>
      </c>
      <c r="N1201" s="7" t="inlineStr">
        <is>
          <t>Zeroed-In-Linerless-Short-9</t>
        </is>
      </c>
      <c r="O1201" s="7" t="inlineStr">
        <is>
          <t>Athletic Shorts</t>
        </is>
      </c>
    </row>
    <row r="1202" ht="80" customHeight="1">
      <c r="A1202" s="4">
        <f>IMAGE("https://images.lululemon.com/is/image/lululemon/LM7BJ1S_0001_1?wid=320&amp;op_usm=0.8",1)</f>
        <v/>
      </c>
      <c r="B1202" s="4" t="inlineStr">
        <is>
          <t>Zeroed In Linerless Short 9"</t>
        </is>
      </c>
      <c r="C1202" s="4" t="inlineStr">
        <is>
          <t>153159458</t>
        </is>
      </c>
      <c r="D1202" s="4" t="inlineStr">
        <is>
          <t>153159458-black</t>
        </is>
      </c>
      <c r="E1202" s="4" t="inlineStr">
        <is>
          <t>Zeroed In Short 9" *LL BLK S</t>
        </is>
      </c>
      <c r="F1202" s="4" t="inlineStr">
        <is>
          <t>$68.00</t>
        </is>
      </c>
      <c r="G1202" s="4" t="inlineStr">
        <is>
          <t>$34.00</t>
        </is>
      </c>
      <c r="H1202" s="4" t="inlineStr">
        <is>
          <t>Black</t>
        </is>
      </c>
      <c r="I1202" s="4">
        <f>IMAGE("https://images.lululemon.com/is/image/lululemon/0001",1)</f>
        <v/>
      </c>
      <c r="J1202" s="4" t="inlineStr">
        <is>
          <t>M</t>
        </is>
      </c>
      <c r="K1202" s="4" t="inlineStr">
        <is>
          <t>129/497</t>
        </is>
      </c>
      <c r="L1202" s="4" t="inlineStr">
        <is>
          <t>Yes</t>
        </is>
      </c>
      <c r="M1202" s="4" t="inlineStr">
        <is>
          <t>Work out or hang out. These versatile shorts are designed to keep up with every way you like to move.</t>
        </is>
      </c>
      <c r="N1202" s="4" t="inlineStr">
        <is>
          <t>Zeroed-In-Linerless-Short-9</t>
        </is>
      </c>
      <c r="O1202" s="4" t="inlineStr">
        <is>
          <t>Athletic Shorts</t>
        </is>
      </c>
    </row>
    <row r="1203" ht="80" customHeight="1">
      <c r="A1203" s="7">
        <f>IMAGE("https://images.lululemon.com/is/image/lululemon/LM7BJ1S_0001_1?wid=320&amp;op_usm=0.8",1)</f>
        <v/>
      </c>
      <c r="B1203" s="7" t="inlineStr">
        <is>
          <t>Zeroed In Linerless Short 9"</t>
        </is>
      </c>
      <c r="C1203" s="7" t="inlineStr">
        <is>
          <t>153159454</t>
        </is>
      </c>
      <c r="D1203" s="7" t="inlineStr">
        <is>
          <t>153159454-black</t>
        </is>
      </c>
      <c r="E1203" s="7" t="inlineStr">
        <is>
          <t>Zeroed In Short 9" *LL BLK S</t>
        </is>
      </c>
      <c r="F1203" s="7" t="inlineStr">
        <is>
          <t>$68.00</t>
        </is>
      </c>
      <c r="G1203" s="7" t="inlineStr">
        <is>
          <t>$34.00</t>
        </is>
      </c>
      <c r="H1203" s="7" t="inlineStr">
        <is>
          <t>Black</t>
        </is>
      </c>
      <c r="I1203" s="7">
        <f>IMAGE("https://images.lululemon.com/is/image/lululemon/0001",1)</f>
        <v/>
      </c>
      <c r="J1203" s="7" t="inlineStr">
        <is>
          <t>L</t>
        </is>
      </c>
      <c r="K1203" s="7" t="inlineStr">
        <is>
          <t>199/497</t>
        </is>
      </c>
      <c r="L1203" s="7" t="inlineStr">
        <is>
          <t>Yes</t>
        </is>
      </c>
      <c r="M1203" s="7" t="inlineStr">
        <is>
          <t>Work out or hang out. These versatile shorts are designed to keep up with every way you like to move.</t>
        </is>
      </c>
      <c r="N1203" s="7" t="inlineStr">
        <is>
          <t>Zeroed-In-Linerless-Short-9</t>
        </is>
      </c>
      <c r="O1203" s="7" t="inlineStr">
        <is>
          <t>Athletic Shorts</t>
        </is>
      </c>
    </row>
    <row r="1204" ht="80" customHeight="1">
      <c r="A1204" s="4">
        <f>IMAGE("https://images.lululemon.com/is/image/lululemon/LM7BJ1S_0001_1?wid=320&amp;op_usm=0.8",1)</f>
        <v/>
      </c>
      <c r="B1204" s="4" t="inlineStr">
        <is>
          <t>Zeroed In Linerless Short 9"</t>
        </is>
      </c>
      <c r="C1204" s="4" t="inlineStr">
        <is>
          <t>153159464</t>
        </is>
      </c>
      <c r="D1204" s="4" t="inlineStr">
        <is>
          <t>153159464-black</t>
        </is>
      </c>
      <c r="E1204" s="4" t="inlineStr">
        <is>
          <t>Zeroed In Short 9" *LL BLK S</t>
        </is>
      </c>
      <c r="F1204" s="4" t="inlineStr">
        <is>
          <t>$68.00</t>
        </is>
      </c>
      <c r="G1204" s="4" t="inlineStr">
        <is>
          <t>$34.00</t>
        </is>
      </c>
      <c r="H1204" s="4" t="inlineStr">
        <is>
          <t>Black</t>
        </is>
      </c>
      <c r="I1204" s="4">
        <f>IMAGE("https://images.lululemon.com/is/image/lululemon/0001",1)</f>
        <v/>
      </c>
      <c r="J1204" s="4" t="inlineStr">
        <is>
          <t>XL</t>
        </is>
      </c>
      <c r="K1204" s="4" t="inlineStr">
        <is>
          <t>94/497</t>
        </is>
      </c>
      <c r="L1204" s="4" t="inlineStr">
        <is>
          <t>Yes</t>
        </is>
      </c>
      <c r="M1204" s="4" t="inlineStr">
        <is>
          <t>Work out or hang out. These versatile shorts are designed to keep up with every way you like to move.</t>
        </is>
      </c>
      <c r="N1204" s="4" t="inlineStr">
        <is>
          <t>Zeroed-In-Linerless-Short-9</t>
        </is>
      </c>
      <c r="O1204" s="4" t="inlineStr">
        <is>
          <t>Athletic Shorts</t>
        </is>
      </c>
    </row>
    <row r="1205" ht="80" customHeight="1">
      <c r="A1205" s="5">
        <f>IMAGE("https://images.lululemon.com/is/image/lululemon/LM7BJ1S_0001_1?wid=320&amp;op_usm=0.8",1)</f>
        <v/>
      </c>
      <c r="B1205" s="5" t="inlineStr">
        <is>
          <t>Zeroed In Linerless Short 9"</t>
        </is>
      </c>
      <c r="C1205" s="5" t="inlineStr">
        <is>
          <t>153159471</t>
        </is>
      </c>
      <c r="D1205" s="5" t="inlineStr">
        <is>
          <t>153159471-black</t>
        </is>
      </c>
      <c r="E1205" s="5" t="inlineStr">
        <is>
          <t>Zeroed In Short 9" *LL BLK S</t>
        </is>
      </c>
      <c r="F1205" s="5" t="inlineStr">
        <is>
          <t>$68.00</t>
        </is>
      </c>
      <c r="G1205" s="5" t="inlineStr">
        <is>
          <t>$34.00</t>
        </is>
      </c>
      <c r="H1205" s="5" t="inlineStr">
        <is>
          <t>Black</t>
        </is>
      </c>
      <c r="I1205" s="5">
        <f>IMAGE("https://images.lululemon.com/is/image/lululemon/0001",1)</f>
        <v/>
      </c>
      <c r="J1205" s="5" t="inlineStr">
        <is>
          <t>XXL</t>
        </is>
      </c>
      <c r="K1205" s="5" t="inlineStr">
        <is>
          <t>39/497</t>
        </is>
      </c>
      <c r="L1205" s="5" t="inlineStr">
        <is>
          <t>Yes</t>
        </is>
      </c>
      <c r="M1205" s="5" t="inlineStr">
        <is>
          <t>Work out or hang out. These versatile shorts are designed to keep up with every way you like to move.</t>
        </is>
      </c>
      <c r="N1205" s="5" t="inlineStr">
        <is>
          <t>Zeroed-In-Linerless-Short-9</t>
        </is>
      </c>
      <c r="O1205" s="5" t="inlineStr">
        <is>
          <t>Athletic Shorts</t>
        </is>
      </c>
    </row>
    <row r="1206" ht="80" customHeight="1">
      <c r="A1206" s="4">
        <f>IMAGE("https://images.lululemon.com/is/image/lululemon/LM3FQQS_0002_1?wid=320&amp;op_usm=0.8",1)</f>
        <v/>
      </c>
      <c r="B1206" s="4" t="inlineStr">
        <is>
          <t>Organic Cotton Classic-Fit T-Shirt</t>
        </is>
      </c>
      <c r="C1206" s="4" t="inlineStr">
        <is>
          <t>155751604</t>
        </is>
      </c>
      <c r="D1206" s="4" t="inlineStr">
        <is>
          <t>155751604-white</t>
        </is>
      </c>
      <c r="E1206" s="4" t="inlineStr">
        <is>
          <t>Organic Cotton Classic-Fit T-Shirt WHT S</t>
        </is>
      </c>
      <c r="F1206" s="4" t="inlineStr">
        <is>
          <t>$58.00</t>
        </is>
      </c>
      <c r="G1206" s="4" t="inlineStr">
        <is>
          <t>$29.00</t>
        </is>
      </c>
      <c r="H1206" s="4" t="inlineStr">
        <is>
          <t>White</t>
        </is>
      </c>
      <c r="I1206" s="4">
        <f>IMAGE("https://images.lululemon.com/is/image/lululemon/0002",1)</f>
        <v/>
      </c>
      <c r="J1206" s="4" t="inlineStr">
        <is>
          <t>S</t>
        </is>
      </c>
      <c r="K1206" s="4" t="inlineStr">
        <is>
          <t>36/1141</t>
        </is>
      </c>
      <c r="L1206" s="4" t="inlineStr">
        <is>
          <t>Yes</t>
        </is>
      </c>
      <c r="M1206" s="4" t="inlineStr">
        <is>
          <t>A mix-and-match mainstay. Made from soft organic cotton, this classic tee pairs well with joggers and trousers alike.</t>
        </is>
      </c>
      <c r="N1206" s="4" t="inlineStr">
        <is>
          <t>Organic-Cotton-Classic-Fit-T-Shirt</t>
        </is>
      </c>
      <c r="O1206" s="4" t="inlineStr"/>
    </row>
    <row r="1207" ht="80" customHeight="1">
      <c r="A1207" s="7">
        <f>IMAGE("https://images.lululemon.com/is/image/lululemon/LM3FQQS_0002_1?wid=320&amp;op_usm=0.8",1)</f>
        <v/>
      </c>
      <c r="B1207" s="7" t="inlineStr">
        <is>
          <t>Organic Cotton Classic-Fit T-Shirt</t>
        </is>
      </c>
      <c r="C1207" s="7" t="inlineStr">
        <is>
          <t>155751600</t>
        </is>
      </c>
      <c r="D1207" s="7" t="inlineStr">
        <is>
          <t>155751600-white</t>
        </is>
      </c>
      <c r="E1207" s="7" t="inlineStr">
        <is>
          <t>Organic Cotton Classic-Fit T-Shirt WHT S</t>
        </is>
      </c>
      <c r="F1207" s="7" t="inlineStr">
        <is>
          <t>$58.00</t>
        </is>
      </c>
      <c r="G1207" s="7" t="inlineStr">
        <is>
          <t>$29.00</t>
        </is>
      </c>
      <c r="H1207" s="7" t="inlineStr">
        <is>
          <t>White</t>
        </is>
      </c>
      <c r="I1207" s="7">
        <f>IMAGE("https://images.lululemon.com/is/image/lululemon/0002",1)</f>
        <v/>
      </c>
      <c r="J1207" s="7" t="inlineStr">
        <is>
          <t>M</t>
        </is>
      </c>
      <c r="K1207" s="7" t="inlineStr">
        <is>
          <t>30/1141</t>
        </is>
      </c>
      <c r="L1207" s="7" t="inlineStr">
        <is>
          <t>Yes</t>
        </is>
      </c>
      <c r="M1207" s="7" t="inlineStr">
        <is>
          <t>A mix-and-match mainstay. Made from soft organic cotton, this classic tee pairs well with joggers and trousers alike.</t>
        </is>
      </c>
      <c r="N1207" s="7" t="inlineStr">
        <is>
          <t>Organic-Cotton-Classic-Fit-T-Shirt</t>
        </is>
      </c>
      <c r="O1207" s="7" t="inlineStr"/>
    </row>
    <row r="1208" ht="80" customHeight="1">
      <c r="A1208" s="4">
        <f>IMAGE("https://images.lululemon.com/is/image/lululemon/LM3FQQS_0002_1?wid=320&amp;op_usm=0.8",1)</f>
        <v/>
      </c>
      <c r="B1208" s="4" t="inlineStr">
        <is>
          <t>Organic Cotton Classic-Fit T-Shirt</t>
        </is>
      </c>
      <c r="C1208" s="4" t="inlineStr">
        <is>
          <t>155751594</t>
        </is>
      </c>
      <c r="D1208" s="4" t="inlineStr">
        <is>
          <t>155751594-white</t>
        </is>
      </c>
      <c r="E1208" s="4" t="inlineStr">
        <is>
          <t>Organic Cotton Classic-Fit T-Shirt WHT S</t>
        </is>
      </c>
      <c r="F1208" s="4" t="inlineStr">
        <is>
          <t>$58.00</t>
        </is>
      </c>
      <c r="G1208" s="4" t="inlineStr">
        <is>
          <t>$29.00</t>
        </is>
      </c>
      <c r="H1208" s="4" t="inlineStr">
        <is>
          <t>White</t>
        </is>
      </c>
      <c r="I1208" s="4">
        <f>IMAGE("https://images.lululemon.com/is/image/lululemon/0002",1)</f>
        <v/>
      </c>
      <c r="J1208" s="4" t="inlineStr">
        <is>
          <t>L</t>
        </is>
      </c>
      <c r="K1208" s="4" t="inlineStr">
        <is>
          <t>23/1141</t>
        </is>
      </c>
      <c r="L1208" s="4" t="inlineStr">
        <is>
          <t>Yes</t>
        </is>
      </c>
      <c r="M1208" s="4" t="inlineStr">
        <is>
          <t>A mix-and-match mainstay. Made from soft organic cotton, this classic tee pairs well with joggers and trousers alike.</t>
        </is>
      </c>
      <c r="N1208" s="4" t="inlineStr">
        <is>
          <t>Organic-Cotton-Classic-Fit-T-Shirt</t>
        </is>
      </c>
      <c r="O1208" s="4" t="inlineStr"/>
    </row>
    <row r="1209" ht="80" customHeight="1">
      <c r="A1209" s="7">
        <f>IMAGE("https://images.lululemon.com/is/image/lululemon/LM3FQQS_0002_1?wid=320&amp;op_usm=0.8",1)</f>
        <v/>
      </c>
      <c r="B1209" s="7" t="inlineStr">
        <is>
          <t>Organic Cotton Classic-Fit T-Shirt</t>
        </is>
      </c>
      <c r="C1209" s="7" t="inlineStr">
        <is>
          <t>157678743</t>
        </is>
      </c>
      <c r="D1209" s="7" t="inlineStr">
        <is>
          <t>157678743-clubblue</t>
        </is>
      </c>
      <c r="E1209" s="7" t="inlineStr">
        <is>
          <t>Organic Cotton Classic-Fit T-Shirt WHT S</t>
        </is>
      </c>
      <c r="F1209" s="7" t="inlineStr">
        <is>
          <t>$58.00</t>
        </is>
      </c>
      <c r="G1209" s="7" t="inlineStr">
        <is>
          <t>$29.00</t>
        </is>
      </c>
      <c r="H1209" s="7" t="inlineStr">
        <is>
          <t>Club Blue</t>
        </is>
      </c>
      <c r="I1209" s="7">
        <f>IMAGE("https://images.lululemon.com/is/image/lululemon/68578",1)</f>
        <v/>
      </c>
      <c r="J1209" s="7" t="inlineStr">
        <is>
          <t>S</t>
        </is>
      </c>
      <c r="K1209" s="7" t="inlineStr">
        <is>
          <t>23/1141</t>
        </is>
      </c>
      <c r="L1209" s="7" t="inlineStr">
        <is>
          <t>Yes</t>
        </is>
      </c>
      <c r="M1209" s="7" t="inlineStr">
        <is>
          <t>A mix-and-match mainstay. Made from soft organic cotton, this classic tee pairs well with joggers and trousers alike.</t>
        </is>
      </c>
      <c r="N1209" s="7" t="inlineStr">
        <is>
          <t>Organic-Cotton-Classic-Fit-T-Shirt</t>
        </is>
      </c>
      <c r="O1209" s="7" t="inlineStr"/>
    </row>
    <row r="1210" ht="80" customHeight="1">
      <c r="A1210" s="4">
        <f>IMAGE("https://images.lululemon.com/is/image/lululemon/LM3FQQS_0002_1?wid=320&amp;op_usm=0.8",1)</f>
        <v/>
      </c>
      <c r="B1210" s="4" t="inlineStr">
        <is>
          <t>Organic Cotton Classic-Fit T-Shirt</t>
        </is>
      </c>
      <c r="C1210" s="4" t="inlineStr">
        <is>
          <t>157678727</t>
        </is>
      </c>
      <c r="D1210" s="4" t="inlineStr">
        <is>
          <t>157678727-clubblue</t>
        </is>
      </c>
      <c r="E1210" s="4" t="inlineStr">
        <is>
          <t>Organic Cotton Classic-Fit T-Shirt WHT S</t>
        </is>
      </c>
      <c r="F1210" s="4" t="inlineStr">
        <is>
          <t>$58.00</t>
        </is>
      </c>
      <c r="G1210" s="4" t="inlineStr">
        <is>
          <t>$29.00</t>
        </is>
      </c>
      <c r="H1210" s="4" t="inlineStr">
        <is>
          <t>Club Blue</t>
        </is>
      </c>
      <c r="I1210" s="4">
        <f>IMAGE("https://images.lululemon.com/is/image/lululemon/68578",1)</f>
        <v/>
      </c>
      <c r="J1210" s="4" t="inlineStr">
        <is>
          <t>M</t>
        </is>
      </c>
      <c r="K1210" s="4" t="inlineStr">
        <is>
          <t>93/1141</t>
        </is>
      </c>
      <c r="L1210" s="4" t="inlineStr">
        <is>
          <t>Yes</t>
        </is>
      </c>
      <c r="M1210" s="4" t="inlineStr">
        <is>
          <t>A mix-and-match mainstay. Made from soft organic cotton, this classic tee pairs well with joggers and trousers alike.</t>
        </is>
      </c>
      <c r="N1210" s="4" t="inlineStr">
        <is>
          <t>Organic-Cotton-Classic-Fit-T-Shirt</t>
        </is>
      </c>
      <c r="O1210" s="4" t="inlineStr"/>
    </row>
    <row r="1211" ht="80" customHeight="1">
      <c r="A1211" s="7">
        <f>IMAGE("https://images.lululemon.com/is/image/lululemon/LM3FQQS_0002_1?wid=320&amp;op_usm=0.8",1)</f>
        <v/>
      </c>
      <c r="B1211" s="7" t="inlineStr">
        <is>
          <t>Organic Cotton Classic-Fit T-Shirt</t>
        </is>
      </c>
      <c r="C1211" s="7" t="inlineStr">
        <is>
          <t>157678709</t>
        </is>
      </c>
      <c r="D1211" s="7" t="inlineStr">
        <is>
          <t>157678709-clubblue</t>
        </is>
      </c>
      <c r="E1211" s="7" t="inlineStr">
        <is>
          <t>Organic Cotton Classic-Fit T-Shirt WHT S</t>
        </is>
      </c>
      <c r="F1211" s="7" t="inlineStr">
        <is>
          <t>$58.00</t>
        </is>
      </c>
      <c r="G1211" s="7" t="inlineStr">
        <is>
          <t>$29.00</t>
        </is>
      </c>
      <c r="H1211" s="7" t="inlineStr">
        <is>
          <t>Club Blue</t>
        </is>
      </c>
      <c r="I1211" s="7">
        <f>IMAGE("https://images.lululemon.com/is/image/lululemon/68578",1)</f>
        <v/>
      </c>
      <c r="J1211" s="7" t="inlineStr">
        <is>
          <t>L</t>
        </is>
      </c>
      <c r="K1211" s="7" t="inlineStr">
        <is>
          <t>53/1141</t>
        </is>
      </c>
      <c r="L1211" s="7" t="inlineStr">
        <is>
          <t>Yes</t>
        </is>
      </c>
      <c r="M1211" s="7" t="inlineStr">
        <is>
          <t>A mix-and-match mainstay. Made from soft organic cotton, this classic tee pairs well with joggers and trousers alike.</t>
        </is>
      </c>
      <c r="N1211" s="7" t="inlineStr">
        <is>
          <t>Organic-Cotton-Classic-Fit-T-Shirt</t>
        </is>
      </c>
      <c r="O1211" s="7" t="inlineStr"/>
    </row>
    <row r="1212" ht="80" customHeight="1">
      <c r="A1212" s="4">
        <f>IMAGE("https://images.lululemon.com/is/image/lululemon/LM3FQQS_0002_1?wid=320&amp;op_usm=0.8",1)</f>
        <v/>
      </c>
      <c r="B1212" s="4" t="inlineStr">
        <is>
          <t>Organic Cotton Classic-Fit T-Shirt</t>
        </is>
      </c>
      <c r="C1212" s="4" t="inlineStr">
        <is>
          <t>157678764</t>
        </is>
      </c>
      <c r="D1212" s="4" t="inlineStr">
        <is>
          <t>157678764-clubblue</t>
        </is>
      </c>
      <c r="E1212" s="4" t="inlineStr">
        <is>
          <t>Organic Cotton Classic-Fit T-Shirt WHT S</t>
        </is>
      </c>
      <c r="F1212" s="4" t="inlineStr">
        <is>
          <t>$58.00</t>
        </is>
      </c>
      <c r="G1212" s="4" t="inlineStr">
        <is>
          <t>$29.00</t>
        </is>
      </c>
      <c r="H1212" s="4" t="inlineStr">
        <is>
          <t>Club Blue</t>
        </is>
      </c>
      <c r="I1212" s="4">
        <f>IMAGE("https://images.lululemon.com/is/image/lululemon/68578",1)</f>
        <v/>
      </c>
      <c r="J1212" s="4" t="inlineStr">
        <is>
          <t>XL</t>
        </is>
      </c>
      <c r="K1212" s="4" t="inlineStr">
        <is>
          <t>72/1141</t>
        </is>
      </c>
      <c r="L1212" s="4" t="inlineStr">
        <is>
          <t>Yes</t>
        </is>
      </c>
      <c r="M1212" s="4" t="inlineStr">
        <is>
          <t>A mix-and-match mainstay. Made from soft organic cotton, this classic tee pairs well with joggers and trousers alike.</t>
        </is>
      </c>
      <c r="N1212" s="4" t="inlineStr">
        <is>
          <t>Organic-Cotton-Classic-Fit-T-Shirt</t>
        </is>
      </c>
      <c r="O1212" s="4" t="inlineStr"/>
    </row>
    <row r="1213" ht="80" customHeight="1">
      <c r="A1213" s="7">
        <f>IMAGE("https://images.lululemon.com/is/image/lululemon/LM3FQQS_0002_1?wid=320&amp;op_usm=0.8",1)</f>
        <v/>
      </c>
      <c r="B1213" s="7" t="inlineStr">
        <is>
          <t>Organic Cotton Classic-Fit T-Shirt</t>
        </is>
      </c>
      <c r="C1213" s="7" t="inlineStr">
        <is>
          <t>157678794</t>
        </is>
      </c>
      <c r="D1213" s="7" t="inlineStr">
        <is>
          <t>157678794-clubblue</t>
        </is>
      </c>
      <c r="E1213" s="7" t="inlineStr">
        <is>
          <t>Organic Cotton Classic-Fit T-Shirt WHT S</t>
        </is>
      </c>
      <c r="F1213" s="7" t="inlineStr">
        <is>
          <t>$58.00</t>
        </is>
      </c>
      <c r="G1213" s="7" t="inlineStr">
        <is>
          <t>$29.00</t>
        </is>
      </c>
      <c r="H1213" s="7" t="inlineStr">
        <is>
          <t>Club Blue</t>
        </is>
      </c>
      <c r="I1213" s="7">
        <f>IMAGE("https://images.lululemon.com/is/image/lululemon/68578",1)</f>
        <v/>
      </c>
      <c r="J1213" s="7" t="inlineStr">
        <is>
          <t>XXL</t>
        </is>
      </c>
      <c r="K1213" s="7" t="inlineStr">
        <is>
          <t>29/1141</t>
        </is>
      </c>
      <c r="L1213" s="7" t="inlineStr">
        <is>
          <t>Yes</t>
        </is>
      </c>
      <c r="M1213" s="7" t="inlineStr">
        <is>
          <t>A mix-and-match mainstay. Made from soft organic cotton, this classic tee pairs well with joggers and trousers alike.</t>
        </is>
      </c>
      <c r="N1213" s="7" t="inlineStr">
        <is>
          <t>Organic-Cotton-Classic-Fit-T-Shirt</t>
        </is>
      </c>
      <c r="O1213" s="7" t="inlineStr"/>
    </row>
    <row r="1214" ht="80" customHeight="1">
      <c r="A1214" s="4">
        <f>IMAGE("https://images.lululemon.com/is/image/lululemon/LM3FQQS_0002_1?wid=320&amp;op_usm=0.8",1)</f>
        <v/>
      </c>
      <c r="B1214" s="4" t="inlineStr">
        <is>
          <t>Organic Cotton Classic-Fit T-Shirt</t>
        </is>
      </c>
      <c r="C1214" s="4" t="inlineStr">
        <is>
          <t>158097164</t>
        </is>
      </c>
      <c r="D1214" s="4" t="inlineStr">
        <is>
          <t>158097164-dovegrey</t>
        </is>
      </c>
      <c r="E1214" s="4" t="inlineStr">
        <is>
          <t>Organic Cotton Classic-Fit T-Shirt WHT S</t>
        </is>
      </c>
      <c r="F1214" s="4" t="inlineStr">
        <is>
          <t>$58.00</t>
        </is>
      </c>
      <c r="G1214" s="4" t="inlineStr">
        <is>
          <t>$29.00</t>
        </is>
      </c>
      <c r="H1214" s="4" t="inlineStr">
        <is>
          <t>Dove Grey</t>
        </is>
      </c>
      <c r="I1214" s="4">
        <f>IMAGE("https://images.lululemon.com/is/image/lululemon/36865",1)</f>
        <v/>
      </c>
      <c r="J1214" s="4" t="inlineStr">
        <is>
          <t>S</t>
        </is>
      </c>
      <c r="K1214" s="4" t="inlineStr">
        <is>
          <t>35/1141</t>
        </is>
      </c>
      <c r="L1214" s="4" t="inlineStr">
        <is>
          <t>Yes</t>
        </is>
      </c>
      <c r="M1214" s="4" t="inlineStr">
        <is>
          <t>A mix-and-match mainstay. Made from soft organic cotton, this classic tee pairs well with joggers and trousers alike.</t>
        </is>
      </c>
      <c r="N1214" s="4" t="inlineStr">
        <is>
          <t>Organic-Cotton-Classic-Fit-T-Shirt</t>
        </is>
      </c>
      <c r="O1214" s="4" t="inlineStr"/>
    </row>
    <row r="1215" ht="80" customHeight="1">
      <c r="A1215" s="7">
        <f>IMAGE("https://images.lululemon.com/is/image/lululemon/LM3FQQS_0002_1?wid=320&amp;op_usm=0.8",1)</f>
        <v/>
      </c>
      <c r="B1215" s="7" t="inlineStr">
        <is>
          <t>Organic Cotton Classic-Fit T-Shirt</t>
        </is>
      </c>
      <c r="C1215" s="7" t="inlineStr">
        <is>
          <t>158097155</t>
        </is>
      </c>
      <c r="D1215" s="7" t="inlineStr">
        <is>
          <t>158097155-dovegrey</t>
        </is>
      </c>
      <c r="E1215" s="7" t="inlineStr">
        <is>
          <t>Organic Cotton Classic-Fit T-Shirt WHT S</t>
        </is>
      </c>
      <c r="F1215" s="7" t="inlineStr">
        <is>
          <t>$58.00</t>
        </is>
      </c>
      <c r="G1215" s="7" t="inlineStr">
        <is>
          <t>$29.00</t>
        </is>
      </c>
      <c r="H1215" s="7" t="inlineStr">
        <is>
          <t>Dove Grey</t>
        </is>
      </c>
      <c r="I1215" s="7">
        <f>IMAGE("https://images.lululemon.com/is/image/lululemon/36865",1)</f>
        <v/>
      </c>
      <c r="J1215" s="7" t="inlineStr">
        <is>
          <t>M</t>
        </is>
      </c>
      <c r="K1215" s="7" t="inlineStr">
        <is>
          <t>98/1141</t>
        </is>
      </c>
      <c r="L1215" s="7" t="inlineStr">
        <is>
          <t>Yes</t>
        </is>
      </c>
      <c r="M1215" s="7" t="inlineStr">
        <is>
          <t>A mix-and-match mainstay. Made from soft organic cotton, this classic tee pairs well with joggers and trousers alike.</t>
        </is>
      </c>
      <c r="N1215" s="7" t="inlineStr">
        <is>
          <t>Organic-Cotton-Classic-Fit-T-Shirt</t>
        </is>
      </c>
      <c r="O1215" s="7" t="inlineStr"/>
    </row>
    <row r="1216" ht="80" customHeight="1">
      <c r="A1216" s="4">
        <f>IMAGE("https://images.lululemon.com/is/image/lululemon/LM3FQQS_0002_1?wid=320&amp;op_usm=0.8",1)</f>
        <v/>
      </c>
      <c r="B1216" s="4" t="inlineStr">
        <is>
          <t>Organic Cotton Classic-Fit T-Shirt</t>
        </is>
      </c>
      <c r="C1216" s="4" t="inlineStr">
        <is>
          <t>158097146</t>
        </is>
      </c>
      <c r="D1216" s="4" t="inlineStr">
        <is>
          <t>158097146-dovegrey</t>
        </is>
      </c>
      <c r="E1216" s="4" t="inlineStr">
        <is>
          <t>Organic Cotton Classic-Fit T-Shirt WHT S</t>
        </is>
      </c>
      <c r="F1216" s="4" t="inlineStr">
        <is>
          <t>$58.00</t>
        </is>
      </c>
      <c r="G1216" s="4" t="inlineStr">
        <is>
          <t>$29.00</t>
        </is>
      </c>
      <c r="H1216" s="4" t="inlineStr">
        <is>
          <t>Dove Grey</t>
        </is>
      </c>
      <c r="I1216" s="4">
        <f>IMAGE("https://images.lululemon.com/is/image/lululemon/36865",1)</f>
        <v/>
      </c>
      <c r="J1216" s="4" t="inlineStr">
        <is>
          <t>L</t>
        </is>
      </c>
      <c r="K1216" s="4" t="inlineStr">
        <is>
          <t>133/1141</t>
        </is>
      </c>
      <c r="L1216" s="4" t="inlineStr">
        <is>
          <t>Yes</t>
        </is>
      </c>
      <c r="M1216" s="4" t="inlineStr">
        <is>
          <t>A mix-and-match mainstay. Made from soft organic cotton, this classic tee pairs well with joggers and trousers alike.</t>
        </is>
      </c>
      <c r="N1216" s="4" t="inlineStr">
        <is>
          <t>Organic-Cotton-Classic-Fit-T-Shirt</t>
        </is>
      </c>
      <c r="O1216" s="4" t="inlineStr"/>
    </row>
    <row r="1217" ht="80" customHeight="1">
      <c r="A1217" s="7">
        <f>IMAGE("https://images.lululemon.com/is/image/lululemon/LM3FQQS_0002_1?wid=320&amp;op_usm=0.8",1)</f>
        <v/>
      </c>
      <c r="B1217" s="7" t="inlineStr">
        <is>
          <t>Organic Cotton Classic-Fit T-Shirt</t>
        </is>
      </c>
      <c r="C1217" s="7" t="inlineStr">
        <is>
          <t>158097174</t>
        </is>
      </c>
      <c r="D1217" s="7" t="inlineStr">
        <is>
          <t>158097174-dovegrey</t>
        </is>
      </c>
      <c r="E1217" s="7" t="inlineStr">
        <is>
          <t>Organic Cotton Classic-Fit T-Shirt WHT S</t>
        </is>
      </c>
      <c r="F1217" s="7" t="inlineStr">
        <is>
          <t>$58.00</t>
        </is>
      </c>
      <c r="G1217" s="7" t="inlineStr">
        <is>
          <t>$29.00</t>
        </is>
      </c>
      <c r="H1217" s="7" t="inlineStr">
        <is>
          <t>Dove Grey</t>
        </is>
      </c>
      <c r="I1217" s="7">
        <f>IMAGE("https://images.lululemon.com/is/image/lululemon/36865",1)</f>
        <v/>
      </c>
      <c r="J1217" s="7" t="inlineStr">
        <is>
          <t>XL</t>
        </is>
      </c>
      <c r="K1217" s="7" t="inlineStr">
        <is>
          <t>87/1141</t>
        </is>
      </c>
      <c r="L1217" s="7" t="inlineStr">
        <is>
          <t>Yes</t>
        </is>
      </c>
      <c r="M1217" s="7" t="inlineStr">
        <is>
          <t>A mix-and-match mainstay. Made from soft organic cotton, this classic tee pairs well with joggers and trousers alike.</t>
        </is>
      </c>
      <c r="N1217" s="7" t="inlineStr">
        <is>
          <t>Organic-Cotton-Classic-Fit-T-Shirt</t>
        </is>
      </c>
      <c r="O1217" s="7" t="inlineStr"/>
    </row>
    <row r="1218" ht="80" customHeight="1">
      <c r="A1218" s="4">
        <f>IMAGE("https://images.lululemon.com/is/image/lululemon/LM3FQQS_0002_1?wid=320&amp;op_usm=0.8",1)</f>
        <v/>
      </c>
      <c r="B1218" s="4" t="inlineStr">
        <is>
          <t>Organic Cotton Classic-Fit T-Shirt</t>
        </is>
      </c>
      <c r="C1218" s="4" t="inlineStr">
        <is>
          <t>158097190</t>
        </is>
      </c>
      <c r="D1218" s="4" t="inlineStr">
        <is>
          <t>158097190-dovegrey</t>
        </is>
      </c>
      <c r="E1218" s="4" t="inlineStr">
        <is>
          <t>Organic Cotton Classic-Fit T-Shirt WHT S</t>
        </is>
      </c>
      <c r="F1218" s="4" t="inlineStr">
        <is>
          <t>$58.00</t>
        </is>
      </c>
      <c r="G1218" s="4" t="inlineStr">
        <is>
          <t>$29.00</t>
        </is>
      </c>
      <c r="H1218" s="4" t="inlineStr">
        <is>
          <t>Dove Grey</t>
        </is>
      </c>
      <c r="I1218" s="4">
        <f>IMAGE("https://images.lululemon.com/is/image/lululemon/36865",1)</f>
        <v/>
      </c>
      <c r="J1218" s="4" t="inlineStr">
        <is>
          <t>XXL</t>
        </is>
      </c>
      <c r="K1218" s="4" t="inlineStr">
        <is>
          <t>27/1141</t>
        </is>
      </c>
      <c r="L1218" s="4" t="inlineStr">
        <is>
          <t>Yes</t>
        </is>
      </c>
      <c r="M1218" s="4" t="inlineStr">
        <is>
          <t>A mix-and-match mainstay. Made from soft organic cotton, this classic tee pairs well with joggers and trousers alike.</t>
        </is>
      </c>
      <c r="N1218" s="4" t="inlineStr">
        <is>
          <t>Organic-Cotton-Classic-Fit-T-Shirt</t>
        </is>
      </c>
      <c r="O1218" s="4" t="inlineStr"/>
    </row>
    <row r="1219" ht="80" customHeight="1">
      <c r="A1219" s="7">
        <f>IMAGE("https://images.lululemon.com/is/image/lululemon/LM3FQQS_0002_1?wid=320&amp;op_usm=0.8",1)</f>
        <v/>
      </c>
      <c r="B1219" s="7" t="inlineStr">
        <is>
          <t>Organic Cotton Classic-Fit T-Shirt</t>
        </is>
      </c>
      <c r="C1219" s="7" t="inlineStr">
        <is>
          <t>158097049</t>
        </is>
      </c>
      <c r="D1219" s="7" t="inlineStr">
        <is>
          <t>158097049-indochineblue</t>
        </is>
      </c>
      <c r="E1219" s="7" t="inlineStr">
        <is>
          <t>Organic Cotton Classic-Fit T-Shirt WHT S</t>
        </is>
      </c>
      <c r="F1219" s="7" t="inlineStr">
        <is>
          <t>$58.00</t>
        </is>
      </c>
      <c r="G1219" s="7" t="inlineStr">
        <is>
          <t>$29.00</t>
        </is>
      </c>
      <c r="H1219" s="7" t="inlineStr">
        <is>
          <t>Indochine Blue</t>
        </is>
      </c>
      <c r="I1219" s="7">
        <f>IMAGE("https://images.lululemon.com/is/image/lululemon/28022",1)</f>
        <v/>
      </c>
      <c r="J1219" s="7" t="inlineStr">
        <is>
          <t>S</t>
        </is>
      </c>
      <c r="K1219" s="7" t="inlineStr">
        <is>
          <t>38/1141</t>
        </is>
      </c>
      <c r="L1219" s="7" t="inlineStr">
        <is>
          <t>Yes</t>
        </is>
      </c>
      <c r="M1219" s="7" t="inlineStr">
        <is>
          <t>A mix-and-match mainstay. Made from soft organic cotton, this classic tee pairs well with joggers and trousers alike.</t>
        </is>
      </c>
      <c r="N1219" s="7" t="inlineStr">
        <is>
          <t>Organic-Cotton-Classic-Fit-T-Shirt</t>
        </is>
      </c>
      <c r="O1219" s="7" t="inlineStr"/>
    </row>
    <row r="1220" ht="80" customHeight="1">
      <c r="A1220" s="4">
        <f>IMAGE("https://images.lululemon.com/is/image/lululemon/LM3FQQS_0002_1?wid=320&amp;op_usm=0.8",1)</f>
        <v/>
      </c>
      <c r="B1220" s="4" t="inlineStr">
        <is>
          <t>Organic Cotton Classic-Fit T-Shirt</t>
        </is>
      </c>
      <c r="C1220" s="4" t="inlineStr">
        <is>
          <t>158097037</t>
        </is>
      </c>
      <c r="D1220" s="4" t="inlineStr">
        <is>
          <t>158097037-indochineblue</t>
        </is>
      </c>
      <c r="E1220" s="4" t="inlineStr">
        <is>
          <t>Organic Cotton Classic-Fit T-Shirt WHT S</t>
        </is>
      </c>
      <c r="F1220" s="4" t="inlineStr">
        <is>
          <t>$58.00</t>
        </is>
      </c>
      <c r="G1220" s="4" t="inlineStr">
        <is>
          <t>$29.00</t>
        </is>
      </c>
      <c r="H1220" s="4" t="inlineStr">
        <is>
          <t>Indochine Blue</t>
        </is>
      </c>
      <c r="I1220" s="4">
        <f>IMAGE("https://images.lululemon.com/is/image/lululemon/28022",1)</f>
        <v/>
      </c>
      <c r="J1220" s="4" t="inlineStr">
        <is>
          <t>M</t>
        </is>
      </c>
      <c r="K1220" s="4" t="inlineStr">
        <is>
          <t>70/1141</t>
        </is>
      </c>
      <c r="L1220" s="4" t="inlineStr">
        <is>
          <t>Yes</t>
        </is>
      </c>
      <c r="M1220" s="4" t="inlineStr">
        <is>
          <t>A mix-and-match mainstay. Made from soft organic cotton, this classic tee pairs well with joggers and trousers alike.</t>
        </is>
      </c>
      <c r="N1220" s="4" t="inlineStr">
        <is>
          <t>Organic-Cotton-Classic-Fit-T-Shirt</t>
        </is>
      </c>
      <c r="O1220" s="4" t="inlineStr"/>
    </row>
    <row r="1221" ht="80" customHeight="1">
      <c r="A1221" s="7">
        <f>IMAGE("https://images.lululemon.com/is/image/lululemon/LM3FQQS_0002_1?wid=320&amp;op_usm=0.8",1)</f>
        <v/>
      </c>
      <c r="B1221" s="7" t="inlineStr">
        <is>
          <t>Organic Cotton Classic-Fit T-Shirt</t>
        </is>
      </c>
      <c r="C1221" s="7" t="inlineStr">
        <is>
          <t>158097026</t>
        </is>
      </c>
      <c r="D1221" s="7" t="inlineStr">
        <is>
          <t>158097026-indochineblue</t>
        </is>
      </c>
      <c r="E1221" s="7" t="inlineStr">
        <is>
          <t>Organic Cotton Classic-Fit T-Shirt WHT S</t>
        </is>
      </c>
      <c r="F1221" s="7" t="inlineStr">
        <is>
          <t>$58.00</t>
        </is>
      </c>
      <c r="G1221" s="7" t="inlineStr">
        <is>
          <t>$29.00</t>
        </is>
      </c>
      <c r="H1221" s="7" t="inlineStr">
        <is>
          <t>Indochine Blue</t>
        </is>
      </c>
      <c r="I1221" s="7">
        <f>IMAGE("https://images.lululemon.com/is/image/lululemon/28022",1)</f>
        <v/>
      </c>
      <c r="J1221" s="7" t="inlineStr">
        <is>
          <t>L</t>
        </is>
      </c>
      <c r="K1221" s="7" t="inlineStr">
        <is>
          <t>161/1141</t>
        </is>
      </c>
      <c r="L1221" s="7" t="inlineStr">
        <is>
          <t>Yes</t>
        </is>
      </c>
      <c r="M1221" s="7" t="inlineStr">
        <is>
          <t>A mix-and-match mainstay. Made from soft organic cotton, this classic tee pairs well with joggers and trousers alike.</t>
        </is>
      </c>
      <c r="N1221" s="7" t="inlineStr">
        <is>
          <t>Organic-Cotton-Classic-Fit-T-Shirt</t>
        </is>
      </c>
      <c r="O1221" s="7" t="inlineStr"/>
    </row>
    <row r="1222" ht="80" customHeight="1">
      <c r="A1222" s="4">
        <f>IMAGE("https://images.lululemon.com/is/image/lululemon/LM3FQQS_0002_1?wid=320&amp;op_usm=0.8",1)</f>
        <v/>
      </c>
      <c r="B1222" s="4" t="inlineStr">
        <is>
          <t>Organic Cotton Classic-Fit T-Shirt</t>
        </is>
      </c>
      <c r="C1222" s="4" t="inlineStr">
        <is>
          <t>158097059</t>
        </is>
      </c>
      <c r="D1222" s="4" t="inlineStr">
        <is>
          <t>158097059-indochineblue</t>
        </is>
      </c>
      <c r="E1222" s="4" t="inlineStr">
        <is>
          <t>Organic Cotton Classic-Fit T-Shirt WHT S</t>
        </is>
      </c>
      <c r="F1222" s="4" t="inlineStr">
        <is>
          <t>$58.00</t>
        </is>
      </c>
      <c r="G1222" s="4" t="inlineStr">
        <is>
          <t>$29.00</t>
        </is>
      </c>
      <c r="H1222" s="4" t="inlineStr">
        <is>
          <t>Indochine Blue</t>
        </is>
      </c>
      <c r="I1222" s="4">
        <f>IMAGE("https://images.lululemon.com/is/image/lululemon/28022",1)</f>
        <v/>
      </c>
      <c r="J1222" s="4" t="inlineStr">
        <is>
          <t>XL</t>
        </is>
      </c>
      <c r="K1222" s="4" t="inlineStr">
        <is>
          <t>101/1141</t>
        </is>
      </c>
      <c r="L1222" s="4" t="inlineStr">
        <is>
          <t>Yes</t>
        </is>
      </c>
      <c r="M1222" s="4" t="inlineStr">
        <is>
          <t>A mix-and-match mainstay. Made from soft organic cotton, this classic tee pairs well with joggers and trousers alike.</t>
        </is>
      </c>
      <c r="N1222" s="4" t="inlineStr">
        <is>
          <t>Organic-Cotton-Classic-Fit-T-Shirt</t>
        </is>
      </c>
      <c r="O1222" s="4" t="inlineStr"/>
    </row>
    <row r="1223" ht="80" customHeight="1">
      <c r="A1223" s="5">
        <f>IMAGE("https://images.lululemon.com/is/image/lululemon/LM3FQQS_0002_1?wid=320&amp;op_usm=0.8",1)</f>
        <v/>
      </c>
      <c r="B1223" s="5" t="inlineStr">
        <is>
          <t>Organic Cotton Classic-Fit T-Shirt</t>
        </is>
      </c>
      <c r="C1223" s="5" t="inlineStr">
        <is>
          <t>158097078</t>
        </is>
      </c>
      <c r="D1223" s="5" t="inlineStr">
        <is>
          <t>158097078-indochineblue</t>
        </is>
      </c>
      <c r="E1223" s="5" t="inlineStr">
        <is>
          <t>Organic Cotton Classic-Fit T-Shirt WHT S</t>
        </is>
      </c>
      <c r="F1223" s="5" t="inlineStr">
        <is>
          <t>$58.00</t>
        </is>
      </c>
      <c r="G1223" s="5" t="inlineStr">
        <is>
          <t>$29.00</t>
        </is>
      </c>
      <c r="H1223" s="5" t="inlineStr">
        <is>
          <t>Indochine Blue</t>
        </is>
      </c>
      <c r="I1223" s="5">
        <f>IMAGE("https://images.lululemon.com/is/image/lululemon/28022",1)</f>
        <v/>
      </c>
      <c r="J1223" s="5" t="inlineStr">
        <is>
          <t>XXL</t>
        </is>
      </c>
      <c r="K1223" s="5" t="inlineStr">
        <is>
          <t>32/1141</t>
        </is>
      </c>
      <c r="L1223" s="5" t="inlineStr">
        <is>
          <t>Yes</t>
        </is>
      </c>
      <c r="M1223" s="5" t="inlineStr">
        <is>
          <t>A mix-and-match mainstay. Made from soft organic cotton, this classic tee pairs well with joggers and trousers alike.</t>
        </is>
      </c>
      <c r="N1223" s="5" t="inlineStr">
        <is>
          <t>Organic-Cotton-Classic-Fit-T-Shirt</t>
        </is>
      </c>
      <c r="O1223" s="5" t="inlineStr"/>
    </row>
    <row r="1224" ht="80" customHeight="1">
      <c r="A1224" s="4">
        <f>IMAGE("https://images.lululemon.com/is/image/lululemon/LW9FXRS_070108_1?wid=320&amp;op_usm=0.8",1)</f>
        <v/>
      </c>
      <c r="B1224" s="4" t="inlineStr">
        <is>
          <t>Quilty Pleasures Tote Bag *Medium 12L</t>
        </is>
      </c>
      <c r="C1224" s="4" t="inlineStr">
        <is>
          <t>157686546</t>
        </is>
      </c>
      <c r="D1224" s="4" t="inlineStr">
        <is>
          <t>157686546-warmashgrey</t>
        </is>
      </c>
      <c r="E1224" s="4" t="inlineStr">
        <is>
          <t>Quilty Pleasures Tote Medium WSHG ONE SIZE</t>
        </is>
      </c>
      <c r="F1224" s="4" t="inlineStr">
        <is>
          <t>$148.00</t>
        </is>
      </c>
      <c r="G1224" s="4" t="inlineStr">
        <is>
          <t>$74.00</t>
        </is>
      </c>
      <c r="H1224" s="4" t="inlineStr">
        <is>
          <t>Warm Ash Grey</t>
        </is>
      </c>
      <c r="I1224" s="4">
        <f>IMAGE("https://images.lululemon.com/is/image/lululemon/70108",1)</f>
        <v/>
      </c>
      <c r="J1224" s="4" t="inlineStr">
        <is>
          <t>O/S</t>
        </is>
      </c>
      <c r="K1224" s="4" t="inlineStr">
        <is>
          <t>126/403</t>
        </is>
      </c>
      <c r="L1224" s="4" t="inlineStr">
        <is>
          <t>Yes</t>
        </is>
      </c>
      <c r="M1224" s="4" t="inlineStr">
        <is>
          <t>Softly does it. Daily essentials find a cushioned landing in this quilted tote that's stamped all over with our wordmark design.</t>
        </is>
      </c>
      <c r="N1224" s="4" t="inlineStr">
        <is>
          <t>Quilty-Pleasures-Tote-Bag-Medium-12L</t>
        </is>
      </c>
      <c r="O1224" s="4" t="inlineStr">
        <is>
          <t>Totes</t>
        </is>
      </c>
    </row>
    <row r="1225" ht="80" customHeight="1">
      <c r="A1225" s="5">
        <f>IMAGE("https://images.lululemon.com/is/image/lululemon/LW9FXRS_070108_1?wid=320&amp;op_usm=0.8",1)</f>
        <v/>
      </c>
      <c r="B1225" s="5" t="inlineStr">
        <is>
          <t>Quilty Pleasures Tote Bag *Medium 12L</t>
        </is>
      </c>
      <c r="C1225" s="5" t="inlineStr">
        <is>
          <t>157686537</t>
        </is>
      </c>
      <c r="D1225" s="5" t="inlineStr">
        <is>
          <t>157686537-black</t>
        </is>
      </c>
      <c r="E1225" s="5" t="inlineStr">
        <is>
          <t>Quilty Pleasures Tote Medium WSHG ONE SIZE</t>
        </is>
      </c>
      <c r="F1225" s="5" t="inlineStr">
        <is>
          <t>$148.00</t>
        </is>
      </c>
      <c r="G1225" s="5" t="inlineStr">
        <is>
          <t>$74.00</t>
        </is>
      </c>
      <c r="H1225" s="5" t="inlineStr">
        <is>
          <t>Black</t>
        </is>
      </c>
      <c r="I1225" s="5">
        <f>IMAGE("https://images.lululemon.com/is/image/lululemon/0001",1)</f>
        <v/>
      </c>
      <c r="J1225" s="5" t="inlineStr">
        <is>
          <t>O/S</t>
        </is>
      </c>
      <c r="K1225" s="5" t="inlineStr">
        <is>
          <t>277/403</t>
        </is>
      </c>
      <c r="L1225" s="5" t="inlineStr">
        <is>
          <t>Yes</t>
        </is>
      </c>
      <c r="M1225" s="5" t="inlineStr">
        <is>
          <t>Softly does it. Daily essentials find a cushioned landing in this quilted tote that's stamped all over with our wordmark design.</t>
        </is>
      </c>
      <c r="N1225" s="5" t="inlineStr">
        <is>
          <t>Quilty-Pleasures-Tote-Bag-Medium-12L</t>
        </is>
      </c>
      <c r="O1225" s="5" t="inlineStr">
        <is>
          <t>Totes</t>
        </is>
      </c>
    </row>
    <row r="1226" ht="80" customHeight="1">
      <c r="A1226" s="4">
        <f>IMAGE("https://images.lululemon.com/is/image/lululemon/LM3EZMS_033496_1?wid=320&amp;op_usm=0.8",1)</f>
        <v/>
      </c>
      <c r="B1226" s="4" t="inlineStr">
        <is>
          <t>Heavyweight Cotton T-Shirt</t>
        </is>
      </c>
      <c r="C1226" s="4" t="inlineStr">
        <is>
          <t>151626856</t>
        </is>
      </c>
      <c r="D1226" s="4" t="inlineStr">
        <is>
          <t>151626856-orangeflash</t>
        </is>
      </c>
      <c r="E1226" s="4" t="inlineStr">
        <is>
          <t>Heavyweight Cotton T-Shirt ORFH S</t>
        </is>
      </c>
      <c r="F1226" s="4" t="inlineStr">
        <is>
          <t>$48.00</t>
        </is>
      </c>
      <c r="G1226" s="4" t="inlineStr">
        <is>
          <t>$24.00</t>
        </is>
      </c>
      <c r="H1226" s="4" t="inlineStr">
        <is>
          <t>Orange Flash</t>
        </is>
      </c>
      <c r="I1226" s="4">
        <f>IMAGE("https://images.lululemon.com/is/image/lululemon/33496",1)</f>
        <v/>
      </c>
      <c r="J1226" s="4" t="inlineStr">
        <is>
          <t>S</t>
        </is>
      </c>
      <c r="K1226" s="4" t="inlineStr">
        <is>
          <t>4/56</t>
        </is>
      </c>
      <c r="L1226" s="4" t="inlineStr">
        <is>
          <t>Yes</t>
        </is>
      </c>
      <c r="M1226" s="4" t="inlineStr">
        <is>
          <t>One in every colour, please. This long sleeve pairs a just-right classic fit with a naturally breathable cotton fabric that's brushed for a touch of softness.</t>
        </is>
      </c>
      <c r="N1226" s="4" t="inlineStr">
        <is>
          <t>Heavyweight-Cotton-T-Shirt-W</t>
        </is>
      </c>
      <c r="O1226" s="4" t="inlineStr"/>
    </row>
    <row r="1227" ht="80" customHeight="1">
      <c r="A1227" s="7">
        <f>IMAGE("https://images.lululemon.com/is/image/lululemon/LM3EZMS_033496_1?wid=320&amp;op_usm=0.8",1)</f>
        <v/>
      </c>
      <c r="B1227" s="7" t="inlineStr">
        <is>
          <t>Heavyweight Cotton T-Shirt</t>
        </is>
      </c>
      <c r="C1227" s="7" t="inlineStr">
        <is>
          <t>151626846</t>
        </is>
      </c>
      <c r="D1227" s="7" t="inlineStr">
        <is>
          <t>151626846-orangeflash</t>
        </is>
      </c>
      <c r="E1227" s="7" t="inlineStr">
        <is>
          <t>Heavyweight Cotton T-Shirt ORFH S</t>
        </is>
      </c>
      <c r="F1227" s="7" t="inlineStr">
        <is>
          <t>$48.00</t>
        </is>
      </c>
      <c r="G1227" s="7" t="inlineStr">
        <is>
          <t>$24.00</t>
        </is>
      </c>
      <c r="H1227" s="7" t="inlineStr">
        <is>
          <t>Orange Flash</t>
        </is>
      </c>
      <c r="I1227" s="7">
        <f>IMAGE("https://images.lululemon.com/is/image/lululemon/33496",1)</f>
        <v/>
      </c>
      <c r="J1227" s="7" t="inlineStr">
        <is>
          <t>M</t>
        </is>
      </c>
      <c r="K1227" s="7" t="inlineStr">
        <is>
          <t>4/56</t>
        </is>
      </c>
      <c r="L1227" s="7" t="inlineStr">
        <is>
          <t>Yes</t>
        </is>
      </c>
      <c r="M1227" s="7" t="inlineStr">
        <is>
          <t>One in every colour, please. This long sleeve pairs a just-right classic fit with a naturally breathable cotton fabric that's brushed for a touch of softness.</t>
        </is>
      </c>
      <c r="N1227" s="7" t="inlineStr">
        <is>
          <t>Heavyweight-Cotton-T-Shirt-W</t>
        </is>
      </c>
      <c r="O1227" s="7" t="inlineStr"/>
    </row>
    <row r="1228" ht="80" customHeight="1">
      <c r="A1228" s="4">
        <f>IMAGE("https://images.lululemon.com/is/image/lululemon/LM3EZMS_033496_1?wid=320&amp;op_usm=0.8",1)</f>
        <v/>
      </c>
      <c r="B1228" s="4" t="inlineStr">
        <is>
          <t>Heavyweight Cotton T-Shirt</t>
        </is>
      </c>
      <c r="C1228" s="4" t="inlineStr">
        <is>
          <t>151626840</t>
        </is>
      </c>
      <c r="D1228" s="4" t="inlineStr">
        <is>
          <t>151626840-orangeflash</t>
        </is>
      </c>
      <c r="E1228" s="4" t="inlineStr">
        <is>
          <t>Heavyweight Cotton T-Shirt ORFH S</t>
        </is>
      </c>
      <c r="F1228" s="4" t="inlineStr">
        <is>
          <t>$48.00</t>
        </is>
      </c>
      <c r="G1228" s="4" t="inlineStr">
        <is>
          <t>$24.00</t>
        </is>
      </c>
      <c r="H1228" s="4" t="inlineStr">
        <is>
          <t>Orange Flash</t>
        </is>
      </c>
      <c r="I1228" s="4">
        <f>IMAGE("https://images.lululemon.com/is/image/lululemon/33496",1)</f>
        <v/>
      </c>
      <c r="J1228" s="4" t="inlineStr">
        <is>
          <t>L</t>
        </is>
      </c>
      <c r="K1228" s="4" t="inlineStr">
        <is>
          <t>14/56</t>
        </is>
      </c>
      <c r="L1228" s="4" t="inlineStr">
        <is>
          <t>Yes</t>
        </is>
      </c>
      <c r="M1228" s="4" t="inlineStr">
        <is>
          <t>One in every colour, please. This long sleeve pairs a just-right classic fit with a naturally breathable cotton fabric that's brushed for a touch of softness.</t>
        </is>
      </c>
      <c r="N1228" s="4" t="inlineStr">
        <is>
          <t>Heavyweight-Cotton-T-Shirt-W</t>
        </is>
      </c>
      <c r="O1228" s="4" t="inlineStr"/>
    </row>
    <row r="1229" ht="80" customHeight="1">
      <c r="A1229" s="7">
        <f>IMAGE("https://images.lululemon.com/is/image/lululemon/LM3EZMS_033496_1?wid=320&amp;op_usm=0.8",1)</f>
        <v/>
      </c>
      <c r="B1229" s="7" t="inlineStr">
        <is>
          <t>Heavyweight Cotton T-Shirt</t>
        </is>
      </c>
      <c r="C1229" s="7" t="inlineStr">
        <is>
          <t>151626862</t>
        </is>
      </c>
      <c r="D1229" s="7" t="inlineStr">
        <is>
          <t>151626862-orangeflash</t>
        </is>
      </c>
      <c r="E1229" s="7" t="inlineStr">
        <is>
          <t>Heavyweight Cotton T-Shirt ORFH S</t>
        </is>
      </c>
      <c r="F1229" s="7" t="inlineStr">
        <is>
          <t>$48.00</t>
        </is>
      </c>
      <c r="G1229" s="7" t="inlineStr">
        <is>
          <t>$24.00</t>
        </is>
      </c>
      <c r="H1229" s="7" t="inlineStr">
        <is>
          <t>Orange Flash</t>
        </is>
      </c>
      <c r="I1229" s="7">
        <f>IMAGE("https://images.lululemon.com/is/image/lululemon/33496",1)</f>
        <v/>
      </c>
      <c r="J1229" s="7" t="inlineStr">
        <is>
          <t>XL</t>
        </is>
      </c>
      <c r="K1229" s="7" t="inlineStr">
        <is>
          <t>19/56</t>
        </is>
      </c>
      <c r="L1229" s="7" t="inlineStr">
        <is>
          <t>Yes</t>
        </is>
      </c>
      <c r="M1229" s="7" t="inlineStr">
        <is>
          <t>One in every colour, please. This long sleeve pairs a just-right classic fit with a naturally breathable cotton fabric that's brushed for a touch of softness.</t>
        </is>
      </c>
      <c r="N1229" s="7" t="inlineStr">
        <is>
          <t>Heavyweight-Cotton-T-Shirt-W</t>
        </is>
      </c>
      <c r="O1229" s="7" t="inlineStr"/>
    </row>
    <row r="1230" ht="80" customHeight="1">
      <c r="A1230" s="6">
        <f>IMAGE("https://images.lululemon.com/is/image/lululemon/LM3EZMS_033496_1?wid=320&amp;op_usm=0.8",1)</f>
        <v/>
      </c>
      <c r="B1230" s="6" t="inlineStr">
        <is>
          <t>Heavyweight Cotton T-Shirt</t>
        </is>
      </c>
      <c r="C1230" s="6" t="inlineStr">
        <is>
          <t>151626878</t>
        </is>
      </c>
      <c r="D1230" s="6" t="inlineStr">
        <is>
          <t>151626878-orangeflash</t>
        </is>
      </c>
      <c r="E1230" s="6" t="inlineStr">
        <is>
          <t>Heavyweight Cotton T-Shirt ORFH S</t>
        </is>
      </c>
      <c r="F1230" s="6" t="inlineStr">
        <is>
          <t>$48.00</t>
        </is>
      </c>
      <c r="G1230" s="6" t="inlineStr">
        <is>
          <t>$24.00</t>
        </is>
      </c>
      <c r="H1230" s="6" t="inlineStr">
        <is>
          <t>Orange Flash</t>
        </is>
      </c>
      <c r="I1230" s="6">
        <f>IMAGE("https://images.lululemon.com/is/image/lululemon/33496",1)</f>
        <v/>
      </c>
      <c r="J1230" s="6" t="inlineStr">
        <is>
          <t>XXL</t>
        </is>
      </c>
      <c r="K1230" s="6" t="inlineStr">
        <is>
          <t>15/56</t>
        </is>
      </c>
      <c r="L1230" s="6" t="inlineStr">
        <is>
          <t>Yes</t>
        </is>
      </c>
      <c r="M1230" s="6" t="inlineStr">
        <is>
          <t>One in every colour, please. This long sleeve pairs a just-right classic fit with a naturally breathable cotton fabric that's brushed for a touch of softness.</t>
        </is>
      </c>
      <c r="N1230" s="6" t="inlineStr">
        <is>
          <t>Heavyweight-Cotton-T-Shirt-W</t>
        </is>
      </c>
      <c r="O1230" s="6" t="inlineStr"/>
    </row>
    <row r="1231" ht="80" customHeight="1">
      <c r="A1231" s="5">
        <f>IMAGE("https://images.lululemon.com/is/image/lululemon/LU9BXQS_0001_1?wid=320&amp;op_usm=0.8",1)</f>
        <v/>
      </c>
      <c r="B1231" s="5" t="inlineStr">
        <is>
          <t>Everywhere Belt Bag 1L Clear *Logo</t>
        </is>
      </c>
      <c r="C1231" s="5" t="inlineStr">
        <is>
          <t>153107559</t>
        </is>
      </c>
      <c r="D1231" s="5" t="inlineStr">
        <is>
          <t>153107559-black</t>
        </is>
      </c>
      <c r="E1231" s="5" t="inlineStr">
        <is>
          <t>Everywhere Belt Bag *Clear BLK ONE SIZE</t>
        </is>
      </c>
      <c r="F1231" s="5" t="inlineStr">
        <is>
          <t>$38.00</t>
        </is>
      </c>
      <c r="G1231" s="5" t="inlineStr">
        <is>
          <t>$19.00</t>
        </is>
      </c>
      <c r="H1231" s="5" t="inlineStr">
        <is>
          <t>Black</t>
        </is>
      </c>
      <c r="I1231" s="5">
        <f>IMAGE("https://images.lululemon.com/is/image/lululemon/0001",1)</f>
        <v/>
      </c>
      <c r="J1231" s="5" t="inlineStr">
        <is>
          <t>O/S</t>
        </is>
      </c>
      <c r="K1231" s="5" t="inlineStr">
        <is>
          <t>3690/3690</t>
        </is>
      </c>
      <c r="L1231" s="5" t="inlineStr">
        <is>
          <t>Yes</t>
        </is>
      </c>
      <c r="M1231" s="5" t="inlineStr">
        <is>
          <t>Stadium ready. Whether you're heading to a concert or a game, this clear version of our Everywhere Belt Bag keeps belongings visible so lineups are a breeze.</t>
        </is>
      </c>
      <c r="N1231" s="5" t="inlineStr">
        <is>
          <t>Everywhere-Belt-Bag-1L-Clear-Logo</t>
        </is>
      </c>
      <c r="O1231" s="5" t="inlineStr">
        <is>
          <t>Belt Bags, Crossbody Bags</t>
        </is>
      </c>
    </row>
    <row r="1232" ht="80" customHeight="1">
      <c r="A1232" s="4">
        <f>IMAGE("https://images.lululemon.com/is/image/lululemon/LM3FK8S_068578_1?wid=320&amp;op_usm=0.8",1)</f>
        <v/>
      </c>
      <c r="B1232" s="4" t="inlineStr">
        <is>
          <t>Windproof Full-Zip Golf Vest</t>
        </is>
      </c>
      <c r="C1232" s="4" t="inlineStr">
        <is>
          <t>156498864</t>
        </is>
      </c>
      <c r="D1232" s="4" t="inlineStr">
        <is>
          <t>156498864-clubblue</t>
        </is>
      </c>
      <c r="E1232" s="4" t="inlineStr">
        <is>
          <t>Windproof Full-Zip Golf Vest CLBL S</t>
        </is>
      </c>
      <c r="F1232" s="4" t="inlineStr">
        <is>
          <t>$128.00</t>
        </is>
      </c>
      <c r="G1232" s="4" t="inlineStr">
        <is>
          <t>$64.00</t>
        </is>
      </c>
      <c r="H1232" s="4" t="inlineStr">
        <is>
          <t>Club Blue</t>
        </is>
      </c>
      <c r="I1232" s="4">
        <f>IMAGE("https://images.lululemon.com/is/image/lululemon/68578",1)</f>
        <v/>
      </c>
      <c r="J1232" s="4" t="inlineStr">
        <is>
          <t>S</t>
        </is>
      </c>
      <c r="K1232" s="4" t="inlineStr">
        <is>
          <t>51/762</t>
        </is>
      </c>
      <c r="L1232" s="4" t="inlineStr">
        <is>
          <t>Yes</t>
        </is>
      </c>
      <c r="M1232" s="4" t="inlineStr">
        <is>
          <t>Layer on this golf vest when the clouds roll in. The water-repellent, abrasion-resistant fabric holds up to light showers and bag straps.</t>
        </is>
      </c>
      <c r="N1232" s="4" t="inlineStr">
        <is>
          <t>Windproof-Full-Zip-Golf-Vest</t>
        </is>
      </c>
      <c r="O1232" s="4" t="inlineStr">
        <is>
          <t>Vests</t>
        </is>
      </c>
    </row>
    <row r="1233" ht="80" customHeight="1">
      <c r="A1233" s="7">
        <f>IMAGE("https://images.lululemon.com/is/image/lululemon/LM3FK8S_068578_1?wid=320&amp;op_usm=0.8",1)</f>
        <v/>
      </c>
      <c r="B1233" s="7" t="inlineStr">
        <is>
          <t>Windproof Full-Zip Golf Vest</t>
        </is>
      </c>
      <c r="C1233" s="7" t="inlineStr">
        <is>
          <t>156498848</t>
        </is>
      </c>
      <c r="D1233" s="7" t="inlineStr">
        <is>
          <t>156498848-clubblue</t>
        </is>
      </c>
      <c r="E1233" s="7" t="inlineStr">
        <is>
          <t>Windproof Full-Zip Golf Vest CLBL S</t>
        </is>
      </c>
      <c r="F1233" s="7" t="inlineStr">
        <is>
          <t>$128.00</t>
        </is>
      </c>
      <c r="G1233" s="7" t="inlineStr">
        <is>
          <t>$64.00</t>
        </is>
      </c>
      <c r="H1233" s="7" t="inlineStr">
        <is>
          <t>Club Blue</t>
        </is>
      </c>
      <c r="I1233" s="7">
        <f>IMAGE("https://images.lululemon.com/is/image/lululemon/68578",1)</f>
        <v/>
      </c>
      <c r="J1233" s="7" t="inlineStr">
        <is>
          <t>M</t>
        </is>
      </c>
      <c r="K1233" s="7" t="inlineStr">
        <is>
          <t>113/762</t>
        </is>
      </c>
      <c r="L1233" s="7" t="inlineStr">
        <is>
          <t>Yes</t>
        </is>
      </c>
      <c r="M1233" s="7" t="inlineStr">
        <is>
          <t>Layer on this golf vest when the clouds roll in. The water-repellent, abrasion-resistant fabric holds up to light showers and bag straps.</t>
        </is>
      </c>
      <c r="N1233" s="7" t="inlineStr">
        <is>
          <t>Windproof-Full-Zip-Golf-Vest</t>
        </is>
      </c>
      <c r="O1233" s="7" t="inlineStr">
        <is>
          <t>Vests</t>
        </is>
      </c>
    </row>
    <row r="1234" ht="80" customHeight="1">
      <c r="A1234" s="4">
        <f>IMAGE("https://images.lululemon.com/is/image/lululemon/LM3FK8S_068578_1?wid=320&amp;op_usm=0.8",1)</f>
        <v/>
      </c>
      <c r="B1234" s="4" t="inlineStr">
        <is>
          <t>Windproof Full-Zip Golf Vest</t>
        </is>
      </c>
      <c r="C1234" s="4" t="inlineStr">
        <is>
          <t>156498833</t>
        </is>
      </c>
      <c r="D1234" s="4" t="inlineStr">
        <is>
          <t>156498833-clubblue</t>
        </is>
      </c>
      <c r="E1234" s="4" t="inlineStr">
        <is>
          <t>Windproof Full-Zip Golf Vest CLBL S</t>
        </is>
      </c>
      <c r="F1234" s="4" t="inlineStr">
        <is>
          <t>$128.00</t>
        </is>
      </c>
      <c r="G1234" s="4" t="inlineStr">
        <is>
          <t>$64.00</t>
        </is>
      </c>
      <c r="H1234" s="4" t="inlineStr">
        <is>
          <t>Club Blue</t>
        </is>
      </c>
      <c r="I1234" s="4">
        <f>IMAGE("https://images.lululemon.com/is/image/lululemon/68578",1)</f>
        <v/>
      </c>
      <c r="J1234" s="4" t="inlineStr">
        <is>
          <t>L</t>
        </is>
      </c>
      <c r="K1234" s="4" t="inlineStr">
        <is>
          <t>153/762</t>
        </is>
      </c>
      <c r="L1234" s="4" t="inlineStr">
        <is>
          <t>Yes</t>
        </is>
      </c>
      <c r="M1234" s="4" t="inlineStr">
        <is>
          <t>Layer on this golf vest when the clouds roll in. The water-repellent, abrasion-resistant fabric holds up to light showers and bag straps.</t>
        </is>
      </c>
      <c r="N1234" s="4" t="inlineStr">
        <is>
          <t>Windproof-Full-Zip-Golf-Vest</t>
        </is>
      </c>
      <c r="O1234" s="4" t="inlineStr">
        <is>
          <t>Vests</t>
        </is>
      </c>
    </row>
    <row r="1235" ht="80" customHeight="1">
      <c r="A1235" s="7">
        <f>IMAGE("https://images.lululemon.com/is/image/lululemon/LM3FK8S_068578_1?wid=320&amp;op_usm=0.8",1)</f>
        <v/>
      </c>
      <c r="B1235" s="7" t="inlineStr">
        <is>
          <t>Windproof Full-Zip Golf Vest</t>
        </is>
      </c>
      <c r="C1235" s="7" t="inlineStr">
        <is>
          <t>156498876</t>
        </is>
      </c>
      <c r="D1235" s="7" t="inlineStr">
        <is>
          <t>156498876-clubblue</t>
        </is>
      </c>
      <c r="E1235" s="7" t="inlineStr">
        <is>
          <t>Windproof Full-Zip Golf Vest CLBL S</t>
        </is>
      </c>
      <c r="F1235" s="7" t="inlineStr">
        <is>
          <t>$128.00</t>
        </is>
      </c>
      <c r="G1235" s="7" t="inlineStr">
        <is>
          <t>$64.00</t>
        </is>
      </c>
      <c r="H1235" s="7" t="inlineStr">
        <is>
          <t>Club Blue</t>
        </is>
      </c>
      <c r="I1235" s="7">
        <f>IMAGE("https://images.lululemon.com/is/image/lululemon/68578",1)</f>
        <v/>
      </c>
      <c r="J1235" s="7" t="inlineStr">
        <is>
          <t>XL</t>
        </is>
      </c>
      <c r="K1235" s="7" t="inlineStr">
        <is>
          <t>104/762</t>
        </is>
      </c>
      <c r="L1235" s="7" t="inlineStr">
        <is>
          <t>Yes</t>
        </is>
      </c>
      <c r="M1235" s="7" t="inlineStr">
        <is>
          <t>Layer on this golf vest when the clouds roll in. The water-repellent, abrasion-resistant fabric holds up to light showers and bag straps.</t>
        </is>
      </c>
      <c r="N1235" s="7" t="inlineStr">
        <is>
          <t>Windproof-Full-Zip-Golf-Vest</t>
        </is>
      </c>
      <c r="O1235" s="7" t="inlineStr">
        <is>
          <t>Vests</t>
        </is>
      </c>
    </row>
    <row r="1236" ht="80" customHeight="1">
      <c r="A1236" s="4">
        <f>IMAGE("https://images.lululemon.com/is/image/lululemon/LM3FK8S_068578_1?wid=320&amp;op_usm=0.8",1)</f>
        <v/>
      </c>
      <c r="B1236" s="4" t="inlineStr">
        <is>
          <t>Windproof Full-Zip Golf Vest</t>
        </is>
      </c>
      <c r="C1236" s="4" t="inlineStr">
        <is>
          <t>156498899</t>
        </is>
      </c>
      <c r="D1236" s="4" t="inlineStr">
        <is>
          <t>156498899-clubblue</t>
        </is>
      </c>
      <c r="E1236" s="4" t="inlineStr">
        <is>
          <t>Windproof Full-Zip Golf Vest CLBL S</t>
        </is>
      </c>
      <c r="F1236" s="4" t="inlineStr">
        <is>
          <t>$128.00</t>
        </is>
      </c>
      <c r="G1236" s="4" t="inlineStr">
        <is>
          <t>$64.00</t>
        </is>
      </c>
      <c r="H1236" s="4" t="inlineStr">
        <is>
          <t>Club Blue</t>
        </is>
      </c>
      <c r="I1236" s="4">
        <f>IMAGE("https://images.lululemon.com/is/image/lululemon/68578",1)</f>
        <v/>
      </c>
      <c r="J1236" s="4" t="inlineStr">
        <is>
          <t>XXL</t>
        </is>
      </c>
      <c r="K1236" s="4" t="inlineStr">
        <is>
          <t>47/762</t>
        </is>
      </c>
      <c r="L1236" s="4" t="inlineStr">
        <is>
          <t>Yes</t>
        </is>
      </c>
      <c r="M1236" s="4" t="inlineStr">
        <is>
          <t>Layer on this golf vest when the clouds roll in. The water-repellent, abrasion-resistant fabric holds up to light showers and bag straps.</t>
        </is>
      </c>
      <c r="N1236" s="4" t="inlineStr">
        <is>
          <t>Windproof-Full-Zip-Golf-Vest</t>
        </is>
      </c>
      <c r="O1236" s="4" t="inlineStr">
        <is>
          <t>Vests</t>
        </is>
      </c>
    </row>
    <row r="1237" ht="80" customHeight="1">
      <c r="A1237" s="7">
        <f>IMAGE("https://images.lululemon.com/is/image/lululemon/LM3FK8S_068578_1?wid=320&amp;op_usm=0.8",1)</f>
        <v/>
      </c>
      <c r="B1237" s="7" t="inlineStr">
        <is>
          <t>Windproof Full-Zip Golf Vest</t>
        </is>
      </c>
      <c r="C1237" s="7" t="inlineStr">
        <is>
          <t>155861447</t>
        </is>
      </c>
      <c r="D1237" s="7" t="inlineStr">
        <is>
          <t>155861447-black</t>
        </is>
      </c>
      <c r="E1237" s="7" t="inlineStr">
        <is>
          <t>Windproof Full-Zip Golf Vest CLBL S</t>
        </is>
      </c>
      <c r="F1237" s="7" t="inlineStr">
        <is>
          <t>$128.00</t>
        </is>
      </c>
      <c r="G1237" s="7" t="inlineStr">
        <is>
          <t>$64.00</t>
        </is>
      </c>
      <c r="H1237" s="7" t="inlineStr">
        <is>
          <t>Black</t>
        </is>
      </c>
      <c r="I1237" s="7">
        <f>IMAGE("https://images.lululemon.com/is/image/lululemon/0001",1)</f>
        <v/>
      </c>
      <c r="J1237" s="7" t="inlineStr">
        <is>
          <t>M</t>
        </is>
      </c>
      <c r="K1237" s="7" t="inlineStr">
        <is>
          <t>85/762</t>
        </is>
      </c>
      <c r="L1237" s="7" t="inlineStr">
        <is>
          <t>Yes</t>
        </is>
      </c>
      <c r="M1237" s="7" t="inlineStr">
        <is>
          <t>Layer on this golf vest when the clouds roll in. The water-repellent, abrasion-resistant fabric holds up to light showers and bag straps.</t>
        </is>
      </c>
      <c r="N1237" s="7" t="inlineStr">
        <is>
          <t>Windproof-Full-Zip-Golf-Vest</t>
        </is>
      </c>
      <c r="O1237" s="7" t="inlineStr">
        <is>
          <t>Vests</t>
        </is>
      </c>
    </row>
    <row r="1238" ht="80" customHeight="1">
      <c r="A1238" s="4">
        <f>IMAGE("https://images.lululemon.com/is/image/lululemon/LM3FK8S_068578_1?wid=320&amp;op_usm=0.8",1)</f>
        <v/>
      </c>
      <c r="B1238" s="4" t="inlineStr">
        <is>
          <t>Windproof Full-Zip Golf Vest</t>
        </is>
      </c>
      <c r="C1238" s="4" t="inlineStr">
        <is>
          <t>155861436</t>
        </is>
      </c>
      <c r="D1238" s="4" t="inlineStr">
        <is>
          <t>155861436-black</t>
        </is>
      </c>
      <c r="E1238" s="4" t="inlineStr">
        <is>
          <t>Windproof Full-Zip Golf Vest CLBL S</t>
        </is>
      </c>
      <c r="F1238" s="4" t="inlineStr">
        <is>
          <t>$128.00</t>
        </is>
      </c>
      <c r="G1238" s="4" t="inlineStr">
        <is>
          <t>$64.00</t>
        </is>
      </c>
      <c r="H1238" s="4" t="inlineStr">
        <is>
          <t>Black</t>
        </is>
      </c>
      <c r="I1238" s="4">
        <f>IMAGE("https://images.lululemon.com/is/image/lululemon/0001",1)</f>
        <v/>
      </c>
      <c r="J1238" s="4" t="inlineStr">
        <is>
          <t>L</t>
        </is>
      </c>
      <c r="K1238" s="4" t="inlineStr">
        <is>
          <t>109/762</t>
        </is>
      </c>
      <c r="L1238" s="4" t="inlineStr">
        <is>
          <t>Yes</t>
        </is>
      </c>
      <c r="M1238" s="4" t="inlineStr">
        <is>
          <t>Layer on this golf vest when the clouds roll in. The water-repellent, abrasion-resistant fabric holds up to light showers and bag straps.</t>
        </is>
      </c>
      <c r="N1238" s="4" t="inlineStr">
        <is>
          <t>Windproof-Full-Zip-Golf-Vest</t>
        </is>
      </c>
      <c r="O1238" s="4" t="inlineStr">
        <is>
          <t>Vests</t>
        </is>
      </c>
    </row>
    <row r="1239" ht="80" customHeight="1">
      <c r="A1239" s="7">
        <f>IMAGE("https://images.lululemon.com/is/image/lululemon/LM3FK8S_068578_1?wid=320&amp;op_usm=0.8",1)</f>
        <v/>
      </c>
      <c r="B1239" s="7" t="inlineStr">
        <is>
          <t>Windproof Full-Zip Golf Vest</t>
        </is>
      </c>
      <c r="C1239" s="7" t="inlineStr">
        <is>
          <t>155861466</t>
        </is>
      </c>
      <c r="D1239" s="7" t="inlineStr">
        <is>
          <t>155861466-black</t>
        </is>
      </c>
      <c r="E1239" s="7" t="inlineStr">
        <is>
          <t>Windproof Full-Zip Golf Vest CLBL S</t>
        </is>
      </c>
      <c r="F1239" s="7" t="inlineStr">
        <is>
          <t>$128.00</t>
        </is>
      </c>
      <c r="G1239" s="7" t="inlineStr">
        <is>
          <t>$64.00</t>
        </is>
      </c>
      <c r="H1239" s="7" t="inlineStr">
        <is>
          <t>Black</t>
        </is>
      </c>
      <c r="I1239" s="7">
        <f>IMAGE("https://images.lululemon.com/is/image/lululemon/0001",1)</f>
        <v/>
      </c>
      <c r="J1239" s="7" t="inlineStr">
        <is>
          <t>XL</t>
        </is>
      </c>
      <c r="K1239" s="7" t="inlineStr">
        <is>
          <t>71/762</t>
        </is>
      </c>
      <c r="L1239" s="7" t="inlineStr">
        <is>
          <t>Yes</t>
        </is>
      </c>
      <c r="M1239" s="7" t="inlineStr">
        <is>
          <t>Layer on this golf vest when the clouds roll in. The water-repellent, abrasion-resistant fabric holds up to light showers and bag straps.</t>
        </is>
      </c>
      <c r="N1239" s="7" t="inlineStr">
        <is>
          <t>Windproof-Full-Zip-Golf-Vest</t>
        </is>
      </c>
      <c r="O1239" s="7" t="inlineStr">
        <is>
          <t>Vests</t>
        </is>
      </c>
    </row>
    <row r="1240" ht="80" customHeight="1">
      <c r="A1240" s="6">
        <f>IMAGE("https://images.lululemon.com/is/image/lululemon/LM3FK8S_068578_1?wid=320&amp;op_usm=0.8",1)</f>
        <v/>
      </c>
      <c r="B1240" s="6" t="inlineStr">
        <is>
          <t>Windproof Full-Zip Golf Vest</t>
        </is>
      </c>
      <c r="C1240" s="6" t="inlineStr">
        <is>
          <t>155861486</t>
        </is>
      </c>
      <c r="D1240" s="6" t="inlineStr">
        <is>
          <t>155861486-black</t>
        </is>
      </c>
      <c r="E1240" s="6" t="inlineStr">
        <is>
          <t>Windproof Full-Zip Golf Vest CLBL S</t>
        </is>
      </c>
      <c r="F1240" s="6" t="inlineStr">
        <is>
          <t>$128.00</t>
        </is>
      </c>
      <c r="G1240" s="6" t="inlineStr">
        <is>
          <t>$64.00</t>
        </is>
      </c>
      <c r="H1240" s="6" t="inlineStr">
        <is>
          <t>Black</t>
        </is>
      </c>
      <c r="I1240" s="6">
        <f>IMAGE("https://images.lululemon.com/is/image/lululemon/0001",1)</f>
        <v/>
      </c>
      <c r="J1240" s="6" t="inlineStr">
        <is>
          <t>XXL</t>
        </is>
      </c>
      <c r="K1240" s="6" t="inlineStr">
        <is>
          <t>29/762</t>
        </is>
      </c>
      <c r="L1240" s="6" t="inlineStr">
        <is>
          <t>Yes</t>
        </is>
      </c>
      <c r="M1240" s="6" t="inlineStr">
        <is>
          <t>Layer on this golf vest when the clouds roll in. The water-repellent, abrasion-resistant fabric holds up to light showers and bag straps.</t>
        </is>
      </c>
      <c r="N1240" s="6" t="inlineStr">
        <is>
          <t>Windproof-Full-Zip-Golf-Vest</t>
        </is>
      </c>
      <c r="O1240" s="6" t="inlineStr">
        <is>
          <t>Vests</t>
        </is>
      </c>
    </row>
    <row r="1241" ht="80" customHeight="1">
      <c r="A1241" s="7">
        <f>IMAGE("https://images.lululemon.com/is/image/lululemon/LM7BHDS_0001_1?wid=320&amp;op_usm=0.8",1)</f>
        <v/>
      </c>
      <c r="B1241" s="7" t="inlineStr">
        <is>
          <t>ABC Classic-Fit Golf Short 7"</t>
        </is>
      </c>
      <c r="C1241" s="7" t="inlineStr">
        <is>
          <t>151556143</t>
        </is>
      </c>
      <c r="D1241" s="7" t="inlineStr">
        <is>
          <t>151556143-black</t>
        </is>
      </c>
      <c r="E1241" s="7" t="inlineStr">
        <is>
          <t>ABC Classic-Fit Golf Short 7" BLK 28</t>
        </is>
      </c>
      <c r="F1241" s="7" t="inlineStr">
        <is>
          <t>$98.00</t>
        </is>
      </c>
      <c r="G1241" s="7" t="inlineStr">
        <is>
          <t>$49.00</t>
        </is>
      </c>
      <c r="H1241" s="7" t="inlineStr">
        <is>
          <t>Black</t>
        </is>
      </c>
      <c r="I1241" s="7">
        <f>IMAGE("https://images.lululemon.com/is/image/lululemon/0001",1)</f>
        <v/>
      </c>
      <c r="J1241" s="7" t="inlineStr">
        <is>
          <t>28</t>
        </is>
      </c>
      <c r="K1241" s="7" t="inlineStr">
        <is>
          <t>1/813</t>
        </is>
      </c>
      <c r="L1241" s="7" t="inlineStr">
        <is>
          <t>Yes</t>
        </is>
      </c>
      <c r="M1241" s="7" t="inlineStr">
        <is>
          <t>From the first tee to the eighteenth green, these stretchy golf shorts will go the distance. Extra pockets store essentials and water-resistant fabric keeps you protected.</t>
        </is>
      </c>
      <c r="N1241" s="7" t="inlineStr">
        <is>
          <t>ABC-Classic-Fit-Golf-Short-7</t>
        </is>
      </c>
      <c r="O1241" s="7" t="inlineStr">
        <is>
          <t>Chino Shorts</t>
        </is>
      </c>
    </row>
    <row r="1242" ht="80" customHeight="1">
      <c r="A1242" s="4">
        <f>IMAGE("https://images.lululemon.com/is/image/lululemon/LM7BHDS_0001_1?wid=320&amp;op_usm=0.8",1)</f>
        <v/>
      </c>
      <c r="B1242" s="4" t="inlineStr">
        <is>
          <t>ABC Classic-Fit Golf Short 7"</t>
        </is>
      </c>
      <c r="C1242" s="4" t="inlineStr">
        <is>
          <t>151556157</t>
        </is>
      </c>
      <c r="D1242" s="4" t="inlineStr">
        <is>
          <t>151556157-black</t>
        </is>
      </c>
      <c r="E1242" s="4" t="inlineStr">
        <is>
          <t>ABC Classic-Fit Golf Short 7" BLK 28</t>
        </is>
      </c>
      <c r="F1242" s="4" t="inlineStr">
        <is>
          <t>$98.00</t>
        </is>
      </c>
      <c r="G1242" s="4" t="inlineStr">
        <is>
          <t>$49.00</t>
        </is>
      </c>
      <c r="H1242" s="4" t="inlineStr">
        <is>
          <t>Black</t>
        </is>
      </c>
      <c r="I1242" s="4">
        <f>IMAGE("https://images.lululemon.com/is/image/lululemon/0001",1)</f>
        <v/>
      </c>
      <c r="J1242" s="4" t="inlineStr">
        <is>
          <t>30</t>
        </is>
      </c>
      <c r="K1242" s="4" t="inlineStr">
        <is>
          <t>8/813</t>
        </is>
      </c>
      <c r="L1242" s="4" t="inlineStr">
        <is>
          <t>Yes</t>
        </is>
      </c>
      <c r="M1242" s="4" t="inlineStr">
        <is>
          <t>From the first tee to the eighteenth green, these stretchy golf shorts will go the distance. Extra pockets store essentials and water-resistant fabric keeps you protected.</t>
        </is>
      </c>
      <c r="N1242" s="4" t="inlineStr">
        <is>
          <t>ABC-Classic-Fit-Golf-Short-7</t>
        </is>
      </c>
      <c r="O1242" s="4" t="inlineStr">
        <is>
          <t>Chino Shorts</t>
        </is>
      </c>
    </row>
    <row r="1243" ht="80" customHeight="1">
      <c r="A1243" s="7">
        <f>IMAGE("https://images.lululemon.com/is/image/lululemon/LM7BHDS_0001_1?wid=320&amp;op_usm=0.8",1)</f>
        <v/>
      </c>
      <c r="B1243" s="7" t="inlineStr">
        <is>
          <t>ABC Classic-Fit Golf Short 7"</t>
        </is>
      </c>
      <c r="C1243" s="7" t="inlineStr">
        <is>
          <t>151556163</t>
        </is>
      </c>
      <c r="D1243" s="7" t="inlineStr">
        <is>
          <t>151556163-black</t>
        </is>
      </c>
      <c r="E1243" s="7" t="inlineStr">
        <is>
          <t>ABC Classic-Fit Golf Short 7" BLK 28</t>
        </is>
      </c>
      <c r="F1243" s="7" t="inlineStr">
        <is>
          <t>$98.00</t>
        </is>
      </c>
      <c r="G1243" s="7" t="inlineStr">
        <is>
          <t>$49.00</t>
        </is>
      </c>
      <c r="H1243" s="7" t="inlineStr">
        <is>
          <t>Black</t>
        </is>
      </c>
      <c r="I1243" s="7">
        <f>IMAGE("https://images.lululemon.com/is/image/lululemon/0001",1)</f>
        <v/>
      </c>
      <c r="J1243" s="7" t="inlineStr">
        <is>
          <t>31</t>
        </is>
      </c>
      <c r="K1243" s="7" t="inlineStr">
        <is>
          <t>15/813</t>
        </is>
      </c>
      <c r="L1243" s="7" t="inlineStr">
        <is>
          <t>Yes</t>
        </is>
      </c>
      <c r="M1243" s="7" t="inlineStr">
        <is>
          <t>From the first tee to the eighteenth green, these stretchy golf shorts will go the distance. Extra pockets store essentials and water-resistant fabric keeps you protected.</t>
        </is>
      </c>
      <c r="N1243" s="7" t="inlineStr">
        <is>
          <t>ABC-Classic-Fit-Golf-Short-7</t>
        </is>
      </c>
      <c r="O1243" s="7" t="inlineStr">
        <is>
          <t>Chino Shorts</t>
        </is>
      </c>
    </row>
    <row r="1244" ht="80" customHeight="1">
      <c r="A1244" s="4">
        <f>IMAGE("https://images.lululemon.com/is/image/lululemon/LM7BHDS_0001_1?wid=320&amp;op_usm=0.8",1)</f>
        <v/>
      </c>
      <c r="B1244" s="4" t="inlineStr">
        <is>
          <t>ABC Classic-Fit Golf Short 7"</t>
        </is>
      </c>
      <c r="C1244" s="4" t="inlineStr">
        <is>
          <t>151556169</t>
        </is>
      </c>
      <c r="D1244" s="4" t="inlineStr">
        <is>
          <t>151556169-black</t>
        </is>
      </c>
      <c r="E1244" s="4" t="inlineStr">
        <is>
          <t>ABC Classic-Fit Golf Short 7" BLK 28</t>
        </is>
      </c>
      <c r="F1244" s="4" t="inlineStr">
        <is>
          <t>$98.00</t>
        </is>
      </c>
      <c r="G1244" s="4" t="inlineStr">
        <is>
          <t>$49.00</t>
        </is>
      </c>
      <c r="H1244" s="4" t="inlineStr">
        <is>
          <t>Black</t>
        </is>
      </c>
      <c r="I1244" s="4">
        <f>IMAGE("https://images.lululemon.com/is/image/lululemon/0001",1)</f>
        <v/>
      </c>
      <c r="J1244" s="4" t="inlineStr">
        <is>
          <t>32</t>
        </is>
      </c>
      <c r="K1244" s="4" t="inlineStr">
        <is>
          <t>42/813</t>
        </is>
      </c>
      <c r="L1244" s="4" t="inlineStr">
        <is>
          <t>Yes</t>
        </is>
      </c>
      <c r="M1244" s="4" t="inlineStr">
        <is>
          <t>From the first tee to the eighteenth green, these stretchy golf shorts will go the distance. Extra pockets store essentials and water-resistant fabric keeps you protected.</t>
        </is>
      </c>
      <c r="N1244" s="4" t="inlineStr">
        <is>
          <t>ABC-Classic-Fit-Golf-Short-7</t>
        </is>
      </c>
      <c r="O1244" s="4" t="inlineStr">
        <is>
          <t>Chino Shorts</t>
        </is>
      </c>
    </row>
    <row r="1245" ht="80" customHeight="1">
      <c r="A1245" s="7">
        <f>IMAGE("https://images.lululemon.com/is/image/lululemon/LM7BHDS_0001_1?wid=320&amp;op_usm=0.8",1)</f>
        <v/>
      </c>
      <c r="B1245" s="7" t="inlineStr">
        <is>
          <t>ABC Classic-Fit Golf Short 7"</t>
        </is>
      </c>
      <c r="C1245" s="7" t="inlineStr">
        <is>
          <t>151556175</t>
        </is>
      </c>
      <c r="D1245" s="7" t="inlineStr">
        <is>
          <t>151556175-black</t>
        </is>
      </c>
      <c r="E1245" s="7" t="inlineStr">
        <is>
          <t>ABC Classic-Fit Golf Short 7" BLK 28</t>
        </is>
      </c>
      <c r="F1245" s="7" t="inlineStr">
        <is>
          <t>$98.00</t>
        </is>
      </c>
      <c r="G1245" s="7" t="inlineStr">
        <is>
          <t>$49.00</t>
        </is>
      </c>
      <c r="H1245" s="7" t="inlineStr">
        <is>
          <t>Black</t>
        </is>
      </c>
      <c r="I1245" s="7">
        <f>IMAGE("https://images.lululemon.com/is/image/lululemon/0001",1)</f>
        <v/>
      </c>
      <c r="J1245" s="7" t="inlineStr">
        <is>
          <t>33</t>
        </is>
      </c>
      <c r="K1245" s="7" t="inlineStr">
        <is>
          <t>18/813</t>
        </is>
      </c>
      <c r="L1245" s="7" t="inlineStr">
        <is>
          <t>Yes</t>
        </is>
      </c>
      <c r="M1245" s="7" t="inlineStr">
        <is>
          <t>From the first tee to the eighteenth green, these stretchy golf shorts will go the distance. Extra pockets store essentials and water-resistant fabric keeps you protected.</t>
        </is>
      </c>
      <c r="N1245" s="7" t="inlineStr">
        <is>
          <t>ABC-Classic-Fit-Golf-Short-7</t>
        </is>
      </c>
      <c r="O1245" s="7" t="inlineStr">
        <is>
          <t>Chino Shorts</t>
        </is>
      </c>
    </row>
    <row r="1246" ht="80" customHeight="1">
      <c r="A1246" s="4">
        <f>IMAGE("https://images.lululemon.com/is/image/lululemon/LM7BHDS_0001_1?wid=320&amp;op_usm=0.8",1)</f>
        <v/>
      </c>
      <c r="B1246" s="4" t="inlineStr">
        <is>
          <t>ABC Classic-Fit Golf Short 7"</t>
        </is>
      </c>
      <c r="C1246" s="4" t="inlineStr">
        <is>
          <t>151556180</t>
        </is>
      </c>
      <c r="D1246" s="4" t="inlineStr">
        <is>
          <t>151556180-black</t>
        </is>
      </c>
      <c r="E1246" s="4" t="inlineStr">
        <is>
          <t>ABC Classic-Fit Golf Short 7" BLK 28</t>
        </is>
      </c>
      <c r="F1246" s="4" t="inlineStr">
        <is>
          <t>$98.00</t>
        </is>
      </c>
      <c r="G1246" s="4" t="inlineStr">
        <is>
          <t>$49.00</t>
        </is>
      </c>
      <c r="H1246" s="4" t="inlineStr">
        <is>
          <t>Black</t>
        </is>
      </c>
      <c r="I1246" s="4">
        <f>IMAGE("https://images.lululemon.com/is/image/lululemon/0001",1)</f>
        <v/>
      </c>
      <c r="J1246" s="4" t="inlineStr">
        <is>
          <t>34</t>
        </is>
      </c>
      <c r="K1246" s="4" t="inlineStr">
        <is>
          <t>46/813</t>
        </is>
      </c>
      <c r="L1246" s="4" t="inlineStr">
        <is>
          <t>Yes</t>
        </is>
      </c>
      <c r="M1246" s="4" t="inlineStr">
        <is>
          <t>From the first tee to the eighteenth green, these stretchy golf shorts will go the distance. Extra pockets store essentials and water-resistant fabric keeps you protected.</t>
        </is>
      </c>
      <c r="N1246" s="4" t="inlineStr">
        <is>
          <t>ABC-Classic-Fit-Golf-Short-7</t>
        </is>
      </c>
      <c r="O1246" s="4" t="inlineStr">
        <is>
          <t>Chino Shorts</t>
        </is>
      </c>
    </row>
    <row r="1247" ht="80" customHeight="1">
      <c r="A1247" s="7">
        <f>IMAGE("https://images.lululemon.com/is/image/lululemon/LM7BHDS_0001_1?wid=320&amp;op_usm=0.8",1)</f>
        <v/>
      </c>
      <c r="B1247" s="7" t="inlineStr">
        <is>
          <t>ABC Classic-Fit Golf Short 7"</t>
        </is>
      </c>
      <c r="C1247" s="7" t="inlineStr">
        <is>
          <t>151556193</t>
        </is>
      </c>
      <c r="D1247" s="7" t="inlineStr">
        <is>
          <t>151556193-black</t>
        </is>
      </c>
      <c r="E1247" s="7" t="inlineStr">
        <is>
          <t>ABC Classic-Fit Golf Short 7" BLK 28</t>
        </is>
      </c>
      <c r="F1247" s="7" t="inlineStr">
        <is>
          <t>$98.00</t>
        </is>
      </c>
      <c r="G1247" s="7" t="inlineStr">
        <is>
          <t>$49.00</t>
        </is>
      </c>
      <c r="H1247" s="7" t="inlineStr">
        <is>
          <t>Black</t>
        </is>
      </c>
      <c r="I1247" s="7">
        <f>IMAGE("https://images.lululemon.com/is/image/lululemon/0001",1)</f>
        <v/>
      </c>
      <c r="J1247" s="7" t="inlineStr">
        <is>
          <t>36</t>
        </is>
      </c>
      <c r="K1247" s="7" t="inlineStr">
        <is>
          <t>42/813</t>
        </is>
      </c>
      <c r="L1247" s="7" t="inlineStr">
        <is>
          <t>Yes</t>
        </is>
      </c>
      <c r="M1247" s="7" t="inlineStr">
        <is>
          <t>From the first tee to the eighteenth green, these stretchy golf shorts will go the distance. Extra pockets store essentials and water-resistant fabric keeps you protected.</t>
        </is>
      </c>
      <c r="N1247" s="7" t="inlineStr">
        <is>
          <t>ABC-Classic-Fit-Golf-Short-7</t>
        </is>
      </c>
      <c r="O1247" s="7" t="inlineStr">
        <is>
          <t>Chino Shorts</t>
        </is>
      </c>
    </row>
    <row r="1248" ht="80" customHeight="1">
      <c r="A1248" s="4">
        <f>IMAGE("https://images.lululemon.com/is/image/lululemon/LM7BHDS_0001_1?wid=320&amp;op_usm=0.8",1)</f>
        <v/>
      </c>
      <c r="B1248" s="4" t="inlineStr">
        <is>
          <t>ABC Classic-Fit Golf Short 7"</t>
        </is>
      </c>
      <c r="C1248" s="4" t="inlineStr">
        <is>
          <t>151556205</t>
        </is>
      </c>
      <c r="D1248" s="4" t="inlineStr">
        <is>
          <t>151556205-black</t>
        </is>
      </c>
      <c r="E1248" s="4" t="inlineStr">
        <is>
          <t>ABC Classic-Fit Golf Short 7" BLK 28</t>
        </is>
      </c>
      <c r="F1248" s="4" t="inlineStr">
        <is>
          <t>$98.00</t>
        </is>
      </c>
      <c r="G1248" s="4" t="inlineStr">
        <is>
          <t>$49.00</t>
        </is>
      </c>
      <c r="H1248" s="4" t="inlineStr">
        <is>
          <t>Black</t>
        </is>
      </c>
      <c r="I1248" s="4">
        <f>IMAGE("https://images.lululemon.com/is/image/lululemon/0001",1)</f>
        <v/>
      </c>
      <c r="J1248" s="4" t="inlineStr">
        <is>
          <t>38</t>
        </is>
      </c>
      <c r="K1248" s="4" t="inlineStr">
        <is>
          <t>32/813</t>
        </is>
      </c>
      <c r="L1248" s="4" t="inlineStr">
        <is>
          <t>Yes</t>
        </is>
      </c>
      <c r="M1248" s="4" t="inlineStr">
        <is>
          <t>From the first tee to the eighteenth green, these stretchy golf shorts will go the distance. Extra pockets store essentials and water-resistant fabric keeps you protected.</t>
        </is>
      </c>
      <c r="N1248" s="4" t="inlineStr">
        <is>
          <t>ABC-Classic-Fit-Golf-Short-7</t>
        </is>
      </c>
      <c r="O1248" s="4" t="inlineStr">
        <is>
          <t>Chino Shorts</t>
        </is>
      </c>
    </row>
    <row r="1249" ht="80" customHeight="1">
      <c r="A1249" s="7">
        <f>IMAGE("https://images.lululemon.com/is/image/lululemon/LM7BHDS_0001_1?wid=320&amp;op_usm=0.8",1)</f>
        <v/>
      </c>
      <c r="B1249" s="7" t="inlineStr">
        <is>
          <t>ABC Classic-Fit Golf Short 7"</t>
        </is>
      </c>
      <c r="C1249" s="7" t="inlineStr">
        <is>
          <t>151556217</t>
        </is>
      </c>
      <c r="D1249" s="7" t="inlineStr">
        <is>
          <t>151556217-black</t>
        </is>
      </c>
      <c r="E1249" s="7" t="inlineStr">
        <is>
          <t>ABC Classic-Fit Golf Short 7" BLK 28</t>
        </is>
      </c>
      <c r="F1249" s="7" t="inlineStr">
        <is>
          <t>$98.00</t>
        </is>
      </c>
      <c r="G1249" s="7" t="inlineStr">
        <is>
          <t>$49.00</t>
        </is>
      </c>
      <c r="H1249" s="7" t="inlineStr">
        <is>
          <t>Black</t>
        </is>
      </c>
      <c r="I1249" s="7">
        <f>IMAGE("https://images.lululemon.com/is/image/lululemon/0001",1)</f>
        <v/>
      </c>
      <c r="J1249" s="7" t="inlineStr">
        <is>
          <t>40</t>
        </is>
      </c>
      <c r="K1249" s="7" t="inlineStr">
        <is>
          <t>11/813</t>
        </is>
      </c>
      <c r="L1249" s="7" t="inlineStr">
        <is>
          <t>Yes</t>
        </is>
      </c>
      <c r="M1249" s="7" t="inlineStr">
        <is>
          <t>From the first tee to the eighteenth green, these stretchy golf shorts will go the distance. Extra pockets store essentials and water-resistant fabric keeps you protected.</t>
        </is>
      </c>
      <c r="N1249" s="7" t="inlineStr">
        <is>
          <t>ABC-Classic-Fit-Golf-Short-7</t>
        </is>
      </c>
      <c r="O1249" s="7" t="inlineStr">
        <is>
          <t>Chino Shorts</t>
        </is>
      </c>
    </row>
    <row r="1250" ht="80" customHeight="1">
      <c r="A1250" s="4">
        <f>IMAGE("https://images.lululemon.com/is/image/lululemon/LM7BHDS_0001_1?wid=320&amp;op_usm=0.8",1)</f>
        <v/>
      </c>
      <c r="B1250" s="4" t="inlineStr">
        <is>
          <t>ABC Classic-Fit Golf Short 7"</t>
        </is>
      </c>
      <c r="C1250" s="4" t="inlineStr">
        <is>
          <t>157705022</t>
        </is>
      </c>
      <c r="D1250" s="4" t="inlineStr">
        <is>
          <t>157705022-foggreen</t>
        </is>
      </c>
      <c r="E1250" s="4" t="inlineStr">
        <is>
          <t>ABC Classic-Fit Golf Short 7" BLK 28</t>
        </is>
      </c>
      <c r="F1250" s="4" t="inlineStr">
        <is>
          <t>$98.00</t>
        </is>
      </c>
      <c r="G1250" s="4" t="inlineStr">
        <is>
          <t>$49.00</t>
        </is>
      </c>
      <c r="H1250" s="4" t="inlineStr">
        <is>
          <t>Fog Green</t>
        </is>
      </c>
      <c r="I1250" s="4">
        <f>IMAGE("https://images.lululemon.com/is/image/lululemon/70144",1)</f>
        <v/>
      </c>
      <c r="J1250" s="4" t="inlineStr">
        <is>
          <t>28</t>
        </is>
      </c>
      <c r="K1250" s="4" t="inlineStr">
        <is>
          <t>8/813</t>
        </is>
      </c>
      <c r="L1250" s="4" t="inlineStr">
        <is>
          <t>Yes</t>
        </is>
      </c>
      <c r="M1250" s="4" t="inlineStr">
        <is>
          <t>From the first tee to the eighteenth green, these stretchy golf shorts will go the distance. Extra pockets store essentials and water-resistant fabric keeps you protected.</t>
        </is>
      </c>
      <c r="N1250" s="4" t="inlineStr">
        <is>
          <t>ABC-Classic-Fit-Golf-Short-7</t>
        </is>
      </c>
      <c r="O1250" s="4" t="inlineStr">
        <is>
          <t>Chino Shorts</t>
        </is>
      </c>
    </row>
    <row r="1251" ht="80" customHeight="1">
      <c r="A1251" s="7">
        <f>IMAGE("https://images.lululemon.com/is/image/lululemon/LM7BHDS_0001_1?wid=320&amp;op_usm=0.8",1)</f>
        <v/>
      </c>
      <c r="B1251" s="7" t="inlineStr">
        <is>
          <t>ABC Classic-Fit Golf Short 7"</t>
        </is>
      </c>
      <c r="C1251" s="7" t="inlineStr">
        <is>
          <t>157705032</t>
        </is>
      </c>
      <c r="D1251" s="7" t="inlineStr">
        <is>
          <t>157705032-foggreen</t>
        </is>
      </c>
      <c r="E1251" s="7" t="inlineStr">
        <is>
          <t>ABC Classic-Fit Golf Short 7" BLK 28</t>
        </is>
      </c>
      <c r="F1251" s="7" t="inlineStr">
        <is>
          <t>$98.00</t>
        </is>
      </c>
      <c r="G1251" s="7" t="inlineStr">
        <is>
          <t>$49.00</t>
        </is>
      </c>
      <c r="H1251" s="7" t="inlineStr">
        <is>
          <t>Fog Green</t>
        </is>
      </c>
      <c r="I1251" s="7">
        <f>IMAGE("https://images.lululemon.com/is/image/lululemon/70144",1)</f>
        <v/>
      </c>
      <c r="J1251" s="7" t="inlineStr">
        <is>
          <t>30</t>
        </is>
      </c>
      <c r="K1251" s="7" t="inlineStr">
        <is>
          <t>20/813</t>
        </is>
      </c>
      <c r="L1251" s="7" t="inlineStr">
        <is>
          <t>Yes</t>
        </is>
      </c>
      <c r="M1251" s="7" t="inlineStr">
        <is>
          <t>From the first tee to the eighteenth green, these stretchy golf shorts will go the distance. Extra pockets store essentials and water-resistant fabric keeps you protected.</t>
        </is>
      </c>
      <c r="N1251" s="7" t="inlineStr">
        <is>
          <t>ABC-Classic-Fit-Golf-Short-7</t>
        </is>
      </c>
      <c r="O1251" s="7" t="inlineStr">
        <is>
          <t>Chino Shorts</t>
        </is>
      </c>
    </row>
    <row r="1252" ht="80" customHeight="1">
      <c r="A1252" s="4">
        <f>IMAGE("https://images.lululemon.com/is/image/lululemon/LM7BHDS_0001_1?wid=320&amp;op_usm=0.8",1)</f>
        <v/>
      </c>
      <c r="B1252" s="4" t="inlineStr">
        <is>
          <t>ABC Classic-Fit Golf Short 7"</t>
        </is>
      </c>
      <c r="C1252" s="4" t="inlineStr">
        <is>
          <t>157705041</t>
        </is>
      </c>
      <c r="D1252" s="4" t="inlineStr">
        <is>
          <t>157705041-foggreen</t>
        </is>
      </c>
      <c r="E1252" s="4" t="inlineStr">
        <is>
          <t>ABC Classic-Fit Golf Short 7" BLK 28</t>
        </is>
      </c>
      <c r="F1252" s="4" t="inlineStr">
        <is>
          <t>$98.00</t>
        </is>
      </c>
      <c r="G1252" s="4" t="inlineStr">
        <is>
          <t>$49.00</t>
        </is>
      </c>
      <c r="H1252" s="4" t="inlineStr">
        <is>
          <t>Fog Green</t>
        </is>
      </c>
      <c r="I1252" s="4">
        <f>IMAGE("https://images.lululemon.com/is/image/lululemon/70144",1)</f>
        <v/>
      </c>
      <c r="J1252" s="4" t="inlineStr">
        <is>
          <t>31</t>
        </is>
      </c>
      <c r="K1252" s="4" t="inlineStr">
        <is>
          <t>6/813</t>
        </is>
      </c>
      <c r="L1252" s="4" t="inlineStr">
        <is>
          <t>Yes</t>
        </is>
      </c>
      <c r="M1252" s="4" t="inlineStr">
        <is>
          <t>From the first tee to the eighteenth green, these stretchy golf shorts will go the distance. Extra pockets store essentials and water-resistant fabric keeps you protected.</t>
        </is>
      </c>
      <c r="N1252" s="4" t="inlineStr">
        <is>
          <t>ABC-Classic-Fit-Golf-Short-7</t>
        </is>
      </c>
      <c r="O1252" s="4" t="inlineStr">
        <is>
          <t>Chino Shorts</t>
        </is>
      </c>
    </row>
    <row r="1253" ht="80" customHeight="1">
      <c r="A1253" s="7">
        <f>IMAGE("https://images.lululemon.com/is/image/lululemon/LM7BHDS_0001_1?wid=320&amp;op_usm=0.8",1)</f>
        <v/>
      </c>
      <c r="B1253" s="7" t="inlineStr">
        <is>
          <t>ABC Classic-Fit Golf Short 7"</t>
        </is>
      </c>
      <c r="C1253" s="7" t="inlineStr">
        <is>
          <t>157705051</t>
        </is>
      </c>
      <c r="D1253" s="7" t="inlineStr">
        <is>
          <t>157705051-foggreen</t>
        </is>
      </c>
      <c r="E1253" s="7" t="inlineStr">
        <is>
          <t>ABC Classic-Fit Golf Short 7" BLK 28</t>
        </is>
      </c>
      <c r="F1253" s="7" t="inlineStr">
        <is>
          <t>$98.00</t>
        </is>
      </c>
      <c r="G1253" s="7" t="inlineStr">
        <is>
          <t>$49.00</t>
        </is>
      </c>
      <c r="H1253" s="7" t="inlineStr">
        <is>
          <t>Fog Green</t>
        </is>
      </c>
      <c r="I1253" s="7">
        <f>IMAGE("https://images.lululemon.com/is/image/lululemon/70144",1)</f>
        <v/>
      </c>
      <c r="J1253" s="7" t="inlineStr">
        <is>
          <t>32</t>
        </is>
      </c>
      <c r="K1253" s="7" t="inlineStr">
        <is>
          <t>45/813</t>
        </is>
      </c>
      <c r="L1253" s="7" t="inlineStr">
        <is>
          <t>Yes</t>
        </is>
      </c>
      <c r="M1253" s="7" t="inlineStr">
        <is>
          <t>From the first tee to the eighteenth green, these stretchy golf shorts will go the distance. Extra pockets store essentials and water-resistant fabric keeps you protected.</t>
        </is>
      </c>
      <c r="N1253" s="7" t="inlineStr">
        <is>
          <t>ABC-Classic-Fit-Golf-Short-7</t>
        </is>
      </c>
      <c r="O1253" s="7" t="inlineStr">
        <is>
          <t>Chino Shorts</t>
        </is>
      </c>
    </row>
    <row r="1254" ht="80" customHeight="1">
      <c r="A1254" s="4">
        <f>IMAGE("https://images.lululemon.com/is/image/lululemon/LM7BHDS_0001_1?wid=320&amp;op_usm=0.8",1)</f>
        <v/>
      </c>
      <c r="B1254" s="4" t="inlineStr">
        <is>
          <t>ABC Classic-Fit Golf Short 7"</t>
        </is>
      </c>
      <c r="C1254" s="4" t="inlineStr">
        <is>
          <t>157705060</t>
        </is>
      </c>
      <c r="D1254" s="4" t="inlineStr">
        <is>
          <t>157705060-foggreen</t>
        </is>
      </c>
      <c r="E1254" s="4" t="inlineStr">
        <is>
          <t>ABC Classic-Fit Golf Short 7" BLK 28</t>
        </is>
      </c>
      <c r="F1254" s="4" t="inlineStr">
        <is>
          <t>$98.00</t>
        </is>
      </c>
      <c r="G1254" s="4" t="inlineStr">
        <is>
          <t>$49.00</t>
        </is>
      </c>
      <c r="H1254" s="4" t="inlineStr">
        <is>
          <t>Fog Green</t>
        </is>
      </c>
      <c r="I1254" s="4">
        <f>IMAGE("https://images.lululemon.com/is/image/lululemon/70144",1)</f>
        <v/>
      </c>
      <c r="J1254" s="4" t="inlineStr">
        <is>
          <t>33</t>
        </is>
      </c>
      <c r="K1254" s="4" t="inlineStr">
        <is>
          <t>19/813</t>
        </is>
      </c>
      <c r="L1254" s="4" t="inlineStr">
        <is>
          <t>Yes</t>
        </is>
      </c>
      <c r="M1254" s="4" t="inlineStr">
        <is>
          <t>From the first tee to the eighteenth green, these stretchy golf shorts will go the distance. Extra pockets store essentials and water-resistant fabric keeps you protected.</t>
        </is>
      </c>
      <c r="N1254" s="4" t="inlineStr">
        <is>
          <t>ABC-Classic-Fit-Golf-Short-7</t>
        </is>
      </c>
      <c r="O1254" s="4" t="inlineStr">
        <is>
          <t>Chino Shorts</t>
        </is>
      </c>
    </row>
    <row r="1255" ht="80" customHeight="1">
      <c r="A1255" s="7">
        <f>IMAGE("https://images.lululemon.com/is/image/lululemon/LM7BHDS_0001_1?wid=320&amp;op_usm=0.8",1)</f>
        <v/>
      </c>
      <c r="B1255" s="7" t="inlineStr">
        <is>
          <t>ABC Classic-Fit Golf Short 7"</t>
        </is>
      </c>
      <c r="C1255" s="7" t="inlineStr">
        <is>
          <t>157705068</t>
        </is>
      </c>
      <c r="D1255" s="7" t="inlineStr">
        <is>
          <t>157705068-foggreen</t>
        </is>
      </c>
      <c r="E1255" s="7" t="inlineStr">
        <is>
          <t>ABC Classic-Fit Golf Short 7" BLK 28</t>
        </is>
      </c>
      <c r="F1255" s="7" t="inlineStr">
        <is>
          <t>$98.00</t>
        </is>
      </c>
      <c r="G1255" s="7" t="inlineStr">
        <is>
          <t>$49.00</t>
        </is>
      </c>
      <c r="H1255" s="7" t="inlineStr">
        <is>
          <t>Fog Green</t>
        </is>
      </c>
      <c r="I1255" s="7">
        <f>IMAGE("https://images.lululemon.com/is/image/lululemon/70144",1)</f>
        <v/>
      </c>
      <c r="J1255" s="7" t="inlineStr">
        <is>
          <t>34</t>
        </is>
      </c>
      <c r="K1255" s="7" t="inlineStr">
        <is>
          <t>51/813</t>
        </is>
      </c>
      <c r="L1255" s="7" t="inlineStr">
        <is>
          <t>Yes</t>
        </is>
      </c>
      <c r="M1255" s="7" t="inlineStr">
        <is>
          <t>From the first tee to the eighteenth green, these stretchy golf shorts will go the distance. Extra pockets store essentials and water-resistant fabric keeps you protected.</t>
        </is>
      </c>
      <c r="N1255" s="7" t="inlineStr">
        <is>
          <t>ABC-Classic-Fit-Golf-Short-7</t>
        </is>
      </c>
      <c r="O1255" s="7" t="inlineStr">
        <is>
          <t>Chino Shorts</t>
        </is>
      </c>
    </row>
    <row r="1256" ht="80" customHeight="1">
      <c r="A1256" s="4">
        <f>IMAGE("https://images.lululemon.com/is/image/lululemon/LM7BHDS_0001_1?wid=320&amp;op_usm=0.8",1)</f>
        <v/>
      </c>
      <c r="B1256" s="4" t="inlineStr">
        <is>
          <t>ABC Classic-Fit Golf Short 7"</t>
        </is>
      </c>
      <c r="C1256" s="4" t="inlineStr">
        <is>
          <t>157705088</t>
        </is>
      </c>
      <c r="D1256" s="4" t="inlineStr">
        <is>
          <t>157705088-foggreen</t>
        </is>
      </c>
      <c r="E1256" s="4" t="inlineStr">
        <is>
          <t>ABC Classic-Fit Golf Short 7" BLK 28</t>
        </is>
      </c>
      <c r="F1256" s="4" t="inlineStr">
        <is>
          <t>$98.00</t>
        </is>
      </c>
      <c r="G1256" s="4" t="inlineStr">
        <is>
          <t>$49.00</t>
        </is>
      </c>
      <c r="H1256" s="4" t="inlineStr">
        <is>
          <t>Fog Green</t>
        </is>
      </c>
      <c r="I1256" s="4">
        <f>IMAGE("https://images.lululemon.com/is/image/lululemon/70144",1)</f>
        <v/>
      </c>
      <c r="J1256" s="4" t="inlineStr">
        <is>
          <t>36</t>
        </is>
      </c>
      <c r="K1256" s="4" t="inlineStr">
        <is>
          <t>46/813</t>
        </is>
      </c>
      <c r="L1256" s="4" t="inlineStr">
        <is>
          <t>Yes</t>
        </is>
      </c>
      <c r="M1256" s="4" t="inlineStr">
        <is>
          <t>From the first tee to the eighteenth green, these stretchy golf shorts will go the distance. Extra pockets store essentials and water-resistant fabric keeps you protected.</t>
        </is>
      </c>
      <c r="N1256" s="4" t="inlineStr">
        <is>
          <t>ABC-Classic-Fit-Golf-Short-7</t>
        </is>
      </c>
      <c r="O1256" s="4" t="inlineStr">
        <is>
          <t>Chino Shorts</t>
        </is>
      </c>
    </row>
    <row r="1257" ht="80" customHeight="1">
      <c r="A1257" s="7">
        <f>IMAGE("https://images.lululemon.com/is/image/lululemon/LM7BHDS_0001_1?wid=320&amp;op_usm=0.8",1)</f>
        <v/>
      </c>
      <c r="B1257" s="7" t="inlineStr">
        <is>
          <t>ABC Classic-Fit Golf Short 7"</t>
        </is>
      </c>
      <c r="C1257" s="7" t="inlineStr">
        <is>
          <t>157705097</t>
        </is>
      </c>
      <c r="D1257" s="7" t="inlineStr">
        <is>
          <t>157705097-foggreen</t>
        </is>
      </c>
      <c r="E1257" s="7" t="inlineStr">
        <is>
          <t>ABC Classic-Fit Golf Short 7" BLK 28</t>
        </is>
      </c>
      <c r="F1257" s="7" t="inlineStr">
        <is>
          <t>$98.00</t>
        </is>
      </c>
      <c r="G1257" s="7" t="inlineStr">
        <is>
          <t>$49.00</t>
        </is>
      </c>
      <c r="H1257" s="7" t="inlineStr">
        <is>
          <t>Fog Green</t>
        </is>
      </c>
      <c r="I1257" s="7">
        <f>IMAGE("https://images.lululemon.com/is/image/lululemon/70144",1)</f>
        <v/>
      </c>
      <c r="J1257" s="7" t="inlineStr">
        <is>
          <t>38</t>
        </is>
      </c>
      <c r="K1257" s="7" t="inlineStr">
        <is>
          <t>23/813</t>
        </is>
      </c>
      <c r="L1257" s="7" t="inlineStr">
        <is>
          <t>Yes</t>
        </is>
      </c>
      <c r="M1257" s="7" t="inlineStr">
        <is>
          <t>From the first tee to the eighteenth green, these stretchy golf shorts will go the distance. Extra pockets store essentials and water-resistant fabric keeps you protected.</t>
        </is>
      </c>
      <c r="N1257" s="7" t="inlineStr">
        <is>
          <t>ABC-Classic-Fit-Golf-Short-7</t>
        </is>
      </c>
      <c r="O1257" s="7" t="inlineStr">
        <is>
          <t>Chino Shorts</t>
        </is>
      </c>
    </row>
    <row r="1258" ht="80" customHeight="1">
      <c r="A1258" s="4">
        <f>IMAGE("https://images.lululemon.com/is/image/lululemon/LM7BHDS_0001_1?wid=320&amp;op_usm=0.8",1)</f>
        <v/>
      </c>
      <c r="B1258" s="4" t="inlineStr">
        <is>
          <t>ABC Classic-Fit Golf Short 7"</t>
        </is>
      </c>
      <c r="C1258" s="4" t="inlineStr">
        <is>
          <t>157705106</t>
        </is>
      </c>
      <c r="D1258" s="4" t="inlineStr">
        <is>
          <t>157705106-foggreen</t>
        </is>
      </c>
      <c r="E1258" s="4" t="inlineStr">
        <is>
          <t>ABC Classic-Fit Golf Short 7" BLK 28</t>
        </is>
      </c>
      <c r="F1258" s="4" t="inlineStr">
        <is>
          <t>$98.00</t>
        </is>
      </c>
      <c r="G1258" s="4" t="inlineStr">
        <is>
          <t>$49.00</t>
        </is>
      </c>
      <c r="H1258" s="4" t="inlineStr">
        <is>
          <t>Fog Green</t>
        </is>
      </c>
      <c r="I1258" s="4">
        <f>IMAGE("https://images.lululemon.com/is/image/lululemon/70144",1)</f>
        <v/>
      </c>
      <c r="J1258" s="4" t="inlineStr">
        <is>
          <t>40</t>
        </is>
      </c>
      <c r="K1258" s="4" t="inlineStr">
        <is>
          <t>7/813</t>
        </is>
      </c>
      <c r="L1258" s="4" t="inlineStr">
        <is>
          <t>Yes</t>
        </is>
      </c>
      <c r="M1258" s="4" t="inlineStr">
        <is>
          <t>From the first tee to the eighteenth green, these stretchy golf shorts will go the distance. Extra pockets store essentials and water-resistant fabric keeps you protected.</t>
        </is>
      </c>
      <c r="N1258" s="4" t="inlineStr">
        <is>
          <t>ABC-Classic-Fit-Golf-Short-7</t>
        </is>
      </c>
      <c r="O1258" s="4" t="inlineStr">
        <is>
          <t>Chino Shorts</t>
        </is>
      </c>
    </row>
    <row r="1259" ht="80" customHeight="1">
      <c r="A1259" s="7">
        <f>IMAGE("https://images.lululemon.com/is/image/lululemon/LM7BHDS_0001_1?wid=320&amp;op_usm=0.8",1)</f>
        <v/>
      </c>
      <c r="B1259" s="7" t="inlineStr">
        <is>
          <t>ABC Classic-Fit Golf Short 7"</t>
        </is>
      </c>
      <c r="C1259" s="7" t="inlineStr">
        <is>
          <t>157704928</t>
        </is>
      </c>
      <c r="D1259" s="7" t="inlineStr">
        <is>
          <t>157704928-clubblue</t>
        </is>
      </c>
      <c r="E1259" s="7" t="inlineStr">
        <is>
          <t>ABC Classic-Fit Golf Short 7" BLK 28</t>
        </is>
      </c>
      <c r="F1259" s="7" t="inlineStr">
        <is>
          <t>$98.00</t>
        </is>
      </c>
      <c r="G1259" s="7" t="inlineStr">
        <is>
          <t>$49.00</t>
        </is>
      </c>
      <c r="H1259" s="7" t="inlineStr">
        <is>
          <t>Club Blue</t>
        </is>
      </c>
      <c r="I1259" s="7">
        <f>IMAGE("https://images.lululemon.com/is/image/lululemon/68578",1)</f>
        <v/>
      </c>
      <c r="J1259" s="7" t="inlineStr">
        <is>
          <t>28</t>
        </is>
      </c>
      <c r="K1259" s="7" t="inlineStr">
        <is>
          <t>11/813</t>
        </is>
      </c>
      <c r="L1259" s="7" t="inlineStr">
        <is>
          <t>Yes</t>
        </is>
      </c>
      <c r="M1259" s="7" t="inlineStr">
        <is>
          <t>From the first tee to the eighteenth green, these stretchy golf shorts will go the distance. Extra pockets store essentials and water-resistant fabric keeps you protected.</t>
        </is>
      </c>
      <c r="N1259" s="7" t="inlineStr">
        <is>
          <t>ABC-Classic-Fit-Golf-Short-7</t>
        </is>
      </c>
      <c r="O1259" s="7" t="inlineStr">
        <is>
          <t>Chino Shorts</t>
        </is>
      </c>
    </row>
    <row r="1260" ht="80" customHeight="1">
      <c r="A1260" s="4">
        <f>IMAGE("https://images.lululemon.com/is/image/lululemon/LM7BHDS_0001_1?wid=320&amp;op_usm=0.8",1)</f>
        <v/>
      </c>
      <c r="B1260" s="4" t="inlineStr">
        <is>
          <t>ABC Classic-Fit Golf Short 7"</t>
        </is>
      </c>
      <c r="C1260" s="4" t="inlineStr">
        <is>
          <t>157704938</t>
        </is>
      </c>
      <c r="D1260" s="4" t="inlineStr">
        <is>
          <t>157704938-clubblue</t>
        </is>
      </c>
      <c r="E1260" s="4" t="inlineStr">
        <is>
          <t>ABC Classic-Fit Golf Short 7" BLK 28</t>
        </is>
      </c>
      <c r="F1260" s="4" t="inlineStr">
        <is>
          <t>$98.00</t>
        </is>
      </c>
      <c r="G1260" s="4" t="inlineStr">
        <is>
          <t>$49.00</t>
        </is>
      </c>
      <c r="H1260" s="4" t="inlineStr">
        <is>
          <t>Club Blue</t>
        </is>
      </c>
      <c r="I1260" s="4">
        <f>IMAGE("https://images.lululemon.com/is/image/lululemon/68578",1)</f>
        <v/>
      </c>
      <c r="J1260" s="4" t="inlineStr">
        <is>
          <t>30</t>
        </is>
      </c>
      <c r="K1260" s="4" t="inlineStr">
        <is>
          <t>34/813</t>
        </is>
      </c>
      <c r="L1260" s="4" t="inlineStr">
        <is>
          <t>Yes</t>
        </is>
      </c>
      <c r="M1260" s="4" t="inlineStr">
        <is>
          <t>From the first tee to the eighteenth green, these stretchy golf shorts will go the distance. Extra pockets store essentials and water-resistant fabric keeps you protected.</t>
        </is>
      </c>
      <c r="N1260" s="4" t="inlineStr">
        <is>
          <t>ABC-Classic-Fit-Golf-Short-7</t>
        </is>
      </c>
      <c r="O1260" s="4" t="inlineStr">
        <is>
          <t>Chino Shorts</t>
        </is>
      </c>
    </row>
    <row r="1261" ht="80" customHeight="1">
      <c r="A1261" s="7">
        <f>IMAGE("https://images.lululemon.com/is/image/lululemon/LM7BHDS_0001_1?wid=320&amp;op_usm=0.8",1)</f>
        <v/>
      </c>
      <c r="B1261" s="7" t="inlineStr">
        <is>
          <t>ABC Classic-Fit Golf Short 7"</t>
        </is>
      </c>
      <c r="C1261" s="7" t="inlineStr">
        <is>
          <t>157704946</t>
        </is>
      </c>
      <c r="D1261" s="7" t="inlineStr">
        <is>
          <t>157704946-clubblue</t>
        </is>
      </c>
      <c r="E1261" s="7" t="inlineStr">
        <is>
          <t>ABC Classic-Fit Golf Short 7" BLK 28</t>
        </is>
      </c>
      <c r="F1261" s="7" t="inlineStr">
        <is>
          <t>$98.00</t>
        </is>
      </c>
      <c r="G1261" s="7" t="inlineStr">
        <is>
          <t>$49.00</t>
        </is>
      </c>
      <c r="H1261" s="7" t="inlineStr">
        <is>
          <t>Club Blue</t>
        </is>
      </c>
      <c r="I1261" s="7">
        <f>IMAGE("https://images.lululemon.com/is/image/lululemon/68578",1)</f>
        <v/>
      </c>
      <c r="J1261" s="7" t="inlineStr">
        <is>
          <t>31</t>
        </is>
      </c>
      <c r="K1261" s="7" t="inlineStr">
        <is>
          <t>12/813</t>
        </is>
      </c>
      <c r="L1261" s="7" t="inlineStr">
        <is>
          <t>Yes</t>
        </is>
      </c>
      <c r="M1261" s="7" t="inlineStr">
        <is>
          <t>From the first tee to the eighteenth green, these stretchy golf shorts will go the distance. Extra pockets store essentials and water-resistant fabric keeps you protected.</t>
        </is>
      </c>
      <c r="N1261" s="7" t="inlineStr">
        <is>
          <t>ABC-Classic-Fit-Golf-Short-7</t>
        </is>
      </c>
      <c r="O1261" s="7" t="inlineStr">
        <is>
          <t>Chino Shorts</t>
        </is>
      </c>
    </row>
    <row r="1262" ht="80" customHeight="1">
      <c r="A1262" s="4">
        <f>IMAGE("https://images.lululemon.com/is/image/lululemon/LM7BHDS_0001_1?wid=320&amp;op_usm=0.8",1)</f>
        <v/>
      </c>
      <c r="B1262" s="4" t="inlineStr">
        <is>
          <t>ABC Classic-Fit Golf Short 7"</t>
        </is>
      </c>
      <c r="C1262" s="4" t="inlineStr">
        <is>
          <t>157704956</t>
        </is>
      </c>
      <c r="D1262" s="4" t="inlineStr">
        <is>
          <t>157704956-clubblue</t>
        </is>
      </c>
      <c r="E1262" s="4" t="inlineStr">
        <is>
          <t>ABC Classic-Fit Golf Short 7" BLK 28</t>
        </is>
      </c>
      <c r="F1262" s="4" t="inlineStr">
        <is>
          <t>$98.00</t>
        </is>
      </c>
      <c r="G1262" s="4" t="inlineStr">
        <is>
          <t>$49.00</t>
        </is>
      </c>
      <c r="H1262" s="4" t="inlineStr">
        <is>
          <t>Club Blue</t>
        </is>
      </c>
      <c r="I1262" s="4">
        <f>IMAGE("https://images.lululemon.com/is/image/lululemon/68578",1)</f>
        <v/>
      </c>
      <c r="J1262" s="4" t="inlineStr">
        <is>
          <t>32</t>
        </is>
      </c>
      <c r="K1262" s="4" t="inlineStr">
        <is>
          <t>74/813</t>
        </is>
      </c>
      <c r="L1262" s="4" t="inlineStr">
        <is>
          <t>Yes</t>
        </is>
      </c>
      <c r="M1262" s="4" t="inlineStr">
        <is>
          <t>From the first tee to the eighteenth green, these stretchy golf shorts will go the distance. Extra pockets store essentials and water-resistant fabric keeps you protected.</t>
        </is>
      </c>
      <c r="N1262" s="4" t="inlineStr">
        <is>
          <t>ABC-Classic-Fit-Golf-Short-7</t>
        </is>
      </c>
      <c r="O1262" s="4" t="inlineStr">
        <is>
          <t>Chino Shorts</t>
        </is>
      </c>
    </row>
    <row r="1263" ht="80" customHeight="1">
      <c r="A1263" s="7">
        <f>IMAGE("https://images.lululemon.com/is/image/lululemon/LM7BHDS_0001_1?wid=320&amp;op_usm=0.8",1)</f>
        <v/>
      </c>
      <c r="B1263" s="7" t="inlineStr">
        <is>
          <t>ABC Classic-Fit Golf Short 7"</t>
        </is>
      </c>
      <c r="C1263" s="7" t="inlineStr">
        <is>
          <t>157704966</t>
        </is>
      </c>
      <c r="D1263" s="7" t="inlineStr">
        <is>
          <t>157704966-clubblue</t>
        </is>
      </c>
      <c r="E1263" s="7" t="inlineStr">
        <is>
          <t>ABC Classic-Fit Golf Short 7" BLK 28</t>
        </is>
      </c>
      <c r="F1263" s="7" t="inlineStr">
        <is>
          <t>$98.00</t>
        </is>
      </c>
      <c r="G1263" s="7" t="inlineStr">
        <is>
          <t>$49.00</t>
        </is>
      </c>
      <c r="H1263" s="7" t="inlineStr">
        <is>
          <t>Club Blue</t>
        </is>
      </c>
      <c r="I1263" s="7">
        <f>IMAGE("https://images.lululemon.com/is/image/lululemon/68578",1)</f>
        <v/>
      </c>
      <c r="J1263" s="7" t="inlineStr">
        <is>
          <t>33</t>
        </is>
      </c>
      <c r="K1263" s="7" t="inlineStr">
        <is>
          <t>33/813</t>
        </is>
      </c>
      <c r="L1263" s="7" t="inlineStr">
        <is>
          <t>Yes</t>
        </is>
      </c>
      <c r="M1263" s="7" t="inlineStr">
        <is>
          <t>From the first tee to the eighteenth green, these stretchy golf shorts will go the distance. Extra pockets store essentials and water-resistant fabric keeps you protected.</t>
        </is>
      </c>
      <c r="N1263" s="7" t="inlineStr">
        <is>
          <t>ABC-Classic-Fit-Golf-Short-7</t>
        </is>
      </c>
      <c r="O1263" s="7" t="inlineStr">
        <is>
          <t>Chino Shorts</t>
        </is>
      </c>
    </row>
    <row r="1264" ht="80" customHeight="1">
      <c r="A1264" s="4">
        <f>IMAGE("https://images.lululemon.com/is/image/lululemon/LM7BHDS_0001_1?wid=320&amp;op_usm=0.8",1)</f>
        <v/>
      </c>
      <c r="B1264" s="4" t="inlineStr">
        <is>
          <t>ABC Classic-Fit Golf Short 7"</t>
        </is>
      </c>
      <c r="C1264" s="4" t="inlineStr">
        <is>
          <t>157704975</t>
        </is>
      </c>
      <c r="D1264" s="4" t="inlineStr">
        <is>
          <t>157704975-clubblue</t>
        </is>
      </c>
      <c r="E1264" s="4" t="inlineStr">
        <is>
          <t>ABC Classic-Fit Golf Short 7" BLK 28</t>
        </is>
      </c>
      <c r="F1264" s="4" t="inlineStr">
        <is>
          <t>$98.00</t>
        </is>
      </c>
      <c r="G1264" s="4" t="inlineStr">
        <is>
          <t>$49.00</t>
        </is>
      </c>
      <c r="H1264" s="4" t="inlineStr">
        <is>
          <t>Club Blue</t>
        </is>
      </c>
      <c r="I1264" s="4">
        <f>IMAGE("https://images.lululemon.com/is/image/lululemon/68578",1)</f>
        <v/>
      </c>
      <c r="J1264" s="4" t="inlineStr">
        <is>
          <t>34</t>
        </is>
      </c>
      <c r="K1264" s="4" t="inlineStr">
        <is>
          <t>84/813</t>
        </is>
      </c>
      <c r="L1264" s="4" t="inlineStr">
        <is>
          <t>Yes</t>
        </is>
      </c>
      <c r="M1264" s="4" t="inlineStr">
        <is>
          <t>From the first tee to the eighteenth green, these stretchy golf shorts will go the distance. Extra pockets store essentials and water-resistant fabric keeps you protected.</t>
        </is>
      </c>
      <c r="N1264" s="4" t="inlineStr">
        <is>
          <t>ABC-Classic-Fit-Golf-Short-7</t>
        </is>
      </c>
      <c r="O1264" s="4" t="inlineStr">
        <is>
          <t>Chino Shorts</t>
        </is>
      </c>
    </row>
    <row r="1265" ht="80" customHeight="1">
      <c r="A1265" s="7">
        <f>IMAGE("https://images.lululemon.com/is/image/lululemon/LM7BHDS_0001_1?wid=320&amp;op_usm=0.8",1)</f>
        <v/>
      </c>
      <c r="B1265" s="7" t="inlineStr">
        <is>
          <t>ABC Classic-Fit Golf Short 7"</t>
        </is>
      </c>
      <c r="C1265" s="7" t="inlineStr">
        <is>
          <t>157704994</t>
        </is>
      </c>
      <c r="D1265" s="7" t="inlineStr">
        <is>
          <t>157704994-clubblue</t>
        </is>
      </c>
      <c r="E1265" s="7" t="inlineStr">
        <is>
          <t>ABC Classic-Fit Golf Short 7" BLK 28</t>
        </is>
      </c>
      <c r="F1265" s="7" t="inlineStr">
        <is>
          <t>$98.00</t>
        </is>
      </c>
      <c r="G1265" s="7" t="inlineStr">
        <is>
          <t>$49.00</t>
        </is>
      </c>
      <c r="H1265" s="7" t="inlineStr">
        <is>
          <t>Club Blue</t>
        </is>
      </c>
      <c r="I1265" s="7">
        <f>IMAGE("https://images.lululemon.com/is/image/lululemon/68578",1)</f>
        <v/>
      </c>
      <c r="J1265" s="7" t="inlineStr">
        <is>
          <t>36</t>
        </is>
      </c>
      <c r="K1265" s="7" t="inlineStr">
        <is>
          <t>73/813</t>
        </is>
      </c>
      <c r="L1265" s="7" t="inlineStr">
        <is>
          <t>Yes</t>
        </is>
      </c>
      <c r="M1265" s="7" t="inlineStr">
        <is>
          <t>From the first tee to the eighteenth green, these stretchy golf shorts will go the distance. Extra pockets store essentials and water-resistant fabric keeps you protected.</t>
        </is>
      </c>
      <c r="N1265" s="7" t="inlineStr">
        <is>
          <t>ABC-Classic-Fit-Golf-Short-7</t>
        </is>
      </c>
      <c r="O1265" s="7" t="inlineStr">
        <is>
          <t>Chino Shorts</t>
        </is>
      </c>
    </row>
    <row r="1266" ht="80" customHeight="1">
      <c r="A1266" s="4">
        <f>IMAGE("https://images.lululemon.com/is/image/lululemon/LM7BHDS_0001_1?wid=320&amp;op_usm=0.8",1)</f>
        <v/>
      </c>
      <c r="B1266" s="4" t="inlineStr">
        <is>
          <t>ABC Classic-Fit Golf Short 7"</t>
        </is>
      </c>
      <c r="C1266" s="4" t="inlineStr">
        <is>
          <t>157705003</t>
        </is>
      </c>
      <c r="D1266" s="4" t="inlineStr">
        <is>
          <t>157705003-clubblue</t>
        </is>
      </c>
      <c r="E1266" s="4" t="inlineStr">
        <is>
          <t>ABC Classic-Fit Golf Short 7" BLK 28</t>
        </is>
      </c>
      <c r="F1266" s="4" t="inlineStr">
        <is>
          <t>$98.00</t>
        </is>
      </c>
      <c r="G1266" s="4" t="inlineStr">
        <is>
          <t>$49.00</t>
        </is>
      </c>
      <c r="H1266" s="4" t="inlineStr">
        <is>
          <t>Club Blue</t>
        </is>
      </c>
      <c r="I1266" s="4">
        <f>IMAGE("https://images.lululemon.com/is/image/lululemon/68578",1)</f>
        <v/>
      </c>
      <c r="J1266" s="4" t="inlineStr">
        <is>
          <t>38</t>
        </is>
      </c>
      <c r="K1266" s="4" t="inlineStr">
        <is>
          <t>40/813</t>
        </is>
      </c>
      <c r="L1266" s="4" t="inlineStr">
        <is>
          <t>Yes</t>
        </is>
      </c>
      <c r="M1266" s="4" t="inlineStr">
        <is>
          <t>From the first tee to the eighteenth green, these stretchy golf shorts will go the distance. Extra pockets store essentials and water-resistant fabric keeps you protected.</t>
        </is>
      </c>
      <c r="N1266" s="4" t="inlineStr">
        <is>
          <t>ABC-Classic-Fit-Golf-Short-7</t>
        </is>
      </c>
      <c r="O1266" s="4" t="inlineStr">
        <is>
          <t>Chino Shorts</t>
        </is>
      </c>
    </row>
    <row r="1267" ht="80" customHeight="1">
      <c r="A1267" s="5">
        <f>IMAGE("https://images.lululemon.com/is/image/lululemon/LM7BHDS_0001_1?wid=320&amp;op_usm=0.8",1)</f>
        <v/>
      </c>
      <c r="B1267" s="5" t="inlineStr">
        <is>
          <t>ABC Classic-Fit Golf Short 7"</t>
        </is>
      </c>
      <c r="C1267" s="5" t="inlineStr">
        <is>
          <t>157705012</t>
        </is>
      </c>
      <c r="D1267" s="5" t="inlineStr">
        <is>
          <t>157705012-clubblue</t>
        </is>
      </c>
      <c r="E1267" s="5" t="inlineStr">
        <is>
          <t>ABC Classic-Fit Golf Short 7" BLK 28</t>
        </is>
      </c>
      <c r="F1267" s="5" t="inlineStr">
        <is>
          <t>$98.00</t>
        </is>
      </c>
      <c r="G1267" s="5" t="inlineStr">
        <is>
          <t>$49.00</t>
        </is>
      </c>
      <c r="H1267" s="5" t="inlineStr">
        <is>
          <t>Club Blue</t>
        </is>
      </c>
      <c r="I1267" s="5">
        <f>IMAGE("https://images.lululemon.com/is/image/lululemon/68578",1)</f>
        <v/>
      </c>
      <c r="J1267" s="5" t="inlineStr">
        <is>
          <t>40</t>
        </is>
      </c>
      <c r="K1267" s="5" t="inlineStr">
        <is>
          <t>12/813</t>
        </is>
      </c>
      <c r="L1267" s="5" t="inlineStr">
        <is>
          <t>Yes</t>
        </is>
      </c>
      <c r="M1267" s="5" t="inlineStr">
        <is>
          <t>From the first tee to the eighteenth green, these stretchy golf shorts will go the distance. Extra pockets store essentials and water-resistant fabric keeps you protected.</t>
        </is>
      </c>
      <c r="N1267" s="5" t="inlineStr">
        <is>
          <t>ABC-Classic-Fit-Golf-Short-7</t>
        </is>
      </c>
      <c r="O1267" s="5" t="inlineStr">
        <is>
          <t>Chino Shorts</t>
        </is>
      </c>
    </row>
    <row r="1268" ht="80" customHeight="1">
      <c r="A1268" s="6">
        <f>IMAGE("https://images.lululemon.com/is/image/lululemon/LU9AQAS_0001_1?wid=320&amp;op_usm=0.8",1)</f>
        <v/>
      </c>
      <c r="B1268" s="6" t="inlineStr">
        <is>
          <t>Workout Sliders *Set of 2</t>
        </is>
      </c>
      <c r="C1268" s="6" t="inlineStr">
        <is>
          <t>142975048</t>
        </is>
      </c>
      <c r="D1268" s="6" t="inlineStr">
        <is>
          <t>142975048-black</t>
        </is>
      </c>
      <c r="E1268" s="6" t="inlineStr">
        <is>
          <t>Workout Sliders BLK ONE SIZE</t>
        </is>
      </c>
      <c r="F1268" s="6" t="inlineStr">
        <is>
          <t>$28.00</t>
        </is>
      </c>
      <c r="G1268" s="6" t="inlineStr">
        <is>
          <t>$14.00</t>
        </is>
      </c>
      <c r="H1268" s="6" t="inlineStr">
        <is>
          <t>Black</t>
        </is>
      </c>
      <c r="I1268" s="6">
        <f>IMAGE("https://images.lululemon.com/is/image/lululemon/0001",1)</f>
        <v/>
      </c>
      <c r="J1268" s="6" t="inlineStr">
        <is>
          <t>O/S</t>
        </is>
      </c>
      <c r="K1268" s="6" t="inlineStr">
        <is>
          <t>759/759</t>
        </is>
      </c>
      <c r="L1268" s="6" t="inlineStr">
        <is>
          <t>Yes</t>
        </is>
      </c>
      <c r="M1268" s="6" t="inlineStr">
        <is>
          <t>Glide past your limits. These versatile sliding discs are double-sided for core and stability work on any surface.</t>
        </is>
      </c>
      <c r="N1268" s="6" t="inlineStr">
        <is>
          <t>Workout-Sliders-Set-of-2</t>
        </is>
      </c>
      <c r="O1268" s="6" t="inlineStr">
        <is>
          <t>Sliders</t>
        </is>
      </c>
    </row>
    <row r="1269" ht="80" customHeight="1">
      <c r="A1269" s="7">
        <f>IMAGE("https://images.lululemon.com/is/image/lululemon/LM7BCBS_0001_1?wid=320&amp;op_usm=0.8",1)</f>
        <v/>
      </c>
      <c r="B1269" s="7" t="inlineStr">
        <is>
          <t>Pace Breaker Lined Short 7"</t>
        </is>
      </c>
      <c r="C1269" s="7" t="inlineStr">
        <is>
          <t>145375636</t>
        </is>
      </c>
      <c r="D1269" s="7" t="inlineStr">
        <is>
          <t>145375636-black</t>
        </is>
      </c>
      <c r="E1269" s="7" t="inlineStr">
        <is>
          <t>Pace Breaker Short 7" *Lined BLK XS</t>
        </is>
      </c>
      <c r="F1269" s="7" t="inlineStr">
        <is>
          <t>$78.00</t>
        </is>
      </c>
      <c r="G1269" s="7" t="inlineStr">
        <is>
          <t>$39.00</t>
        </is>
      </c>
      <c r="H1269" s="7" t="inlineStr">
        <is>
          <t>Black</t>
        </is>
      </c>
      <c r="I1269" s="7">
        <f>IMAGE("https://images.lululemon.com/is/image/lululemon/0001",1)</f>
        <v/>
      </c>
      <c r="J1269" s="7" t="inlineStr">
        <is>
          <t>XS</t>
        </is>
      </c>
      <c r="K1269" s="7" t="inlineStr">
        <is>
          <t>11/2109</t>
        </is>
      </c>
      <c r="L1269" s="7" t="inlineStr">
        <is>
          <t>Yes</t>
        </is>
      </c>
      <c r="M1269" s="7" t="inlineStr">
        <is>
          <t>Athlete backed, performance driven. This elevated version of our most versatile short was designed for maximum comfort and zero distractions.</t>
        </is>
      </c>
      <c r="N1269" s="7" t="inlineStr">
        <is>
          <t>Pace-Breaker-Short-NF-7-Lined-Update</t>
        </is>
      </c>
      <c r="O1269" s="7" t="inlineStr">
        <is>
          <t>Athletic Shorts, Liner Shorts</t>
        </is>
      </c>
    </row>
    <row r="1270" ht="80" customHeight="1">
      <c r="A1270" s="4">
        <f>IMAGE("https://images.lululemon.com/is/image/lululemon/LM7BCBS_0001_1?wid=320&amp;op_usm=0.8",1)</f>
        <v/>
      </c>
      <c r="B1270" s="4" t="inlineStr">
        <is>
          <t>Pace Breaker Lined Short 7"</t>
        </is>
      </c>
      <c r="C1270" s="4" t="inlineStr">
        <is>
          <t>145375627</t>
        </is>
      </c>
      <c r="D1270" s="4" t="inlineStr">
        <is>
          <t>145375627-black</t>
        </is>
      </c>
      <c r="E1270" s="4" t="inlineStr">
        <is>
          <t>Pace Breaker Short 7" *Lined BLK XS</t>
        </is>
      </c>
      <c r="F1270" s="4" t="inlineStr">
        <is>
          <t>$78.00</t>
        </is>
      </c>
      <c r="G1270" s="4" t="inlineStr">
        <is>
          <t>$39.00</t>
        </is>
      </c>
      <c r="H1270" s="4" t="inlineStr">
        <is>
          <t>Black</t>
        </is>
      </c>
      <c r="I1270" s="4">
        <f>IMAGE("https://images.lululemon.com/is/image/lululemon/0001",1)</f>
        <v/>
      </c>
      <c r="J1270" s="4" t="inlineStr">
        <is>
          <t>S</t>
        </is>
      </c>
      <c r="K1270" s="4" t="inlineStr">
        <is>
          <t>47/2109</t>
        </is>
      </c>
      <c r="L1270" s="4" t="inlineStr">
        <is>
          <t>Yes</t>
        </is>
      </c>
      <c r="M1270" s="4" t="inlineStr">
        <is>
          <t>Athlete backed, performance driven. This elevated version of our most versatile short was designed for maximum comfort and zero distractions.</t>
        </is>
      </c>
      <c r="N1270" s="4" t="inlineStr">
        <is>
          <t>Pace-Breaker-Short-NF-7-Lined-Update</t>
        </is>
      </c>
      <c r="O1270" s="4" t="inlineStr">
        <is>
          <t>Athletic Shorts, Liner Shorts</t>
        </is>
      </c>
    </row>
    <row r="1271" ht="80" customHeight="1">
      <c r="A1271" s="7">
        <f>IMAGE("https://images.lululemon.com/is/image/lululemon/LM7BCBS_0001_1?wid=320&amp;op_usm=0.8",1)</f>
        <v/>
      </c>
      <c r="B1271" s="7" t="inlineStr">
        <is>
          <t>Pace Breaker Lined Short 7"</t>
        </is>
      </c>
      <c r="C1271" s="7" t="inlineStr">
        <is>
          <t>145375625</t>
        </is>
      </c>
      <c r="D1271" s="7" t="inlineStr">
        <is>
          <t>145375625-black</t>
        </is>
      </c>
      <c r="E1271" s="7" t="inlineStr">
        <is>
          <t>Pace Breaker Short 7" *Lined BLK XS</t>
        </is>
      </c>
      <c r="F1271" s="7" t="inlineStr">
        <is>
          <t>$78.00</t>
        </is>
      </c>
      <c r="G1271" s="7" t="inlineStr">
        <is>
          <t>$39.00</t>
        </is>
      </c>
      <c r="H1271" s="7" t="inlineStr">
        <is>
          <t>Black</t>
        </is>
      </c>
      <c r="I1271" s="7">
        <f>IMAGE("https://images.lululemon.com/is/image/lululemon/0001",1)</f>
        <v/>
      </c>
      <c r="J1271" s="7" t="inlineStr">
        <is>
          <t>M</t>
        </is>
      </c>
      <c r="K1271" s="7" t="inlineStr">
        <is>
          <t>428/2109</t>
        </is>
      </c>
      <c r="L1271" s="7" t="inlineStr">
        <is>
          <t>Yes</t>
        </is>
      </c>
      <c r="M1271" s="7" t="inlineStr">
        <is>
          <t>Athlete backed, performance driven. This elevated version of our most versatile short was designed for maximum comfort and zero distractions.</t>
        </is>
      </c>
      <c r="N1271" s="7" t="inlineStr">
        <is>
          <t>Pace-Breaker-Short-NF-7-Lined-Update</t>
        </is>
      </c>
      <c r="O1271" s="7" t="inlineStr">
        <is>
          <t>Athletic Shorts, Liner Shorts</t>
        </is>
      </c>
    </row>
    <row r="1272" ht="80" customHeight="1">
      <c r="A1272" s="4">
        <f>IMAGE("https://images.lululemon.com/is/image/lululemon/LM7BCBS_0001_1?wid=320&amp;op_usm=0.8",1)</f>
        <v/>
      </c>
      <c r="B1272" s="4" t="inlineStr">
        <is>
          <t>Pace Breaker Lined Short 7"</t>
        </is>
      </c>
      <c r="C1272" s="4" t="inlineStr">
        <is>
          <t>145375620</t>
        </is>
      </c>
      <c r="D1272" s="4" t="inlineStr">
        <is>
          <t>145375620-black</t>
        </is>
      </c>
      <c r="E1272" s="4" t="inlineStr">
        <is>
          <t>Pace Breaker Short 7" *Lined BLK XS</t>
        </is>
      </c>
      <c r="F1272" s="4" t="inlineStr">
        <is>
          <t>$78.00</t>
        </is>
      </c>
      <c r="G1272" s="4" t="inlineStr">
        <is>
          <t>$39.00</t>
        </is>
      </c>
      <c r="H1272" s="4" t="inlineStr">
        <is>
          <t>Black</t>
        </is>
      </c>
      <c r="I1272" s="4">
        <f>IMAGE("https://images.lululemon.com/is/image/lululemon/0001",1)</f>
        <v/>
      </c>
      <c r="J1272" s="4" t="inlineStr">
        <is>
          <t>L</t>
        </is>
      </c>
      <c r="K1272" s="4" t="inlineStr">
        <is>
          <t>245/2109</t>
        </is>
      </c>
      <c r="L1272" s="4" t="inlineStr">
        <is>
          <t>Yes</t>
        </is>
      </c>
      <c r="M1272" s="4" t="inlineStr">
        <is>
          <t>Athlete backed, performance driven. This elevated version of our most versatile short was designed for maximum comfort and zero distractions.</t>
        </is>
      </c>
      <c r="N1272" s="4" t="inlineStr">
        <is>
          <t>Pace-Breaker-Short-NF-7-Lined-Update</t>
        </is>
      </c>
      <c r="O1272" s="4" t="inlineStr">
        <is>
          <t>Athletic Shorts, Liner Shorts</t>
        </is>
      </c>
    </row>
    <row r="1273" ht="80" customHeight="1">
      <c r="A1273" s="7">
        <f>IMAGE("https://images.lululemon.com/is/image/lululemon/LM7BCBS_0001_1?wid=320&amp;op_usm=0.8",1)</f>
        <v/>
      </c>
      <c r="B1273" s="7" t="inlineStr">
        <is>
          <t>Pace Breaker Lined Short 7"</t>
        </is>
      </c>
      <c r="C1273" s="7" t="inlineStr">
        <is>
          <t>145375633</t>
        </is>
      </c>
      <c r="D1273" s="7" t="inlineStr">
        <is>
          <t>145375633-black</t>
        </is>
      </c>
      <c r="E1273" s="7" t="inlineStr">
        <is>
          <t>Pace Breaker Short 7" *Lined BLK XS</t>
        </is>
      </c>
      <c r="F1273" s="7" t="inlineStr">
        <is>
          <t>$78.00</t>
        </is>
      </c>
      <c r="G1273" s="7" t="inlineStr">
        <is>
          <t>$39.00</t>
        </is>
      </c>
      <c r="H1273" s="7" t="inlineStr">
        <is>
          <t>Black</t>
        </is>
      </c>
      <c r="I1273" s="7">
        <f>IMAGE("https://images.lululemon.com/is/image/lululemon/0001",1)</f>
        <v/>
      </c>
      <c r="J1273" s="7" t="inlineStr">
        <is>
          <t>XL</t>
        </is>
      </c>
      <c r="K1273" s="7" t="inlineStr">
        <is>
          <t>486/2109</t>
        </is>
      </c>
      <c r="L1273" s="7" t="inlineStr">
        <is>
          <t>Yes</t>
        </is>
      </c>
      <c r="M1273" s="7" t="inlineStr">
        <is>
          <t>Athlete backed, performance driven. This elevated version of our most versatile short was designed for maximum comfort and zero distractions.</t>
        </is>
      </c>
      <c r="N1273" s="7" t="inlineStr">
        <is>
          <t>Pace-Breaker-Short-NF-7-Lined-Update</t>
        </is>
      </c>
      <c r="O1273" s="7" t="inlineStr">
        <is>
          <t>Athletic Shorts, Liner Shorts</t>
        </is>
      </c>
    </row>
    <row r="1274" ht="80" customHeight="1">
      <c r="A1274" s="4">
        <f>IMAGE("https://images.lululemon.com/is/image/lululemon/LM7BCBS_0001_1?wid=320&amp;op_usm=0.8",1)</f>
        <v/>
      </c>
      <c r="B1274" s="4" t="inlineStr">
        <is>
          <t>Pace Breaker Lined Short 7"</t>
        </is>
      </c>
      <c r="C1274" s="4" t="inlineStr">
        <is>
          <t>153157528</t>
        </is>
      </c>
      <c r="D1274" s="4" t="inlineStr">
        <is>
          <t>153157528-black</t>
        </is>
      </c>
      <c r="E1274" s="4" t="inlineStr">
        <is>
          <t>Pace Breaker Short 7" *Lined BLK XS</t>
        </is>
      </c>
      <c r="F1274" s="4" t="inlineStr">
        <is>
          <t>$78.00</t>
        </is>
      </c>
      <c r="G1274" s="4" t="inlineStr">
        <is>
          <t>$39.00</t>
        </is>
      </c>
      <c r="H1274" s="4" t="inlineStr">
        <is>
          <t>Black</t>
        </is>
      </c>
      <c r="I1274" s="4">
        <f>IMAGE("https://images.lululemon.com/is/image/lululemon/0001",1)</f>
        <v/>
      </c>
      <c r="J1274" s="4" t="inlineStr">
        <is>
          <t>XXL</t>
        </is>
      </c>
      <c r="K1274" s="4" t="inlineStr">
        <is>
          <t>80/2109</t>
        </is>
      </c>
      <c r="L1274" s="4" t="inlineStr">
        <is>
          <t>Yes</t>
        </is>
      </c>
      <c r="M1274" s="4" t="inlineStr">
        <is>
          <t>Athlete backed, performance driven. This elevated version of our most versatile short was designed for maximum comfort and zero distractions.</t>
        </is>
      </c>
      <c r="N1274" s="4" t="inlineStr">
        <is>
          <t>Pace-Breaker-Short-NF-7-Lined-Update</t>
        </is>
      </c>
      <c r="O1274" s="4" t="inlineStr">
        <is>
          <t>Athletic Shorts, Liner Shorts</t>
        </is>
      </c>
    </row>
    <row r="1275" ht="80" customHeight="1">
      <c r="A1275" s="7">
        <f>IMAGE("https://images.lululemon.com/is/image/lululemon/LM7BCBS_0001_1?wid=320&amp;op_usm=0.8",1)</f>
        <v/>
      </c>
      <c r="B1275" s="7" t="inlineStr">
        <is>
          <t>Pace Breaker Lined Short 7"</t>
        </is>
      </c>
      <c r="C1275" s="7" t="inlineStr">
        <is>
          <t>158022947</t>
        </is>
      </c>
      <c r="D1275" s="7" t="inlineStr">
        <is>
          <t>158022947-daredevil</t>
        </is>
      </c>
      <c r="E1275" s="7" t="inlineStr">
        <is>
          <t>Pace Breaker Short 7" *Lined BLK XS</t>
        </is>
      </c>
      <c r="F1275" s="7" t="inlineStr">
        <is>
          <t>$78.00</t>
        </is>
      </c>
      <c r="G1275" s="7" t="inlineStr">
        <is>
          <t>$39.00</t>
        </is>
      </c>
      <c r="H1275" s="7" t="inlineStr">
        <is>
          <t>Dare Devil</t>
        </is>
      </c>
      <c r="I1275" s="7">
        <f>IMAGE("https://images.lululemon.com/is/image/lululemon/60311",1)</f>
        <v/>
      </c>
      <c r="J1275" s="7" t="inlineStr">
        <is>
          <t>S</t>
        </is>
      </c>
      <c r="K1275" s="7" t="inlineStr">
        <is>
          <t>19/2109</t>
        </is>
      </c>
      <c r="L1275" s="7" t="inlineStr">
        <is>
          <t>Yes</t>
        </is>
      </c>
      <c r="M1275" s="7" t="inlineStr">
        <is>
          <t>Athlete backed, performance driven. This elevated version of our most versatile short was designed for maximum comfort and zero distractions.</t>
        </is>
      </c>
      <c r="N1275" s="7" t="inlineStr">
        <is>
          <t>Pace-Breaker-Short-NF-7-Lined-Update</t>
        </is>
      </c>
      <c r="O1275" s="7" t="inlineStr">
        <is>
          <t>Athletic Shorts, Liner Shorts</t>
        </is>
      </c>
    </row>
    <row r="1276" ht="80" customHeight="1">
      <c r="A1276" s="4">
        <f>IMAGE("https://images.lululemon.com/is/image/lululemon/LM7BCBS_0001_1?wid=320&amp;op_usm=0.8",1)</f>
        <v/>
      </c>
      <c r="B1276" s="4" t="inlineStr">
        <is>
          <t>Pace Breaker Lined Short 7"</t>
        </is>
      </c>
      <c r="C1276" s="4" t="inlineStr">
        <is>
          <t>158022919</t>
        </is>
      </c>
      <c r="D1276" s="4" t="inlineStr">
        <is>
          <t>158022919-daredevil</t>
        </is>
      </c>
      <c r="E1276" s="4" t="inlineStr">
        <is>
          <t>Pace Breaker Short 7" *Lined BLK XS</t>
        </is>
      </c>
      <c r="F1276" s="4" t="inlineStr">
        <is>
          <t>$78.00</t>
        </is>
      </c>
      <c r="G1276" s="4" t="inlineStr">
        <is>
          <t>$39.00</t>
        </is>
      </c>
      <c r="H1276" s="4" t="inlineStr">
        <is>
          <t>Dare Devil</t>
        </is>
      </c>
      <c r="I1276" s="4">
        <f>IMAGE("https://images.lululemon.com/is/image/lululemon/60311",1)</f>
        <v/>
      </c>
      <c r="J1276" s="4" t="inlineStr">
        <is>
          <t>M</t>
        </is>
      </c>
      <c r="K1276" s="4" t="inlineStr">
        <is>
          <t>53/2109</t>
        </is>
      </c>
      <c r="L1276" s="4" t="inlineStr">
        <is>
          <t>Yes</t>
        </is>
      </c>
      <c r="M1276" s="4" t="inlineStr">
        <is>
          <t>Athlete backed, performance driven. This elevated version of our most versatile short was designed for maximum comfort and zero distractions.</t>
        </is>
      </c>
      <c r="N1276" s="4" t="inlineStr">
        <is>
          <t>Pace-Breaker-Short-NF-7-Lined-Update</t>
        </is>
      </c>
      <c r="O1276" s="4" t="inlineStr">
        <is>
          <t>Athletic Shorts, Liner Shorts</t>
        </is>
      </c>
    </row>
    <row r="1277" ht="80" customHeight="1">
      <c r="A1277" s="7">
        <f>IMAGE("https://images.lululemon.com/is/image/lululemon/LM7BCBS_0001_1?wid=320&amp;op_usm=0.8",1)</f>
        <v/>
      </c>
      <c r="B1277" s="7" t="inlineStr">
        <is>
          <t>Pace Breaker Lined Short 7"</t>
        </is>
      </c>
      <c r="C1277" s="7" t="inlineStr">
        <is>
          <t>158022896</t>
        </is>
      </c>
      <c r="D1277" s="7" t="inlineStr">
        <is>
          <t>158022896-daredevil</t>
        </is>
      </c>
      <c r="E1277" s="7" t="inlineStr">
        <is>
          <t>Pace Breaker Short 7" *Lined BLK XS</t>
        </is>
      </c>
      <c r="F1277" s="7" t="inlineStr">
        <is>
          <t>$78.00</t>
        </is>
      </c>
      <c r="G1277" s="7" t="inlineStr">
        <is>
          <t>$39.00</t>
        </is>
      </c>
      <c r="H1277" s="7" t="inlineStr">
        <is>
          <t>Dare Devil</t>
        </is>
      </c>
      <c r="I1277" s="7">
        <f>IMAGE("https://images.lululemon.com/is/image/lululemon/60311",1)</f>
        <v/>
      </c>
      <c r="J1277" s="7" t="inlineStr">
        <is>
          <t>L</t>
        </is>
      </c>
      <c r="K1277" s="7" t="inlineStr">
        <is>
          <t>41/2109</t>
        </is>
      </c>
      <c r="L1277" s="7" t="inlineStr">
        <is>
          <t>Yes</t>
        </is>
      </c>
      <c r="M1277" s="7" t="inlineStr">
        <is>
          <t>Athlete backed, performance driven. This elevated version of our most versatile short was designed for maximum comfort and zero distractions.</t>
        </is>
      </c>
      <c r="N1277" s="7" t="inlineStr">
        <is>
          <t>Pace-Breaker-Short-NF-7-Lined-Update</t>
        </is>
      </c>
      <c r="O1277" s="7" t="inlineStr">
        <is>
          <t>Athletic Shorts, Liner Shorts</t>
        </is>
      </c>
    </row>
    <row r="1278" ht="80" customHeight="1">
      <c r="A1278" s="4">
        <f>IMAGE("https://images.lululemon.com/is/image/lululemon/LM7BCBS_0001_1?wid=320&amp;op_usm=0.8",1)</f>
        <v/>
      </c>
      <c r="B1278" s="4" t="inlineStr">
        <is>
          <t>Pace Breaker Lined Short 7"</t>
        </is>
      </c>
      <c r="C1278" s="4" t="inlineStr">
        <is>
          <t>158022969</t>
        </is>
      </c>
      <c r="D1278" s="4" t="inlineStr">
        <is>
          <t>158022969-daredevil</t>
        </is>
      </c>
      <c r="E1278" s="4" t="inlineStr">
        <is>
          <t>Pace Breaker Short 7" *Lined BLK XS</t>
        </is>
      </c>
      <c r="F1278" s="4" t="inlineStr">
        <is>
          <t>$78.00</t>
        </is>
      </c>
      <c r="G1278" s="4" t="inlineStr">
        <is>
          <t>$39.00</t>
        </is>
      </c>
      <c r="H1278" s="4" t="inlineStr">
        <is>
          <t>Dare Devil</t>
        </is>
      </c>
      <c r="I1278" s="4">
        <f>IMAGE("https://images.lululemon.com/is/image/lululemon/60311",1)</f>
        <v/>
      </c>
      <c r="J1278" s="4" t="inlineStr">
        <is>
          <t>XL</t>
        </is>
      </c>
      <c r="K1278" s="4" t="inlineStr">
        <is>
          <t>32/2109</t>
        </is>
      </c>
      <c r="L1278" s="4" t="inlineStr">
        <is>
          <t>Yes</t>
        </is>
      </c>
      <c r="M1278" s="4" t="inlineStr">
        <is>
          <t>Athlete backed, performance driven. This elevated version of our most versatile short was designed for maximum comfort and zero distractions.</t>
        </is>
      </c>
      <c r="N1278" s="4" t="inlineStr">
        <is>
          <t>Pace-Breaker-Short-NF-7-Lined-Update</t>
        </is>
      </c>
      <c r="O1278" s="4" t="inlineStr">
        <is>
          <t>Athletic Shorts, Liner Shorts</t>
        </is>
      </c>
    </row>
    <row r="1279" ht="80" customHeight="1">
      <c r="A1279" s="7">
        <f>IMAGE("https://images.lululemon.com/is/image/lululemon/LM7BCBS_0001_1?wid=320&amp;op_usm=0.8",1)</f>
        <v/>
      </c>
      <c r="B1279" s="7" t="inlineStr">
        <is>
          <t>Pace Breaker Lined Short 7"</t>
        </is>
      </c>
      <c r="C1279" s="7" t="inlineStr">
        <is>
          <t>158022994</t>
        </is>
      </c>
      <c r="D1279" s="7" t="inlineStr">
        <is>
          <t>158022994-daredevil</t>
        </is>
      </c>
      <c r="E1279" s="7" t="inlineStr">
        <is>
          <t>Pace Breaker Short 7" *Lined BLK XS</t>
        </is>
      </c>
      <c r="F1279" s="7" t="inlineStr">
        <is>
          <t>$78.00</t>
        </is>
      </c>
      <c r="G1279" s="7" t="inlineStr">
        <is>
          <t>$39.00</t>
        </is>
      </c>
      <c r="H1279" s="7" t="inlineStr">
        <is>
          <t>Dare Devil</t>
        </is>
      </c>
      <c r="I1279" s="7">
        <f>IMAGE("https://images.lululemon.com/is/image/lululemon/60311",1)</f>
        <v/>
      </c>
      <c r="J1279" s="7" t="inlineStr">
        <is>
          <t>XXL</t>
        </is>
      </c>
      <c r="K1279" s="7" t="inlineStr">
        <is>
          <t>5/2109</t>
        </is>
      </c>
      <c r="L1279" s="7" t="inlineStr">
        <is>
          <t>Yes</t>
        </is>
      </c>
      <c r="M1279" s="7" t="inlineStr">
        <is>
          <t>Athlete backed, performance driven. This elevated version of our most versatile short was designed for maximum comfort and zero distractions.</t>
        </is>
      </c>
      <c r="N1279" s="7" t="inlineStr">
        <is>
          <t>Pace-Breaker-Short-NF-7-Lined-Update</t>
        </is>
      </c>
      <c r="O1279" s="7" t="inlineStr">
        <is>
          <t>Athletic Shorts, Liner Shorts</t>
        </is>
      </c>
    </row>
    <row r="1280" ht="80" customHeight="1">
      <c r="A1280" s="4">
        <f>IMAGE("https://images.lululemon.com/is/image/lululemon/LM7BCBS_0001_1?wid=320&amp;op_usm=0.8",1)</f>
        <v/>
      </c>
      <c r="B1280" s="4" t="inlineStr">
        <is>
          <t>Pace Breaker Lined Short 7"</t>
        </is>
      </c>
      <c r="C1280" s="4" t="inlineStr">
        <is>
          <t>158026974</t>
        </is>
      </c>
      <c r="D1280" s="4" t="inlineStr">
        <is>
          <t>158026974-indochineblue</t>
        </is>
      </c>
      <c r="E1280" s="4" t="inlineStr">
        <is>
          <t>Pace Breaker Short 7" *Lined BLK XS</t>
        </is>
      </c>
      <c r="F1280" s="4" t="inlineStr">
        <is>
          <t>$78.00</t>
        </is>
      </c>
      <c r="G1280" s="4" t="inlineStr">
        <is>
          <t>$39.00</t>
        </is>
      </c>
      <c r="H1280" s="4" t="inlineStr">
        <is>
          <t>Indochine Blue</t>
        </is>
      </c>
      <c r="I1280" s="4">
        <f>IMAGE("https://images.lululemon.com/is/image/lululemon/28022",1)</f>
        <v/>
      </c>
      <c r="J1280" s="4" t="inlineStr">
        <is>
          <t>S</t>
        </is>
      </c>
      <c r="K1280" s="4" t="inlineStr">
        <is>
          <t>25/2109</t>
        </is>
      </c>
      <c r="L1280" s="4" t="inlineStr">
        <is>
          <t>Yes</t>
        </is>
      </c>
      <c r="M1280" s="4" t="inlineStr">
        <is>
          <t>Athlete backed, performance driven. This elevated version of our most versatile short was designed for maximum comfort and zero distractions.</t>
        </is>
      </c>
      <c r="N1280" s="4" t="inlineStr">
        <is>
          <t>Pace-Breaker-Short-NF-7-Lined-Update</t>
        </is>
      </c>
      <c r="O1280" s="4" t="inlineStr">
        <is>
          <t>Athletic Shorts, Liner Shorts</t>
        </is>
      </c>
    </row>
    <row r="1281" ht="80" customHeight="1">
      <c r="A1281" s="7">
        <f>IMAGE("https://images.lululemon.com/is/image/lululemon/LM7BCBS_0001_1?wid=320&amp;op_usm=0.8",1)</f>
        <v/>
      </c>
      <c r="B1281" s="7" t="inlineStr">
        <is>
          <t>Pace Breaker Lined Short 7"</t>
        </is>
      </c>
      <c r="C1281" s="7" t="inlineStr">
        <is>
          <t>158026949</t>
        </is>
      </c>
      <c r="D1281" s="7" t="inlineStr">
        <is>
          <t>158026949-indochineblue</t>
        </is>
      </c>
      <c r="E1281" s="7" t="inlineStr">
        <is>
          <t>Pace Breaker Short 7" *Lined BLK XS</t>
        </is>
      </c>
      <c r="F1281" s="7" t="inlineStr">
        <is>
          <t>$78.00</t>
        </is>
      </c>
      <c r="G1281" s="7" t="inlineStr">
        <is>
          <t>$39.00</t>
        </is>
      </c>
      <c r="H1281" s="7" t="inlineStr">
        <is>
          <t>Indochine Blue</t>
        </is>
      </c>
      <c r="I1281" s="7">
        <f>IMAGE("https://images.lululemon.com/is/image/lululemon/28022",1)</f>
        <v/>
      </c>
      <c r="J1281" s="7" t="inlineStr">
        <is>
          <t>M</t>
        </is>
      </c>
      <c r="K1281" s="7" t="inlineStr">
        <is>
          <t>36/2109</t>
        </is>
      </c>
      <c r="L1281" s="7" t="inlineStr">
        <is>
          <t>Yes</t>
        </is>
      </c>
      <c r="M1281" s="7" t="inlineStr">
        <is>
          <t>Athlete backed, performance driven. This elevated version of our most versatile short was designed for maximum comfort and zero distractions.</t>
        </is>
      </c>
      <c r="N1281" s="7" t="inlineStr">
        <is>
          <t>Pace-Breaker-Short-NF-7-Lined-Update</t>
        </is>
      </c>
      <c r="O1281" s="7" t="inlineStr">
        <is>
          <t>Athletic Shorts, Liner Shorts</t>
        </is>
      </c>
    </row>
    <row r="1282" ht="80" customHeight="1">
      <c r="A1282" s="4">
        <f>IMAGE("https://images.lululemon.com/is/image/lululemon/LM7BCBS_0001_1?wid=320&amp;op_usm=0.8",1)</f>
        <v/>
      </c>
      <c r="B1282" s="4" t="inlineStr">
        <is>
          <t>Pace Breaker Lined Short 7"</t>
        </is>
      </c>
      <c r="C1282" s="4" t="inlineStr">
        <is>
          <t>158026928</t>
        </is>
      </c>
      <c r="D1282" s="4" t="inlineStr">
        <is>
          <t>158026928-indochineblue</t>
        </is>
      </c>
      <c r="E1282" s="4" t="inlineStr">
        <is>
          <t>Pace Breaker Short 7" *Lined BLK XS</t>
        </is>
      </c>
      <c r="F1282" s="4" t="inlineStr">
        <is>
          <t>$78.00</t>
        </is>
      </c>
      <c r="G1282" s="4" t="inlineStr">
        <is>
          <t>$39.00</t>
        </is>
      </c>
      <c r="H1282" s="4" t="inlineStr">
        <is>
          <t>Indochine Blue</t>
        </is>
      </c>
      <c r="I1282" s="4">
        <f>IMAGE("https://images.lululemon.com/is/image/lululemon/28022",1)</f>
        <v/>
      </c>
      <c r="J1282" s="4" t="inlineStr">
        <is>
          <t>L</t>
        </is>
      </c>
      <c r="K1282" s="4" t="inlineStr">
        <is>
          <t>38/2109</t>
        </is>
      </c>
      <c r="L1282" s="4" t="inlineStr">
        <is>
          <t>Yes</t>
        </is>
      </c>
      <c r="M1282" s="4" t="inlineStr">
        <is>
          <t>Athlete backed, performance driven. This elevated version of our most versatile short was designed for maximum comfort and zero distractions.</t>
        </is>
      </c>
      <c r="N1282" s="4" t="inlineStr">
        <is>
          <t>Pace-Breaker-Short-NF-7-Lined-Update</t>
        </is>
      </c>
      <c r="O1282" s="4" t="inlineStr">
        <is>
          <t>Athletic Shorts, Liner Shorts</t>
        </is>
      </c>
    </row>
    <row r="1283" ht="80" customHeight="1">
      <c r="A1283" s="7">
        <f>IMAGE("https://images.lululemon.com/is/image/lululemon/LM7BCBS_0001_1?wid=320&amp;op_usm=0.8",1)</f>
        <v/>
      </c>
      <c r="B1283" s="7" t="inlineStr">
        <is>
          <t>Pace Breaker Lined Short 7"</t>
        </is>
      </c>
      <c r="C1283" s="7" t="inlineStr">
        <is>
          <t>158026997</t>
        </is>
      </c>
      <c r="D1283" s="7" t="inlineStr">
        <is>
          <t>158026997-indochineblue</t>
        </is>
      </c>
      <c r="E1283" s="7" t="inlineStr">
        <is>
          <t>Pace Breaker Short 7" *Lined BLK XS</t>
        </is>
      </c>
      <c r="F1283" s="7" t="inlineStr">
        <is>
          <t>$78.00</t>
        </is>
      </c>
      <c r="G1283" s="7" t="inlineStr">
        <is>
          <t>$39.00</t>
        </is>
      </c>
      <c r="H1283" s="7" t="inlineStr">
        <is>
          <t>Indochine Blue</t>
        </is>
      </c>
      <c r="I1283" s="7">
        <f>IMAGE("https://images.lululemon.com/is/image/lululemon/28022",1)</f>
        <v/>
      </c>
      <c r="J1283" s="7" t="inlineStr">
        <is>
          <t>XL</t>
        </is>
      </c>
      <c r="K1283" s="7" t="inlineStr">
        <is>
          <t>27/2109</t>
        </is>
      </c>
      <c r="L1283" s="7" t="inlineStr">
        <is>
          <t>Yes</t>
        </is>
      </c>
      <c r="M1283" s="7" t="inlineStr">
        <is>
          <t>Athlete backed, performance driven. This elevated version of our most versatile short was designed for maximum comfort and zero distractions.</t>
        </is>
      </c>
      <c r="N1283" s="7" t="inlineStr">
        <is>
          <t>Pace-Breaker-Short-NF-7-Lined-Update</t>
        </is>
      </c>
      <c r="O1283" s="7" t="inlineStr">
        <is>
          <t>Athletic Shorts, Liner Shorts</t>
        </is>
      </c>
    </row>
    <row r="1284" ht="80" customHeight="1">
      <c r="A1284" s="4">
        <f>IMAGE("https://images.lululemon.com/is/image/lululemon/LM7BCBS_0001_1?wid=320&amp;op_usm=0.8",1)</f>
        <v/>
      </c>
      <c r="B1284" s="4" t="inlineStr">
        <is>
          <t>Pace Breaker Lined Short 7"</t>
        </is>
      </c>
      <c r="C1284" s="4" t="inlineStr">
        <is>
          <t>158027039</t>
        </is>
      </c>
      <c r="D1284" s="4" t="inlineStr">
        <is>
          <t>158027039-indochineblue</t>
        </is>
      </c>
      <c r="E1284" s="4" t="inlineStr">
        <is>
          <t>Pace Breaker Short 7" *Lined BLK XS</t>
        </is>
      </c>
      <c r="F1284" s="4" t="inlineStr">
        <is>
          <t>$78.00</t>
        </is>
      </c>
      <c r="G1284" s="4" t="inlineStr">
        <is>
          <t>$39.00</t>
        </is>
      </c>
      <c r="H1284" s="4" t="inlineStr">
        <is>
          <t>Indochine Blue</t>
        </is>
      </c>
      <c r="I1284" s="4">
        <f>IMAGE("https://images.lululemon.com/is/image/lululemon/28022",1)</f>
        <v/>
      </c>
      <c r="J1284" s="4" t="inlineStr">
        <is>
          <t>XXL</t>
        </is>
      </c>
      <c r="K1284" s="4" t="inlineStr">
        <is>
          <t>12/2109</t>
        </is>
      </c>
      <c r="L1284" s="4" t="inlineStr">
        <is>
          <t>Yes</t>
        </is>
      </c>
      <c r="M1284" s="4" t="inlineStr">
        <is>
          <t>Athlete backed, performance driven. This elevated version of our most versatile short was designed for maximum comfort and zero distractions.</t>
        </is>
      </c>
      <c r="N1284" s="4" t="inlineStr">
        <is>
          <t>Pace-Breaker-Short-NF-7-Lined-Update</t>
        </is>
      </c>
      <c r="O1284" s="4" t="inlineStr">
        <is>
          <t>Athletic Shorts, Liner Shorts</t>
        </is>
      </c>
    </row>
    <row r="1285" ht="80" customHeight="1">
      <c r="A1285" s="7">
        <f>IMAGE("https://images.lululemon.com/is/image/lululemon/LM7BCBS_0001_1?wid=320&amp;op_usm=0.8",1)</f>
        <v/>
      </c>
      <c r="B1285" s="7" t="inlineStr">
        <is>
          <t>Pace Breaker Lined Short 7"</t>
        </is>
      </c>
      <c r="C1285" s="7" t="inlineStr">
        <is>
          <t>158023454</t>
        </is>
      </c>
      <c r="D1285" s="7" t="inlineStr">
        <is>
          <t>158023454-speckledheatherblackmulti</t>
        </is>
      </c>
      <c r="E1285" s="7" t="inlineStr">
        <is>
          <t>Pace Breaker Short 7" *Lined BLK XS</t>
        </is>
      </c>
      <c r="F1285" s="7" t="inlineStr">
        <is>
          <t>$78.00</t>
        </is>
      </c>
      <c r="G1285" s="7" t="inlineStr">
        <is>
          <t>$39.00</t>
        </is>
      </c>
      <c r="H1285" s="7" t="inlineStr">
        <is>
          <t>Speckled Heather Black Multi</t>
        </is>
      </c>
      <c r="I1285" s="7">
        <f>IMAGE("https://images.lululemon.com/is/image/lululemon/72044",1)</f>
        <v/>
      </c>
      <c r="J1285" s="7" t="inlineStr">
        <is>
          <t>S</t>
        </is>
      </c>
      <c r="K1285" s="7" t="inlineStr">
        <is>
          <t>22/2109</t>
        </is>
      </c>
      <c r="L1285" s="7" t="inlineStr">
        <is>
          <t>Yes</t>
        </is>
      </c>
      <c r="M1285" s="7" t="inlineStr">
        <is>
          <t>Athlete backed, performance driven. This elevated version of our most versatile short was designed for maximum comfort and zero distractions.</t>
        </is>
      </c>
      <c r="N1285" s="7" t="inlineStr">
        <is>
          <t>Pace-Breaker-Short-NF-7-Lined-Update</t>
        </is>
      </c>
      <c r="O1285" s="7" t="inlineStr">
        <is>
          <t>Athletic Shorts, Liner Shorts</t>
        </is>
      </c>
    </row>
    <row r="1286" ht="80" customHeight="1">
      <c r="A1286" s="4">
        <f>IMAGE("https://images.lululemon.com/is/image/lululemon/LM7BCBS_0001_1?wid=320&amp;op_usm=0.8",1)</f>
        <v/>
      </c>
      <c r="B1286" s="4" t="inlineStr">
        <is>
          <t>Pace Breaker Lined Short 7"</t>
        </is>
      </c>
      <c r="C1286" s="4" t="inlineStr">
        <is>
          <t>158023436</t>
        </is>
      </c>
      <c r="D1286" s="4" t="inlineStr">
        <is>
          <t>158023436-speckledheatherblackmulti</t>
        </is>
      </c>
      <c r="E1286" s="4" t="inlineStr">
        <is>
          <t>Pace Breaker Short 7" *Lined BLK XS</t>
        </is>
      </c>
      <c r="F1286" s="4" t="inlineStr">
        <is>
          <t>$78.00</t>
        </is>
      </c>
      <c r="G1286" s="4" t="inlineStr">
        <is>
          <t>$39.00</t>
        </is>
      </c>
      <c r="H1286" s="4" t="inlineStr">
        <is>
          <t>Speckled Heather Black Multi</t>
        </is>
      </c>
      <c r="I1286" s="4">
        <f>IMAGE("https://images.lululemon.com/is/image/lululemon/72044",1)</f>
        <v/>
      </c>
      <c r="J1286" s="4" t="inlineStr">
        <is>
          <t>M</t>
        </is>
      </c>
      <c r="K1286" s="4" t="inlineStr">
        <is>
          <t>52/2109</t>
        </is>
      </c>
      <c r="L1286" s="4" t="inlineStr">
        <is>
          <t>Yes</t>
        </is>
      </c>
      <c r="M1286" s="4" t="inlineStr">
        <is>
          <t>Athlete backed, performance driven. This elevated version of our most versatile short was designed for maximum comfort and zero distractions.</t>
        </is>
      </c>
      <c r="N1286" s="4" t="inlineStr">
        <is>
          <t>Pace-Breaker-Short-NF-7-Lined-Update</t>
        </is>
      </c>
      <c r="O1286" s="4" t="inlineStr">
        <is>
          <t>Athletic Shorts, Liner Shorts</t>
        </is>
      </c>
    </row>
    <row r="1287" ht="80" customHeight="1">
      <c r="A1287" s="7">
        <f>IMAGE("https://images.lululemon.com/is/image/lululemon/LM7BCBS_0001_1?wid=320&amp;op_usm=0.8",1)</f>
        <v/>
      </c>
      <c r="B1287" s="7" t="inlineStr">
        <is>
          <t>Pace Breaker Lined Short 7"</t>
        </is>
      </c>
      <c r="C1287" s="7" t="inlineStr">
        <is>
          <t>158023412</t>
        </is>
      </c>
      <c r="D1287" s="7" t="inlineStr">
        <is>
          <t>158023412-speckledheatherblackmulti</t>
        </is>
      </c>
      <c r="E1287" s="7" t="inlineStr">
        <is>
          <t>Pace Breaker Short 7" *Lined BLK XS</t>
        </is>
      </c>
      <c r="F1287" s="7" t="inlineStr">
        <is>
          <t>$78.00</t>
        </is>
      </c>
      <c r="G1287" s="7" t="inlineStr">
        <is>
          <t>$39.00</t>
        </is>
      </c>
      <c r="H1287" s="7" t="inlineStr">
        <is>
          <t>Speckled Heather Black Multi</t>
        </is>
      </c>
      <c r="I1287" s="7">
        <f>IMAGE("https://images.lululemon.com/is/image/lululemon/72044",1)</f>
        <v/>
      </c>
      <c r="J1287" s="7" t="inlineStr">
        <is>
          <t>L</t>
        </is>
      </c>
      <c r="K1287" s="7" t="inlineStr">
        <is>
          <t>51/2109</t>
        </is>
      </c>
      <c r="L1287" s="7" t="inlineStr">
        <is>
          <t>Yes</t>
        </is>
      </c>
      <c r="M1287" s="7" t="inlineStr">
        <is>
          <t>Athlete backed, performance driven. This elevated version of our most versatile short was designed for maximum comfort and zero distractions.</t>
        </is>
      </c>
      <c r="N1287" s="7" t="inlineStr">
        <is>
          <t>Pace-Breaker-Short-NF-7-Lined-Update</t>
        </is>
      </c>
      <c r="O1287" s="7" t="inlineStr">
        <is>
          <t>Athletic Shorts, Liner Shorts</t>
        </is>
      </c>
    </row>
    <row r="1288" ht="80" customHeight="1">
      <c r="A1288" s="4">
        <f>IMAGE("https://images.lululemon.com/is/image/lululemon/LM7BCBS_0001_1?wid=320&amp;op_usm=0.8",1)</f>
        <v/>
      </c>
      <c r="B1288" s="4" t="inlineStr">
        <is>
          <t>Pace Breaker Lined Short 7"</t>
        </is>
      </c>
      <c r="C1288" s="4" t="inlineStr">
        <is>
          <t>158023472</t>
        </is>
      </c>
      <c r="D1288" s="4" t="inlineStr">
        <is>
          <t>158023472-speckledheatherblackmulti</t>
        </is>
      </c>
      <c r="E1288" s="4" t="inlineStr">
        <is>
          <t>Pace Breaker Short 7" *Lined BLK XS</t>
        </is>
      </c>
      <c r="F1288" s="4" t="inlineStr">
        <is>
          <t>$78.00</t>
        </is>
      </c>
      <c r="G1288" s="4" t="inlineStr">
        <is>
          <t>$39.00</t>
        </is>
      </c>
      <c r="H1288" s="4" t="inlineStr">
        <is>
          <t>Speckled Heather Black Multi</t>
        </is>
      </c>
      <c r="I1288" s="4">
        <f>IMAGE("https://images.lululemon.com/is/image/lululemon/72044",1)</f>
        <v/>
      </c>
      <c r="J1288" s="4" t="inlineStr">
        <is>
          <t>XL</t>
        </is>
      </c>
      <c r="K1288" s="4" t="inlineStr">
        <is>
          <t>30/2109</t>
        </is>
      </c>
      <c r="L1288" s="4" t="inlineStr">
        <is>
          <t>Yes</t>
        </is>
      </c>
      <c r="M1288" s="4" t="inlineStr">
        <is>
          <t>Athlete backed, performance driven. This elevated version of our most versatile short was designed for maximum comfort and zero distractions.</t>
        </is>
      </c>
      <c r="N1288" s="4" t="inlineStr">
        <is>
          <t>Pace-Breaker-Short-NF-7-Lined-Update</t>
        </is>
      </c>
      <c r="O1288" s="4" t="inlineStr">
        <is>
          <t>Athletic Shorts, Liner Shorts</t>
        </is>
      </c>
    </row>
    <row r="1289" ht="80" customHeight="1">
      <c r="A1289" s="7">
        <f>IMAGE("https://images.lululemon.com/is/image/lululemon/LM7BCBS_0001_1?wid=320&amp;op_usm=0.8",1)</f>
        <v/>
      </c>
      <c r="B1289" s="7" t="inlineStr">
        <is>
          <t>Pace Breaker Lined Short 7"</t>
        </is>
      </c>
      <c r="C1289" s="7" t="inlineStr">
        <is>
          <t>158023488</t>
        </is>
      </c>
      <c r="D1289" s="7" t="inlineStr">
        <is>
          <t>158023488-speckledheatherblackmulti</t>
        </is>
      </c>
      <c r="E1289" s="7" t="inlineStr">
        <is>
          <t>Pace Breaker Short 7" *Lined BLK XS</t>
        </is>
      </c>
      <c r="F1289" s="7" t="inlineStr">
        <is>
          <t>$78.00</t>
        </is>
      </c>
      <c r="G1289" s="7" t="inlineStr">
        <is>
          <t>$39.00</t>
        </is>
      </c>
      <c r="H1289" s="7" t="inlineStr">
        <is>
          <t>Speckled Heather Black Multi</t>
        </is>
      </c>
      <c r="I1289" s="7">
        <f>IMAGE("https://images.lululemon.com/is/image/lululemon/72044",1)</f>
        <v/>
      </c>
      <c r="J1289" s="7" t="inlineStr">
        <is>
          <t>XXL</t>
        </is>
      </c>
      <c r="K1289" s="7" t="inlineStr">
        <is>
          <t>8/2109</t>
        </is>
      </c>
      <c r="L1289" s="7" t="inlineStr">
        <is>
          <t>Yes</t>
        </is>
      </c>
      <c r="M1289" s="7" t="inlineStr">
        <is>
          <t>Athlete backed, performance driven. This elevated version of our most versatile short was designed for maximum comfort and zero distractions.</t>
        </is>
      </c>
      <c r="N1289" s="7" t="inlineStr">
        <is>
          <t>Pace-Breaker-Short-NF-7-Lined-Update</t>
        </is>
      </c>
      <c r="O1289" s="7" t="inlineStr">
        <is>
          <t>Athletic Shorts, Liner Shorts</t>
        </is>
      </c>
    </row>
    <row r="1290" ht="80" customHeight="1">
      <c r="A1290" s="4">
        <f>IMAGE("https://images.lululemon.com/is/image/lululemon/LM7BCBS_0001_1?wid=320&amp;op_usm=0.8",1)</f>
        <v/>
      </c>
      <c r="B1290" s="4" t="inlineStr">
        <is>
          <t>Pace Breaker Lined Short 7"</t>
        </is>
      </c>
      <c r="C1290" s="4" t="inlineStr">
        <is>
          <t>158022823</t>
        </is>
      </c>
      <c r="D1290" s="4" t="inlineStr">
        <is>
          <t>158022823-grapemist</t>
        </is>
      </c>
      <c r="E1290" s="4" t="inlineStr">
        <is>
          <t>Pace Breaker Short 7" *Lined BLK XS</t>
        </is>
      </c>
      <c r="F1290" s="4" t="inlineStr">
        <is>
          <t>$78.00</t>
        </is>
      </c>
      <c r="G1290" s="4" t="inlineStr">
        <is>
          <t>$39.00</t>
        </is>
      </c>
      <c r="H1290" s="4" t="inlineStr">
        <is>
          <t>Grape Mist</t>
        </is>
      </c>
      <c r="I1290" s="4">
        <f>IMAGE("https://images.lululemon.com/is/image/lululemon/0554",1)</f>
        <v/>
      </c>
      <c r="J1290" s="4" t="inlineStr">
        <is>
          <t>S</t>
        </is>
      </c>
      <c r="K1290" s="4" t="inlineStr">
        <is>
          <t>45/2109</t>
        </is>
      </c>
      <c r="L1290" s="4" t="inlineStr">
        <is>
          <t>Yes</t>
        </is>
      </c>
      <c r="M1290" s="4" t="inlineStr">
        <is>
          <t>Athlete backed, performance driven. This elevated version of our most versatile short was designed for maximum comfort and zero distractions.</t>
        </is>
      </c>
      <c r="N1290" s="4" t="inlineStr">
        <is>
          <t>Pace-Breaker-Short-NF-7-Lined-Update</t>
        </is>
      </c>
      <c r="O1290" s="4" t="inlineStr">
        <is>
          <t>Athletic Shorts, Liner Shorts</t>
        </is>
      </c>
    </row>
    <row r="1291" ht="80" customHeight="1">
      <c r="A1291" s="7">
        <f>IMAGE("https://images.lululemon.com/is/image/lululemon/LM7BCBS_0001_1?wid=320&amp;op_usm=0.8",1)</f>
        <v/>
      </c>
      <c r="B1291" s="7" t="inlineStr">
        <is>
          <t>Pace Breaker Lined Short 7"</t>
        </is>
      </c>
      <c r="C1291" s="7" t="inlineStr">
        <is>
          <t>158022799</t>
        </is>
      </c>
      <c r="D1291" s="7" t="inlineStr">
        <is>
          <t>158022799-grapemist</t>
        </is>
      </c>
      <c r="E1291" s="7" t="inlineStr">
        <is>
          <t>Pace Breaker Short 7" *Lined BLK XS</t>
        </is>
      </c>
      <c r="F1291" s="7" t="inlineStr">
        <is>
          <t>$78.00</t>
        </is>
      </c>
      <c r="G1291" s="7" t="inlineStr">
        <is>
          <t>$39.00</t>
        </is>
      </c>
      <c r="H1291" s="7" t="inlineStr">
        <is>
          <t>Grape Mist</t>
        </is>
      </c>
      <c r="I1291" s="7">
        <f>IMAGE("https://images.lululemon.com/is/image/lululemon/0554",1)</f>
        <v/>
      </c>
      <c r="J1291" s="7" t="inlineStr">
        <is>
          <t>M</t>
        </is>
      </c>
      <c r="K1291" s="7" t="inlineStr">
        <is>
          <t>113/2109</t>
        </is>
      </c>
      <c r="L1291" s="7" t="inlineStr">
        <is>
          <t>Yes</t>
        </is>
      </c>
      <c r="M1291" s="7" t="inlineStr">
        <is>
          <t>Athlete backed, performance driven. This elevated version of our most versatile short was designed for maximum comfort and zero distractions.</t>
        </is>
      </c>
      <c r="N1291" s="7" t="inlineStr">
        <is>
          <t>Pace-Breaker-Short-NF-7-Lined-Update</t>
        </is>
      </c>
      <c r="O1291" s="7" t="inlineStr">
        <is>
          <t>Athletic Shorts, Liner Shorts</t>
        </is>
      </c>
    </row>
    <row r="1292" ht="80" customHeight="1">
      <c r="A1292" s="4">
        <f>IMAGE("https://images.lululemon.com/is/image/lululemon/LM7BCBS_0001_1?wid=320&amp;op_usm=0.8",1)</f>
        <v/>
      </c>
      <c r="B1292" s="4" t="inlineStr">
        <is>
          <t>Pace Breaker Lined Short 7"</t>
        </is>
      </c>
      <c r="C1292" s="4" t="inlineStr">
        <is>
          <t>158022770</t>
        </is>
      </c>
      <c r="D1292" s="4" t="inlineStr">
        <is>
          <t>158022770-grapemist</t>
        </is>
      </c>
      <c r="E1292" s="4" t="inlineStr">
        <is>
          <t>Pace Breaker Short 7" *Lined BLK XS</t>
        </is>
      </c>
      <c r="F1292" s="4" t="inlineStr">
        <is>
          <t>$78.00</t>
        </is>
      </c>
      <c r="G1292" s="4" t="inlineStr">
        <is>
          <t>$39.00</t>
        </is>
      </c>
      <c r="H1292" s="4" t="inlineStr">
        <is>
          <t>Grape Mist</t>
        </is>
      </c>
      <c r="I1292" s="4">
        <f>IMAGE("https://images.lululemon.com/is/image/lululemon/0554",1)</f>
        <v/>
      </c>
      <c r="J1292" s="4" t="inlineStr">
        <is>
          <t>L</t>
        </is>
      </c>
      <c r="K1292" s="4" t="inlineStr">
        <is>
          <t>116/2109</t>
        </is>
      </c>
      <c r="L1292" s="4" t="inlineStr">
        <is>
          <t>Yes</t>
        </is>
      </c>
      <c r="M1292" s="4" t="inlineStr">
        <is>
          <t>Athlete backed, performance driven. This elevated version of our most versatile short was designed for maximum comfort and zero distractions.</t>
        </is>
      </c>
      <c r="N1292" s="4" t="inlineStr">
        <is>
          <t>Pace-Breaker-Short-NF-7-Lined-Update</t>
        </is>
      </c>
      <c r="O1292" s="4" t="inlineStr">
        <is>
          <t>Athletic Shorts, Liner Shorts</t>
        </is>
      </c>
    </row>
    <row r="1293" ht="80" customHeight="1">
      <c r="A1293" s="7">
        <f>IMAGE("https://images.lululemon.com/is/image/lululemon/LM7BCBS_0001_1?wid=320&amp;op_usm=0.8",1)</f>
        <v/>
      </c>
      <c r="B1293" s="7" t="inlineStr">
        <is>
          <t>Pace Breaker Lined Short 7"</t>
        </is>
      </c>
      <c r="C1293" s="7" t="inlineStr">
        <is>
          <t>158022849</t>
        </is>
      </c>
      <c r="D1293" s="7" t="inlineStr">
        <is>
          <t>158022849-grapemist</t>
        </is>
      </c>
      <c r="E1293" s="7" t="inlineStr">
        <is>
          <t>Pace Breaker Short 7" *Lined BLK XS</t>
        </is>
      </c>
      <c r="F1293" s="7" t="inlineStr">
        <is>
          <t>$78.00</t>
        </is>
      </c>
      <c r="G1293" s="7" t="inlineStr">
        <is>
          <t>$39.00</t>
        </is>
      </c>
      <c r="H1293" s="7" t="inlineStr">
        <is>
          <t>Grape Mist</t>
        </is>
      </c>
      <c r="I1293" s="7">
        <f>IMAGE("https://images.lululemon.com/is/image/lululemon/0554",1)</f>
        <v/>
      </c>
      <c r="J1293" s="7" t="inlineStr">
        <is>
          <t>XL</t>
        </is>
      </c>
      <c r="K1293" s="7" t="inlineStr">
        <is>
          <t>70/2109</t>
        </is>
      </c>
      <c r="L1293" s="7" t="inlineStr">
        <is>
          <t>Yes</t>
        </is>
      </c>
      <c r="M1293" s="7" t="inlineStr">
        <is>
          <t>Athlete backed, performance driven. This elevated version of our most versatile short was designed for maximum comfort and zero distractions.</t>
        </is>
      </c>
      <c r="N1293" s="7" t="inlineStr">
        <is>
          <t>Pace-Breaker-Short-NF-7-Lined-Update</t>
        </is>
      </c>
      <c r="O1293" s="7" t="inlineStr">
        <is>
          <t>Athletic Shorts, Liner Shorts</t>
        </is>
      </c>
    </row>
    <row r="1294" ht="80" customHeight="1">
      <c r="A1294" s="6">
        <f>IMAGE("https://images.lululemon.com/is/image/lululemon/LM7BCBS_0001_1?wid=320&amp;op_usm=0.8",1)</f>
        <v/>
      </c>
      <c r="B1294" s="6" t="inlineStr">
        <is>
          <t>Pace Breaker Lined Short 7"</t>
        </is>
      </c>
      <c r="C1294" s="6" t="inlineStr">
        <is>
          <t>158022873</t>
        </is>
      </c>
      <c r="D1294" s="6" t="inlineStr">
        <is>
          <t>158022873-grapemist</t>
        </is>
      </c>
      <c r="E1294" s="6" t="inlineStr">
        <is>
          <t>Pace Breaker Short 7" *Lined BLK XS</t>
        </is>
      </c>
      <c r="F1294" s="6" t="inlineStr">
        <is>
          <t>$78.00</t>
        </is>
      </c>
      <c r="G1294" s="6" t="inlineStr">
        <is>
          <t>$39.00</t>
        </is>
      </c>
      <c r="H1294" s="6" t="inlineStr">
        <is>
          <t>Grape Mist</t>
        </is>
      </c>
      <c r="I1294" s="6">
        <f>IMAGE("https://images.lululemon.com/is/image/lululemon/0554",1)</f>
        <v/>
      </c>
      <c r="J1294" s="6" t="inlineStr">
        <is>
          <t>XXL</t>
        </is>
      </c>
      <c r="K1294" s="6" t="inlineStr">
        <is>
          <t>17/2109</t>
        </is>
      </c>
      <c r="L1294" s="6" t="inlineStr">
        <is>
          <t>Yes</t>
        </is>
      </c>
      <c r="M1294" s="6" t="inlineStr">
        <is>
          <t>Athlete backed, performance driven. This elevated version of our most versatile short was designed for maximum comfort and zero distractions.</t>
        </is>
      </c>
      <c r="N1294" s="6" t="inlineStr">
        <is>
          <t>Pace-Breaker-Short-NF-7-Lined-Update</t>
        </is>
      </c>
      <c r="O1294" s="6" t="inlineStr">
        <is>
          <t>Athletic Shorts, Liner Shorts</t>
        </is>
      </c>
    </row>
    <row r="1295" ht="80" customHeight="1">
      <c r="A1295" s="5">
        <f>IMAGE("https://images.lululemon.com/is/image/lululemon/LM9AS7S_0001_1?wid=320&amp;op_usm=0.8",1)</f>
        <v/>
      </c>
      <c r="B1295" s="5" t="inlineStr">
        <is>
          <t>Men's Days Shade Ball Cap</t>
        </is>
      </c>
      <c r="C1295" s="5" t="inlineStr">
        <is>
          <t>146403931</t>
        </is>
      </c>
      <c r="D1295" s="5" t="inlineStr">
        <is>
          <t>146403931-black</t>
        </is>
      </c>
      <c r="E1295" s="5" t="inlineStr">
        <is>
          <t>Days Shade Ball Cap BLK ONE SIZE</t>
        </is>
      </c>
      <c r="F1295" s="5" t="inlineStr">
        <is>
          <t>$38.00</t>
        </is>
      </c>
      <c r="G1295" s="5" t="inlineStr">
        <is>
          <t>$19.00</t>
        </is>
      </c>
      <c r="H1295" s="5" t="inlineStr">
        <is>
          <t>Black</t>
        </is>
      </c>
      <c r="I1295" s="5">
        <f>IMAGE("https://images.lululemon.com/is/image/lululemon/0001",1)</f>
        <v/>
      </c>
      <c r="J1295" s="5" t="inlineStr">
        <is>
          <t>O/S</t>
        </is>
      </c>
      <c r="K1295" s="5" t="inlineStr">
        <is>
          <t>19/19</t>
        </is>
      </c>
      <c r="L1295" s="5" t="inlineStr">
        <is>
          <t>Yes</t>
        </is>
      </c>
      <c r="M1295" s="5" t="inlineStr">
        <is>
          <t>Keep it casual in this classic, VersaTwill™ ball cap.</t>
        </is>
      </c>
      <c r="N1295" s="5" t="inlineStr">
        <is>
          <t>Days-Shade-Ball-Cap</t>
        </is>
      </c>
      <c r="O1295" s="5" t="inlineStr">
        <is>
          <t>Caps</t>
        </is>
      </c>
    </row>
    <row r="1296" ht="80" customHeight="1">
      <c r="A1296" s="4">
        <f>IMAGE("https://images.lululemon.com/is/image/lululemon/LM4AVAS_0001_1?wid=320&amp;op_usm=0.8",1)</f>
        <v/>
      </c>
      <c r="B1296" s="4" t="inlineStr">
        <is>
          <t>Featherweight 900-Down-Fill Quilted Hooded Jacket</t>
        </is>
      </c>
      <c r="C1296" s="4" t="inlineStr">
        <is>
          <t>158101285</t>
        </is>
      </c>
      <c r="D1296" s="4" t="inlineStr">
        <is>
          <t>158101285-black</t>
        </is>
      </c>
      <c r="E1296" s="4" t="inlineStr">
        <is>
          <t>Featherweight Down Quilted Hooded Jacket BLK S</t>
        </is>
      </c>
      <c r="F1296" s="4" t="inlineStr">
        <is>
          <t>$298.00</t>
        </is>
      </c>
      <c r="G1296" s="4" t="inlineStr">
        <is>
          <t>$149.00</t>
        </is>
      </c>
      <c r="H1296" s="4" t="inlineStr">
        <is>
          <t>Black</t>
        </is>
      </c>
      <c r="I1296" s="4">
        <f>IMAGE("https://images.lululemon.com/is/image/lululemon/0001",1)</f>
        <v/>
      </c>
      <c r="J1296" s="4" t="inlineStr">
        <is>
          <t>S</t>
        </is>
      </c>
      <c r="K1296" s="4" t="inlineStr">
        <is>
          <t>8/293</t>
        </is>
      </c>
      <c r="L1296" s="4" t="inlineStr">
        <is>
          <t>Yes</t>
        </is>
      </c>
      <c r="M1296" s="4" t="inlineStr">
        <is>
          <t>Featherweight champ. Delivering mid-level warmth with a feather-light feel, this packable jacket is insulated with premium 900-fill-power down—layer it under a shell or over cozy sweaters when the cold sets in.</t>
        </is>
      </c>
      <c r="N1296" s="4" t="inlineStr">
        <is>
          <t>Featherweight-900-Down-Fill-Quilted-Hooded-Jacket</t>
        </is>
      </c>
      <c r="O1296" s="4" t="inlineStr">
        <is>
          <t>Hoodies, Puffer Jackets</t>
        </is>
      </c>
    </row>
    <row r="1297" ht="80" customHeight="1">
      <c r="A1297" s="7">
        <f>IMAGE("https://images.lululemon.com/is/image/lululemon/LM4AVAS_0001_1?wid=320&amp;op_usm=0.8",1)</f>
        <v/>
      </c>
      <c r="B1297" s="7" t="inlineStr">
        <is>
          <t>Featherweight 900-Down-Fill Quilted Hooded Jacket</t>
        </is>
      </c>
      <c r="C1297" s="7" t="inlineStr">
        <is>
          <t>158101272</t>
        </is>
      </c>
      <c r="D1297" s="7" t="inlineStr">
        <is>
          <t>158101272-black</t>
        </is>
      </c>
      <c r="E1297" s="7" t="inlineStr">
        <is>
          <t>Featherweight Down Quilted Hooded Jacket BLK S</t>
        </is>
      </c>
      <c r="F1297" s="7" t="inlineStr">
        <is>
          <t>$298.00</t>
        </is>
      </c>
      <c r="G1297" s="7" t="inlineStr">
        <is>
          <t>$149.00</t>
        </is>
      </c>
      <c r="H1297" s="7" t="inlineStr">
        <is>
          <t>Black</t>
        </is>
      </c>
      <c r="I1297" s="7">
        <f>IMAGE("https://images.lululemon.com/is/image/lululemon/0001",1)</f>
        <v/>
      </c>
      <c r="J1297" s="7" t="inlineStr">
        <is>
          <t>M</t>
        </is>
      </c>
      <c r="K1297" s="7" t="inlineStr">
        <is>
          <t>42/293</t>
        </is>
      </c>
      <c r="L1297" s="7" t="inlineStr">
        <is>
          <t>Yes</t>
        </is>
      </c>
      <c r="M1297" s="7" t="inlineStr">
        <is>
          <t>Featherweight champ. Delivering mid-level warmth with a feather-light feel, this packable jacket is insulated with premium 900-fill-power down—layer it under a shell or over cozy sweaters when the cold sets in.</t>
        </is>
      </c>
      <c r="N1297" s="7" t="inlineStr">
        <is>
          <t>Featherweight-900-Down-Fill-Quilted-Hooded-Jacket</t>
        </is>
      </c>
      <c r="O1297" s="7" t="inlineStr">
        <is>
          <t>Hoodies, Puffer Jackets</t>
        </is>
      </c>
    </row>
    <row r="1298" ht="80" customHeight="1">
      <c r="A1298" s="4">
        <f>IMAGE("https://images.lululemon.com/is/image/lululemon/LM4AVAS_0001_1?wid=320&amp;op_usm=0.8",1)</f>
        <v/>
      </c>
      <c r="B1298" s="4" t="inlineStr">
        <is>
          <t>Featherweight 900-Down-Fill Quilted Hooded Jacket</t>
        </is>
      </c>
      <c r="C1298" s="4" t="inlineStr">
        <is>
          <t>158101265</t>
        </is>
      </c>
      <c r="D1298" s="4" t="inlineStr">
        <is>
          <t>158101265-black</t>
        </is>
      </c>
      <c r="E1298" s="4" t="inlineStr">
        <is>
          <t>Featherweight Down Quilted Hooded Jacket BLK S</t>
        </is>
      </c>
      <c r="F1298" s="4" t="inlineStr">
        <is>
          <t>$298.00</t>
        </is>
      </c>
      <c r="G1298" s="4" t="inlineStr">
        <is>
          <t>$149.00</t>
        </is>
      </c>
      <c r="H1298" s="4" t="inlineStr">
        <is>
          <t>Black</t>
        </is>
      </c>
      <c r="I1298" s="4">
        <f>IMAGE("https://images.lululemon.com/is/image/lululemon/0001",1)</f>
        <v/>
      </c>
      <c r="J1298" s="4" t="inlineStr">
        <is>
          <t>L</t>
        </is>
      </c>
      <c r="K1298" s="4" t="inlineStr">
        <is>
          <t>58/293</t>
        </is>
      </c>
      <c r="L1298" s="4" t="inlineStr">
        <is>
          <t>Yes</t>
        </is>
      </c>
      <c r="M1298" s="4" t="inlineStr">
        <is>
          <t>Featherweight champ. Delivering mid-level warmth with a feather-light feel, this packable jacket is insulated with premium 900-fill-power down—layer it under a shell or over cozy sweaters when the cold sets in.</t>
        </is>
      </c>
      <c r="N1298" s="4" t="inlineStr">
        <is>
          <t>Featherweight-900-Down-Fill-Quilted-Hooded-Jacket</t>
        </is>
      </c>
      <c r="O1298" s="4" t="inlineStr">
        <is>
          <t>Hoodies, Puffer Jackets</t>
        </is>
      </c>
    </row>
    <row r="1299" ht="80" customHeight="1">
      <c r="A1299" s="7">
        <f>IMAGE("https://images.lululemon.com/is/image/lululemon/LM4AVAS_0001_1?wid=320&amp;op_usm=0.8",1)</f>
        <v/>
      </c>
      <c r="B1299" s="7" t="inlineStr">
        <is>
          <t>Featherweight 900-Down-Fill Quilted Hooded Jacket</t>
        </is>
      </c>
      <c r="C1299" s="7" t="inlineStr">
        <is>
          <t>158101293</t>
        </is>
      </c>
      <c r="D1299" s="7" t="inlineStr">
        <is>
          <t>158101293-black</t>
        </is>
      </c>
      <c r="E1299" s="7" t="inlineStr">
        <is>
          <t>Featherweight Down Quilted Hooded Jacket BLK S</t>
        </is>
      </c>
      <c r="F1299" s="7" t="inlineStr">
        <is>
          <t>$298.00</t>
        </is>
      </c>
      <c r="G1299" s="7" t="inlineStr">
        <is>
          <t>$149.00</t>
        </is>
      </c>
      <c r="H1299" s="7" t="inlineStr">
        <is>
          <t>Black</t>
        </is>
      </c>
      <c r="I1299" s="7">
        <f>IMAGE("https://images.lululemon.com/is/image/lululemon/0001",1)</f>
        <v/>
      </c>
      <c r="J1299" s="7" t="inlineStr">
        <is>
          <t>XL</t>
        </is>
      </c>
      <c r="K1299" s="7" t="inlineStr">
        <is>
          <t>46/293</t>
        </is>
      </c>
      <c r="L1299" s="7" t="inlineStr">
        <is>
          <t>Yes</t>
        </is>
      </c>
      <c r="M1299" s="7" t="inlineStr">
        <is>
          <t>Featherweight champ. Delivering mid-level warmth with a feather-light feel, this packable jacket is insulated with premium 900-fill-power down—layer it under a shell or over cozy sweaters when the cold sets in.</t>
        </is>
      </c>
      <c r="N1299" s="7" t="inlineStr">
        <is>
          <t>Featherweight-900-Down-Fill-Quilted-Hooded-Jacket</t>
        </is>
      </c>
      <c r="O1299" s="7" t="inlineStr">
        <is>
          <t>Hoodies, Puffer Jackets</t>
        </is>
      </c>
    </row>
    <row r="1300" ht="80" customHeight="1">
      <c r="A1300" s="4">
        <f>IMAGE("https://images.lululemon.com/is/image/lululemon/LM4AVAS_0001_1?wid=320&amp;op_usm=0.8",1)</f>
        <v/>
      </c>
      <c r="B1300" s="4" t="inlineStr">
        <is>
          <t>Featherweight 900-Down-Fill Quilted Hooded Jacket</t>
        </is>
      </c>
      <c r="C1300" s="4" t="inlineStr">
        <is>
          <t>158101314</t>
        </is>
      </c>
      <c r="D1300" s="4" t="inlineStr">
        <is>
          <t>158101314-black</t>
        </is>
      </c>
      <c r="E1300" s="4" t="inlineStr">
        <is>
          <t>Featherweight Down Quilted Hooded Jacket BLK S</t>
        </is>
      </c>
      <c r="F1300" s="4" t="inlineStr">
        <is>
          <t>$298.00</t>
        </is>
      </c>
      <c r="G1300" s="4" t="inlineStr">
        <is>
          <t>$149.00</t>
        </is>
      </c>
      <c r="H1300" s="4" t="inlineStr">
        <is>
          <t>Black</t>
        </is>
      </c>
      <c r="I1300" s="4">
        <f>IMAGE("https://images.lululemon.com/is/image/lululemon/0001",1)</f>
        <v/>
      </c>
      <c r="J1300" s="4" t="inlineStr">
        <is>
          <t>XXL</t>
        </is>
      </c>
      <c r="K1300" s="4" t="inlineStr">
        <is>
          <t>16/293</t>
        </is>
      </c>
      <c r="L1300" s="4" t="inlineStr">
        <is>
          <t>Yes</t>
        </is>
      </c>
      <c r="M1300" s="4" t="inlineStr">
        <is>
          <t>Featherweight champ. Delivering mid-level warmth with a feather-light feel, this packable jacket is insulated with premium 900-fill-power down—layer it under a shell or over cozy sweaters when the cold sets in.</t>
        </is>
      </c>
      <c r="N1300" s="4" t="inlineStr">
        <is>
          <t>Featherweight-900-Down-Fill-Quilted-Hooded-Jacket</t>
        </is>
      </c>
      <c r="O1300" s="4" t="inlineStr">
        <is>
          <t>Hoodies, Puffer Jackets</t>
        </is>
      </c>
    </row>
    <row r="1301" ht="80" customHeight="1">
      <c r="A1301" s="7">
        <f>IMAGE("https://images.lululemon.com/is/image/lululemon/LM4AVAS_0001_1?wid=320&amp;op_usm=0.8",1)</f>
        <v/>
      </c>
      <c r="B1301" s="7" t="inlineStr">
        <is>
          <t>Featherweight 900-Down-Fill Quilted Hooded Jacket</t>
        </is>
      </c>
      <c r="C1301" s="7" t="inlineStr">
        <is>
          <t>158101414</t>
        </is>
      </c>
      <c r="D1301" s="7" t="inlineStr">
        <is>
          <t>158101414-foggreen</t>
        </is>
      </c>
      <c r="E1301" s="7" t="inlineStr">
        <is>
          <t>Featherweight Down Quilted Hooded Jacket BLK S</t>
        </is>
      </c>
      <c r="F1301" s="7" t="inlineStr">
        <is>
          <t>$298.00</t>
        </is>
      </c>
      <c r="G1301" s="7" t="inlineStr">
        <is>
          <t>$149.00</t>
        </is>
      </c>
      <c r="H1301" s="7" t="inlineStr">
        <is>
          <t>Fog Green</t>
        </is>
      </c>
      <c r="I1301" s="7">
        <f>IMAGE("https://images.lululemon.com/is/image/lululemon/70144",1)</f>
        <v/>
      </c>
      <c r="J1301" s="7" t="inlineStr">
        <is>
          <t>S</t>
        </is>
      </c>
      <c r="K1301" s="7" t="inlineStr">
        <is>
          <t>8/293</t>
        </is>
      </c>
      <c r="L1301" s="7" t="inlineStr">
        <is>
          <t>Yes</t>
        </is>
      </c>
      <c r="M1301" s="7" t="inlineStr">
        <is>
          <t>Featherweight champ. Delivering mid-level warmth with a feather-light feel, this packable jacket is insulated with premium 900-fill-power down—layer it under a shell or over cozy sweaters when the cold sets in.</t>
        </is>
      </c>
      <c r="N1301" s="7" t="inlineStr">
        <is>
          <t>Featherweight-900-Down-Fill-Quilted-Hooded-Jacket</t>
        </is>
      </c>
      <c r="O1301" s="7" t="inlineStr">
        <is>
          <t>Hoodies, Puffer Jackets</t>
        </is>
      </c>
    </row>
    <row r="1302" ht="80" customHeight="1">
      <c r="A1302" s="4">
        <f>IMAGE("https://images.lululemon.com/is/image/lululemon/LM4AVAS_0001_1?wid=320&amp;op_usm=0.8",1)</f>
        <v/>
      </c>
      <c r="B1302" s="4" t="inlineStr">
        <is>
          <t>Featherweight 900-Down-Fill Quilted Hooded Jacket</t>
        </is>
      </c>
      <c r="C1302" s="4" t="inlineStr">
        <is>
          <t>158101404</t>
        </is>
      </c>
      <c r="D1302" s="4" t="inlineStr">
        <is>
          <t>158101404-foggreen</t>
        </is>
      </c>
      <c r="E1302" s="4" t="inlineStr">
        <is>
          <t>Featherweight Down Quilted Hooded Jacket BLK S</t>
        </is>
      </c>
      <c r="F1302" s="4" t="inlineStr">
        <is>
          <t>$298.00</t>
        </is>
      </c>
      <c r="G1302" s="4" t="inlineStr">
        <is>
          <t>$149.00</t>
        </is>
      </c>
      <c r="H1302" s="4" t="inlineStr">
        <is>
          <t>Fog Green</t>
        </is>
      </c>
      <c r="I1302" s="4">
        <f>IMAGE("https://images.lululemon.com/is/image/lululemon/70144",1)</f>
        <v/>
      </c>
      <c r="J1302" s="4" t="inlineStr">
        <is>
          <t>M</t>
        </is>
      </c>
      <c r="K1302" s="4" t="inlineStr">
        <is>
          <t>30/293</t>
        </is>
      </c>
      <c r="L1302" s="4" t="inlineStr">
        <is>
          <t>Yes</t>
        </is>
      </c>
      <c r="M1302" s="4" t="inlineStr">
        <is>
          <t>Featherweight champ. Delivering mid-level warmth with a feather-light feel, this packable jacket is insulated with premium 900-fill-power down—layer it under a shell or over cozy sweaters when the cold sets in.</t>
        </is>
      </c>
      <c r="N1302" s="4" t="inlineStr">
        <is>
          <t>Featherweight-900-Down-Fill-Quilted-Hooded-Jacket</t>
        </is>
      </c>
      <c r="O1302" s="4" t="inlineStr">
        <is>
          <t>Hoodies, Puffer Jackets</t>
        </is>
      </c>
    </row>
    <row r="1303" ht="80" customHeight="1">
      <c r="A1303" s="7">
        <f>IMAGE("https://images.lululemon.com/is/image/lululemon/LM4AVAS_0001_1?wid=320&amp;op_usm=0.8",1)</f>
        <v/>
      </c>
      <c r="B1303" s="7" t="inlineStr">
        <is>
          <t>Featherweight 900-Down-Fill Quilted Hooded Jacket</t>
        </is>
      </c>
      <c r="C1303" s="7" t="inlineStr">
        <is>
          <t>158101390</t>
        </is>
      </c>
      <c r="D1303" s="7" t="inlineStr">
        <is>
          <t>158101390-foggreen</t>
        </is>
      </c>
      <c r="E1303" s="7" t="inlineStr">
        <is>
          <t>Featherweight Down Quilted Hooded Jacket BLK S</t>
        </is>
      </c>
      <c r="F1303" s="7" t="inlineStr">
        <is>
          <t>$298.00</t>
        </is>
      </c>
      <c r="G1303" s="7" t="inlineStr">
        <is>
          <t>$149.00</t>
        </is>
      </c>
      <c r="H1303" s="7" t="inlineStr">
        <is>
          <t>Fog Green</t>
        </is>
      </c>
      <c r="I1303" s="7">
        <f>IMAGE("https://images.lululemon.com/is/image/lululemon/70144",1)</f>
        <v/>
      </c>
      <c r="J1303" s="7" t="inlineStr">
        <is>
          <t>L</t>
        </is>
      </c>
      <c r="K1303" s="7" t="inlineStr">
        <is>
          <t>43/293</t>
        </is>
      </c>
      <c r="L1303" s="7" t="inlineStr">
        <is>
          <t>Yes</t>
        </is>
      </c>
      <c r="M1303" s="7" t="inlineStr">
        <is>
          <t>Featherweight champ. Delivering mid-level warmth with a feather-light feel, this packable jacket is insulated with premium 900-fill-power down—layer it under a shell or over cozy sweaters when the cold sets in.</t>
        </is>
      </c>
      <c r="N1303" s="7" t="inlineStr">
        <is>
          <t>Featherweight-900-Down-Fill-Quilted-Hooded-Jacket</t>
        </is>
      </c>
      <c r="O1303" s="7" t="inlineStr">
        <is>
          <t>Hoodies, Puffer Jackets</t>
        </is>
      </c>
    </row>
    <row r="1304" ht="80" customHeight="1">
      <c r="A1304" s="4">
        <f>IMAGE("https://images.lululemon.com/is/image/lululemon/LM4AVAS_0001_1?wid=320&amp;op_usm=0.8",1)</f>
        <v/>
      </c>
      <c r="B1304" s="4" t="inlineStr">
        <is>
          <t>Featherweight 900-Down-Fill Quilted Hooded Jacket</t>
        </is>
      </c>
      <c r="C1304" s="4" t="inlineStr">
        <is>
          <t>158101423</t>
        </is>
      </c>
      <c r="D1304" s="4" t="inlineStr">
        <is>
          <t>158101423-foggreen</t>
        </is>
      </c>
      <c r="E1304" s="4" t="inlineStr">
        <is>
          <t>Featherweight Down Quilted Hooded Jacket BLK S</t>
        </is>
      </c>
      <c r="F1304" s="4" t="inlineStr">
        <is>
          <t>$298.00</t>
        </is>
      </c>
      <c r="G1304" s="4" t="inlineStr">
        <is>
          <t>$149.00</t>
        </is>
      </c>
      <c r="H1304" s="4" t="inlineStr">
        <is>
          <t>Fog Green</t>
        </is>
      </c>
      <c r="I1304" s="4">
        <f>IMAGE("https://images.lululemon.com/is/image/lululemon/70144",1)</f>
        <v/>
      </c>
      <c r="J1304" s="4" t="inlineStr">
        <is>
          <t>XL</t>
        </is>
      </c>
      <c r="K1304" s="4" t="inlineStr">
        <is>
          <t>31/293</t>
        </is>
      </c>
      <c r="L1304" s="4" t="inlineStr">
        <is>
          <t>Yes</t>
        </is>
      </c>
      <c r="M1304" s="4" t="inlineStr">
        <is>
          <t>Featherweight champ. Delivering mid-level warmth with a feather-light feel, this packable jacket is insulated with premium 900-fill-power down—layer it under a shell or over cozy sweaters when the cold sets in.</t>
        </is>
      </c>
      <c r="N1304" s="4" t="inlineStr">
        <is>
          <t>Featherweight-900-Down-Fill-Quilted-Hooded-Jacket</t>
        </is>
      </c>
      <c r="O1304" s="4" t="inlineStr">
        <is>
          <t>Hoodies, Puffer Jackets</t>
        </is>
      </c>
    </row>
    <row r="1305" ht="80" customHeight="1">
      <c r="A1305" s="5">
        <f>IMAGE("https://images.lululemon.com/is/image/lululemon/LM4AVAS_0001_1?wid=320&amp;op_usm=0.8",1)</f>
        <v/>
      </c>
      <c r="B1305" s="5" t="inlineStr">
        <is>
          <t>Featherweight 900-Down-Fill Quilted Hooded Jacket</t>
        </is>
      </c>
      <c r="C1305" s="5" t="inlineStr">
        <is>
          <t>158101446</t>
        </is>
      </c>
      <c r="D1305" s="5" t="inlineStr">
        <is>
          <t>158101446-foggreen</t>
        </is>
      </c>
      <c r="E1305" s="5" t="inlineStr">
        <is>
          <t>Featherweight Down Quilted Hooded Jacket BLK S</t>
        </is>
      </c>
      <c r="F1305" s="5" t="inlineStr">
        <is>
          <t>$298.00</t>
        </is>
      </c>
      <c r="G1305" s="5" t="inlineStr">
        <is>
          <t>$149.00</t>
        </is>
      </c>
      <c r="H1305" s="5" t="inlineStr">
        <is>
          <t>Fog Green</t>
        </is>
      </c>
      <c r="I1305" s="5">
        <f>IMAGE("https://images.lululemon.com/is/image/lululemon/70144",1)</f>
        <v/>
      </c>
      <c r="J1305" s="5" t="inlineStr">
        <is>
          <t>XXL</t>
        </is>
      </c>
      <c r="K1305" s="5" t="inlineStr">
        <is>
          <t>11/293</t>
        </is>
      </c>
      <c r="L1305" s="5" t="inlineStr">
        <is>
          <t>Yes</t>
        </is>
      </c>
      <c r="M1305" s="5" t="inlineStr">
        <is>
          <t>Featherweight champ. Delivering mid-level warmth with a feather-light feel, this packable jacket is insulated with premium 900-fill-power down—layer it under a shell or over cozy sweaters when the cold sets in.</t>
        </is>
      </c>
      <c r="N1305" s="5" t="inlineStr">
        <is>
          <t>Featherweight-900-Down-Fill-Quilted-Hooded-Jacket</t>
        </is>
      </c>
      <c r="O1305" s="5" t="inlineStr">
        <is>
          <t>Hoodies, Puffer Jackets</t>
        </is>
      </c>
    </row>
    <row r="1306" ht="80" customHeight="1">
      <c r="A1306" s="4">
        <f>IMAGE("https://images.lululemon.com/is/image/lululemon/LM5BHYS_068578_1?wid=320&amp;op_usm=0.8",1)</f>
        <v/>
      </c>
      <c r="B1306" s="4" t="inlineStr">
        <is>
          <t>ABC Slim-Fit Fixed-Waist Jogger *Regular</t>
        </is>
      </c>
      <c r="C1306" s="4" t="inlineStr">
        <is>
          <t>158021921</t>
        </is>
      </c>
      <c r="D1306" s="4" t="inlineStr">
        <is>
          <t>158021921-black</t>
        </is>
      </c>
      <c r="E1306" s="4" t="inlineStr">
        <is>
          <t>ABC Slim-Fit Fixed-Waist Jogger *Regular BLK 28</t>
        </is>
      </c>
      <c r="F1306" s="4" t="inlineStr">
        <is>
          <t>$148.00</t>
        </is>
      </c>
      <c r="G1306" s="4" t="inlineStr">
        <is>
          <t>$74.00</t>
        </is>
      </c>
      <c r="H1306" s="4" t="inlineStr">
        <is>
          <t>Black</t>
        </is>
      </c>
      <c r="I1306" s="4">
        <f>IMAGE("https://images.lululemon.com/is/image/lululemon/0001",1)</f>
        <v/>
      </c>
      <c r="J1306" s="4" t="inlineStr">
        <is>
          <t>28</t>
        </is>
      </c>
      <c r="K1306" s="4" t="inlineStr">
        <is>
          <t>6/648</t>
        </is>
      </c>
      <c r="L1306" s="4" t="inlineStr">
        <is>
          <t>Yes</t>
        </is>
      </c>
      <c r="M1306" s="4" t="inlineStr">
        <is>
          <t>Majorly comfortable. Made from stretch fabric with a ventilated gusset for added airflow, these smart fixed-waist golf joggers feel as good as they look.</t>
        </is>
      </c>
      <c r="N1306" s="4" t="inlineStr">
        <is>
          <t>ABC-Slim-Fit-Fixed-Waist-Jogger-Regular</t>
        </is>
      </c>
      <c r="O1306" s="4" t="inlineStr"/>
    </row>
    <row r="1307" ht="80" customHeight="1">
      <c r="A1307" s="7">
        <f>IMAGE("https://images.lululemon.com/is/image/lululemon/LM5BHYS_068578_1?wid=320&amp;op_usm=0.8",1)</f>
        <v/>
      </c>
      <c r="B1307" s="7" t="inlineStr">
        <is>
          <t>ABC Slim-Fit Fixed-Waist Jogger *Regular</t>
        </is>
      </c>
      <c r="C1307" s="7" t="inlineStr">
        <is>
          <t>158021929</t>
        </is>
      </c>
      <c r="D1307" s="7" t="inlineStr">
        <is>
          <t>158021929-black</t>
        </is>
      </c>
      <c r="E1307" s="7" t="inlineStr">
        <is>
          <t>ABC Slim-Fit Fixed-Waist Jogger *Regular BLK 28</t>
        </is>
      </c>
      <c r="F1307" s="7" t="inlineStr">
        <is>
          <t>$148.00</t>
        </is>
      </c>
      <c r="G1307" s="7" t="inlineStr">
        <is>
          <t>$74.00</t>
        </is>
      </c>
      <c r="H1307" s="7" t="inlineStr">
        <is>
          <t>Black</t>
        </is>
      </c>
      <c r="I1307" s="7">
        <f>IMAGE("https://images.lululemon.com/is/image/lululemon/0001",1)</f>
        <v/>
      </c>
      <c r="J1307" s="7" t="inlineStr">
        <is>
          <t>30</t>
        </is>
      </c>
      <c r="K1307" s="7" t="inlineStr">
        <is>
          <t>27/648</t>
        </is>
      </c>
      <c r="L1307" s="7" t="inlineStr">
        <is>
          <t>Yes</t>
        </is>
      </c>
      <c r="M1307" s="7" t="inlineStr">
        <is>
          <t>Majorly comfortable. Made from stretch fabric with a ventilated gusset for added airflow, these smart fixed-waist golf joggers feel as good as they look.</t>
        </is>
      </c>
      <c r="N1307" s="7" t="inlineStr">
        <is>
          <t>ABC-Slim-Fit-Fixed-Waist-Jogger-Regular</t>
        </is>
      </c>
      <c r="O1307" s="7" t="inlineStr"/>
    </row>
    <row r="1308" ht="80" customHeight="1">
      <c r="A1308" s="4">
        <f>IMAGE("https://images.lululemon.com/is/image/lululemon/LM5BHYS_068578_1?wid=320&amp;op_usm=0.8",1)</f>
        <v/>
      </c>
      <c r="B1308" s="4" t="inlineStr">
        <is>
          <t>ABC Slim-Fit Fixed-Waist Jogger *Regular</t>
        </is>
      </c>
      <c r="C1308" s="4" t="inlineStr">
        <is>
          <t>158021933</t>
        </is>
      </c>
      <c r="D1308" s="4" t="inlineStr">
        <is>
          <t>158021933-black</t>
        </is>
      </c>
      <c r="E1308" s="4" t="inlineStr">
        <is>
          <t>ABC Slim-Fit Fixed-Waist Jogger *Regular BLK 28</t>
        </is>
      </c>
      <c r="F1308" s="4" t="inlineStr">
        <is>
          <t>$148.00</t>
        </is>
      </c>
      <c r="G1308" s="4" t="inlineStr">
        <is>
          <t>$74.00</t>
        </is>
      </c>
      <c r="H1308" s="4" t="inlineStr">
        <is>
          <t>Black</t>
        </is>
      </c>
      <c r="I1308" s="4">
        <f>IMAGE("https://images.lululemon.com/is/image/lululemon/0001",1)</f>
        <v/>
      </c>
      <c r="J1308" s="4" t="inlineStr">
        <is>
          <t>31</t>
        </is>
      </c>
      <c r="K1308" s="4" t="inlineStr">
        <is>
          <t>19/648</t>
        </is>
      </c>
      <c r="L1308" s="4" t="inlineStr">
        <is>
          <t>Yes</t>
        </is>
      </c>
      <c r="M1308" s="4" t="inlineStr">
        <is>
          <t>Majorly comfortable. Made from stretch fabric with a ventilated gusset for added airflow, these smart fixed-waist golf joggers feel as good as they look.</t>
        </is>
      </c>
      <c r="N1308" s="4" t="inlineStr">
        <is>
          <t>ABC-Slim-Fit-Fixed-Waist-Jogger-Regular</t>
        </is>
      </c>
      <c r="O1308" s="4" t="inlineStr"/>
    </row>
    <row r="1309" ht="80" customHeight="1">
      <c r="A1309" s="7">
        <f>IMAGE("https://images.lululemon.com/is/image/lululemon/LM5BHYS_068578_1?wid=320&amp;op_usm=0.8",1)</f>
        <v/>
      </c>
      <c r="B1309" s="7" t="inlineStr">
        <is>
          <t>ABC Slim-Fit Fixed-Waist Jogger *Regular</t>
        </is>
      </c>
      <c r="C1309" s="7" t="inlineStr">
        <is>
          <t>158021936</t>
        </is>
      </c>
      <c r="D1309" s="7" t="inlineStr">
        <is>
          <t>158021936-black</t>
        </is>
      </c>
      <c r="E1309" s="7" t="inlineStr">
        <is>
          <t>ABC Slim-Fit Fixed-Waist Jogger *Regular BLK 28</t>
        </is>
      </c>
      <c r="F1309" s="7" t="inlineStr">
        <is>
          <t>$148.00</t>
        </is>
      </c>
      <c r="G1309" s="7" t="inlineStr">
        <is>
          <t>$74.00</t>
        </is>
      </c>
      <c r="H1309" s="7" t="inlineStr">
        <is>
          <t>Black</t>
        </is>
      </c>
      <c r="I1309" s="7">
        <f>IMAGE("https://images.lululemon.com/is/image/lululemon/0001",1)</f>
        <v/>
      </c>
      <c r="J1309" s="7" t="inlineStr">
        <is>
          <t>32</t>
        </is>
      </c>
      <c r="K1309" s="7" t="inlineStr">
        <is>
          <t>61/648</t>
        </is>
      </c>
      <c r="L1309" s="7" t="inlineStr">
        <is>
          <t>Yes</t>
        </is>
      </c>
      <c r="M1309" s="7" t="inlineStr">
        <is>
          <t>Majorly comfortable. Made from stretch fabric with a ventilated gusset for added airflow, these smart fixed-waist golf joggers feel as good as they look.</t>
        </is>
      </c>
      <c r="N1309" s="7" t="inlineStr">
        <is>
          <t>ABC-Slim-Fit-Fixed-Waist-Jogger-Regular</t>
        </is>
      </c>
      <c r="O1309" s="7" t="inlineStr"/>
    </row>
    <row r="1310" ht="80" customHeight="1">
      <c r="A1310" s="4">
        <f>IMAGE("https://images.lululemon.com/is/image/lululemon/LM5BHYS_068578_1?wid=320&amp;op_usm=0.8",1)</f>
        <v/>
      </c>
      <c r="B1310" s="4" t="inlineStr">
        <is>
          <t>ABC Slim-Fit Fixed-Waist Jogger *Regular</t>
        </is>
      </c>
      <c r="C1310" s="4" t="inlineStr">
        <is>
          <t>158021939</t>
        </is>
      </c>
      <c r="D1310" s="4" t="inlineStr">
        <is>
          <t>158021939-black</t>
        </is>
      </c>
      <c r="E1310" s="4" t="inlineStr">
        <is>
          <t>ABC Slim-Fit Fixed-Waist Jogger *Regular BLK 28</t>
        </is>
      </c>
      <c r="F1310" s="4" t="inlineStr">
        <is>
          <t>$148.00</t>
        </is>
      </c>
      <c r="G1310" s="4" t="inlineStr">
        <is>
          <t>$74.00</t>
        </is>
      </c>
      <c r="H1310" s="4" t="inlineStr">
        <is>
          <t>Black</t>
        </is>
      </c>
      <c r="I1310" s="4">
        <f>IMAGE("https://images.lululemon.com/is/image/lululemon/0001",1)</f>
        <v/>
      </c>
      <c r="J1310" s="4" t="inlineStr">
        <is>
          <t>33</t>
        </is>
      </c>
      <c r="K1310" s="4" t="inlineStr">
        <is>
          <t>36/648</t>
        </is>
      </c>
      <c r="L1310" s="4" t="inlineStr">
        <is>
          <t>Yes</t>
        </is>
      </c>
      <c r="M1310" s="4" t="inlineStr">
        <is>
          <t>Majorly comfortable. Made from stretch fabric with a ventilated gusset for added airflow, these smart fixed-waist golf joggers feel as good as they look.</t>
        </is>
      </c>
      <c r="N1310" s="4" t="inlineStr">
        <is>
          <t>ABC-Slim-Fit-Fixed-Waist-Jogger-Regular</t>
        </is>
      </c>
      <c r="O1310" s="4" t="inlineStr"/>
    </row>
    <row r="1311" ht="80" customHeight="1">
      <c r="A1311" s="7">
        <f>IMAGE("https://images.lululemon.com/is/image/lululemon/LM5BHYS_068578_1?wid=320&amp;op_usm=0.8",1)</f>
        <v/>
      </c>
      <c r="B1311" s="7" t="inlineStr">
        <is>
          <t>ABC Slim-Fit Fixed-Waist Jogger *Regular</t>
        </is>
      </c>
      <c r="C1311" s="7" t="inlineStr">
        <is>
          <t>158021942</t>
        </is>
      </c>
      <c r="D1311" s="7" t="inlineStr">
        <is>
          <t>158021942-black</t>
        </is>
      </c>
      <c r="E1311" s="7" t="inlineStr">
        <is>
          <t>ABC Slim-Fit Fixed-Waist Jogger *Regular BLK 28</t>
        </is>
      </c>
      <c r="F1311" s="7" t="inlineStr">
        <is>
          <t>$148.00</t>
        </is>
      </c>
      <c r="G1311" s="7" t="inlineStr">
        <is>
          <t>$74.00</t>
        </is>
      </c>
      <c r="H1311" s="7" t="inlineStr">
        <is>
          <t>Black</t>
        </is>
      </c>
      <c r="I1311" s="7">
        <f>IMAGE("https://images.lululemon.com/is/image/lululemon/0001",1)</f>
        <v/>
      </c>
      <c r="J1311" s="7" t="inlineStr">
        <is>
          <t>34</t>
        </is>
      </c>
      <c r="K1311" s="7" t="inlineStr">
        <is>
          <t>75/648</t>
        </is>
      </c>
      <c r="L1311" s="7" t="inlineStr">
        <is>
          <t>Yes</t>
        </is>
      </c>
      <c r="M1311" s="7" t="inlineStr">
        <is>
          <t>Majorly comfortable. Made from stretch fabric with a ventilated gusset for added airflow, these smart fixed-waist golf joggers feel as good as they look.</t>
        </is>
      </c>
      <c r="N1311" s="7" t="inlineStr">
        <is>
          <t>ABC-Slim-Fit-Fixed-Waist-Jogger-Regular</t>
        </is>
      </c>
      <c r="O1311" s="7" t="inlineStr"/>
    </row>
    <row r="1312" ht="80" customHeight="1">
      <c r="A1312" s="4">
        <f>IMAGE("https://images.lululemon.com/is/image/lululemon/LM5BHYS_068578_1?wid=320&amp;op_usm=0.8",1)</f>
        <v/>
      </c>
      <c r="B1312" s="4" t="inlineStr">
        <is>
          <t>ABC Slim-Fit Fixed-Waist Jogger *Regular</t>
        </is>
      </c>
      <c r="C1312" s="4" t="inlineStr">
        <is>
          <t>158021952</t>
        </is>
      </c>
      <c r="D1312" s="4" t="inlineStr">
        <is>
          <t>158021952-black</t>
        </is>
      </c>
      <c r="E1312" s="4" t="inlineStr">
        <is>
          <t>ABC Slim-Fit Fixed-Waist Jogger *Regular BLK 28</t>
        </is>
      </c>
      <c r="F1312" s="4" t="inlineStr">
        <is>
          <t>$148.00</t>
        </is>
      </c>
      <c r="G1312" s="4" t="inlineStr">
        <is>
          <t>$74.00</t>
        </is>
      </c>
      <c r="H1312" s="4" t="inlineStr">
        <is>
          <t>Black</t>
        </is>
      </c>
      <c r="I1312" s="4">
        <f>IMAGE("https://images.lululemon.com/is/image/lululemon/0001",1)</f>
        <v/>
      </c>
      <c r="J1312" s="4" t="inlineStr">
        <is>
          <t>36</t>
        </is>
      </c>
      <c r="K1312" s="4" t="inlineStr">
        <is>
          <t>63/648</t>
        </is>
      </c>
      <c r="L1312" s="4" t="inlineStr">
        <is>
          <t>Yes</t>
        </is>
      </c>
      <c r="M1312" s="4" t="inlineStr">
        <is>
          <t>Majorly comfortable. Made from stretch fabric with a ventilated gusset for added airflow, these smart fixed-waist golf joggers feel as good as they look.</t>
        </is>
      </c>
      <c r="N1312" s="4" t="inlineStr">
        <is>
          <t>ABC-Slim-Fit-Fixed-Waist-Jogger-Regular</t>
        </is>
      </c>
      <c r="O1312" s="4" t="inlineStr"/>
    </row>
    <row r="1313" ht="80" customHeight="1">
      <c r="A1313" s="7">
        <f>IMAGE("https://images.lululemon.com/is/image/lululemon/LM5BHYS_068578_1?wid=320&amp;op_usm=0.8",1)</f>
        <v/>
      </c>
      <c r="B1313" s="7" t="inlineStr">
        <is>
          <t>ABC Slim-Fit Fixed-Waist Jogger *Regular</t>
        </is>
      </c>
      <c r="C1313" s="7" t="inlineStr">
        <is>
          <t>158021954</t>
        </is>
      </c>
      <c r="D1313" s="7" t="inlineStr">
        <is>
          <t>158021954-black</t>
        </is>
      </c>
      <c r="E1313" s="7" t="inlineStr">
        <is>
          <t>ABC Slim-Fit Fixed-Waist Jogger *Regular BLK 28</t>
        </is>
      </c>
      <c r="F1313" s="7" t="inlineStr">
        <is>
          <t>$148.00</t>
        </is>
      </c>
      <c r="G1313" s="7" t="inlineStr">
        <is>
          <t>$74.00</t>
        </is>
      </c>
      <c r="H1313" s="7" t="inlineStr">
        <is>
          <t>Black</t>
        </is>
      </c>
      <c r="I1313" s="7">
        <f>IMAGE("https://images.lululemon.com/is/image/lululemon/0001",1)</f>
        <v/>
      </c>
      <c r="J1313" s="7" t="inlineStr">
        <is>
          <t>38</t>
        </is>
      </c>
      <c r="K1313" s="7" t="inlineStr">
        <is>
          <t>35/648</t>
        </is>
      </c>
      <c r="L1313" s="7" t="inlineStr">
        <is>
          <t>Yes</t>
        </is>
      </c>
      <c r="M1313" s="7" t="inlineStr">
        <is>
          <t>Majorly comfortable. Made from stretch fabric with a ventilated gusset for added airflow, these smart fixed-waist golf joggers feel as good as they look.</t>
        </is>
      </c>
      <c r="N1313" s="7" t="inlineStr">
        <is>
          <t>ABC-Slim-Fit-Fixed-Waist-Jogger-Regular</t>
        </is>
      </c>
      <c r="O1313" s="7" t="inlineStr"/>
    </row>
    <row r="1314" ht="80" customHeight="1">
      <c r="A1314" s="4">
        <f>IMAGE("https://images.lululemon.com/is/image/lululemon/LM5BHYS_068578_1?wid=320&amp;op_usm=0.8",1)</f>
        <v/>
      </c>
      <c r="B1314" s="4" t="inlineStr">
        <is>
          <t>ABC Slim-Fit Fixed-Waist Jogger *Regular</t>
        </is>
      </c>
      <c r="C1314" s="4" t="inlineStr">
        <is>
          <t>158021959</t>
        </is>
      </c>
      <c r="D1314" s="4" t="inlineStr">
        <is>
          <t>158021959-black</t>
        </is>
      </c>
      <c r="E1314" s="4" t="inlineStr">
        <is>
          <t>ABC Slim-Fit Fixed-Waist Jogger *Regular BLK 28</t>
        </is>
      </c>
      <c r="F1314" s="4" t="inlineStr">
        <is>
          <t>$148.00</t>
        </is>
      </c>
      <c r="G1314" s="4" t="inlineStr">
        <is>
          <t>$74.00</t>
        </is>
      </c>
      <c r="H1314" s="4" t="inlineStr">
        <is>
          <t>Black</t>
        </is>
      </c>
      <c r="I1314" s="4">
        <f>IMAGE("https://images.lululemon.com/is/image/lululemon/0001",1)</f>
        <v/>
      </c>
      <c r="J1314" s="4" t="inlineStr">
        <is>
          <t>40</t>
        </is>
      </c>
      <c r="K1314" s="4" t="inlineStr">
        <is>
          <t>14/648</t>
        </is>
      </c>
      <c r="L1314" s="4" t="inlineStr">
        <is>
          <t>Yes</t>
        </is>
      </c>
      <c r="M1314" s="4" t="inlineStr">
        <is>
          <t>Majorly comfortable. Made from stretch fabric with a ventilated gusset for added airflow, these smart fixed-waist golf joggers feel as good as they look.</t>
        </is>
      </c>
      <c r="N1314" s="4" t="inlineStr">
        <is>
          <t>ABC-Slim-Fit-Fixed-Waist-Jogger-Regular</t>
        </is>
      </c>
      <c r="O1314" s="4" t="inlineStr"/>
    </row>
    <row r="1315" ht="80" customHeight="1">
      <c r="A1315" s="7">
        <f>IMAGE("https://images.lululemon.com/is/image/lululemon/LM5BHYS_068578_1?wid=320&amp;op_usm=0.8",1)</f>
        <v/>
      </c>
      <c r="B1315" s="7" t="inlineStr">
        <is>
          <t>ABC Slim-Fit Fixed-Waist Jogger *Regular</t>
        </is>
      </c>
      <c r="C1315" s="7" t="inlineStr">
        <is>
          <t>158021963</t>
        </is>
      </c>
      <c r="D1315" s="7" t="inlineStr">
        <is>
          <t>158021963-clubblue</t>
        </is>
      </c>
      <c r="E1315" s="7" t="inlineStr">
        <is>
          <t>ABC Slim-Fit Fixed-Waist Jogger *Regular BLK 28</t>
        </is>
      </c>
      <c r="F1315" s="7" t="inlineStr">
        <is>
          <t>$148.00</t>
        </is>
      </c>
      <c r="G1315" s="7" t="inlineStr">
        <is>
          <t>$74.00</t>
        </is>
      </c>
      <c r="H1315" s="7" t="inlineStr">
        <is>
          <t>Club Blue</t>
        </is>
      </c>
      <c r="I1315" s="7">
        <f>IMAGE("https://images.lululemon.com/is/image/lululemon/68578",1)</f>
        <v/>
      </c>
      <c r="J1315" s="7" t="inlineStr">
        <is>
          <t>28</t>
        </is>
      </c>
      <c r="K1315" s="7" t="inlineStr">
        <is>
          <t>6/648</t>
        </is>
      </c>
      <c r="L1315" s="7" t="inlineStr">
        <is>
          <t>Yes</t>
        </is>
      </c>
      <c r="M1315" s="7" t="inlineStr">
        <is>
          <t>Majorly comfortable. Made from stretch fabric with a ventilated gusset for added airflow, these smart fixed-waist golf joggers feel as good as they look.</t>
        </is>
      </c>
      <c r="N1315" s="7" t="inlineStr">
        <is>
          <t>ABC-Slim-Fit-Fixed-Waist-Jogger-Regular</t>
        </is>
      </c>
      <c r="O1315" s="7" t="inlineStr"/>
    </row>
    <row r="1316" ht="80" customHeight="1">
      <c r="A1316" s="4">
        <f>IMAGE("https://images.lululemon.com/is/image/lululemon/LM5BHYS_068578_1?wid=320&amp;op_usm=0.8",1)</f>
        <v/>
      </c>
      <c r="B1316" s="4" t="inlineStr">
        <is>
          <t>ABC Slim-Fit Fixed-Waist Jogger *Regular</t>
        </is>
      </c>
      <c r="C1316" s="4" t="inlineStr">
        <is>
          <t>158021970</t>
        </is>
      </c>
      <c r="D1316" s="4" t="inlineStr">
        <is>
          <t>158021970-clubblue</t>
        </is>
      </c>
      <c r="E1316" s="4" t="inlineStr">
        <is>
          <t>ABC Slim-Fit Fixed-Waist Jogger *Regular BLK 28</t>
        </is>
      </c>
      <c r="F1316" s="4" t="inlineStr">
        <is>
          <t>$148.00</t>
        </is>
      </c>
      <c r="G1316" s="4" t="inlineStr">
        <is>
          <t>$74.00</t>
        </is>
      </c>
      <c r="H1316" s="4" t="inlineStr">
        <is>
          <t>Club Blue</t>
        </is>
      </c>
      <c r="I1316" s="4">
        <f>IMAGE("https://images.lululemon.com/is/image/lululemon/68578",1)</f>
        <v/>
      </c>
      <c r="J1316" s="4" t="inlineStr">
        <is>
          <t>30</t>
        </is>
      </c>
      <c r="K1316" s="4" t="inlineStr">
        <is>
          <t>25/648</t>
        </is>
      </c>
      <c r="L1316" s="4" t="inlineStr">
        <is>
          <t>Yes</t>
        </is>
      </c>
      <c r="M1316" s="4" t="inlineStr">
        <is>
          <t>Majorly comfortable. Made from stretch fabric with a ventilated gusset for added airflow, these smart fixed-waist golf joggers feel as good as they look.</t>
        </is>
      </c>
      <c r="N1316" s="4" t="inlineStr">
        <is>
          <t>ABC-Slim-Fit-Fixed-Waist-Jogger-Regular</t>
        </is>
      </c>
      <c r="O1316" s="4" t="inlineStr"/>
    </row>
    <row r="1317" ht="80" customHeight="1">
      <c r="A1317" s="7">
        <f>IMAGE("https://images.lululemon.com/is/image/lululemon/LM5BHYS_068578_1?wid=320&amp;op_usm=0.8",1)</f>
        <v/>
      </c>
      <c r="B1317" s="7" t="inlineStr">
        <is>
          <t>ABC Slim-Fit Fixed-Waist Jogger *Regular</t>
        </is>
      </c>
      <c r="C1317" s="7" t="inlineStr">
        <is>
          <t>158021975</t>
        </is>
      </c>
      <c r="D1317" s="7" t="inlineStr">
        <is>
          <t>158021975-clubblue</t>
        </is>
      </c>
      <c r="E1317" s="7" t="inlineStr">
        <is>
          <t>ABC Slim-Fit Fixed-Waist Jogger *Regular BLK 28</t>
        </is>
      </c>
      <c r="F1317" s="7" t="inlineStr">
        <is>
          <t>$148.00</t>
        </is>
      </c>
      <c r="G1317" s="7" t="inlineStr">
        <is>
          <t>$74.00</t>
        </is>
      </c>
      <c r="H1317" s="7" t="inlineStr">
        <is>
          <t>Club Blue</t>
        </is>
      </c>
      <c r="I1317" s="7">
        <f>IMAGE("https://images.lululemon.com/is/image/lululemon/68578",1)</f>
        <v/>
      </c>
      <c r="J1317" s="7" t="inlineStr">
        <is>
          <t>31</t>
        </is>
      </c>
      <c r="K1317" s="7" t="inlineStr">
        <is>
          <t>17/648</t>
        </is>
      </c>
      <c r="L1317" s="7" t="inlineStr">
        <is>
          <t>Yes</t>
        </is>
      </c>
      <c r="M1317" s="7" t="inlineStr">
        <is>
          <t>Majorly comfortable. Made from stretch fabric with a ventilated gusset for added airflow, these smart fixed-waist golf joggers feel as good as they look.</t>
        </is>
      </c>
      <c r="N1317" s="7" t="inlineStr">
        <is>
          <t>ABC-Slim-Fit-Fixed-Waist-Jogger-Regular</t>
        </is>
      </c>
      <c r="O1317" s="7" t="inlineStr"/>
    </row>
    <row r="1318" ht="80" customHeight="1">
      <c r="A1318" s="4">
        <f>IMAGE("https://images.lululemon.com/is/image/lululemon/LM5BHYS_068578_1?wid=320&amp;op_usm=0.8",1)</f>
        <v/>
      </c>
      <c r="B1318" s="4" t="inlineStr">
        <is>
          <t>ABC Slim-Fit Fixed-Waist Jogger *Regular</t>
        </is>
      </c>
      <c r="C1318" s="4" t="inlineStr">
        <is>
          <t>158021978</t>
        </is>
      </c>
      <c r="D1318" s="4" t="inlineStr">
        <is>
          <t>158021978-clubblue</t>
        </is>
      </c>
      <c r="E1318" s="4" t="inlineStr">
        <is>
          <t>ABC Slim-Fit Fixed-Waist Jogger *Regular BLK 28</t>
        </is>
      </c>
      <c r="F1318" s="4" t="inlineStr">
        <is>
          <t>$148.00</t>
        </is>
      </c>
      <c r="G1318" s="4" t="inlineStr">
        <is>
          <t>$74.00</t>
        </is>
      </c>
      <c r="H1318" s="4" t="inlineStr">
        <is>
          <t>Club Blue</t>
        </is>
      </c>
      <c r="I1318" s="4">
        <f>IMAGE("https://images.lululemon.com/is/image/lululemon/68578",1)</f>
        <v/>
      </c>
      <c r="J1318" s="4" t="inlineStr">
        <is>
          <t>32</t>
        </is>
      </c>
      <c r="K1318" s="4" t="inlineStr">
        <is>
          <t>57/648</t>
        </is>
      </c>
      <c r="L1318" s="4" t="inlineStr">
        <is>
          <t>Yes</t>
        </is>
      </c>
      <c r="M1318" s="4" t="inlineStr">
        <is>
          <t>Majorly comfortable. Made from stretch fabric with a ventilated gusset for added airflow, these smart fixed-waist golf joggers feel as good as they look.</t>
        </is>
      </c>
      <c r="N1318" s="4" t="inlineStr">
        <is>
          <t>ABC-Slim-Fit-Fixed-Waist-Jogger-Regular</t>
        </is>
      </c>
      <c r="O1318" s="4" t="inlineStr"/>
    </row>
    <row r="1319" ht="80" customHeight="1">
      <c r="A1319" s="7">
        <f>IMAGE("https://images.lululemon.com/is/image/lululemon/LM5BHYS_068578_1?wid=320&amp;op_usm=0.8",1)</f>
        <v/>
      </c>
      <c r="B1319" s="7" t="inlineStr">
        <is>
          <t>ABC Slim-Fit Fixed-Waist Jogger *Regular</t>
        </is>
      </c>
      <c r="C1319" s="7" t="inlineStr">
        <is>
          <t>158021982</t>
        </is>
      </c>
      <c r="D1319" s="7" t="inlineStr">
        <is>
          <t>158021982-clubblue</t>
        </is>
      </c>
      <c r="E1319" s="7" t="inlineStr">
        <is>
          <t>ABC Slim-Fit Fixed-Waist Jogger *Regular BLK 28</t>
        </is>
      </c>
      <c r="F1319" s="7" t="inlineStr">
        <is>
          <t>$148.00</t>
        </is>
      </c>
      <c r="G1319" s="7" t="inlineStr">
        <is>
          <t>$74.00</t>
        </is>
      </c>
      <c r="H1319" s="7" t="inlineStr">
        <is>
          <t>Club Blue</t>
        </is>
      </c>
      <c r="I1319" s="7">
        <f>IMAGE("https://images.lululemon.com/is/image/lululemon/68578",1)</f>
        <v/>
      </c>
      <c r="J1319" s="7" t="inlineStr">
        <is>
          <t>33</t>
        </is>
      </c>
      <c r="K1319" s="7" t="inlineStr">
        <is>
          <t>33/648</t>
        </is>
      </c>
      <c r="L1319" s="7" t="inlineStr">
        <is>
          <t>Yes</t>
        </is>
      </c>
      <c r="M1319" s="7" t="inlineStr">
        <is>
          <t>Majorly comfortable. Made from stretch fabric with a ventilated gusset for added airflow, these smart fixed-waist golf joggers feel as good as they look.</t>
        </is>
      </c>
      <c r="N1319" s="7" t="inlineStr">
        <is>
          <t>ABC-Slim-Fit-Fixed-Waist-Jogger-Regular</t>
        </is>
      </c>
      <c r="O1319" s="7" t="inlineStr"/>
    </row>
    <row r="1320" ht="80" customHeight="1">
      <c r="A1320" s="4">
        <f>IMAGE("https://images.lululemon.com/is/image/lululemon/LM5BHYS_068578_1?wid=320&amp;op_usm=0.8",1)</f>
        <v/>
      </c>
      <c r="B1320" s="4" t="inlineStr">
        <is>
          <t>ABC Slim-Fit Fixed-Waist Jogger *Regular</t>
        </is>
      </c>
      <c r="C1320" s="4" t="inlineStr">
        <is>
          <t>158021986</t>
        </is>
      </c>
      <c r="D1320" s="4" t="inlineStr">
        <is>
          <t>158021986-clubblue</t>
        </is>
      </c>
      <c r="E1320" s="4" t="inlineStr">
        <is>
          <t>ABC Slim-Fit Fixed-Waist Jogger *Regular BLK 28</t>
        </is>
      </c>
      <c r="F1320" s="4" t="inlineStr">
        <is>
          <t>$148.00</t>
        </is>
      </c>
      <c r="G1320" s="4" t="inlineStr">
        <is>
          <t>$74.00</t>
        </is>
      </c>
      <c r="H1320" s="4" t="inlineStr">
        <is>
          <t>Club Blue</t>
        </is>
      </c>
      <c r="I1320" s="4">
        <f>IMAGE("https://images.lululemon.com/is/image/lululemon/68578",1)</f>
        <v/>
      </c>
      <c r="J1320" s="4" t="inlineStr">
        <is>
          <t>34</t>
        </is>
      </c>
      <c r="K1320" s="4" t="inlineStr">
        <is>
          <t>70/648</t>
        </is>
      </c>
      <c r="L1320" s="4" t="inlineStr">
        <is>
          <t>Yes</t>
        </is>
      </c>
      <c r="M1320" s="4" t="inlineStr">
        <is>
          <t>Majorly comfortable. Made from stretch fabric with a ventilated gusset for added airflow, these smart fixed-waist golf joggers feel as good as they look.</t>
        </is>
      </c>
      <c r="N1320" s="4" t="inlineStr">
        <is>
          <t>ABC-Slim-Fit-Fixed-Waist-Jogger-Regular</t>
        </is>
      </c>
      <c r="O1320" s="4" t="inlineStr"/>
    </row>
    <row r="1321" ht="80" customHeight="1">
      <c r="A1321" s="7">
        <f>IMAGE("https://images.lululemon.com/is/image/lululemon/LM5BHYS_068578_1?wid=320&amp;op_usm=0.8",1)</f>
        <v/>
      </c>
      <c r="B1321" s="7" t="inlineStr">
        <is>
          <t>ABC Slim-Fit Fixed-Waist Jogger *Regular</t>
        </is>
      </c>
      <c r="C1321" s="7" t="inlineStr">
        <is>
          <t>158021994</t>
        </is>
      </c>
      <c r="D1321" s="7" t="inlineStr">
        <is>
          <t>158021994-clubblue</t>
        </is>
      </c>
      <c r="E1321" s="7" t="inlineStr">
        <is>
          <t>ABC Slim-Fit Fixed-Waist Jogger *Regular BLK 28</t>
        </is>
      </c>
      <c r="F1321" s="7" t="inlineStr">
        <is>
          <t>$148.00</t>
        </is>
      </c>
      <c r="G1321" s="7" t="inlineStr">
        <is>
          <t>$74.00</t>
        </is>
      </c>
      <c r="H1321" s="7" t="inlineStr">
        <is>
          <t>Club Blue</t>
        </is>
      </c>
      <c r="I1321" s="7">
        <f>IMAGE("https://images.lululemon.com/is/image/lululemon/68578",1)</f>
        <v/>
      </c>
      <c r="J1321" s="7" t="inlineStr">
        <is>
          <t>36</t>
        </is>
      </c>
      <c r="K1321" s="7" t="inlineStr">
        <is>
          <t>58/648</t>
        </is>
      </c>
      <c r="L1321" s="7" t="inlineStr">
        <is>
          <t>Yes</t>
        </is>
      </c>
      <c r="M1321" s="7" t="inlineStr">
        <is>
          <t>Majorly comfortable. Made from stretch fabric with a ventilated gusset for added airflow, these smart fixed-waist golf joggers feel as good as they look.</t>
        </is>
      </c>
      <c r="N1321" s="7" t="inlineStr">
        <is>
          <t>ABC-Slim-Fit-Fixed-Waist-Jogger-Regular</t>
        </is>
      </c>
      <c r="O1321" s="7" t="inlineStr"/>
    </row>
    <row r="1322" ht="80" customHeight="1">
      <c r="A1322" s="4">
        <f>IMAGE("https://images.lululemon.com/is/image/lululemon/LM5BHYS_068578_1?wid=320&amp;op_usm=0.8",1)</f>
        <v/>
      </c>
      <c r="B1322" s="4" t="inlineStr">
        <is>
          <t>ABC Slim-Fit Fixed-Waist Jogger *Regular</t>
        </is>
      </c>
      <c r="C1322" s="4" t="inlineStr">
        <is>
          <t>158021997</t>
        </is>
      </c>
      <c r="D1322" s="4" t="inlineStr">
        <is>
          <t>158021997-clubblue</t>
        </is>
      </c>
      <c r="E1322" s="4" t="inlineStr">
        <is>
          <t>ABC Slim-Fit Fixed-Waist Jogger *Regular BLK 28</t>
        </is>
      </c>
      <c r="F1322" s="4" t="inlineStr">
        <is>
          <t>$148.00</t>
        </is>
      </c>
      <c r="G1322" s="4" t="inlineStr">
        <is>
          <t>$74.00</t>
        </is>
      </c>
      <c r="H1322" s="4" t="inlineStr">
        <is>
          <t>Club Blue</t>
        </is>
      </c>
      <c r="I1322" s="4">
        <f>IMAGE("https://images.lululemon.com/is/image/lululemon/68578",1)</f>
        <v/>
      </c>
      <c r="J1322" s="4" t="inlineStr">
        <is>
          <t>38</t>
        </is>
      </c>
      <c r="K1322" s="4" t="inlineStr">
        <is>
          <t>33/648</t>
        </is>
      </c>
      <c r="L1322" s="4" t="inlineStr">
        <is>
          <t>Yes</t>
        </is>
      </c>
      <c r="M1322" s="4" t="inlineStr">
        <is>
          <t>Majorly comfortable. Made from stretch fabric with a ventilated gusset for added airflow, these smart fixed-waist golf joggers feel as good as they look.</t>
        </is>
      </c>
      <c r="N1322" s="4" t="inlineStr">
        <is>
          <t>ABC-Slim-Fit-Fixed-Waist-Jogger-Regular</t>
        </is>
      </c>
      <c r="O1322" s="4" t="inlineStr"/>
    </row>
    <row r="1323" ht="80" customHeight="1">
      <c r="A1323" s="5">
        <f>IMAGE("https://images.lululemon.com/is/image/lululemon/LM5BHYS_068578_1?wid=320&amp;op_usm=0.8",1)</f>
        <v/>
      </c>
      <c r="B1323" s="5" t="inlineStr">
        <is>
          <t>ABC Slim-Fit Fixed-Waist Jogger *Regular</t>
        </is>
      </c>
      <c r="C1323" s="5" t="inlineStr">
        <is>
          <t>158022001</t>
        </is>
      </c>
      <c r="D1323" s="5" t="inlineStr">
        <is>
          <t>158022001-clubblue</t>
        </is>
      </c>
      <c r="E1323" s="5" t="inlineStr">
        <is>
          <t>ABC Slim-Fit Fixed-Waist Jogger *Regular BLK 28</t>
        </is>
      </c>
      <c r="F1323" s="5" t="inlineStr">
        <is>
          <t>$148.00</t>
        </is>
      </c>
      <c r="G1323" s="5" t="inlineStr">
        <is>
          <t>$74.00</t>
        </is>
      </c>
      <c r="H1323" s="5" t="inlineStr">
        <is>
          <t>Club Blue</t>
        </is>
      </c>
      <c r="I1323" s="5">
        <f>IMAGE("https://images.lululemon.com/is/image/lululemon/68578",1)</f>
        <v/>
      </c>
      <c r="J1323" s="5" t="inlineStr">
        <is>
          <t>40</t>
        </is>
      </c>
      <c r="K1323" s="5" t="inlineStr">
        <is>
          <t>13/648</t>
        </is>
      </c>
      <c r="L1323" s="5" t="inlineStr">
        <is>
          <t>Yes</t>
        </is>
      </c>
      <c r="M1323" s="5" t="inlineStr">
        <is>
          <t>Majorly comfortable. Made from stretch fabric with a ventilated gusset for added airflow, these smart fixed-waist golf joggers feel as good as they look.</t>
        </is>
      </c>
      <c r="N1323" s="5" t="inlineStr">
        <is>
          <t>ABC-Slim-Fit-Fixed-Waist-Jogger-Regular</t>
        </is>
      </c>
      <c r="O1323" s="5" t="inlineStr"/>
    </row>
    <row r="1324" ht="80" customHeight="1">
      <c r="A1324" s="6">
        <f>IMAGE("https://images.lululemon.com/is/image/lululemon/LU9BRKS_049106_1?wid=320&amp;op_usm=0.8",1)</f>
        <v/>
      </c>
      <c r="B1324" s="6" t="inlineStr">
        <is>
          <t>3-in-1 Gym Duffle Bag 30L</t>
        </is>
      </c>
      <c r="C1324" s="6" t="inlineStr">
        <is>
          <t>155725295</t>
        </is>
      </c>
      <c r="D1324" s="6" t="inlineStr">
        <is>
          <t>155725295-rainforestgreen</t>
        </is>
      </c>
      <c r="E1324" s="6" t="inlineStr">
        <is>
          <t>Gym Duffle Bag RNFG ONE SIZE</t>
        </is>
      </c>
      <c r="F1324" s="6" t="inlineStr">
        <is>
          <t>$158.00</t>
        </is>
      </c>
      <c r="G1324" s="6" t="inlineStr">
        <is>
          <t>$79.00</t>
        </is>
      </c>
      <c r="H1324" s="6" t="inlineStr">
        <is>
          <t>Rainforest Green</t>
        </is>
      </c>
      <c r="I1324" s="6">
        <f>IMAGE("https://images.lululemon.com/is/image/lululemon/49106",1)</f>
        <v/>
      </c>
      <c r="J1324" s="6" t="inlineStr">
        <is>
          <t>O/S</t>
        </is>
      </c>
      <c r="K1324" s="6" t="inlineStr">
        <is>
          <t>79/79</t>
        </is>
      </c>
      <c r="L1324" s="6" t="inlineStr">
        <is>
          <t>Yes</t>
        </is>
      </c>
      <c r="M1324" s="6" t="inlineStr">
        <is>
          <t>Taking multi-use to the next level. Pack this duffle with sweat essentials and use the removable shoulder strap to carry your yoga mat or as a stretching strap.</t>
        </is>
      </c>
      <c r="N1324" s="6" t="inlineStr">
        <is>
          <t>Gym-Duffle-Bag-30L</t>
        </is>
      </c>
      <c r="O1324" s="6" t="inlineStr">
        <is>
          <t>Duffle Bags</t>
        </is>
      </c>
    </row>
    <row r="1325" ht="80" customHeight="1">
      <c r="A1325" s="7">
        <f>IMAGE("https://images.lululemon.com/is/image/lululemon/LM5AZSS_0001_1?wid=320&amp;op_usm=0.8",1)</f>
        <v/>
      </c>
      <c r="B1325" s="7" t="inlineStr">
        <is>
          <t>Zeroed In Slim-Fit Pant *Regular</t>
        </is>
      </c>
      <c r="C1325" s="7" t="inlineStr">
        <is>
          <t>153845323</t>
        </is>
      </c>
      <c r="D1325" s="7" t="inlineStr">
        <is>
          <t>153845323-black</t>
        </is>
      </c>
      <c r="E1325" s="7" t="inlineStr">
        <is>
          <t>Zeroed In Slim-Fit Pant *Regular BLK S</t>
        </is>
      </c>
      <c r="F1325" s="7" t="inlineStr">
        <is>
          <t>$118.00</t>
        </is>
      </c>
      <c r="G1325" s="7" t="inlineStr">
        <is>
          <t>$59.00</t>
        </is>
      </c>
      <c r="H1325" s="7" t="inlineStr">
        <is>
          <t>Black</t>
        </is>
      </c>
      <c r="I1325" s="7">
        <f>IMAGE("https://images.lululemon.com/is/image/lululemon/0001",1)</f>
        <v/>
      </c>
      <c r="J1325" s="7" t="inlineStr">
        <is>
          <t>S</t>
        </is>
      </c>
      <c r="K1325" s="7" t="inlineStr">
        <is>
          <t>28/308</t>
        </is>
      </c>
      <c r="L1325" s="7" t="inlineStr">
        <is>
          <t>Yes</t>
        </is>
      </c>
      <c r="M1325" s="7" t="inlineStr">
        <is>
          <t>Work out or hang out. These versatile pants are designed to keep up with every way you like to move.</t>
        </is>
      </c>
      <c r="N1325" s="7" t="inlineStr">
        <is>
          <t>Zeroed-In-Slim-Fit-Pant</t>
        </is>
      </c>
      <c r="O1325" s="7" t="inlineStr">
        <is>
          <t>Athletic Pants</t>
        </is>
      </c>
    </row>
    <row r="1326" ht="80" customHeight="1">
      <c r="A1326" s="4">
        <f>IMAGE("https://images.lululemon.com/is/image/lululemon/LM5AZSS_0001_1?wid=320&amp;op_usm=0.8",1)</f>
        <v/>
      </c>
      <c r="B1326" s="4" t="inlineStr">
        <is>
          <t>Zeroed In Slim-Fit Pant *Regular</t>
        </is>
      </c>
      <c r="C1326" s="4" t="inlineStr">
        <is>
          <t>153845318</t>
        </is>
      </c>
      <c r="D1326" s="4" t="inlineStr">
        <is>
          <t>153845318-black</t>
        </is>
      </c>
      <c r="E1326" s="4" t="inlineStr">
        <is>
          <t>Zeroed In Slim-Fit Pant *Regular BLK S</t>
        </is>
      </c>
      <c r="F1326" s="4" t="inlineStr">
        <is>
          <t>$118.00</t>
        </is>
      </c>
      <c r="G1326" s="4" t="inlineStr">
        <is>
          <t>$59.00</t>
        </is>
      </c>
      <c r="H1326" s="4" t="inlineStr">
        <is>
          <t>Black</t>
        </is>
      </c>
      <c r="I1326" s="4">
        <f>IMAGE("https://images.lululemon.com/is/image/lululemon/0001",1)</f>
        <v/>
      </c>
      <c r="J1326" s="4" t="inlineStr">
        <is>
          <t>M</t>
        </is>
      </c>
      <c r="K1326" s="4" t="inlineStr">
        <is>
          <t>84/308</t>
        </is>
      </c>
      <c r="L1326" s="4" t="inlineStr">
        <is>
          <t>Yes</t>
        </is>
      </c>
      <c r="M1326" s="4" t="inlineStr">
        <is>
          <t>Work out or hang out. These versatile pants are designed to keep up with every way you like to move.</t>
        </is>
      </c>
      <c r="N1326" s="4" t="inlineStr">
        <is>
          <t>Zeroed-In-Slim-Fit-Pant</t>
        </is>
      </c>
      <c r="O1326" s="4" t="inlineStr">
        <is>
          <t>Athletic Pants</t>
        </is>
      </c>
    </row>
    <row r="1327" ht="80" customHeight="1">
      <c r="A1327" s="7">
        <f>IMAGE("https://images.lululemon.com/is/image/lululemon/LM5AZSS_0001_1?wid=320&amp;op_usm=0.8",1)</f>
        <v/>
      </c>
      <c r="B1327" s="7" t="inlineStr">
        <is>
          <t>Zeroed In Slim-Fit Pant *Regular</t>
        </is>
      </c>
      <c r="C1327" s="7" t="inlineStr">
        <is>
          <t>153845313</t>
        </is>
      </c>
      <c r="D1327" s="7" t="inlineStr">
        <is>
          <t>153845313-black</t>
        </is>
      </c>
      <c r="E1327" s="7" t="inlineStr">
        <is>
          <t>Zeroed In Slim-Fit Pant *Regular BLK S</t>
        </is>
      </c>
      <c r="F1327" s="7" t="inlineStr">
        <is>
          <t>$118.00</t>
        </is>
      </c>
      <c r="G1327" s="7" t="inlineStr">
        <is>
          <t>$59.00</t>
        </is>
      </c>
      <c r="H1327" s="7" t="inlineStr">
        <is>
          <t>Black</t>
        </is>
      </c>
      <c r="I1327" s="7">
        <f>IMAGE("https://images.lululemon.com/is/image/lululemon/0001",1)</f>
        <v/>
      </c>
      <c r="J1327" s="7" t="inlineStr">
        <is>
          <t>L</t>
        </is>
      </c>
      <c r="K1327" s="7" t="inlineStr">
        <is>
          <t>95/308</t>
        </is>
      </c>
      <c r="L1327" s="7" t="inlineStr">
        <is>
          <t>Yes</t>
        </is>
      </c>
      <c r="M1327" s="7" t="inlineStr">
        <is>
          <t>Work out or hang out. These versatile pants are designed to keep up with every way you like to move.</t>
        </is>
      </c>
      <c r="N1327" s="7" t="inlineStr">
        <is>
          <t>Zeroed-In-Slim-Fit-Pant</t>
        </is>
      </c>
      <c r="O1327" s="7" t="inlineStr">
        <is>
          <t>Athletic Pants</t>
        </is>
      </c>
    </row>
    <row r="1328" ht="80" customHeight="1">
      <c r="A1328" s="4">
        <f>IMAGE("https://images.lululemon.com/is/image/lululemon/LM5AZSS_0001_1?wid=320&amp;op_usm=0.8",1)</f>
        <v/>
      </c>
      <c r="B1328" s="4" t="inlineStr">
        <is>
          <t>Zeroed In Slim-Fit Pant *Regular</t>
        </is>
      </c>
      <c r="C1328" s="4" t="inlineStr">
        <is>
          <t>153845328</t>
        </is>
      </c>
      <c r="D1328" s="4" t="inlineStr">
        <is>
          <t>153845328-black</t>
        </is>
      </c>
      <c r="E1328" s="4" t="inlineStr">
        <is>
          <t>Zeroed In Slim-Fit Pant *Regular BLK S</t>
        </is>
      </c>
      <c r="F1328" s="4" t="inlineStr">
        <is>
          <t>$118.00</t>
        </is>
      </c>
      <c r="G1328" s="4" t="inlineStr">
        <is>
          <t>$59.00</t>
        </is>
      </c>
      <c r="H1328" s="4" t="inlineStr">
        <is>
          <t>Black</t>
        </is>
      </c>
      <c r="I1328" s="4">
        <f>IMAGE("https://images.lululemon.com/is/image/lululemon/0001",1)</f>
        <v/>
      </c>
      <c r="J1328" s="4" t="inlineStr">
        <is>
          <t>XL</t>
        </is>
      </c>
      <c r="K1328" s="4" t="inlineStr">
        <is>
          <t>86/308</t>
        </is>
      </c>
      <c r="L1328" s="4" t="inlineStr">
        <is>
          <t>Yes</t>
        </is>
      </c>
      <c r="M1328" s="4" t="inlineStr">
        <is>
          <t>Work out or hang out. These versatile pants are designed to keep up with every way you like to move.</t>
        </is>
      </c>
      <c r="N1328" s="4" t="inlineStr">
        <is>
          <t>Zeroed-In-Slim-Fit-Pant</t>
        </is>
      </c>
      <c r="O1328" s="4" t="inlineStr">
        <is>
          <t>Athletic Pants</t>
        </is>
      </c>
    </row>
    <row r="1329" ht="80" customHeight="1">
      <c r="A1329" s="5">
        <f>IMAGE("https://images.lululemon.com/is/image/lululemon/LM5AZSS_0001_1?wid=320&amp;op_usm=0.8",1)</f>
        <v/>
      </c>
      <c r="B1329" s="5" t="inlineStr">
        <is>
          <t>Zeroed In Slim-Fit Pant *Regular</t>
        </is>
      </c>
      <c r="C1329" s="5" t="inlineStr">
        <is>
          <t>153845338</t>
        </is>
      </c>
      <c r="D1329" s="5" t="inlineStr">
        <is>
          <t>153845338-black</t>
        </is>
      </c>
      <c r="E1329" s="5" t="inlineStr">
        <is>
          <t>Zeroed In Slim-Fit Pant *Regular BLK S</t>
        </is>
      </c>
      <c r="F1329" s="5" t="inlineStr">
        <is>
          <t>$118.00</t>
        </is>
      </c>
      <c r="G1329" s="5" t="inlineStr">
        <is>
          <t>$59.00</t>
        </is>
      </c>
      <c r="H1329" s="5" t="inlineStr">
        <is>
          <t>Black</t>
        </is>
      </c>
      <c r="I1329" s="5">
        <f>IMAGE("https://images.lululemon.com/is/image/lululemon/0001",1)</f>
        <v/>
      </c>
      <c r="J1329" s="5" t="inlineStr">
        <is>
          <t>XXL</t>
        </is>
      </c>
      <c r="K1329" s="5" t="inlineStr">
        <is>
          <t>15/308</t>
        </is>
      </c>
      <c r="L1329" s="5" t="inlineStr">
        <is>
          <t>Yes</t>
        </is>
      </c>
      <c r="M1329" s="5" t="inlineStr">
        <is>
          <t>Work out or hang out. These versatile pants are designed to keep up with every way you like to move.</t>
        </is>
      </c>
      <c r="N1329" s="5" t="inlineStr">
        <is>
          <t>Zeroed-In-Slim-Fit-Pant</t>
        </is>
      </c>
      <c r="O1329" s="5" t="inlineStr">
        <is>
          <t>Athletic Pants</t>
        </is>
      </c>
    </row>
    <row r="1330" ht="80" customHeight="1">
      <c r="A1330" s="4">
        <f>IMAGE("https://images.lululemon.com/is/image/lululemon/LU9CJ7S_0001_1?wid=320&amp;op_usm=0.8",1)</f>
        <v/>
      </c>
      <c r="B1330" s="4" t="inlineStr">
        <is>
          <t>The Mat 5mm *Made With FSC™ Certified Rubber</t>
        </is>
      </c>
      <c r="C1330" s="4" t="inlineStr">
        <is>
          <t>153151858</t>
        </is>
      </c>
      <c r="D1330" s="4" t="inlineStr">
        <is>
          <t>153151858-black</t>
        </is>
      </c>
      <c r="E1330" s="4" t="inlineStr">
        <is>
          <t>The Mat 5mm BLK ONE SIZE</t>
        </is>
      </c>
      <c r="F1330" s="4" t="inlineStr">
        <is>
          <t>$118.00</t>
        </is>
      </c>
      <c r="G1330" s="4" t="inlineStr">
        <is>
          <t>$59.00</t>
        </is>
      </c>
      <c r="H1330" s="4" t="inlineStr">
        <is>
          <t>Black</t>
        </is>
      </c>
      <c r="I1330" s="4">
        <f>IMAGE("https://images.lululemon.com/is/image/lululemon/0001",1)</f>
        <v/>
      </c>
      <c r="J1330" s="4" t="inlineStr">
        <is>
          <t>O/S</t>
        </is>
      </c>
      <c r="K1330" s="4" t="inlineStr">
        <is>
          <t>1513/3361</t>
        </is>
      </c>
      <c r="L1330" s="4" t="inlineStr">
        <is>
          <t>Yes</t>
        </is>
      </c>
      <c r="M1330" s="4" t="inlineStr">
        <is>
          <t>This mat features a natural rubber base with a little extra cushion to give your body more depth while your mind goes deep.</t>
        </is>
      </c>
      <c r="N1330" s="4" t="inlineStr">
        <is>
          <t>The-Mat-5mm</t>
        </is>
      </c>
      <c r="O1330" s="4" t="inlineStr"/>
    </row>
    <row r="1331" ht="80" customHeight="1">
      <c r="A1331" s="7">
        <f>IMAGE("https://images.lululemon.com/is/image/lululemon/LU9CJ7S_0001_1?wid=320&amp;op_usm=0.8",1)</f>
        <v/>
      </c>
      <c r="B1331" s="7" t="inlineStr">
        <is>
          <t>The Mat 5mm *Made With FSC™ Certified Rubber</t>
        </is>
      </c>
      <c r="C1331" s="7" t="inlineStr">
        <is>
          <t>155725318</t>
        </is>
      </c>
      <c r="D1331" s="7" t="inlineStr">
        <is>
          <t>155725318-pinkhaze/decopink/pinkorganza/cherrylemonade/decopink</t>
        </is>
      </c>
      <c r="E1331" s="7" t="inlineStr">
        <is>
          <t>The Mat 5mm BLK ONE SIZE</t>
        </is>
      </c>
      <c r="F1331" s="7" t="inlineStr">
        <is>
          <t>$118.00</t>
        </is>
      </c>
      <c r="G1331" s="7" t="inlineStr">
        <is>
          <t>$59.00</t>
        </is>
      </c>
      <c r="H1331" s="7" t="inlineStr">
        <is>
          <t>Pink Haze/Deco Pink/Pink Organza/Cherry Lemonade/Deco Pink</t>
        </is>
      </c>
      <c r="I1331" s="7">
        <f>IMAGE("https://images.lululemon.com/is/image/lululemon/69286",1)</f>
        <v/>
      </c>
      <c r="J1331" s="7" t="inlineStr">
        <is>
          <t>O/S</t>
        </is>
      </c>
      <c r="K1331" s="7" t="inlineStr">
        <is>
          <t>521/3361</t>
        </is>
      </c>
      <c r="L1331" s="7" t="inlineStr">
        <is>
          <t>Yes</t>
        </is>
      </c>
      <c r="M1331" s="7" t="inlineStr">
        <is>
          <t>This mat features a natural rubber base with a little extra cushion to give your body more depth while your mind goes deep.</t>
        </is>
      </c>
      <c r="N1331" s="7" t="inlineStr">
        <is>
          <t>The-Mat-5mm</t>
        </is>
      </c>
      <c r="O1331" s="7" t="inlineStr"/>
    </row>
    <row r="1332" ht="80" customHeight="1">
      <c r="A1332" s="4">
        <f>IMAGE("https://images.lululemon.com/is/image/lululemon/LU9CJ7S_0001_1?wid=320&amp;op_usm=0.8",1)</f>
        <v/>
      </c>
      <c r="B1332" s="4" t="inlineStr">
        <is>
          <t>The Mat 5mm *Made With FSC™ Certified Rubber</t>
        </is>
      </c>
      <c r="C1332" s="4" t="inlineStr">
        <is>
          <t>155779393</t>
        </is>
      </c>
      <c r="D1332" s="4" t="inlineStr">
        <is>
          <t>155779393-chambray/washeddenim/starchblue/white/chambray</t>
        </is>
      </c>
      <c r="E1332" s="4" t="inlineStr">
        <is>
          <t>The Mat 5mm BLK ONE SIZE</t>
        </is>
      </c>
      <c r="F1332" s="4" t="inlineStr">
        <is>
          <t>$118.00</t>
        </is>
      </c>
      <c r="G1332" s="4" t="inlineStr">
        <is>
          <t>$59.00</t>
        </is>
      </c>
      <c r="H1332" s="4" t="inlineStr">
        <is>
          <t>Chambray/Washed Denim/Starch Blue/White/Chambray</t>
        </is>
      </c>
      <c r="I1332" s="4">
        <f>IMAGE("https://images.lululemon.com/is/image/lululemon/69285",1)</f>
        <v/>
      </c>
      <c r="J1332" s="4" t="inlineStr">
        <is>
          <t>O/S</t>
        </is>
      </c>
      <c r="K1332" s="4" t="inlineStr">
        <is>
          <t>268/3361</t>
        </is>
      </c>
      <c r="L1332" s="4" t="inlineStr">
        <is>
          <t>Yes</t>
        </is>
      </c>
      <c r="M1332" s="4" t="inlineStr">
        <is>
          <t>This mat features a natural rubber base with a little extra cushion to give your body more depth while your mind goes deep.</t>
        </is>
      </c>
      <c r="N1332" s="4" t="inlineStr">
        <is>
          <t>The-Mat-5mm</t>
        </is>
      </c>
      <c r="O1332" s="4" t="inlineStr"/>
    </row>
    <row r="1333" ht="80" customHeight="1">
      <c r="A1333" s="5">
        <f>IMAGE("https://images.lululemon.com/is/image/lululemon/LU9CJ7S_0001_1?wid=320&amp;op_usm=0.8",1)</f>
        <v/>
      </c>
      <c r="B1333" s="5" t="inlineStr">
        <is>
          <t>The Mat 5mm *Made With FSC™ Certified Rubber</t>
        </is>
      </c>
      <c r="C1333" s="5" t="inlineStr">
        <is>
          <t>157868465</t>
        </is>
      </c>
      <c r="D1333" s="5" t="inlineStr">
        <is>
          <t>157868465-sweetvelvet/plum/faintlavender/white/sweetvelvet</t>
        </is>
      </c>
      <c r="E1333" s="5" t="inlineStr">
        <is>
          <t>The Mat 5mm BLK ONE SIZE</t>
        </is>
      </c>
      <c r="F1333" s="5" t="inlineStr">
        <is>
          <t>$118.00</t>
        </is>
      </c>
      <c r="G1333" s="5" t="inlineStr">
        <is>
          <t>$59.00</t>
        </is>
      </c>
      <c r="H1333" s="5" t="inlineStr">
        <is>
          <t>Sweet Velvet/Plum/Faint Lavender/White/Sweet Velvet</t>
        </is>
      </c>
      <c r="I1333" s="5">
        <f>IMAGE("https://images.lululemon.com/is/image/lululemon/73781",1)</f>
        <v/>
      </c>
      <c r="J1333" s="5" t="inlineStr">
        <is>
          <t>O/S</t>
        </is>
      </c>
      <c r="K1333" s="5" t="inlineStr">
        <is>
          <t>1059/3361</t>
        </is>
      </c>
      <c r="L1333" s="5" t="inlineStr">
        <is>
          <t>Yes</t>
        </is>
      </c>
      <c r="M1333" s="5" t="inlineStr">
        <is>
          <t>This mat features a natural rubber base with a little extra cushion to give your body more depth while your mind goes deep.</t>
        </is>
      </c>
      <c r="N1333" s="5" t="inlineStr">
        <is>
          <t>The-Mat-5mm</t>
        </is>
      </c>
      <c r="O1333" s="5" t="inlineStr"/>
    </row>
    <row r="1334" ht="80" customHeight="1">
      <c r="A1334" s="4">
        <f>IMAGE("https://images.lululemon.com/is/image/lululemon/LM5AQLT_032476_1?wid=320&amp;op_usm=0.8",1)</f>
        <v/>
      </c>
      <c r="B1334" s="4" t="inlineStr">
        <is>
          <t>ABC Jogger Warpstreme *Tall</t>
        </is>
      </c>
      <c r="C1334" s="4" t="inlineStr">
        <is>
          <t>147200365</t>
        </is>
      </c>
      <c r="D1334" s="4" t="inlineStr">
        <is>
          <t>147200365-obsidian</t>
        </is>
      </c>
      <c r="E1334" s="4" t="inlineStr">
        <is>
          <t>ABC Jogger *Tall OBSI S</t>
        </is>
      </c>
      <c r="F1334" s="4" t="inlineStr">
        <is>
          <t>$128.00</t>
        </is>
      </c>
      <c r="G1334" s="4" t="inlineStr">
        <is>
          <t>$64.00</t>
        </is>
      </c>
      <c r="H1334" s="4" t="inlineStr">
        <is>
          <t>Obsidian</t>
        </is>
      </c>
      <c r="I1334" s="4">
        <f>IMAGE("https://images.lululemon.com/is/image/lululemon/32476",1)</f>
        <v/>
      </c>
      <c r="J1334" s="4" t="inlineStr">
        <is>
          <t>S</t>
        </is>
      </c>
      <c r="K1334" s="4" t="inlineStr">
        <is>
          <t>76/1240</t>
        </is>
      </c>
      <c r="L1334" s="4" t="inlineStr">
        <is>
          <t>Yes</t>
        </is>
      </c>
      <c r="M1334" s="4" t="inlineStr">
        <is>
          <t>These sleek joggers feature our ABC™ technology, making them an obvious choice for recreation or travel.</t>
        </is>
      </c>
      <c r="N1334" s="4" t="inlineStr">
        <is>
          <t>ABC-Jogger-Tall</t>
        </is>
      </c>
      <c r="O1334" s="4" t="inlineStr"/>
    </row>
    <row r="1335" ht="80" customHeight="1">
      <c r="A1335" s="7">
        <f>IMAGE("https://images.lululemon.com/is/image/lululemon/LM5AQLT_032476_1?wid=320&amp;op_usm=0.8",1)</f>
        <v/>
      </c>
      <c r="B1335" s="7" t="inlineStr">
        <is>
          <t>ABC Jogger Warpstreme *Tall</t>
        </is>
      </c>
      <c r="C1335" s="7" t="inlineStr">
        <is>
          <t>147200364</t>
        </is>
      </c>
      <c r="D1335" s="7" t="inlineStr">
        <is>
          <t>147200364-obsidian</t>
        </is>
      </c>
      <c r="E1335" s="7" t="inlineStr">
        <is>
          <t>ABC Jogger *Tall OBSI S</t>
        </is>
      </c>
      <c r="F1335" s="7" t="inlineStr">
        <is>
          <t>$128.00</t>
        </is>
      </c>
      <c r="G1335" s="7" t="inlineStr">
        <is>
          <t>$64.00</t>
        </is>
      </c>
      <c r="H1335" s="7" t="inlineStr">
        <is>
          <t>Obsidian</t>
        </is>
      </c>
      <c r="I1335" s="7">
        <f>IMAGE("https://images.lululemon.com/is/image/lululemon/32476",1)</f>
        <v/>
      </c>
      <c r="J1335" s="7" t="inlineStr">
        <is>
          <t>M</t>
        </is>
      </c>
      <c r="K1335" s="7" t="inlineStr">
        <is>
          <t>166/1240</t>
        </is>
      </c>
      <c r="L1335" s="7" t="inlineStr">
        <is>
          <t>Yes</t>
        </is>
      </c>
      <c r="M1335" s="7" t="inlineStr">
        <is>
          <t>These sleek joggers feature our ABC™ technology, making them an obvious choice for recreation or travel.</t>
        </is>
      </c>
      <c r="N1335" s="7" t="inlineStr">
        <is>
          <t>ABC-Jogger-Tall</t>
        </is>
      </c>
      <c r="O1335" s="7" t="inlineStr"/>
    </row>
    <row r="1336" ht="80" customHeight="1">
      <c r="A1336" s="4">
        <f>IMAGE("https://images.lululemon.com/is/image/lululemon/LM5AQLT_032476_1?wid=320&amp;op_usm=0.8",1)</f>
        <v/>
      </c>
      <c r="B1336" s="4" t="inlineStr">
        <is>
          <t>ABC Jogger Warpstreme *Tall</t>
        </is>
      </c>
      <c r="C1336" s="4" t="inlineStr">
        <is>
          <t>147200362</t>
        </is>
      </c>
      <c r="D1336" s="4" t="inlineStr">
        <is>
          <t>147200362-obsidian</t>
        </is>
      </c>
      <c r="E1336" s="4" t="inlineStr">
        <is>
          <t>ABC Jogger *Tall OBSI S</t>
        </is>
      </c>
      <c r="F1336" s="4" t="inlineStr">
        <is>
          <t>$128.00</t>
        </is>
      </c>
      <c r="G1336" s="4" t="inlineStr">
        <is>
          <t>$64.00</t>
        </is>
      </c>
      <c r="H1336" s="4" t="inlineStr">
        <is>
          <t>Obsidian</t>
        </is>
      </c>
      <c r="I1336" s="4">
        <f>IMAGE("https://images.lululemon.com/is/image/lululemon/32476",1)</f>
        <v/>
      </c>
      <c r="J1336" s="4" t="inlineStr">
        <is>
          <t>L</t>
        </is>
      </c>
      <c r="K1336" s="4" t="inlineStr">
        <is>
          <t>225/1240</t>
        </is>
      </c>
      <c r="L1336" s="4" t="inlineStr">
        <is>
          <t>Yes</t>
        </is>
      </c>
      <c r="M1336" s="4" t="inlineStr">
        <is>
          <t>These sleek joggers feature our ABC™ technology, making them an obvious choice for recreation or travel.</t>
        </is>
      </c>
      <c r="N1336" s="4" t="inlineStr">
        <is>
          <t>ABC-Jogger-Tall</t>
        </is>
      </c>
      <c r="O1336" s="4" t="inlineStr"/>
    </row>
    <row r="1337" ht="80" customHeight="1">
      <c r="A1337" s="7">
        <f>IMAGE("https://images.lululemon.com/is/image/lululemon/LM5AQLT_032476_1?wid=320&amp;op_usm=0.8",1)</f>
        <v/>
      </c>
      <c r="B1337" s="7" t="inlineStr">
        <is>
          <t>ABC Jogger Warpstreme *Tall</t>
        </is>
      </c>
      <c r="C1337" s="7" t="inlineStr">
        <is>
          <t>147200367</t>
        </is>
      </c>
      <c r="D1337" s="7" t="inlineStr">
        <is>
          <t>147200367-obsidian</t>
        </is>
      </c>
      <c r="E1337" s="7" t="inlineStr">
        <is>
          <t>ABC Jogger *Tall OBSI S</t>
        </is>
      </c>
      <c r="F1337" s="7" t="inlineStr">
        <is>
          <t>$128.00</t>
        </is>
      </c>
      <c r="G1337" s="7" t="inlineStr">
        <is>
          <t>$64.00</t>
        </is>
      </c>
      <c r="H1337" s="7" t="inlineStr">
        <is>
          <t>Obsidian</t>
        </is>
      </c>
      <c r="I1337" s="7">
        <f>IMAGE("https://images.lululemon.com/is/image/lululemon/32476",1)</f>
        <v/>
      </c>
      <c r="J1337" s="7" t="inlineStr">
        <is>
          <t>XL</t>
        </is>
      </c>
      <c r="K1337" s="7" t="inlineStr">
        <is>
          <t>82/1240</t>
        </is>
      </c>
      <c r="L1337" s="7" t="inlineStr">
        <is>
          <t>Yes</t>
        </is>
      </c>
      <c r="M1337" s="7" t="inlineStr">
        <is>
          <t>These sleek joggers feature our ABC™ technology, making them an obvious choice for recreation or travel.</t>
        </is>
      </c>
      <c r="N1337" s="7" t="inlineStr">
        <is>
          <t>ABC-Jogger-Tall</t>
        </is>
      </c>
      <c r="O1337" s="7" t="inlineStr"/>
    </row>
    <row r="1338" ht="80" customHeight="1">
      <c r="A1338" s="4">
        <f>IMAGE("https://images.lululemon.com/is/image/lululemon/LM5AQLT_032476_1?wid=320&amp;op_usm=0.8",1)</f>
        <v/>
      </c>
      <c r="B1338" s="4" t="inlineStr">
        <is>
          <t>ABC Jogger Warpstreme *Tall</t>
        </is>
      </c>
      <c r="C1338" s="4" t="inlineStr">
        <is>
          <t>147200371</t>
        </is>
      </c>
      <c r="D1338" s="4" t="inlineStr">
        <is>
          <t>147200371-obsidian</t>
        </is>
      </c>
      <c r="E1338" s="4" t="inlineStr">
        <is>
          <t>ABC Jogger *Tall OBSI S</t>
        </is>
      </c>
      <c r="F1338" s="4" t="inlineStr">
        <is>
          <t>$128.00</t>
        </is>
      </c>
      <c r="G1338" s="4" t="inlineStr">
        <is>
          <t>$64.00</t>
        </is>
      </c>
      <c r="H1338" s="4" t="inlineStr">
        <is>
          <t>Obsidian</t>
        </is>
      </c>
      <c r="I1338" s="4">
        <f>IMAGE("https://images.lululemon.com/is/image/lululemon/32476",1)</f>
        <v/>
      </c>
      <c r="J1338" s="4" t="inlineStr">
        <is>
          <t>XXL</t>
        </is>
      </c>
      <c r="K1338" s="4" t="inlineStr">
        <is>
          <t>57/1240</t>
        </is>
      </c>
      <c r="L1338" s="4" t="inlineStr">
        <is>
          <t>Yes</t>
        </is>
      </c>
      <c r="M1338" s="4" t="inlineStr">
        <is>
          <t>These sleek joggers feature our ABC™ technology, making them an obvious choice for recreation or travel.</t>
        </is>
      </c>
      <c r="N1338" s="4" t="inlineStr">
        <is>
          <t>ABC-Jogger-Tall</t>
        </is>
      </c>
      <c r="O1338" s="4" t="inlineStr"/>
    </row>
    <row r="1339" ht="80" customHeight="1">
      <c r="A1339" s="7">
        <f>IMAGE("https://images.lululemon.com/is/image/lululemon/LM5AQLT_032476_1?wid=320&amp;op_usm=0.8",1)</f>
        <v/>
      </c>
      <c r="B1339" s="7" t="inlineStr">
        <is>
          <t>ABC Jogger Warpstreme *Tall</t>
        </is>
      </c>
      <c r="C1339" s="7" t="inlineStr">
        <is>
          <t>146375393</t>
        </is>
      </c>
      <c r="D1339" s="7" t="inlineStr">
        <is>
          <t>146375393-silverdrop</t>
        </is>
      </c>
      <c r="E1339" s="7" t="inlineStr">
        <is>
          <t>ABC Jogger *Tall OBSI S</t>
        </is>
      </c>
      <c r="F1339" s="7" t="inlineStr">
        <is>
          <t>$128.00</t>
        </is>
      </c>
      <c r="G1339" s="7" t="inlineStr">
        <is>
          <t>$64.00</t>
        </is>
      </c>
      <c r="H1339" s="7" t="inlineStr">
        <is>
          <t>Silver Drop</t>
        </is>
      </c>
      <c r="I1339" s="7">
        <f>IMAGE("https://images.lululemon.com/is/image/lululemon/33928",1)</f>
        <v/>
      </c>
      <c r="J1339" s="7" t="inlineStr">
        <is>
          <t>S</t>
        </is>
      </c>
      <c r="K1339" s="7" t="inlineStr">
        <is>
          <t>13/1240</t>
        </is>
      </c>
      <c r="L1339" s="7" t="inlineStr">
        <is>
          <t>Yes</t>
        </is>
      </c>
      <c r="M1339" s="7" t="inlineStr">
        <is>
          <t>These sleek joggers feature our ABC™ technology, making them an obvious choice for recreation or travel.</t>
        </is>
      </c>
      <c r="N1339" s="7" t="inlineStr">
        <is>
          <t>ABC-Jogger-Tall</t>
        </is>
      </c>
      <c r="O1339" s="7" t="inlineStr"/>
    </row>
    <row r="1340" ht="80" customHeight="1">
      <c r="A1340" s="4">
        <f>IMAGE("https://images.lululemon.com/is/image/lululemon/LM5AQLT_032476_1?wid=320&amp;op_usm=0.8",1)</f>
        <v/>
      </c>
      <c r="B1340" s="4" t="inlineStr">
        <is>
          <t>ABC Jogger Warpstreme *Tall</t>
        </is>
      </c>
      <c r="C1340" s="4" t="inlineStr">
        <is>
          <t>147200335</t>
        </is>
      </c>
      <c r="D1340" s="4" t="inlineStr">
        <is>
          <t>147200335-black</t>
        </is>
      </c>
      <c r="E1340" s="4" t="inlineStr">
        <is>
          <t>ABC Jogger *Tall OBSI S</t>
        </is>
      </c>
      <c r="F1340" s="4" t="inlineStr">
        <is>
          <t>$128.00</t>
        </is>
      </c>
      <c r="G1340" s="4" t="inlineStr">
        <is>
          <t>$64.00</t>
        </is>
      </c>
      <c r="H1340" s="4" t="inlineStr">
        <is>
          <t>Black</t>
        </is>
      </c>
      <c r="I1340" s="4">
        <f>IMAGE("https://images.lululemon.com/is/image/lululemon/0001",1)</f>
        <v/>
      </c>
      <c r="J1340" s="4" t="inlineStr">
        <is>
          <t>S</t>
        </is>
      </c>
      <c r="K1340" s="4" t="inlineStr">
        <is>
          <t>44/1240</t>
        </is>
      </c>
      <c r="L1340" s="4" t="inlineStr">
        <is>
          <t>Yes</t>
        </is>
      </c>
      <c r="M1340" s="4" t="inlineStr">
        <is>
          <t>These sleek joggers feature our ABC™ technology, making them an obvious choice for recreation or travel.</t>
        </is>
      </c>
      <c r="N1340" s="4" t="inlineStr">
        <is>
          <t>ABC-Jogger-Tall</t>
        </is>
      </c>
      <c r="O1340" s="4" t="inlineStr"/>
    </row>
    <row r="1341" ht="80" customHeight="1">
      <c r="A1341" s="7">
        <f>IMAGE("https://images.lululemon.com/is/image/lululemon/LM5AQLT_032476_1?wid=320&amp;op_usm=0.8",1)</f>
        <v/>
      </c>
      <c r="B1341" s="7" t="inlineStr">
        <is>
          <t>ABC Jogger Warpstreme *Tall</t>
        </is>
      </c>
      <c r="C1341" s="7" t="inlineStr">
        <is>
          <t>147200334</t>
        </is>
      </c>
      <c r="D1341" s="7" t="inlineStr">
        <is>
          <t>147200334-black</t>
        </is>
      </c>
      <c r="E1341" s="7" t="inlineStr">
        <is>
          <t>ABC Jogger *Tall OBSI S</t>
        </is>
      </c>
      <c r="F1341" s="7" t="inlineStr">
        <is>
          <t>$128.00</t>
        </is>
      </c>
      <c r="G1341" s="7" t="inlineStr">
        <is>
          <t>$64.00</t>
        </is>
      </c>
      <c r="H1341" s="7" t="inlineStr">
        <is>
          <t>Black</t>
        </is>
      </c>
      <c r="I1341" s="7">
        <f>IMAGE("https://images.lululemon.com/is/image/lululemon/0001",1)</f>
        <v/>
      </c>
      <c r="J1341" s="7" t="inlineStr">
        <is>
          <t>M</t>
        </is>
      </c>
      <c r="K1341" s="7" t="inlineStr">
        <is>
          <t>154/1240</t>
        </is>
      </c>
      <c r="L1341" s="7" t="inlineStr">
        <is>
          <t>Yes</t>
        </is>
      </c>
      <c r="M1341" s="7" t="inlineStr">
        <is>
          <t>These sleek joggers feature our ABC™ technology, making them an obvious choice for recreation or travel.</t>
        </is>
      </c>
      <c r="N1341" s="7" t="inlineStr">
        <is>
          <t>ABC-Jogger-Tall</t>
        </is>
      </c>
      <c r="O1341" s="7" t="inlineStr"/>
    </row>
    <row r="1342" ht="80" customHeight="1">
      <c r="A1342" s="4">
        <f>IMAGE("https://images.lululemon.com/is/image/lululemon/LM5AQLT_032476_1?wid=320&amp;op_usm=0.8",1)</f>
        <v/>
      </c>
      <c r="B1342" s="4" t="inlineStr">
        <is>
          <t>ABC Jogger Warpstreme *Tall</t>
        </is>
      </c>
      <c r="C1342" s="4" t="inlineStr">
        <is>
          <t>147200333</t>
        </is>
      </c>
      <c r="D1342" s="4" t="inlineStr">
        <is>
          <t>147200333-black</t>
        </is>
      </c>
      <c r="E1342" s="4" t="inlineStr">
        <is>
          <t>ABC Jogger *Tall OBSI S</t>
        </is>
      </c>
      <c r="F1342" s="4" t="inlineStr">
        <is>
          <t>$128.00</t>
        </is>
      </c>
      <c r="G1342" s="4" t="inlineStr">
        <is>
          <t>$64.00</t>
        </is>
      </c>
      <c r="H1342" s="4" t="inlineStr">
        <is>
          <t>Black</t>
        </is>
      </c>
      <c r="I1342" s="4">
        <f>IMAGE("https://images.lululemon.com/is/image/lululemon/0001",1)</f>
        <v/>
      </c>
      <c r="J1342" s="4" t="inlineStr">
        <is>
          <t>L</t>
        </is>
      </c>
      <c r="K1342" s="4" t="inlineStr">
        <is>
          <t>129/1240</t>
        </is>
      </c>
      <c r="L1342" s="4" t="inlineStr">
        <is>
          <t>Yes</t>
        </is>
      </c>
      <c r="M1342" s="4" t="inlineStr">
        <is>
          <t>These sleek joggers feature our ABC™ technology, making them an obvious choice for recreation or travel.</t>
        </is>
      </c>
      <c r="N1342" s="4" t="inlineStr">
        <is>
          <t>ABC-Jogger-Tall</t>
        </is>
      </c>
      <c r="O1342" s="4" t="inlineStr"/>
    </row>
    <row r="1343" ht="80" customHeight="1">
      <c r="A1343" s="7">
        <f>IMAGE("https://images.lululemon.com/is/image/lululemon/LM5AQLT_032476_1?wid=320&amp;op_usm=0.8",1)</f>
        <v/>
      </c>
      <c r="B1343" s="7" t="inlineStr">
        <is>
          <t>ABC Jogger Warpstreme *Tall</t>
        </is>
      </c>
      <c r="C1343" s="7" t="inlineStr">
        <is>
          <t>147200337</t>
        </is>
      </c>
      <c r="D1343" s="7" t="inlineStr">
        <is>
          <t>147200337-black</t>
        </is>
      </c>
      <c r="E1343" s="7" t="inlineStr">
        <is>
          <t>ABC Jogger *Tall OBSI S</t>
        </is>
      </c>
      <c r="F1343" s="7" t="inlineStr">
        <is>
          <t>$128.00</t>
        </is>
      </c>
      <c r="G1343" s="7" t="inlineStr">
        <is>
          <t>$64.00</t>
        </is>
      </c>
      <c r="H1343" s="7" t="inlineStr">
        <is>
          <t>Black</t>
        </is>
      </c>
      <c r="I1343" s="7">
        <f>IMAGE("https://images.lululemon.com/is/image/lululemon/0001",1)</f>
        <v/>
      </c>
      <c r="J1343" s="7" t="inlineStr">
        <is>
          <t>XL</t>
        </is>
      </c>
      <c r="K1343" s="7" t="inlineStr">
        <is>
          <t>132/1240</t>
        </is>
      </c>
      <c r="L1343" s="7" t="inlineStr">
        <is>
          <t>Yes</t>
        </is>
      </c>
      <c r="M1343" s="7" t="inlineStr">
        <is>
          <t>These sleek joggers feature our ABC™ technology, making them an obvious choice for recreation or travel.</t>
        </is>
      </c>
      <c r="N1343" s="7" t="inlineStr">
        <is>
          <t>ABC-Jogger-Tall</t>
        </is>
      </c>
      <c r="O1343" s="7" t="inlineStr"/>
    </row>
    <row r="1344" ht="80" customHeight="1">
      <c r="A1344" s="4">
        <f>IMAGE("https://images.lululemon.com/is/image/lululemon/LM5AQLT_032476_1?wid=320&amp;op_usm=0.8",1)</f>
        <v/>
      </c>
      <c r="B1344" s="4" t="inlineStr">
        <is>
          <t>ABC Jogger Warpstreme *Tall</t>
        </is>
      </c>
      <c r="C1344" s="4" t="inlineStr">
        <is>
          <t>147200340</t>
        </is>
      </c>
      <c r="D1344" s="4" t="inlineStr">
        <is>
          <t>147200340-black</t>
        </is>
      </c>
      <c r="E1344" s="4" t="inlineStr">
        <is>
          <t>ABC Jogger *Tall OBSI S</t>
        </is>
      </c>
      <c r="F1344" s="4" t="inlineStr">
        <is>
          <t>$128.00</t>
        </is>
      </c>
      <c r="G1344" s="4" t="inlineStr">
        <is>
          <t>$64.00</t>
        </is>
      </c>
      <c r="H1344" s="4" t="inlineStr">
        <is>
          <t>Black</t>
        </is>
      </c>
      <c r="I1344" s="4">
        <f>IMAGE("https://images.lululemon.com/is/image/lululemon/0001",1)</f>
        <v/>
      </c>
      <c r="J1344" s="4" t="inlineStr">
        <is>
          <t>XXL</t>
        </is>
      </c>
      <c r="K1344" s="4" t="inlineStr">
        <is>
          <t>86/1240</t>
        </is>
      </c>
      <c r="L1344" s="4" t="inlineStr">
        <is>
          <t>Yes</t>
        </is>
      </c>
      <c r="M1344" s="4" t="inlineStr">
        <is>
          <t>These sleek joggers feature our ABC™ technology, making them an obvious choice for recreation or travel.</t>
        </is>
      </c>
      <c r="N1344" s="4" t="inlineStr">
        <is>
          <t>ABC-Jogger-Tall</t>
        </is>
      </c>
      <c r="O1344" s="4" t="inlineStr"/>
    </row>
    <row r="1345" ht="80" customHeight="1">
      <c r="A1345" s="7">
        <f>IMAGE("https://images.lululemon.com/is/image/lululemon/LM5AQLT_032476_1?wid=320&amp;op_usm=0.8",1)</f>
        <v/>
      </c>
      <c r="B1345" s="7" t="inlineStr">
        <is>
          <t>ABC Jogger Warpstreme *Tall</t>
        </is>
      </c>
      <c r="C1345" s="7" t="inlineStr">
        <is>
          <t>146375246</t>
        </is>
      </c>
      <c r="D1345" s="7" t="inlineStr">
        <is>
          <t>146375246-truenavy</t>
        </is>
      </c>
      <c r="E1345" s="7" t="inlineStr">
        <is>
          <t>ABC Jogger *Tall OBSI S</t>
        </is>
      </c>
      <c r="F1345" s="7" t="inlineStr">
        <is>
          <t>$128.00</t>
        </is>
      </c>
      <c r="G1345" s="7" t="inlineStr">
        <is>
          <t>$64.00</t>
        </is>
      </c>
      <c r="H1345" s="7" t="inlineStr">
        <is>
          <t>True Navy</t>
        </is>
      </c>
      <c r="I1345" s="7">
        <f>IMAGE("https://images.lululemon.com/is/image/lululemon/31382",1)</f>
        <v/>
      </c>
      <c r="J1345" s="7" t="inlineStr">
        <is>
          <t>S</t>
        </is>
      </c>
      <c r="K1345" s="7" t="inlineStr">
        <is>
          <t>6/1240</t>
        </is>
      </c>
      <c r="L1345" s="7" t="inlineStr">
        <is>
          <t>Yes</t>
        </is>
      </c>
      <c r="M1345" s="7" t="inlineStr">
        <is>
          <t>These sleek joggers feature our ABC™ technology, making them an obvious choice for recreation or travel.</t>
        </is>
      </c>
      <c r="N1345" s="7" t="inlineStr">
        <is>
          <t>ABC-Jogger-Tall</t>
        </is>
      </c>
      <c r="O1345" s="7" t="inlineStr"/>
    </row>
    <row r="1346" ht="80" customHeight="1">
      <c r="A1346" s="4">
        <f>IMAGE("https://images.lululemon.com/is/image/lululemon/LM5AQLT_032476_1?wid=320&amp;op_usm=0.8",1)</f>
        <v/>
      </c>
      <c r="B1346" s="4" t="inlineStr">
        <is>
          <t>ABC Jogger Warpstreme *Tall</t>
        </is>
      </c>
      <c r="C1346" s="4" t="inlineStr">
        <is>
          <t>146375239</t>
        </is>
      </c>
      <c r="D1346" s="4" t="inlineStr">
        <is>
          <t>146375239-truenavy</t>
        </is>
      </c>
      <c r="E1346" s="4" t="inlineStr">
        <is>
          <t>ABC Jogger *Tall OBSI S</t>
        </is>
      </c>
      <c r="F1346" s="4" t="inlineStr">
        <is>
          <t>$128.00</t>
        </is>
      </c>
      <c r="G1346" s="4" t="inlineStr">
        <is>
          <t>$64.00</t>
        </is>
      </c>
      <c r="H1346" s="4" t="inlineStr">
        <is>
          <t>True Navy</t>
        </is>
      </c>
      <c r="I1346" s="4">
        <f>IMAGE("https://images.lululemon.com/is/image/lululemon/31382",1)</f>
        <v/>
      </c>
      <c r="J1346" s="4" t="inlineStr">
        <is>
          <t>M</t>
        </is>
      </c>
      <c r="K1346" s="4" t="inlineStr">
        <is>
          <t>32/1240</t>
        </is>
      </c>
      <c r="L1346" s="4" t="inlineStr">
        <is>
          <t>Yes</t>
        </is>
      </c>
      <c r="M1346" s="4" t="inlineStr">
        <is>
          <t>These sleek joggers feature our ABC™ technology, making them an obvious choice for recreation or travel.</t>
        </is>
      </c>
      <c r="N1346" s="4" t="inlineStr">
        <is>
          <t>ABC-Jogger-Tall</t>
        </is>
      </c>
      <c r="O1346" s="4" t="inlineStr"/>
    </row>
    <row r="1347" ht="80" customHeight="1">
      <c r="A1347" s="7">
        <f>IMAGE("https://images.lululemon.com/is/image/lululemon/LM5AQLT_032476_1?wid=320&amp;op_usm=0.8",1)</f>
        <v/>
      </c>
      <c r="B1347" s="7" t="inlineStr">
        <is>
          <t>ABC Jogger Warpstreme *Tall</t>
        </is>
      </c>
      <c r="C1347" s="7" t="inlineStr">
        <is>
          <t>146375232</t>
        </is>
      </c>
      <c r="D1347" s="7" t="inlineStr">
        <is>
          <t>146375232-truenavy</t>
        </is>
      </c>
      <c r="E1347" s="7" t="inlineStr">
        <is>
          <t>ABC Jogger *Tall OBSI S</t>
        </is>
      </c>
      <c r="F1347" s="7" t="inlineStr">
        <is>
          <t>$128.00</t>
        </is>
      </c>
      <c r="G1347" s="7" t="inlineStr">
        <is>
          <t>$64.00</t>
        </is>
      </c>
      <c r="H1347" s="7" t="inlineStr">
        <is>
          <t>True Navy</t>
        </is>
      </c>
      <c r="I1347" s="7">
        <f>IMAGE("https://images.lululemon.com/is/image/lululemon/31382",1)</f>
        <v/>
      </c>
      <c r="J1347" s="7" t="inlineStr">
        <is>
          <t>L</t>
        </is>
      </c>
      <c r="K1347" s="7" t="inlineStr">
        <is>
          <t>12/1240</t>
        </is>
      </c>
      <c r="L1347" s="7" t="inlineStr">
        <is>
          <t>Yes</t>
        </is>
      </c>
      <c r="M1347" s="7" t="inlineStr">
        <is>
          <t>These sleek joggers feature our ABC™ technology, making them an obvious choice for recreation or travel.</t>
        </is>
      </c>
      <c r="N1347" s="7" t="inlineStr">
        <is>
          <t>ABC-Jogger-Tall</t>
        </is>
      </c>
      <c r="O1347" s="7" t="inlineStr"/>
    </row>
    <row r="1348" ht="80" customHeight="1">
      <c r="A1348" s="4">
        <f>IMAGE("https://images.lululemon.com/is/image/lululemon/LM5AQLT_032476_1?wid=320&amp;op_usm=0.8",1)</f>
        <v/>
      </c>
      <c r="B1348" s="4" t="inlineStr">
        <is>
          <t>ABC Jogger Warpstreme *Tall</t>
        </is>
      </c>
      <c r="C1348" s="4" t="inlineStr">
        <is>
          <t>146375253</t>
        </is>
      </c>
      <c r="D1348" s="4" t="inlineStr">
        <is>
          <t>146375253-truenavy</t>
        </is>
      </c>
      <c r="E1348" s="4" t="inlineStr">
        <is>
          <t>ABC Jogger *Tall OBSI S</t>
        </is>
      </c>
      <c r="F1348" s="4" t="inlineStr">
        <is>
          <t>$128.00</t>
        </is>
      </c>
      <c r="G1348" s="4" t="inlineStr">
        <is>
          <t>$64.00</t>
        </is>
      </c>
      <c r="H1348" s="4" t="inlineStr">
        <is>
          <t>True Navy</t>
        </is>
      </c>
      <c r="I1348" s="4">
        <f>IMAGE("https://images.lululemon.com/is/image/lululemon/31382",1)</f>
        <v/>
      </c>
      <c r="J1348" s="4" t="inlineStr">
        <is>
          <t>XL</t>
        </is>
      </c>
      <c r="K1348" s="4" t="inlineStr">
        <is>
          <t>15/1240</t>
        </is>
      </c>
      <c r="L1348" s="4" t="inlineStr">
        <is>
          <t>Yes</t>
        </is>
      </c>
      <c r="M1348" s="4" t="inlineStr">
        <is>
          <t>These sleek joggers feature our ABC™ technology, making them an obvious choice for recreation or travel.</t>
        </is>
      </c>
      <c r="N1348" s="4" t="inlineStr">
        <is>
          <t>ABC-Jogger-Tall</t>
        </is>
      </c>
      <c r="O1348" s="4" t="inlineStr"/>
    </row>
    <row r="1349" ht="80" customHeight="1">
      <c r="A1349" s="5">
        <f>IMAGE("https://images.lululemon.com/is/image/lululemon/LM5AQLT_032476_1?wid=320&amp;op_usm=0.8",1)</f>
        <v/>
      </c>
      <c r="B1349" s="5" t="inlineStr">
        <is>
          <t>ABC Jogger Warpstreme *Tall</t>
        </is>
      </c>
      <c r="C1349" s="5" t="inlineStr">
        <is>
          <t>146375269</t>
        </is>
      </c>
      <c r="D1349" s="5" t="inlineStr">
        <is>
          <t>146375269-truenavy</t>
        </is>
      </c>
      <c r="E1349" s="5" t="inlineStr">
        <is>
          <t>ABC Jogger *Tall OBSI S</t>
        </is>
      </c>
      <c r="F1349" s="5" t="inlineStr">
        <is>
          <t>$128.00</t>
        </is>
      </c>
      <c r="G1349" s="5" t="inlineStr">
        <is>
          <t>$64.00</t>
        </is>
      </c>
      <c r="H1349" s="5" t="inlineStr">
        <is>
          <t>True Navy</t>
        </is>
      </c>
      <c r="I1349" s="5">
        <f>IMAGE("https://images.lululemon.com/is/image/lululemon/31382",1)</f>
        <v/>
      </c>
      <c r="J1349" s="5" t="inlineStr">
        <is>
          <t>XXL</t>
        </is>
      </c>
      <c r="K1349" s="5" t="inlineStr">
        <is>
          <t>11/1240</t>
        </is>
      </c>
      <c r="L1349" s="5" t="inlineStr">
        <is>
          <t>Yes</t>
        </is>
      </c>
      <c r="M1349" s="5" t="inlineStr">
        <is>
          <t>These sleek joggers feature our ABC™ technology, making them an obvious choice for recreation or travel.</t>
        </is>
      </c>
      <c r="N1349" s="5" t="inlineStr">
        <is>
          <t>ABC-Jogger-Tall</t>
        </is>
      </c>
      <c r="O1349" s="5" t="inlineStr"/>
    </row>
    <row r="1350" ht="80" customHeight="1">
      <c r="A1350" s="4">
        <f>IMAGE("https://images.lululemon.com/is/image/lululemon/LM5AR3S_0001_1?wid=320&amp;op_usm=0.8",1)</f>
        <v/>
      </c>
      <c r="B1350" s="4" t="inlineStr">
        <is>
          <t>ABC Classic-Fit Trouser 34L *Warpstreme</t>
        </is>
      </c>
      <c r="C1350" s="4" t="inlineStr">
        <is>
          <t>147155000</t>
        </is>
      </c>
      <c r="D1350" s="4" t="inlineStr">
        <is>
          <t>147155000-black</t>
        </is>
      </c>
      <c r="E1350" s="4" t="inlineStr">
        <is>
          <t>ABC Classic-Fit Trouser 34L *Warpstreme BLK 28</t>
        </is>
      </c>
      <c r="F1350" s="4" t="inlineStr">
        <is>
          <t>$138.00</t>
        </is>
      </c>
      <c r="G1350" s="4" t="inlineStr">
        <is>
          <t>$69.00</t>
        </is>
      </c>
      <c r="H1350" s="4" t="inlineStr">
        <is>
          <t>Black</t>
        </is>
      </c>
      <c r="I1350" s="4">
        <f>IMAGE("https://images.lululemon.com/is/image/lululemon/0001",1)</f>
        <v/>
      </c>
      <c r="J1350" s="4" t="inlineStr">
        <is>
          <t>28</t>
        </is>
      </c>
      <c r="K1350" s="4" t="inlineStr">
        <is>
          <t>4/771</t>
        </is>
      </c>
      <c r="L1350" s="4" t="inlineStr">
        <is>
          <t>Yes</t>
        </is>
      </c>
      <c r="M1350" s="4" t="inlineStr">
        <is>
          <t>These classic-fit trousers deliver all-day comfort with an elevated look.</t>
        </is>
      </c>
      <c r="N1350" s="4" t="inlineStr">
        <is>
          <t>ABC-Classic-Fit-Trouser-34-Warpstreme</t>
        </is>
      </c>
      <c r="O1350" s="4" t="inlineStr">
        <is>
          <t>Dress Pants, Chinos</t>
        </is>
      </c>
    </row>
    <row r="1351" ht="80" customHeight="1">
      <c r="A1351" s="7">
        <f>IMAGE("https://images.lululemon.com/is/image/lululemon/LM5AR3S_0001_1?wid=320&amp;op_usm=0.8",1)</f>
        <v/>
      </c>
      <c r="B1351" s="7" t="inlineStr">
        <is>
          <t>ABC Classic-Fit Trouser 34L *Warpstreme</t>
        </is>
      </c>
      <c r="C1351" s="7" t="inlineStr">
        <is>
          <t>147155004</t>
        </is>
      </c>
      <c r="D1351" s="7" t="inlineStr">
        <is>
          <t>147155004-black</t>
        </is>
      </c>
      <c r="E1351" s="7" t="inlineStr">
        <is>
          <t>ABC Classic-Fit Trouser 34L *Warpstreme BLK 28</t>
        </is>
      </c>
      <c r="F1351" s="7" t="inlineStr">
        <is>
          <t>$138.00</t>
        </is>
      </c>
      <c r="G1351" s="7" t="inlineStr">
        <is>
          <t>$69.00</t>
        </is>
      </c>
      <c r="H1351" s="7" t="inlineStr">
        <is>
          <t>Black</t>
        </is>
      </c>
      <c r="I1351" s="7">
        <f>IMAGE("https://images.lululemon.com/is/image/lululemon/0001",1)</f>
        <v/>
      </c>
      <c r="J1351" s="7" t="inlineStr">
        <is>
          <t>30</t>
        </is>
      </c>
      <c r="K1351" s="7" t="inlineStr">
        <is>
          <t>19/771</t>
        </is>
      </c>
      <c r="L1351" s="7" t="inlineStr">
        <is>
          <t>Yes</t>
        </is>
      </c>
      <c r="M1351" s="7" t="inlineStr">
        <is>
          <t>These classic-fit trousers deliver all-day comfort with an elevated look.</t>
        </is>
      </c>
      <c r="N1351" s="7" t="inlineStr">
        <is>
          <t>ABC-Classic-Fit-Trouser-34-Warpstreme</t>
        </is>
      </c>
      <c r="O1351" s="7" t="inlineStr">
        <is>
          <t>Dress Pants, Chinos</t>
        </is>
      </c>
    </row>
    <row r="1352" ht="80" customHeight="1">
      <c r="A1352" s="4">
        <f>IMAGE("https://images.lululemon.com/is/image/lululemon/LM5AR3S_0001_1?wid=320&amp;op_usm=0.8",1)</f>
        <v/>
      </c>
      <c r="B1352" s="4" t="inlineStr">
        <is>
          <t>ABC Classic-Fit Trouser 34L *Warpstreme</t>
        </is>
      </c>
      <c r="C1352" s="4" t="inlineStr">
        <is>
          <t>147155006</t>
        </is>
      </c>
      <c r="D1352" s="4" t="inlineStr">
        <is>
          <t>147155006-black</t>
        </is>
      </c>
      <c r="E1352" s="4" t="inlineStr">
        <is>
          <t>ABC Classic-Fit Trouser 34L *Warpstreme BLK 28</t>
        </is>
      </c>
      <c r="F1352" s="4" t="inlineStr">
        <is>
          <t>$138.00</t>
        </is>
      </c>
      <c r="G1352" s="4" t="inlineStr">
        <is>
          <t>$69.00</t>
        </is>
      </c>
      <c r="H1352" s="4" t="inlineStr">
        <is>
          <t>Black</t>
        </is>
      </c>
      <c r="I1352" s="4">
        <f>IMAGE("https://images.lululemon.com/is/image/lululemon/0001",1)</f>
        <v/>
      </c>
      <c r="J1352" s="4" t="inlineStr">
        <is>
          <t>31</t>
        </is>
      </c>
      <c r="K1352" s="4" t="inlineStr">
        <is>
          <t>13/771</t>
        </is>
      </c>
      <c r="L1352" s="4" t="inlineStr">
        <is>
          <t>Yes</t>
        </is>
      </c>
      <c r="M1352" s="4" t="inlineStr">
        <is>
          <t>These classic-fit trousers deliver all-day comfort with an elevated look.</t>
        </is>
      </c>
      <c r="N1352" s="4" t="inlineStr">
        <is>
          <t>ABC-Classic-Fit-Trouser-34-Warpstreme</t>
        </is>
      </c>
      <c r="O1352" s="4" t="inlineStr">
        <is>
          <t>Dress Pants, Chinos</t>
        </is>
      </c>
    </row>
    <row r="1353" ht="80" customHeight="1">
      <c r="A1353" s="7">
        <f>IMAGE("https://images.lululemon.com/is/image/lululemon/LM5AR3S_0001_1?wid=320&amp;op_usm=0.8",1)</f>
        <v/>
      </c>
      <c r="B1353" s="7" t="inlineStr">
        <is>
          <t>ABC Classic-Fit Trouser 34L *Warpstreme</t>
        </is>
      </c>
      <c r="C1353" s="7" t="inlineStr">
        <is>
          <t>147155008</t>
        </is>
      </c>
      <c r="D1353" s="7" t="inlineStr">
        <is>
          <t>147155008-black</t>
        </is>
      </c>
      <c r="E1353" s="7" t="inlineStr">
        <is>
          <t>ABC Classic-Fit Trouser 34L *Warpstreme BLK 28</t>
        </is>
      </c>
      <c r="F1353" s="7" t="inlineStr">
        <is>
          <t>$138.00</t>
        </is>
      </c>
      <c r="G1353" s="7" t="inlineStr">
        <is>
          <t>$69.00</t>
        </is>
      </c>
      <c r="H1353" s="7" t="inlineStr">
        <is>
          <t>Black</t>
        </is>
      </c>
      <c r="I1353" s="7">
        <f>IMAGE("https://images.lululemon.com/is/image/lululemon/0001",1)</f>
        <v/>
      </c>
      <c r="J1353" s="7" t="inlineStr">
        <is>
          <t>32</t>
        </is>
      </c>
      <c r="K1353" s="7" t="inlineStr">
        <is>
          <t>38/771</t>
        </is>
      </c>
      <c r="L1353" s="7" t="inlineStr">
        <is>
          <t>Yes</t>
        </is>
      </c>
      <c r="M1353" s="7" t="inlineStr">
        <is>
          <t>These classic-fit trousers deliver all-day comfort with an elevated look.</t>
        </is>
      </c>
      <c r="N1353" s="7" t="inlineStr">
        <is>
          <t>ABC-Classic-Fit-Trouser-34-Warpstreme</t>
        </is>
      </c>
      <c r="O1353" s="7" t="inlineStr">
        <is>
          <t>Dress Pants, Chinos</t>
        </is>
      </c>
    </row>
    <row r="1354" ht="80" customHeight="1">
      <c r="A1354" s="4">
        <f>IMAGE("https://images.lululemon.com/is/image/lululemon/LM5AR3S_0001_1?wid=320&amp;op_usm=0.8",1)</f>
        <v/>
      </c>
      <c r="B1354" s="4" t="inlineStr">
        <is>
          <t>ABC Classic-Fit Trouser 34L *Warpstreme</t>
        </is>
      </c>
      <c r="C1354" s="4" t="inlineStr">
        <is>
          <t>147155010</t>
        </is>
      </c>
      <c r="D1354" s="4" t="inlineStr">
        <is>
          <t>147155010-black</t>
        </is>
      </c>
      <c r="E1354" s="4" t="inlineStr">
        <is>
          <t>ABC Classic-Fit Trouser 34L *Warpstreme BLK 28</t>
        </is>
      </c>
      <c r="F1354" s="4" t="inlineStr">
        <is>
          <t>$138.00</t>
        </is>
      </c>
      <c r="G1354" s="4" t="inlineStr">
        <is>
          <t>$69.00</t>
        </is>
      </c>
      <c r="H1354" s="4" t="inlineStr">
        <is>
          <t>Black</t>
        </is>
      </c>
      <c r="I1354" s="4">
        <f>IMAGE("https://images.lululemon.com/is/image/lululemon/0001",1)</f>
        <v/>
      </c>
      <c r="J1354" s="4" t="inlineStr">
        <is>
          <t>33</t>
        </is>
      </c>
      <c r="K1354" s="4" t="inlineStr">
        <is>
          <t>23/771</t>
        </is>
      </c>
      <c r="L1354" s="4" t="inlineStr">
        <is>
          <t>Yes</t>
        </is>
      </c>
      <c r="M1354" s="4" t="inlineStr">
        <is>
          <t>These classic-fit trousers deliver all-day comfort with an elevated look.</t>
        </is>
      </c>
      <c r="N1354" s="4" t="inlineStr">
        <is>
          <t>ABC-Classic-Fit-Trouser-34-Warpstreme</t>
        </is>
      </c>
      <c r="O1354" s="4" t="inlineStr">
        <is>
          <t>Dress Pants, Chinos</t>
        </is>
      </c>
    </row>
    <row r="1355" ht="80" customHeight="1">
      <c r="A1355" s="7">
        <f>IMAGE("https://images.lululemon.com/is/image/lululemon/LM5AR3S_0001_1?wid=320&amp;op_usm=0.8",1)</f>
        <v/>
      </c>
      <c r="B1355" s="7" t="inlineStr">
        <is>
          <t>ABC Classic-Fit Trouser 34L *Warpstreme</t>
        </is>
      </c>
      <c r="C1355" s="7" t="inlineStr">
        <is>
          <t>147155011</t>
        </is>
      </c>
      <c r="D1355" s="7" t="inlineStr">
        <is>
          <t>147155011-black</t>
        </is>
      </c>
      <c r="E1355" s="7" t="inlineStr">
        <is>
          <t>ABC Classic-Fit Trouser 34L *Warpstreme BLK 28</t>
        </is>
      </c>
      <c r="F1355" s="7" t="inlineStr">
        <is>
          <t>$138.00</t>
        </is>
      </c>
      <c r="G1355" s="7" t="inlineStr">
        <is>
          <t>$69.00</t>
        </is>
      </c>
      <c r="H1355" s="7" t="inlineStr">
        <is>
          <t>Black</t>
        </is>
      </c>
      <c r="I1355" s="7">
        <f>IMAGE("https://images.lululemon.com/is/image/lululemon/0001",1)</f>
        <v/>
      </c>
      <c r="J1355" s="7" t="inlineStr">
        <is>
          <t>34</t>
        </is>
      </c>
      <c r="K1355" s="7" t="inlineStr">
        <is>
          <t>34/771</t>
        </is>
      </c>
      <c r="L1355" s="7" t="inlineStr">
        <is>
          <t>Yes</t>
        </is>
      </c>
      <c r="M1355" s="7" t="inlineStr">
        <is>
          <t>These classic-fit trousers deliver all-day comfort with an elevated look.</t>
        </is>
      </c>
      <c r="N1355" s="7" t="inlineStr">
        <is>
          <t>ABC-Classic-Fit-Trouser-34-Warpstreme</t>
        </is>
      </c>
      <c r="O1355" s="7" t="inlineStr">
        <is>
          <t>Dress Pants, Chinos</t>
        </is>
      </c>
    </row>
    <row r="1356" ht="80" customHeight="1">
      <c r="A1356" s="4">
        <f>IMAGE("https://images.lululemon.com/is/image/lululemon/LM5AR3S_0001_1?wid=320&amp;op_usm=0.8",1)</f>
        <v/>
      </c>
      <c r="B1356" s="4" t="inlineStr">
        <is>
          <t>ABC Classic-Fit Trouser 34L *Warpstreme</t>
        </is>
      </c>
      <c r="C1356" s="4" t="inlineStr">
        <is>
          <t>147155015</t>
        </is>
      </c>
      <c r="D1356" s="4" t="inlineStr">
        <is>
          <t>147155015-black</t>
        </is>
      </c>
      <c r="E1356" s="4" t="inlineStr">
        <is>
          <t>ABC Classic-Fit Trouser 34L *Warpstreme BLK 28</t>
        </is>
      </c>
      <c r="F1356" s="4" t="inlineStr">
        <is>
          <t>$138.00</t>
        </is>
      </c>
      <c r="G1356" s="4" t="inlineStr">
        <is>
          <t>$69.00</t>
        </is>
      </c>
      <c r="H1356" s="4" t="inlineStr">
        <is>
          <t>Black</t>
        </is>
      </c>
      <c r="I1356" s="4">
        <f>IMAGE("https://images.lululemon.com/is/image/lululemon/0001",1)</f>
        <v/>
      </c>
      <c r="J1356" s="4" t="inlineStr">
        <is>
          <t>36</t>
        </is>
      </c>
      <c r="K1356" s="4" t="inlineStr">
        <is>
          <t>34/771</t>
        </is>
      </c>
      <c r="L1356" s="4" t="inlineStr">
        <is>
          <t>Yes</t>
        </is>
      </c>
      <c r="M1356" s="4" t="inlineStr">
        <is>
          <t>These classic-fit trousers deliver all-day comfort with an elevated look.</t>
        </is>
      </c>
      <c r="N1356" s="4" t="inlineStr">
        <is>
          <t>ABC-Classic-Fit-Trouser-34-Warpstreme</t>
        </is>
      </c>
      <c r="O1356" s="4" t="inlineStr">
        <is>
          <t>Dress Pants, Chinos</t>
        </is>
      </c>
    </row>
    <row r="1357" ht="80" customHeight="1">
      <c r="A1357" s="7">
        <f>IMAGE("https://images.lululemon.com/is/image/lululemon/LM5AR3S_0001_1?wid=320&amp;op_usm=0.8",1)</f>
        <v/>
      </c>
      <c r="B1357" s="7" t="inlineStr">
        <is>
          <t>ABC Classic-Fit Trouser 34L *Warpstreme</t>
        </is>
      </c>
      <c r="C1357" s="7" t="inlineStr">
        <is>
          <t>147155019</t>
        </is>
      </c>
      <c r="D1357" s="7" t="inlineStr">
        <is>
          <t>147155019-black</t>
        </is>
      </c>
      <c r="E1357" s="7" t="inlineStr">
        <is>
          <t>ABC Classic-Fit Trouser 34L *Warpstreme BLK 28</t>
        </is>
      </c>
      <c r="F1357" s="7" t="inlineStr">
        <is>
          <t>$138.00</t>
        </is>
      </c>
      <c r="G1357" s="7" t="inlineStr">
        <is>
          <t>$69.00</t>
        </is>
      </c>
      <c r="H1357" s="7" t="inlineStr">
        <is>
          <t>Black</t>
        </is>
      </c>
      <c r="I1357" s="7">
        <f>IMAGE("https://images.lululemon.com/is/image/lululemon/0001",1)</f>
        <v/>
      </c>
      <c r="J1357" s="7" t="inlineStr">
        <is>
          <t>38</t>
        </is>
      </c>
      <c r="K1357" s="7" t="inlineStr">
        <is>
          <t>30/771</t>
        </is>
      </c>
      <c r="L1357" s="7" t="inlineStr">
        <is>
          <t>Yes</t>
        </is>
      </c>
      <c r="M1357" s="7" t="inlineStr">
        <is>
          <t>These classic-fit trousers deliver all-day comfort with an elevated look.</t>
        </is>
      </c>
      <c r="N1357" s="7" t="inlineStr">
        <is>
          <t>ABC-Classic-Fit-Trouser-34-Warpstreme</t>
        </is>
      </c>
      <c r="O1357" s="7" t="inlineStr">
        <is>
          <t>Dress Pants, Chinos</t>
        </is>
      </c>
    </row>
    <row r="1358" ht="80" customHeight="1">
      <c r="A1358" s="4">
        <f>IMAGE("https://images.lululemon.com/is/image/lululemon/LM5AR3S_0001_1?wid=320&amp;op_usm=0.8",1)</f>
        <v/>
      </c>
      <c r="B1358" s="4" t="inlineStr">
        <is>
          <t>ABC Classic-Fit Trouser 34L *Warpstreme</t>
        </is>
      </c>
      <c r="C1358" s="4" t="inlineStr">
        <is>
          <t>147155023</t>
        </is>
      </c>
      <c r="D1358" s="4" t="inlineStr">
        <is>
          <t>147155023-black</t>
        </is>
      </c>
      <c r="E1358" s="4" t="inlineStr">
        <is>
          <t>ABC Classic-Fit Trouser 34L *Warpstreme BLK 28</t>
        </is>
      </c>
      <c r="F1358" s="4" t="inlineStr">
        <is>
          <t>$138.00</t>
        </is>
      </c>
      <c r="G1358" s="4" t="inlineStr">
        <is>
          <t>$69.00</t>
        </is>
      </c>
      <c r="H1358" s="4" t="inlineStr">
        <is>
          <t>Black</t>
        </is>
      </c>
      <c r="I1358" s="4">
        <f>IMAGE("https://images.lululemon.com/is/image/lululemon/0001",1)</f>
        <v/>
      </c>
      <c r="J1358" s="4" t="inlineStr">
        <is>
          <t>40</t>
        </is>
      </c>
      <c r="K1358" s="4" t="inlineStr">
        <is>
          <t>9/771</t>
        </is>
      </c>
      <c r="L1358" s="4" t="inlineStr">
        <is>
          <t>Yes</t>
        </is>
      </c>
      <c r="M1358" s="4" t="inlineStr">
        <is>
          <t>These classic-fit trousers deliver all-day comfort with an elevated look.</t>
        </is>
      </c>
      <c r="N1358" s="4" t="inlineStr">
        <is>
          <t>ABC-Classic-Fit-Trouser-34-Warpstreme</t>
        </is>
      </c>
      <c r="O1358" s="4" t="inlineStr">
        <is>
          <t>Dress Pants, Chinos</t>
        </is>
      </c>
    </row>
    <row r="1359" ht="80" customHeight="1">
      <c r="A1359" s="7">
        <f>IMAGE("https://images.lululemon.com/is/image/lululemon/LM5AR3S_0001_1?wid=320&amp;op_usm=0.8",1)</f>
        <v/>
      </c>
      <c r="B1359" s="7" t="inlineStr">
        <is>
          <t>ABC Classic-Fit Trouser 34L *Warpstreme</t>
        </is>
      </c>
      <c r="C1359" s="7" t="inlineStr">
        <is>
          <t>147155143</t>
        </is>
      </c>
      <c r="D1359" s="7" t="inlineStr">
        <is>
          <t>147155143-truenavy</t>
        </is>
      </c>
      <c r="E1359" s="7" t="inlineStr">
        <is>
          <t>ABC Classic-Fit Trouser 34L *Warpstreme BLK 28</t>
        </is>
      </c>
      <c r="F1359" s="7" t="inlineStr">
        <is>
          <t>$138.00</t>
        </is>
      </c>
      <c r="G1359" s="7" t="inlineStr">
        <is>
          <t>$69.00</t>
        </is>
      </c>
      <c r="H1359" s="7" t="inlineStr">
        <is>
          <t>True Navy</t>
        </is>
      </c>
      <c r="I1359" s="7">
        <f>IMAGE("https://images.lululemon.com/is/image/lululemon/31382",1)</f>
        <v/>
      </c>
      <c r="J1359" s="7" t="inlineStr">
        <is>
          <t>28</t>
        </is>
      </c>
      <c r="K1359" s="7" t="inlineStr">
        <is>
          <t>21/771</t>
        </is>
      </c>
      <c r="L1359" s="7" t="inlineStr">
        <is>
          <t>Yes</t>
        </is>
      </c>
      <c r="M1359" s="7" t="inlineStr">
        <is>
          <t>These classic-fit trousers deliver all-day comfort with an elevated look.</t>
        </is>
      </c>
      <c r="N1359" s="7" t="inlineStr">
        <is>
          <t>ABC-Classic-Fit-Trouser-34-Warpstreme</t>
        </is>
      </c>
      <c r="O1359" s="7" t="inlineStr">
        <is>
          <t>Dress Pants, Chinos</t>
        </is>
      </c>
    </row>
    <row r="1360" ht="80" customHeight="1">
      <c r="A1360" s="4">
        <f>IMAGE("https://images.lululemon.com/is/image/lululemon/LM5AR3S_0001_1?wid=320&amp;op_usm=0.8",1)</f>
        <v/>
      </c>
      <c r="B1360" s="4" t="inlineStr">
        <is>
          <t>ABC Classic-Fit Trouser 34L *Warpstreme</t>
        </is>
      </c>
      <c r="C1360" s="4" t="inlineStr">
        <is>
          <t>147155145</t>
        </is>
      </c>
      <c r="D1360" s="4" t="inlineStr">
        <is>
          <t>147155145-truenavy</t>
        </is>
      </c>
      <c r="E1360" s="4" t="inlineStr">
        <is>
          <t>ABC Classic-Fit Trouser 34L *Warpstreme BLK 28</t>
        </is>
      </c>
      <c r="F1360" s="4" t="inlineStr">
        <is>
          <t>$138.00</t>
        </is>
      </c>
      <c r="G1360" s="4" t="inlineStr">
        <is>
          <t>$69.00</t>
        </is>
      </c>
      <c r="H1360" s="4" t="inlineStr">
        <is>
          <t>True Navy</t>
        </is>
      </c>
      <c r="I1360" s="4">
        <f>IMAGE("https://images.lululemon.com/is/image/lululemon/31382",1)</f>
        <v/>
      </c>
      <c r="J1360" s="4" t="inlineStr">
        <is>
          <t>30</t>
        </is>
      </c>
      <c r="K1360" s="4" t="inlineStr">
        <is>
          <t>25/771</t>
        </is>
      </c>
      <c r="L1360" s="4" t="inlineStr">
        <is>
          <t>Yes</t>
        </is>
      </c>
      <c r="M1360" s="4" t="inlineStr">
        <is>
          <t>These classic-fit trousers deliver all-day comfort with an elevated look.</t>
        </is>
      </c>
      <c r="N1360" s="4" t="inlineStr">
        <is>
          <t>ABC-Classic-Fit-Trouser-34-Warpstreme</t>
        </is>
      </c>
      <c r="O1360" s="4" t="inlineStr">
        <is>
          <t>Dress Pants, Chinos</t>
        </is>
      </c>
    </row>
    <row r="1361" ht="80" customHeight="1">
      <c r="A1361" s="7">
        <f>IMAGE("https://images.lululemon.com/is/image/lululemon/LM5AR3S_0001_1?wid=320&amp;op_usm=0.8",1)</f>
        <v/>
      </c>
      <c r="B1361" s="7" t="inlineStr">
        <is>
          <t>ABC Classic-Fit Trouser 34L *Warpstreme</t>
        </is>
      </c>
      <c r="C1361" s="7" t="inlineStr">
        <is>
          <t>147155146</t>
        </is>
      </c>
      <c r="D1361" s="7" t="inlineStr">
        <is>
          <t>147155146-truenavy</t>
        </is>
      </c>
      <c r="E1361" s="7" t="inlineStr">
        <is>
          <t>ABC Classic-Fit Trouser 34L *Warpstreme BLK 28</t>
        </is>
      </c>
      <c r="F1361" s="7" t="inlineStr">
        <is>
          <t>$138.00</t>
        </is>
      </c>
      <c r="G1361" s="7" t="inlineStr">
        <is>
          <t>$69.00</t>
        </is>
      </c>
      <c r="H1361" s="7" t="inlineStr">
        <is>
          <t>True Navy</t>
        </is>
      </c>
      <c r="I1361" s="7">
        <f>IMAGE("https://images.lululemon.com/is/image/lululemon/31382",1)</f>
        <v/>
      </c>
      <c r="J1361" s="7" t="inlineStr">
        <is>
          <t>31</t>
        </is>
      </c>
      <c r="K1361" s="7" t="inlineStr">
        <is>
          <t>35/771</t>
        </is>
      </c>
      <c r="L1361" s="7" t="inlineStr">
        <is>
          <t>Yes</t>
        </is>
      </c>
      <c r="M1361" s="7" t="inlineStr">
        <is>
          <t>These classic-fit trousers deliver all-day comfort with an elevated look.</t>
        </is>
      </c>
      <c r="N1361" s="7" t="inlineStr">
        <is>
          <t>ABC-Classic-Fit-Trouser-34-Warpstreme</t>
        </is>
      </c>
      <c r="O1361" s="7" t="inlineStr">
        <is>
          <t>Dress Pants, Chinos</t>
        </is>
      </c>
    </row>
    <row r="1362" ht="80" customHeight="1">
      <c r="A1362" s="4">
        <f>IMAGE("https://images.lululemon.com/is/image/lululemon/LM5AR3S_0001_1?wid=320&amp;op_usm=0.8",1)</f>
        <v/>
      </c>
      <c r="B1362" s="4" t="inlineStr">
        <is>
          <t>ABC Classic-Fit Trouser 34L *Warpstreme</t>
        </is>
      </c>
      <c r="C1362" s="4" t="inlineStr">
        <is>
          <t>147155147</t>
        </is>
      </c>
      <c r="D1362" s="4" t="inlineStr">
        <is>
          <t>147155147-truenavy</t>
        </is>
      </c>
      <c r="E1362" s="4" t="inlineStr">
        <is>
          <t>ABC Classic-Fit Trouser 34L *Warpstreme BLK 28</t>
        </is>
      </c>
      <c r="F1362" s="4" t="inlineStr">
        <is>
          <t>$138.00</t>
        </is>
      </c>
      <c r="G1362" s="4" t="inlineStr">
        <is>
          <t>$69.00</t>
        </is>
      </c>
      <c r="H1362" s="4" t="inlineStr">
        <is>
          <t>True Navy</t>
        </is>
      </c>
      <c r="I1362" s="4">
        <f>IMAGE("https://images.lululemon.com/is/image/lululemon/31382",1)</f>
        <v/>
      </c>
      <c r="J1362" s="4" t="inlineStr">
        <is>
          <t>32</t>
        </is>
      </c>
      <c r="K1362" s="4" t="inlineStr">
        <is>
          <t>124/771</t>
        </is>
      </c>
      <c r="L1362" s="4" t="inlineStr">
        <is>
          <t>Yes</t>
        </is>
      </c>
      <c r="M1362" s="4" t="inlineStr">
        <is>
          <t>These classic-fit trousers deliver all-day comfort with an elevated look.</t>
        </is>
      </c>
      <c r="N1362" s="4" t="inlineStr">
        <is>
          <t>ABC-Classic-Fit-Trouser-34-Warpstreme</t>
        </is>
      </c>
      <c r="O1362" s="4" t="inlineStr">
        <is>
          <t>Dress Pants, Chinos</t>
        </is>
      </c>
    </row>
    <row r="1363" ht="80" customHeight="1">
      <c r="A1363" s="7">
        <f>IMAGE("https://images.lululemon.com/is/image/lululemon/LM5AR3S_0001_1?wid=320&amp;op_usm=0.8",1)</f>
        <v/>
      </c>
      <c r="B1363" s="7" t="inlineStr">
        <is>
          <t>ABC Classic-Fit Trouser 34L *Warpstreme</t>
        </is>
      </c>
      <c r="C1363" s="7" t="inlineStr">
        <is>
          <t>147155148</t>
        </is>
      </c>
      <c r="D1363" s="7" t="inlineStr">
        <is>
          <t>147155148-truenavy</t>
        </is>
      </c>
      <c r="E1363" s="7" t="inlineStr">
        <is>
          <t>ABC Classic-Fit Trouser 34L *Warpstreme BLK 28</t>
        </is>
      </c>
      <c r="F1363" s="7" t="inlineStr">
        <is>
          <t>$138.00</t>
        </is>
      </c>
      <c r="G1363" s="7" t="inlineStr">
        <is>
          <t>$69.00</t>
        </is>
      </c>
      <c r="H1363" s="7" t="inlineStr">
        <is>
          <t>True Navy</t>
        </is>
      </c>
      <c r="I1363" s="7">
        <f>IMAGE("https://images.lululemon.com/is/image/lululemon/31382",1)</f>
        <v/>
      </c>
      <c r="J1363" s="7" t="inlineStr">
        <is>
          <t>33</t>
        </is>
      </c>
      <c r="K1363" s="7" t="inlineStr">
        <is>
          <t>31/771</t>
        </is>
      </c>
      <c r="L1363" s="7" t="inlineStr">
        <is>
          <t>Yes</t>
        </is>
      </c>
      <c r="M1363" s="7" t="inlineStr">
        <is>
          <t>These classic-fit trousers deliver all-day comfort with an elevated look.</t>
        </is>
      </c>
      <c r="N1363" s="7" t="inlineStr">
        <is>
          <t>ABC-Classic-Fit-Trouser-34-Warpstreme</t>
        </is>
      </c>
      <c r="O1363" s="7" t="inlineStr">
        <is>
          <t>Dress Pants, Chinos</t>
        </is>
      </c>
    </row>
    <row r="1364" ht="80" customHeight="1">
      <c r="A1364" s="4">
        <f>IMAGE("https://images.lululemon.com/is/image/lululemon/LM5AR3S_0001_1?wid=320&amp;op_usm=0.8",1)</f>
        <v/>
      </c>
      <c r="B1364" s="4" t="inlineStr">
        <is>
          <t>ABC Classic-Fit Trouser 34L *Warpstreme</t>
        </is>
      </c>
      <c r="C1364" s="4" t="inlineStr">
        <is>
          <t>147155149</t>
        </is>
      </c>
      <c r="D1364" s="4" t="inlineStr">
        <is>
          <t>147155149-truenavy</t>
        </is>
      </c>
      <c r="E1364" s="4" t="inlineStr">
        <is>
          <t>ABC Classic-Fit Trouser 34L *Warpstreme BLK 28</t>
        </is>
      </c>
      <c r="F1364" s="4" t="inlineStr">
        <is>
          <t>$138.00</t>
        </is>
      </c>
      <c r="G1364" s="4" t="inlineStr">
        <is>
          <t>$69.00</t>
        </is>
      </c>
      <c r="H1364" s="4" t="inlineStr">
        <is>
          <t>True Navy</t>
        </is>
      </c>
      <c r="I1364" s="4">
        <f>IMAGE("https://images.lululemon.com/is/image/lululemon/31382",1)</f>
        <v/>
      </c>
      <c r="J1364" s="4" t="inlineStr">
        <is>
          <t>34</t>
        </is>
      </c>
      <c r="K1364" s="4" t="inlineStr">
        <is>
          <t>76/771</t>
        </is>
      </c>
      <c r="L1364" s="4" t="inlineStr">
        <is>
          <t>Yes</t>
        </is>
      </c>
      <c r="M1364" s="4" t="inlineStr">
        <is>
          <t>These classic-fit trousers deliver all-day comfort with an elevated look.</t>
        </is>
      </c>
      <c r="N1364" s="4" t="inlineStr">
        <is>
          <t>ABC-Classic-Fit-Trouser-34-Warpstreme</t>
        </is>
      </c>
      <c r="O1364" s="4" t="inlineStr">
        <is>
          <t>Dress Pants, Chinos</t>
        </is>
      </c>
    </row>
    <row r="1365" ht="80" customHeight="1">
      <c r="A1365" s="7">
        <f>IMAGE("https://images.lululemon.com/is/image/lululemon/LM5AR3S_0001_1?wid=320&amp;op_usm=0.8",1)</f>
        <v/>
      </c>
      <c r="B1365" s="7" t="inlineStr">
        <is>
          <t>ABC Classic-Fit Trouser 34L *Warpstreme</t>
        </is>
      </c>
      <c r="C1365" s="7" t="inlineStr">
        <is>
          <t>147155151</t>
        </is>
      </c>
      <c r="D1365" s="7" t="inlineStr">
        <is>
          <t>147155151-truenavy</t>
        </is>
      </c>
      <c r="E1365" s="7" t="inlineStr">
        <is>
          <t>ABC Classic-Fit Trouser 34L *Warpstreme BLK 28</t>
        </is>
      </c>
      <c r="F1365" s="7" t="inlineStr">
        <is>
          <t>$138.00</t>
        </is>
      </c>
      <c r="G1365" s="7" t="inlineStr">
        <is>
          <t>$69.00</t>
        </is>
      </c>
      <c r="H1365" s="7" t="inlineStr">
        <is>
          <t>True Navy</t>
        </is>
      </c>
      <c r="I1365" s="7">
        <f>IMAGE("https://images.lululemon.com/is/image/lululemon/31382",1)</f>
        <v/>
      </c>
      <c r="J1365" s="7" t="inlineStr">
        <is>
          <t>36</t>
        </is>
      </c>
      <c r="K1365" s="7" t="inlineStr">
        <is>
          <t>113/771</t>
        </is>
      </c>
      <c r="L1365" s="7" t="inlineStr">
        <is>
          <t>Yes</t>
        </is>
      </c>
      <c r="M1365" s="7" t="inlineStr">
        <is>
          <t>These classic-fit trousers deliver all-day comfort with an elevated look.</t>
        </is>
      </c>
      <c r="N1365" s="7" t="inlineStr">
        <is>
          <t>ABC-Classic-Fit-Trouser-34-Warpstreme</t>
        </is>
      </c>
      <c r="O1365" s="7" t="inlineStr">
        <is>
          <t>Dress Pants, Chinos</t>
        </is>
      </c>
    </row>
    <row r="1366" ht="80" customHeight="1">
      <c r="A1366" s="4">
        <f>IMAGE("https://images.lululemon.com/is/image/lululemon/LM5AR3S_0001_1?wid=320&amp;op_usm=0.8",1)</f>
        <v/>
      </c>
      <c r="B1366" s="4" t="inlineStr">
        <is>
          <t>ABC Classic-Fit Trouser 34L *Warpstreme</t>
        </is>
      </c>
      <c r="C1366" s="4" t="inlineStr">
        <is>
          <t>147155153</t>
        </is>
      </c>
      <c r="D1366" s="4" t="inlineStr">
        <is>
          <t>147155153-truenavy</t>
        </is>
      </c>
      <c r="E1366" s="4" t="inlineStr">
        <is>
          <t>ABC Classic-Fit Trouser 34L *Warpstreme BLK 28</t>
        </is>
      </c>
      <c r="F1366" s="4" t="inlineStr">
        <is>
          <t>$138.00</t>
        </is>
      </c>
      <c r="G1366" s="4" t="inlineStr">
        <is>
          <t>$69.00</t>
        </is>
      </c>
      <c r="H1366" s="4" t="inlineStr">
        <is>
          <t>True Navy</t>
        </is>
      </c>
      <c r="I1366" s="4">
        <f>IMAGE("https://images.lululemon.com/is/image/lululemon/31382",1)</f>
        <v/>
      </c>
      <c r="J1366" s="4" t="inlineStr">
        <is>
          <t>38</t>
        </is>
      </c>
      <c r="K1366" s="4" t="inlineStr">
        <is>
          <t>24/771</t>
        </is>
      </c>
      <c r="L1366" s="4" t="inlineStr">
        <is>
          <t>Yes</t>
        </is>
      </c>
      <c r="M1366" s="4" t="inlineStr">
        <is>
          <t>These classic-fit trousers deliver all-day comfort with an elevated look.</t>
        </is>
      </c>
      <c r="N1366" s="4" t="inlineStr">
        <is>
          <t>ABC-Classic-Fit-Trouser-34-Warpstreme</t>
        </is>
      </c>
      <c r="O1366" s="4" t="inlineStr">
        <is>
          <t>Dress Pants, Chinos</t>
        </is>
      </c>
    </row>
    <row r="1367" ht="80" customHeight="1">
      <c r="A1367" s="7">
        <f>IMAGE("https://images.lululemon.com/is/image/lululemon/LM5AR3S_0001_1?wid=320&amp;op_usm=0.8",1)</f>
        <v/>
      </c>
      <c r="B1367" s="7" t="inlineStr">
        <is>
          <t>ABC Classic-Fit Trouser 34L *Warpstreme</t>
        </is>
      </c>
      <c r="C1367" s="7" t="inlineStr">
        <is>
          <t>147155155</t>
        </is>
      </c>
      <c r="D1367" s="7" t="inlineStr">
        <is>
          <t>147155155-truenavy</t>
        </is>
      </c>
      <c r="E1367" s="7" t="inlineStr">
        <is>
          <t>ABC Classic-Fit Trouser 34L *Warpstreme BLK 28</t>
        </is>
      </c>
      <c r="F1367" s="7" t="inlineStr">
        <is>
          <t>$138.00</t>
        </is>
      </c>
      <c r="G1367" s="7" t="inlineStr">
        <is>
          <t>$69.00</t>
        </is>
      </c>
      <c r="H1367" s="7" t="inlineStr">
        <is>
          <t>True Navy</t>
        </is>
      </c>
      <c r="I1367" s="7">
        <f>IMAGE("https://images.lululemon.com/is/image/lululemon/31382",1)</f>
        <v/>
      </c>
      <c r="J1367" s="7" t="inlineStr">
        <is>
          <t>40</t>
        </is>
      </c>
      <c r="K1367" s="7" t="inlineStr">
        <is>
          <t>11/771</t>
        </is>
      </c>
      <c r="L1367" s="7" t="inlineStr">
        <is>
          <t>Yes</t>
        </is>
      </c>
      <c r="M1367" s="7" t="inlineStr">
        <is>
          <t>These classic-fit trousers deliver all-day comfort with an elevated look.</t>
        </is>
      </c>
      <c r="N1367" s="7" t="inlineStr">
        <is>
          <t>ABC-Classic-Fit-Trouser-34-Warpstreme</t>
        </is>
      </c>
      <c r="O1367" s="7" t="inlineStr">
        <is>
          <t>Dress Pants, Chinos</t>
        </is>
      </c>
    </row>
    <row r="1368" ht="80" customHeight="1">
      <c r="A1368" s="4">
        <f>IMAGE("https://images.lululemon.com/is/image/lululemon/LM5AR3S_0001_1?wid=320&amp;op_usm=0.8",1)</f>
        <v/>
      </c>
      <c r="B1368" s="4" t="inlineStr">
        <is>
          <t>ABC Classic-Fit Trouser 34L *Warpstreme</t>
        </is>
      </c>
      <c r="C1368" s="4" t="inlineStr">
        <is>
          <t>147155187</t>
        </is>
      </c>
      <c r="D1368" s="4" t="inlineStr">
        <is>
          <t>147155187-silverdrop</t>
        </is>
      </c>
      <c r="E1368" s="4" t="inlineStr">
        <is>
          <t>ABC Classic-Fit Trouser 34L *Warpstreme BLK 28</t>
        </is>
      </c>
      <c r="F1368" s="4" t="inlineStr">
        <is>
          <t>$138.00</t>
        </is>
      </c>
      <c r="G1368" s="4" t="inlineStr">
        <is>
          <t>$69.00</t>
        </is>
      </c>
      <c r="H1368" s="4" t="inlineStr">
        <is>
          <t>Silver Drop</t>
        </is>
      </c>
      <c r="I1368" s="4">
        <f>IMAGE("https://images.lululemon.com/is/image/lululemon/33928",1)</f>
        <v/>
      </c>
      <c r="J1368" s="4" t="inlineStr">
        <is>
          <t>28</t>
        </is>
      </c>
      <c r="K1368" s="4" t="inlineStr">
        <is>
          <t>2/771</t>
        </is>
      </c>
      <c r="L1368" s="4" t="inlineStr">
        <is>
          <t>Yes</t>
        </is>
      </c>
      <c r="M1368" s="4" t="inlineStr">
        <is>
          <t>These classic-fit trousers deliver all-day comfort with an elevated look.</t>
        </is>
      </c>
      <c r="N1368" s="4" t="inlineStr">
        <is>
          <t>ABC-Classic-Fit-Trouser-34-Warpstreme</t>
        </is>
      </c>
      <c r="O1368" s="4" t="inlineStr">
        <is>
          <t>Dress Pants, Chinos</t>
        </is>
      </c>
    </row>
    <row r="1369" ht="80" customHeight="1">
      <c r="A1369" s="7">
        <f>IMAGE("https://images.lululemon.com/is/image/lululemon/LM5AR3S_0001_1?wid=320&amp;op_usm=0.8",1)</f>
        <v/>
      </c>
      <c r="B1369" s="7" t="inlineStr">
        <is>
          <t>ABC Classic-Fit Trouser 34L *Warpstreme</t>
        </is>
      </c>
      <c r="C1369" s="7" t="inlineStr">
        <is>
          <t>147155189</t>
        </is>
      </c>
      <c r="D1369" s="7" t="inlineStr">
        <is>
          <t>147155189-silverdrop</t>
        </is>
      </c>
      <c r="E1369" s="7" t="inlineStr">
        <is>
          <t>ABC Classic-Fit Trouser 34L *Warpstreme BLK 28</t>
        </is>
      </c>
      <c r="F1369" s="7" t="inlineStr">
        <is>
          <t>$138.00</t>
        </is>
      </c>
      <c r="G1369" s="7" t="inlineStr">
        <is>
          <t>$69.00</t>
        </is>
      </c>
      <c r="H1369" s="7" t="inlineStr">
        <is>
          <t>Silver Drop</t>
        </is>
      </c>
      <c r="I1369" s="7">
        <f>IMAGE("https://images.lululemon.com/is/image/lululemon/33928",1)</f>
        <v/>
      </c>
      <c r="J1369" s="7" t="inlineStr">
        <is>
          <t>30</t>
        </is>
      </c>
      <c r="K1369" s="7" t="inlineStr">
        <is>
          <t>8/771</t>
        </is>
      </c>
      <c r="L1369" s="7" t="inlineStr">
        <is>
          <t>Yes</t>
        </is>
      </c>
      <c r="M1369" s="7" t="inlineStr">
        <is>
          <t>These classic-fit trousers deliver all-day comfort with an elevated look.</t>
        </is>
      </c>
      <c r="N1369" s="7" t="inlineStr">
        <is>
          <t>ABC-Classic-Fit-Trouser-34-Warpstreme</t>
        </is>
      </c>
      <c r="O1369" s="7" t="inlineStr">
        <is>
          <t>Dress Pants, Chinos</t>
        </is>
      </c>
    </row>
    <row r="1370" ht="80" customHeight="1">
      <c r="A1370" s="4">
        <f>IMAGE("https://images.lululemon.com/is/image/lululemon/LM5AR3S_0001_1?wid=320&amp;op_usm=0.8",1)</f>
        <v/>
      </c>
      <c r="B1370" s="4" t="inlineStr">
        <is>
          <t>ABC Classic-Fit Trouser 34L *Warpstreme</t>
        </is>
      </c>
      <c r="C1370" s="4" t="inlineStr">
        <is>
          <t>147155190</t>
        </is>
      </c>
      <c r="D1370" s="4" t="inlineStr">
        <is>
          <t>147155190-silverdrop</t>
        </is>
      </c>
      <c r="E1370" s="4" t="inlineStr">
        <is>
          <t>ABC Classic-Fit Trouser 34L *Warpstreme BLK 28</t>
        </is>
      </c>
      <c r="F1370" s="4" t="inlineStr">
        <is>
          <t>$138.00</t>
        </is>
      </c>
      <c r="G1370" s="4" t="inlineStr">
        <is>
          <t>$69.00</t>
        </is>
      </c>
      <c r="H1370" s="4" t="inlineStr">
        <is>
          <t>Silver Drop</t>
        </is>
      </c>
      <c r="I1370" s="4">
        <f>IMAGE("https://images.lululemon.com/is/image/lululemon/33928",1)</f>
        <v/>
      </c>
      <c r="J1370" s="4" t="inlineStr">
        <is>
          <t>31</t>
        </is>
      </c>
      <c r="K1370" s="4" t="inlineStr">
        <is>
          <t>1/771</t>
        </is>
      </c>
      <c r="L1370" s="4" t="inlineStr">
        <is>
          <t>Yes</t>
        </is>
      </c>
      <c r="M1370" s="4" t="inlineStr">
        <is>
          <t>These classic-fit trousers deliver all-day comfort with an elevated look.</t>
        </is>
      </c>
      <c r="N1370" s="4" t="inlineStr">
        <is>
          <t>ABC-Classic-Fit-Trouser-34-Warpstreme</t>
        </is>
      </c>
      <c r="O1370" s="4" t="inlineStr">
        <is>
          <t>Dress Pants, Chinos</t>
        </is>
      </c>
    </row>
    <row r="1371" ht="80" customHeight="1">
      <c r="A1371" s="7">
        <f>IMAGE("https://images.lululemon.com/is/image/lululemon/LM5AR3S_0001_1?wid=320&amp;op_usm=0.8",1)</f>
        <v/>
      </c>
      <c r="B1371" s="7" t="inlineStr">
        <is>
          <t>ABC Classic-Fit Trouser 34L *Warpstreme</t>
        </is>
      </c>
      <c r="C1371" s="7" t="inlineStr">
        <is>
          <t>147155191</t>
        </is>
      </c>
      <c r="D1371" s="7" t="inlineStr">
        <is>
          <t>147155191-silverdrop</t>
        </is>
      </c>
      <c r="E1371" s="7" t="inlineStr">
        <is>
          <t>ABC Classic-Fit Trouser 34L *Warpstreme BLK 28</t>
        </is>
      </c>
      <c r="F1371" s="7" t="inlineStr">
        <is>
          <t>$138.00</t>
        </is>
      </c>
      <c r="G1371" s="7" t="inlineStr">
        <is>
          <t>$69.00</t>
        </is>
      </c>
      <c r="H1371" s="7" t="inlineStr">
        <is>
          <t>Silver Drop</t>
        </is>
      </c>
      <c r="I1371" s="7">
        <f>IMAGE("https://images.lululemon.com/is/image/lululemon/33928",1)</f>
        <v/>
      </c>
      <c r="J1371" s="7" t="inlineStr">
        <is>
          <t>32</t>
        </is>
      </c>
      <c r="K1371" s="7" t="inlineStr">
        <is>
          <t>6/771</t>
        </is>
      </c>
      <c r="L1371" s="7" t="inlineStr">
        <is>
          <t>Yes</t>
        </is>
      </c>
      <c r="M1371" s="7" t="inlineStr">
        <is>
          <t>These classic-fit trousers deliver all-day comfort with an elevated look.</t>
        </is>
      </c>
      <c r="N1371" s="7" t="inlineStr">
        <is>
          <t>ABC-Classic-Fit-Trouser-34-Warpstreme</t>
        </is>
      </c>
      <c r="O1371" s="7" t="inlineStr">
        <is>
          <t>Dress Pants, Chinos</t>
        </is>
      </c>
    </row>
    <row r="1372" ht="80" customHeight="1">
      <c r="A1372" s="4">
        <f>IMAGE("https://images.lululemon.com/is/image/lululemon/LM5AR3S_0001_1?wid=320&amp;op_usm=0.8",1)</f>
        <v/>
      </c>
      <c r="B1372" s="4" t="inlineStr">
        <is>
          <t>ABC Classic-Fit Trouser 34L *Warpstreme</t>
        </is>
      </c>
      <c r="C1372" s="4" t="inlineStr">
        <is>
          <t>147155192</t>
        </is>
      </c>
      <c r="D1372" s="4" t="inlineStr">
        <is>
          <t>147155192-silverdrop</t>
        </is>
      </c>
      <c r="E1372" s="4" t="inlineStr">
        <is>
          <t>ABC Classic-Fit Trouser 34L *Warpstreme BLK 28</t>
        </is>
      </c>
      <c r="F1372" s="4" t="inlineStr">
        <is>
          <t>$138.00</t>
        </is>
      </c>
      <c r="G1372" s="4" t="inlineStr">
        <is>
          <t>$69.00</t>
        </is>
      </c>
      <c r="H1372" s="4" t="inlineStr">
        <is>
          <t>Silver Drop</t>
        </is>
      </c>
      <c r="I1372" s="4">
        <f>IMAGE("https://images.lululemon.com/is/image/lululemon/33928",1)</f>
        <v/>
      </c>
      <c r="J1372" s="4" t="inlineStr">
        <is>
          <t>33</t>
        </is>
      </c>
      <c r="K1372" s="4" t="inlineStr">
        <is>
          <t>4/771</t>
        </is>
      </c>
      <c r="L1372" s="4" t="inlineStr">
        <is>
          <t>Yes</t>
        </is>
      </c>
      <c r="M1372" s="4" t="inlineStr">
        <is>
          <t>These classic-fit trousers deliver all-day comfort with an elevated look.</t>
        </is>
      </c>
      <c r="N1372" s="4" t="inlineStr">
        <is>
          <t>ABC-Classic-Fit-Trouser-34-Warpstreme</t>
        </is>
      </c>
      <c r="O1372" s="4" t="inlineStr">
        <is>
          <t>Dress Pants, Chinos</t>
        </is>
      </c>
    </row>
    <row r="1373" ht="80" customHeight="1">
      <c r="A1373" s="7">
        <f>IMAGE("https://images.lululemon.com/is/image/lululemon/LM5AR3S_0001_1?wid=320&amp;op_usm=0.8",1)</f>
        <v/>
      </c>
      <c r="B1373" s="7" t="inlineStr">
        <is>
          <t>ABC Classic-Fit Trouser 34L *Warpstreme</t>
        </is>
      </c>
      <c r="C1373" s="7" t="inlineStr">
        <is>
          <t>147155195</t>
        </is>
      </c>
      <c r="D1373" s="7" t="inlineStr">
        <is>
          <t>147155195-silverdrop</t>
        </is>
      </c>
      <c r="E1373" s="7" t="inlineStr">
        <is>
          <t>ABC Classic-Fit Trouser 34L *Warpstreme BLK 28</t>
        </is>
      </c>
      <c r="F1373" s="7" t="inlineStr">
        <is>
          <t>$138.00</t>
        </is>
      </c>
      <c r="G1373" s="7" t="inlineStr">
        <is>
          <t>$69.00</t>
        </is>
      </c>
      <c r="H1373" s="7" t="inlineStr">
        <is>
          <t>Silver Drop</t>
        </is>
      </c>
      <c r="I1373" s="7">
        <f>IMAGE("https://images.lululemon.com/is/image/lululemon/33928",1)</f>
        <v/>
      </c>
      <c r="J1373" s="7" t="inlineStr">
        <is>
          <t>36</t>
        </is>
      </c>
      <c r="K1373" s="7" t="inlineStr">
        <is>
          <t>10/771</t>
        </is>
      </c>
      <c r="L1373" s="7" t="inlineStr">
        <is>
          <t>Yes</t>
        </is>
      </c>
      <c r="M1373" s="7" t="inlineStr">
        <is>
          <t>These classic-fit trousers deliver all-day comfort with an elevated look.</t>
        </is>
      </c>
      <c r="N1373" s="7" t="inlineStr">
        <is>
          <t>ABC-Classic-Fit-Trouser-34-Warpstreme</t>
        </is>
      </c>
      <c r="O1373" s="7" t="inlineStr">
        <is>
          <t>Dress Pants, Chinos</t>
        </is>
      </c>
    </row>
    <row r="1374" ht="80" customHeight="1">
      <c r="A1374" s="4">
        <f>IMAGE("https://images.lululemon.com/is/image/lululemon/LM5AR3S_0001_1?wid=320&amp;op_usm=0.8",1)</f>
        <v/>
      </c>
      <c r="B1374" s="4" t="inlineStr">
        <is>
          <t>ABC Classic-Fit Trouser 34L *Warpstreme</t>
        </is>
      </c>
      <c r="C1374" s="4" t="inlineStr">
        <is>
          <t>147155197</t>
        </is>
      </c>
      <c r="D1374" s="4" t="inlineStr">
        <is>
          <t>147155197-silverdrop</t>
        </is>
      </c>
      <c r="E1374" s="4" t="inlineStr">
        <is>
          <t>ABC Classic-Fit Trouser 34L *Warpstreme BLK 28</t>
        </is>
      </c>
      <c r="F1374" s="4" t="inlineStr">
        <is>
          <t>$138.00</t>
        </is>
      </c>
      <c r="G1374" s="4" t="inlineStr">
        <is>
          <t>$69.00</t>
        </is>
      </c>
      <c r="H1374" s="4" t="inlineStr">
        <is>
          <t>Silver Drop</t>
        </is>
      </c>
      <c r="I1374" s="4">
        <f>IMAGE("https://images.lululemon.com/is/image/lululemon/33928",1)</f>
        <v/>
      </c>
      <c r="J1374" s="4" t="inlineStr">
        <is>
          <t>38</t>
        </is>
      </c>
      <c r="K1374" s="4" t="inlineStr">
        <is>
          <t>4/771</t>
        </is>
      </c>
      <c r="L1374" s="4" t="inlineStr">
        <is>
          <t>Yes</t>
        </is>
      </c>
      <c r="M1374" s="4" t="inlineStr">
        <is>
          <t>These classic-fit trousers deliver all-day comfort with an elevated look.</t>
        </is>
      </c>
      <c r="N1374" s="4" t="inlineStr">
        <is>
          <t>ABC-Classic-Fit-Trouser-34-Warpstreme</t>
        </is>
      </c>
      <c r="O1374" s="4" t="inlineStr">
        <is>
          <t>Dress Pants, Chinos</t>
        </is>
      </c>
    </row>
    <row r="1375" ht="80" customHeight="1">
      <c r="A1375" s="7">
        <f>IMAGE("https://images.lululemon.com/is/image/lululemon/LM5AR3S_0001_1?wid=320&amp;op_usm=0.8",1)</f>
        <v/>
      </c>
      <c r="B1375" s="7" t="inlineStr">
        <is>
          <t>ABC Classic-Fit Trouser 34L *Warpstreme</t>
        </is>
      </c>
      <c r="C1375" s="7" t="inlineStr">
        <is>
          <t>147155199</t>
        </is>
      </c>
      <c r="D1375" s="7" t="inlineStr">
        <is>
          <t>147155199-silverdrop</t>
        </is>
      </c>
      <c r="E1375" s="7" t="inlineStr">
        <is>
          <t>ABC Classic-Fit Trouser 34L *Warpstreme BLK 28</t>
        </is>
      </c>
      <c r="F1375" s="7" t="inlineStr">
        <is>
          <t>$138.00</t>
        </is>
      </c>
      <c r="G1375" s="7" t="inlineStr">
        <is>
          <t>$69.00</t>
        </is>
      </c>
      <c r="H1375" s="7" t="inlineStr">
        <is>
          <t>Silver Drop</t>
        </is>
      </c>
      <c r="I1375" s="7">
        <f>IMAGE("https://images.lululemon.com/is/image/lululemon/33928",1)</f>
        <v/>
      </c>
      <c r="J1375" s="7" t="inlineStr">
        <is>
          <t>40</t>
        </is>
      </c>
      <c r="K1375" s="7" t="inlineStr">
        <is>
          <t>3/771</t>
        </is>
      </c>
      <c r="L1375" s="7" t="inlineStr">
        <is>
          <t>Yes</t>
        </is>
      </c>
      <c r="M1375" s="7" t="inlineStr">
        <is>
          <t>These classic-fit trousers deliver all-day comfort with an elevated look.</t>
        </is>
      </c>
      <c r="N1375" s="7" t="inlineStr">
        <is>
          <t>ABC-Classic-Fit-Trouser-34-Warpstreme</t>
        </is>
      </c>
      <c r="O1375" s="7" t="inlineStr">
        <is>
          <t>Dress Pants, Chinos</t>
        </is>
      </c>
    </row>
    <row r="1376" ht="80" customHeight="1">
      <c r="A1376" s="4">
        <f>IMAGE("https://images.lululemon.com/is/image/lululemon/LM5AR3S_0001_1?wid=320&amp;op_usm=0.8",1)</f>
        <v/>
      </c>
      <c r="B1376" s="4" t="inlineStr">
        <is>
          <t>ABC Classic-Fit Trouser 34L *Warpstreme</t>
        </is>
      </c>
      <c r="C1376" s="4" t="inlineStr">
        <is>
          <t>157683026</t>
        </is>
      </c>
      <c r="D1376" s="4" t="inlineStr">
        <is>
          <t>157683026-wackykhaki</t>
        </is>
      </c>
      <c r="E1376" s="4" t="inlineStr">
        <is>
          <t>ABC Classic-Fit Trouser 34L *Warpstreme BLK 28</t>
        </is>
      </c>
      <c r="F1376" s="4" t="inlineStr">
        <is>
          <t>$138.00</t>
        </is>
      </c>
      <c r="G1376" s="4" t="inlineStr">
        <is>
          <t>$69.00</t>
        </is>
      </c>
      <c r="H1376" s="4" t="inlineStr">
        <is>
          <t>Wacky Khaki</t>
        </is>
      </c>
      <c r="I1376" s="4">
        <f>IMAGE("https://images.lululemon.com/is/image/lululemon/19222",1)</f>
        <v/>
      </c>
      <c r="J1376" s="4" t="inlineStr">
        <is>
          <t>28</t>
        </is>
      </c>
      <c r="K1376" s="4" t="inlineStr">
        <is>
          <t>3/771</t>
        </is>
      </c>
      <c r="L1376" s="4" t="inlineStr">
        <is>
          <t>Yes</t>
        </is>
      </c>
      <c r="M1376" s="4" t="inlineStr">
        <is>
          <t>These classic-fit trousers deliver all-day comfort with an elevated look.</t>
        </is>
      </c>
      <c r="N1376" s="4" t="inlineStr">
        <is>
          <t>ABC-Classic-Fit-Trouser-34-Warpstreme</t>
        </is>
      </c>
      <c r="O1376" s="4" t="inlineStr">
        <is>
          <t>Dress Pants, Chinos</t>
        </is>
      </c>
    </row>
    <row r="1377" ht="80" customHeight="1">
      <c r="A1377" s="7">
        <f>IMAGE("https://images.lululemon.com/is/image/lululemon/LM5AR3S_0001_1?wid=320&amp;op_usm=0.8",1)</f>
        <v/>
      </c>
      <c r="B1377" s="7" t="inlineStr">
        <is>
          <t>ABC Classic-Fit Trouser 34L *Warpstreme</t>
        </is>
      </c>
      <c r="C1377" s="7" t="inlineStr">
        <is>
          <t>157683028</t>
        </is>
      </c>
      <c r="D1377" s="7" t="inlineStr">
        <is>
          <t>157683028-wackykhaki</t>
        </is>
      </c>
      <c r="E1377" s="7" t="inlineStr">
        <is>
          <t>ABC Classic-Fit Trouser 34L *Warpstreme BLK 28</t>
        </is>
      </c>
      <c r="F1377" s="7" t="inlineStr">
        <is>
          <t>$138.00</t>
        </is>
      </c>
      <c r="G1377" s="7" t="inlineStr">
        <is>
          <t>$69.00</t>
        </is>
      </c>
      <c r="H1377" s="7" t="inlineStr">
        <is>
          <t>Wacky Khaki</t>
        </is>
      </c>
      <c r="I1377" s="7">
        <f>IMAGE("https://images.lululemon.com/is/image/lululemon/19222",1)</f>
        <v/>
      </c>
      <c r="J1377" s="7" t="inlineStr">
        <is>
          <t>30</t>
        </is>
      </c>
      <c r="K1377" s="7" t="inlineStr">
        <is>
          <t>11/771</t>
        </is>
      </c>
      <c r="L1377" s="7" t="inlineStr">
        <is>
          <t>Yes</t>
        </is>
      </c>
      <c r="M1377" s="7" t="inlineStr">
        <is>
          <t>These classic-fit trousers deliver all-day comfort with an elevated look.</t>
        </is>
      </c>
      <c r="N1377" s="7" t="inlineStr">
        <is>
          <t>ABC-Classic-Fit-Trouser-34-Warpstreme</t>
        </is>
      </c>
      <c r="O1377" s="7" t="inlineStr">
        <is>
          <t>Dress Pants, Chinos</t>
        </is>
      </c>
    </row>
    <row r="1378" ht="80" customHeight="1">
      <c r="A1378" s="4">
        <f>IMAGE("https://images.lululemon.com/is/image/lululemon/LM5AR3S_0001_1?wid=320&amp;op_usm=0.8",1)</f>
        <v/>
      </c>
      <c r="B1378" s="4" t="inlineStr">
        <is>
          <t>ABC Classic-Fit Trouser 34L *Warpstreme</t>
        </is>
      </c>
      <c r="C1378" s="4" t="inlineStr">
        <is>
          <t>157683029</t>
        </is>
      </c>
      <c r="D1378" s="4" t="inlineStr">
        <is>
          <t>157683029-wackykhaki</t>
        </is>
      </c>
      <c r="E1378" s="4" t="inlineStr">
        <is>
          <t>ABC Classic-Fit Trouser 34L *Warpstreme BLK 28</t>
        </is>
      </c>
      <c r="F1378" s="4" t="inlineStr">
        <is>
          <t>$138.00</t>
        </is>
      </c>
      <c r="G1378" s="4" t="inlineStr">
        <is>
          <t>$69.00</t>
        </is>
      </c>
      <c r="H1378" s="4" t="inlineStr">
        <is>
          <t>Wacky Khaki</t>
        </is>
      </c>
      <c r="I1378" s="4">
        <f>IMAGE("https://images.lululemon.com/is/image/lululemon/19222",1)</f>
        <v/>
      </c>
      <c r="J1378" s="4" t="inlineStr">
        <is>
          <t>31</t>
        </is>
      </c>
      <c r="K1378" s="4" t="inlineStr">
        <is>
          <t>6/771</t>
        </is>
      </c>
      <c r="L1378" s="4" t="inlineStr">
        <is>
          <t>Yes</t>
        </is>
      </c>
      <c r="M1378" s="4" t="inlineStr">
        <is>
          <t>These classic-fit trousers deliver all-day comfort with an elevated look.</t>
        </is>
      </c>
      <c r="N1378" s="4" t="inlineStr">
        <is>
          <t>ABC-Classic-Fit-Trouser-34-Warpstreme</t>
        </is>
      </c>
      <c r="O1378" s="4" t="inlineStr">
        <is>
          <t>Dress Pants, Chinos</t>
        </is>
      </c>
    </row>
    <row r="1379" ht="80" customHeight="1">
      <c r="A1379" s="7">
        <f>IMAGE("https://images.lululemon.com/is/image/lululemon/LM5AR3S_0001_1?wid=320&amp;op_usm=0.8",1)</f>
        <v/>
      </c>
      <c r="B1379" s="7" t="inlineStr">
        <is>
          <t>ABC Classic-Fit Trouser 34L *Warpstreme</t>
        </is>
      </c>
      <c r="C1379" s="7" t="inlineStr">
        <is>
          <t>157683030</t>
        </is>
      </c>
      <c r="D1379" s="7" t="inlineStr">
        <is>
          <t>157683030-wackykhaki</t>
        </is>
      </c>
      <c r="E1379" s="7" t="inlineStr">
        <is>
          <t>ABC Classic-Fit Trouser 34L *Warpstreme BLK 28</t>
        </is>
      </c>
      <c r="F1379" s="7" t="inlineStr">
        <is>
          <t>$138.00</t>
        </is>
      </c>
      <c r="G1379" s="7" t="inlineStr">
        <is>
          <t>$69.00</t>
        </is>
      </c>
      <c r="H1379" s="7" t="inlineStr">
        <is>
          <t>Wacky Khaki</t>
        </is>
      </c>
      <c r="I1379" s="7">
        <f>IMAGE("https://images.lululemon.com/is/image/lululemon/19222",1)</f>
        <v/>
      </c>
      <c r="J1379" s="7" t="inlineStr">
        <is>
          <t>32</t>
        </is>
      </c>
      <c r="K1379" s="7" t="inlineStr">
        <is>
          <t>22/771</t>
        </is>
      </c>
      <c r="L1379" s="7" t="inlineStr">
        <is>
          <t>Yes</t>
        </is>
      </c>
      <c r="M1379" s="7" t="inlineStr">
        <is>
          <t>These classic-fit trousers deliver all-day comfort with an elevated look.</t>
        </is>
      </c>
      <c r="N1379" s="7" t="inlineStr">
        <is>
          <t>ABC-Classic-Fit-Trouser-34-Warpstreme</t>
        </is>
      </c>
      <c r="O1379" s="7" t="inlineStr">
        <is>
          <t>Dress Pants, Chinos</t>
        </is>
      </c>
    </row>
    <row r="1380" ht="80" customHeight="1">
      <c r="A1380" s="4">
        <f>IMAGE("https://images.lululemon.com/is/image/lululemon/LM5AR3S_0001_1?wid=320&amp;op_usm=0.8",1)</f>
        <v/>
      </c>
      <c r="B1380" s="4" t="inlineStr">
        <is>
          <t>ABC Classic-Fit Trouser 34L *Warpstreme</t>
        </is>
      </c>
      <c r="C1380" s="4" t="inlineStr">
        <is>
          <t>157683031</t>
        </is>
      </c>
      <c r="D1380" s="4" t="inlineStr">
        <is>
          <t>157683031-wackykhaki</t>
        </is>
      </c>
      <c r="E1380" s="4" t="inlineStr">
        <is>
          <t>ABC Classic-Fit Trouser 34L *Warpstreme BLK 28</t>
        </is>
      </c>
      <c r="F1380" s="4" t="inlineStr">
        <is>
          <t>$138.00</t>
        </is>
      </c>
      <c r="G1380" s="4" t="inlineStr">
        <is>
          <t>$69.00</t>
        </is>
      </c>
      <c r="H1380" s="4" t="inlineStr">
        <is>
          <t>Wacky Khaki</t>
        </is>
      </c>
      <c r="I1380" s="4">
        <f>IMAGE("https://images.lululemon.com/is/image/lululemon/19222",1)</f>
        <v/>
      </c>
      <c r="J1380" s="4" t="inlineStr">
        <is>
          <t>33</t>
        </is>
      </c>
      <c r="K1380" s="4" t="inlineStr">
        <is>
          <t>7/771</t>
        </is>
      </c>
      <c r="L1380" s="4" t="inlineStr">
        <is>
          <t>Yes</t>
        </is>
      </c>
      <c r="M1380" s="4" t="inlineStr">
        <is>
          <t>These classic-fit trousers deliver all-day comfort with an elevated look.</t>
        </is>
      </c>
      <c r="N1380" s="4" t="inlineStr">
        <is>
          <t>ABC-Classic-Fit-Trouser-34-Warpstreme</t>
        </is>
      </c>
      <c r="O1380" s="4" t="inlineStr">
        <is>
          <t>Dress Pants, Chinos</t>
        </is>
      </c>
    </row>
    <row r="1381" ht="80" customHeight="1">
      <c r="A1381" s="7">
        <f>IMAGE("https://images.lululemon.com/is/image/lululemon/LM5AR3S_0001_1?wid=320&amp;op_usm=0.8",1)</f>
        <v/>
      </c>
      <c r="B1381" s="7" t="inlineStr">
        <is>
          <t>ABC Classic-Fit Trouser 34L *Warpstreme</t>
        </is>
      </c>
      <c r="C1381" s="7" t="inlineStr">
        <is>
          <t>157683032</t>
        </is>
      </c>
      <c r="D1381" s="7" t="inlineStr">
        <is>
          <t>157683032-wackykhaki</t>
        </is>
      </c>
      <c r="E1381" s="7" t="inlineStr">
        <is>
          <t>ABC Classic-Fit Trouser 34L *Warpstreme BLK 28</t>
        </is>
      </c>
      <c r="F1381" s="7" t="inlineStr">
        <is>
          <t>$138.00</t>
        </is>
      </c>
      <c r="G1381" s="7" t="inlineStr">
        <is>
          <t>$69.00</t>
        </is>
      </c>
      <c r="H1381" s="7" t="inlineStr">
        <is>
          <t>Wacky Khaki</t>
        </is>
      </c>
      <c r="I1381" s="7">
        <f>IMAGE("https://images.lululemon.com/is/image/lululemon/19222",1)</f>
        <v/>
      </c>
      <c r="J1381" s="7" t="inlineStr">
        <is>
          <t>34</t>
        </is>
      </c>
      <c r="K1381" s="7" t="inlineStr">
        <is>
          <t>17/771</t>
        </is>
      </c>
      <c r="L1381" s="7" t="inlineStr">
        <is>
          <t>Yes</t>
        </is>
      </c>
      <c r="M1381" s="7" t="inlineStr">
        <is>
          <t>These classic-fit trousers deliver all-day comfort with an elevated look.</t>
        </is>
      </c>
      <c r="N1381" s="7" t="inlineStr">
        <is>
          <t>ABC-Classic-Fit-Trouser-34-Warpstreme</t>
        </is>
      </c>
      <c r="O1381" s="7" t="inlineStr">
        <is>
          <t>Dress Pants, Chinos</t>
        </is>
      </c>
    </row>
    <row r="1382" ht="80" customHeight="1">
      <c r="A1382" s="6">
        <f>IMAGE("https://images.lululemon.com/is/image/lululemon/LM5AR3S_0001_1?wid=320&amp;op_usm=0.8",1)</f>
        <v/>
      </c>
      <c r="B1382" s="6" t="inlineStr">
        <is>
          <t>ABC Classic-Fit Trouser 34L *Warpstreme</t>
        </is>
      </c>
      <c r="C1382" s="6" t="inlineStr">
        <is>
          <t>157683036</t>
        </is>
      </c>
      <c r="D1382" s="6" t="inlineStr">
        <is>
          <t>157683036-wackykhaki</t>
        </is>
      </c>
      <c r="E1382" s="6" t="inlineStr">
        <is>
          <t>ABC Classic-Fit Trouser 34L *Warpstreme BLK 28</t>
        </is>
      </c>
      <c r="F1382" s="6" t="inlineStr">
        <is>
          <t>$138.00</t>
        </is>
      </c>
      <c r="G1382" s="6" t="inlineStr">
        <is>
          <t>$69.00</t>
        </is>
      </c>
      <c r="H1382" s="6" t="inlineStr">
        <is>
          <t>Wacky Khaki</t>
        </is>
      </c>
      <c r="I1382" s="6">
        <f>IMAGE("https://images.lululemon.com/is/image/lululemon/19222",1)</f>
        <v/>
      </c>
      <c r="J1382" s="6" t="inlineStr">
        <is>
          <t>40</t>
        </is>
      </c>
      <c r="K1382" s="6" t="inlineStr">
        <is>
          <t>3/771</t>
        </is>
      </c>
      <c r="L1382" s="6" t="inlineStr">
        <is>
          <t>Yes</t>
        </is>
      </c>
      <c r="M1382" s="6" t="inlineStr">
        <is>
          <t>These classic-fit trousers deliver all-day comfort with an elevated look.</t>
        </is>
      </c>
      <c r="N1382" s="6" t="inlineStr">
        <is>
          <t>ABC-Classic-Fit-Trouser-34-Warpstreme</t>
        </is>
      </c>
      <c r="O1382" s="6" t="inlineStr">
        <is>
          <t>Dress Pants, Chinos</t>
        </is>
      </c>
    </row>
    <row r="1383" ht="80" customHeight="1">
      <c r="A1383" s="7">
        <f>IMAGE("https://images.lululemon.com/is/image/lululemon/LM3EX8S_032665_1?wid=320&amp;op_usm=0.8",1)</f>
        <v/>
      </c>
      <c r="B1383" s="7" t="inlineStr">
        <is>
          <t>Textured Spacer Kangaroo Hoodie</t>
        </is>
      </c>
      <c r="C1383" s="7" t="inlineStr">
        <is>
          <t>154885083</t>
        </is>
      </c>
      <c r="D1383" s="7" t="inlineStr">
        <is>
          <t>154885083-blacknight</t>
        </is>
      </c>
      <c r="E1383" s="7" t="inlineStr">
        <is>
          <t>Textured Spacer Pullover Hoodie BKNT S</t>
        </is>
      </c>
      <c r="F1383" s="7" t="inlineStr">
        <is>
          <t>$148.00</t>
        </is>
      </c>
      <c r="G1383" s="7" t="inlineStr">
        <is>
          <t>$74.00</t>
        </is>
      </c>
      <c r="H1383" s="7" t="inlineStr">
        <is>
          <t>Black Night</t>
        </is>
      </c>
      <c r="I1383" s="7">
        <f>IMAGE("https://images.lululemon.com/is/image/lululemon/32665",1)</f>
        <v/>
      </c>
      <c r="J1383" s="7" t="inlineStr">
        <is>
          <t>S</t>
        </is>
      </c>
      <c r="K1383" s="7" t="inlineStr">
        <is>
          <t>14/80</t>
        </is>
      </c>
      <c r="L1383" s="7" t="inlineStr">
        <is>
          <t>Yes</t>
        </is>
      </c>
      <c r="M1383" s="7" t="inlineStr">
        <is>
          <t>Technical comfort at its finest. This hoodie uses spacer construction to create a warm, lofty fabric that feels soft and has a slightly structured look.</t>
        </is>
      </c>
      <c r="N1383" s="7" t="inlineStr">
        <is>
          <t>Textured-Spacer-Kangaroo-Hoodie</t>
        </is>
      </c>
      <c r="O1383" s="7" t="inlineStr">
        <is>
          <t>Hoodies</t>
        </is>
      </c>
    </row>
    <row r="1384" ht="80" customHeight="1">
      <c r="A1384" s="4">
        <f>IMAGE("https://images.lululemon.com/is/image/lululemon/LM3EX8S_032665_1?wid=320&amp;op_usm=0.8",1)</f>
        <v/>
      </c>
      <c r="B1384" s="4" t="inlineStr">
        <is>
          <t>Textured Spacer Kangaroo Hoodie</t>
        </is>
      </c>
      <c r="C1384" s="4" t="inlineStr">
        <is>
          <t>154885076</t>
        </is>
      </c>
      <c r="D1384" s="4" t="inlineStr">
        <is>
          <t>154885076-blacknight</t>
        </is>
      </c>
      <c r="E1384" s="4" t="inlineStr">
        <is>
          <t>Textured Spacer Pullover Hoodie BKNT S</t>
        </is>
      </c>
      <c r="F1384" s="4" t="inlineStr">
        <is>
          <t>$148.00</t>
        </is>
      </c>
      <c r="G1384" s="4" t="inlineStr">
        <is>
          <t>$74.00</t>
        </is>
      </c>
      <c r="H1384" s="4" t="inlineStr">
        <is>
          <t>Black Night</t>
        </is>
      </c>
      <c r="I1384" s="4">
        <f>IMAGE("https://images.lululemon.com/is/image/lululemon/32665",1)</f>
        <v/>
      </c>
      <c r="J1384" s="4" t="inlineStr">
        <is>
          <t>M</t>
        </is>
      </c>
      <c r="K1384" s="4" t="inlineStr">
        <is>
          <t>50/80</t>
        </is>
      </c>
      <c r="L1384" s="4" t="inlineStr">
        <is>
          <t>Yes</t>
        </is>
      </c>
      <c r="M1384" s="4" t="inlineStr">
        <is>
          <t>Technical comfort at its finest. This hoodie uses spacer construction to create a warm, lofty fabric that feels soft and has a slightly structured look.</t>
        </is>
      </c>
      <c r="N1384" s="4" t="inlineStr">
        <is>
          <t>Textured-Spacer-Kangaroo-Hoodie</t>
        </is>
      </c>
      <c r="O1384" s="4" t="inlineStr">
        <is>
          <t>Hoodies</t>
        </is>
      </c>
    </row>
    <row r="1385" ht="80" customHeight="1">
      <c r="A1385" s="5">
        <f>IMAGE("https://images.lululemon.com/is/image/lululemon/LM3EX8S_032665_1?wid=320&amp;op_usm=0.8",1)</f>
        <v/>
      </c>
      <c r="B1385" s="5" t="inlineStr">
        <is>
          <t>Textured Spacer Kangaroo Hoodie</t>
        </is>
      </c>
      <c r="C1385" s="5" t="inlineStr">
        <is>
          <t>154885090</t>
        </is>
      </c>
      <c r="D1385" s="5" t="inlineStr">
        <is>
          <t>154885090-blacknight</t>
        </is>
      </c>
      <c r="E1385" s="5" t="inlineStr">
        <is>
          <t>Textured Spacer Pullover Hoodie BKNT S</t>
        </is>
      </c>
      <c r="F1385" s="5" t="inlineStr">
        <is>
          <t>$148.00</t>
        </is>
      </c>
      <c r="G1385" s="5" t="inlineStr">
        <is>
          <t>$74.00</t>
        </is>
      </c>
      <c r="H1385" s="5" t="inlineStr">
        <is>
          <t>Black Night</t>
        </is>
      </c>
      <c r="I1385" s="5">
        <f>IMAGE("https://images.lululemon.com/is/image/lululemon/32665",1)</f>
        <v/>
      </c>
      <c r="J1385" s="5" t="inlineStr">
        <is>
          <t>XL</t>
        </is>
      </c>
      <c r="K1385" s="5" t="inlineStr">
        <is>
          <t>16/80</t>
        </is>
      </c>
      <c r="L1385" s="5" t="inlineStr">
        <is>
          <t>Yes</t>
        </is>
      </c>
      <c r="M1385" s="5" t="inlineStr">
        <is>
          <t>Technical comfort at its finest. This hoodie uses spacer construction to create a warm, lofty fabric that feels soft and has a slightly structured look.</t>
        </is>
      </c>
      <c r="N1385" s="5" t="inlineStr">
        <is>
          <t>Textured-Spacer-Kangaroo-Hoodie</t>
        </is>
      </c>
      <c r="O1385" s="5" t="inlineStr">
        <is>
          <t>Hoodies</t>
        </is>
      </c>
    </row>
    <row r="1386" ht="80" customHeight="1">
      <c r="A1386" s="4">
        <f>IMAGE("https://images.lululemon.com/is/image/lululemon/LU9CEIS_071534_1?wid=320&amp;op_usm=0.8",1)</f>
        <v/>
      </c>
      <c r="B1386" s="4" t="inlineStr">
        <is>
          <t>Racket Bag 19L</t>
        </is>
      </c>
      <c r="C1386" s="4" t="inlineStr">
        <is>
          <t>158029922</t>
        </is>
      </c>
      <c r="D1386" s="4" t="inlineStr">
        <is>
          <t>158029922-clubblue/black</t>
        </is>
      </c>
      <c r="E1386" s="4" t="inlineStr">
        <is>
          <t>Racket Bag CLBL/BLK ONE SIZE</t>
        </is>
      </c>
      <c r="F1386" s="4" t="inlineStr">
        <is>
          <t>$168.00</t>
        </is>
      </c>
      <c r="G1386" s="4" t="inlineStr">
        <is>
          <t>$84.00</t>
        </is>
      </c>
      <c r="H1386" s="4" t="inlineStr">
        <is>
          <t>Club Blue/Black</t>
        </is>
      </c>
      <c r="I1386" s="4">
        <f>IMAGE("https://images.lululemon.com/is/image/lululemon/71534",1)</f>
        <v/>
      </c>
      <c r="J1386" s="4" t="inlineStr">
        <is>
          <t>O/S</t>
        </is>
      </c>
      <c r="K1386" s="4" t="inlineStr">
        <is>
          <t>286/1258</t>
        </is>
      </c>
      <c r="L1386" s="4" t="inlineStr">
        <is>
          <t>Yes</t>
        </is>
      </c>
      <c r="M1386" s="4" t="inlineStr">
        <is>
          <t>This convertible backpack has room for snacks, shoes, and a change of clothes, while the detachable racket holder adjusts to fit two tennis, badminton, or pickleball rackets.</t>
        </is>
      </c>
      <c r="N1386" s="4" t="inlineStr">
        <is>
          <t>Racket-Bag-19L</t>
        </is>
      </c>
      <c r="O1386" s="4" t="inlineStr">
        <is>
          <t>Backpacks</t>
        </is>
      </c>
    </row>
    <row r="1387" ht="80" customHeight="1">
      <c r="A1387" s="7">
        <f>IMAGE("https://images.lululemon.com/is/image/lululemon/LU9CEIS_071534_1?wid=320&amp;op_usm=0.8",1)</f>
        <v/>
      </c>
      <c r="B1387" s="7" t="inlineStr">
        <is>
          <t>Racket Bag 19L</t>
        </is>
      </c>
      <c r="C1387" s="7" t="inlineStr">
        <is>
          <t>158029936</t>
        </is>
      </c>
      <c r="D1387" s="7" t="inlineStr">
        <is>
          <t>158029936-natural/rockwood</t>
        </is>
      </c>
      <c r="E1387" s="7" t="inlineStr">
        <is>
          <t>Racket Bag CLBL/BLK ONE SIZE</t>
        </is>
      </c>
      <c r="F1387" s="7" t="inlineStr">
        <is>
          <t>$168.00</t>
        </is>
      </c>
      <c r="G1387" s="7" t="inlineStr">
        <is>
          <t>$84.00</t>
        </is>
      </c>
      <c r="H1387" s="7" t="inlineStr">
        <is>
          <t>Natural/Rockwood</t>
        </is>
      </c>
      <c r="I1387" s="7">
        <f>IMAGE("https://images.lululemon.com/is/image/lululemon/73959",1)</f>
        <v/>
      </c>
      <c r="J1387" s="7" t="inlineStr">
        <is>
          <t>O/S</t>
        </is>
      </c>
      <c r="K1387" s="7" t="inlineStr">
        <is>
          <t>266/1258</t>
        </is>
      </c>
      <c r="L1387" s="7" t="inlineStr">
        <is>
          <t>Yes</t>
        </is>
      </c>
      <c r="M1387" s="7" t="inlineStr">
        <is>
          <t>This convertible backpack has room for snacks, shoes, and a change of clothes, while the detachable racket holder adjusts to fit two tennis, badminton, or pickleball rackets.</t>
        </is>
      </c>
      <c r="N1387" s="7" t="inlineStr">
        <is>
          <t>Racket-Bag-19L</t>
        </is>
      </c>
      <c r="O1387" s="7" t="inlineStr">
        <is>
          <t>Backpacks</t>
        </is>
      </c>
    </row>
    <row r="1388" ht="80" customHeight="1">
      <c r="A1388" s="6">
        <f>IMAGE("https://images.lululemon.com/is/image/lululemon/LU9CEIS_071534_1?wid=320&amp;op_usm=0.8",1)</f>
        <v/>
      </c>
      <c r="B1388" s="6" t="inlineStr">
        <is>
          <t>Racket Bag 19L</t>
        </is>
      </c>
      <c r="C1388" s="6" t="inlineStr">
        <is>
          <t>155725269</t>
        </is>
      </c>
      <c r="D1388" s="6" t="inlineStr">
        <is>
          <t>155725269-natural/black</t>
        </is>
      </c>
      <c r="E1388" s="6" t="inlineStr">
        <is>
          <t>Racket Bag CLBL/BLK ONE SIZE</t>
        </is>
      </c>
      <c r="F1388" s="6" t="inlineStr">
        <is>
          <t>$168.00</t>
        </is>
      </c>
      <c r="G1388" s="6" t="inlineStr">
        <is>
          <t>$84.00</t>
        </is>
      </c>
      <c r="H1388" s="6" t="inlineStr">
        <is>
          <t>Natural/Black</t>
        </is>
      </c>
      <c r="I1388" s="6">
        <f>IMAGE("https://images.lululemon.com/is/image/lululemon/11185",1)</f>
        <v/>
      </c>
      <c r="J1388" s="6" t="inlineStr">
        <is>
          <t>O/S</t>
        </is>
      </c>
      <c r="K1388" s="6" t="inlineStr">
        <is>
          <t>706/1258</t>
        </is>
      </c>
      <c r="L1388" s="6" t="inlineStr">
        <is>
          <t>Yes</t>
        </is>
      </c>
      <c r="M1388" s="6" t="inlineStr">
        <is>
          <t>This convertible backpack has room for snacks, shoes, and a change of clothes, while the detachable racket holder adjusts to fit two tennis, badminton, or pickleball rackets.</t>
        </is>
      </c>
      <c r="N1388" s="6" t="inlineStr">
        <is>
          <t>Racket-Bag-19L</t>
        </is>
      </c>
      <c r="O1388" s="6" t="inlineStr">
        <is>
          <t>Backpacks</t>
        </is>
      </c>
    </row>
    <row r="1389" ht="80" customHeight="1">
      <c r="A1389" s="7">
        <f>IMAGE("https://images.lululemon.com/is/image/lululemon/LM5BBXS_0001_1?wid=320&amp;op_usm=0.8",1)</f>
        <v/>
      </c>
      <c r="B1389" s="7" t="inlineStr">
        <is>
          <t>Soft Jersey Jogger *Regular</t>
        </is>
      </c>
      <c r="C1389" s="7" t="inlineStr">
        <is>
          <t>153832293</t>
        </is>
      </c>
      <c r="D1389" s="7" t="inlineStr">
        <is>
          <t>153832293-black</t>
        </is>
      </c>
      <c r="E1389" s="7" t="inlineStr">
        <is>
          <t>Soft Jersey Jogger *Regular BLK S</t>
        </is>
      </c>
      <c r="F1389" s="7" t="inlineStr">
        <is>
          <t>$98.00</t>
        </is>
      </c>
      <c r="G1389" s="7" t="inlineStr">
        <is>
          <t>$49.00</t>
        </is>
      </c>
      <c r="H1389" s="7" t="inlineStr">
        <is>
          <t>Black</t>
        </is>
      </c>
      <c r="I1389" s="7">
        <f>IMAGE("https://images.lululemon.com/is/image/lululemon/0001",1)</f>
        <v/>
      </c>
      <c r="J1389" s="7" t="inlineStr">
        <is>
          <t>S</t>
        </is>
      </c>
      <c r="K1389" s="7" t="inlineStr">
        <is>
          <t>26/206</t>
        </is>
      </c>
      <c r="L1389" s="7" t="inlineStr">
        <is>
          <t>Yes</t>
        </is>
      </c>
      <c r="M1389" s="7" t="inlineStr">
        <is>
          <t>Rest and reset. These lightweight joggers have a softly brushed interior that makes downtime irresistible.</t>
        </is>
      </c>
      <c r="N1389" s="7" t="inlineStr">
        <is>
          <t>Soft-Jersey-Jogger</t>
        </is>
      </c>
      <c r="O1389" s="7" t="inlineStr"/>
    </row>
    <row r="1390" ht="80" customHeight="1">
      <c r="A1390" s="4">
        <f>IMAGE("https://images.lululemon.com/is/image/lululemon/LM5BBXS_0001_1?wid=320&amp;op_usm=0.8",1)</f>
        <v/>
      </c>
      <c r="B1390" s="4" t="inlineStr">
        <is>
          <t>Soft Jersey Jogger *Regular</t>
        </is>
      </c>
      <c r="C1390" s="4" t="inlineStr">
        <is>
          <t>153832291</t>
        </is>
      </c>
      <c r="D1390" s="4" t="inlineStr">
        <is>
          <t>153832291-black</t>
        </is>
      </c>
      <c r="E1390" s="4" t="inlineStr">
        <is>
          <t>Soft Jersey Jogger *Regular BLK S</t>
        </is>
      </c>
      <c r="F1390" s="4" t="inlineStr">
        <is>
          <t>$98.00</t>
        </is>
      </c>
      <c r="G1390" s="4" t="inlineStr">
        <is>
          <t>$49.00</t>
        </is>
      </c>
      <c r="H1390" s="4" t="inlineStr">
        <is>
          <t>Black</t>
        </is>
      </c>
      <c r="I1390" s="4">
        <f>IMAGE("https://images.lululemon.com/is/image/lululemon/0001",1)</f>
        <v/>
      </c>
      <c r="J1390" s="4" t="inlineStr">
        <is>
          <t>M</t>
        </is>
      </c>
      <c r="K1390" s="4" t="inlineStr">
        <is>
          <t>61/206</t>
        </is>
      </c>
      <c r="L1390" s="4" t="inlineStr">
        <is>
          <t>Yes</t>
        </is>
      </c>
      <c r="M1390" s="4" t="inlineStr">
        <is>
          <t>Rest and reset. These lightweight joggers have a softly brushed interior that makes downtime irresistible.</t>
        </is>
      </c>
      <c r="N1390" s="4" t="inlineStr">
        <is>
          <t>Soft-Jersey-Jogger</t>
        </is>
      </c>
      <c r="O1390" s="4" t="inlineStr"/>
    </row>
    <row r="1391" ht="80" customHeight="1">
      <c r="A1391" s="7">
        <f>IMAGE("https://images.lululemon.com/is/image/lululemon/LM5BBXS_0001_1?wid=320&amp;op_usm=0.8",1)</f>
        <v/>
      </c>
      <c r="B1391" s="7" t="inlineStr">
        <is>
          <t>Soft Jersey Jogger *Regular</t>
        </is>
      </c>
      <c r="C1391" s="7" t="inlineStr">
        <is>
          <t>153832290</t>
        </is>
      </c>
      <c r="D1391" s="7" t="inlineStr">
        <is>
          <t>153832290-black</t>
        </is>
      </c>
      <c r="E1391" s="7" t="inlineStr">
        <is>
          <t>Soft Jersey Jogger *Regular BLK S</t>
        </is>
      </c>
      <c r="F1391" s="7" t="inlineStr">
        <is>
          <t>$98.00</t>
        </is>
      </c>
      <c r="G1391" s="7" t="inlineStr">
        <is>
          <t>$49.00</t>
        </is>
      </c>
      <c r="H1391" s="7" t="inlineStr">
        <is>
          <t>Black</t>
        </is>
      </c>
      <c r="I1391" s="7">
        <f>IMAGE("https://images.lululemon.com/is/image/lululemon/0001",1)</f>
        <v/>
      </c>
      <c r="J1391" s="7" t="inlineStr">
        <is>
          <t>L</t>
        </is>
      </c>
      <c r="K1391" s="7" t="inlineStr">
        <is>
          <t>70/206</t>
        </is>
      </c>
      <c r="L1391" s="7" t="inlineStr">
        <is>
          <t>Yes</t>
        </is>
      </c>
      <c r="M1391" s="7" t="inlineStr">
        <is>
          <t>Rest and reset. These lightweight joggers have a softly brushed interior that makes downtime irresistible.</t>
        </is>
      </c>
      <c r="N1391" s="7" t="inlineStr">
        <is>
          <t>Soft-Jersey-Jogger</t>
        </is>
      </c>
      <c r="O1391" s="7" t="inlineStr"/>
    </row>
    <row r="1392" ht="80" customHeight="1">
      <c r="A1392" s="4">
        <f>IMAGE("https://images.lululemon.com/is/image/lululemon/LM5BBXS_0001_1?wid=320&amp;op_usm=0.8",1)</f>
        <v/>
      </c>
      <c r="B1392" s="4" t="inlineStr">
        <is>
          <t>Soft Jersey Jogger *Regular</t>
        </is>
      </c>
      <c r="C1392" s="4" t="inlineStr">
        <is>
          <t>153832294</t>
        </is>
      </c>
      <c r="D1392" s="4" t="inlineStr">
        <is>
          <t>153832294-black</t>
        </is>
      </c>
      <c r="E1392" s="4" t="inlineStr">
        <is>
          <t>Soft Jersey Jogger *Regular BLK S</t>
        </is>
      </c>
      <c r="F1392" s="4" t="inlineStr">
        <is>
          <t>$98.00</t>
        </is>
      </c>
      <c r="G1392" s="4" t="inlineStr">
        <is>
          <t>$49.00</t>
        </is>
      </c>
      <c r="H1392" s="4" t="inlineStr">
        <is>
          <t>Black</t>
        </is>
      </c>
      <c r="I1392" s="4">
        <f>IMAGE("https://images.lululemon.com/is/image/lululemon/0001",1)</f>
        <v/>
      </c>
      <c r="J1392" s="4" t="inlineStr">
        <is>
          <t>XL</t>
        </is>
      </c>
      <c r="K1392" s="4" t="inlineStr">
        <is>
          <t>38/206</t>
        </is>
      </c>
      <c r="L1392" s="4" t="inlineStr">
        <is>
          <t>Yes</t>
        </is>
      </c>
      <c r="M1392" s="4" t="inlineStr">
        <is>
          <t>Rest and reset. These lightweight joggers have a softly brushed interior that makes downtime irresistible.</t>
        </is>
      </c>
      <c r="N1392" s="4" t="inlineStr">
        <is>
          <t>Soft-Jersey-Jogger</t>
        </is>
      </c>
      <c r="O1392" s="4" t="inlineStr"/>
    </row>
    <row r="1393" ht="80" customHeight="1">
      <c r="A1393" s="5">
        <f>IMAGE("https://images.lululemon.com/is/image/lululemon/LM5BBXS_0001_1?wid=320&amp;op_usm=0.8",1)</f>
        <v/>
      </c>
      <c r="B1393" s="5" t="inlineStr">
        <is>
          <t>Soft Jersey Jogger *Regular</t>
        </is>
      </c>
      <c r="C1393" s="5" t="inlineStr">
        <is>
          <t>153832297</t>
        </is>
      </c>
      <c r="D1393" s="5" t="inlineStr">
        <is>
          <t>153832297-black</t>
        </is>
      </c>
      <c r="E1393" s="5" t="inlineStr">
        <is>
          <t>Soft Jersey Jogger *Regular BLK S</t>
        </is>
      </c>
      <c r="F1393" s="5" t="inlineStr">
        <is>
          <t>$98.00</t>
        </is>
      </c>
      <c r="G1393" s="5" t="inlineStr">
        <is>
          <t>$49.00</t>
        </is>
      </c>
      <c r="H1393" s="5" t="inlineStr">
        <is>
          <t>Black</t>
        </is>
      </c>
      <c r="I1393" s="5">
        <f>IMAGE("https://images.lululemon.com/is/image/lululemon/0001",1)</f>
        <v/>
      </c>
      <c r="J1393" s="5" t="inlineStr">
        <is>
          <t>XXL</t>
        </is>
      </c>
      <c r="K1393" s="5" t="inlineStr">
        <is>
          <t>11/206</t>
        </is>
      </c>
      <c r="L1393" s="5" t="inlineStr">
        <is>
          <t>Yes</t>
        </is>
      </c>
      <c r="M1393" s="5" t="inlineStr">
        <is>
          <t>Rest and reset. These lightweight joggers have a softly brushed interior that makes downtime irresistible.</t>
        </is>
      </c>
      <c r="N1393" s="5" t="inlineStr">
        <is>
          <t>Soft-Jersey-Jogger</t>
        </is>
      </c>
      <c r="O1393" s="5" t="inlineStr"/>
    </row>
    <row r="1394" ht="80" customHeight="1">
      <c r="A1394" s="6">
        <f>IMAGE("https://images.lululemon.com/is/image/lululemon/LU9CM5S_043646_1?wid=320&amp;op_usm=0.8",1)</f>
        <v/>
      </c>
      <c r="B1394" s="6" t="inlineStr">
        <is>
          <t>Double-Zip Backpack 22L *Tech Canvas</t>
        </is>
      </c>
      <c r="C1394" s="6" t="inlineStr">
        <is>
          <t>158020669</t>
        </is>
      </c>
      <c r="D1394" s="6" t="inlineStr">
        <is>
          <t>158020669-black/graphitegrey</t>
        </is>
      </c>
      <c r="E1394" s="6" t="inlineStr">
        <is>
          <t>Double-Zip Backpack *Tech Canvas BLK/GGRE ONE SIZE</t>
        </is>
      </c>
      <c r="F1394" s="6" t="inlineStr">
        <is>
          <t>$128.00</t>
        </is>
      </c>
      <c r="G1394" s="6" t="inlineStr">
        <is>
          <t>$64.00</t>
        </is>
      </c>
      <c r="H1394" s="6" t="inlineStr">
        <is>
          <t>Black/Graphite Grey</t>
        </is>
      </c>
      <c r="I1394" s="6">
        <f>IMAGE("https://images.lululemon.com/is/image/lululemon/43646",1)</f>
        <v/>
      </c>
      <c r="J1394" s="6" t="inlineStr">
        <is>
          <t>O/S</t>
        </is>
      </c>
      <c r="K1394" s="6" t="inlineStr">
        <is>
          <t>111/111</t>
        </is>
      </c>
      <c r="L1394" s="6" t="inlineStr">
        <is>
          <t>Yes</t>
        </is>
      </c>
      <c r="M1394" s="6" t="inlineStr">
        <is>
          <t>Laptop, lunch, and gear—bring it all. This backpack has zippered pockets inside and out to keep your phone, chargers, and other essentials organized and easy to access.</t>
        </is>
      </c>
      <c r="N1394" s="6" t="inlineStr">
        <is>
          <t>Double-Zip-Backpack-22L-Tech-Canvas</t>
        </is>
      </c>
      <c r="O1394" s="6" t="inlineStr">
        <is>
          <t>Backpacks</t>
        </is>
      </c>
    </row>
    <row r="1395" ht="80" customHeight="1">
      <c r="A1395" s="7">
        <f>IMAGE("https://images.lululemon.com/is/image/lululemon/LM5AWTS_031382_1?wid=320&amp;op_usm=0.8",1)</f>
        <v/>
      </c>
      <c r="B1395" s="7" t="inlineStr">
        <is>
          <t>ABC Classic-Fit Golf Trouser 32L</t>
        </is>
      </c>
      <c r="C1395" s="7" t="inlineStr">
        <is>
          <t>153101475</t>
        </is>
      </c>
      <c r="D1395" s="7" t="inlineStr">
        <is>
          <t>153101475-truenavy</t>
        </is>
      </c>
      <c r="E1395" s="7" t="inlineStr">
        <is>
          <t>ABC Classic-Fit Golf Trouser 32L TRNV 28</t>
        </is>
      </c>
      <c r="F1395" s="7" t="inlineStr">
        <is>
          <t>$148.00</t>
        </is>
      </c>
      <c r="G1395" s="7" t="inlineStr">
        <is>
          <t>$74.00</t>
        </is>
      </c>
      <c r="H1395" s="7" t="inlineStr">
        <is>
          <t>True Navy</t>
        </is>
      </c>
      <c r="I1395" s="7">
        <f>IMAGE("https://images.lululemon.com/is/image/lululemon/31382",1)</f>
        <v/>
      </c>
      <c r="J1395" s="7" t="inlineStr">
        <is>
          <t>28</t>
        </is>
      </c>
      <c r="K1395" s="7" t="inlineStr">
        <is>
          <t>11/320</t>
        </is>
      </c>
      <c r="L1395" s="7" t="inlineStr">
        <is>
          <t>Yes</t>
        </is>
      </c>
      <c r="M1395" s="7" t="inlineStr">
        <is>
          <t>From first swing to the final round, these golf pants are at the top of their game. Integrated ventilation and stretch fabric deliver comfort that lasts on and off the course.</t>
        </is>
      </c>
      <c r="N1395" s="7" t="inlineStr">
        <is>
          <t>ABC-Classic-Fit-Golf-Trouser-32L</t>
        </is>
      </c>
      <c r="O1395" s="7" t="inlineStr">
        <is>
          <t>Chinos</t>
        </is>
      </c>
    </row>
    <row r="1396" ht="80" customHeight="1">
      <c r="A1396" s="4">
        <f>IMAGE("https://images.lululemon.com/is/image/lululemon/LM5AWTS_031382_1?wid=320&amp;op_usm=0.8",1)</f>
        <v/>
      </c>
      <c r="B1396" s="4" t="inlineStr">
        <is>
          <t>ABC Classic-Fit Golf Trouser 32L</t>
        </is>
      </c>
      <c r="C1396" s="4" t="inlineStr">
        <is>
          <t>153101477</t>
        </is>
      </c>
      <c r="D1396" s="4" t="inlineStr">
        <is>
          <t>153101477-truenavy</t>
        </is>
      </c>
      <c r="E1396" s="4" t="inlineStr">
        <is>
          <t>ABC Classic-Fit Golf Trouser 32L TRNV 28</t>
        </is>
      </c>
      <c r="F1396" s="4" t="inlineStr">
        <is>
          <t>$148.00</t>
        </is>
      </c>
      <c r="G1396" s="4" t="inlineStr">
        <is>
          <t>$74.00</t>
        </is>
      </c>
      <c r="H1396" s="4" t="inlineStr">
        <is>
          <t>True Navy</t>
        </is>
      </c>
      <c r="I1396" s="4">
        <f>IMAGE("https://images.lululemon.com/is/image/lululemon/31382",1)</f>
        <v/>
      </c>
      <c r="J1396" s="4" t="inlineStr">
        <is>
          <t>30</t>
        </is>
      </c>
      <c r="K1396" s="4" t="inlineStr">
        <is>
          <t>31/320</t>
        </is>
      </c>
      <c r="L1396" s="4" t="inlineStr">
        <is>
          <t>Yes</t>
        </is>
      </c>
      <c r="M1396" s="4" t="inlineStr">
        <is>
          <t>From first swing to the final round, these golf pants are at the top of their game. Integrated ventilation and stretch fabric deliver comfort that lasts on and off the course.</t>
        </is>
      </c>
      <c r="N1396" s="4" t="inlineStr">
        <is>
          <t>ABC-Classic-Fit-Golf-Trouser-32L</t>
        </is>
      </c>
      <c r="O1396" s="4" t="inlineStr">
        <is>
          <t>Chinos</t>
        </is>
      </c>
    </row>
    <row r="1397" ht="80" customHeight="1">
      <c r="A1397" s="7">
        <f>IMAGE("https://images.lululemon.com/is/image/lululemon/LM5AWTS_031382_1?wid=320&amp;op_usm=0.8",1)</f>
        <v/>
      </c>
      <c r="B1397" s="7" t="inlineStr">
        <is>
          <t>ABC Classic-Fit Golf Trouser 32L</t>
        </is>
      </c>
      <c r="C1397" s="7" t="inlineStr">
        <is>
          <t>153101478</t>
        </is>
      </c>
      <c r="D1397" s="7" t="inlineStr">
        <is>
          <t>153101478-truenavy</t>
        </is>
      </c>
      <c r="E1397" s="7" t="inlineStr">
        <is>
          <t>ABC Classic-Fit Golf Trouser 32L TRNV 28</t>
        </is>
      </c>
      <c r="F1397" s="7" t="inlineStr">
        <is>
          <t>$148.00</t>
        </is>
      </c>
      <c r="G1397" s="7" t="inlineStr">
        <is>
          <t>$74.00</t>
        </is>
      </c>
      <c r="H1397" s="7" t="inlineStr">
        <is>
          <t>True Navy</t>
        </is>
      </c>
      <c r="I1397" s="7">
        <f>IMAGE("https://images.lululemon.com/is/image/lululemon/31382",1)</f>
        <v/>
      </c>
      <c r="J1397" s="7" t="inlineStr">
        <is>
          <t>31</t>
        </is>
      </c>
      <c r="K1397" s="7" t="inlineStr">
        <is>
          <t>23/320</t>
        </is>
      </c>
      <c r="L1397" s="7" t="inlineStr">
        <is>
          <t>Yes</t>
        </is>
      </c>
      <c r="M1397" s="7" t="inlineStr">
        <is>
          <t>From first swing to the final round, these golf pants are at the top of their game. Integrated ventilation and stretch fabric deliver comfort that lasts on and off the course.</t>
        </is>
      </c>
      <c r="N1397" s="7" t="inlineStr">
        <is>
          <t>ABC-Classic-Fit-Golf-Trouser-32L</t>
        </is>
      </c>
      <c r="O1397" s="7" t="inlineStr">
        <is>
          <t>Chinos</t>
        </is>
      </c>
    </row>
    <row r="1398" ht="80" customHeight="1">
      <c r="A1398" s="4">
        <f>IMAGE("https://images.lululemon.com/is/image/lululemon/LM5AWTS_031382_1?wid=320&amp;op_usm=0.8",1)</f>
        <v/>
      </c>
      <c r="B1398" s="4" t="inlineStr">
        <is>
          <t>ABC Classic-Fit Golf Trouser 32L</t>
        </is>
      </c>
      <c r="C1398" s="4" t="inlineStr">
        <is>
          <t>153101479</t>
        </is>
      </c>
      <c r="D1398" s="4" t="inlineStr">
        <is>
          <t>153101479-truenavy</t>
        </is>
      </c>
      <c r="E1398" s="4" t="inlineStr">
        <is>
          <t>ABC Classic-Fit Golf Trouser 32L TRNV 28</t>
        </is>
      </c>
      <c r="F1398" s="4" t="inlineStr">
        <is>
          <t>$148.00</t>
        </is>
      </c>
      <c r="G1398" s="4" t="inlineStr">
        <is>
          <t>$74.00</t>
        </is>
      </c>
      <c r="H1398" s="4" t="inlineStr">
        <is>
          <t>True Navy</t>
        </is>
      </c>
      <c r="I1398" s="4">
        <f>IMAGE("https://images.lululemon.com/is/image/lululemon/31382",1)</f>
        <v/>
      </c>
      <c r="J1398" s="4" t="inlineStr">
        <is>
          <t>32</t>
        </is>
      </c>
      <c r="K1398" s="4" t="inlineStr">
        <is>
          <t>66/320</t>
        </is>
      </c>
      <c r="L1398" s="4" t="inlineStr">
        <is>
          <t>Yes</t>
        </is>
      </c>
      <c r="M1398" s="4" t="inlineStr">
        <is>
          <t>From first swing to the final round, these golf pants are at the top of their game. Integrated ventilation and stretch fabric deliver comfort that lasts on and off the course.</t>
        </is>
      </c>
      <c r="N1398" s="4" t="inlineStr">
        <is>
          <t>ABC-Classic-Fit-Golf-Trouser-32L</t>
        </is>
      </c>
      <c r="O1398" s="4" t="inlineStr">
        <is>
          <t>Chinos</t>
        </is>
      </c>
    </row>
    <row r="1399" ht="80" customHeight="1">
      <c r="A1399" s="7">
        <f>IMAGE("https://images.lululemon.com/is/image/lululemon/LM5AWTS_031382_1?wid=320&amp;op_usm=0.8",1)</f>
        <v/>
      </c>
      <c r="B1399" s="7" t="inlineStr">
        <is>
          <t>ABC Classic-Fit Golf Trouser 32L</t>
        </is>
      </c>
      <c r="C1399" s="7" t="inlineStr">
        <is>
          <t>153101480</t>
        </is>
      </c>
      <c r="D1399" s="7" t="inlineStr">
        <is>
          <t>153101480-truenavy</t>
        </is>
      </c>
      <c r="E1399" s="7" t="inlineStr">
        <is>
          <t>ABC Classic-Fit Golf Trouser 32L TRNV 28</t>
        </is>
      </c>
      <c r="F1399" s="7" t="inlineStr">
        <is>
          <t>$148.00</t>
        </is>
      </c>
      <c r="G1399" s="7" t="inlineStr">
        <is>
          <t>$74.00</t>
        </is>
      </c>
      <c r="H1399" s="7" t="inlineStr">
        <is>
          <t>True Navy</t>
        </is>
      </c>
      <c r="I1399" s="7">
        <f>IMAGE("https://images.lululemon.com/is/image/lululemon/31382",1)</f>
        <v/>
      </c>
      <c r="J1399" s="7" t="inlineStr">
        <is>
          <t>33</t>
        </is>
      </c>
      <c r="K1399" s="7" t="inlineStr">
        <is>
          <t>31/320</t>
        </is>
      </c>
      <c r="L1399" s="7" t="inlineStr">
        <is>
          <t>Yes</t>
        </is>
      </c>
      <c r="M1399" s="7" t="inlineStr">
        <is>
          <t>From first swing to the final round, these golf pants are at the top of their game. Integrated ventilation and stretch fabric deliver comfort that lasts on and off the course.</t>
        </is>
      </c>
      <c r="N1399" s="7" t="inlineStr">
        <is>
          <t>ABC-Classic-Fit-Golf-Trouser-32L</t>
        </is>
      </c>
      <c r="O1399" s="7" t="inlineStr">
        <is>
          <t>Chinos</t>
        </is>
      </c>
    </row>
    <row r="1400" ht="80" customHeight="1">
      <c r="A1400" s="4">
        <f>IMAGE("https://images.lululemon.com/is/image/lululemon/LM5AWTS_031382_1?wid=320&amp;op_usm=0.8",1)</f>
        <v/>
      </c>
      <c r="B1400" s="4" t="inlineStr">
        <is>
          <t>ABC Classic-Fit Golf Trouser 32L</t>
        </is>
      </c>
      <c r="C1400" s="4" t="inlineStr">
        <is>
          <t>153101481</t>
        </is>
      </c>
      <c r="D1400" s="4" t="inlineStr">
        <is>
          <t>153101481-truenavy</t>
        </is>
      </c>
      <c r="E1400" s="4" t="inlineStr">
        <is>
          <t>ABC Classic-Fit Golf Trouser 32L TRNV 28</t>
        </is>
      </c>
      <c r="F1400" s="4" t="inlineStr">
        <is>
          <t>$148.00</t>
        </is>
      </c>
      <c r="G1400" s="4" t="inlineStr">
        <is>
          <t>$74.00</t>
        </is>
      </c>
      <c r="H1400" s="4" t="inlineStr">
        <is>
          <t>True Navy</t>
        </is>
      </c>
      <c r="I1400" s="4">
        <f>IMAGE("https://images.lululemon.com/is/image/lululemon/31382",1)</f>
        <v/>
      </c>
      <c r="J1400" s="4" t="inlineStr">
        <is>
          <t>34</t>
        </is>
      </c>
      <c r="K1400" s="4" t="inlineStr">
        <is>
          <t>44/320</t>
        </is>
      </c>
      <c r="L1400" s="4" t="inlineStr">
        <is>
          <t>Yes</t>
        </is>
      </c>
      <c r="M1400" s="4" t="inlineStr">
        <is>
          <t>From first swing to the final round, these golf pants are at the top of their game. Integrated ventilation and stretch fabric deliver comfort that lasts on and off the course.</t>
        </is>
      </c>
      <c r="N1400" s="4" t="inlineStr">
        <is>
          <t>ABC-Classic-Fit-Golf-Trouser-32L</t>
        </is>
      </c>
      <c r="O1400" s="4" t="inlineStr">
        <is>
          <t>Chinos</t>
        </is>
      </c>
    </row>
    <row r="1401" ht="80" customHeight="1">
      <c r="A1401" s="7">
        <f>IMAGE("https://images.lululemon.com/is/image/lululemon/LM5AWTS_031382_1?wid=320&amp;op_usm=0.8",1)</f>
        <v/>
      </c>
      <c r="B1401" s="7" t="inlineStr">
        <is>
          <t>ABC Classic-Fit Golf Trouser 32L</t>
        </is>
      </c>
      <c r="C1401" s="7" t="inlineStr">
        <is>
          <t>153101483</t>
        </is>
      </c>
      <c r="D1401" s="7" t="inlineStr">
        <is>
          <t>153101483-truenavy</t>
        </is>
      </c>
      <c r="E1401" s="7" t="inlineStr">
        <is>
          <t>ABC Classic-Fit Golf Trouser 32L TRNV 28</t>
        </is>
      </c>
      <c r="F1401" s="7" t="inlineStr">
        <is>
          <t>$148.00</t>
        </is>
      </c>
      <c r="G1401" s="7" t="inlineStr">
        <is>
          <t>$74.00</t>
        </is>
      </c>
      <c r="H1401" s="7" t="inlineStr">
        <is>
          <t>True Navy</t>
        </is>
      </c>
      <c r="I1401" s="7">
        <f>IMAGE("https://images.lululemon.com/is/image/lululemon/31382",1)</f>
        <v/>
      </c>
      <c r="J1401" s="7" t="inlineStr">
        <is>
          <t>36</t>
        </is>
      </c>
      <c r="K1401" s="7" t="inlineStr">
        <is>
          <t>70/320</t>
        </is>
      </c>
      <c r="L1401" s="7" t="inlineStr">
        <is>
          <t>Yes</t>
        </is>
      </c>
      <c r="M1401" s="7" t="inlineStr">
        <is>
          <t>From first swing to the final round, these golf pants are at the top of their game. Integrated ventilation and stretch fabric deliver comfort that lasts on and off the course.</t>
        </is>
      </c>
      <c r="N1401" s="7" t="inlineStr">
        <is>
          <t>ABC-Classic-Fit-Golf-Trouser-32L</t>
        </is>
      </c>
      <c r="O1401" s="7" t="inlineStr">
        <is>
          <t>Chinos</t>
        </is>
      </c>
    </row>
    <row r="1402" ht="80" customHeight="1">
      <c r="A1402" s="4">
        <f>IMAGE("https://images.lululemon.com/is/image/lululemon/LM5AWTS_031382_1?wid=320&amp;op_usm=0.8",1)</f>
        <v/>
      </c>
      <c r="B1402" s="4" t="inlineStr">
        <is>
          <t>ABC Classic-Fit Golf Trouser 32L</t>
        </is>
      </c>
      <c r="C1402" s="4" t="inlineStr">
        <is>
          <t>153101485</t>
        </is>
      </c>
      <c r="D1402" s="4" t="inlineStr">
        <is>
          <t>153101485-truenavy</t>
        </is>
      </c>
      <c r="E1402" s="4" t="inlineStr">
        <is>
          <t>ABC Classic-Fit Golf Trouser 32L TRNV 28</t>
        </is>
      </c>
      <c r="F1402" s="4" t="inlineStr">
        <is>
          <t>$148.00</t>
        </is>
      </c>
      <c r="G1402" s="4" t="inlineStr">
        <is>
          <t>$74.00</t>
        </is>
      </c>
      <c r="H1402" s="4" t="inlineStr">
        <is>
          <t>True Navy</t>
        </is>
      </c>
      <c r="I1402" s="4">
        <f>IMAGE("https://images.lululemon.com/is/image/lululemon/31382",1)</f>
        <v/>
      </c>
      <c r="J1402" s="4" t="inlineStr">
        <is>
          <t>38</t>
        </is>
      </c>
      <c r="K1402" s="4" t="inlineStr">
        <is>
          <t>28/320</t>
        </is>
      </c>
      <c r="L1402" s="4" t="inlineStr">
        <is>
          <t>Yes</t>
        </is>
      </c>
      <c r="M1402" s="4" t="inlineStr">
        <is>
          <t>From first swing to the final round, these golf pants are at the top of their game. Integrated ventilation and stretch fabric deliver comfort that lasts on and off the course.</t>
        </is>
      </c>
      <c r="N1402" s="4" t="inlineStr">
        <is>
          <t>ABC-Classic-Fit-Golf-Trouser-32L</t>
        </is>
      </c>
      <c r="O1402" s="4" t="inlineStr">
        <is>
          <t>Chinos</t>
        </is>
      </c>
    </row>
    <row r="1403" ht="80" customHeight="1">
      <c r="A1403" s="5">
        <f>IMAGE("https://images.lululemon.com/is/image/lululemon/LM5AWTS_031382_1?wid=320&amp;op_usm=0.8",1)</f>
        <v/>
      </c>
      <c r="B1403" s="5" t="inlineStr">
        <is>
          <t>ABC Classic-Fit Golf Trouser 32L</t>
        </is>
      </c>
      <c r="C1403" s="5" t="inlineStr">
        <is>
          <t>153101487</t>
        </is>
      </c>
      <c r="D1403" s="5" t="inlineStr">
        <is>
          <t>153101487-truenavy</t>
        </is>
      </c>
      <c r="E1403" s="5" t="inlineStr">
        <is>
          <t>ABC Classic-Fit Golf Trouser 32L TRNV 28</t>
        </is>
      </c>
      <c r="F1403" s="5" t="inlineStr">
        <is>
          <t>$148.00</t>
        </is>
      </c>
      <c r="G1403" s="5" t="inlineStr">
        <is>
          <t>$74.00</t>
        </is>
      </c>
      <c r="H1403" s="5" t="inlineStr">
        <is>
          <t>True Navy</t>
        </is>
      </c>
      <c r="I1403" s="5">
        <f>IMAGE("https://images.lululemon.com/is/image/lululemon/31382",1)</f>
        <v/>
      </c>
      <c r="J1403" s="5" t="inlineStr">
        <is>
          <t>40</t>
        </is>
      </c>
      <c r="K1403" s="5" t="inlineStr">
        <is>
          <t>16/320</t>
        </is>
      </c>
      <c r="L1403" s="5" t="inlineStr">
        <is>
          <t>Yes</t>
        </is>
      </c>
      <c r="M1403" s="5" t="inlineStr">
        <is>
          <t>From first swing to the final round, these golf pants are at the top of their game. Integrated ventilation and stretch fabric deliver comfort that lasts on and off the course.</t>
        </is>
      </c>
      <c r="N1403" s="5" t="inlineStr">
        <is>
          <t>ABC-Classic-Fit-Golf-Trouser-32L</t>
        </is>
      </c>
      <c r="O1403" s="5" t="inlineStr">
        <is>
          <t>Chinos</t>
        </is>
      </c>
    </row>
    <row r="1404" ht="80" customHeight="1">
      <c r="A1404" s="4">
        <f>IMAGE("https://images.lululemon.com/is/image/lululemon/LM3GGDS_0001_1?wid=320&amp;op_usm=0.8",1)</f>
        <v/>
      </c>
      <c r="B1404" s="4" t="inlineStr">
        <is>
          <t>Water-Repellent Quarter-Zip Golf Shell</t>
        </is>
      </c>
      <c r="C1404" s="4" t="inlineStr">
        <is>
          <t>158096566</t>
        </is>
      </c>
      <c r="D1404" s="4" t="inlineStr">
        <is>
          <t>158096566-black</t>
        </is>
      </c>
      <c r="E1404" s="4" t="inlineStr">
        <is>
          <t>Water-Repellent 1/4 Zip Golf Shell BLK S</t>
        </is>
      </c>
      <c r="F1404" s="4" t="inlineStr">
        <is>
          <t>$198.00</t>
        </is>
      </c>
      <c r="G1404" s="4" t="inlineStr">
        <is>
          <t>$99.00</t>
        </is>
      </c>
      <c r="H1404" s="4" t="inlineStr">
        <is>
          <t>Black</t>
        </is>
      </c>
      <c r="I1404" s="4">
        <f>IMAGE("https://images.lululemon.com/is/image/lululemon/0001",1)</f>
        <v/>
      </c>
      <c r="J1404" s="4" t="inlineStr">
        <is>
          <t>S</t>
        </is>
      </c>
      <c r="K1404" s="4" t="inlineStr">
        <is>
          <t>19/383</t>
        </is>
      </c>
      <c r="L1404" s="4" t="inlineStr">
        <is>
          <t>Yes</t>
        </is>
      </c>
      <c r="M1404" s="4" t="inlineStr">
        <is>
          <t>Stay in play. Lightly insulated at the front and back for added warmth, this water-repellent golf shell helps keep you dry and cozy during misty morning rounds.</t>
        </is>
      </c>
      <c r="N1404" s="4" t="inlineStr">
        <is>
          <t>Water-Repellent-Quarter-Zip-Golf-Shell</t>
        </is>
      </c>
      <c r="O1404" s="4" t="inlineStr"/>
    </row>
    <row r="1405" ht="80" customHeight="1">
      <c r="A1405" s="7">
        <f>IMAGE("https://images.lululemon.com/is/image/lululemon/LM3GGDS_0001_1?wid=320&amp;op_usm=0.8",1)</f>
        <v/>
      </c>
      <c r="B1405" s="7" t="inlineStr">
        <is>
          <t>Water-Repellent Quarter-Zip Golf Shell</t>
        </is>
      </c>
      <c r="C1405" s="7" t="inlineStr">
        <is>
          <t>158096562</t>
        </is>
      </c>
      <c r="D1405" s="7" t="inlineStr">
        <is>
          <t>158096562-black</t>
        </is>
      </c>
      <c r="E1405" s="7" t="inlineStr">
        <is>
          <t>Water-Repellent 1/4 Zip Golf Shell BLK S</t>
        </is>
      </c>
      <c r="F1405" s="7" t="inlineStr">
        <is>
          <t>$198.00</t>
        </is>
      </c>
      <c r="G1405" s="7" t="inlineStr">
        <is>
          <t>$99.00</t>
        </is>
      </c>
      <c r="H1405" s="7" t="inlineStr">
        <is>
          <t>Black</t>
        </is>
      </c>
      <c r="I1405" s="7">
        <f>IMAGE("https://images.lululemon.com/is/image/lululemon/0001",1)</f>
        <v/>
      </c>
      <c r="J1405" s="7" t="inlineStr">
        <is>
          <t>M</t>
        </is>
      </c>
      <c r="K1405" s="7" t="inlineStr">
        <is>
          <t>49/383</t>
        </is>
      </c>
      <c r="L1405" s="7" t="inlineStr">
        <is>
          <t>Yes</t>
        </is>
      </c>
      <c r="M1405" s="7" t="inlineStr">
        <is>
          <t>Stay in play. Lightly insulated at the front and back for added warmth, this water-repellent golf shell helps keep you dry and cozy during misty morning rounds.</t>
        </is>
      </c>
      <c r="N1405" s="7" t="inlineStr">
        <is>
          <t>Water-Repellent-Quarter-Zip-Golf-Shell</t>
        </is>
      </c>
      <c r="O1405" s="7" t="inlineStr"/>
    </row>
    <row r="1406" ht="80" customHeight="1">
      <c r="A1406" s="4">
        <f>IMAGE("https://images.lululemon.com/is/image/lululemon/LM3GGDS_0001_1?wid=320&amp;op_usm=0.8",1)</f>
        <v/>
      </c>
      <c r="B1406" s="4" t="inlineStr">
        <is>
          <t>Water-Repellent Quarter-Zip Golf Shell</t>
        </is>
      </c>
      <c r="C1406" s="4" t="inlineStr">
        <is>
          <t>158096556</t>
        </is>
      </c>
      <c r="D1406" s="4" t="inlineStr">
        <is>
          <t>158096556-black</t>
        </is>
      </c>
      <c r="E1406" s="4" t="inlineStr">
        <is>
          <t>Water-Repellent 1/4 Zip Golf Shell BLK S</t>
        </is>
      </c>
      <c r="F1406" s="4" t="inlineStr">
        <is>
          <t>$198.00</t>
        </is>
      </c>
      <c r="G1406" s="4" t="inlineStr">
        <is>
          <t>$99.00</t>
        </is>
      </c>
      <c r="H1406" s="4" t="inlineStr">
        <is>
          <t>Black</t>
        </is>
      </c>
      <c r="I1406" s="4">
        <f>IMAGE("https://images.lululemon.com/is/image/lululemon/0001",1)</f>
        <v/>
      </c>
      <c r="J1406" s="4" t="inlineStr">
        <is>
          <t>L</t>
        </is>
      </c>
      <c r="K1406" s="4" t="inlineStr">
        <is>
          <t>66/383</t>
        </is>
      </c>
      <c r="L1406" s="4" t="inlineStr">
        <is>
          <t>Yes</t>
        </is>
      </c>
      <c r="M1406" s="4" t="inlineStr">
        <is>
          <t>Stay in play. Lightly insulated at the front and back for added warmth, this water-repellent golf shell helps keep you dry and cozy during misty morning rounds.</t>
        </is>
      </c>
      <c r="N1406" s="4" t="inlineStr">
        <is>
          <t>Water-Repellent-Quarter-Zip-Golf-Shell</t>
        </is>
      </c>
      <c r="O1406" s="4" t="inlineStr"/>
    </row>
    <row r="1407" ht="80" customHeight="1">
      <c r="A1407" s="7">
        <f>IMAGE("https://images.lululemon.com/is/image/lululemon/LM3GGDS_0001_1?wid=320&amp;op_usm=0.8",1)</f>
        <v/>
      </c>
      <c r="B1407" s="7" t="inlineStr">
        <is>
          <t>Water-Repellent Quarter-Zip Golf Shell</t>
        </is>
      </c>
      <c r="C1407" s="7" t="inlineStr">
        <is>
          <t>158096571</t>
        </is>
      </c>
      <c r="D1407" s="7" t="inlineStr">
        <is>
          <t>158096571-black</t>
        </is>
      </c>
      <c r="E1407" s="7" t="inlineStr">
        <is>
          <t>Water-Repellent 1/4 Zip Golf Shell BLK S</t>
        </is>
      </c>
      <c r="F1407" s="7" t="inlineStr">
        <is>
          <t>$198.00</t>
        </is>
      </c>
      <c r="G1407" s="7" t="inlineStr">
        <is>
          <t>$99.00</t>
        </is>
      </c>
      <c r="H1407" s="7" t="inlineStr">
        <is>
          <t>Black</t>
        </is>
      </c>
      <c r="I1407" s="7">
        <f>IMAGE("https://images.lululemon.com/is/image/lululemon/0001",1)</f>
        <v/>
      </c>
      <c r="J1407" s="7" t="inlineStr">
        <is>
          <t>XL</t>
        </is>
      </c>
      <c r="K1407" s="7" t="inlineStr">
        <is>
          <t>46/383</t>
        </is>
      </c>
      <c r="L1407" s="7" t="inlineStr">
        <is>
          <t>Yes</t>
        </is>
      </c>
      <c r="M1407" s="7" t="inlineStr">
        <is>
          <t>Stay in play. Lightly insulated at the front and back for added warmth, this water-repellent golf shell helps keep you dry and cozy during misty morning rounds.</t>
        </is>
      </c>
      <c r="N1407" s="7" t="inlineStr">
        <is>
          <t>Water-Repellent-Quarter-Zip-Golf-Shell</t>
        </is>
      </c>
      <c r="O1407" s="7" t="inlineStr"/>
    </row>
    <row r="1408" ht="80" customHeight="1">
      <c r="A1408" s="4">
        <f>IMAGE("https://images.lululemon.com/is/image/lululemon/LM3GGDS_0001_1?wid=320&amp;op_usm=0.8",1)</f>
        <v/>
      </c>
      <c r="B1408" s="4" t="inlineStr">
        <is>
          <t>Water-Repellent Quarter-Zip Golf Shell</t>
        </is>
      </c>
      <c r="C1408" s="4" t="inlineStr">
        <is>
          <t>158096580</t>
        </is>
      </c>
      <c r="D1408" s="4" t="inlineStr">
        <is>
          <t>158096580-black</t>
        </is>
      </c>
      <c r="E1408" s="4" t="inlineStr">
        <is>
          <t>Water-Repellent 1/4 Zip Golf Shell BLK S</t>
        </is>
      </c>
      <c r="F1408" s="4" t="inlineStr">
        <is>
          <t>$198.00</t>
        </is>
      </c>
      <c r="G1408" s="4" t="inlineStr">
        <is>
          <t>$99.00</t>
        </is>
      </c>
      <c r="H1408" s="4" t="inlineStr">
        <is>
          <t>Black</t>
        </is>
      </c>
      <c r="I1408" s="4">
        <f>IMAGE("https://images.lululemon.com/is/image/lululemon/0001",1)</f>
        <v/>
      </c>
      <c r="J1408" s="4" t="inlineStr">
        <is>
          <t>XXL</t>
        </is>
      </c>
      <c r="K1408" s="4" t="inlineStr">
        <is>
          <t>16/383</t>
        </is>
      </c>
      <c r="L1408" s="4" t="inlineStr">
        <is>
          <t>Yes</t>
        </is>
      </c>
      <c r="M1408" s="4" t="inlineStr">
        <is>
          <t>Stay in play. Lightly insulated at the front and back for added warmth, this water-repellent golf shell helps keep you dry and cozy during misty morning rounds.</t>
        </is>
      </c>
      <c r="N1408" s="4" t="inlineStr">
        <is>
          <t>Water-Repellent-Quarter-Zip-Golf-Shell</t>
        </is>
      </c>
      <c r="O1408" s="4" t="inlineStr"/>
    </row>
    <row r="1409" ht="80" customHeight="1">
      <c r="A1409" s="7">
        <f>IMAGE("https://images.lululemon.com/is/image/lululemon/LM3GGDS_0001_1?wid=320&amp;op_usm=0.8",1)</f>
        <v/>
      </c>
      <c r="B1409" s="7" t="inlineStr">
        <is>
          <t>Water-Repellent Quarter-Zip Golf Shell</t>
        </is>
      </c>
      <c r="C1409" s="7" t="inlineStr">
        <is>
          <t>158096596</t>
        </is>
      </c>
      <c r="D1409" s="7" t="inlineStr">
        <is>
          <t>158096596-sheeroak</t>
        </is>
      </c>
      <c r="E1409" s="7" t="inlineStr">
        <is>
          <t>Water-Repellent 1/4 Zip Golf Shell BLK S</t>
        </is>
      </c>
      <c r="F1409" s="7" t="inlineStr">
        <is>
          <t>$198.00</t>
        </is>
      </c>
      <c r="G1409" s="7" t="inlineStr">
        <is>
          <t>$99.00</t>
        </is>
      </c>
      <c r="H1409" s="7" t="inlineStr">
        <is>
          <t>Sheer Oak</t>
        </is>
      </c>
      <c r="I1409" s="7">
        <f>IMAGE("https://images.lululemon.com/is/image/lululemon/68684",1)</f>
        <v/>
      </c>
      <c r="J1409" s="7" t="inlineStr">
        <is>
          <t>S</t>
        </is>
      </c>
      <c r="K1409" s="7" t="inlineStr">
        <is>
          <t>17/383</t>
        </is>
      </c>
      <c r="L1409" s="7" t="inlineStr">
        <is>
          <t>Yes</t>
        </is>
      </c>
      <c r="M1409" s="7" t="inlineStr">
        <is>
          <t>Stay in play. Lightly insulated at the front and back for added warmth, this water-repellent golf shell helps keep you dry and cozy during misty morning rounds.</t>
        </is>
      </c>
      <c r="N1409" s="7" t="inlineStr">
        <is>
          <t>Water-Repellent-Quarter-Zip-Golf-Shell</t>
        </is>
      </c>
      <c r="O1409" s="7" t="inlineStr"/>
    </row>
    <row r="1410" ht="80" customHeight="1">
      <c r="A1410" s="4">
        <f>IMAGE("https://images.lululemon.com/is/image/lululemon/LM3GGDS_0001_1?wid=320&amp;op_usm=0.8",1)</f>
        <v/>
      </c>
      <c r="B1410" s="4" t="inlineStr">
        <is>
          <t>Water-Repellent Quarter-Zip Golf Shell</t>
        </is>
      </c>
      <c r="C1410" s="4" t="inlineStr">
        <is>
          <t>158096589</t>
        </is>
      </c>
      <c r="D1410" s="4" t="inlineStr">
        <is>
          <t>158096589-sheeroak</t>
        </is>
      </c>
      <c r="E1410" s="4" t="inlineStr">
        <is>
          <t>Water-Repellent 1/4 Zip Golf Shell BLK S</t>
        </is>
      </c>
      <c r="F1410" s="4" t="inlineStr">
        <is>
          <t>$198.00</t>
        </is>
      </c>
      <c r="G1410" s="4" t="inlineStr">
        <is>
          <t>$99.00</t>
        </is>
      </c>
      <c r="H1410" s="4" t="inlineStr">
        <is>
          <t>Sheer Oak</t>
        </is>
      </c>
      <c r="I1410" s="4">
        <f>IMAGE("https://images.lululemon.com/is/image/lululemon/68684",1)</f>
        <v/>
      </c>
      <c r="J1410" s="4" t="inlineStr">
        <is>
          <t>M</t>
        </is>
      </c>
      <c r="K1410" s="4" t="inlineStr">
        <is>
          <t>47/383</t>
        </is>
      </c>
      <c r="L1410" s="4" t="inlineStr">
        <is>
          <t>Yes</t>
        </is>
      </c>
      <c r="M1410" s="4" t="inlineStr">
        <is>
          <t>Stay in play. Lightly insulated at the front and back for added warmth, this water-repellent golf shell helps keep you dry and cozy during misty morning rounds.</t>
        </is>
      </c>
      <c r="N1410" s="4" t="inlineStr">
        <is>
          <t>Water-Repellent-Quarter-Zip-Golf-Shell</t>
        </is>
      </c>
      <c r="O1410" s="4" t="inlineStr"/>
    </row>
    <row r="1411" ht="80" customHeight="1">
      <c r="A1411" s="7">
        <f>IMAGE("https://images.lululemon.com/is/image/lululemon/LM3GGDS_0001_1?wid=320&amp;op_usm=0.8",1)</f>
        <v/>
      </c>
      <c r="B1411" s="7" t="inlineStr">
        <is>
          <t>Water-Repellent Quarter-Zip Golf Shell</t>
        </is>
      </c>
      <c r="C1411" s="7" t="inlineStr">
        <is>
          <t>158096587</t>
        </is>
      </c>
      <c r="D1411" s="7" t="inlineStr">
        <is>
          <t>158096587-sheeroak</t>
        </is>
      </c>
      <c r="E1411" s="7" t="inlineStr">
        <is>
          <t>Water-Repellent 1/4 Zip Golf Shell BLK S</t>
        </is>
      </c>
      <c r="F1411" s="7" t="inlineStr">
        <is>
          <t>$198.00</t>
        </is>
      </c>
      <c r="G1411" s="7" t="inlineStr">
        <is>
          <t>$99.00</t>
        </is>
      </c>
      <c r="H1411" s="7" t="inlineStr">
        <is>
          <t>Sheer Oak</t>
        </is>
      </c>
      <c r="I1411" s="7">
        <f>IMAGE("https://images.lululemon.com/is/image/lululemon/68684",1)</f>
        <v/>
      </c>
      <c r="J1411" s="7" t="inlineStr">
        <is>
          <t>L</t>
        </is>
      </c>
      <c r="K1411" s="7" t="inlineStr">
        <is>
          <t>65/383</t>
        </is>
      </c>
      <c r="L1411" s="7" t="inlineStr">
        <is>
          <t>Yes</t>
        </is>
      </c>
      <c r="M1411" s="7" t="inlineStr">
        <is>
          <t>Stay in play. Lightly insulated at the front and back for added warmth, this water-repellent golf shell helps keep you dry and cozy during misty morning rounds.</t>
        </is>
      </c>
      <c r="N1411" s="7" t="inlineStr">
        <is>
          <t>Water-Repellent-Quarter-Zip-Golf-Shell</t>
        </is>
      </c>
      <c r="O1411" s="7" t="inlineStr"/>
    </row>
    <row r="1412" ht="80" customHeight="1">
      <c r="A1412" s="4">
        <f>IMAGE("https://images.lululemon.com/is/image/lululemon/LM3GGDS_0001_1?wid=320&amp;op_usm=0.8",1)</f>
        <v/>
      </c>
      <c r="B1412" s="4" t="inlineStr">
        <is>
          <t>Water-Repellent Quarter-Zip Golf Shell</t>
        </is>
      </c>
      <c r="C1412" s="4" t="inlineStr">
        <is>
          <t>158096599</t>
        </is>
      </c>
      <c r="D1412" s="4" t="inlineStr">
        <is>
          <t>158096599-sheeroak</t>
        </is>
      </c>
      <c r="E1412" s="4" t="inlineStr">
        <is>
          <t>Water-Repellent 1/4 Zip Golf Shell BLK S</t>
        </is>
      </c>
      <c r="F1412" s="4" t="inlineStr">
        <is>
          <t>$198.00</t>
        </is>
      </c>
      <c r="G1412" s="4" t="inlineStr">
        <is>
          <t>$99.00</t>
        </is>
      </c>
      <c r="H1412" s="4" t="inlineStr">
        <is>
          <t>Sheer Oak</t>
        </is>
      </c>
      <c r="I1412" s="4">
        <f>IMAGE("https://images.lululemon.com/is/image/lululemon/68684",1)</f>
        <v/>
      </c>
      <c r="J1412" s="4" t="inlineStr">
        <is>
          <t>XL</t>
        </is>
      </c>
      <c r="K1412" s="4" t="inlineStr">
        <is>
          <t>43/383</t>
        </is>
      </c>
      <c r="L1412" s="4" t="inlineStr">
        <is>
          <t>Yes</t>
        </is>
      </c>
      <c r="M1412" s="4" t="inlineStr">
        <is>
          <t>Stay in play. Lightly insulated at the front and back for added warmth, this water-repellent golf shell helps keep you dry and cozy during misty morning rounds.</t>
        </is>
      </c>
      <c r="N1412" s="4" t="inlineStr">
        <is>
          <t>Water-Repellent-Quarter-Zip-Golf-Shell</t>
        </is>
      </c>
      <c r="O1412" s="4" t="inlineStr"/>
    </row>
    <row r="1413" ht="80" customHeight="1">
      <c r="A1413" s="5">
        <f>IMAGE("https://images.lululemon.com/is/image/lululemon/LM3GGDS_0001_1?wid=320&amp;op_usm=0.8",1)</f>
        <v/>
      </c>
      <c r="B1413" s="5" t="inlineStr">
        <is>
          <t>Water-Repellent Quarter-Zip Golf Shell</t>
        </is>
      </c>
      <c r="C1413" s="5" t="inlineStr">
        <is>
          <t>158096609</t>
        </is>
      </c>
      <c r="D1413" s="5" t="inlineStr">
        <is>
          <t>158096609-sheeroak</t>
        </is>
      </c>
      <c r="E1413" s="5" t="inlineStr">
        <is>
          <t>Water-Repellent 1/4 Zip Golf Shell BLK S</t>
        </is>
      </c>
      <c r="F1413" s="5" t="inlineStr">
        <is>
          <t>$198.00</t>
        </is>
      </c>
      <c r="G1413" s="5" t="inlineStr">
        <is>
          <t>$99.00</t>
        </is>
      </c>
      <c r="H1413" s="5" t="inlineStr">
        <is>
          <t>Sheer Oak</t>
        </is>
      </c>
      <c r="I1413" s="5">
        <f>IMAGE("https://images.lululemon.com/is/image/lululemon/68684",1)</f>
        <v/>
      </c>
      <c r="J1413" s="5" t="inlineStr">
        <is>
          <t>XXL</t>
        </is>
      </c>
      <c r="K1413" s="5" t="inlineStr">
        <is>
          <t>15/383</t>
        </is>
      </c>
      <c r="L1413" s="5" t="inlineStr">
        <is>
          <t>Yes</t>
        </is>
      </c>
      <c r="M1413" s="5" t="inlineStr">
        <is>
          <t>Stay in play. Lightly insulated at the front and back for added warmth, this water-repellent golf shell helps keep you dry and cozy during misty morning rounds.</t>
        </is>
      </c>
      <c r="N1413" s="5" t="inlineStr">
        <is>
          <t>Water-Repellent-Quarter-Zip-Golf-Shell</t>
        </is>
      </c>
      <c r="O1413" s="5" t="inlineStr"/>
    </row>
    <row r="1414" ht="80" customHeight="1">
      <c r="A1414" s="4">
        <f>IMAGE("https://images.lululemon.com/is/image/lululemon/LM7BLQS_063787_1?wid=320&amp;op_usm=0.8",1)</f>
        <v/>
      </c>
      <c r="B1414" s="4" t="inlineStr">
        <is>
          <t>Mile Maker Ripstop Linerless Short 6"</t>
        </is>
      </c>
      <c r="C1414" s="4" t="inlineStr">
        <is>
          <t>158027381</t>
        </is>
      </c>
      <c r="D1414" s="4" t="inlineStr">
        <is>
          <t>158027381-atmosphericpurple</t>
        </is>
      </c>
      <c r="E1414" s="4" t="inlineStr">
        <is>
          <t>Mile Maker Ripstop Short 6'' *LL ARPR S</t>
        </is>
      </c>
      <c r="F1414" s="4" t="inlineStr">
        <is>
          <t>$68.00</t>
        </is>
      </c>
      <c r="G1414" s="4" t="inlineStr">
        <is>
          <t>$34.00</t>
        </is>
      </c>
      <c r="H1414" s="4" t="inlineStr">
        <is>
          <t>ATMOSPHERIC PURPLE</t>
        </is>
      </c>
      <c r="I1414" s="4">
        <f>IMAGE("https://images.lululemon.com/is/image/lululemon/63787",1)</f>
        <v/>
      </c>
      <c r="J1414" s="4" t="inlineStr">
        <is>
          <t>S</t>
        </is>
      </c>
      <c r="K1414" s="4" t="inlineStr">
        <is>
          <t>44/371</t>
        </is>
      </c>
      <c r="L1414" s="4" t="inlineStr">
        <is>
          <t>Yes</t>
        </is>
      </c>
      <c r="M1414" s="4" t="inlineStr">
        <is>
          <t>Whether you're a seasoned runner or new to the crew, these lightweight, quick-drying shorts keep you comfortable from warm-up stretches to post-run hangs.</t>
        </is>
      </c>
      <c r="N1414" s="4" t="inlineStr">
        <is>
          <t>Mile-Maker-Ripstop-Linerless-Short-6</t>
        </is>
      </c>
      <c r="O1414" s="4" t="inlineStr">
        <is>
          <t>Athletic Shorts</t>
        </is>
      </c>
    </row>
    <row r="1415" ht="80" customHeight="1">
      <c r="A1415" s="7">
        <f>IMAGE("https://images.lululemon.com/is/image/lululemon/LM7BLQS_063787_1?wid=320&amp;op_usm=0.8",1)</f>
        <v/>
      </c>
      <c r="B1415" s="7" t="inlineStr">
        <is>
          <t>Mile Maker Ripstop Linerless Short 6"</t>
        </is>
      </c>
      <c r="C1415" s="7" t="inlineStr">
        <is>
          <t>158027357</t>
        </is>
      </c>
      <c r="D1415" s="7" t="inlineStr">
        <is>
          <t>158027357-atmosphericpurple</t>
        </is>
      </c>
      <c r="E1415" s="7" t="inlineStr">
        <is>
          <t>Mile Maker Ripstop Short 6'' *LL ARPR S</t>
        </is>
      </c>
      <c r="F1415" s="7" t="inlineStr">
        <is>
          <t>$68.00</t>
        </is>
      </c>
      <c r="G1415" s="7" t="inlineStr">
        <is>
          <t>$34.00</t>
        </is>
      </c>
      <c r="H1415" s="7" t="inlineStr">
        <is>
          <t>ATMOSPHERIC PURPLE</t>
        </is>
      </c>
      <c r="I1415" s="7">
        <f>IMAGE("https://images.lululemon.com/is/image/lululemon/63787",1)</f>
        <v/>
      </c>
      <c r="J1415" s="7" t="inlineStr">
        <is>
          <t>M</t>
        </is>
      </c>
      <c r="K1415" s="7" t="inlineStr">
        <is>
          <t>118/371</t>
        </is>
      </c>
      <c r="L1415" s="7" t="inlineStr">
        <is>
          <t>Yes</t>
        </is>
      </c>
      <c r="M1415" s="7" t="inlineStr">
        <is>
          <t>Whether you're a seasoned runner or new to the crew, these lightweight, quick-drying shorts keep you comfortable from warm-up stretches to post-run hangs.</t>
        </is>
      </c>
      <c r="N1415" s="7" t="inlineStr">
        <is>
          <t>Mile-Maker-Ripstop-Linerless-Short-6</t>
        </is>
      </c>
      <c r="O1415" s="7" t="inlineStr">
        <is>
          <t>Athletic Shorts</t>
        </is>
      </c>
    </row>
    <row r="1416" ht="80" customHeight="1">
      <c r="A1416" s="4">
        <f>IMAGE("https://images.lululemon.com/is/image/lululemon/LM7BLQS_063787_1?wid=320&amp;op_usm=0.8",1)</f>
        <v/>
      </c>
      <c r="B1416" s="4" t="inlineStr">
        <is>
          <t>Mile Maker Ripstop Linerless Short 6"</t>
        </is>
      </c>
      <c r="C1416" s="4" t="inlineStr">
        <is>
          <t>158027336</t>
        </is>
      </c>
      <c r="D1416" s="4" t="inlineStr">
        <is>
          <t>158027336-atmosphericpurple</t>
        </is>
      </c>
      <c r="E1416" s="4" t="inlineStr">
        <is>
          <t>Mile Maker Ripstop Short 6'' *LL ARPR S</t>
        </is>
      </c>
      <c r="F1416" s="4" t="inlineStr">
        <is>
          <t>$68.00</t>
        </is>
      </c>
      <c r="G1416" s="4" t="inlineStr">
        <is>
          <t>$34.00</t>
        </is>
      </c>
      <c r="H1416" s="4" t="inlineStr">
        <is>
          <t>ATMOSPHERIC PURPLE</t>
        </is>
      </c>
      <c r="I1416" s="4">
        <f>IMAGE("https://images.lululemon.com/is/image/lululemon/63787",1)</f>
        <v/>
      </c>
      <c r="J1416" s="4" t="inlineStr">
        <is>
          <t>L</t>
        </is>
      </c>
      <c r="K1416" s="4" t="inlineStr">
        <is>
          <t>121/371</t>
        </is>
      </c>
      <c r="L1416" s="4" t="inlineStr">
        <is>
          <t>Yes</t>
        </is>
      </c>
      <c r="M1416" s="4" t="inlineStr">
        <is>
          <t>Whether you're a seasoned runner or new to the crew, these lightweight, quick-drying shorts keep you comfortable from warm-up stretches to post-run hangs.</t>
        </is>
      </c>
      <c r="N1416" s="4" t="inlineStr">
        <is>
          <t>Mile-Maker-Ripstop-Linerless-Short-6</t>
        </is>
      </c>
      <c r="O1416" s="4" t="inlineStr">
        <is>
          <t>Athletic Shorts</t>
        </is>
      </c>
    </row>
    <row r="1417" ht="80" customHeight="1">
      <c r="A1417" s="7">
        <f>IMAGE("https://images.lululemon.com/is/image/lululemon/LM7BLQS_063787_1?wid=320&amp;op_usm=0.8",1)</f>
        <v/>
      </c>
      <c r="B1417" s="7" t="inlineStr">
        <is>
          <t>Mile Maker Ripstop Linerless Short 6"</t>
        </is>
      </c>
      <c r="C1417" s="7" t="inlineStr">
        <is>
          <t>158027401</t>
        </is>
      </c>
      <c r="D1417" s="7" t="inlineStr">
        <is>
          <t>158027401-atmosphericpurple</t>
        </is>
      </c>
      <c r="E1417" s="7" t="inlineStr">
        <is>
          <t>Mile Maker Ripstop Short 6'' *LL ARPR S</t>
        </is>
      </c>
      <c r="F1417" s="7" t="inlineStr">
        <is>
          <t>$68.00</t>
        </is>
      </c>
      <c r="G1417" s="7" t="inlineStr">
        <is>
          <t>$34.00</t>
        </is>
      </c>
      <c r="H1417" s="7" t="inlineStr">
        <is>
          <t>ATMOSPHERIC PURPLE</t>
        </is>
      </c>
      <c r="I1417" s="7">
        <f>IMAGE("https://images.lululemon.com/is/image/lululemon/63787",1)</f>
        <v/>
      </c>
      <c r="J1417" s="7" t="inlineStr">
        <is>
          <t>XL</t>
        </is>
      </c>
      <c r="K1417" s="7" t="inlineStr">
        <is>
          <t>71/371</t>
        </is>
      </c>
      <c r="L1417" s="7" t="inlineStr">
        <is>
          <t>Yes</t>
        </is>
      </c>
      <c r="M1417" s="7" t="inlineStr">
        <is>
          <t>Whether you're a seasoned runner or new to the crew, these lightweight, quick-drying shorts keep you comfortable from warm-up stretches to post-run hangs.</t>
        </is>
      </c>
      <c r="N1417" s="7" t="inlineStr">
        <is>
          <t>Mile-Maker-Ripstop-Linerless-Short-6</t>
        </is>
      </c>
      <c r="O1417" s="7" t="inlineStr">
        <is>
          <t>Athletic Shorts</t>
        </is>
      </c>
    </row>
    <row r="1418" ht="80" customHeight="1">
      <c r="A1418" s="6">
        <f>IMAGE("https://images.lululemon.com/is/image/lululemon/LM7BLQS_063787_1?wid=320&amp;op_usm=0.8",1)</f>
        <v/>
      </c>
      <c r="B1418" s="6" t="inlineStr">
        <is>
          <t>Mile Maker Ripstop Linerless Short 6"</t>
        </is>
      </c>
      <c r="C1418" s="6" t="inlineStr">
        <is>
          <t>158027445</t>
        </is>
      </c>
      <c r="D1418" s="6" t="inlineStr">
        <is>
          <t>158027445-atmosphericpurple</t>
        </is>
      </c>
      <c r="E1418" s="6" t="inlineStr">
        <is>
          <t>Mile Maker Ripstop Short 6'' *LL ARPR S</t>
        </is>
      </c>
      <c r="F1418" s="6" t="inlineStr">
        <is>
          <t>$68.00</t>
        </is>
      </c>
      <c r="G1418" s="6" t="inlineStr">
        <is>
          <t>$34.00</t>
        </is>
      </c>
      <c r="H1418" s="6" t="inlineStr">
        <is>
          <t>ATMOSPHERIC PURPLE</t>
        </is>
      </c>
      <c r="I1418" s="6">
        <f>IMAGE("https://images.lululemon.com/is/image/lululemon/63787",1)</f>
        <v/>
      </c>
      <c r="J1418" s="6" t="inlineStr">
        <is>
          <t>XXL</t>
        </is>
      </c>
      <c r="K1418" s="6" t="inlineStr">
        <is>
          <t>17/371</t>
        </is>
      </c>
      <c r="L1418" s="6" t="inlineStr">
        <is>
          <t>Yes</t>
        </is>
      </c>
      <c r="M1418" s="6" t="inlineStr">
        <is>
          <t>Whether you're a seasoned runner or new to the crew, these lightweight, quick-drying shorts keep you comfortable from warm-up stretches to post-run hangs.</t>
        </is>
      </c>
      <c r="N1418" s="6" t="inlineStr">
        <is>
          <t>Mile-Maker-Ripstop-Linerless-Short-6</t>
        </is>
      </c>
      <c r="O1418" s="6" t="inlineStr">
        <is>
          <t>Athletic Shorts</t>
        </is>
      </c>
    </row>
    <row r="1419" ht="80" customHeight="1">
      <c r="A1419" s="7">
        <f>IMAGE("https://images.lululemon.com/is/image/lululemon/LM4AW8S_0001_1?wid=320&amp;op_usm=0.8",1)</f>
        <v/>
      </c>
      <c r="B1419" s="7" t="inlineStr">
        <is>
          <t>Men's Featherweight 900-Down-Fill Quilted Vest</t>
        </is>
      </c>
      <c r="C1419" s="7" t="inlineStr">
        <is>
          <t>158101611</t>
        </is>
      </c>
      <c r="D1419" s="7" t="inlineStr">
        <is>
          <t>158101611-black</t>
        </is>
      </c>
      <c r="E1419" s="7" t="inlineStr">
        <is>
          <t>Featherweight Down Quilted Vest BLK S</t>
        </is>
      </c>
      <c r="F1419" s="7" t="inlineStr">
        <is>
          <t>$248.00</t>
        </is>
      </c>
      <c r="G1419" s="7" t="inlineStr">
        <is>
          <t>$124.00</t>
        </is>
      </c>
      <c r="H1419" s="7" t="inlineStr">
        <is>
          <t>Black</t>
        </is>
      </c>
      <c r="I1419" s="7">
        <f>IMAGE("https://images.lululemon.com/is/image/lululemon/0001",1)</f>
        <v/>
      </c>
      <c r="J1419" s="7" t="inlineStr">
        <is>
          <t>S</t>
        </is>
      </c>
      <c r="K1419" s="7" t="inlineStr">
        <is>
          <t>15/227</t>
        </is>
      </c>
      <c r="L1419" s="7" t="inlineStr">
        <is>
          <t>Yes</t>
        </is>
      </c>
      <c r="M1419" s="7" t="inlineStr">
        <is>
          <t>Seasonless. Filled with premium 900-fill-power down, this packable vest delivers light warmth that feels practically weightless—layer it under a shell or over cozy sweaters when the chill sets in.​</t>
        </is>
      </c>
      <c r="N1419" s="7" t="inlineStr">
        <is>
          <t>M-Featherweight-900-Down-Fill-Quilted-Vest</t>
        </is>
      </c>
      <c r="O1419" s="7" t="inlineStr">
        <is>
          <t>Puffer Jackets, Vests</t>
        </is>
      </c>
    </row>
    <row r="1420" ht="80" customHeight="1">
      <c r="A1420" s="4">
        <f>IMAGE("https://images.lululemon.com/is/image/lululemon/LM4AW8S_0001_1?wid=320&amp;op_usm=0.8",1)</f>
        <v/>
      </c>
      <c r="B1420" s="4" t="inlineStr">
        <is>
          <t>Men's Featherweight 900-Down-Fill Quilted Vest</t>
        </is>
      </c>
      <c r="C1420" s="4" t="inlineStr">
        <is>
          <t>158101601</t>
        </is>
      </c>
      <c r="D1420" s="4" t="inlineStr">
        <is>
          <t>158101601-black</t>
        </is>
      </c>
      <c r="E1420" s="4" t="inlineStr">
        <is>
          <t>Featherweight Down Quilted Vest BLK S</t>
        </is>
      </c>
      <c r="F1420" s="4" t="inlineStr">
        <is>
          <t>$248.00</t>
        </is>
      </c>
      <c r="G1420" s="4" t="inlineStr">
        <is>
          <t>$124.00</t>
        </is>
      </c>
      <c r="H1420" s="4" t="inlineStr">
        <is>
          <t>Black</t>
        </is>
      </c>
      <c r="I1420" s="4">
        <f>IMAGE("https://images.lululemon.com/is/image/lululemon/0001",1)</f>
        <v/>
      </c>
      <c r="J1420" s="4" t="inlineStr">
        <is>
          <t>M</t>
        </is>
      </c>
      <c r="K1420" s="4" t="inlineStr">
        <is>
          <t>54/227</t>
        </is>
      </c>
      <c r="L1420" s="4" t="inlineStr">
        <is>
          <t>Yes</t>
        </is>
      </c>
      <c r="M1420" s="4" t="inlineStr">
        <is>
          <t>Seasonless. Filled with premium 900-fill-power down, this packable vest delivers light warmth that feels practically weightless—layer it under a shell or over cozy sweaters when the chill sets in.​</t>
        </is>
      </c>
      <c r="N1420" s="4" t="inlineStr">
        <is>
          <t>M-Featherweight-900-Down-Fill-Quilted-Vest</t>
        </is>
      </c>
      <c r="O1420" s="4" t="inlineStr">
        <is>
          <t>Puffer Jackets, Vests</t>
        </is>
      </c>
    </row>
    <row r="1421" ht="80" customHeight="1">
      <c r="A1421" s="7">
        <f>IMAGE("https://images.lululemon.com/is/image/lululemon/LM4AW8S_0001_1?wid=320&amp;op_usm=0.8",1)</f>
        <v/>
      </c>
      <c r="B1421" s="7" t="inlineStr">
        <is>
          <t>Men's Featherweight 900-Down-Fill Quilted Vest</t>
        </is>
      </c>
      <c r="C1421" s="7" t="inlineStr">
        <is>
          <t>158101589</t>
        </is>
      </c>
      <c r="D1421" s="7" t="inlineStr">
        <is>
          <t>158101589-black</t>
        </is>
      </c>
      <c r="E1421" s="7" t="inlineStr">
        <is>
          <t>Featherweight Down Quilted Vest BLK S</t>
        </is>
      </c>
      <c r="F1421" s="7" t="inlineStr">
        <is>
          <t>$248.00</t>
        </is>
      </c>
      <c r="G1421" s="7" t="inlineStr">
        <is>
          <t>$124.00</t>
        </is>
      </c>
      <c r="H1421" s="7" t="inlineStr">
        <is>
          <t>Black</t>
        </is>
      </c>
      <c r="I1421" s="7">
        <f>IMAGE("https://images.lululemon.com/is/image/lululemon/0001",1)</f>
        <v/>
      </c>
      <c r="J1421" s="7" t="inlineStr">
        <is>
          <t>L</t>
        </is>
      </c>
      <c r="K1421" s="7" t="inlineStr">
        <is>
          <t>80/227</t>
        </is>
      </c>
      <c r="L1421" s="7" t="inlineStr">
        <is>
          <t>Yes</t>
        </is>
      </c>
      <c r="M1421" s="7" t="inlineStr">
        <is>
          <t>Seasonless. Filled with premium 900-fill-power down, this packable vest delivers light warmth that feels practically weightless—layer it under a shell or over cozy sweaters when the chill sets in.​</t>
        </is>
      </c>
      <c r="N1421" s="7" t="inlineStr">
        <is>
          <t>M-Featherweight-900-Down-Fill-Quilted-Vest</t>
        </is>
      </c>
      <c r="O1421" s="7" t="inlineStr">
        <is>
          <t>Puffer Jackets, Vests</t>
        </is>
      </c>
    </row>
    <row r="1422" ht="80" customHeight="1">
      <c r="A1422" s="4">
        <f>IMAGE("https://images.lululemon.com/is/image/lululemon/LM4AW8S_0001_1?wid=320&amp;op_usm=0.8",1)</f>
        <v/>
      </c>
      <c r="B1422" s="4" t="inlineStr">
        <is>
          <t>Men's Featherweight 900-Down-Fill Quilted Vest</t>
        </is>
      </c>
      <c r="C1422" s="4" t="inlineStr">
        <is>
          <t>158101623</t>
        </is>
      </c>
      <c r="D1422" s="4" t="inlineStr">
        <is>
          <t>158101623-black</t>
        </is>
      </c>
      <c r="E1422" s="4" t="inlineStr">
        <is>
          <t>Featherweight Down Quilted Vest BLK S</t>
        </is>
      </c>
      <c r="F1422" s="4" t="inlineStr">
        <is>
          <t>$248.00</t>
        </is>
      </c>
      <c r="G1422" s="4" t="inlineStr">
        <is>
          <t>$124.00</t>
        </is>
      </c>
      <c r="H1422" s="4" t="inlineStr">
        <is>
          <t>Black</t>
        </is>
      </c>
      <c r="I1422" s="4">
        <f>IMAGE("https://images.lululemon.com/is/image/lululemon/0001",1)</f>
        <v/>
      </c>
      <c r="J1422" s="4" t="inlineStr">
        <is>
          <t>XL</t>
        </is>
      </c>
      <c r="K1422" s="4" t="inlineStr">
        <is>
          <t>58/227</t>
        </is>
      </c>
      <c r="L1422" s="4" t="inlineStr">
        <is>
          <t>Yes</t>
        </is>
      </c>
      <c r="M1422" s="4" t="inlineStr">
        <is>
          <t>Seasonless. Filled with premium 900-fill-power down, this packable vest delivers light warmth that feels practically weightless—layer it under a shell or over cozy sweaters when the chill sets in.​</t>
        </is>
      </c>
      <c r="N1422" s="4" t="inlineStr">
        <is>
          <t>M-Featherweight-900-Down-Fill-Quilted-Vest</t>
        </is>
      </c>
      <c r="O1422" s="4" t="inlineStr">
        <is>
          <t>Puffer Jackets, Vests</t>
        </is>
      </c>
    </row>
    <row r="1423" ht="80" customHeight="1">
      <c r="A1423" s="5">
        <f>IMAGE("https://images.lululemon.com/is/image/lululemon/LM4AW8S_0001_1?wid=320&amp;op_usm=0.8",1)</f>
        <v/>
      </c>
      <c r="B1423" s="5" t="inlineStr">
        <is>
          <t>Men's Featherweight 900-Down-Fill Quilted Vest</t>
        </is>
      </c>
      <c r="C1423" s="5" t="inlineStr">
        <is>
          <t>158101644</t>
        </is>
      </c>
      <c r="D1423" s="5" t="inlineStr">
        <is>
          <t>158101644-black</t>
        </is>
      </c>
      <c r="E1423" s="5" t="inlineStr">
        <is>
          <t>Featherweight Down Quilted Vest BLK S</t>
        </is>
      </c>
      <c r="F1423" s="5" t="inlineStr">
        <is>
          <t>$248.00</t>
        </is>
      </c>
      <c r="G1423" s="5" t="inlineStr">
        <is>
          <t>$124.00</t>
        </is>
      </c>
      <c r="H1423" s="5" t="inlineStr">
        <is>
          <t>Black</t>
        </is>
      </c>
      <c r="I1423" s="5">
        <f>IMAGE("https://images.lululemon.com/is/image/lululemon/0001",1)</f>
        <v/>
      </c>
      <c r="J1423" s="5" t="inlineStr">
        <is>
          <t>XXL</t>
        </is>
      </c>
      <c r="K1423" s="5" t="inlineStr">
        <is>
          <t>20/227</t>
        </is>
      </c>
      <c r="L1423" s="5" t="inlineStr">
        <is>
          <t>Yes</t>
        </is>
      </c>
      <c r="M1423" s="5" t="inlineStr">
        <is>
          <t>Seasonless. Filled with premium 900-fill-power down, this packable vest delivers light warmth that feels practically weightless—layer it under a shell or over cozy sweaters when the chill sets in.​</t>
        </is>
      </c>
      <c r="N1423" s="5" t="inlineStr">
        <is>
          <t>M-Featherweight-900-Down-Fill-Quilted-Vest</t>
        </is>
      </c>
      <c r="O1423" s="5" t="inlineStr">
        <is>
          <t>Puffer Jackets, Vests</t>
        </is>
      </c>
    </row>
    <row r="1424" ht="80" customHeight="1">
      <c r="A1424" s="4">
        <f>IMAGE("https://images.lululemon.com/is/image/lululemon/LU9B35S_0001_1?wid=320&amp;op_usm=0.8",1)</f>
        <v/>
      </c>
      <c r="B1424" s="4" t="inlineStr">
        <is>
          <t>Fast and Free Running Belt</t>
        </is>
      </c>
      <c r="C1424" s="4" t="inlineStr">
        <is>
          <t>155702492</t>
        </is>
      </c>
      <c r="D1424" s="4" t="inlineStr">
        <is>
          <t>155702492-black</t>
        </is>
      </c>
      <c r="E1424" s="4" t="inlineStr">
        <is>
          <t>Fast and Free Run Belt BLK XS/S</t>
        </is>
      </c>
      <c r="F1424" s="4" t="inlineStr">
        <is>
          <t>$44.00</t>
        </is>
      </c>
      <c r="G1424" s="4" t="inlineStr">
        <is>
          <t>$22.00</t>
        </is>
      </c>
      <c r="H1424" s="4" t="inlineStr">
        <is>
          <t>Black</t>
        </is>
      </c>
      <c r="I1424" s="4">
        <f>IMAGE("https://images.lululemon.com/is/image/lululemon/0001",1)</f>
        <v/>
      </c>
      <c r="J1424" s="4" t="inlineStr">
        <is>
          <t>XS/S</t>
        </is>
      </c>
      <c r="K1424" s="4" t="inlineStr">
        <is>
          <t>3/300</t>
        </is>
      </c>
      <c r="L1424" s="4" t="inlineStr">
        <is>
          <t>Yes</t>
        </is>
      </c>
      <c r="M1424" s="4" t="inlineStr">
        <is>
          <t>Free your mind—and your hands. This sleek, distraction-free run belt is lightweight and adjustable with just enough space for run essentials.</t>
        </is>
      </c>
      <c r="N1424" s="4" t="inlineStr">
        <is>
          <t>Fast-and-Free-Run-Belt</t>
        </is>
      </c>
      <c r="O1424" s="4" t="inlineStr">
        <is>
          <t>Belt Bags</t>
        </is>
      </c>
    </row>
    <row r="1425" ht="80" customHeight="1">
      <c r="A1425" s="7">
        <f>IMAGE("https://images.lululemon.com/is/image/lululemon/LU9B35S_0001_1?wid=320&amp;op_usm=0.8",1)</f>
        <v/>
      </c>
      <c r="B1425" s="7" t="inlineStr">
        <is>
          <t>Fast and Free Running Belt</t>
        </is>
      </c>
      <c r="C1425" s="7" t="inlineStr">
        <is>
          <t>155702474</t>
        </is>
      </c>
      <c r="D1425" s="7" t="inlineStr">
        <is>
          <t>155702474-black</t>
        </is>
      </c>
      <c r="E1425" s="7" t="inlineStr">
        <is>
          <t>Fast and Free Run Belt BLK XS/S</t>
        </is>
      </c>
      <c r="F1425" s="7" t="inlineStr">
        <is>
          <t>$44.00</t>
        </is>
      </c>
      <c r="G1425" s="7" t="inlineStr">
        <is>
          <t>$22.00</t>
        </is>
      </c>
      <c r="H1425" s="7" t="inlineStr">
        <is>
          <t>Black</t>
        </is>
      </c>
      <c r="I1425" s="7">
        <f>IMAGE("https://images.lululemon.com/is/image/lululemon/0001",1)</f>
        <v/>
      </c>
      <c r="J1425" s="7" t="inlineStr">
        <is>
          <t>S/M</t>
        </is>
      </c>
      <c r="K1425" s="7" t="inlineStr">
        <is>
          <t>79/300</t>
        </is>
      </c>
      <c r="L1425" s="7" t="inlineStr">
        <is>
          <t>Yes</t>
        </is>
      </c>
      <c r="M1425" s="7" t="inlineStr">
        <is>
          <t>Free your mind—and your hands. This sleek, distraction-free run belt is lightweight and adjustable with just enough space for run essentials.</t>
        </is>
      </c>
      <c r="N1425" s="7" t="inlineStr">
        <is>
          <t>Fast-and-Free-Run-Belt</t>
        </is>
      </c>
      <c r="O1425" s="7" t="inlineStr">
        <is>
          <t>Belt Bags</t>
        </is>
      </c>
    </row>
    <row r="1426" ht="80" customHeight="1">
      <c r="A1426" s="4">
        <f>IMAGE("https://images.lululemon.com/is/image/lululemon/LU9B35S_0001_1?wid=320&amp;op_usm=0.8",1)</f>
        <v/>
      </c>
      <c r="B1426" s="4" t="inlineStr">
        <is>
          <t>Fast and Free Running Belt</t>
        </is>
      </c>
      <c r="C1426" s="4" t="inlineStr">
        <is>
          <t>155702460</t>
        </is>
      </c>
      <c r="D1426" s="4" t="inlineStr">
        <is>
          <t>155702460-black</t>
        </is>
      </c>
      <c r="E1426" s="4" t="inlineStr">
        <is>
          <t>Fast and Free Run Belt BLK XS/S</t>
        </is>
      </c>
      <c r="F1426" s="4" t="inlineStr">
        <is>
          <t>$44.00</t>
        </is>
      </c>
      <c r="G1426" s="4" t="inlineStr">
        <is>
          <t>$22.00</t>
        </is>
      </c>
      <c r="H1426" s="4" t="inlineStr">
        <is>
          <t>Black</t>
        </is>
      </c>
      <c r="I1426" s="4">
        <f>IMAGE("https://images.lululemon.com/is/image/lululemon/0001",1)</f>
        <v/>
      </c>
      <c r="J1426" s="4" t="inlineStr">
        <is>
          <t>L/XL</t>
        </is>
      </c>
      <c r="K1426" s="4" t="inlineStr">
        <is>
          <t>130/300</t>
        </is>
      </c>
      <c r="L1426" s="4" t="inlineStr">
        <is>
          <t>Yes</t>
        </is>
      </c>
      <c r="M1426" s="4" t="inlineStr">
        <is>
          <t>Free your mind—and your hands. This sleek, distraction-free run belt is lightweight and adjustable with just enough space for run essentials.</t>
        </is>
      </c>
      <c r="N1426" s="4" t="inlineStr">
        <is>
          <t>Fast-and-Free-Run-Belt</t>
        </is>
      </c>
      <c r="O1426" s="4" t="inlineStr">
        <is>
          <t>Belt Bags</t>
        </is>
      </c>
    </row>
    <row r="1427" ht="80" customHeight="1">
      <c r="A1427" s="7">
        <f>IMAGE("https://images.lululemon.com/is/image/lululemon/LU9B35S_0001_1?wid=320&amp;op_usm=0.8",1)</f>
        <v/>
      </c>
      <c r="B1427" s="7" t="inlineStr">
        <is>
          <t>Fast and Free Running Belt</t>
        </is>
      </c>
      <c r="C1427" s="7" t="inlineStr">
        <is>
          <t>158023271</t>
        </is>
      </c>
      <c r="D1427" s="7" t="inlineStr">
        <is>
          <t>158023271-jewelledmagenta</t>
        </is>
      </c>
      <c r="E1427" s="7" t="inlineStr">
        <is>
          <t>Fast and Free Run Belt BLK XS/S</t>
        </is>
      </c>
      <c r="F1427" s="7" t="inlineStr">
        <is>
          <t>$44.00</t>
        </is>
      </c>
      <c r="G1427" s="7" t="inlineStr">
        <is>
          <t>$22.00</t>
        </is>
      </c>
      <c r="H1427" s="7" t="inlineStr">
        <is>
          <t>Jewelled Magenta</t>
        </is>
      </c>
      <c r="I1427" s="7">
        <f>IMAGE("https://images.lululemon.com/is/image/lululemon/14336",1)</f>
        <v/>
      </c>
      <c r="J1427" s="7" t="inlineStr">
        <is>
          <t>S/M</t>
        </is>
      </c>
      <c r="K1427" s="7" t="inlineStr">
        <is>
          <t>47/300</t>
        </is>
      </c>
      <c r="L1427" s="7" t="inlineStr">
        <is>
          <t>Yes</t>
        </is>
      </c>
      <c r="M1427" s="7" t="inlineStr">
        <is>
          <t>Free your mind—and your hands. This sleek, distraction-free run belt is lightweight and adjustable with just enough space for run essentials.</t>
        </is>
      </c>
      <c r="N1427" s="7" t="inlineStr">
        <is>
          <t>Fast-and-Free-Run-Belt</t>
        </is>
      </c>
      <c r="O1427" s="7" t="inlineStr">
        <is>
          <t>Belt Bags</t>
        </is>
      </c>
    </row>
    <row r="1428" ht="80" customHeight="1">
      <c r="A1428" s="6">
        <f>IMAGE("https://images.lululemon.com/is/image/lululemon/LU9B35S_0001_1?wid=320&amp;op_usm=0.8",1)</f>
        <v/>
      </c>
      <c r="B1428" s="6" t="inlineStr">
        <is>
          <t>Fast and Free Running Belt</t>
        </is>
      </c>
      <c r="C1428" s="6" t="inlineStr">
        <is>
          <t>158023252</t>
        </is>
      </c>
      <c r="D1428" s="6" t="inlineStr">
        <is>
          <t>158023252-jewelledmagenta</t>
        </is>
      </c>
      <c r="E1428" s="6" t="inlineStr">
        <is>
          <t>Fast and Free Run Belt BLK XS/S</t>
        </is>
      </c>
      <c r="F1428" s="6" t="inlineStr">
        <is>
          <t>$44.00</t>
        </is>
      </c>
      <c r="G1428" s="6" t="inlineStr">
        <is>
          <t>$22.00</t>
        </is>
      </c>
      <c r="H1428" s="6" t="inlineStr">
        <is>
          <t>Jewelled Magenta</t>
        </is>
      </c>
      <c r="I1428" s="6">
        <f>IMAGE("https://images.lululemon.com/is/image/lululemon/14336",1)</f>
        <v/>
      </c>
      <c r="J1428" s="6" t="inlineStr">
        <is>
          <t>L/XL</t>
        </is>
      </c>
      <c r="K1428" s="6" t="inlineStr">
        <is>
          <t>41/300</t>
        </is>
      </c>
      <c r="L1428" s="6" t="inlineStr">
        <is>
          <t>Yes</t>
        </is>
      </c>
      <c r="M1428" s="6" t="inlineStr">
        <is>
          <t>Free your mind—and your hands. This sleek, distraction-free run belt is lightweight and adjustable with just enough space for run essentials.</t>
        </is>
      </c>
      <c r="N1428" s="6" t="inlineStr">
        <is>
          <t>Fast-and-Free-Run-Belt</t>
        </is>
      </c>
      <c r="O1428" s="6" t="inlineStr">
        <is>
          <t>Belt Bags</t>
        </is>
      </c>
    </row>
    <row r="1429" ht="80" customHeight="1">
      <c r="A1429" s="5">
        <f>IMAGE("https://images.lululemon.com/is/image/lululemon/LW9FH8S_043639_1?wid=320&amp;op_usm=0.8",1)</f>
        <v/>
      </c>
      <c r="B1429" s="5" t="inlineStr">
        <is>
          <t>Women's Fast and Free Rulu Running Gloves</t>
        </is>
      </c>
      <c r="C1429" s="5" t="inlineStr">
        <is>
          <t>154525166</t>
        </is>
      </c>
      <c r="D1429" s="5" t="inlineStr">
        <is>
          <t>154525166-heatheredgraphitegrey</t>
        </is>
      </c>
      <c r="E1429" s="5" t="inlineStr">
        <is>
          <t>Fast and Free Rulu™ Run Gloves W HTGR M</t>
        </is>
      </c>
      <c r="F1429" s="5" t="inlineStr">
        <is>
          <t>$52.00</t>
        </is>
      </c>
      <c r="G1429" s="5" t="inlineStr">
        <is>
          <t>$26.00</t>
        </is>
      </c>
      <c r="H1429" s="5" t="inlineStr">
        <is>
          <t>Heathered Graphite Grey</t>
        </is>
      </c>
      <c r="I1429" s="5">
        <f>IMAGE("https://images.lululemon.com/is/image/lululemon/43639",1)</f>
        <v/>
      </c>
      <c r="J1429" s="5" t="inlineStr">
        <is>
          <t>M</t>
        </is>
      </c>
      <c r="K1429" s="5" t="inlineStr">
        <is>
          <t>39/39</t>
        </is>
      </c>
      <c r="L1429" s="5" t="inlineStr">
        <is>
          <t>Yes</t>
        </is>
      </c>
      <c r="M1429" s="5" t="inlineStr">
        <is>
          <t>Brisk, frosty, crisp—anyway you say it, these tech-friendly, fleece-insulated run gloves stop the chill in its tracks.</t>
        </is>
      </c>
      <c r="N1429" s="5" t="inlineStr">
        <is>
          <t>W-Fast-and-Free-Rulu-Run-Gloves</t>
        </is>
      </c>
      <c r="O1429" s="5" t="inlineStr"/>
    </row>
    <row r="1430" ht="80" customHeight="1">
      <c r="A1430" s="4">
        <f>IMAGE("https://images.lululemon.com/is/image/lululemon/LW3EPFS_0001_1?wid=320&amp;op_usm=0.8",1)</f>
        <v/>
      </c>
      <c r="B1430" s="4" t="inlineStr">
        <is>
          <t>Love Crewneck T-Shirt</t>
        </is>
      </c>
      <c r="C1430" s="4" t="inlineStr">
        <is>
          <t>142176489</t>
        </is>
      </c>
      <c r="D1430" s="4" t="inlineStr">
        <is>
          <t>142176489-truenavy</t>
        </is>
      </c>
      <c r="E1430" s="4" t="inlineStr">
        <is>
          <t>Love Crew TRNV 0</t>
        </is>
      </c>
      <c r="F1430" s="4" t="inlineStr">
        <is>
          <t>$48.00</t>
        </is>
      </c>
      <c r="G1430" s="4" t="inlineStr">
        <is>
          <t>$24.00</t>
        </is>
      </c>
      <c r="H1430" s="4" t="inlineStr">
        <is>
          <t>True Navy</t>
        </is>
      </c>
      <c r="I1430" s="4">
        <f>IMAGE("https://images.lululemon.com/is/image/lululemon/31382",1)</f>
        <v/>
      </c>
      <c r="J1430" s="4" t="inlineStr">
        <is>
          <t>0</t>
        </is>
      </c>
      <c r="K1430" s="4" t="inlineStr">
        <is>
          <t>1/650</t>
        </is>
      </c>
      <c r="L1430" s="4" t="inlineStr">
        <is>
          <t>Yes</t>
        </is>
      </c>
      <c r="M1430" s="4" t="inlineStr">
        <is>
          <t>Lots of reasons to love this tee. Soft cotton fabric, a hint of stretch, and a just-right curved hem that pairs perfectly with leggings.</t>
        </is>
      </c>
      <c r="N1430" s="4" t="inlineStr">
        <is>
          <t>Love-Crew</t>
        </is>
      </c>
      <c r="O1430" s="4" t="inlineStr"/>
    </row>
    <row r="1431" ht="80" customHeight="1">
      <c r="A1431" s="7">
        <f>IMAGE("https://images.lululemon.com/is/image/lululemon/LW3EPFS_0001_1?wid=320&amp;op_usm=0.8",1)</f>
        <v/>
      </c>
      <c r="B1431" s="7" t="inlineStr">
        <is>
          <t>Love Crewneck T-Shirt</t>
        </is>
      </c>
      <c r="C1431" s="7" t="inlineStr">
        <is>
          <t>142176560</t>
        </is>
      </c>
      <c r="D1431" s="7" t="inlineStr">
        <is>
          <t>142176560-truenavy</t>
        </is>
      </c>
      <c r="E1431" s="7" t="inlineStr">
        <is>
          <t>Love Crew TRNV 0</t>
        </is>
      </c>
      <c r="F1431" s="7" t="inlineStr">
        <is>
          <t>$48.00</t>
        </is>
      </c>
      <c r="G1431" s="7" t="inlineStr">
        <is>
          <t>$24.00</t>
        </is>
      </c>
      <c r="H1431" s="7" t="inlineStr">
        <is>
          <t>True Navy</t>
        </is>
      </c>
      <c r="I1431" s="7">
        <f>IMAGE("https://images.lululemon.com/is/image/lululemon/31382",1)</f>
        <v/>
      </c>
      <c r="J1431" s="7" t="inlineStr">
        <is>
          <t>4</t>
        </is>
      </c>
      <c r="K1431" s="7" t="inlineStr">
        <is>
          <t>8/650</t>
        </is>
      </c>
      <c r="L1431" s="7" t="inlineStr">
        <is>
          <t>Yes</t>
        </is>
      </c>
      <c r="M1431" s="7" t="inlineStr">
        <is>
          <t>Lots of reasons to love this tee. Soft cotton fabric, a hint of stretch, and a just-right curved hem that pairs perfectly with leggings.</t>
        </is>
      </c>
      <c r="N1431" s="7" t="inlineStr">
        <is>
          <t>Love-Crew</t>
        </is>
      </c>
      <c r="O1431" s="7" t="inlineStr"/>
    </row>
    <row r="1432" ht="80" customHeight="1">
      <c r="A1432" s="4">
        <f>IMAGE("https://images.lululemon.com/is/image/lululemon/LW3EPFS_0001_1?wid=320&amp;op_usm=0.8",1)</f>
        <v/>
      </c>
      <c r="B1432" s="4" t="inlineStr">
        <is>
          <t>Love Crewneck T-Shirt</t>
        </is>
      </c>
      <c r="C1432" s="4" t="inlineStr">
        <is>
          <t>142176567</t>
        </is>
      </c>
      <c r="D1432" s="4" t="inlineStr">
        <is>
          <t>142176567-truenavy</t>
        </is>
      </c>
      <c r="E1432" s="4" t="inlineStr">
        <is>
          <t>Love Crew TRNV 0</t>
        </is>
      </c>
      <c r="F1432" s="4" t="inlineStr">
        <is>
          <t>$48.00</t>
        </is>
      </c>
      <c r="G1432" s="4" t="inlineStr">
        <is>
          <t>$24.00</t>
        </is>
      </c>
      <c r="H1432" s="4" t="inlineStr">
        <is>
          <t>True Navy</t>
        </is>
      </c>
      <c r="I1432" s="4">
        <f>IMAGE("https://images.lululemon.com/is/image/lululemon/31382",1)</f>
        <v/>
      </c>
      <c r="J1432" s="4" t="inlineStr">
        <is>
          <t>6</t>
        </is>
      </c>
      <c r="K1432" s="4" t="inlineStr">
        <is>
          <t>16/650</t>
        </is>
      </c>
      <c r="L1432" s="4" t="inlineStr">
        <is>
          <t>Yes</t>
        </is>
      </c>
      <c r="M1432" s="4" t="inlineStr">
        <is>
          <t>Lots of reasons to love this tee. Soft cotton fabric, a hint of stretch, and a just-right curved hem that pairs perfectly with leggings.</t>
        </is>
      </c>
      <c r="N1432" s="4" t="inlineStr">
        <is>
          <t>Love-Crew</t>
        </is>
      </c>
      <c r="O1432" s="4" t="inlineStr"/>
    </row>
    <row r="1433" ht="80" customHeight="1">
      <c r="A1433" s="7">
        <f>IMAGE("https://images.lululemon.com/is/image/lululemon/LW3EPFS_0001_1?wid=320&amp;op_usm=0.8",1)</f>
        <v/>
      </c>
      <c r="B1433" s="7" t="inlineStr">
        <is>
          <t>Love Crewneck T-Shirt</t>
        </is>
      </c>
      <c r="C1433" s="7" t="inlineStr">
        <is>
          <t>142176570</t>
        </is>
      </c>
      <c r="D1433" s="7" t="inlineStr">
        <is>
          <t>142176570-truenavy</t>
        </is>
      </c>
      <c r="E1433" s="7" t="inlineStr">
        <is>
          <t>Love Crew TRNV 0</t>
        </is>
      </c>
      <c r="F1433" s="7" t="inlineStr">
        <is>
          <t>$48.00</t>
        </is>
      </c>
      <c r="G1433" s="7" t="inlineStr">
        <is>
          <t>$24.00</t>
        </is>
      </c>
      <c r="H1433" s="7" t="inlineStr">
        <is>
          <t>True Navy</t>
        </is>
      </c>
      <c r="I1433" s="7">
        <f>IMAGE("https://images.lululemon.com/is/image/lululemon/31382",1)</f>
        <v/>
      </c>
      <c r="J1433" s="7" t="inlineStr">
        <is>
          <t>8</t>
        </is>
      </c>
      <c r="K1433" s="7" t="inlineStr">
        <is>
          <t>25/650</t>
        </is>
      </c>
      <c r="L1433" s="7" t="inlineStr">
        <is>
          <t>Yes</t>
        </is>
      </c>
      <c r="M1433" s="7" t="inlineStr">
        <is>
          <t>Lots of reasons to love this tee. Soft cotton fabric, a hint of stretch, and a just-right curved hem that pairs perfectly with leggings.</t>
        </is>
      </c>
      <c r="N1433" s="7" t="inlineStr">
        <is>
          <t>Love-Crew</t>
        </is>
      </c>
      <c r="O1433" s="7" t="inlineStr"/>
    </row>
    <row r="1434" ht="80" customHeight="1">
      <c r="A1434" s="4">
        <f>IMAGE("https://images.lululemon.com/is/image/lululemon/LW3EPFS_0001_1?wid=320&amp;op_usm=0.8",1)</f>
        <v/>
      </c>
      <c r="B1434" s="4" t="inlineStr">
        <is>
          <t>Love Crewneck T-Shirt</t>
        </is>
      </c>
      <c r="C1434" s="4" t="inlineStr">
        <is>
          <t>142176498</t>
        </is>
      </c>
      <c r="D1434" s="4" t="inlineStr">
        <is>
          <t>142176498-truenavy</t>
        </is>
      </c>
      <c r="E1434" s="4" t="inlineStr">
        <is>
          <t>Love Crew TRNV 0</t>
        </is>
      </c>
      <c r="F1434" s="4" t="inlineStr">
        <is>
          <t>$48.00</t>
        </is>
      </c>
      <c r="G1434" s="4" t="inlineStr">
        <is>
          <t>$24.00</t>
        </is>
      </c>
      <c r="H1434" s="4" t="inlineStr">
        <is>
          <t>True Navy</t>
        </is>
      </c>
      <c r="I1434" s="4">
        <f>IMAGE("https://images.lululemon.com/is/image/lululemon/31382",1)</f>
        <v/>
      </c>
      <c r="J1434" s="4" t="inlineStr">
        <is>
          <t>10</t>
        </is>
      </c>
      <c r="K1434" s="4" t="inlineStr">
        <is>
          <t>26/650</t>
        </is>
      </c>
      <c r="L1434" s="4" t="inlineStr">
        <is>
          <t>Yes</t>
        </is>
      </c>
      <c r="M1434" s="4" t="inlineStr">
        <is>
          <t>Lots of reasons to love this tee. Soft cotton fabric, a hint of stretch, and a just-right curved hem that pairs perfectly with leggings.</t>
        </is>
      </c>
      <c r="N1434" s="4" t="inlineStr">
        <is>
          <t>Love-Crew</t>
        </is>
      </c>
      <c r="O1434" s="4" t="inlineStr"/>
    </row>
    <row r="1435" ht="80" customHeight="1">
      <c r="A1435" s="7">
        <f>IMAGE("https://images.lululemon.com/is/image/lululemon/LW3EPFS_0001_1?wid=320&amp;op_usm=0.8",1)</f>
        <v/>
      </c>
      <c r="B1435" s="7" t="inlineStr">
        <is>
          <t>Love Crewneck T-Shirt</t>
        </is>
      </c>
      <c r="C1435" s="7" t="inlineStr">
        <is>
          <t>142176507</t>
        </is>
      </c>
      <c r="D1435" s="7" t="inlineStr">
        <is>
          <t>142176507-truenavy</t>
        </is>
      </c>
      <c r="E1435" s="7" t="inlineStr">
        <is>
          <t>Love Crew TRNV 0</t>
        </is>
      </c>
      <c r="F1435" s="7" t="inlineStr">
        <is>
          <t>$48.00</t>
        </is>
      </c>
      <c r="G1435" s="7" t="inlineStr">
        <is>
          <t>$24.00</t>
        </is>
      </c>
      <c r="H1435" s="7" t="inlineStr">
        <is>
          <t>True Navy</t>
        </is>
      </c>
      <c r="I1435" s="7">
        <f>IMAGE("https://images.lululemon.com/is/image/lululemon/31382",1)</f>
        <v/>
      </c>
      <c r="J1435" s="7" t="inlineStr">
        <is>
          <t>12</t>
        </is>
      </c>
      <c r="K1435" s="7" t="inlineStr">
        <is>
          <t>3/650</t>
        </is>
      </c>
      <c r="L1435" s="7" t="inlineStr">
        <is>
          <t>Yes</t>
        </is>
      </c>
      <c r="M1435" s="7" t="inlineStr">
        <is>
          <t>Lots of reasons to love this tee. Soft cotton fabric, a hint of stretch, and a just-right curved hem that pairs perfectly with leggings.</t>
        </is>
      </c>
      <c r="N1435" s="7" t="inlineStr">
        <is>
          <t>Love-Crew</t>
        </is>
      </c>
      <c r="O1435" s="7" t="inlineStr"/>
    </row>
    <row r="1436" ht="80" customHeight="1">
      <c r="A1436" s="4">
        <f>IMAGE("https://images.lululemon.com/is/image/lululemon/LW3EPFS_0001_1?wid=320&amp;op_usm=0.8",1)</f>
        <v/>
      </c>
      <c r="B1436" s="4" t="inlineStr">
        <is>
          <t>Love Crewneck T-Shirt</t>
        </is>
      </c>
      <c r="C1436" s="4" t="inlineStr">
        <is>
          <t>138375054</t>
        </is>
      </c>
      <c r="D1436" s="4" t="inlineStr">
        <is>
          <t>138375054-white</t>
        </is>
      </c>
      <c r="E1436" s="4" t="inlineStr">
        <is>
          <t>Love Crew TRNV 0</t>
        </is>
      </c>
      <c r="F1436" s="4" t="inlineStr">
        <is>
          <t>$48.00</t>
        </is>
      </c>
      <c r="G1436" s="4" t="inlineStr">
        <is>
          <t>$24.00</t>
        </is>
      </c>
      <c r="H1436" s="4" t="inlineStr">
        <is>
          <t>White</t>
        </is>
      </c>
      <c r="I1436" s="4">
        <f>IMAGE("https://images.lululemon.com/is/image/lululemon/0002",1)</f>
        <v/>
      </c>
      <c r="J1436" s="4" t="inlineStr">
        <is>
          <t>2</t>
        </is>
      </c>
      <c r="K1436" s="4" t="inlineStr">
        <is>
          <t>19/650</t>
        </is>
      </c>
      <c r="L1436" s="4" t="inlineStr">
        <is>
          <t>Yes</t>
        </is>
      </c>
      <c r="M1436" s="4" t="inlineStr">
        <is>
          <t>Lots of reasons to love this tee. Soft cotton fabric, a hint of stretch, and a just-right curved hem that pairs perfectly with leggings.</t>
        </is>
      </c>
      <c r="N1436" s="4" t="inlineStr">
        <is>
          <t>Love-Crew</t>
        </is>
      </c>
      <c r="O1436" s="4" t="inlineStr"/>
    </row>
    <row r="1437" ht="80" customHeight="1">
      <c r="A1437" s="7">
        <f>IMAGE("https://images.lululemon.com/is/image/lululemon/LW3EPFS_0001_1?wid=320&amp;op_usm=0.8",1)</f>
        <v/>
      </c>
      <c r="B1437" s="7" t="inlineStr">
        <is>
          <t>Love Crewneck T-Shirt</t>
        </is>
      </c>
      <c r="C1437" s="7" t="inlineStr">
        <is>
          <t>138375059</t>
        </is>
      </c>
      <c r="D1437" s="7" t="inlineStr">
        <is>
          <t>138375059-white</t>
        </is>
      </c>
      <c r="E1437" s="7" t="inlineStr">
        <is>
          <t>Love Crew TRNV 0</t>
        </is>
      </c>
      <c r="F1437" s="7" t="inlineStr">
        <is>
          <t>$48.00</t>
        </is>
      </c>
      <c r="G1437" s="7" t="inlineStr">
        <is>
          <t>$24.00</t>
        </is>
      </c>
      <c r="H1437" s="7" t="inlineStr">
        <is>
          <t>White</t>
        </is>
      </c>
      <c r="I1437" s="7">
        <f>IMAGE("https://images.lululemon.com/is/image/lululemon/0002",1)</f>
        <v/>
      </c>
      <c r="J1437" s="7" t="inlineStr">
        <is>
          <t>4</t>
        </is>
      </c>
      <c r="K1437" s="7" t="inlineStr">
        <is>
          <t>85/650</t>
        </is>
      </c>
      <c r="L1437" s="7" t="inlineStr">
        <is>
          <t>Yes</t>
        </is>
      </c>
      <c r="M1437" s="7" t="inlineStr">
        <is>
          <t>Lots of reasons to love this tee. Soft cotton fabric, a hint of stretch, and a just-right curved hem that pairs perfectly with leggings.</t>
        </is>
      </c>
      <c r="N1437" s="7" t="inlineStr">
        <is>
          <t>Love-Crew</t>
        </is>
      </c>
      <c r="O1437" s="7" t="inlineStr"/>
    </row>
    <row r="1438" ht="80" customHeight="1">
      <c r="A1438" s="4">
        <f>IMAGE("https://images.lululemon.com/is/image/lululemon/LW3EPFS_0001_1?wid=320&amp;op_usm=0.8",1)</f>
        <v/>
      </c>
      <c r="B1438" s="4" t="inlineStr">
        <is>
          <t>Love Crewneck T-Shirt</t>
        </is>
      </c>
      <c r="C1438" s="4" t="inlineStr">
        <is>
          <t>138375060</t>
        </is>
      </c>
      <c r="D1438" s="4" t="inlineStr">
        <is>
          <t>138375060-white</t>
        </is>
      </c>
      <c r="E1438" s="4" t="inlineStr">
        <is>
          <t>Love Crew TRNV 0</t>
        </is>
      </c>
      <c r="F1438" s="4" t="inlineStr">
        <is>
          <t>$48.00</t>
        </is>
      </c>
      <c r="G1438" s="4" t="inlineStr">
        <is>
          <t>$24.00</t>
        </is>
      </c>
      <c r="H1438" s="4" t="inlineStr">
        <is>
          <t>White</t>
        </is>
      </c>
      <c r="I1438" s="4">
        <f>IMAGE("https://images.lululemon.com/is/image/lululemon/0002",1)</f>
        <v/>
      </c>
      <c r="J1438" s="4" t="inlineStr">
        <is>
          <t>6</t>
        </is>
      </c>
      <c r="K1438" s="4" t="inlineStr">
        <is>
          <t>85/650</t>
        </is>
      </c>
      <c r="L1438" s="4" t="inlineStr">
        <is>
          <t>Yes</t>
        </is>
      </c>
      <c r="M1438" s="4" t="inlineStr">
        <is>
          <t>Lots of reasons to love this tee. Soft cotton fabric, a hint of stretch, and a just-right curved hem that pairs perfectly with leggings.</t>
        </is>
      </c>
      <c r="N1438" s="4" t="inlineStr">
        <is>
          <t>Love-Crew</t>
        </is>
      </c>
      <c r="O1438" s="4" t="inlineStr"/>
    </row>
    <row r="1439" ht="80" customHeight="1">
      <c r="A1439" s="7">
        <f>IMAGE("https://images.lululemon.com/is/image/lululemon/LW3EPFS_0001_1?wid=320&amp;op_usm=0.8",1)</f>
        <v/>
      </c>
      <c r="B1439" s="7" t="inlineStr">
        <is>
          <t>Love Crewneck T-Shirt</t>
        </is>
      </c>
      <c r="C1439" s="7" t="inlineStr">
        <is>
          <t>138375061</t>
        </is>
      </c>
      <c r="D1439" s="7" t="inlineStr">
        <is>
          <t>138375061-white</t>
        </is>
      </c>
      <c r="E1439" s="7" t="inlineStr">
        <is>
          <t>Love Crew TRNV 0</t>
        </is>
      </c>
      <c r="F1439" s="7" t="inlineStr">
        <is>
          <t>$48.00</t>
        </is>
      </c>
      <c r="G1439" s="7" t="inlineStr">
        <is>
          <t>$24.00</t>
        </is>
      </c>
      <c r="H1439" s="7" t="inlineStr">
        <is>
          <t>White</t>
        </is>
      </c>
      <c r="I1439" s="7">
        <f>IMAGE("https://images.lululemon.com/is/image/lululemon/0002",1)</f>
        <v/>
      </c>
      <c r="J1439" s="7" t="inlineStr">
        <is>
          <t>8</t>
        </is>
      </c>
      <c r="K1439" s="7" t="inlineStr">
        <is>
          <t>21/650</t>
        </is>
      </c>
      <c r="L1439" s="7" t="inlineStr">
        <is>
          <t>Yes</t>
        </is>
      </c>
      <c r="M1439" s="7" t="inlineStr">
        <is>
          <t>Lots of reasons to love this tee. Soft cotton fabric, a hint of stretch, and a just-right curved hem that pairs perfectly with leggings.</t>
        </is>
      </c>
      <c r="N1439" s="7" t="inlineStr">
        <is>
          <t>Love-Crew</t>
        </is>
      </c>
      <c r="O1439" s="7" t="inlineStr"/>
    </row>
    <row r="1440" ht="80" customHeight="1">
      <c r="A1440" s="4">
        <f>IMAGE("https://images.lululemon.com/is/image/lululemon/LW3EPFS_0001_1?wid=320&amp;op_usm=0.8",1)</f>
        <v/>
      </c>
      <c r="B1440" s="4" t="inlineStr">
        <is>
          <t>Love Crewneck T-Shirt</t>
        </is>
      </c>
      <c r="C1440" s="4" t="inlineStr">
        <is>
          <t>138375049</t>
        </is>
      </c>
      <c r="D1440" s="4" t="inlineStr">
        <is>
          <t>138375049-white</t>
        </is>
      </c>
      <c r="E1440" s="4" t="inlineStr">
        <is>
          <t>Love Crew TRNV 0</t>
        </is>
      </c>
      <c r="F1440" s="4" t="inlineStr">
        <is>
          <t>$48.00</t>
        </is>
      </c>
      <c r="G1440" s="4" t="inlineStr">
        <is>
          <t>$24.00</t>
        </is>
      </c>
      <c r="H1440" s="4" t="inlineStr">
        <is>
          <t>White</t>
        </is>
      </c>
      <c r="I1440" s="4">
        <f>IMAGE("https://images.lululemon.com/is/image/lululemon/0002",1)</f>
        <v/>
      </c>
      <c r="J1440" s="4" t="inlineStr">
        <is>
          <t>10</t>
        </is>
      </c>
      <c r="K1440" s="4" t="inlineStr">
        <is>
          <t>7/650</t>
        </is>
      </c>
      <c r="L1440" s="4" t="inlineStr">
        <is>
          <t>Yes</t>
        </is>
      </c>
      <c r="M1440" s="4" t="inlineStr">
        <is>
          <t>Lots of reasons to love this tee. Soft cotton fabric, a hint of stretch, and a just-right curved hem that pairs perfectly with leggings.</t>
        </is>
      </c>
      <c r="N1440" s="4" t="inlineStr">
        <is>
          <t>Love-Crew</t>
        </is>
      </c>
      <c r="O1440" s="4" t="inlineStr"/>
    </row>
    <row r="1441" ht="80" customHeight="1">
      <c r="A1441" s="7">
        <f>IMAGE("https://images.lululemon.com/is/image/lululemon/LW3EPFS_0001_1?wid=320&amp;op_usm=0.8",1)</f>
        <v/>
      </c>
      <c r="B1441" s="7" t="inlineStr">
        <is>
          <t>Love Crewneck T-Shirt</t>
        </is>
      </c>
      <c r="C1441" s="7" t="inlineStr">
        <is>
          <t>138375050</t>
        </is>
      </c>
      <c r="D1441" s="7" t="inlineStr">
        <is>
          <t>138375050-white</t>
        </is>
      </c>
      <c r="E1441" s="7" t="inlineStr">
        <is>
          <t>Love Crew TRNV 0</t>
        </is>
      </c>
      <c r="F1441" s="7" t="inlineStr">
        <is>
          <t>$48.00</t>
        </is>
      </c>
      <c r="G1441" s="7" t="inlineStr">
        <is>
          <t>$24.00</t>
        </is>
      </c>
      <c r="H1441" s="7" t="inlineStr">
        <is>
          <t>White</t>
        </is>
      </c>
      <c r="I1441" s="7">
        <f>IMAGE("https://images.lululemon.com/is/image/lululemon/0002",1)</f>
        <v/>
      </c>
      <c r="J1441" s="7" t="inlineStr">
        <is>
          <t>12</t>
        </is>
      </c>
      <c r="K1441" s="7" t="inlineStr">
        <is>
          <t>1/650</t>
        </is>
      </c>
      <c r="L1441" s="7" t="inlineStr">
        <is>
          <t>Yes</t>
        </is>
      </c>
      <c r="M1441" s="7" t="inlineStr">
        <is>
          <t>Lots of reasons to love this tee. Soft cotton fabric, a hint of stretch, and a just-right curved hem that pairs perfectly with leggings.</t>
        </is>
      </c>
      <c r="N1441" s="7" t="inlineStr">
        <is>
          <t>Love-Crew</t>
        </is>
      </c>
      <c r="O1441" s="7" t="inlineStr"/>
    </row>
    <row r="1442" ht="80" customHeight="1">
      <c r="A1442" s="4">
        <f>IMAGE("https://images.lululemon.com/is/image/lululemon/LW3EPFS_0001_1?wid=320&amp;op_usm=0.8",1)</f>
        <v/>
      </c>
      <c r="B1442" s="4" t="inlineStr">
        <is>
          <t>Love Crewneck T-Shirt</t>
        </is>
      </c>
      <c r="C1442" s="4" t="inlineStr">
        <is>
          <t>132152214</t>
        </is>
      </c>
      <c r="D1442" s="4" t="inlineStr">
        <is>
          <t>132152214-black</t>
        </is>
      </c>
      <c r="E1442" s="4" t="inlineStr">
        <is>
          <t>Love Crew TRNV 0</t>
        </is>
      </c>
      <c r="F1442" s="4" t="inlineStr">
        <is>
          <t>$48.00</t>
        </is>
      </c>
      <c r="G1442" s="4" t="inlineStr">
        <is>
          <t>$24.00</t>
        </is>
      </c>
      <c r="H1442" s="4" t="inlineStr">
        <is>
          <t>Black</t>
        </is>
      </c>
      <c r="I1442" s="4">
        <f>IMAGE("https://images.lululemon.com/is/image/lululemon/0001",1)</f>
        <v/>
      </c>
      <c r="J1442" s="4" t="inlineStr">
        <is>
          <t>2</t>
        </is>
      </c>
      <c r="K1442" s="4" t="inlineStr">
        <is>
          <t>27/650</t>
        </is>
      </c>
      <c r="L1442" s="4" t="inlineStr">
        <is>
          <t>Yes</t>
        </is>
      </c>
      <c r="M1442" s="4" t="inlineStr">
        <is>
          <t>Lots of reasons to love this tee. Soft cotton fabric, a hint of stretch, and a just-right curved hem that pairs perfectly with leggings.</t>
        </is>
      </c>
      <c r="N1442" s="4" t="inlineStr">
        <is>
          <t>Love-Crew</t>
        </is>
      </c>
      <c r="O1442" s="4" t="inlineStr"/>
    </row>
    <row r="1443" ht="80" customHeight="1">
      <c r="A1443" s="7">
        <f>IMAGE("https://images.lululemon.com/is/image/lululemon/LW3EPFS_0001_1?wid=320&amp;op_usm=0.8",1)</f>
        <v/>
      </c>
      <c r="B1443" s="7" t="inlineStr">
        <is>
          <t>Love Crewneck T-Shirt</t>
        </is>
      </c>
      <c r="C1443" s="7" t="inlineStr">
        <is>
          <t>132152238</t>
        </is>
      </c>
      <c r="D1443" s="7" t="inlineStr">
        <is>
          <t>132152238-black</t>
        </is>
      </c>
      <c r="E1443" s="7" t="inlineStr">
        <is>
          <t>Love Crew TRNV 0</t>
        </is>
      </c>
      <c r="F1443" s="7" t="inlineStr">
        <is>
          <t>$48.00</t>
        </is>
      </c>
      <c r="G1443" s="7" t="inlineStr">
        <is>
          <t>$24.00</t>
        </is>
      </c>
      <c r="H1443" s="7" t="inlineStr">
        <is>
          <t>Black</t>
        </is>
      </c>
      <c r="I1443" s="7">
        <f>IMAGE("https://images.lululemon.com/is/image/lululemon/0001",1)</f>
        <v/>
      </c>
      <c r="J1443" s="7" t="inlineStr">
        <is>
          <t>4</t>
        </is>
      </c>
      <c r="K1443" s="7" t="inlineStr">
        <is>
          <t>47/650</t>
        </is>
      </c>
      <c r="L1443" s="7" t="inlineStr">
        <is>
          <t>Yes</t>
        </is>
      </c>
      <c r="M1443" s="7" t="inlineStr">
        <is>
          <t>Lots of reasons to love this tee. Soft cotton fabric, a hint of stretch, and a just-right curved hem that pairs perfectly with leggings.</t>
        </is>
      </c>
      <c r="N1443" s="7" t="inlineStr">
        <is>
          <t>Love-Crew</t>
        </is>
      </c>
      <c r="O1443" s="7" t="inlineStr"/>
    </row>
    <row r="1444" ht="80" customHeight="1">
      <c r="A1444" s="4">
        <f>IMAGE("https://images.lululemon.com/is/image/lululemon/LW3EPFS_0001_1?wid=320&amp;op_usm=0.8",1)</f>
        <v/>
      </c>
      <c r="B1444" s="4" t="inlineStr">
        <is>
          <t>Love Crewneck T-Shirt</t>
        </is>
      </c>
      <c r="C1444" s="4" t="inlineStr">
        <is>
          <t>139375673</t>
        </is>
      </c>
      <c r="D1444" s="4" t="inlineStr">
        <is>
          <t>139375673-black</t>
        </is>
      </c>
      <c r="E1444" s="4" t="inlineStr">
        <is>
          <t>Love Crew TRNV 0</t>
        </is>
      </c>
      <c r="F1444" s="4" t="inlineStr">
        <is>
          <t>$48.00</t>
        </is>
      </c>
      <c r="G1444" s="4" t="inlineStr">
        <is>
          <t>$24.00</t>
        </is>
      </c>
      <c r="H1444" s="4" t="inlineStr">
        <is>
          <t>Black</t>
        </is>
      </c>
      <c r="I1444" s="4">
        <f>IMAGE("https://images.lululemon.com/is/image/lululemon/0001",1)</f>
        <v/>
      </c>
      <c r="J1444" s="4" t="inlineStr">
        <is>
          <t>6</t>
        </is>
      </c>
      <c r="K1444" s="4" t="inlineStr">
        <is>
          <t>123/650</t>
        </is>
      </c>
      <c r="L1444" s="4" t="inlineStr">
        <is>
          <t>Yes</t>
        </is>
      </c>
      <c r="M1444" s="4" t="inlineStr">
        <is>
          <t>Lots of reasons to love this tee. Soft cotton fabric, a hint of stretch, and a just-right curved hem that pairs perfectly with leggings.</t>
        </is>
      </c>
      <c r="N1444" s="4" t="inlineStr">
        <is>
          <t>Love-Crew</t>
        </is>
      </c>
      <c r="O1444" s="4" t="inlineStr"/>
    </row>
    <row r="1445" ht="80" customHeight="1">
      <c r="A1445" s="7">
        <f>IMAGE("https://images.lululemon.com/is/image/lululemon/LW3EPFS_0001_1?wid=320&amp;op_usm=0.8",1)</f>
        <v/>
      </c>
      <c r="B1445" s="7" t="inlineStr">
        <is>
          <t>Love Crewneck T-Shirt</t>
        </is>
      </c>
      <c r="C1445" s="7" t="inlineStr">
        <is>
          <t>139375677</t>
        </is>
      </c>
      <c r="D1445" s="7" t="inlineStr">
        <is>
          <t>139375677-black</t>
        </is>
      </c>
      <c r="E1445" s="7" t="inlineStr">
        <is>
          <t>Love Crew TRNV 0</t>
        </is>
      </c>
      <c r="F1445" s="7" t="inlineStr">
        <is>
          <t>$48.00</t>
        </is>
      </c>
      <c r="G1445" s="7" t="inlineStr">
        <is>
          <t>$24.00</t>
        </is>
      </c>
      <c r="H1445" s="7" t="inlineStr">
        <is>
          <t>Black</t>
        </is>
      </c>
      <c r="I1445" s="7">
        <f>IMAGE("https://images.lululemon.com/is/image/lululemon/0001",1)</f>
        <v/>
      </c>
      <c r="J1445" s="7" t="inlineStr">
        <is>
          <t>8</t>
        </is>
      </c>
      <c r="K1445" s="7" t="inlineStr">
        <is>
          <t>37/650</t>
        </is>
      </c>
      <c r="L1445" s="7" t="inlineStr">
        <is>
          <t>Yes</t>
        </is>
      </c>
      <c r="M1445" s="7" t="inlineStr">
        <is>
          <t>Lots of reasons to love this tee. Soft cotton fabric, a hint of stretch, and a just-right curved hem that pairs perfectly with leggings.</t>
        </is>
      </c>
      <c r="N1445" s="7" t="inlineStr">
        <is>
          <t>Love-Crew</t>
        </is>
      </c>
      <c r="O1445" s="7" t="inlineStr"/>
    </row>
    <row r="1446" ht="80" customHeight="1">
      <c r="A1446" s="4">
        <f>IMAGE("https://images.lululemon.com/is/image/lululemon/LW3EPFS_0001_1?wid=320&amp;op_usm=0.8",1)</f>
        <v/>
      </c>
      <c r="B1446" s="4" t="inlineStr">
        <is>
          <t>Love Crewneck T-Shirt</t>
        </is>
      </c>
      <c r="C1446" s="4" t="inlineStr">
        <is>
          <t>139375629</t>
        </is>
      </c>
      <c r="D1446" s="4" t="inlineStr">
        <is>
          <t>139375629-black</t>
        </is>
      </c>
      <c r="E1446" s="4" t="inlineStr">
        <is>
          <t>Love Crew TRNV 0</t>
        </is>
      </c>
      <c r="F1446" s="4" t="inlineStr">
        <is>
          <t>$48.00</t>
        </is>
      </c>
      <c r="G1446" s="4" t="inlineStr">
        <is>
          <t>$24.00</t>
        </is>
      </c>
      <c r="H1446" s="4" t="inlineStr">
        <is>
          <t>Black</t>
        </is>
      </c>
      <c r="I1446" s="4">
        <f>IMAGE("https://images.lululemon.com/is/image/lululemon/0001",1)</f>
        <v/>
      </c>
      <c r="J1446" s="4" t="inlineStr">
        <is>
          <t>10</t>
        </is>
      </c>
      <c r="K1446" s="4" t="inlineStr">
        <is>
          <t>85/650</t>
        </is>
      </c>
      <c r="L1446" s="4" t="inlineStr">
        <is>
          <t>Yes</t>
        </is>
      </c>
      <c r="M1446" s="4" t="inlineStr">
        <is>
          <t>Lots of reasons to love this tee. Soft cotton fabric, a hint of stretch, and a just-right curved hem that pairs perfectly with leggings.</t>
        </is>
      </c>
      <c r="N1446" s="4" t="inlineStr">
        <is>
          <t>Love-Crew</t>
        </is>
      </c>
      <c r="O1446" s="4" t="inlineStr"/>
    </row>
    <row r="1447" ht="80" customHeight="1">
      <c r="A1447" s="7">
        <f>IMAGE("https://images.lululemon.com/is/image/lululemon/LW3EPFS_0001_1?wid=320&amp;op_usm=0.8",1)</f>
        <v/>
      </c>
      <c r="B1447" s="7" t="inlineStr">
        <is>
          <t>Love Crewneck T-Shirt</t>
        </is>
      </c>
      <c r="C1447" s="7" t="inlineStr">
        <is>
          <t>139375633</t>
        </is>
      </c>
      <c r="D1447" s="7" t="inlineStr">
        <is>
          <t>139375633-black</t>
        </is>
      </c>
      <c r="E1447" s="7" t="inlineStr">
        <is>
          <t>Love Crew TRNV 0</t>
        </is>
      </c>
      <c r="F1447" s="7" t="inlineStr">
        <is>
          <t>$48.00</t>
        </is>
      </c>
      <c r="G1447" s="7" t="inlineStr">
        <is>
          <t>$24.00</t>
        </is>
      </c>
      <c r="H1447" s="7" t="inlineStr">
        <is>
          <t>Black</t>
        </is>
      </c>
      <c r="I1447" s="7">
        <f>IMAGE("https://images.lululemon.com/is/image/lululemon/0001",1)</f>
        <v/>
      </c>
      <c r="J1447" s="7" t="inlineStr">
        <is>
          <t>12</t>
        </is>
      </c>
      <c r="K1447" s="7" t="inlineStr">
        <is>
          <t>27/650</t>
        </is>
      </c>
      <c r="L1447" s="7" t="inlineStr">
        <is>
          <t>Yes</t>
        </is>
      </c>
      <c r="M1447" s="7" t="inlineStr">
        <is>
          <t>Lots of reasons to love this tee. Soft cotton fabric, a hint of stretch, and a just-right curved hem that pairs perfectly with leggings.</t>
        </is>
      </c>
      <c r="N1447" s="7" t="inlineStr">
        <is>
          <t>Love-Crew</t>
        </is>
      </c>
      <c r="O1447" s="7" t="inlineStr"/>
    </row>
    <row r="1448" ht="80" customHeight="1">
      <c r="A1448" s="6">
        <f>IMAGE("https://images.lululemon.com/is/image/lululemon/LW3EPFS_0001_1?wid=320&amp;op_usm=0.8",1)</f>
        <v/>
      </c>
      <c r="B1448" s="6" t="inlineStr">
        <is>
          <t>Love Crewneck T-Shirt</t>
        </is>
      </c>
      <c r="C1448" s="6" t="inlineStr">
        <is>
          <t>132152201</t>
        </is>
      </c>
      <c r="D1448" s="6" t="inlineStr">
        <is>
          <t>132152201-black</t>
        </is>
      </c>
      <c r="E1448" s="6" t="inlineStr">
        <is>
          <t>Love Crew TRNV 0</t>
        </is>
      </c>
      <c r="F1448" s="6" t="inlineStr">
        <is>
          <t>$48.00</t>
        </is>
      </c>
      <c r="G1448" s="6" t="inlineStr">
        <is>
          <t>$24.00</t>
        </is>
      </c>
      <c r="H1448" s="6" t="inlineStr">
        <is>
          <t>Black</t>
        </is>
      </c>
      <c r="I1448" s="6">
        <f>IMAGE("https://images.lululemon.com/is/image/lululemon/0001",1)</f>
        <v/>
      </c>
      <c r="J1448" s="6" t="inlineStr">
        <is>
          <t>14</t>
        </is>
      </c>
      <c r="K1448" s="6" t="inlineStr">
        <is>
          <t>7/650</t>
        </is>
      </c>
      <c r="L1448" s="6" t="inlineStr">
        <is>
          <t>Yes</t>
        </is>
      </c>
      <c r="M1448" s="6" t="inlineStr">
        <is>
          <t>Lots of reasons to love this tee. Soft cotton fabric, a hint of stretch, and a just-right curved hem that pairs perfectly with leggings.</t>
        </is>
      </c>
      <c r="N1448" s="6" t="inlineStr">
        <is>
          <t>Love-Crew</t>
        </is>
      </c>
      <c r="O1448" s="6" t="inlineStr"/>
    </row>
    <row r="1449" ht="80" customHeight="1">
      <c r="A1449" s="7">
        <f>IMAGE("https://images.lululemon.com/is/image/lululemon/LM7BPKS_071177_1?wid=320&amp;op_usm=0.8",1)</f>
        <v/>
      </c>
      <c r="B1449" s="7" t="inlineStr">
        <is>
          <t>Mile Maker Ripstop Lined Short 4"</t>
        </is>
      </c>
      <c r="C1449" s="7" t="inlineStr">
        <is>
          <t>157717666</t>
        </is>
      </c>
      <c r="D1449" s="7" t="inlineStr">
        <is>
          <t>157717666-sunburstorange</t>
        </is>
      </c>
      <c r="E1449" s="7" t="inlineStr">
        <is>
          <t>Mile Maker Ripstop Short 4" *Lined SNOR S</t>
        </is>
      </c>
      <c r="F1449" s="7" t="inlineStr">
        <is>
          <t>$78.00</t>
        </is>
      </c>
      <c r="G1449" s="7" t="inlineStr">
        <is>
          <t>$39.00</t>
        </is>
      </c>
      <c r="H1449" s="7" t="inlineStr">
        <is>
          <t>Sunburst Orange</t>
        </is>
      </c>
      <c r="I1449" s="7">
        <f>IMAGE("https://images.lululemon.com/is/image/lululemon/71177",1)</f>
        <v/>
      </c>
      <c r="J1449" s="7" t="inlineStr">
        <is>
          <t>S</t>
        </is>
      </c>
      <c r="K1449" s="7" t="inlineStr">
        <is>
          <t>14/126</t>
        </is>
      </c>
      <c r="L1449" s="7" t="inlineStr">
        <is>
          <t>Yes</t>
        </is>
      </c>
      <c r="M1449" s="7" t="inlineStr">
        <is>
          <t>Whether you're a seasoned runner or new to the crew, these lined, quick-drying shorts keep you comfortable from warm-up stretches to post-run hangs.</t>
        </is>
      </c>
      <c r="N1449" s="7" t="inlineStr">
        <is>
          <t>Mile-Maker-Ripstop-Lined-Short-4</t>
        </is>
      </c>
      <c r="O1449" s="7" t="inlineStr">
        <is>
          <t>Liner Shorts, Athletic Shorts</t>
        </is>
      </c>
    </row>
    <row r="1450" ht="80" customHeight="1">
      <c r="A1450" s="4">
        <f>IMAGE("https://images.lululemon.com/is/image/lululemon/LM7BPKS_071177_1?wid=320&amp;op_usm=0.8",1)</f>
        <v/>
      </c>
      <c r="B1450" s="4" t="inlineStr">
        <is>
          <t>Mile Maker Ripstop Lined Short 4"</t>
        </is>
      </c>
      <c r="C1450" s="4" t="inlineStr">
        <is>
          <t>157717665</t>
        </is>
      </c>
      <c r="D1450" s="4" t="inlineStr">
        <is>
          <t>157717665-sunburstorange</t>
        </is>
      </c>
      <c r="E1450" s="4" t="inlineStr">
        <is>
          <t>Mile Maker Ripstop Short 4" *Lined SNOR S</t>
        </is>
      </c>
      <c r="F1450" s="4" t="inlineStr">
        <is>
          <t>$78.00</t>
        </is>
      </c>
      <c r="G1450" s="4" t="inlineStr">
        <is>
          <t>$39.00</t>
        </is>
      </c>
      <c r="H1450" s="4" t="inlineStr">
        <is>
          <t>Sunburst Orange</t>
        </is>
      </c>
      <c r="I1450" s="4">
        <f>IMAGE("https://images.lululemon.com/is/image/lululemon/71177",1)</f>
        <v/>
      </c>
      <c r="J1450" s="4" t="inlineStr">
        <is>
          <t>M</t>
        </is>
      </c>
      <c r="K1450" s="4" t="inlineStr">
        <is>
          <t>41/126</t>
        </is>
      </c>
      <c r="L1450" s="4" t="inlineStr">
        <is>
          <t>Yes</t>
        </is>
      </c>
      <c r="M1450" s="4" t="inlineStr">
        <is>
          <t>Whether you're a seasoned runner or new to the crew, these lined, quick-drying shorts keep you comfortable from warm-up stretches to post-run hangs.</t>
        </is>
      </c>
      <c r="N1450" s="4" t="inlineStr">
        <is>
          <t>Mile-Maker-Ripstop-Lined-Short-4</t>
        </is>
      </c>
      <c r="O1450" s="4" t="inlineStr">
        <is>
          <t>Liner Shorts, Athletic Shorts</t>
        </is>
      </c>
    </row>
    <row r="1451" ht="80" customHeight="1">
      <c r="A1451" s="7">
        <f>IMAGE("https://images.lululemon.com/is/image/lululemon/LM7BPKS_071177_1?wid=320&amp;op_usm=0.8",1)</f>
        <v/>
      </c>
      <c r="B1451" s="7" t="inlineStr">
        <is>
          <t>Mile Maker Ripstop Lined Short 4"</t>
        </is>
      </c>
      <c r="C1451" s="7" t="inlineStr">
        <is>
          <t>157717661</t>
        </is>
      </c>
      <c r="D1451" s="7" t="inlineStr">
        <is>
          <t>157717661-sunburstorange</t>
        </is>
      </c>
      <c r="E1451" s="7" t="inlineStr">
        <is>
          <t>Mile Maker Ripstop Short 4" *Lined SNOR S</t>
        </is>
      </c>
      <c r="F1451" s="7" t="inlineStr">
        <is>
          <t>$78.00</t>
        </is>
      </c>
      <c r="G1451" s="7" t="inlineStr">
        <is>
          <t>$39.00</t>
        </is>
      </c>
      <c r="H1451" s="7" t="inlineStr">
        <is>
          <t>Sunburst Orange</t>
        </is>
      </c>
      <c r="I1451" s="7">
        <f>IMAGE("https://images.lululemon.com/is/image/lululemon/71177",1)</f>
        <v/>
      </c>
      <c r="J1451" s="7" t="inlineStr">
        <is>
          <t>L</t>
        </is>
      </c>
      <c r="K1451" s="7" t="inlineStr">
        <is>
          <t>43/126</t>
        </is>
      </c>
      <c r="L1451" s="7" t="inlineStr">
        <is>
          <t>Yes</t>
        </is>
      </c>
      <c r="M1451" s="7" t="inlineStr">
        <is>
          <t>Whether you're a seasoned runner or new to the crew, these lined, quick-drying shorts keep you comfortable from warm-up stretches to post-run hangs.</t>
        </is>
      </c>
      <c r="N1451" s="7" t="inlineStr">
        <is>
          <t>Mile-Maker-Ripstop-Lined-Short-4</t>
        </is>
      </c>
      <c r="O1451" s="7" t="inlineStr">
        <is>
          <t>Liner Shorts, Athletic Shorts</t>
        </is>
      </c>
    </row>
    <row r="1452" ht="80" customHeight="1">
      <c r="A1452" s="4">
        <f>IMAGE("https://images.lululemon.com/is/image/lululemon/LM7BPKS_071177_1?wid=320&amp;op_usm=0.8",1)</f>
        <v/>
      </c>
      <c r="B1452" s="4" t="inlineStr">
        <is>
          <t>Mile Maker Ripstop Lined Short 4"</t>
        </is>
      </c>
      <c r="C1452" s="4" t="inlineStr">
        <is>
          <t>157717670</t>
        </is>
      </c>
      <c r="D1452" s="4" t="inlineStr">
        <is>
          <t>157717670-sunburstorange</t>
        </is>
      </c>
      <c r="E1452" s="4" t="inlineStr">
        <is>
          <t>Mile Maker Ripstop Short 4" *Lined SNOR S</t>
        </is>
      </c>
      <c r="F1452" s="4" t="inlineStr">
        <is>
          <t>$78.00</t>
        </is>
      </c>
      <c r="G1452" s="4" t="inlineStr">
        <is>
          <t>$39.00</t>
        </is>
      </c>
      <c r="H1452" s="4" t="inlineStr">
        <is>
          <t>Sunburst Orange</t>
        </is>
      </c>
      <c r="I1452" s="4">
        <f>IMAGE("https://images.lululemon.com/is/image/lululemon/71177",1)</f>
        <v/>
      </c>
      <c r="J1452" s="4" t="inlineStr">
        <is>
          <t>XL</t>
        </is>
      </c>
      <c r="K1452" s="4" t="inlineStr">
        <is>
          <t>23/126</t>
        </is>
      </c>
      <c r="L1452" s="4" t="inlineStr">
        <is>
          <t>Yes</t>
        </is>
      </c>
      <c r="M1452" s="4" t="inlineStr">
        <is>
          <t>Whether you're a seasoned runner or new to the crew, these lined, quick-drying shorts keep you comfortable from warm-up stretches to post-run hangs.</t>
        </is>
      </c>
      <c r="N1452" s="4" t="inlineStr">
        <is>
          <t>Mile-Maker-Ripstop-Lined-Short-4</t>
        </is>
      </c>
      <c r="O1452" s="4" t="inlineStr">
        <is>
          <t>Liner Shorts, Athletic Shorts</t>
        </is>
      </c>
    </row>
    <row r="1453" ht="80" customHeight="1">
      <c r="A1453" s="5">
        <f>IMAGE("https://images.lululemon.com/is/image/lululemon/LM7BPKS_071177_1?wid=320&amp;op_usm=0.8",1)</f>
        <v/>
      </c>
      <c r="B1453" s="5" t="inlineStr">
        <is>
          <t>Mile Maker Ripstop Lined Short 4"</t>
        </is>
      </c>
      <c r="C1453" s="5" t="inlineStr">
        <is>
          <t>157717671</t>
        </is>
      </c>
      <c r="D1453" s="5" t="inlineStr">
        <is>
          <t>157717671-sunburstorange</t>
        </is>
      </c>
      <c r="E1453" s="5" t="inlineStr">
        <is>
          <t>Mile Maker Ripstop Short 4" *Lined SNOR S</t>
        </is>
      </c>
      <c r="F1453" s="5" t="inlineStr">
        <is>
          <t>$78.00</t>
        </is>
      </c>
      <c r="G1453" s="5" t="inlineStr">
        <is>
          <t>$39.00</t>
        </is>
      </c>
      <c r="H1453" s="5" t="inlineStr">
        <is>
          <t>Sunburst Orange</t>
        </is>
      </c>
      <c r="I1453" s="5">
        <f>IMAGE("https://images.lululemon.com/is/image/lululemon/71177",1)</f>
        <v/>
      </c>
      <c r="J1453" s="5" t="inlineStr">
        <is>
          <t>XXL</t>
        </is>
      </c>
      <c r="K1453" s="5" t="inlineStr">
        <is>
          <t>5/126</t>
        </is>
      </c>
      <c r="L1453" s="5" t="inlineStr">
        <is>
          <t>Yes</t>
        </is>
      </c>
      <c r="M1453" s="5" t="inlineStr">
        <is>
          <t>Whether you're a seasoned runner or new to the crew, these lined, quick-drying shorts keep you comfortable from warm-up stretches to post-run hangs.</t>
        </is>
      </c>
      <c r="N1453" s="5" t="inlineStr">
        <is>
          <t>Mile-Maker-Ripstop-Lined-Short-4</t>
        </is>
      </c>
      <c r="O1453" s="5" t="inlineStr">
        <is>
          <t>Liner Shorts, Athletic Shorts</t>
        </is>
      </c>
    </row>
    <row r="1454" ht="80" customHeight="1">
      <c r="A1454" s="4">
        <f>IMAGE("https://images.lululemon.com/is/image/lululemon/LM3FDVS_0001_1?wid=320&amp;op_usm=0.8",1)</f>
        <v/>
      </c>
      <c r="B1454" s="4" t="inlineStr">
        <is>
          <t>Smooth Spacer Classic-Fit Pullover Hoodie</t>
        </is>
      </c>
      <c r="C1454" s="4" t="inlineStr">
        <is>
          <t>151655228</t>
        </is>
      </c>
      <c r="D1454" s="4" t="inlineStr">
        <is>
          <t>151655228-black</t>
        </is>
      </c>
      <c r="E1454" s="4" t="inlineStr">
        <is>
          <t>Smooth Spacer Pullover Hoodie BLK S</t>
        </is>
      </c>
      <c r="F1454" s="4" t="inlineStr">
        <is>
          <t>$138.00</t>
        </is>
      </c>
      <c r="G1454" s="4" t="inlineStr">
        <is>
          <t>$69.00</t>
        </is>
      </c>
      <c r="H1454" s="4" t="inlineStr">
        <is>
          <t>Black</t>
        </is>
      </c>
      <c r="I1454" s="4">
        <f>IMAGE("https://images.lululemon.com/is/image/lululemon/0001",1)</f>
        <v/>
      </c>
      <c r="J1454" s="4" t="inlineStr">
        <is>
          <t>S</t>
        </is>
      </c>
      <c r="K1454" s="4" t="inlineStr">
        <is>
          <t>37/1217</t>
        </is>
      </c>
      <c r="L1454" s="4" t="inlineStr">
        <is>
          <t>Yes</t>
        </is>
      </c>
      <c r="M1454" s="4" t="inlineStr">
        <is>
          <t>Instant recovery mode. Fast-drying fabric on this hoodie is soft on the outside and sleek next to skin for that perfect cool-down feeling.</t>
        </is>
      </c>
      <c r="N1454" s="4" t="inlineStr">
        <is>
          <t>Smooth-Spacer-Classic-Pullover-Hoodie</t>
        </is>
      </c>
      <c r="O1454" s="4" t="inlineStr">
        <is>
          <t>Hoodies</t>
        </is>
      </c>
    </row>
    <row r="1455" ht="80" customHeight="1">
      <c r="A1455" s="7">
        <f>IMAGE("https://images.lululemon.com/is/image/lululemon/LM3FDVS_0001_1?wid=320&amp;op_usm=0.8",1)</f>
        <v/>
      </c>
      <c r="B1455" s="7" t="inlineStr">
        <is>
          <t>Smooth Spacer Classic-Fit Pullover Hoodie</t>
        </is>
      </c>
      <c r="C1455" s="7" t="inlineStr">
        <is>
          <t>151655220</t>
        </is>
      </c>
      <c r="D1455" s="7" t="inlineStr">
        <is>
          <t>151655220-black</t>
        </is>
      </c>
      <c r="E1455" s="7" t="inlineStr">
        <is>
          <t>Smooth Spacer Pullover Hoodie BLK S</t>
        </is>
      </c>
      <c r="F1455" s="7" t="inlineStr">
        <is>
          <t>$138.00</t>
        </is>
      </c>
      <c r="G1455" s="7" t="inlineStr">
        <is>
          <t>$69.00</t>
        </is>
      </c>
      <c r="H1455" s="7" t="inlineStr">
        <is>
          <t>Black</t>
        </is>
      </c>
      <c r="I1455" s="7">
        <f>IMAGE("https://images.lululemon.com/is/image/lululemon/0001",1)</f>
        <v/>
      </c>
      <c r="J1455" s="7" t="inlineStr">
        <is>
          <t>M</t>
        </is>
      </c>
      <c r="K1455" s="7" t="inlineStr">
        <is>
          <t>123/1217</t>
        </is>
      </c>
      <c r="L1455" s="7" t="inlineStr">
        <is>
          <t>Yes</t>
        </is>
      </c>
      <c r="M1455" s="7" t="inlineStr">
        <is>
          <t>Instant recovery mode. Fast-drying fabric on this hoodie is soft on the outside and sleek next to skin for that perfect cool-down feeling.</t>
        </is>
      </c>
      <c r="N1455" s="7" t="inlineStr">
        <is>
          <t>Smooth-Spacer-Classic-Pullover-Hoodie</t>
        </is>
      </c>
      <c r="O1455" s="7" t="inlineStr">
        <is>
          <t>Hoodies</t>
        </is>
      </c>
    </row>
    <row r="1456" ht="80" customHeight="1">
      <c r="A1456" s="4">
        <f>IMAGE("https://images.lululemon.com/is/image/lululemon/LM3FDVS_0001_1?wid=320&amp;op_usm=0.8",1)</f>
        <v/>
      </c>
      <c r="B1456" s="4" t="inlineStr">
        <is>
          <t>Smooth Spacer Classic-Fit Pullover Hoodie</t>
        </is>
      </c>
      <c r="C1456" s="4" t="inlineStr">
        <is>
          <t>151655212</t>
        </is>
      </c>
      <c r="D1456" s="4" t="inlineStr">
        <is>
          <t>151655212-black</t>
        </is>
      </c>
      <c r="E1456" s="4" t="inlineStr">
        <is>
          <t>Smooth Spacer Pullover Hoodie BLK S</t>
        </is>
      </c>
      <c r="F1456" s="4" t="inlineStr">
        <is>
          <t>$138.00</t>
        </is>
      </c>
      <c r="G1456" s="4" t="inlineStr">
        <is>
          <t>$69.00</t>
        </is>
      </c>
      <c r="H1456" s="4" t="inlineStr">
        <is>
          <t>Black</t>
        </is>
      </c>
      <c r="I1456" s="4">
        <f>IMAGE("https://images.lululemon.com/is/image/lululemon/0001",1)</f>
        <v/>
      </c>
      <c r="J1456" s="4" t="inlineStr">
        <is>
          <t>L</t>
        </is>
      </c>
      <c r="K1456" s="4" t="inlineStr">
        <is>
          <t>177/1217</t>
        </is>
      </c>
      <c r="L1456" s="4" t="inlineStr">
        <is>
          <t>Yes</t>
        </is>
      </c>
      <c r="M1456" s="4" t="inlineStr">
        <is>
          <t>Instant recovery mode. Fast-drying fabric on this hoodie is soft on the outside and sleek next to skin for that perfect cool-down feeling.</t>
        </is>
      </c>
      <c r="N1456" s="4" t="inlineStr">
        <is>
          <t>Smooth-Spacer-Classic-Pullover-Hoodie</t>
        </is>
      </c>
      <c r="O1456" s="4" t="inlineStr">
        <is>
          <t>Hoodies</t>
        </is>
      </c>
    </row>
    <row r="1457" ht="80" customHeight="1">
      <c r="A1457" s="7">
        <f>IMAGE("https://images.lululemon.com/is/image/lululemon/LM3FDVS_0001_1?wid=320&amp;op_usm=0.8",1)</f>
        <v/>
      </c>
      <c r="B1457" s="7" t="inlineStr">
        <is>
          <t>Smooth Spacer Classic-Fit Pullover Hoodie</t>
        </is>
      </c>
      <c r="C1457" s="7" t="inlineStr">
        <is>
          <t>151655236</t>
        </is>
      </c>
      <c r="D1457" s="7" t="inlineStr">
        <is>
          <t>151655236-black</t>
        </is>
      </c>
      <c r="E1457" s="7" t="inlineStr">
        <is>
          <t>Smooth Spacer Pullover Hoodie BLK S</t>
        </is>
      </c>
      <c r="F1457" s="7" t="inlineStr">
        <is>
          <t>$138.00</t>
        </is>
      </c>
      <c r="G1457" s="7" t="inlineStr">
        <is>
          <t>$69.00</t>
        </is>
      </c>
      <c r="H1457" s="7" t="inlineStr">
        <is>
          <t>Black</t>
        </is>
      </c>
      <c r="I1457" s="7">
        <f>IMAGE("https://images.lululemon.com/is/image/lululemon/0001",1)</f>
        <v/>
      </c>
      <c r="J1457" s="7" t="inlineStr">
        <is>
          <t>XL</t>
        </is>
      </c>
      <c r="K1457" s="7" t="inlineStr">
        <is>
          <t>90/1217</t>
        </is>
      </c>
      <c r="L1457" s="7" t="inlineStr">
        <is>
          <t>Yes</t>
        </is>
      </c>
      <c r="M1457" s="7" t="inlineStr">
        <is>
          <t>Instant recovery mode. Fast-drying fabric on this hoodie is soft on the outside and sleek next to skin for that perfect cool-down feeling.</t>
        </is>
      </c>
      <c r="N1457" s="7" t="inlineStr">
        <is>
          <t>Smooth-Spacer-Classic-Pullover-Hoodie</t>
        </is>
      </c>
      <c r="O1457" s="7" t="inlineStr">
        <is>
          <t>Hoodies</t>
        </is>
      </c>
    </row>
    <row r="1458" ht="80" customHeight="1">
      <c r="A1458" s="4">
        <f>IMAGE("https://images.lululemon.com/is/image/lululemon/LM3FDVS_0001_1?wid=320&amp;op_usm=0.8",1)</f>
        <v/>
      </c>
      <c r="B1458" s="4" t="inlineStr">
        <is>
          <t>Smooth Spacer Classic-Fit Pullover Hoodie</t>
        </is>
      </c>
      <c r="C1458" s="4" t="inlineStr">
        <is>
          <t>151655249</t>
        </is>
      </c>
      <c r="D1458" s="4" t="inlineStr">
        <is>
          <t>151655249-black</t>
        </is>
      </c>
      <c r="E1458" s="4" t="inlineStr">
        <is>
          <t>Smooth Spacer Pullover Hoodie BLK S</t>
        </is>
      </c>
      <c r="F1458" s="4" t="inlineStr">
        <is>
          <t>$138.00</t>
        </is>
      </c>
      <c r="G1458" s="4" t="inlineStr">
        <is>
          <t>$69.00</t>
        </is>
      </c>
      <c r="H1458" s="4" t="inlineStr">
        <is>
          <t>Black</t>
        </is>
      </c>
      <c r="I1458" s="4">
        <f>IMAGE("https://images.lululemon.com/is/image/lululemon/0001",1)</f>
        <v/>
      </c>
      <c r="J1458" s="4" t="inlineStr">
        <is>
          <t>XXL</t>
        </is>
      </c>
      <c r="K1458" s="4" t="inlineStr">
        <is>
          <t>40/1217</t>
        </is>
      </c>
      <c r="L1458" s="4" t="inlineStr">
        <is>
          <t>Yes</t>
        </is>
      </c>
      <c r="M1458" s="4" t="inlineStr">
        <is>
          <t>Instant recovery mode. Fast-drying fabric on this hoodie is soft on the outside and sleek next to skin for that perfect cool-down feeling.</t>
        </is>
      </c>
      <c r="N1458" s="4" t="inlineStr">
        <is>
          <t>Smooth-Spacer-Classic-Pullover-Hoodie</t>
        </is>
      </c>
      <c r="O1458" s="4" t="inlineStr">
        <is>
          <t>Hoodies</t>
        </is>
      </c>
    </row>
    <row r="1459" ht="80" customHeight="1">
      <c r="A1459" s="7">
        <f>IMAGE("https://images.lululemon.com/is/image/lululemon/LM3FDVS_0001_1?wid=320&amp;op_usm=0.8",1)</f>
        <v/>
      </c>
      <c r="B1459" s="7" t="inlineStr">
        <is>
          <t>Smooth Spacer Classic-Fit Pullover Hoodie</t>
        </is>
      </c>
      <c r="C1459" s="7" t="inlineStr">
        <is>
          <t>157675924</t>
        </is>
      </c>
      <c r="D1459" s="7" t="inlineStr">
        <is>
          <t>157675924-sequoia</t>
        </is>
      </c>
      <c r="E1459" s="7" t="inlineStr">
        <is>
          <t>Smooth Spacer Pullover Hoodie BLK S</t>
        </is>
      </c>
      <c r="F1459" s="7" t="inlineStr">
        <is>
          <t>$138.00</t>
        </is>
      </c>
      <c r="G1459" s="7" t="inlineStr">
        <is>
          <t>$69.00</t>
        </is>
      </c>
      <c r="H1459" s="7" t="inlineStr">
        <is>
          <t>Sequoia</t>
        </is>
      </c>
      <c r="I1459" s="7">
        <f>IMAGE("https://images.lululemon.com/is/image/lululemon/41179",1)</f>
        <v/>
      </c>
      <c r="J1459" s="7" t="inlineStr">
        <is>
          <t>S</t>
        </is>
      </c>
      <c r="K1459" s="7" t="inlineStr">
        <is>
          <t>14/1217</t>
        </is>
      </c>
      <c r="L1459" s="7" t="inlineStr">
        <is>
          <t>Yes</t>
        </is>
      </c>
      <c r="M1459" s="7" t="inlineStr">
        <is>
          <t>Instant recovery mode. Fast-drying fabric on this hoodie is soft on the outside and sleek next to skin for that perfect cool-down feeling.</t>
        </is>
      </c>
      <c r="N1459" s="7" t="inlineStr">
        <is>
          <t>Smooth-Spacer-Classic-Pullover-Hoodie</t>
        </is>
      </c>
      <c r="O1459" s="7" t="inlineStr">
        <is>
          <t>Hoodies</t>
        </is>
      </c>
    </row>
    <row r="1460" ht="80" customHeight="1">
      <c r="A1460" s="4">
        <f>IMAGE("https://images.lululemon.com/is/image/lululemon/LM3FDVS_0001_1?wid=320&amp;op_usm=0.8",1)</f>
        <v/>
      </c>
      <c r="B1460" s="4" t="inlineStr">
        <is>
          <t>Smooth Spacer Classic-Fit Pullover Hoodie</t>
        </is>
      </c>
      <c r="C1460" s="4" t="inlineStr">
        <is>
          <t>157675923</t>
        </is>
      </c>
      <c r="D1460" s="4" t="inlineStr">
        <is>
          <t>157675923-sequoia</t>
        </is>
      </c>
      <c r="E1460" s="4" t="inlineStr">
        <is>
          <t>Smooth Spacer Pullover Hoodie BLK S</t>
        </is>
      </c>
      <c r="F1460" s="4" t="inlineStr">
        <is>
          <t>$138.00</t>
        </is>
      </c>
      <c r="G1460" s="4" t="inlineStr">
        <is>
          <t>$69.00</t>
        </is>
      </c>
      <c r="H1460" s="4" t="inlineStr">
        <is>
          <t>Sequoia</t>
        </is>
      </c>
      <c r="I1460" s="4">
        <f>IMAGE("https://images.lululemon.com/is/image/lululemon/41179",1)</f>
        <v/>
      </c>
      <c r="J1460" s="4" t="inlineStr">
        <is>
          <t>M</t>
        </is>
      </c>
      <c r="K1460" s="4" t="inlineStr">
        <is>
          <t>26/1217</t>
        </is>
      </c>
      <c r="L1460" s="4" t="inlineStr">
        <is>
          <t>Yes</t>
        </is>
      </c>
      <c r="M1460" s="4" t="inlineStr">
        <is>
          <t>Instant recovery mode. Fast-drying fabric on this hoodie is soft on the outside and sleek next to skin for that perfect cool-down feeling.</t>
        </is>
      </c>
      <c r="N1460" s="4" t="inlineStr">
        <is>
          <t>Smooth-Spacer-Classic-Pullover-Hoodie</t>
        </is>
      </c>
      <c r="O1460" s="4" t="inlineStr">
        <is>
          <t>Hoodies</t>
        </is>
      </c>
    </row>
    <row r="1461" ht="80" customHeight="1">
      <c r="A1461" s="7">
        <f>IMAGE("https://images.lululemon.com/is/image/lululemon/LM3FDVS_0001_1?wid=320&amp;op_usm=0.8",1)</f>
        <v/>
      </c>
      <c r="B1461" s="7" t="inlineStr">
        <is>
          <t>Smooth Spacer Classic-Fit Pullover Hoodie</t>
        </is>
      </c>
      <c r="C1461" s="7" t="inlineStr">
        <is>
          <t>157675922</t>
        </is>
      </c>
      <c r="D1461" s="7" t="inlineStr">
        <is>
          <t>157675922-sequoia</t>
        </is>
      </c>
      <c r="E1461" s="7" t="inlineStr">
        <is>
          <t>Smooth Spacer Pullover Hoodie BLK S</t>
        </is>
      </c>
      <c r="F1461" s="7" t="inlineStr">
        <is>
          <t>$138.00</t>
        </is>
      </c>
      <c r="G1461" s="7" t="inlineStr">
        <is>
          <t>$69.00</t>
        </is>
      </c>
      <c r="H1461" s="7" t="inlineStr">
        <is>
          <t>Sequoia</t>
        </is>
      </c>
      <c r="I1461" s="7">
        <f>IMAGE("https://images.lululemon.com/is/image/lululemon/41179",1)</f>
        <v/>
      </c>
      <c r="J1461" s="7" t="inlineStr">
        <is>
          <t>L</t>
        </is>
      </c>
      <c r="K1461" s="7" t="inlineStr">
        <is>
          <t>24/1217</t>
        </is>
      </c>
      <c r="L1461" s="7" t="inlineStr">
        <is>
          <t>Yes</t>
        </is>
      </c>
      <c r="M1461" s="7" t="inlineStr">
        <is>
          <t>Instant recovery mode. Fast-drying fabric on this hoodie is soft on the outside and sleek next to skin for that perfect cool-down feeling.</t>
        </is>
      </c>
      <c r="N1461" s="7" t="inlineStr">
        <is>
          <t>Smooth-Spacer-Classic-Pullover-Hoodie</t>
        </is>
      </c>
      <c r="O1461" s="7" t="inlineStr">
        <is>
          <t>Hoodies</t>
        </is>
      </c>
    </row>
    <row r="1462" ht="80" customHeight="1">
      <c r="A1462" s="4">
        <f>IMAGE("https://images.lululemon.com/is/image/lululemon/LM3FDVS_0001_1?wid=320&amp;op_usm=0.8",1)</f>
        <v/>
      </c>
      <c r="B1462" s="4" t="inlineStr">
        <is>
          <t>Smooth Spacer Classic-Fit Pullover Hoodie</t>
        </is>
      </c>
      <c r="C1462" s="4" t="inlineStr">
        <is>
          <t>157675925</t>
        </is>
      </c>
      <c r="D1462" s="4" t="inlineStr">
        <is>
          <t>157675925-sequoia</t>
        </is>
      </c>
      <c r="E1462" s="4" t="inlineStr">
        <is>
          <t>Smooth Spacer Pullover Hoodie BLK S</t>
        </is>
      </c>
      <c r="F1462" s="4" t="inlineStr">
        <is>
          <t>$138.00</t>
        </is>
      </c>
      <c r="G1462" s="4" t="inlineStr">
        <is>
          <t>$69.00</t>
        </is>
      </c>
      <c r="H1462" s="4" t="inlineStr">
        <is>
          <t>Sequoia</t>
        </is>
      </c>
      <c r="I1462" s="4">
        <f>IMAGE("https://images.lululemon.com/is/image/lululemon/41179",1)</f>
        <v/>
      </c>
      <c r="J1462" s="4" t="inlineStr">
        <is>
          <t>XL</t>
        </is>
      </c>
      <c r="K1462" s="4" t="inlineStr">
        <is>
          <t>10/1217</t>
        </is>
      </c>
      <c r="L1462" s="4" t="inlineStr">
        <is>
          <t>Yes</t>
        </is>
      </c>
      <c r="M1462" s="4" t="inlineStr">
        <is>
          <t>Instant recovery mode. Fast-drying fabric on this hoodie is soft on the outside and sleek next to skin for that perfect cool-down feeling.</t>
        </is>
      </c>
      <c r="N1462" s="4" t="inlineStr">
        <is>
          <t>Smooth-Spacer-Classic-Pullover-Hoodie</t>
        </is>
      </c>
      <c r="O1462" s="4" t="inlineStr">
        <is>
          <t>Hoodies</t>
        </is>
      </c>
    </row>
    <row r="1463" ht="80" customHeight="1">
      <c r="A1463" s="7">
        <f>IMAGE("https://images.lululemon.com/is/image/lululemon/LM3FDVS_0001_1?wid=320&amp;op_usm=0.8",1)</f>
        <v/>
      </c>
      <c r="B1463" s="7" t="inlineStr">
        <is>
          <t>Smooth Spacer Classic-Fit Pullover Hoodie</t>
        </is>
      </c>
      <c r="C1463" s="7" t="inlineStr">
        <is>
          <t>157675927</t>
        </is>
      </c>
      <c r="D1463" s="7" t="inlineStr">
        <is>
          <t>157675927-sequoia</t>
        </is>
      </c>
      <c r="E1463" s="7" t="inlineStr">
        <is>
          <t>Smooth Spacer Pullover Hoodie BLK S</t>
        </is>
      </c>
      <c r="F1463" s="7" t="inlineStr">
        <is>
          <t>$138.00</t>
        </is>
      </c>
      <c r="G1463" s="7" t="inlineStr">
        <is>
          <t>$69.00</t>
        </is>
      </c>
      <c r="H1463" s="7" t="inlineStr">
        <is>
          <t>Sequoia</t>
        </is>
      </c>
      <c r="I1463" s="7">
        <f>IMAGE("https://images.lululemon.com/is/image/lululemon/41179",1)</f>
        <v/>
      </c>
      <c r="J1463" s="7" t="inlineStr">
        <is>
          <t>XXL</t>
        </is>
      </c>
      <c r="K1463" s="7" t="inlineStr">
        <is>
          <t>1/1217</t>
        </is>
      </c>
      <c r="L1463" s="7" t="inlineStr">
        <is>
          <t>Yes</t>
        </is>
      </c>
      <c r="M1463" s="7" t="inlineStr">
        <is>
          <t>Instant recovery mode. Fast-drying fabric on this hoodie is soft on the outside and sleek next to skin for that perfect cool-down feeling.</t>
        </is>
      </c>
      <c r="N1463" s="7" t="inlineStr">
        <is>
          <t>Smooth-Spacer-Classic-Pullover-Hoodie</t>
        </is>
      </c>
      <c r="O1463" s="7" t="inlineStr">
        <is>
          <t>Hoodies</t>
        </is>
      </c>
    </row>
    <row r="1464" ht="80" customHeight="1">
      <c r="A1464" s="4">
        <f>IMAGE("https://images.lululemon.com/is/image/lululemon/LM3FDVS_0001_1?wid=320&amp;op_usm=0.8",1)</f>
        <v/>
      </c>
      <c r="B1464" s="4" t="inlineStr">
        <is>
          <t>Smooth Spacer Classic-Fit Pullover Hoodie</t>
        </is>
      </c>
      <c r="C1464" s="4" t="inlineStr">
        <is>
          <t>157676584</t>
        </is>
      </c>
      <c r="D1464" s="4" t="inlineStr">
        <is>
          <t>157676584-bayleaf</t>
        </is>
      </c>
      <c r="E1464" s="4" t="inlineStr">
        <is>
          <t>Smooth Spacer Pullover Hoodie BLK S</t>
        </is>
      </c>
      <c r="F1464" s="4" t="inlineStr">
        <is>
          <t>$138.00</t>
        </is>
      </c>
      <c r="G1464" s="4" t="inlineStr">
        <is>
          <t>$69.00</t>
        </is>
      </c>
      <c r="H1464" s="4" t="inlineStr">
        <is>
          <t>Bay Leaf</t>
        </is>
      </c>
      <c r="I1464" s="4">
        <f>IMAGE("https://images.lululemon.com/is/image/lululemon/62214",1)</f>
        <v/>
      </c>
      <c r="J1464" s="4" t="inlineStr">
        <is>
          <t>S</t>
        </is>
      </c>
      <c r="K1464" s="4" t="inlineStr">
        <is>
          <t>15/1217</t>
        </is>
      </c>
      <c r="L1464" s="4" t="inlineStr">
        <is>
          <t>Yes</t>
        </is>
      </c>
      <c r="M1464" s="4" t="inlineStr">
        <is>
          <t>Instant recovery mode. Fast-drying fabric on this hoodie is soft on the outside and sleek next to skin for that perfect cool-down feeling.</t>
        </is>
      </c>
      <c r="N1464" s="4" t="inlineStr">
        <is>
          <t>Smooth-Spacer-Classic-Pullover-Hoodie</t>
        </is>
      </c>
      <c r="O1464" s="4" t="inlineStr">
        <is>
          <t>Hoodies</t>
        </is>
      </c>
    </row>
    <row r="1465" ht="80" customHeight="1">
      <c r="A1465" s="7">
        <f>IMAGE("https://images.lululemon.com/is/image/lululemon/LM3FDVS_0001_1?wid=320&amp;op_usm=0.8",1)</f>
        <v/>
      </c>
      <c r="B1465" s="7" t="inlineStr">
        <is>
          <t>Smooth Spacer Classic-Fit Pullover Hoodie</t>
        </is>
      </c>
      <c r="C1465" s="7" t="inlineStr">
        <is>
          <t>157676574</t>
        </is>
      </c>
      <c r="D1465" s="7" t="inlineStr">
        <is>
          <t>157676574-bayleaf</t>
        </is>
      </c>
      <c r="E1465" s="7" t="inlineStr">
        <is>
          <t>Smooth Spacer Pullover Hoodie BLK S</t>
        </is>
      </c>
      <c r="F1465" s="7" t="inlineStr">
        <is>
          <t>$138.00</t>
        </is>
      </c>
      <c r="G1465" s="7" t="inlineStr">
        <is>
          <t>$69.00</t>
        </is>
      </c>
      <c r="H1465" s="7" t="inlineStr">
        <is>
          <t>Bay Leaf</t>
        </is>
      </c>
      <c r="I1465" s="7">
        <f>IMAGE("https://images.lululemon.com/is/image/lululemon/62214",1)</f>
        <v/>
      </c>
      <c r="J1465" s="7" t="inlineStr">
        <is>
          <t>M</t>
        </is>
      </c>
      <c r="K1465" s="7" t="inlineStr">
        <is>
          <t>43/1217</t>
        </is>
      </c>
      <c r="L1465" s="7" t="inlineStr">
        <is>
          <t>Yes</t>
        </is>
      </c>
      <c r="M1465" s="7" t="inlineStr">
        <is>
          <t>Instant recovery mode. Fast-drying fabric on this hoodie is soft on the outside and sleek next to skin for that perfect cool-down feeling.</t>
        </is>
      </c>
      <c r="N1465" s="7" t="inlineStr">
        <is>
          <t>Smooth-Spacer-Classic-Pullover-Hoodie</t>
        </is>
      </c>
      <c r="O1465" s="7" t="inlineStr">
        <is>
          <t>Hoodies</t>
        </is>
      </c>
    </row>
    <row r="1466" ht="80" customHeight="1">
      <c r="A1466" s="4">
        <f>IMAGE("https://images.lululemon.com/is/image/lululemon/LM3FDVS_0001_1?wid=320&amp;op_usm=0.8",1)</f>
        <v/>
      </c>
      <c r="B1466" s="4" t="inlineStr">
        <is>
          <t>Smooth Spacer Classic-Fit Pullover Hoodie</t>
        </is>
      </c>
      <c r="C1466" s="4" t="inlineStr">
        <is>
          <t>157676564</t>
        </is>
      </c>
      <c r="D1466" s="4" t="inlineStr">
        <is>
          <t>157676564-bayleaf</t>
        </is>
      </c>
      <c r="E1466" s="4" t="inlineStr">
        <is>
          <t>Smooth Spacer Pullover Hoodie BLK S</t>
        </is>
      </c>
      <c r="F1466" s="4" t="inlineStr">
        <is>
          <t>$138.00</t>
        </is>
      </c>
      <c r="G1466" s="4" t="inlineStr">
        <is>
          <t>$69.00</t>
        </is>
      </c>
      <c r="H1466" s="4" t="inlineStr">
        <is>
          <t>Bay Leaf</t>
        </is>
      </c>
      <c r="I1466" s="4">
        <f>IMAGE("https://images.lululemon.com/is/image/lululemon/62214",1)</f>
        <v/>
      </c>
      <c r="J1466" s="4" t="inlineStr">
        <is>
          <t>L</t>
        </is>
      </c>
      <c r="K1466" s="4" t="inlineStr">
        <is>
          <t>43/1217</t>
        </is>
      </c>
      <c r="L1466" s="4" t="inlineStr">
        <is>
          <t>Yes</t>
        </is>
      </c>
      <c r="M1466" s="4" t="inlineStr">
        <is>
          <t>Instant recovery mode. Fast-drying fabric on this hoodie is soft on the outside and sleek next to skin for that perfect cool-down feeling.</t>
        </is>
      </c>
      <c r="N1466" s="4" t="inlineStr">
        <is>
          <t>Smooth-Spacer-Classic-Pullover-Hoodie</t>
        </is>
      </c>
      <c r="O1466" s="4" t="inlineStr">
        <is>
          <t>Hoodies</t>
        </is>
      </c>
    </row>
    <row r="1467" ht="80" customHeight="1">
      <c r="A1467" s="7">
        <f>IMAGE("https://images.lululemon.com/is/image/lululemon/LM3FDVS_0001_1?wid=320&amp;op_usm=0.8",1)</f>
        <v/>
      </c>
      <c r="B1467" s="7" t="inlineStr">
        <is>
          <t>Smooth Spacer Classic-Fit Pullover Hoodie</t>
        </is>
      </c>
      <c r="C1467" s="7" t="inlineStr">
        <is>
          <t>157676594</t>
        </is>
      </c>
      <c r="D1467" s="7" t="inlineStr">
        <is>
          <t>157676594-bayleaf</t>
        </is>
      </c>
      <c r="E1467" s="7" t="inlineStr">
        <is>
          <t>Smooth Spacer Pullover Hoodie BLK S</t>
        </is>
      </c>
      <c r="F1467" s="7" t="inlineStr">
        <is>
          <t>$138.00</t>
        </is>
      </c>
      <c r="G1467" s="7" t="inlineStr">
        <is>
          <t>$69.00</t>
        </is>
      </c>
      <c r="H1467" s="7" t="inlineStr">
        <is>
          <t>Bay Leaf</t>
        </is>
      </c>
      <c r="I1467" s="7">
        <f>IMAGE("https://images.lululemon.com/is/image/lululemon/62214",1)</f>
        <v/>
      </c>
      <c r="J1467" s="7" t="inlineStr">
        <is>
          <t>XL</t>
        </is>
      </c>
      <c r="K1467" s="7" t="inlineStr">
        <is>
          <t>22/1217</t>
        </is>
      </c>
      <c r="L1467" s="7" t="inlineStr">
        <is>
          <t>Yes</t>
        </is>
      </c>
      <c r="M1467" s="7" t="inlineStr">
        <is>
          <t>Instant recovery mode. Fast-drying fabric on this hoodie is soft on the outside and sleek next to skin for that perfect cool-down feeling.</t>
        </is>
      </c>
      <c r="N1467" s="7" t="inlineStr">
        <is>
          <t>Smooth-Spacer-Classic-Pullover-Hoodie</t>
        </is>
      </c>
      <c r="O1467" s="7" t="inlineStr">
        <is>
          <t>Hoodies</t>
        </is>
      </c>
    </row>
    <row r="1468" ht="80" customHeight="1">
      <c r="A1468" s="4">
        <f>IMAGE("https://images.lululemon.com/is/image/lululemon/LM3FDVS_0001_1?wid=320&amp;op_usm=0.8",1)</f>
        <v/>
      </c>
      <c r="B1468" s="4" t="inlineStr">
        <is>
          <t>Smooth Spacer Classic-Fit Pullover Hoodie</t>
        </is>
      </c>
      <c r="C1468" s="4" t="inlineStr">
        <is>
          <t>157676617</t>
        </is>
      </c>
      <c r="D1468" s="4" t="inlineStr">
        <is>
          <t>157676617-bayleaf</t>
        </is>
      </c>
      <c r="E1468" s="4" t="inlineStr">
        <is>
          <t>Smooth Spacer Pullover Hoodie BLK S</t>
        </is>
      </c>
      <c r="F1468" s="4" t="inlineStr">
        <is>
          <t>$138.00</t>
        </is>
      </c>
      <c r="G1468" s="4" t="inlineStr">
        <is>
          <t>$69.00</t>
        </is>
      </c>
      <c r="H1468" s="4" t="inlineStr">
        <is>
          <t>Bay Leaf</t>
        </is>
      </c>
      <c r="I1468" s="4">
        <f>IMAGE("https://images.lululemon.com/is/image/lululemon/62214",1)</f>
        <v/>
      </c>
      <c r="J1468" s="4" t="inlineStr">
        <is>
          <t>XXL</t>
        </is>
      </c>
      <c r="K1468" s="4" t="inlineStr">
        <is>
          <t>12/1217</t>
        </is>
      </c>
      <c r="L1468" s="4" t="inlineStr">
        <is>
          <t>Yes</t>
        </is>
      </c>
      <c r="M1468" s="4" t="inlineStr">
        <is>
          <t>Instant recovery mode. Fast-drying fabric on this hoodie is soft on the outside and sleek next to skin for that perfect cool-down feeling.</t>
        </is>
      </c>
      <c r="N1468" s="4" t="inlineStr">
        <is>
          <t>Smooth-Spacer-Classic-Pullover-Hoodie</t>
        </is>
      </c>
      <c r="O1468" s="4" t="inlineStr">
        <is>
          <t>Hoodies</t>
        </is>
      </c>
    </row>
    <row r="1469" ht="80" customHeight="1">
      <c r="A1469" s="7">
        <f>IMAGE("https://images.lululemon.com/is/image/lululemon/LM3FDVS_0001_1?wid=320&amp;op_usm=0.8",1)</f>
        <v/>
      </c>
      <c r="B1469" s="7" t="inlineStr">
        <is>
          <t>Smooth Spacer Classic-Fit Pullover Hoodie</t>
        </is>
      </c>
      <c r="C1469" s="7" t="inlineStr">
        <is>
          <t>158029592</t>
        </is>
      </c>
      <c r="D1469" s="7" t="inlineStr">
        <is>
          <t>158029592-olivebrown</t>
        </is>
      </c>
      <c r="E1469" s="7" t="inlineStr">
        <is>
          <t>Smooth Spacer Pullover Hoodie BLK S</t>
        </is>
      </c>
      <c r="F1469" s="7" t="inlineStr">
        <is>
          <t>$138.00</t>
        </is>
      </c>
      <c r="G1469" s="7" t="inlineStr">
        <is>
          <t>$69.00</t>
        </is>
      </c>
      <c r="H1469" s="7" t="inlineStr">
        <is>
          <t>Olive Brown</t>
        </is>
      </c>
      <c r="I1469" s="7">
        <f>IMAGE("https://images.lululemon.com/is/image/lululemon/71148",1)</f>
        <v/>
      </c>
      <c r="J1469" s="7" t="inlineStr">
        <is>
          <t>S</t>
        </is>
      </c>
      <c r="K1469" s="7" t="inlineStr">
        <is>
          <t>50/1217</t>
        </is>
      </c>
      <c r="L1469" s="7" t="inlineStr">
        <is>
          <t>Yes</t>
        </is>
      </c>
      <c r="M1469" s="7" t="inlineStr">
        <is>
          <t>Instant recovery mode. Fast-drying fabric on this hoodie is soft on the outside and sleek next to skin for that perfect cool-down feeling.</t>
        </is>
      </c>
      <c r="N1469" s="7" t="inlineStr">
        <is>
          <t>Smooth-Spacer-Classic-Pullover-Hoodie</t>
        </is>
      </c>
      <c r="O1469" s="7" t="inlineStr">
        <is>
          <t>Hoodies</t>
        </is>
      </c>
    </row>
    <row r="1470" ht="80" customHeight="1">
      <c r="A1470" s="4">
        <f>IMAGE("https://images.lululemon.com/is/image/lululemon/LM3FDVS_0001_1?wid=320&amp;op_usm=0.8",1)</f>
        <v/>
      </c>
      <c r="B1470" s="4" t="inlineStr">
        <is>
          <t>Smooth Spacer Classic-Fit Pullover Hoodie</t>
        </is>
      </c>
      <c r="C1470" s="4" t="inlineStr">
        <is>
          <t>158029589</t>
        </is>
      </c>
      <c r="D1470" s="4" t="inlineStr">
        <is>
          <t>158029589-olivebrown</t>
        </is>
      </c>
      <c r="E1470" s="4" t="inlineStr">
        <is>
          <t>Smooth Spacer Pullover Hoodie BLK S</t>
        </is>
      </c>
      <c r="F1470" s="4" t="inlineStr">
        <is>
          <t>$138.00</t>
        </is>
      </c>
      <c r="G1470" s="4" t="inlineStr">
        <is>
          <t>$69.00</t>
        </is>
      </c>
      <c r="H1470" s="4" t="inlineStr">
        <is>
          <t>Olive Brown</t>
        </is>
      </c>
      <c r="I1470" s="4">
        <f>IMAGE("https://images.lululemon.com/is/image/lululemon/71148",1)</f>
        <v/>
      </c>
      <c r="J1470" s="4" t="inlineStr">
        <is>
          <t>M</t>
        </is>
      </c>
      <c r="K1470" s="4" t="inlineStr">
        <is>
          <t>131/1217</t>
        </is>
      </c>
      <c r="L1470" s="4" t="inlineStr">
        <is>
          <t>Yes</t>
        </is>
      </c>
      <c r="M1470" s="4" t="inlineStr">
        <is>
          <t>Instant recovery mode. Fast-drying fabric on this hoodie is soft on the outside and sleek next to skin for that perfect cool-down feeling.</t>
        </is>
      </c>
      <c r="N1470" s="4" t="inlineStr">
        <is>
          <t>Smooth-Spacer-Classic-Pullover-Hoodie</t>
        </is>
      </c>
      <c r="O1470" s="4" t="inlineStr">
        <is>
          <t>Hoodies</t>
        </is>
      </c>
    </row>
    <row r="1471" ht="80" customHeight="1">
      <c r="A1471" s="7">
        <f>IMAGE("https://images.lululemon.com/is/image/lululemon/LM3FDVS_0001_1?wid=320&amp;op_usm=0.8",1)</f>
        <v/>
      </c>
      <c r="B1471" s="7" t="inlineStr">
        <is>
          <t>Smooth Spacer Classic-Fit Pullover Hoodie</t>
        </is>
      </c>
      <c r="C1471" s="7" t="inlineStr">
        <is>
          <t>158029587</t>
        </is>
      </c>
      <c r="D1471" s="7" t="inlineStr">
        <is>
          <t>158029587-olivebrown</t>
        </is>
      </c>
      <c r="E1471" s="7" t="inlineStr">
        <is>
          <t>Smooth Spacer Pullover Hoodie BLK S</t>
        </is>
      </c>
      <c r="F1471" s="7" t="inlineStr">
        <is>
          <t>$138.00</t>
        </is>
      </c>
      <c r="G1471" s="7" t="inlineStr">
        <is>
          <t>$69.00</t>
        </is>
      </c>
      <c r="H1471" s="7" t="inlineStr">
        <is>
          <t>Olive Brown</t>
        </is>
      </c>
      <c r="I1471" s="7">
        <f>IMAGE("https://images.lululemon.com/is/image/lululemon/71148",1)</f>
        <v/>
      </c>
      <c r="J1471" s="7" t="inlineStr">
        <is>
          <t>L</t>
        </is>
      </c>
      <c r="K1471" s="7" t="inlineStr">
        <is>
          <t>171/1217</t>
        </is>
      </c>
      <c r="L1471" s="7" t="inlineStr">
        <is>
          <t>Yes</t>
        </is>
      </c>
      <c r="M1471" s="7" t="inlineStr">
        <is>
          <t>Instant recovery mode. Fast-drying fabric on this hoodie is soft on the outside and sleek next to skin for that perfect cool-down feeling.</t>
        </is>
      </c>
      <c r="N1471" s="7" t="inlineStr">
        <is>
          <t>Smooth-Spacer-Classic-Pullover-Hoodie</t>
        </is>
      </c>
      <c r="O1471" s="7" t="inlineStr">
        <is>
          <t>Hoodies</t>
        </is>
      </c>
    </row>
    <row r="1472" ht="80" customHeight="1">
      <c r="A1472" s="4">
        <f>IMAGE("https://images.lululemon.com/is/image/lululemon/LM3FDVS_0001_1?wid=320&amp;op_usm=0.8",1)</f>
        <v/>
      </c>
      <c r="B1472" s="4" t="inlineStr">
        <is>
          <t>Smooth Spacer Classic-Fit Pullover Hoodie</t>
        </is>
      </c>
      <c r="C1472" s="4" t="inlineStr">
        <is>
          <t>158029594</t>
        </is>
      </c>
      <c r="D1472" s="4" t="inlineStr">
        <is>
          <t>158029594-olivebrown</t>
        </is>
      </c>
      <c r="E1472" s="4" t="inlineStr">
        <is>
          <t>Smooth Spacer Pullover Hoodie BLK S</t>
        </is>
      </c>
      <c r="F1472" s="4" t="inlineStr">
        <is>
          <t>$138.00</t>
        </is>
      </c>
      <c r="G1472" s="4" t="inlineStr">
        <is>
          <t>$69.00</t>
        </is>
      </c>
      <c r="H1472" s="4" t="inlineStr">
        <is>
          <t>Olive Brown</t>
        </is>
      </c>
      <c r="I1472" s="4">
        <f>IMAGE("https://images.lululemon.com/is/image/lululemon/71148",1)</f>
        <v/>
      </c>
      <c r="J1472" s="4" t="inlineStr">
        <is>
          <t>XL</t>
        </is>
      </c>
      <c r="K1472" s="4" t="inlineStr">
        <is>
          <t>124/1217</t>
        </is>
      </c>
      <c r="L1472" s="4" t="inlineStr">
        <is>
          <t>Yes</t>
        </is>
      </c>
      <c r="M1472" s="4" t="inlineStr">
        <is>
          <t>Instant recovery mode. Fast-drying fabric on this hoodie is soft on the outside and sleek next to skin for that perfect cool-down feeling.</t>
        </is>
      </c>
      <c r="N1472" s="4" t="inlineStr">
        <is>
          <t>Smooth-Spacer-Classic-Pullover-Hoodie</t>
        </is>
      </c>
      <c r="O1472" s="4" t="inlineStr">
        <is>
          <t>Hoodies</t>
        </is>
      </c>
    </row>
    <row r="1473" ht="80" customHeight="1">
      <c r="A1473" s="7">
        <f>IMAGE("https://images.lululemon.com/is/image/lululemon/LM3FDVS_0001_1?wid=320&amp;op_usm=0.8",1)</f>
        <v/>
      </c>
      <c r="B1473" s="7" t="inlineStr">
        <is>
          <t>Smooth Spacer Classic-Fit Pullover Hoodie</t>
        </is>
      </c>
      <c r="C1473" s="7" t="inlineStr">
        <is>
          <t>158029600</t>
        </is>
      </c>
      <c r="D1473" s="7" t="inlineStr">
        <is>
          <t>158029600-olivebrown</t>
        </is>
      </c>
      <c r="E1473" s="7" t="inlineStr">
        <is>
          <t>Smooth Spacer Pullover Hoodie BLK S</t>
        </is>
      </c>
      <c r="F1473" s="7" t="inlineStr">
        <is>
          <t>$138.00</t>
        </is>
      </c>
      <c r="G1473" s="7" t="inlineStr">
        <is>
          <t>$69.00</t>
        </is>
      </c>
      <c r="H1473" s="7" t="inlineStr">
        <is>
          <t>Olive Brown</t>
        </is>
      </c>
      <c r="I1473" s="7">
        <f>IMAGE("https://images.lululemon.com/is/image/lululemon/71148",1)</f>
        <v/>
      </c>
      <c r="J1473" s="7" t="inlineStr">
        <is>
          <t>XXL</t>
        </is>
      </c>
      <c r="K1473" s="7" t="inlineStr">
        <is>
          <t>45/1217</t>
        </is>
      </c>
      <c r="L1473" s="7" t="inlineStr">
        <is>
          <t>Yes</t>
        </is>
      </c>
      <c r="M1473" s="7" t="inlineStr">
        <is>
          <t>Instant recovery mode. Fast-drying fabric on this hoodie is soft on the outside and sleek next to skin for that perfect cool-down feeling.</t>
        </is>
      </c>
      <c r="N1473" s="7" t="inlineStr">
        <is>
          <t>Smooth-Spacer-Classic-Pullover-Hoodie</t>
        </is>
      </c>
      <c r="O1473" s="7" t="inlineStr">
        <is>
          <t>Hoodies</t>
        </is>
      </c>
    </row>
    <row r="1474" ht="80" customHeight="1">
      <c r="A1474" s="4">
        <f>IMAGE("https://images.lululemon.com/is/image/lululemon/LM3FDVS_0001_1?wid=320&amp;op_usm=0.8",1)</f>
        <v/>
      </c>
      <c r="B1474" s="4" t="inlineStr">
        <is>
          <t>Smooth Spacer Classic-Fit Pullover Hoodie</t>
        </is>
      </c>
      <c r="C1474" s="4" t="inlineStr">
        <is>
          <t>154475164</t>
        </is>
      </c>
      <c r="D1474" s="4" t="inlineStr">
        <is>
          <t>154475164-heatheredcoreultralightgrey</t>
        </is>
      </c>
      <c r="E1474" s="4" t="inlineStr">
        <is>
          <t>Smooth Spacer Pullover Hoodie BLK S</t>
        </is>
      </c>
      <c r="F1474" s="4" t="inlineStr">
        <is>
          <t>$138.00</t>
        </is>
      </c>
      <c r="G1474" s="4" t="inlineStr">
        <is>
          <t>$69.00</t>
        </is>
      </c>
      <c r="H1474" s="4" t="inlineStr">
        <is>
          <t>Heathered Core Ultra Light Grey</t>
        </is>
      </c>
      <c r="I1474" s="4">
        <f>IMAGE("https://images.lululemon.com/is/image/lululemon/32493",1)</f>
        <v/>
      </c>
      <c r="J1474" s="4" t="inlineStr">
        <is>
          <t>XL</t>
        </is>
      </c>
      <c r="K1474" s="4" t="inlineStr">
        <is>
          <t>13/1217</t>
        </is>
      </c>
      <c r="L1474" s="4" t="inlineStr">
        <is>
          <t>Yes</t>
        </is>
      </c>
      <c r="M1474" s="4" t="inlineStr">
        <is>
          <t>Instant recovery mode. Fast-drying fabric on this hoodie is soft on the outside and sleek next to skin for that perfect cool-down feeling.</t>
        </is>
      </c>
      <c r="N1474" s="4" t="inlineStr">
        <is>
          <t>Smooth-Spacer-Classic-Pullover-Hoodie</t>
        </is>
      </c>
      <c r="O1474" s="4" t="inlineStr">
        <is>
          <t>Hoodies</t>
        </is>
      </c>
    </row>
    <row r="1475" ht="80" customHeight="1">
      <c r="A1475" s="5">
        <f>IMAGE("https://images.lululemon.com/is/image/lululemon/LM3FDVS_0001_1?wid=320&amp;op_usm=0.8",1)</f>
        <v/>
      </c>
      <c r="B1475" s="5" t="inlineStr">
        <is>
          <t>Smooth Spacer Classic-Fit Pullover Hoodie</t>
        </is>
      </c>
      <c r="C1475" s="5" t="inlineStr">
        <is>
          <t>156512432</t>
        </is>
      </c>
      <c r="D1475" s="5" t="inlineStr">
        <is>
          <t>156512432-warmashgrey</t>
        </is>
      </c>
      <c r="E1475" s="5" t="inlineStr">
        <is>
          <t>Smooth Spacer Pullover Hoodie BLK S</t>
        </is>
      </c>
      <c r="F1475" s="5" t="inlineStr">
        <is>
          <t>$138.00</t>
        </is>
      </c>
      <c r="G1475" s="5" t="inlineStr">
        <is>
          <t>$69.00</t>
        </is>
      </c>
      <c r="H1475" s="5" t="inlineStr">
        <is>
          <t>Warm Ash Grey</t>
        </is>
      </c>
      <c r="I1475" s="5">
        <f>IMAGE("https://images.lululemon.com/is/image/lululemon/70108",1)</f>
        <v/>
      </c>
      <c r="J1475" s="5" t="inlineStr">
        <is>
          <t>XXL</t>
        </is>
      </c>
      <c r="K1475" s="5" t="inlineStr">
        <is>
          <t>6/1217</t>
        </is>
      </c>
      <c r="L1475" s="5" t="inlineStr">
        <is>
          <t>Yes</t>
        </is>
      </c>
      <c r="M1475" s="5" t="inlineStr">
        <is>
          <t>Instant recovery mode. Fast-drying fabric on this hoodie is soft on the outside and sleek next to skin for that perfect cool-down feeling.</t>
        </is>
      </c>
      <c r="N1475" s="5" t="inlineStr">
        <is>
          <t>Smooth-Spacer-Classic-Pullover-Hoodie</t>
        </is>
      </c>
      <c r="O1475" s="5" t="inlineStr">
        <is>
          <t>Hoodies</t>
        </is>
      </c>
    </row>
    <row r="1476" ht="80" customHeight="1">
      <c r="A1476" s="4">
        <f>IMAGE("https://images.lululemon.com/is/image/lululemon/LM7BI5S_073737_1?wid=320&amp;op_usm=0.8",1)</f>
        <v/>
      </c>
      <c r="B1476" s="4" t="inlineStr">
        <is>
          <t>Pace Breaker Linerless Short 7" *Iridescent</t>
        </is>
      </c>
      <c r="C1476" s="4" t="inlineStr">
        <is>
          <t>158101108</t>
        </is>
      </c>
      <c r="D1476" s="4" t="inlineStr">
        <is>
          <t>158101108-redclay/fountain</t>
        </is>
      </c>
      <c r="E1476" s="4" t="inlineStr">
        <is>
          <t>Pace Breaker Short 7" LL *Iridescent REDC/FNTN S</t>
        </is>
      </c>
      <c r="F1476" s="4" t="inlineStr">
        <is>
          <t>$88.00</t>
        </is>
      </c>
      <c r="G1476" s="4" t="inlineStr">
        <is>
          <t>$44.00</t>
        </is>
      </c>
      <c r="H1476" s="4" t="inlineStr">
        <is>
          <t>Red Clay/Fountain</t>
        </is>
      </c>
      <c r="I1476" s="4">
        <f>IMAGE("https://images.lululemon.com/is/image/lululemon/73737",1)</f>
        <v/>
      </c>
      <c r="J1476" s="4" t="inlineStr">
        <is>
          <t>S</t>
        </is>
      </c>
      <c r="K1476" s="4" t="inlineStr">
        <is>
          <t>38/306</t>
        </is>
      </c>
      <c r="L1476" s="4" t="inlineStr">
        <is>
          <t>Yes</t>
        </is>
      </c>
      <c r="M1476" s="4" t="inlineStr">
        <is>
          <t>Athlete backed, performance driven. This elevated version of our most versatile short was designed for maximum comfort and zero distractions.</t>
        </is>
      </c>
      <c r="N1476" s="4" t="inlineStr">
        <is>
          <t>Pace-Breaker-LL-Short-7-Iridescent</t>
        </is>
      </c>
      <c r="O1476" s="4" t="inlineStr">
        <is>
          <t>Athletic Shorts</t>
        </is>
      </c>
    </row>
    <row r="1477" ht="80" customHeight="1">
      <c r="A1477" s="7">
        <f>IMAGE("https://images.lululemon.com/is/image/lululemon/LM7BI5S_073737_1?wid=320&amp;op_usm=0.8",1)</f>
        <v/>
      </c>
      <c r="B1477" s="7" t="inlineStr">
        <is>
          <t>Pace Breaker Linerless Short 7" *Iridescent</t>
        </is>
      </c>
      <c r="C1477" s="7" t="inlineStr">
        <is>
          <t>158101106</t>
        </is>
      </c>
      <c r="D1477" s="7" t="inlineStr">
        <is>
          <t>158101106-redclay/fountain</t>
        </is>
      </c>
      <c r="E1477" s="7" t="inlineStr">
        <is>
          <t>Pace Breaker Short 7" LL *Iridescent REDC/FNTN S</t>
        </is>
      </c>
      <c r="F1477" s="7" t="inlineStr">
        <is>
          <t>$88.00</t>
        </is>
      </c>
      <c r="G1477" s="7" t="inlineStr">
        <is>
          <t>$44.00</t>
        </is>
      </c>
      <c r="H1477" s="7" t="inlineStr">
        <is>
          <t>Red Clay/Fountain</t>
        </is>
      </c>
      <c r="I1477" s="7">
        <f>IMAGE("https://images.lululemon.com/is/image/lululemon/73737",1)</f>
        <v/>
      </c>
      <c r="J1477" s="7" t="inlineStr">
        <is>
          <t>M</t>
        </is>
      </c>
      <c r="K1477" s="7" t="inlineStr">
        <is>
          <t>96/306</t>
        </is>
      </c>
      <c r="L1477" s="7" t="inlineStr">
        <is>
          <t>Yes</t>
        </is>
      </c>
      <c r="M1477" s="7" t="inlineStr">
        <is>
          <t>Athlete backed, performance driven. This elevated version of our most versatile short was designed for maximum comfort and zero distractions.</t>
        </is>
      </c>
      <c r="N1477" s="7" t="inlineStr">
        <is>
          <t>Pace-Breaker-LL-Short-7-Iridescent</t>
        </is>
      </c>
      <c r="O1477" s="7" t="inlineStr">
        <is>
          <t>Athletic Shorts</t>
        </is>
      </c>
    </row>
    <row r="1478" ht="80" customHeight="1">
      <c r="A1478" s="4">
        <f>IMAGE("https://images.lululemon.com/is/image/lululemon/LM7BI5S_073737_1?wid=320&amp;op_usm=0.8",1)</f>
        <v/>
      </c>
      <c r="B1478" s="4" t="inlineStr">
        <is>
          <t>Pace Breaker Linerless Short 7" *Iridescent</t>
        </is>
      </c>
      <c r="C1478" s="4" t="inlineStr">
        <is>
          <t>158101104</t>
        </is>
      </c>
      <c r="D1478" s="4" t="inlineStr">
        <is>
          <t>158101104-redclay/fountain</t>
        </is>
      </c>
      <c r="E1478" s="4" t="inlineStr">
        <is>
          <t>Pace Breaker Short 7" LL *Iridescent REDC/FNTN S</t>
        </is>
      </c>
      <c r="F1478" s="4" t="inlineStr">
        <is>
          <t>$88.00</t>
        </is>
      </c>
      <c r="G1478" s="4" t="inlineStr">
        <is>
          <t>$44.00</t>
        </is>
      </c>
      <c r="H1478" s="4" t="inlineStr">
        <is>
          <t>Red Clay/Fountain</t>
        </is>
      </c>
      <c r="I1478" s="4">
        <f>IMAGE("https://images.lululemon.com/is/image/lululemon/73737",1)</f>
        <v/>
      </c>
      <c r="J1478" s="4" t="inlineStr">
        <is>
          <t>L</t>
        </is>
      </c>
      <c r="K1478" s="4" t="inlineStr">
        <is>
          <t>99/306</t>
        </is>
      </c>
      <c r="L1478" s="4" t="inlineStr">
        <is>
          <t>Yes</t>
        </is>
      </c>
      <c r="M1478" s="4" t="inlineStr">
        <is>
          <t>Athlete backed, performance driven. This elevated version of our most versatile short was designed for maximum comfort and zero distractions.</t>
        </is>
      </c>
      <c r="N1478" s="4" t="inlineStr">
        <is>
          <t>Pace-Breaker-LL-Short-7-Iridescent</t>
        </is>
      </c>
      <c r="O1478" s="4" t="inlineStr">
        <is>
          <t>Athletic Shorts</t>
        </is>
      </c>
    </row>
    <row r="1479" ht="80" customHeight="1">
      <c r="A1479" s="7">
        <f>IMAGE("https://images.lululemon.com/is/image/lululemon/LM7BI5S_073737_1?wid=320&amp;op_usm=0.8",1)</f>
        <v/>
      </c>
      <c r="B1479" s="7" t="inlineStr">
        <is>
          <t>Pace Breaker Linerless Short 7" *Iridescent</t>
        </is>
      </c>
      <c r="C1479" s="7" t="inlineStr">
        <is>
          <t>158101110</t>
        </is>
      </c>
      <c r="D1479" s="7" t="inlineStr">
        <is>
          <t>158101110-redclay/fountain</t>
        </is>
      </c>
      <c r="E1479" s="7" t="inlineStr">
        <is>
          <t>Pace Breaker Short 7" LL *Iridescent REDC/FNTN S</t>
        </is>
      </c>
      <c r="F1479" s="7" t="inlineStr">
        <is>
          <t>$88.00</t>
        </is>
      </c>
      <c r="G1479" s="7" t="inlineStr">
        <is>
          <t>$44.00</t>
        </is>
      </c>
      <c r="H1479" s="7" t="inlineStr">
        <is>
          <t>Red Clay/Fountain</t>
        </is>
      </c>
      <c r="I1479" s="7">
        <f>IMAGE("https://images.lululemon.com/is/image/lululemon/73737",1)</f>
        <v/>
      </c>
      <c r="J1479" s="7" t="inlineStr">
        <is>
          <t>XL</t>
        </is>
      </c>
      <c r="K1479" s="7" t="inlineStr">
        <is>
          <t>58/306</t>
        </is>
      </c>
      <c r="L1479" s="7" t="inlineStr">
        <is>
          <t>Yes</t>
        </is>
      </c>
      <c r="M1479" s="7" t="inlineStr">
        <is>
          <t>Athlete backed, performance driven. This elevated version of our most versatile short was designed for maximum comfort and zero distractions.</t>
        </is>
      </c>
      <c r="N1479" s="7" t="inlineStr">
        <is>
          <t>Pace-Breaker-LL-Short-7-Iridescent</t>
        </is>
      </c>
      <c r="O1479" s="7" t="inlineStr">
        <is>
          <t>Athletic Shorts</t>
        </is>
      </c>
    </row>
    <row r="1480" ht="80" customHeight="1">
      <c r="A1480" s="6">
        <f>IMAGE("https://images.lululemon.com/is/image/lululemon/LM7BI5S_073737_1?wid=320&amp;op_usm=0.8",1)</f>
        <v/>
      </c>
      <c r="B1480" s="6" t="inlineStr">
        <is>
          <t>Pace Breaker Linerless Short 7" *Iridescent</t>
        </is>
      </c>
      <c r="C1480" s="6" t="inlineStr">
        <is>
          <t>158101113</t>
        </is>
      </c>
      <c r="D1480" s="6" t="inlineStr">
        <is>
          <t>158101113-redclay/fountain</t>
        </is>
      </c>
      <c r="E1480" s="6" t="inlineStr">
        <is>
          <t>Pace Breaker Short 7" LL *Iridescent REDC/FNTN S</t>
        </is>
      </c>
      <c r="F1480" s="6" t="inlineStr">
        <is>
          <t>$88.00</t>
        </is>
      </c>
      <c r="G1480" s="6" t="inlineStr">
        <is>
          <t>$44.00</t>
        </is>
      </c>
      <c r="H1480" s="6" t="inlineStr">
        <is>
          <t>Red Clay/Fountain</t>
        </is>
      </c>
      <c r="I1480" s="6">
        <f>IMAGE("https://images.lululemon.com/is/image/lululemon/73737",1)</f>
        <v/>
      </c>
      <c r="J1480" s="6" t="inlineStr">
        <is>
          <t>XXL</t>
        </is>
      </c>
      <c r="K1480" s="6" t="inlineStr">
        <is>
          <t>15/306</t>
        </is>
      </c>
      <c r="L1480" s="6" t="inlineStr">
        <is>
          <t>Yes</t>
        </is>
      </c>
      <c r="M1480" s="6" t="inlineStr">
        <is>
          <t>Athlete backed, performance driven. This elevated version of our most versatile short was designed for maximum comfort and zero distractions.</t>
        </is>
      </c>
      <c r="N1480" s="6" t="inlineStr">
        <is>
          <t>Pace-Breaker-LL-Short-7-Iridescent</t>
        </is>
      </c>
      <c r="O1480" s="6" t="inlineStr">
        <is>
          <t>Athletic Shorts</t>
        </is>
      </c>
    </row>
    <row r="1481" ht="80" customHeight="1">
      <c r="A1481" s="7">
        <f>IMAGE("https://images.lululemon.com/is/image/lululemon/LM4ARUS_038990_1?wid=320&amp;op_usm=0.8",1)</f>
        <v/>
      </c>
      <c r="B1481" s="7" t="inlineStr">
        <is>
          <t>Pace Breaker Ripstop Jacket</t>
        </is>
      </c>
      <c r="C1481" s="7" t="inlineStr">
        <is>
          <t>155826634</t>
        </is>
      </c>
      <c r="D1481" s="7" t="inlineStr">
        <is>
          <t>155826634-solargrey/white</t>
        </is>
      </c>
      <c r="E1481" s="7" t="inlineStr">
        <is>
          <t>Pace Breaker Ripstop Jacket SOGY/WHT S</t>
        </is>
      </c>
      <c r="F1481" s="7" t="inlineStr">
        <is>
          <t>$188.00</t>
        </is>
      </c>
      <c r="G1481" s="7" t="inlineStr">
        <is>
          <t>$94.00</t>
        </is>
      </c>
      <c r="H1481" s="7" t="inlineStr">
        <is>
          <t>Solar Grey/White</t>
        </is>
      </c>
      <c r="I1481" s="7">
        <f>IMAGE("https://images.lululemon.com/is/image/lululemon/38990",1)</f>
        <v/>
      </c>
      <c r="J1481" s="7" t="inlineStr">
        <is>
          <t>S</t>
        </is>
      </c>
      <c r="K1481" s="7" t="inlineStr">
        <is>
          <t>62/1203</t>
        </is>
      </c>
      <c r="L1481" s="7" t="inlineStr">
        <is>
          <t>Yes</t>
        </is>
      </c>
      <c r="M1481" s="7" t="inlineStr">
        <is>
          <t>Designed for cross-sport performance, this versatile jacket has a wrap-around panel of ventilation for maximum comfort as you run and train.</t>
        </is>
      </c>
      <c r="N1481" s="7" t="inlineStr">
        <is>
          <t>Pace-Breaker-Ripstop-Jacket</t>
        </is>
      </c>
      <c r="O1481" s="7" t="inlineStr">
        <is>
          <t>Athletic Jackets</t>
        </is>
      </c>
    </row>
    <row r="1482" ht="80" customHeight="1">
      <c r="A1482" s="4">
        <f>IMAGE("https://images.lululemon.com/is/image/lululemon/LM4ARUS_038990_1?wid=320&amp;op_usm=0.8",1)</f>
        <v/>
      </c>
      <c r="B1482" s="4" t="inlineStr">
        <is>
          <t>Pace Breaker Ripstop Jacket</t>
        </is>
      </c>
      <c r="C1482" s="4" t="inlineStr">
        <is>
          <t>155826628</t>
        </is>
      </c>
      <c r="D1482" s="4" t="inlineStr">
        <is>
          <t>155826628-solargrey/white</t>
        </is>
      </c>
      <c r="E1482" s="4" t="inlineStr">
        <is>
          <t>Pace Breaker Ripstop Jacket SOGY/WHT S</t>
        </is>
      </c>
      <c r="F1482" s="4" t="inlineStr">
        <is>
          <t>$188.00</t>
        </is>
      </c>
      <c r="G1482" s="4" t="inlineStr">
        <is>
          <t>$94.00</t>
        </is>
      </c>
      <c r="H1482" s="4" t="inlineStr">
        <is>
          <t>Solar Grey/White</t>
        </is>
      </c>
      <c r="I1482" s="4">
        <f>IMAGE("https://images.lululemon.com/is/image/lululemon/38990",1)</f>
        <v/>
      </c>
      <c r="J1482" s="4" t="inlineStr">
        <is>
          <t>M</t>
        </is>
      </c>
      <c r="K1482" s="4" t="inlineStr">
        <is>
          <t>379/1203</t>
        </is>
      </c>
      <c r="L1482" s="4" t="inlineStr">
        <is>
          <t>Yes</t>
        </is>
      </c>
      <c r="M1482" s="4" t="inlineStr">
        <is>
          <t>Designed for cross-sport performance, this versatile jacket has a wrap-around panel of ventilation for maximum comfort as you run and train.</t>
        </is>
      </c>
      <c r="N1482" s="4" t="inlineStr">
        <is>
          <t>Pace-Breaker-Ripstop-Jacket</t>
        </is>
      </c>
      <c r="O1482" s="4" t="inlineStr">
        <is>
          <t>Athletic Jackets</t>
        </is>
      </c>
    </row>
    <row r="1483" ht="80" customHeight="1">
      <c r="A1483" s="7">
        <f>IMAGE("https://images.lululemon.com/is/image/lululemon/LM4ARUS_038990_1?wid=320&amp;op_usm=0.8",1)</f>
        <v/>
      </c>
      <c r="B1483" s="7" t="inlineStr">
        <is>
          <t>Pace Breaker Ripstop Jacket</t>
        </is>
      </c>
      <c r="C1483" s="7" t="inlineStr">
        <is>
          <t>155826616</t>
        </is>
      </c>
      <c r="D1483" s="7" t="inlineStr">
        <is>
          <t>155826616-solargrey/white</t>
        </is>
      </c>
      <c r="E1483" s="7" t="inlineStr">
        <is>
          <t>Pace Breaker Ripstop Jacket SOGY/WHT S</t>
        </is>
      </c>
      <c r="F1483" s="7" t="inlineStr">
        <is>
          <t>$188.00</t>
        </is>
      </c>
      <c r="G1483" s="7" t="inlineStr">
        <is>
          <t>$94.00</t>
        </is>
      </c>
      <c r="H1483" s="7" t="inlineStr">
        <is>
          <t>Solar Grey/White</t>
        </is>
      </c>
      <c r="I1483" s="7">
        <f>IMAGE("https://images.lululemon.com/is/image/lululemon/38990",1)</f>
        <v/>
      </c>
      <c r="J1483" s="7" t="inlineStr">
        <is>
          <t>L</t>
        </is>
      </c>
      <c r="K1483" s="7" t="inlineStr">
        <is>
          <t>477/1203</t>
        </is>
      </c>
      <c r="L1483" s="7" t="inlineStr">
        <is>
          <t>Yes</t>
        </is>
      </c>
      <c r="M1483" s="7" t="inlineStr">
        <is>
          <t>Designed for cross-sport performance, this versatile jacket has a wrap-around panel of ventilation for maximum comfort as you run and train.</t>
        </is>
      </c>
      <c r="N1483" s="7" t="inlineStr">
        <is>
          <t>Pace-Breaker-Ripstop-Jacket</t>
        </is>
      </c>
      <c r="O1483" s="7" t="inlineStr">
        <is>
          <t>Athletic Jackets</t>
        </is>
      </c>
    </row>
    <row r="1484" ht="80" customHeight="1">
      <c r="A1484" s="4">
        <f>IMAGE("https://images.lululemon.com/is/image/lululemon/LM4ARUS_038990_1?wid=320&amp;op_usm=0.8",1)</f>
        <v/>
      </c>
      <c r="B1484" s="4" t="inlineStr">
        <is>
          <t>Pace Breaker Ripstop Jacket</t>
        </is>
      </c>
      <c r="C1484" s="4" t="inlineStr">
        <is>
          <t>155826647</t>
        </is>
      </c>
      <c r="D1484" s="4" t="inlineStr">
        <is>
          <t>155826647-solargrey/white</t>
        </is>
      </c>
      <c r="E1484" s="4" t="inlineStr">
        <is>
          <t>Pace Breaker Ripstop Jacket SOGY/WHT S</t>
        </is>
      </c>
      <c r="F1484" s="4" t="inlineStr">
        <is>
          <t>$188.00</t>
        </is>
      </c>
      <c r="G1484" s="4" t="inlineStr">
        <is>
          <t>$94.00</t>
        </is>
      </c>
      <c r="H1484" s="4" t="inlineStr">
        <is>
          <t>Solar Grey/White</t>
        </is>
      </c>
      <c r="I1484" s="4">
        <f>IMAGE("https://images.lululemon.com/is/image/lululemon/38990",1)</f>
        <v/>
      </c>
      <c r="J1484" s="4" t="inlineStr">
        <is>
          <t>XL</t>
        </is>
      </c>
      <c r="K1484" s="4" t="inlineStr">
        <is>
          <t>204/1203</t>
        </is>
      </c>
      <c r="L1484" s="4" t="inlineStr">
        <is>
          <t>Yes</t>
        </is>
      </c>
      <c r="M1484" s="4" t="inlineStr">
        <is>
          <t>Designed for cross-sport performance, this versatile jacket has a wrap-around panel of ventilation for maximum comfort as you run and train.</t>
        </is>
      </c>
      <c r="N1484" s="4" t="inlineStr">
        <is>
          <t>Pace-Breaker-Ripstop-Jacket</t>
        </is>
      </c>
      <c r="O1484" s="4" t="inlineStr">
        <is>
          <t>Athletic Jackets</t>
        </is>
      </c>
    </row>
    <row r="1485" ht="80" customHeight="1">
      <c r="A1485" s="5">
        <f>IMAGE("https://images.lululemon.com/is/image/lululemon/LM4ARUS_038990_1?wid=320&amp;op_usm=0.8",1)</f>
        <v/>
      </c>
      <c r="B1485" s="5" t="inlineStr">
        <is>
          <t>Pace Breaker Ripstop Jacket</t>
        </is>
      </c>
      <c r="C1485" s="5" t="inlineStr">
        <is>
          <t>155826668</t>
        </is>
      </c>
      <c r="D1485" s="5" t="inlineStr">
        <is>
          <t>155826668-solargrey/white</t>
        </is>
      </c>
      <c r="E1485" s="5" t="inlineStr">
        <is>
          <t>Pace Breaker Ripstop Jacket SOGY/WHT S</t>
        </is>
      </c>
      <c r="F1485" s="5" t="inlineStr">
        <is>
          <t>$188.00</t>
        </is>
      </c>
      <c r="G1485" s="5" t="inlineStr">
        <is>
          <t>$94.00</t>
        </is>
      </c>
      <c r="H1485" s="5" t="inlineStr">
        <is>
          <t>Solar Grey/White</t>
        </is>
      </c>
      <c r="I1485" s="5">
        <f>IMAGE("https://images.lululemon.com/is/image/lululemon/38990",1)</f>
        <v/>
      </c>
      <c r="J1485" s="5" t="inlineStr">
        <is>
          <t>XXL</t>
        </is>
      </c>
      <c r="K1485" s="5" t="inlineStr">
        <is>
          <t>81/1203</t>
        </is>
      </c>
      <c r="L1485" s="5" t="inlineStr">
        <is>
          <t>Yes</t>
        </is>
      </c>
      <c r="M1485" s="5" t="inlineStr">
        <is>
          <t>Designed for cross-sport performance, this versatile jacket has a wrap-around panel of ventilation for maximum comfort as you run and train.</t>
        </is>
      </c>
      <c r="N1485" s="5" t="inlineStr">
        <is>
          <t>Pace-Breaker-Ripstop-Jacket</t>
        </is>
      </c>
      <c r="O1485" s="5" t="inlineStr">
        <is>
          <t>Athletic Jackets</t>
        </is>
      </c>
    </row>
    <row r="1486" ht="80" customHeight="1">
      <c r="A1486" s="4">
        <f>IMAGE("https://images.lululemon.com/is/image/lululemon/LU9C94S_036168_1?wid=320&amp;op_usm=0.8",1)</f>
        <v/>
      </c>
      <c r="B1486" s="4" t="inlineStr">
        <is>
          <t>Warm Revelation Gloves</t>
        </is>
      </c>
      <c r="C1486" s="4" t="inlineStr">
        <is>
          <t>157703621</t>
        </is>
      </c>
      <c r="D1486" s="4" t="inlineStr">
        <is>
          <t>157703621-heatheredlightivory</t>
        </is>
      </c>
      <c r="E1486" s="4" t="inlineStr">
        <is>
          <t>Warm Revelation Gloves HRLI S</t>
        </is>
      </c>
      <c r="F1486" s="4" t="inlineStr">
        <is>
          <t>$52.00</t>
        </is>
      </c>
      <c r="G1486" s="4" t="inlineStr">
        <is>
          <t>$26.00</t>
        </is>
      </c>
      <c r="H1486" s="4" t="inlineStr">
        <is>
          <t>Heathered Light Ivory</t>
        </is>
      </c>
      <c r="I1486" s="4">
        <f>IMAGE("https://images.lululemon.com/is/image/lululemon/36168",1)</f>
        <v/>
      </c>
      <c r="J1486" s="4" t="inlineStr">
        <is>
          <t>S</t>
        </is>
      </c>
      <c r="K1486" s="4" t="inlineStr">
        <is>
          <t>1/42</t>
        </is>
      </c>
      <c r="L1486" s="4" t="inlineStr">
        <is>
          <t>Yes</t>
        </is>
      </c>
      <c r="M1486" s="4" t="inlineStr">
        <is>
          <t>Pop on these merino wool-blend gloves when the temperature drops to help keep you cozy on chilly days.</t>
        </is>
      </c>
      <c r="N1486" s="4" t="inlineStr">
        <is>
          <t>Warm-Revelation-Gloves-Updated</t>
        </is>
      </c>
      <c r="O1486" s="4" t="inlineStr"/>
    </row>
    <row r="1487" ht="80" customHeight="1">
      <c r="A1487" s="7">
        <f>IMAGE("https://images.lululemon.com/is/image/lululemon/LU9C94S_036168_1?wid=320&amp;op_usm=0.8",1)</f>
        <v/>
      </c>
      <c r="B1487" s="7" t="inlineStr">
        <is>
          <t>Warm Revelation Gloves</t>
        </is>
      </c>
      <c r="C1487" s="7" t="inlineStr">
        <is>
          <t>157703609</t>
        </is>
      </c>
      <c r="D1487" s="7" t="inlineStr">
        <is>
          <t>157703609-heatheredlightivory</t>
        </is>
      </c>
      <c r="E1487" s="7" t="inlineStr">
        <is>
          <t>Warm Revelation Gloves HRLI S</t>
        </is>
      </c>
      <c r="F1487" s="7" t="inlineStr">
        <is>
          <t>$52.00</t>
        </is>
      </c>
      <c r="G1487" s="7" t="inlineStr">
        <is>
          <t>$26.00</t>
        </is>
      </c>
      <c r="H1487" s="7" t="inlineStr">
        <is>
          <t>Heathered Light Ivory</t>
        </is>
      </c>
      <c r="I1487" s="7">
        <f>IMAGE("https://images.lululemon.com/is/image/lululemon/36168",1)</f>
        <v/>
      </c>
      <c r="J1487" s="7" t="inlineStr">
        <is>
          <t>M</t>
        </is>
      </c>
      <c r="K1487" s="7" t="inlineStr">
        <is>
          <t>6/42</t>
        </is>
      </c>
      <c r="L1487" s="7" t="inlineStr">
        <is>
          <t>Yes</t>
        </is>
      </c>
      <c r="M1487" s="7" t="inlineStr">
        <is>
          <t>Pop on these merino wool-blend gloves when the temperature drops to help keep you cozy on chilly days.</t>
        </is>
      </c>
      <c r="N1487" s="7" t="inlineStr">
        <is>
          <t>Warm-Revelation-Gloves-Updated</t>
        </is>
      </c>
      <c r="O1487" s="7" t="inlineStr"/>
    </row>
    <row r="1488" ht="80" customHeight="1">
      <c r="A1488" s="4">
        <f>IMAGE("https://images.lululemon.com/is/image/lululemon/LU9C94S_036168_1?wid=320&amp;op_usm=0.8",1)</f>
        <v/>
      </c>
      <c r="B1488" s="4" t="inlineStr">
        <is>
          <t>Warm Revelation Gloves</t>
        </is>
      </c>
      <c r="C1488" s="4" t="inlineStr">
        <is>
          <t>157703597</t>
        </is>
      </c>
      <c r="D1488" s="4" t="inlineStr">
        <is>
          <t>157703597-heatheredlightivory</t>
        </is>
      </c>
      <c r="E1488" s="4" t="inlineStr">
        <is>
          <t>Warm Revelation Gloves HRLI S</t>
        </is>
      </c>
      <c r="F1488" s="4" t="inlineStr">
        <is>
          <t>$52.00</t>
        </is>
      </c>
      <c r="G1488" s="4" t="inlineStr">
        <is>
          <t>$26.00</t>
        </is>
      </c>
      <c r="H1488" s="4" t="inlineStr">
        <is>
          <t>Heathered Light Ivory</t>
        </is>
      </c>
      <c r="I1488" s="4">
        <f>IMAGE("https://images.lululemon.com/is/image/lululemon/36168",1)</f>
        <v/>
      </c>
      <c r="J1488" s="4" t="inlineStr">
        <is>
          <t>L</t>
        </is>
      </c>
      <c r="K1488" s="4" t="inlineStr">
        <is>
          <t>24/42</t>
        </is>
      </c>
      <c r="L1488" s="4" t="inlineStr">
        <is>
          <t>Yes</t>
        </is>
      </c>
      <c r="M1488" s="4" t="inlineStr">
        <is>
          <t>Pop on these merino wool-blend gloves when the temperature drops to help keep you cozy on chilly days.</t>
        </is>
      </c>
      <c r="N1488" s="4" t="inlineStr">
        <is>
          <t>Warm-Revelation-Gloves-Updated</t>
        </is>
      </c>
      <c r="O1488" s="4" t="inlineStr"/>
    </row>
    <row r="1489" ht="80" customHeight="1">
      <c r="A1489" s="5">
        <f>IMAGE("https://images.lululemon.com/is/image/lululemon/LU9C94S_036168_1?wid=320&amp;op_usm=0.8",1)</f>
        <v/>
      </c>
      <c r="B1489" s="5" t="inlineStr">
        <is>
          <t>Warm Revelation Gloves</t>
        </is>
      </c>
      <c r="C1489" s="5" t="inlineStr">
        <is>
          <t>157703632</t>
        </is>
      </c>
      <c r="D1489" s="5" t="inlineStr">
        <is>
          <t>157703632-heatheredlightivory</t>
        </is>
      </c>
      <c r="E1489" s="5" t="inlineStr">
        <is>
          <t>Warm Revelation Gloves HRLI S</t>
        </is>
      </c>
      <c r="F1489" s="5" t="inlineStr">
        <is>
          <t>$52.00</t>
        </is>
      </c>
      <c r="G1489" s="5" t="inlineStr">
        <is>
          <t>$26.00</t>
        </is>
      </c>
      <c r="H1489" s="5" t="inlineStr">
        <is>
          <t>Heathered Light Ivory</t>
        </is>
      </c>
      <c r="I1489" s="5">
        <f>IMAGE("https://images.lululemon.com/is/image/lululemon/36168",1)</f>
        <v/>
      </c>
      <c r="J1489" s="5" t="inlineStr">
        <is>
          <t>XL</t>
        </is>
      </c>
      <c r="K1489" s="5" t="inlineStr">
        <is>
          <t>11/42</t>
        </is>
      </c>
      <c r="L1489" s="5" t="inlineStr">
        <is>
          <t>Yes</t>
        </is>
      </c>
      <c r="M1489" s="5" t="inlineStr">
        <is>
          <t>Pop on these merino wool-blend gloves when the temperature drops to help keep you cozy on chilly days.</t>
        </is>
      </c>
      <c r="N1489" s="5" t="inlineStr">
        <is>
          <t>Warm-Revelation-Gloves-Updated</t>
        </is>
      </c>
      <c r="O1489" s="5" t="inlineStr"/>
    </row>
    <row r="1490" ht="80" customHeight="1">
      <c r="A1490" s="4">
        <f>IMAGE("https://images.lululemon.com/is/image/lululemon/LM3FK6S_037080_1?wid=320&amp;op_usm=0.8",1)</f>
        <v/>
      </c>
      <c r="B1490" s="4" t="inlineStr">
        <is>
          <t>Logo Sport Polo Short Sleeve *Updated Fit</t>
        </is>
      </c>
      <c r="C1490" s="4" t="inlineStr">
        <is>
          <t>156489741</t>
        </is>
      </c>
      <c r="D1490" s="4" t="inlineStr">
        <is>
          <t>156489741-heatheredpinkhaze</t>
        </is>
      </c>
      <c r="E1490" s="4" t="inlineStr">
        <is>
          <t>Logo Sport Polo Short Sleeve HPKH S</t>
        </is>
      </c>
      <c r="F1490" s="4" t="inlineStr">
        <is>
          <t>$98.00</t>
        </is>
      </c>
      <c r="G1490" s="4" t="inlineStr">
        <is>
          <t>$49.00</t>
        </is>
      </c>
      <c r="H1490" s="4" t="inlineStr">
        <is>
          <t>Heathered Pink Haze</t>
        </is>
      </c>
      <c r="I1490" s="4">
        <f>IMAGE("https://images.lululemon.com/is/image/lululemon/37080",1)</f>
        <v/>
      </c>
      <c r="J1490" s="4" t="inlineStr">
        <is>
          <t>S</t>
        </is>
      </c>
      <c r="K1490" s="4" t="inlineStr">
        <is>
          <t>75/2399</t>
        </is>
      </c>
      <c r="L1490" s="4" t="inlineStr">
        <is>
          <t>Yes</t>
        </is>
      </c>
      <c r="M1490" s="4" t="inlineStr">
        <is>
          <t>“Out of Office” vibes, in a polo. Minimally seamed, anti-stink fabric can handle a full day’s adventure.</t>
        </is>
      </c>
      <c r="N1490" s="4" t="inlineStr">
        <is>
          <t>Logo-Sport-Polo-Short-Sleeve-Updated-Fit</t>
        </is>
      </c>
      <c r="O1490" s="4" t="inlineStr"/>
    </row>
    <row r="1491" ht="80" customHeight="1">
      <c r="A1491" s="7">
        <f>IMAGE("https://images.lululemon.com/is/image/lululemon/LM3FK6S_037080_1?wid=320&amp;op_usm=0.8",1)</f>
        <v/>
      </c>
      <c r="B1491" s="7" t="inlineStr">
        <is>
          <t>Logo Sport Polo Short Sleeve *Updated Fit</t>
        </is>
      </c>
      <c r="C1491" s="7" t="inlineStr">
        <is>
          <t>156489718</t>
        </is>
      </c>
      <c r="D1491" s="7" t="inlineStr">
        <is>
          <t>156489718-heatheredpinkhaze</t>
        </is>
      </c>
      <c r="E1491" s="7" t="inlineStr">
        <is>
          <t>Logo Sport Polo Short Sleeve HPKH S</t>
        </is>
      </c>
      <c r="F1491" s="7" t="inlineStr">
        <is>
          <t>$98.00</t>
        </is>
      </c>
      <c r="G1491" s="7" t="inlineStr">
        <is>
          <t>$49.00</t>
        </is>
      </c>
      <c r="H1491" s="7" t="inlineStr">
        <is>
          <t>Heathered Pink Haze</t>
        </is>
      </c>
      <c r="I1491" s="7">
        <f>IMAGE("https://images.lululemon.com/is/image/lululemon/37080",1)</f>
        <v/>
      </c>
      <c r="J1491" s="7" t="inlineStr">
        <is>
          <t>M</t>
        </is>
      </c>
      <c r="K1491" s="7" t="inlineStr">
        <is>
          <t>143/2399</t>
        </is>
      </c>
      <c r="L1491" s="7" t="inlineStr">
        <is>
          <t>Yes</t>
        </is>
      </c>
      <c r="M1491" s="7" t="inlineStr">
        <is>
          <t>“Out of Office” vibes, in a polo. Minimally seamed, anti-stink fabric can handle a full day’s adventure.</t>
        </is>
      </c>
      <c r="N1491" s="7" t="inlineStr">
        <is>
          <t>Logo-Sport-Polo-Short-Sleeve-Updated-Fit</t>
        </is>
      </c>
      <c r="O1491" s="7" t="inlineStr"/>
    </row>
    <row r="1492" ht="80" customHeight="1">
      <c r="A1492" s="4">
        <f>IMAGE("https://images.lululemon.com/is/image/lululemon/LM3FK6S_037080_1?wid=320&amp;op_usm=0.8",1)</f>
        <v/>
      </c>
      <c r="B1492" s="4" t="inlineStr">
        <is>
          <t>Logo Sport Polo Short Sleeve *Updated Fit</t>
        </is>
      </c>
      <c r="C1492" s="4" t="inlineStr">
        <is>
          <t>156489687</t>
        </is>
      </c>
      <c r="D1492" s="4" t="inlineStr">
        <is>
          <t>156489687-heatheredpinkhaze</t>
        </is>
      </c>
      <c r="E1492" s="4" t="inlineStr">
        <is>
          <t>Logo Sport Polo Short Sleeve HPKH S</t>
        </is>
      </c>
      <c r="F1492" s="4" t="inlineStr">
        <is>
          <t>$98.00</t>
        </is>
      </c>
      <c r="G1492" s="4" t="inlineStr">
        <is>
          <t>$49.00</t>
        </is>
      </c>
      <c r="H1492" s="4" t="inlineStr">
        <is>
          <t>Heathered Pink Haze</t>
        </is>
      </c>
      <c r="I1492" s="4">
        <f>IMAGE("https://images.lululemon.com/is/image/lululemon/37080",1)</f>
        <v/>
      </c>
      <c r="J1492" s="4" t="inlineStr">
        <is>
          <t>L</t>
        </is>
      </c>
      <c r="K1492" s="4" t="inlineStr">
        <is>
          <t>215/2399</t>
        </is>
      </c>
      <c r="L1492" s="4" t="inlineStr">
        <is>
          <t>Yes</t>
        </is>
      </c>
      <c r="M1492" s="4" t="inlineStr">
        <is>
          <t>“Out of Office” vibes, in a polo. Minimally seamed, anti-stink fabric can handle a full day’s adventure.</t>
        </is>
      </c>
      <c r="N1492" s="4" t="inlineStr">
        <is>
          <t>Logo-Sport-Polo-Short-Sleeve-Updated-Fit</t>
        </is>
      </c>
      <c r="O1492" s="4" t="inlineStr"/>
    </row>
    <row r="1493" ht="80" customHeight="1">
      <c r="A1493" s="7">
        <f>IMAGE("https://images.lululemon.com/is/image/lululemon/LM3FK6S_037080_1?wid=320&amp;op_usm=0.8",1)</f>
        <v/>
      </c>
      <c r="B1493" s="7" t="inlineStr">
        <is>
          <t>Logo Sport Polo Short Sleeve *Updated Fit</t>
        </is>
      </c>
      <c r="C1493" s="7" t="inlineStr">
        <is>
          <t>156489772</t>
        </is>
      </c>
      <c r="D1493" s="7" t="inlineStr">
        <is>
          <t>156489772-heatheredpinkhaze</t>
        </is>
      </c>
      <c r="E1493" s="7" t="inlineStr">
        <is>
          <t>Logo Sport Polo Short Sleeve HPKH S</t>
        </is>
      </c>
      <c r="F1493" s="7" t="inlineStr">
        <is>
          <t>$98.00</t>
        </is>
      </c>
      <c r="G1493" s="7" t="inlineStr">
        <is>
          <t>$49.00</t>
        </is>
      </c>
      <c r="H1493" s="7" t="inlineStr">
        <is>
          <t>Heathered Pink Haze</t>
        </is>
      </c>
      <c r="I1493" s="7">
        <f>IMAGE("https://images.lululemon.com/is/image/lululemon/37080",1)</f>
        <v/>
      </c>
      <c r="J1493" s="7" t="inlineStr">
        <is>
          <t>XL</t>
        </is>
      </c>
      <c r="K1493" s="7" t="inlineStr">
        <is>
          <t>164/2399</t>
        </is>
      </c>
      <c r="L1493" s="7" t="inlineStr">
        <is>
          <t>Yes</t>
        </is>
      </c>
      <c r="M1493" s="7" t="inlineStr">
        <is>
          <t>“Out of Office” vibes, in a polo. Minimally seamed, anti-stink fabric can handle a full day’s adventure.</t>
        </is>
      </c>
      <c r="N1493" s="7" t="inlineStr">
        <is>
          <t>Logo-Sport-Polo-Short-Sleeve-Updated-Fit</t>
        </is>
      </c>
      <c r="O1493" s="7" t="inlineStr"/>
    </row>
    <row r="1494" ht="80" customHeight="1">
      <c r="A1494" s="4">
        <f>IMAGE("https://images.lululemon.com/is/image/lululemon/LM3FK6S_037080_1?wid=320&amp;op_usm=0.8",1)</f>
        <v/>
      </c>
      <c r="B1494" s="4" t="inlineStr">
        <is>
          <t>Logo Sport Polo Short Sleeve *Updated Fit</t>
        </is>
      </c>
      <c r="C1494" s="4" t="inlineStr">
        <is>
          <t>156489826</t>
        </is>
      </c>
      <c r="D1494" s="4" t="inlineStr">
        <is>
          <t>156489826-heatheredpinkhaze</t>
        </is>
      </c>
      <c r="E1494" s="4" t="inlineStr">
        <is>
          <t>Logo Sport Polo Short Sleeve HPKH S</t>
        </is>
      </c>
      <c r="F1494" s="4" t="inlineStr">
        <is>
          <t>$98.00</t>
        </is>
      </c>
      <c r="G1494" s="4" t="inlineStr">
        <is>
          <t>$49.00</t>
        </is>
      </c>
      <c r="H1494" s="4" t="inlineStr">
        <is>
          <t>Heathered Pink Haze</t>
        </is>
      </c>
      <c r="I1494" s="4">
        <f>IMAGE("https://images.lululemon.com/is/image/lululemon/37080",1)</f>
        <v/>
      </c>
      <c r="J1494" s="4" t="inlineStr">
        <is>
          <t>XXL</t>
        </is>
      </c>
      <c r="K1494" s="4" t="inlineStr">
        <is>
          <t>59/2399</t>
        </is>
      </c>
      <c r="L1494" s="4" t="inlineStr">
        <is>
          <t>Yes</t>
        </is>
      </c>
      <c r="M1494" s="4" t="inlineStr">
        <is>
          <t>“Out of Office” vibes, in a polo. Minimally seamed, anti-stink fabric can handle a full day’s adventure.</t>
        </is>
      </c>
      <c r="N1494" s="4" t="inlineStr">
        <is>
          <t>Logo-Sport-Polo-Short-Sleeve-Updated-Fit</t>
        </is>
      </c>
      <c r="O1494" s="4" t="inlineStr"/>
    </row>
    <row r="1495" ht="80" customHeight="1">
      <c r="A1495" s="7">
        <f>IMAGE("https://images.lululemon.com/is/image/lululemon/LM3FK6S_037080_1?wid=320&amp;op_usm=0.8",1)</f>
        <v/>
      </c>
      <c r="B1495" s="7" t="inlineStr">
        <is>
          <t>Logo Sport Polo Short Sleeve *Updated Fit</t>
        </is>
      </c>
      <c r="C1495" s="7" t="inlineStr">
        <is>
          <t>157710849</t>
        </is>
      </c>
      <c r="D1495" s="7" t="inlineStr">
        <is>
          <t>157710849-netlinkrainforestgreenmulti</t>
        </is>
      </c>
      <c r="E1495" s="7" t="inlineStr">
        <is>
          <t>Logo Sport Polo Short Sleeve HPKH S</t>
        </is>
      </c>
      <c r="F1495" s="7" t="inlineStr">
        <is>
          <t>$98.00</t>
        </is>
      </c>
      <c r="G1495" s="7" t="inlineStr">
        <is>
          <t>$49.00</t>
        </is>
      </c>
      <c r="H1495" s="7" t="inlineStr">
        <is>
          <t>Net Link Rainforest Green Multi</t>
        </is>
      </c>
      <c r="I1495" s="7">
        <f>IMAGE("https://images.lululemon.com/is/image/lululemon/72040",1)</f>
        <v/>
      </c>
      <c r="J1495" s="7" t="inlineStr">
        <is>
          <t>S</t>
        </is>
      </c>
      <c r="K1495" s="7" t="inlineStr">
        <is>
          <t>8/2399</t>
        </is>
      </c>
      <c r="L1495" s="7" t="inlineStr">
        <is>
          <t>Yes</t>
        </is>
      </c>
      <c r="M1495" s="7" t="inlineStr">
        <is>
          <t>“Out of Office” vibes, in a polo. Minimally seamed, anti-stink fabric can handle a full day’s adventure.</t>
        </is>
      </c>
      <c r="N1495" s="7" t="inlineStr">
        <is>
          <t>Logo-Sport-Polo-Short-Sleeve-Updated-Fit</t>
        </is>
      </c>
      <c r="O1495" s="7" t="inlineStr"/>
    </row>
    <row r="1496" ht="80" customHeight="1">
      <c r="A1496" s="4">
        <f>IMAGE("https://images.lululemon.com/is/image/lululemon/LM3FK6S_037080_1?wid=320&amp;op_usm=0.8",1)</f>
        <v/>
      </c>
      <c r="B1496" s="4" t="inlineStr">
        <is>
          <t>Logo Sport Polo Short Sleeve *Updated Fit</t>
        </is>
      </c>
      <c r="C1496" s="4" t="inlineStr">
        <is>
          <t>157710843</t>
        </is>
      </c>
      <c r="D1496" s="4" t="inlineStr">
        <is>
          <t>157710843-netlinkrainforestgreenmulti</t>
        </is>
      </c>
      <c r="E1496" s="4" t="inlineStr">
        <is>
          <t>Logo Sport Polo Short Sleeve HPKH S</t>
        </is>
      </c>
      <c r="F1496" s="4" t="inlineStr">
        <is>
          <t>$98.00</t>
        </is>
      </c>
      <c r="G1496" s="4" t="inlineStr">
        <is>
          <t>$49.00</t>
        </is>
      </c>
      <c r="H1496" s="4" t="inlineStr">
        <is>
          <t>Net Link Rainforest Green Multi</t>
        </is>
      </c>
      <c r="I1496" s="4">
        <f>IMAGE("https://images.lululemon.com/is/image/lululemon/72040",1)</f>
        <v/>
      </c>
      <c r="J1496" s="4" t="inlineStr">
        <is>
          <t>M</t>
        </is>
      </c>
      <c r="K1496" s="4" t="inlineStr">
        <is>
          <t>27/2399</t>
        </is>
      </c>
      <c r="L1496" s="4" t="inlineStr">
        <is>
          <t>Yes</t>
        </is>
      </c>
      <c r="M1496" s="4" t="inlineStr">
        <is>
          <t>“Out of Office” vibes, in a polo. Minimally seamed, anti-stink fabric can handle a full day’s adventure.</t>
        </is>
      </c>
      <c r="N1496" s="4" t="inlineStr">
        <is>
          <t>Logo-Sport-Polo-Short-Sleeve-Updated-Fit</t>
        </is>
      </c>
      <c r="O1496" s="4" t="inlineStr"/>
    </row>
    <row r="1497" ht="80" customHeight="1">
      <c r="A1497" s="7">
        <f>IMAGE("https://images.lululemon.com/is/image/lululemon/LM3FK6S_037080_1?wid=320&amp;op_usm=0.8",1)</f>
        <v/>
      </c>
      <c r="B1497" s="7" t="inlineStr">
        <is>
          <t>Logo Sport Polo Short Sleeve *Updated Fit</t>
        </is>
      </c>
      <c r="C1497" s="7" t="inlineStr">
        <is>
          <t>157710836</t>
        </is>
      </c>
      <c r="D1497" s="7" t="inlineStr">
        <is>
          <t>157710836-netlinkrainforestgreenmulti</t>
        </is>
      </c>
      <c r="E1497" s="7" t="inlineStr">
        <is>
          <t>Logo Sport Polo Short Sleeve HPKH S</t>
        </is>
      </c>
      <c r="F1497" s="7" t="inlineStr">
        <is>
          <t>$98.00</t>
        </is>
      </c>
      <c r="G1497" s="7" t="inlineStr">
        <is>
          <t>$49.00</t>
        </is>
      </c>
      <c r="H1497" s="7" t="inlineStr">
        <is>
          <t>Net Link Rainforest Green Multi</t>
        </is>
      </c>
      <c r="I1497" s="7">
        <f>IMAGE("https://images.lululemon.com/is/image/lululemon/72040",1)</f>
        <v/>
      </c>
      <c r="J1497" s="7" t="inlineStr">
        <is>
          <t>L</t>
        </is>
      </c>
      <c r="K1497" s="7" t="inlineStr">
        <is>
          <t>2/2399</t>
        </is>
      </c>
      <c r="L1497" s="7" t="inlineStr">
        <is>
          <t>Yes</t>
        </is>
      </c>
      <c r="M1497" s="7" t="inlineStr">
        <is>
          <t>“Out of Office” vibes, in a polo. Minimally seamed, anti-stink fabric can handle a full day’s adventure.</t>
        </is>
      </c>
      <c r="N1497" s="7" t="inlineStr">
        <is>
          <t>Logo-Sport-Polo-Short-Sleeve-Updated-Fit</t>
        </is>
      </c>
      <c r="O1497" s="7" t="inlineStr"/>
    </row>
    <row r="1498" ht="80" customHeight="1">
      <c r="A1498" s="4">
        <f>IMAGE("https://images.lululemon.com/is/image/lululemon/LM3FK6S_037080_1?wid=320&amp;op_usm=0.8",1)</f>
        <v/>
      </c>
      <c r="B1498" s="4" t="inlineStr">
        <is>
          <t>Logo Sport Polo Short Sleeve *Updated Fit</t>
        </is>
      </c>
      <c r="C1498" s="4" t="inlineStr">
        <is>
          <t>157710857</t>
        </is>
      </c>
      <c r="D1498" s="4" t="inlineStr">
        <is>
          <t>157710857-netlinkrainforestgreenmulti</t>
        </is>
      </c>
      <c r="E1498" s="4" t="inlineStr">
        <is>
          <t>Logo Sport Polo Short Sleeve HPKH S</t>
        </is>
      </c>
      <c r="F1498" s="4" t="inlineStr">
        <is>
          <t>$98.00</t>
        </is>
      </c>
      <c r="G1498" s="4" t="inlineStr">
        <is>
          <t>$49.00</t>
        </is>
      </c>
      <c r="H1498" s="4" t="inlineStr">
        <is>
          <t>Net Link Rainforest Green Multi</t>
        </is>
      </c>
      <c r="I1498" s="4">
        <f>IMAGE("https://images.lululemon.com/is/image/lululemon/72040",1)</f>
        <v/>
      </c>
      <c r="J1498" s="4" t="inlineStr">
        <is>
          <t>XL</t>
        </is>
      </c>
      <c r="K1498" s="4" t="inlineStr">
        <is>
          <t>1/2399</t>
        </is>
      </c>
      <c r="L1498" s="4" t="inlineStr">
        <is>
          <t>Yes</t>
        </is>
      </c>
      <c r="M1498" s="4" t="inlineStr">
        <is>
          <t>“Out of Office” vibes, in a polo. Minimally seamed, anti-stink fabric can handle a full day’s adventure.</t>
        </is>
      </c>
      <c r="N1498" s="4" t="inlineStr">
        <is>
          <t>Logo-Sport-Polo-Short-Sleeve-Updated-Fit</t>
        </is>
      </c>
      <c r="O1498" s="4" t="inlineStr"/>
    </row>
    <row r="1499" ht="80" customHeight="1">
      <c r="A1499" s="7">
        <f>IMAGE("https://images.lululemon.com/is/image/lululemon/LM3FK6S_037080_1?wid=320&amp;op_usm=0.8",1)</f>
        <v/>
      </c>
      <c r="B1499" s="7" t="inlineStr">
        <is>
          <t>Logo Sport Polo Short Sleeve *Updated Fit</t>
        </is>
      </c>
      <c r="C1499" s="7" t="inlineStr">
        <is>
          <t>157710813</t>
        </is>
      </c>
      <c r="D1499" s="7" t="inlineStr">
        <is>
          <t>157710813-netlinkclubbluemulti</t>
        </is>
      </c>
      <c r="E1499" s="7" t="inlineStr">
        <is>
          <t>Logo Sport Polo Short Sleeve HPKH S</t>
        </is>
      </c>
      <c r="F1499" s="7" t="inlineStr">
        <is>
          <t>$98.00</t>
        </is>
      </c>
      <c r="G1499" s="7" t="inlineStr">
        <is>
          <t>$49.00</t>
        </is>
      </c>
      <c r="H1499" s="7" t="inlineStr">
        <is>
          <t>Net Link Club Blue Multi</t>
        </is>
      </c>
      <c r="I1499" s="7">
        <f>IMAGE("https://images.lululemon.com/is/image/lululemon/72038",1)</f>
        <v/>
      </c>
      <c r="J1499" s="7" t="inlineStr">
        <is>
          <t>S</t>
        </is>
      </c>
      <c r="K1499" s="7" t="inlineStr">
        <is>
          <t>15/2399</t>
        </is>
      </c>
      <c r="L1499" s="7" t="inlineStr">
        <is>
          <t>Yes</t>
        </is>
      </c>
      <c r="M1499" s="7" t="inlineStr">
        <is>
          <t>“Out of Office” vibes, in a polo. Minimally seamed, anti-stink fabric can handle a full day’s adventure.</t>
        </is>
      </c>
      <c r="N1499" s="7" t="inlineStr">
        <is>
          <t>Logo-Sport-Polo-Short-Sleeve-Updated-Fit</t>
        </is>
      </c>
      <c r="O1499" s="7" t="inlineStr"/>
    </row>
    <row r="1500" ht="80" customHeight="1">
      <c r="A1500" s="4">
        <f>IMAGE("https://images.lululemon.com/is/image/lululemon/LM3FK6S_037080_1?wid=320&amp;op_usm=0.8",1)</f>
        <v/>
      </c>
      <c r="B1500" s="4" t="inlineStr">
        <is>
          <t>Logo Sport Polo Short Sleeve *Updated Fit</t>
        </is>
      </c>
      <c r="C1500" s="4" t="inlineStr">
        <is>
          <t>157710808</t>
        </is>
      </c>
      <c r="D1500" s="4" t="inlineStr">
        <is>
          <t>157710808-netlinkclubbluemulti</t>
        </is>
      </c>
      <c r="E1500" s="4" t="inlineStr">
        <is>
          <t>Logo Sport Polo Short Sleeve HPKH S</t>
        </is>
      </c>
      <c r="F1500" s="4" t="inlineStr">
        <is>
          <t>$98.00</t>
        </is>
      </c>
      <c r="G1500" s="4" t="inlineStr">
        <is>
          <t>$49.00</t>
        </is>
      </c>
      <c r="H1500" s="4" t="inlineStr">
        <is>
          <t>Net Link Club Blue Multi</t>
        </is>
      </c>
      <c r="I1500" s="4">
        <f>IMAGE("https://images.lululemon.com/is/image/lululemon/72038",1)</f>
        <v/>
      </c>
      <c r="J1500" s="4" t="inlineStr">
        <is>
          <t>M</t>
        </is>
      </c>
      <c r="K1500" s="4" t="inlineStr">
        <is>
          <t>25/2399</t>
        </is>
      </c>
      <c r="L1500" s="4" t="inlineStr">
        <is>
          <t>Yes</t>
        </is>
      </c>
      <c r="M1500" s="4" t="inlineStr">
        <is>
          <t>“Out of Office” vibes, in a polo. Minimally seamed, anti-stink fabric can handle a full day’s adventure.</t>
        </is>
      </c>
      <c r="N1500" s="4" t="inlineStr">
        <is>
          <t>Logo-Sport-Polo-Short-Sleeve-Updated-Fit</t>
        </is>
      </c>
      <c r="O1500" s="4" t="inlineStr"/>
    </row>
    <row r="1501" ht="80" customHeight="1">
      <c r="A1501" s="7">
        <f>IMAGE("https://images.lululemon.com/is/image/lululemon/LM3FK6S_037080_1?wid=320&amp;op_usm=0.8",1)</f>
        <v/>
      </c>
      <c r="B1501" s="7" t="inlineStr">
        <is>
          <t>Logo Sport Polo Short Sleeve *Updated Fit</t>
        </is>
      </c>
      <c r="C1501" s="7" t="inlineStr">
        <is>
          <t>157710800</t>
        </is>
      </c>
      <c r="D1501" s="7" t="inlineStr">
        <is>
          <t>157710800-netlinkclubbluemulti</t>
        </is>
      </c>
      <c r="E1501" s="7" t="inlineStr">
        <is>
          <t>Logo Sport Polo Short Sleeve HPKH S</t>
        </is>
      </c>
      <c r="F1501" s="7" t="inlineStr">
        <is>
          <t>$98.00</t>
        </is>
      </c>
      <c r="G1501" s="7" t="inlineStr">
        <is>
          <t>$49.00</t>
        </is>
      </c>
      <c r="H1501" s="7" t="inlineStr">
        <is>
          <t>Net Link Club Blue Multi</t>
        </is>
      </c>
      <c r="I1501" s="7">
        <f>IMAGE("https://images.lululemon.com/is/image/lululemon/72038",1)</f>
        <v/>
      </c>
      <c r="J1501" s="7" t="inlineStr">
        <is>
          <t>L</t>
        </is>
      </c>
      <c r="K1501" s="7" t="inlineStr">
        <is>
          <t>11/2399</t>
        </is>
      </c>
      <c r="L1501" s="7" t="inlineStr">
        <is>
          <t>Yes</t>
        </is>
      </c>
      <c r="M1501" s="7" t="inlineStr">
        <is>
          <t>“Out of Office” vibes, in a polo. Minimally seamed, anti-stink fabric can handle a full day’s adventure.</t>
        </is>
      </c>
      <c r="N1501" s="7" t="inlineStr">
        <is>
          <t>Logo-Sport-Polo-Short-Sleeve-Updated-Fit</t>
        </is>
      </c>
      <c r="O1501" s="7" t="inlineStr"/>
    </row>
    <row r="1502" ht="80" customHeight="1">
      <c r="A1502" s="4">
        <f>IMAGE("https://images.lululemon.com/is/image/lululemon/LM3FK6S_037080_1?wid=320&amp;op_usm=0.8",1)</f>
        <v/>
      </c>
      <c r="B1502" s="4" t="inlineStr">
        <is>
          <t>Logo Sport Polo Short Sleeve *Updated Fit</t>
        </is>
      </c>
      <c r="C1502" s="4" t="inlineStr">
        <is>
          <t>157710819</t>
        </is>
      </c>
      <c r="D1502" s="4" t="inlineStr">
        <is>
          <t>157710819-netlinkclubbluemulti</t>
        </is>
      </c>
      <c r="E1502" s="4" t="inlineStr">
        <is>
          <t>Logo Sport Polo Short Sleeve HPKH S</t>
        </is>
      </c>
      <c r="F1502" s="4" t="inlineStr">
        <is>
          <t>$98.00</t>
        </is>
      </c>
      <c r="G1502" s="4" t="inlineStr">
        <is>
          <t>$49.00</t>
        </is>
      </c>
      <c r="H1502" s="4" t="inlineStr">
        <is>
          <t>Net Link Club Blue Multi</t>
        </is>
      </c>
      <c r="I1502" s="4">
        <f>IMAGE("https://images.lululemon.com/is/image/lululemon/72038",1)</f>
        <v/>
      </c>
      <c r="J1502" s="4" t="inlineStr">
        <is>
          <t>XL</t>
        </is>
      </c>
      <c r="K1502" s="4" t="inlineStr">
        <is>
          <t>1/2399</t>
        </is>
      </c>
      <c r="L1502" s="4" t="inlineStr">
        <is>
          <t>Yes</t>
        </is>
      </c>
      <c r="M1502" s="4" t="inlineStr">
        <is>
          <t>“Out of Office” vibes, in a polo. Minimally seamed, anti-stink fabric can handle a full day’s adventure.</t>
        </is>
      </c>
      <c r="N1502" s="4" t="inlineStr">
        <is>
          <t>Logo-Sport-Polo-Short-Sleeve-Updated-Fit</t>
        </is>
      </c>
      <c r="O1502" s="4" t="inlineStr"/>
    </row>
    <row r="1503" ht="80" customHeight="1">
      <c r="A1503" s="7">
        <f>IMAGE("https://images.lululemon.com/is/image/lululemon/LM3FK6S_037080_1?wid=320&amp;op_usm=0.8",1)</f>
        <v/>
      </c>
      <c r="B1503" s="7" t="inlineStr">
        <is>
          <t>Logo Sport Polo Short Sleeve *Updated Fit</t>
        </is>
      </c>
      <c r="C1503" s="7" t="inlineStr">
        <is>
          <t>157710884</t>
        </is>
      </c>
      <c r="D1503" s="7" t="inlineStr">
        <is>
          <t>157710884-black</t>
        </is>
      </c>
      <c r="E1503" s="7" t="inlineStr">
        <is>
          <t>Logo Sport Polo Short Sleeve HPKH S</t>
        </is>
      </c>
      <c r="F1503" s="7" t="inlineStr">
        <is>
          <t>$98.00</t>
        </is>
      </c>
      <c r="G1503" s="7" t="inlineStr">
        <is>
          <t>$49.00</t>
        </is>
      </c>
      <c r="H1503" s="7" t="inlineStr">
        <is>
          <t>Black</t>
        </is>
      </c>
      <c r="I1503" s="7">
        <f>IMAGE("https://images.lululemon.com/is/image/lululemon/0001",1)</f>
        <v/>
      </c>
      <c r="J1503" s="7" t="inlineStr">
        <is>
          <t>S</t>
        </is>
      </c>
      <c r="K1503" s="7" t="inlineStr">
        <is>
          <t>20/2399</t>
        </is>
      </c>
      <c r="L1503" s="7" t="inlineStr">
        <is>
          <t>Yes</t>
        </is>
      </c>
      <c r="M1503" s="7" t="inlineStr">
        <is>
          <t>“Out of Office” vibes, in a polo. Minimally seamed, anti-stink fabric can handle a full day’s adventure.</t>
        </is>
      </c>
      <c r="N1503" s="7" t="inlineStr">
        <is>
          <t>Logo-Sport-Polo-Short-Sleeve-Updated-Fit</t>
        </is>
      </c>
      <c r="O1503" s="7" t="inlineStr"/>
    </row>
    <row r="1504" ht="80" customHeight="1">
      <c r="A1504" s="4">
        <f>IMAGE("https://images.lululemon.com/is/image/lululemon/LM3FK6S_037080_1?wid=320&amp;op_usm=0.8",1)</f>
        <v/>
      </c>
      <c r="B1504" s="4" t="inlineStr">
        <is>
          <t>Logo Sport Polo Short Sleeve *Updated Fit</t>
        </is>
      </c>
      <c r="C1504" s="4" t="inlineStr">
        <is>
          <t>157710879</t>
        </is>
      </c>
      <c r="D1504" s="4" t="inlineStr">
        <is>
          <t>157710879-black</t>
        </is>
      </c>
      <c r="E1504" s="4" t="inlineStr">
        <is>
          <t>Logo Sport Polo Short Sleeve HPKH S</t>
        </is>
      </c>
      <c r="F1504" s="4" t="inlineStr">
        <is>
          <t>$98.00</t>
        </is>
      </c>
      <c r="G1504" s="4" t="inlineStr">
        <is>
          <t>$49.00</t>
        </is>
      </c>
      <c r="H1504" s="4" t="inlineStr">
        <is>
          <t>Black</t>
        </is>
      </c>
      <c r="I1504" s="4">
        <f>IMAGE("https://images.lululemon.com/is/image/lululemon/0001",1)</f>
        <v/>
      </c>
      <c r="J1504" s="4" t="inlineStr">
        <is>
          <t>M</t>
        </is>
      </c>
      <c r="K1504" s="4" t="inlineStr">
        <is>
          <t>36/2399</t>
        </is>
      </c>
      <c r="L1504" s="4" t="inlineStr">
        <is>
          <t>Yes</t>
        </is>
      </c>
      <c r="M1504" s="4" t="inlineStr">
        <is>
          <t>“Out of Office” vibes, in a polo. Minimally seamed, anti-stink fabric can handle a full day’s adventure.</t>
        </is>
      </c>
      <c r="N1504" s="4" t="inlineStr">
        <is>
          <t>Logo-Sport-Polo-Short-Sleeve-Updated-Fit</t>
        </is>
      </c>
      <c r="O1504" s="4" t="inlineStr"/>
    </row>
    <row r="1505" ht="80" customHeight="1">
      <c r="A1505" s="7">
        <f>IMAGE("https://images.lululemon.com/is/image/lululemon/LM3FK6S_037080_1?wid=320&amp;op_usm=0.8",1)</f>
        <v/>
      </c>
      <c r="B1505" s="7" t="inlineStr">
        <is>
          <t>Logo Sport Polo Short Sleeve *Updated Fit</t>
        </is>
      </c>
      <c r="C1505" s="7" t="inlineStr">
        <is>
          <t>157710873</t>
        </is>
      </c>
      <c r="D1505" s="7" t="inlineStr">
        <is>
          <t>157710873-black</t>
        </is>
      </c>
      <c r="E1505" s="7" t="inlineStr">
        <is>
          <t>Logo Sport Polo Short Sleeve HPKH S</t>
        </is>
      </c>
      <c r="F1505" s="7" t="inlineStr">
        <is>
          <t>$98.00</t>
        </is>
      </c>
      <c r="G1505" s="7" t="inlineStr">
        <is>
          <t>$49.00</t>
        </is>
      </c>
      <c r="H1505" s="7" t="inlineStr">
        <is>
          <t>Black</t>
        </is>
      </c>
      <c r="I1505" s="7">
        <f>IMAGE("https://images.lululemon.com/is/image/lululemon/0001",1)</f>
        <v/>
      </c>
      <c r="J1505" s="7" t="inlineStr">
        <is>
          <t>L</t>
        </is>
      </c>
      <c r="K1505" s="7" t="inlineStr">
        <is>
          <t>48/2399</t>
        </is>
      </c>
      <c r="L1505" s="7" t="inlineStr">
        <is>
          <t>Yes</t>
        </is>
      </c>
      <c r="M1505" s="7" t="inlineStr">
        <is>
          <t>“Out of Office” vibes, in a polo. Minimally seamed, anti-stink fabric can handle a full day’s adventure.</t>
        </is>
      </c>
      <c r="N1505" s="7" t="inlineStr">
        <is>
          <t>Logo-Sport-Polo-Short-Sleeve-Updated-Fit</t>
        </is>
      </c>
      <c r="O1505" s="7" t="inlineStr"/>
    </row>
    <row r="1506" ht="80" customHeight="1">
      <c r="A1506" s="4">
        <f>IMAGE("https://images.lululemon.com/is/image/lululemon/LM3FK6S_037080_1?wid=320&amp;op_usm=0.8",1)</f>
        <v/>
      </c>
      <c r="B1506" s="4" t="inlineStr">
        <is>
          <t>Logo Sport Polo Short Sleeve *Updated Fit</t>
        </is>
      </c>
      <c r="C1506" s="4" t="inlineStr">
        <is>
          <t>157710888</t>
        </is>
      </c>
      <c r="D1506" s="4" t="inlineStr">
        <is>
          <t>157710888-black</t>
        </is>
      </c>
      <c r="E1506" s="4" t="inlineStr">
        <is>
          <t>Logo Sport Polo Short Sleeve HPKH S</t>
        </is>
      </c>
      <c r="F1506" s="4" t="inlineStr">
        <is>
          <t>$98.00</t>
        </is>
      </c>
      <c r="G1506" s="4" t="inlineStr">
        <is>
          <t>$49.00</t>
        </is>
      </c>
      <c r="H1506" s="4" t="inlineStr">
        <is>
          <t>Black</t>
        </is>
      </c>
      <c r="I1506" s="4">
        <f>IMAGE("https://images.lululemon.com/is/image/lululemon/0001",1)</f>
        <v/>
      </c>
      <c r="J1506" s="4" t="inlineStr">
        <is>
          <t>XL</t>
        </is>
      </c>
      <c r="K1506" s="4" t="inlineStr">
        <is>
          <t>35/2399</t>
        </is>
      </c>
      <c r="L1506" s="4" t="inlineStr">
        <is>
          <t>Yes</t>
        </is>
      </c>
      <c r="M1506" s="4" t="inlineStr">
        <is>
          <t>“Out of Office” vibes, in a polo. Minimally seamed, anti-stink fabric can handle a full day’s adventure.</t>
        </is>
      </c>
      <c r="N1506" s="4" t="inlineStr">
        <is>
          <t>Logo-Sport-Polo-Short-Sleeve-Updated-Fit</t>
        </is>
      </c>
      <c r="O1506" s="4" t="inlineStr"/>
    </row>
    <row r="1507" ht="80" customHeight="1">
      <c r="A1507" s="7">
        <f>IMAGE("https://images.lululemon.com/is/image/lululemon/LM3FK6S_037080_1?wid=320&amp;op_usm=0.8",1)</f>
        <v/>
      </c>
      <c r="B1507" s="7" t="inlineStr">
        <is>
          <t>Logo Sport Polo Short Sleeve *Updated Fit</t>
        </is>
      </c>
      <c r="C1507" s="7" t="inlineStr">
        <is>
          <t>157710896</t>
        </is>
      </c>
      <c r="D1507" s="7" t="inlineStr">
        <is>
          <t>157710896-black</t>
        </is>
      </c>
      <c r="E1507" s="7" t="inlineStr">
        <is>
          <t>Logo Sport Polo Short Sleeve HPKH S</t>
        </is>
      </c>
      <c r="F1507" s="7" t="inlineStr">
        <is>
          <t>$98.00</t>
        </is>
      </c>
      <c r="G1507" s="7" t="inlineStr">
        <is>
          <t>$49.00</t>
        </is>
      </c>
      <c r="H1507" s="7" t="inlineStr">
        <is>
          <t>Black</t>
        </is>
      </c>
      <c r="I1507" s="7">
        <f>IMAGE("https://images.lululemon.com/is/image/lululemon/0001",1)</f>
        <v/>
      </c>
      <c r="J1507" s="7" t="inlineStr">
        <is>
          <t>XXL</t>
        </is>
      </c>
      <c r="K1507" s="7" t="inlineStr">
        <is>
          <t>11/2399</t>
        </is>
      </c>
      <c r="L1507" s="7" t="inlineStr">
        <is>
          <t>Yes</t>
        </is>
      </c>
      <c r="M1507" s="7" t="inlineStr">
        <is>
          <t>“Out of Office” vibes, in a polo. Minimally seamed, anti-stink fabric can handle a full day’s adventure.</t>
        </is>
      </c>
      <c r="N1507" s="7" t="inlineStr">
        <is>
          <t>Logo-Sport-Polo-Short-Sleeve-Updated-Fit</t>
        </is>
      </c>
      <c r="O1507" s="7" t="inlineStr"/>
    </row>
    <row r="1508" ht="80" customHeight="1">
      <c r="A1508" s="4">
        <f>IMAGE("https://images.lululemon.com/is/image/lululemon/LM3FK6S_037080_1?wid=320&amp;op_usm=0.8",1)</f>
        <v/>
      </c>
      <c r="B1508" s="4" t="inlineStr">
        <is>
          <t>Logo Sport Polo Short Sleeve *Updated Fit</t>
        </is>
      </c>
      <c r="C1508" s="4" t="inlineStr">
        <is>
          <t>158100233</t>
        </is>
      </c>
      <c r="D1508" s="4" t="inlineStr">
        <is>
          <t>158100233-pelican</t>
        </is>
      </c>
      <c r="E1508" s="4" t="inlineStr">
        <is>
          <t>Logo Sport Polo Short Sleeve HPKH S</t>
        </is>
      </c>
      <c r="F1508" s="4" t="inlineStr">
        <is>
          <t>$98.00</t>
        </is>
      </c>
      <c r="G1508" s="4" t="inlineStr">
        <is>
          <t>$49.00</t>
        </is>
      </c>
      <c r="H1508" s="4" t="inlineStr">
        <is>
          <t>Pelican</t>
        </is>
      </c>
      <c r="I1508" s="4">
        <f>IMAGE("https://images.lululemon.com/is/image/lululemon/27401",1)</f>
        <v/>
      </c>
      <c r="J1508" s="4" t="inlineStr">
        <is>
          <t>S</t>
        </is>
      </c>
      <c r="K1508" s="4" t="inlineStr">
        <is>
          <t>59/2399</t>
        </is>
      </c>
      <c r="L1508" s="4" t="inlineStr">
        <is>
          <t>Yes</t>
        </is>
      </c>
      <c r="M1508" s="4" t="inlineStr">
        <is>
          <t>“Out of Office” vibes, in a polo. Minimally seamed, anti-stink fabric can handle a full day’s adventure.</t>
        </is>
      </c>
      <c r="N1508" s="4" t="inlineStr">
        <is>
          <t>Logo-Sport-Polo-Short-Sleeve-Updated-Fit</t>
        </is>
      </c>
      <c r="O1508" s="4" t="inlineStr"/>
    </row>
    <row r="1509" ht="80" customHeight="1">
      <c r="A1509" s="7">
        <f>IMAGE("https://images.lululemon.com/is/image/lululemon/LM3FK6S_037080_1?wid=320&amp;op_usm=0.8",1)</f>
        <v/>
      </c>
      <c r="B1509" s="7" t="inlineStr">
        <is>
          <t>Logo Sport Polo Short Sleeve *Updated Fit</t>
        </is>
      </c>
      <c r="C1509" s="7" t="inlineStr">
        <is>
          <t>158100227</t>
        </is>
      </c>
      <c r="D1509" s="7" t="inlineStr">
        <is>
          <t>158100227-pelican</t>
        </is>
      </c>
      <c r="E1509" s="7" t="inlineStr">
        <is>
          <t>Logo Sport Polo Short Sleeve HPKH S</t>
        </is>
      </c>
      <c r="F1509" s="7" t="inlineStr">
        <is>
          <t>$98.00</t>
        </is>
      </c>
      <c r="G1509" s="7" t="inlineStr">
        <is>
          <t>$49.00</t>
        </is>
      </c>
      <c r="H1509" s="7" t="inlineStr">
        <is>
          <t>Pelican</t>
        </is>
      </c>
      <c r="I1509" s="7">
        <f>IMAGE("https://images.lululemon.com/is/image/lululemon/27401",1)</f>
        <v/>
      </c>
      <c r="J1509" s="7" t="inlineStr">
        <is>
          <t>M</t>
        </is>
      </c>
      <c r="K1509" s="7" t="inlineStr">
        <is>
          <t>178/2399</t>
        </is>
      </c>
      <c r="L1509" s="7" t="inlineStr">
        <is>
          <t>Yes</t>
        </is>
      </c>
      <c r="M1509" s="7" t="inlineStr">
        <is>
          <t>“Out of Office” vibes, in a polo. Minimally seamed, anti-stink fabric can handle a full day’s adventure.</t>
        </is>
      </c>
      <c r="N1509" s="7" t="inlineStr">
        <is>
          <t>Logo-Sport-Polo-Short-Sleeve-Updated-Fit</t>
        </is>
      </c>
      <c r="O1509" s="7" t="inlineStr"/>
    </row>
    <row r="1510" ht="80" customHeight="1">
      <c r="A1510" s="4">
        <f>IMAGE("https://images.lululemon.com/is/image/lululemon/LM3FK6S_037080_1?wid=320&amp;op_usm=0.8",1)</f>
        <v/>
      </c>
      <c r="B1510" s="4" t="inlineStr">
        <is>
          <t>Logo Sport Polo Short Sleeve *Updated Fit</t>
        </is>
      </c>
      <c r="C1510" s="4" t="inlineStr">
        <is>
          <t>158100216</t>
        </is>
      </c>
      <c r="D1510" s="4" t="inlineStr">
        <is>
          <t>158100216-pelican</t>
        </is>
      </c>
      <c r="E1510" s="4" t="inlineStr">
        <is>
          <t>Logo Sport Polo Short Sleeve HPKH S</t>
        </is>
      </c>
      <c r="F1510" s="4" t="inlineStr">
        <is>
          <t>$98.00</t>
        </is>
      </c>
      <c r="G1510" s="4" t="inlineStr">
        <is>
          <t>$49.00</t>
        </is>
      </c>
      <c r="H1510" s="4" t="inlineStr">
        <is>
          <t>Pelican</t>
        </is>
      </c>
      <c r="I1510" s="4">
        <f>IMAGE("https://images.lululemon.com/is/image/lululemon/27401",1)</f>
        <v/>
      </c>
      <c r="J1510" s="4" t="inlineStr">
        <is>
          <t>L</t>
        </is>
      </c>
      <c r="K1510" s="4" t="inlineStr">
        <is>
          <t>225/2399</t>
        </is>
      </c>
      <c r="L1510" s="4" t="inlineStr">
        <is>
          <t>Yes</t>
        </is>
      </c>
      <c r="M1510" s="4" t="inlineStr">
        <is>
          <t>“Out of Office” vibes, in a polo. Minimally seamed, anti-stink fabric can handle a full day’s adventure.</t>
        </is>
      </c>
      <c r="N1510" s="4" t="inlineStr">
        <is>
          <t>Logo-Sport-Polo-Short-Sleeve-Updated-Fit</t>
        </is>
      </c>
      <c r="O1510" s="4" t="inlineStr"/>
    </row>
    <row r="1511" ht="80" customHeight="1">
      <c r="A1511" s="7">
        <f>IMAGE("https://images.lululemon.com/is/image/lululemon/LM3FK6S_037080_1?wid=320&amp;op_usm=0.8",1)</f>
        <v/>
      </c>
      <c r="B1511" s="7" t="inlineStr">
        <is>
          <t>Logo Sport Polo Short Sleeve *Updated Fit</t>
        </is>
      </c>
      <c r="C1511" s="7" t="inlineStr">
        <is>
          <t>158100242</t>
        </is>
      </c>
      <c r="D1511" s="7" t="inlineStr">
        <is>
          <t>158100242-pelican</t>
        </is>
      </c>
      <c r="E1511" s="7" t="inlineStr">
        <is>
          <t>Logo Sport Polo Short Sleeve HPKH S</t>
        </is>
      </c>
      <c r="F1511" s="7" t="inlineStr">
        <is>
          <t>$98.00</t>
        </is>
      </c>
      <c r="G1511" s="7" t="inlineStr">
        <is>
          <t>$49.00</t>
        </is>
      </c>
      <c r="H1511" s="7" t="inlineStr">
        <is>
          <t>Pelican</t>
        </is>
      </c>
      <c r="I1511" s="7">
        <f>IMAGE("https://images.lululemon.com/is/image/lululemon/27401",1)</f>
        <v/>
      </c>
      <c r="J1511" s="7" t="inlineStr">
        <is>
          <t>XL</t>
        </is>
      </c>
      <c r="K1511" s="7" t="inlineStr">
        <is>
          <t>143/2399</t>
        </is>
      </c>
      <c r="L1511" s="7" t="inlineStr">
        <is>
          <t>Yes</t>
        </is>
      </c>
      <c r="M1511" s="7" t="inlineStr">
        <is>
          <t>“Out of Office” vibes, in a polo. Minimally seamed, anti-stink fabric can handle a full day’s adventure.</t>
        </is>
      </c>
      <c r="N1511" s="7" t="inlineStr">
        <is>
          <t>Logo-Sport-Polo-Short-Sleeve-Updated-Fit</t>
        </is>
      </c>
      <c r="O1511" s="7" t="inlineStr"/>
    </row>
    <row r="1512" ht="80" customHeight="1">
      <c r="A1512" s="4">
        <f>IMAGE("https://images.lululemon.com/is/image/lululemon/LM3FK6S_037080_1?wid=320&amp;op_usm=0.8",1)</f>
        <v/>
      </c>
      <c r="B1512" s="4" t="inlineStr">
        <is>
          <t>Logo Sport Polo Short Sleeve *Updated Fit</t>
        </is>
      </c>
      <c r="C1512" s="4" t="inlineStr">
        <is>
          <t>158100249</t>
        </is>
      </c>
      <c r="D1512" s="4" t="inlineStr">
        <is>
          <t>158100249-pelican</t>
        </is>
      </c>
      <c r="E1512" s="4" t="inlineStr">
        <is>
          <t>Logo Sport Polo Short Sleeve HPKH S</t>
        </is>
      </c>
      <c r="F1512" s="4" t="inlineStr">
        <is>
          <t>$98.00</t>
        </is>
      </c>
      <c r="G1512" s="4" t="inlineStr">
        <is>
          <t>$49.00</t>
        </is>
      </c>
      <c r="H1512" s="4" t="inlineStr">
        <is>
          <t>Pelican</t>
        </is>
      </c>
      <c r="I1512" s="4">
        <f>IMAGE("https://images.lululemon.com/is/image/lululemon/27401",1)</f>
        <v/>
      </c>
      <c r="J1512" s="4" t="inlineStr">
        <is>
          <t>XXL</t>
        </is>
      </c>
      <c r="K1512" s="4" t="inlineStr">
        <is>
          <t>47/2399</t>
        </is>
      </c>
      <c r="L1512" s="4" t="inlineStr">
        <is>
          <t>Yes</t>
        </is>
      </c>
      <c r="M1512" s="4" t="inlineStr">
        <is>
          <t>“Out of Office” vibes, in a polo. Minimally seamed, anti-stink fabric can handle a full day’s adventure.</t>
        </is>
      </c>
      <c r="N1512" s="4" t="inlineStr">
        <is>
          <t>Logo-Sport-Polo-Short-Sleeve-Updated-Fit</t>
        </is>
      </c>
      <c r="O1512" s="4" t="inlineStr"/>
    </row>
    <row r="1513" ht="80" customHeight="1">
      <c r="A1513" s="7">
        <f>IMAGE("https://images.lululemon.com/is/image/lululemon/LM3FK6S_037080_1?wid=320&amp;op_usm=0.8",1)</f>
        <v/>
      </c>
      <c r="B1513" s="7" t="inlineStr">
        <is>
          <t>Logo Sport Polo Short Sleeve *Updated Fit</t>
        </is>
      </c>
      <c r="C1513" s="7" t="inlineStr">
        <is>
          <t>158099944</t>
        </is>
      </c>
      <c r="D1513" s="7" t="inlineStr">
        <is>
          <t>158099944-perthblossombluemulti</t>
        </is>
      </c>
      <c r="E1513" s="7" t="inlineStr">
        <is>
          <t>Logo Sport Polo Short Sleeve HPKH S</t>
        </is>
      </c>
      <c r="F1513" s="7" t="inlineStr">
        <is>
          <t>$98.00</t>
        </is>
      </c>
      <c r="G1513" s="7" t="inlineStr">
        <is>
          <t>$49.00</t>
        </is>
      </c>
      <c r="H1513" s="7" t="inlineStr">
        <is>
          <t>Perth Blossom Blue Multi</t>
        </is>
      </c>
      <c r="I1513" s="7">
        <f>IMAGE("https://images.lululemon.com/is/image/lululemon/73667",1)</f>
        <v/>
      </c>
      <c r="J1513" s="7" t="inlineStr">
        <is>
          <t>S</t>
        </is>
      </c>
      <c r="K1513" s="7" t="inlineStr">
        <is>
          <t>26/2399</t>
        </is>
      </c>
      <c r="L1513" s="7" t="inlineStr">
        <is>
          <t>Yes</t>
        </is>
      </c>
      <c r="M1513" s="7" t="inlineStr">
        <is>
          <t>“Out of Office” vibes, in a polo. Minimally seamed, anti-stink fabric can handle a full day’s adventure.</t>
        </is>
      </c>
      <c r="N1513" s="7" t="inlineStr">
        <is>
          <t>Logo-Sport-Polo-Short-Sleeve-Updated-Fit</t>
        </is>
      </c>
      <c r="O1513" s="7" t="inlineStr"/>
    </row>
    <row r="1514" ht="80" customHeight="1">
      <c r="A1514" s="4">
        <f>IMAGE("https://images.lululemon.com/is/image/lululemon/LM3FK6S_037080_1?wid=320&amp;op_usm=0.8",1)</f>
        <v/>
      </c>
      <c r="B1514" s="4" t="inlineStr">
        <is>
          <t>Logo Sport Polo Short Sleeve *Updated Fit</t>
        </is>
      </c>
      <c r="C1514" s="4" t="inlineStr">
        <is>
          <t>158099935</t>
        </is>
      </c>
      <c r="D1514" s="4" t="inlineStr">
        <is>
          <t>158099935-perthblossombluemulti</t>
        </is>
      </c>
      <c r="E1514" s="4" t="inlineStr">
        <is>
          <t>Logo Sport Polo Short Sleeve HPKH S</t>
        </is>
      </c>
      <c r="F1514" s="4" t="inlineStr">
        <is>
          <t>$98.00</t>
        </is>
      </c>
      <c r="G1514" s="4" t="inlineStr">
        <is>
          <t>$49.00</t>
        </is>
      </c>
      <c r="H1514" s="4" t="inlineStr">
        <is>
          <t>Perth Blossom Blue Multi</t>
        </is>
      </c>
      <c r="I1514" s="4">
        <f>IMAGE("https://images.lululemon.com/is/image/lululemon/73667",1)</f>
        <v/>
      </c>
      <c r="J1514" s="4" t="inlineStr">
        <is>
          <t>M</t>
        </is>
      </c>
      <c r="K1514" s="4" t="inlineStr">
        <is>
          <t>80/2399</t>
        </is>
      </c>
      <c r="L1514" s="4" t="inlineStr">
        <is>
          <t>Yes</t>
        </is>
      </c>
      <c r="M1514" s="4" t="inlineStr">
        <is>
          <t>“Out of Office” vibes, in a polo. Minimally seamed, anti-stink fabric can handle a full day’s adventure.</t>
        </is>
      </c>
      <c r="N1514" s="4" t="inlineStr">
        <is>
          <t>Logo-Sport-Polo-Short-Sleeve-Updated-Fit</t>
        </is>
      </c>
      <c r="O1514" s="4" t="inlineStr"/>
    </row>
    <row r="1515" ht="80" customHeight="1">
      <c r="A1515" s="7">
        <f>IMAGE("https://images.lululemon.com/is/image/lululemon/LM3FK6S_037080_1?wid=320&amp;op_usm=0.8",1)</f>
        <v/>
      </c>
      <c r="B1515" s="7" t="inlineStr">
        <is>
          <t>Logo Sport Polo Short Sleeve *Updated Fit</t>
        </is>
      </c>
      <c r="C1515" s="7" t="inlineStr">
        <is>
          <t>158099925</t>
        </is>
      </c>
      <c r="D1515" s="7" t="inlineStr">
        <is>
          <t>158099925-perthblossombluemulti</t>
        </is>
      </c>
      <c r="E1515" s="7" t="inlineStr">
        <is>
          <t>Logo Sport Polo Short Sleeve HPKH S</t>
        </is>
      </c>
      <c r="F1515" s="7" t="inlineStr">
        <is>
          <t>$98.00</t>
        </is>
      </c>
      <c r="G1515" s="7" t="inlineStr">
        <is>
          <t>$49.00</t>
        </is>
      </c>
      <c r="H1515" s="7" t="inlineStr">
        <is>
          <t>Perth Blossom Blue Multi</t>
        </is>
      </c>
      <c r="I1515" s="7">
        <f>IMAGE("https://images.lululemon.com/is/image/lululemon/73667",1)</f>
        <v/>
      </c>
      <c r="J1515" s="7" t="inlineStr">
        <is>
          <t>L</t>
        </is>
      </c>
      <c r="K1515" s="7" t="inlineStr">
        <is>
          <t>104/2399</t>
        </is>
      </c>
      <c r="L1515" s="7" t="inlineStr">
        <is>
          <t>Yes</t>
        </is>
      </c>
      <c r="M1515" s="7" t="inlineStr">
        <is>
          <t>“Out of Office” vibes, in a polo. Minimally seamed, anti-stink fabric can handle a full day’s adventure.</t>
        </is>
      </c>
      <c r="N1515" s="7" t="inlineStr">
        <is>
          <t>Logo-Sport-Polo-Short-Sleeve-Updated-Fit</t>
        </is>
      </c>
      <c r="O1515" s="7" t="inlineStr"/>
    </row>
    <row r="1516" ht="80" customHeight="1">
      <c r="A1516" s="4">
        <f>IMAGE("https://images.lululemon.com/is/image/lululemon/LM3FK6S_037080_1?wid=320&amp;op_usm=0.8",1)</f>
        <v/>
      </c>
      <c r="B1516" s="4" t="inlineStr">
        <is>
          <t>Logo Sport Polo Short Sleeve *Updated Fit</t>
        </is>
      </c>
      <c r="C1516" s="4" t="inlineStr">
        <is>
          <t>158099954</t>
        </is>
      </c>
      <c r="D1516" s="4" t="inlineStr">
        <is>
          <t>158099954-perthblossombluemulti</t>
        </is>
      </c>
      <c r="E1516" s="4" t="inlineStr">
        <is>
          <t>Logo Sport Polo Short Sleeve HPKH S</t>
        </is>
      </c>
      <c r="F1516" s="4" t="inlineStr">
        <is>
          <t>$98.00</t>
        </is>
      </c>
      <c r="G1516" s="4" t="inlineStr">
        <is>
          <t>$49.00</t>
        </is>
      </c>
      <c r="H1516" s="4" t="inlineStr">
        <is>
          <t>Perth Blossom Blue Multi</t>
        </is>
      </c>
      <c r="I1516" s="4">
        <f>IMAGE("https://images.lululemon.com/is/image/lululemon/73667",1)</f>
        <v/>
      </c>
      <c r="J1516" s="4" t="inlineStr">
        <is>
          <t>XL</t>
        </is>
      </c>
      <c r="K1516" s="4" t="inlineStr">
        <is>
          <t>67/2399</t>
        </is>
      </c>
      <c r="L1516" s="4" t="inlineStr">
        <is>
          <t>Yes</t>
        </is>
      </c>
      <c r="M1516" s="4" t="inlineStr">
        <is>
          <t>“Out of Office” vibes, in a polo. Minimally seamed, anti-stink fabric can handle a full day’s adventure.</t>
        </is>
      </c>
      <c r="N1516" s="4" t="inlineStr">
        <is>
          <t>Logo-Sport-Polo-Short-Sleeve-Updated-Fit</t>
        </is>
      </c>
      <c r="O1516" s="4" t="inlineStr"/>
    </row>
    <row r="1517" ht="80" customHeight="1">
      <c r="A1517" s="7">
        <f>IMAGE("https://images.lululemon.com/is/image/lululemon/LM3FK6S_037080_1?wid=320&amp;op_usm=0.8",1)</f>
        <v/>
      </c>
      <c r="B1517" s="7" t="inlineStr">
        <is>
          <t>Logo Sport Polo Short Sleeve *Updated Fit</t>
        </is>
      </c>
      <c r="C1517" s="7" t="inlineStr">
        <is>
          <t>158099975</t>
        </is>
      </c>
      <c r="D1517" s="7" t="inlineStr">
        <is>
          <t>158099975-perthblossombluemulti</t>
        </is>
      </c>
      <c r="E1517" s="7" t="inlineStr">
        <is>
          <t>Logo Sport Polo Short Sleeve HPKH S</t>
        </is>
      </c>
      <c r="F1517" s="7" t="inlineStr">
        <is>
          <t>$98.00</t>
        </is>
      </c>
      <c r="G1517" s="7" t="inlineStr">
        <is>
          <t>$49.00</t>
        </is>
      </c>
      <c r="H1517" s="7" t="inlineStr">
        <is>
          <t>Perth Blossom Blue Multi</t>
        </is>
      </c>
      <c r="I1517" s="7">
        <f>IMAGE("https://images.lululemon.com/is/image/lululemon/73667",1)</f>
        <v/>
      </c>
      <c r="J1517" s="7" t="inlineStr">
        <is>
          <t>XXL</t>
        </is>
      </c>
      <c r="K1517" s="7" t="inlineStr">
        <is>
          <t>22/2399</t>
        </is>
      </c>
      <c r="L1517" s="7" t="inlineStr">
        <is>
          <t>Yes</t>
        </is>
      </c>
      <c r="M1517" s="7" t="inlineStr">
        <is>
          <t>“Out of Office” vibes, in a polo. Minimally seamed, anti-stink fabric can handle a full day’s adventure.</t>
        </is>
      </c>
      <c r="N1517" s="7" t="inlineStr">
        <is>
          <t>Logo-Sport-Polo-Short-Sleeve-Updated-Fit</t>
        </is>
      </c>
      <c r="O1517" s="7" t="inlineStr"/>
    </row>
    <row r="1518" ht="80" customHeight="1">
      <c r="A1518" s="4">
        <f>IMAGE("https://images.lululemon.com/is/image/lululemon/LM3FK6S_037080_1?wid=320&amp;op_usm=0.8",1)</f>
        <v/>
      </c>
      <c r="B1518" s="4" t="inlineStr">
        <is>
          <t>Logo Sport Polo Short Sleeve *Updated Fit</t>
        </is>
      </c>
      <c r="C1518" s="4" t="inlineStr">
        <is>
          <t>158100146</t>
        </is>
      </c>
      <c r="D1518" s="4" t="inlineStr">
        <is>
          <t>158100146-heatheredblack</t>
        </is>
      </c>
      <c r="E1518" s="4" t="inlineStr">
        <is>
          <t>Logo Sport Polo Short Sleeve HPKH S</t>
        </is>
      </c>
      <c r="F1518" s="4" t="inlineStr">
        <is>
          <t>$98.00</t>
        </is>
      </c>
      <c r="G1518" s="4" t="inlineStr">
        <is>
          <t>$49.00</t>
        </is>
      </c>
      <c r="H1518" s="4" t="inlineStr">
        <is>
          <t>Heathered Black</t>
        </is>
      </c>
      <c r="I1518" s="4">
        <f>IMAGE("https://images.lululemon.com/is/image/lululemon/1966",1)</f>
        <v/>
      </c>
      <c r="J1518" s="4" t="inlineStr">
        <is>
          <t>S</t>
        </is>
      </c>
      <c r="K1518" s="4" t="inlineStr">
        <is>
          <t>50/2399</t>
        </is>
      </c>
      <c r="L1518" s="4" t="inlineStr">
        <is>
          <t>Yes</t>
        </is>
      </c>
      <c r="M1518" s="4" t="inlineStr">
        <is>
          <t>“Out of Office” vibes, in a polo. Minimally seamed, anti-stink fabric can handle a full day’s adventure.</t>
        </is>
      </c>
      <c r="N1518" s="4" t="inlineStr">
        <is>
          <t>Logo-Sport-Polo-Short-Sleeve-Updated-Fit</t>
        </is>
      </c>
      <c r="O1518" s="4" t="inlineStr"/>
    </row>
    <row r="1519" ht="80" customHeight="1">
      <c r="A1519" s="7">
        <f>IMAGE("https://images.lululemon.com/is/image/lululemon/LM3FK6S_037080_1?wid=320&amp;op_usm=0.8",1)</f>
        <v/>
      </c>
      <c r="B1519" s="7" t="inlineStr">
        <is>
          <t>Logo Sport Polo Short Sleeve *Updated Fit</t>
        </is>
      </c>
      <c r="C1519" s="7" t="inlineStr">
        <is>
          <t>158100122</t>
        </is>
      </c>
      <c r="D1519" s="7" t="inlineStr">
        <is>
          <t>158100122-heatheredblack</t>
        </is>
      </c>
      <c r="E1519" s="7" t="inlineStr">
        <is>
          <t>Logo Sport Polo Short Sleeve HPKH S</t>
        </is>
      </c>
      <c r="F1519" s="7" t="inlineStr">
        <is>
          <t>$98.00</t>
        </is>
      </c>
      <c r="G1519" s="7" t="inlineStr">
        <is>
          <t>$49.00</t>
        </is>
      </c>
      <c r="H1519" s="7" t="inlineStr">
        <is>
          <t>Heathered Black</t>
        </is>
      </c>
      <c r="I1519" s="7">
        <f>IMAGE("https://images.lululemon.com/is/image/lululemon/1966",1)</f>
        <v/>
      </c>
      <c r="J1519" s="7" t="inlineStr">
        <is>
          <t>M</t>
        </is>
      </c>
      <c r="K1519" s="7" t="inlineStr">
        <is>
          <t>149/2399</t>
        </is>
      </c>
      <c r="L1519" s="7" t="inlineStr">
        <is>
          <t>Yes</t>
        </is>
      </c>
      <c r="M1519" s="7" t="inlineStr">
        <is>
          <t>“Out of Office” vibes, in a polo. Minimally seamed, anti-stink fabric can handle a full day’s adventure.</t>
        </is>
      </c>
      <c r="N1519" s="7" t="inlineStr">
        <is>
          <t>Logo-Sport-Polo-Short-Sleeve-Updated-Fit</t>
        </is>
      </c>
      <c r="O1519" s="7" t="inlineStr"/>
    </row>
    <row r="1520" ht="80" customHeight="1">
      <c r="A1520" s="4">
        <f>IMAGE("https://images.lululemon.com/is/image/lululemon/LM3FK6S_037080_1?wid=320&amp;op_usm=0.8",1)</f>
        <v/>
      </c>
      <c r="B1520" s="4" t="inlineStr">
        <is>
          <t>Logo Sport Polo Short Sleeve *Updated Fit</t>
        </is>
      </c>
      <c r="C1520" s="4" t="inlineStr">
        <is>
          <t>158100103</t>
        </is>
      </c>
      <c r="D1520" s="4" t="inlineStr">
        <is>
          <t>158100103-heatheredblack</t>
        </is>
      </c>
      <c r="E1520" s="4" t="inlineStr">
        <is>
          <t>Logo Sport Polo Short Sleeve HPKH S</t>
        </is>
      </c>
      <c r="F1520" s="4" t="inlineStr">
        <is>
          <t>$98.00</t>
        </is>
      </c>
      <c r="G1520" s="4" t="inlineStr">
        <is>
          <t>$49.00</t>
        </is>
      </c>
      <c r="H1520" s="4" t="inlineStr">
        <is>
          <t>Heathered Black</t>
        </is>
      </c>
      <c r="I1520" s="4">
        <f>IMAGE("https://images.lululemon.com/is/image/lululemon/1966",1)</f>
        <v/>
      </c>
      <c r="J1520" s="4" t="inlineStr">
        <is>
          <t>L</t>
        </is>
      </c>
      <c r="K1520" s="4" t="inlineStr">
        <is>
          <t>190/2399</t>
        </is>
      </c>
      <c r="L1520" s="4" t="inlineStr">
        <is>
          <t>Yes</t>
        </is>
      </c>
      <c r="M1520" s="4" t="inlineStr">
        <is>
          <t>“Out of Office” vibes, in a polo. Minimally seamed, anti-stink fabric can handle a full day’s adventure.</t>
        </is>
      </c>
      <c r="N1520" s="4" t="inlineStr">
        <is>
          <t>Logo-Sport-Polo-Short-Sleeve-Updated-Fit</t>
        </is>
      </c>
      <c r="O1520" s="4" t="inlineStr"/>
    </row>
    <row r="1521" ht="80" customHeight="1">
      <c r="A1521" s="7">
        <f>IMAGE("https://images.lululemon.com/is/image/lululemon/LM3FK6S_037080_1?wid=320&amp;op_usm=0.8",1)</f>
        <v/>
      </c>
      <c r="B1521" s="7" t="inlineStr">
        <is>
          <t>Logo Sport Polo Short Sleeve *Updated Fit</t>
        </is>
      </c>
      <c r="C1521" s="7" t="inlineStr">
        <is>
          <t>158100165</t>
        </is>
      </c>
      <c r="D1521" s="7" t="inlineStr">
        <is>
          <t>158100165-heatheredblack</t>
        </is>
      </c>
      <c r="E1521" s="7" t="inlineStr">
        <is>
          <t>Logo Sport Polo Short Sleeve HPKH S</t>
        </is>
      </c>
      <c r="F1521" s="7" t="inlineStr">
        <is>
          <t>$98.00</t>
        </is>
      </c>
      <c r="G1521" s="7" t="inlineStr">
        <is>
          <t>$49.00</t>
        </is>
      </c>
      <c r="H1521" s="7" t="inlineStr">
        <is>
          <t>Heathered Black</t>
        </is>
      </c>
      <c r="I1521" s="7">
        <f>IMAGE("https://images.lululemon.com/is/image/lululemon/1966",1)</f>
        <v/>
      </c>
      <c r="J1521" s="7" t="inlineStr">
        <is>
          <t>XL</t>
        </is>
      </c>
      <c r="K1521" s="7" t="inlineStr">
        <is>
          <t>122/2399</t>
        </is>
      </c>
      <c r="L1521" s="7" t="inlineStr">
        <is>
          <t>Yes</t>
        </is>
      </c>
      <c r="M1521" s="7" t="inlineStr">
        <is>
          <t>“Out of Office” vibes, in a polo. Minimally seamed, anti-stink fabric can handle a full day’s adventure.</t>
        </is>
      </c>
      <c r="N1521" s="7" t="inlineStr">
        <is>
          <t>Logo-Sport-Polo-Short-Sleeve-Updated-Fit</t>
        </is>
      </c>
      <c r="O1521" s="7" t="inlineStr"/>
    </row>
    <row r="1522" ht="80" customHeight="1">
      <c r="A1522" s="6">
        <f>IMAGE("https://images.lululemon.com/is/image/lululemon/LM3FK6S_037080_1?wid=320&amp;op_usm=0.8",1)</f>
        <v/>
      </c>
      <c r="B1522" s="6" t="inlineStr">
        <is>
          <t>Logo Sport Polo Short Sleeve *Updated Fit</t>
        </is>
      </c>
      <c r="C1522" s="6" t="inlineStr">
        <is>
          <t>158100185</t>
        </is>
      </c>
      <c r="D1522" s="6" t="inlineStr">
        <is>
          <t>158100185-heatheredblack</t>
        </is>
      </c>
      <c r="E1522" s="6" t="inlineStr">
        <is>
          <t>Logo Sport Polo Short Sleeve HPKH S</t>
        </is>
      </c>
      <c r="F1522" s="6" t="inlineStr">
        <is>
          <t>$98.00</t>
        </is>
      </c>
      <c r="G1522" s="6" t="inlineStr">
        <is>
          <t>$49.00</t>
        </is>
      </c>
      <c r="H1522" s="6" t="inlineStr">
        <is>
          <t>Heathered Black</t>
        </is>
      </c>
      <c r="I1522" s="6">
        <f>IMAGE("https://images.lululemon.com/is/image/lululemon/1966",1)</f>
        <v/>
      </c>
      <c r="J1522" s="6" t="inlineStr">
        <is>
          <t>XXL</t>
        </is>
      </c>
      <c r="K1522" s="6" t="inlineStr">
        <is>
          <t>41/2399</t>
        </is>
      </c>
      <c r="L1522" s="6" t="inlineStr">
        <is>
          <t>Yes</t>
        </is>
      </c>
      <c r="M1522" s="6" t="inlineStr">
        <is>
          <t>“Out of Office” vibes, in a polo. Minimally seamed, anti-stink fabric can handle a full day’s adventure.</t>
        </is>
      </c>
      <c r="N1522" s="6" t="inlineStr">
        <is>
          <t>Logo-Sport-Polo-Short-Sleeve-Updated-Fit</t>
        </is>
      </c>
      <c r="O1522" s="6" t="inlineStr"/>
    </row>
    <row r="1523" ht="80" customHeight="1">
      <c r="A1523" s="5">
        <f>IMAGE("https://images.lululemon.com/is/image/lululemon/LU9BQPS_0001_1?wid=320&amp;op_usm=0.8",1)</f>
        <v/>
      </c>
      <c r="B1523" s="5" t="inlineStr">
        <is>
          <t>Back to Life Sport Bottle 18oz *Straw Lid</t>
        </is>
      </c>
      <c r="C1523" s="5" t="inlineStr">
        <is>
          <t>147150092</t>
        </is>
      </c>
      <c r="D1523" s="5" t="inlineStr">
        <is>
          <t>147150092-black</t>
        </is>
      </c>
      <c r="E1523" s="5" t="inlineStr">
        <is>
          <t>Back to Life Sport Bottle 18oz*Straw Lid BLK ONE SIZE</t>
        </is>
      </c>
      <c r="F1523" s="5" t="inlineStr">
        <is>
          <t>$38.00</t>
        </is>
      </c>
      <c r="G1523" s="5" t="inlineStr">
        <is>
          <t>$19.00</t>
        </is>
      </c>
      <c r="H1523" s="5" t="inlineStr">
        <is>
          <t>Black</t>
        </is>
      </c>
      <c r="I1523" s="5">
        <f>IMAGE("https://images.lululemon.com/is/image/lululemon/0001",1)</f>
        <v/>
      </c>
      <c r="J1523" s="5" t="inlineStr">
        <is>
          <t>O/S</t>
        </is>
      </c>
      <c r="K1523" s="5" t="inlineStr">
        <is>
          <t>225/225</t>
        </is>
      </c>
      <c r="L1523" s="5" t="inlineStr">
        <is>
          <t>Yes</t>
        </is>
      </c>
      <c r="M1523" s="5" t="inlineStr">
        <is>
          <t>Sport mode: activated. This insulated water bottle has a built-in straw lid and a slip-free texture to make one-handed drinking a breeze.</t>
        </is>
      </c>
      <c r="N1523" s="5" t="inlineStr">
        <is>
          <t>Bck-to-Life-Sprt-Bttle-18oz-Straw-Lid</t>
        </is>
      </c>
      <c r="O1523" s="5" t="inlineStr"/>
    </row>
    <row r="1524" ht="80" customHeight="1">
      <c r="A1524" s="4">
        <f>IMAGE("https://images.lululemon.com/is/image/lululemon/LM3EOZS_8650_1?wid=320&amp;op_usm=0.8",1)</f>
        <v/>
      </c>
      <c r="B1524" s="4" t="inlineStr">
        <is>
          <t>Textured Double-Knit Cotton Hoodie</t>
        </is>
      </c>
      <c r="C1524" s="4" t="inlineStr">
        <is>
          <t>148300782</t>
        </is>
      </c>
      <c r="D1524" s="4" t="inlineStr">
        <is>
          <t>148300782-heatheredblack/black</t>
        </is>
      </c>
      <c r="E1524" s="4" t="inlineStr">
        <is>
          <t>Textured Double-Knit Cotton Hoodie HBLK/BLK M</t>
        </is>
      </c>
      <c r="F1524" s="4" t="inlineStr">
        <is>
          <t>$148.00</t>
        </is>
      </c>
      <c r="G1524" s="4" t="inlineStr">
        <is>
          <t>$74.00</t>
        </is>
      </c>
      <c r="H1524" s="4" t="inlineStr">
        <is>
          <t>Heathered Black/Black</t>
        </is>
      </c>
      <c r="I1524" s="4">
        <f>IMAGE("https://images.lululemon.com/is/image/lululemon/8650",1)</f>
        <v/>
      </c>
      <c r="J1524" s="4" t="inlineStr">
        <is>
          <t>M</t>
        </is>
      </c>
      <c r="K1524" s="4" t="inlineStr">
        <is>
          <t>45/97</t>
        </is>
      </c>
      <c r="L1524" s="4" t="inlineStr">
        <is>
          <t>Yes</t>
        </is>
      </c>
      <c r="M1524" s="4" t="inlineStr">
        <is>
          <t>The real MVP of your sweats drawer. This textured, cotton-blend hoodie takes top marks for comfortable versatility.</t>
        </is>
      </c>
      <c r="N1524" s="4" t="inlineStr">
        <is>
          <t>Textured-Double-Knit-Cotton-Hoodie</t>
        </is>
      </c>
      <c r="O1524" s="4" t="inlineStr">
        <is>
          <t>Hoodies</t>
        </is>
      </c>
    </row>
    <row r="1525" ht="80" customHeight="1">
      <c r="A1525" s="7">
        <f>IMAGE("https://images.lululemon.com/is/image/lululemon/LM3EOZS_8650_1?wid=320&amp;op_usm=0.8",1)</f>
        <v/>
      </c>
      <c r="B1525" s="7" t="inlineStr">
        <is>
          <t>Textured Double-Knit Cotton Hoodie</t>
        </is>
      </c>
      <c r="C1525" s="7" t="inlineStr">
        <is>
          <t>148300797</t>
        </is>
      </c>
      <c r="D1525" s="7" t="inlineStr">
        <is>
          <t>148300797-heatheredblack/black</t>
        </is>
      </c>
      <c r="E1525" s="7" t="inlineStr">
        <is>
          <t>Textured Double-Knit Cotton Hoodie HBLK/BLK M</t>
        </is>
      </c>
      <c r="F1525" s="7" t="inlineStr">
        <is>
          <t>$148.00</t>
        </is>
      </c>
      <c r="G1525" s="7" t="inlineStr">
        <is>
          <t>$74.00</t>
        </is>
      </c>
      <c r="H1525" s="7" t="inlineStr">
        <is>
          <t>Heathered Black/Black</t>
        </is>
      </c>
      <c r="I1525" s="7">
        <f>IMAGE("https://images.lululemon.com/is/image/lululemon/8650",1)</f>
        <v/>
      </c>
      <c r="J1525" s="7" t="inlineStr">
        <is>
          <t>XL</t>
        </is>
      </c>
      <c r="K1525" s="7" t="inlineStr">
        <is>
          <t>5/97</t>
        </is>
      </c>
      <c r="L1525" s="7" t="inlineStr">
        <is>
          <t>Yes</t>
        </is>
      </c>
      <c r="M1525" s="7" t="inlineStr">
        <is>
          <t>The real MVP of your sweats drawer. This textured, cotton-blend hoodie takes top marks for comfortable versatility.</t>
        </is>
      </c>
      <c r="N1525" s="7" t="inlineStr">
        <is>
          <t>Textured-Double-Knit-Cotton-Hoodie</t>
        </is>
      </c>
      <c r="O1525" s="7" t="inlineStr">
        <is>
          <t>Hoodies</t>
        </is>
      </c>
    </row>
    <row r="1526" ht="80" customHeight="1">
      <c r="A1526" s="6">
        <f>IMAGE("https://images.lululemon.com/is/image/lululemon/LM3EOZS_8650_1?wid=320&amp;op_usm=0.8",1)</f>
        <v/>
      </c>
      <c r="B1526" s="6" t="inlineStr">
        <is>
          <t>Textured Double-Knit Cotton Hoodie</t>
        </is>
      </c>
      <c r="C1526" s="6" t="inlineStr">
        <is>
          <t>148300816</t>
        </is>
      </c>
      <c r="D1526" s="6" t="inlineStr">
        <is>
          <t>148300816-heatheredblack/black</t>
        </is>
      </c>
      <c r="E1526" s="6" t="inlineStr">
        <is>
          <t>Textured Double-Knit Cotton Hoodie HBLK/BLK M</t>
        </is>
      </c>
      <c r="F1526" s="6" t="inlineStr">
        <is>
          <t>$148.00</t>
        </is>
      </c>
      <c r="G1526" s="6" t="inlineStr">
        <is>
          <t>$74.00</t>
        </is>
      </c>
      <c r="H1526" s="6" t="inlineStr">
        <is>
          <t>Heathered Black/Black</t>
        </is>
      </c>
      <c r="I1526" s="6">
        <f>IMAGE("https://images.lululemon.com/is/image/lululemon/8650",1)</f>
        <v/>
      </c>
      <c r="J1526" s="6" t="inlineStr">
        <is>
          <t>XXL</t>
        </is>
      </c>
      <c r="K1526" s="6" t="inlineStr">
        <is>
          <t>47/97</t>
        </is>
      </c>
      <c r="L1526" s="6" t="inlineStr">
        <is>
          <t>Yes</t>
        </is>
      </c>
      <c r="M1526" s="6" t="inlineStr">
        <is>
          <t>The real MVP of your sweats drawer. This textured, cotton-blend hoodie takes top marks for comfortable versatility.</t>
        </is>
      </c>
      <c r="N1526" s="6" t="inlineStr">
        <is>
          <t>Textured-Double-Knit-Cotton-Hoodie</t>
        </is>
      </c>
      <c r="O1526" s="6" t="inlineStr">
        <is>
          <t>Hoodies</t>
        </is>
      </c>
    </row>
    <row r="1527" ht="80" customHeight="1">
      <c r="A1527" s="5">
        <f>IMAGE("https://images.lululemon.com/is/image/lululemon/LU9CLXS_0001_1?wid=320&amp;op_usm=0.8",1)</f>
        <v/>
      </c>
      <c r="B1527" s="5" t="inlineStr">
        <is>
          <t>License to Train Wide Headband</t>
        </is>
      </c>
      <c r="C1527" s="5" t="inlineStr">
        <is>
          <t>153835510</t>
        </is>
      </c>
      <c r="D1527" s="5" t="inlineStr">
        <is>
          <t>153835510-black</t>
        </is>
      </c>
      <c r="E1527" s="5" t="inlineStr">
        <is>
          <t>License To Train Wide Headband BLK ONE SIZE</t>
        </is>
      </c>
      <c r="F1527" s="5" t="inlineStr">
        <is>
          <t>$18.00</t>
        </is>
      </c>
      <c r="G1527" s="5" t="inlineStr">
        <is>
          <t>$9.00</t>
        </is>
      </c>
      <c r="H1527" s="5" t="inlineStr">
        <is>
          <t>Black</t>
        </is>
      </c>
      <c r="I1527" s="5">
        <f>IMAGE("https://images.lululemon.com/is/image/lululemon/0001",1)</f>
        <v/>
      </c>
      <c r="J1527" s="5" t="inlineStr">
        <is>
          <t>O/S</t>
        </is>
      </c>
      <c r="K1527" s="5" t="inlineStr">
        <is>
          <t>409/409</t>
        </is>
      </c>
      <c r="L1527" s="5" t="inlineStr">
        <is>
          <t>Yes</t>
        </is>
      </c>
      <c r="M1527" s="5" t="inlineStr">
        <is>
          <t>High performance means no distractions. Keep your hair off your face, sweat out of your eyes, and the focus on your workout with this wide headband.</t>
        </is>
      </c>
      <c r="N1527" s="5" t="inlineStr">
        <is>
          <t>License-to-Train-Wide-Headband</t>
        </is>
      </c>
      <c r="O1527" s="5" t="inlineStr">
        <is>
          <t>Headbands</t>
        </is>
      </c>
    </row>
    <row r="1528" ht="80" customHeight="1">
      <c r="A1528" s="4">
        <f>IMAGE("https://images.lululemon.com/is/image/lululemon/LM3FRKS_071291_1?wid=320&amp;op_usm=0.8",1)</f>
        <v/>
      </c>
      <c r="B1528" s="4" t="inlineStr">
        <is>
          <t>Cotton Pique Short-Sleeve Polo Shirt</t>
        </is>
      </c>
      <c r="C1528" s="4" t="inlineStr">
        <is>
          <t>157682661</t>
        </is>
      </c>
      <c r="D1528" s="4" t="inlineStr">
        <is>
          <t>157682661-dilutewashwasheddenim</t>
        </is>
      </c>
      <c r="E1528" s="4" t="inlineStr">
        <is>
          <t>Cotton Pique Short-Sleeve Polo DWWD S</t>
        </is>
      </c>
      <c r="F1528" s="4" t="inlineStr">
        <is>
          <t>$98.00</t>
        </is>
      </c>
      <c r="G1528" s="4" t="inlineStr">
        <is>
          <t>$49.00</t>
        </is>
      </c>
      <c r="H1528" s="4" t="inlineStr">
        <is>
          <t>Dilute Wash Washed Denim</t>
        </is>
      </c>
      <c r="I1528" s="4">
        <f>IMAGE("https://images.lululemon.com/is/image/lululemon/71291",1)</f>
        <v/>
      </c>
      <c r="J1528" s="4" t="inlineStr">
        <is>
          <t>S</t>
        </is>
      </c>
      <c r="K1528" s="4" t="inlineStr">
        <is>
          <t>28/507</t>
        </is>
      </c>
      <c r="L1528" s="4" t="inlineStr">
        <is>
          <t>Yes</t>
        </is>
      </c>
      <c r="M1528" s="4" t="inlineStr">
        <is>
          <t>Make it look easy. This short-sleeve polo is always dressed to impress thanks to cotton-blend fabric that has a sophisticated structure and texture.</t>
        </is>
      </c>
      <c r="N1528" s="4" t="inlineStr">
        <is>
          <t>Cotton-Pique-Short-Sleeve-Polo-Shirt</t>
        </is>
      </c>
      <c r="O1528" s="4" t="inlineStr"/>
    </row>
    <row r="1529" ht="80" customHeight="1">
      <c r="A1529" s="7">
        <f>IMAGE("https://images.lululemon.com/is/image/lululemon/LM3FRKS_071291_1?wid=320&amp;op_usm=0.8",1)</f>
        <v/>
      </c>
      <c r="B1529" s="7" t="inlineStr">
        <is>
          <t>Cotton Pique Short-Sleeve Polo Shirt</t>
        </is>
      </c>
      <c r="C1529" s="7" t="inlineStr">
        <is>
          <t>157682653</t>
        </is>
      </c>
      <c r="D1529" s="7" t="inlineStr">
        <is>
          <t>157682653-dilutewashwasheddenim</t>
        </is>
      </c>
      <c r="E1529" s="7" t="inlineStr">
        <is>
          <t>Cotton Pique Short-Sleeve Polo DWWD S</t>
        </is>
      </c>
      <c r="F1529" s="7" t="inlineStr">
        <is>
          <t>$98.00</t>
        </is>
      </c>
      <c r="G1529" s="7" t="inlineStr">
        <is>
          <t>$49.00</t>
        </is>
      </c>
      <c r="H1529" s="7" t="inlineStr">
        <is>
          <t>Dilute Wash Washed Denim</t>
        </is>
      </c>
      <c r="I1529" s="7">
        <f>IMAGE("https://images.lululemon.com/is/image/lululemon/71291",1)</f>
        <v/>
      </c>
      <c r="J1529" s="7" t="inlineStr">
        <is>
          <t>M</t>
        </is>
      </c>
      <c r="K1529" s="7" t="inlineStr">
        <is>
          <t>90/507</t>
        </is>
      </c>
      <c r="L1529" s="7" t="inlineStr">
        <is>
          <t>Yes</t>
        </is>
      </c>
      <c r="M1529" s="7" t="inlineStr">
        <is>
          <t>Make it look easy. This short-sleeve polo is always dressed to impress thanks to cotton-blend fabric that has a sophisticated structure and texture.</t>
        </is>
      </c>
      <c r="N1529" s="7" t="inlineStr">
        <is>
          <t>Cotton-Pique-Short-Sleeve-Polo-Shirt</t>
        </is>
      </c>
      <c r="O1529" s="7" t="inlineStr"/>
    </row>
    <row r="1530" ht="80" customHeight="1">
      <c r="A1530" s="4">
        <f>IMAGE("https://images.lululemon.com/is/image/lululemon/LM3FRKS_071291_1?wid=320&amp;op_usm=0.8",1)</f>
        <v/>
      </c>
      <c r="B1530" s="4" t="inlineStr">
        <is>
          <t>Cotton Pique Short-Sleeve Polo Shirt</t>
        </is>
      </c>
      <c r="C1530" s="4" t="inlineStr">
        <is>
          <t>157682649</t>
        </is>
      </c>
      <c r="D1530" s="4" t="inlineStr">
        <is>
          <t>157682649-dilutewashwasheddenim</t>
        </is>
      </c>
      <c r="E1530" s="4" t="inlineStr">
        <is>
          <t>Cotton Pique Short-Sleeve Polo DWWD S</t>
        </is>
      </c>
      <c r="F1530" s="4" t="inlineStr">
        <is>
          <t>$98.00</t>
        </is>
      </c>
      <c r="G1530" s="4" t="inlineStr">
        <is>
          <t>$49.00</t>
        </is>
      </c>
      <c r="H1530" s="4" t="inlineStr">
        <is>
          <t>Dilute Wash Washed Denim</t>
        </is>
      </c>
      <c r="I1530" s="4">
        <f>IMAGE("https://images.lululemon.com/is/image/lululemon/71291",1)</f>
        <v/>
      </c>
      <c r="J1530" s="4" t="inlineStr">
        <is>
          <t>L</t>
        </is>
      </c>
      <c r="K1530" s="4" t="inlineStr">
        <is>
          <t>97/507</t>
        </is>
      </c>
      <c r="L1530" s="4" t="inlineStr">
        <is>
          <t>Yes</t>
        </is>
      </c>
      <c r="M1530" s="4" t="inlineStr">
        <is>
          <t>Make it look easy. This short-sleeve polo is always dressed to impress thanks to cotton-blend fabric that has a sophisticated structure and texture.</t>
        </is>
      </c>
      <c r="N1530" s="4" t="inlineStr">
        <is>
          <t>Cotton-Pique-Short-Sleeve-Polo-Shirt</t>
        </is>
      </c>
      <c r="O1530" s="4" t="inlineStr"/>
    </row>
    <row r="1531" ht="80" customHeight="1">
      <c r="A1531" s="7">
        <f>IMAGE("https://images.lululemon.com/is/image/lululemon/LM3FRKS_071291_1?wid=320&amp;op_usm=0.8",1)</f>
        <v/>
      </c>
      <c r="B1531" s="7" t="inlineStr">
        <is>
          <t>Cotton Pique Short-Sleeve Polo Shirt</t>
        </is>
      </c>
      <c r="C1531" s="7" t="inlineStr">
        <is>
          <t>157682665</t>
        </is>
      </c>
      <c r="D1531" s="7" t="inlineStr">
        <is>
          <t>157682665-dilutewashwasheddenim</t>
        </is>
      </c>
      <c r="E1531" s="7" t="inlineStr">
        <is>
          <t>Cotton Pique Short-Sleeve Polo DWWD S</t>
        </is>
      </c>
      <c r="F1531" s="7" t="inlineStr">
        <is>
          <t>$98.00</t>
        </is>
      </c>
      <c r="G1531" s="7" t="inlineStr">
        <is>
          <t>$49.00</t>
        </is>
      </c>
      <c r="H1531" s="7" t="inlineStr">
        <is>
          <t>Dilute Wash Washed Denim</t>
        </is>
      </c>
      <c r="I1531" s="7">
        <f>IMAGE("https://images.lululemon.com/is/image/lululemon/71291",1)</f>
        <v/>
      </c>
      <c r="J1531" s="7" t="inlineStr">
        <is>
          <t>XL</t>
        </is>
      </c>
      <c r="K1531" s="7" t="inlineStr">
        <is>
          <t>70/507</t>
        </is>
      </c>
      <c r="L1531" s="7" t="inlineStr">
        <is>
          <t>Yes</t>
        </is>
      </c>
      <c r="M1531" s="7" t="inlineStr">
        <is>
          <t>Make it look easy. This short-sleeve polo is always dressed to impress thanks to cotton-blend fabric that has a sophisticated structure and texture.</t>
        </is>
      </c>
      <c r="N1531" s="7" t="inlineStr">
        <is>
          <t>Cotton-Pique-Short-Sleeve-Polo-Shirt</t>
        </is>
      </c>
      <c r="O1531" s="7" t="inlineStr"/>
    </row>
    <row r="1532" ht="80" customHeight="1">
      <c r="A1532" s="4">
        <f>IMAGE("https://images.lululemon.com/is/image/lululemon/LM3FRKS_071291_1?wid=320&amp;op_usm=0.8",1)</f>
        <v/>
      </c>
      <c r="B1532" s="4" t="inlineStr">
        <is>
          <t>Cotton Pique Short-Sleeve Polo Shirt</t>
        </is>
      </c>
      <c r="C1532" s="4" t="inlineStr">
        <is>
          <t>157682675</t>
        </is>
      </c>
      <c r="D1532" s="4" t="inlineStr">
        <is>
          <t>157682675-dilutewashwasheddenim</t>
        </is>
      </c>
      <c r="E1532" s="4" t="inlineStr">
        <is>
          <t>Cotton Pique Short-Sleeve Polo DWWD S</t>
        </is>
      </c>
      <c r="F1532" s="4" t="inlineStr">
        <is>
          <t>$98.00</t>
        </is>
      </c>
      <c r="G1532" s="4" t="inlineStr">
        <is>
          <t>$49.00</t>
        </is>
      </c>
      <c r="H1532" s="4" t="inlineStr">
        <is>
          <t>Dilute Wash Washed Denim</t>
        </is>
      </c>
      <c r="I1532" s="4">
        <f>IMAGE("https://images.lululemon.com/is/image/lululemon/71291",1)</f>
        <v/>
      </c>
      <c r="J1532" s="4" t="inlineStr">
        <is>
          <t>XXL</t>
        </is>
      </c>
      <c r="K1532" s="4" t="inlineStr">
        <is>
          <t>24/507</t>
        </is>
      </c>
      <c r="L1532" s="4" t="inlineStr">
        <is>
          <t>Yes</t>
        </is>
      </c>
      <c r="M1532" s="4" t="inlineStr">
        <is>
          <t>Make it look easy. This short-sleeve polo is always dressed to impress thanks to cotton-blend fabric that has a sophisticated structure and texture.</t>
        </is>
      </c>
      <c r="N1532" s="4" t="inlineStr">
        <is>
          <t>Cotton-Pique-Short-Sleeve-Polo-Shirt</t>
        </is>
      </c>
      <c r="O1532" s="4" t="inlineStr"/>
    </row>
    <row r="1533" ht="80" customHeight="1">
      <c r="A1533" s="7">
        <f>IMAGE("https://images.lululemon.com/is/image/lululemon/LM3FRKS_071291_1?wid=320&amp;op_usm=0.8",1)</f>
        <v/>
      </c>
      <c r="B1533" s="7" t="inlineStr">
        <is>
          <t>Cotton Pique Short-Sleeve Polo Shirt</t>
        </is>
      </c>
      <c r="C1533" s="7" t="inlineStr">
        <is>
          <t>157689515</t>
        </is>
      </c>
      <c r="D1533" s="7" t="inlineStr">
        <is>
          <t>157689515-dilutewashnightmoth</t>
        </is>
      </c>
      <c r="E1533" s="7" t="inlineStr">
        <is>
          <t>Cotton Pique Short-Sleeve Polo DWWD S</t>
        </is>
      </c>
      <c r="F1533" s="7" t="inlineStr">
        <is>
          <t>$98.00</t>
        </is>
      </c>
      <c r="G1533" s="7" t="inlineStr">
        <is>
          <t>$49.00</t>
        </is>
      </c>
      <c r="H1533" s="7" t="inlineStr">
        <is>
          <t>Dilute Wash Nightmoth</t>
        </is>
      </c>
      <c r="I1533" s="7">
        <f>IMAGE("https://images.lululemon.com/is/image/lululemon/71290",1)</f>
        <v/>
      </c>
      <c r="J1533" s="7" t="inlineStr">
        <is>
          <t>S</t>
        </is>
      </c>
      <c r="K1533" s="7" t="inlineStr">
        <is>
          <t>16/507</t>
        </is>
      </c>
      <c r="L1533" s="7" t="inlineStr">
        <is>
          <t>Yes</t>
        </is>
      </c>
      <c r="M1533" s="7" t="inlineStr">
        <is>
          <t>Make it look easy. This short-sleeve polo is always dressed to impress thanks to cotton-blend fabric that has a sophisticated structure and texture.</t>
        </is>
      </c>
      <c r="N1533" s="7" t="inlineStr">
        <is>
          <t>Cotton-Pique-Short-Sleeve-Polo-Shirt</t>
        </is>
      </c>
      <c r="O1533" s="7" t="inlineStr"/>
    </row>
    <row r="1534" ht="80" customHeight="1">
      <c r="A1534" s="4">
        <f>IMAGE("https://images.lululemon.com/is/image/lululemon/LM3FRKS_071291_1?wid=320&amp;op_usm=0.8",1)</f>
        <v/>
      </c>
      <c r="B1534" s="4" t="inlineStr">
        <is>
          <t>Cotton Pique Short-Sleeve Polo Shirt</t>
        </is>
      </c>
      <c r="C1534" s="4" t="inlineStr">
        <is>
          <t>157689514</t>
        </is>
      </c>
      <c r="D1534" s="4" t="inlineStr">
        <is>
          <t>157689514-dilutewashnightmoth</t>
        </is>
      </c>
      <c r="E1534" s="4" t="inlineStr">
        <is>
          <t>Cotton Pique Short-Sleeve Polo DWWD S</t>
        </is>
      </c>
      <c r="F1534" s="4" t="inlineStr">
        <is>
          <t>$98.00</t>
        </is>
      </c>
      <c r="G1534" s="4" t="inlineStr">
        <is>
          <t>$49.00</t>
        </is>
      </c>
      <c r="H1534" s="4" t="inlineStr">
        <is>
          <t>Dilute Wash Nightmoth</t>
        </is>
      </c>
      <c r="I1534" s="4">
        <f>IMAGE("https://images.lululemon.com/is/image/lululemon/71290",1)</f>
        <v/>
      </c>
      <c r="J1534" s="4" t="inlineStr">
        <is>
          <t>M</t>
        </is>
      </c>
      <c r="K1534" s="4" t="inlineStr">
        <is>
          <t>55/507</t>
        </is>
      </c>
      <c r="L1534" s="4" t="inlineStr">
        <is>
          <t>Yes</t>
        </is>
      </c>
      <c r="M1534" s="4" t="inlineStr">
        <is>
          <t>Make it look easy. This short-sleeve polo is always dressed to impress thanks to cotton-blend fabric that has a sophisticated structure and texture.</t>
        </is>
      </c>
      <c r="N1534" s="4" t="inlineStr">
        <is>
          <t>Cotton-Pique-Short-Sleeve-Polo-Shirt</t>
        </is>
      </c>
      <c r="O1534" s="4" t="inlineStr"/>
    </row>
    <row r="1535" ht="80" customHeight="1">
      <c r="A1535" s="7">
        <f>IMAGE("https://images.lululemon.com/is/image/lululemon/LM3FRKS_071291_1?wid=320&amp;op_usm=0.8",1)</f>
        <v/>
      </c>
      <c r="B1535" s="7" t="inlineStr">
        <is>
          <t>Cotton Pique Short-Sleeve Polo Shirt</t>
        </is>
      </c>
      <c r="C1535" s="7" t="inlineStr">
        <is>
          <t>157689513</t>
        </is>
      </c>
      <c r="D1535" s="7" t="inlineStr">
        <is>
          <t>157689513-dilutewashnightmoth</t>
        </is>
      </c>
      <c r="E1535" s="7" t="inlineStr">
        <is>
          <t>Cotton Pique Short-Sleeve Polo DWWD S</t>
        </is>
      </c>
      <c r="F1535" s="7" t="inlineStr">
        <is>
          <t>$98.00</t>
        </is>
      </c>
      <c r="G1535" s="7" t="inlineStr">
        <is>
          <t>$49.00</t>
        </is>
      </c>
      <c r="H1535" s="7" t="inlineStr">
        <is>
          <t>Dilute Wash Nightmoth</t>
        </is>
      </c>
      <c r="I1535" s="7">
        <f>IMAGE("https://images.lululemon.com/is/image/lululemon/71290",1)</f>
        <v/>
      </c>
      <c r="J1535" s="7" t="inlineStr">
        <is>
          <t>L</t>
        </is>
      </c>
      <c r="K1535" s="7" t="inlineStr">
        <is>
          <t>71/507</t>
        </is>
      </c>
      <c r="L1535" s="7" t="inlineStr">
        <is>
          <t>Yes</t>
        </is>
      </c>
      <c r="M1535" s="7" t="inlineStr">
        <is>
          <t>Make it look easy. This short-sleeve polo is always dressed to impress thanks to cotton-blend fabric that has a sophisticated structure and texture.</t>
        </is>
      </c>
      <c r="N1535" s="7" t="inlineStr">
        <is>
          <t>Cotton-Pique-Short-Sleeve-Polo-Shirt</t>
        </is>
      </c>
      <c r="O1535" s="7" t="inlineStr"/>
    </row>
    <row r="1536" ht="80" customHeight="1">
      <c r="A1536" s="4">
        <f>IMAGE("https://images.lululemon.com/is/image/lululemon/LM3FRKS_071291_1?wid=320&amp;op_usm=0.8",1)</f>
        <v/>
      </c>
      <c r="B1536" s="4" t="inlineStr">
        <is>
          <t>Cotton Pique Short-Sleeve Polo Shirt</t>
        </is>
      </c>
      <c r="C1536" s="4" t="inlineStr">
        <is>
          <t>157689516</t>
        </is>
      </c>
      <c r="D1536" s="4" t="inlineStr">
        <is>
          <t>157689516-dilutewashnightmoth</t>
        </is>
      </c>
      <c r="E1536" s="4" t="inlineStr">
        <is>
          <t>Cotton Pique Short-Sleeve Polo DWWD S</t>
        </is>
      </c>
      <c r="F1536" s="4" t="inlineStr">
        <is>
          <t>$98.00</t>
        </is>
      </c>
      <c r="G1536" s="4" t="inlineStr">
        <is>
          <t>$49.00</t>
        </is>
      </c>
      <c r="H1536" s="4" t="inlineStr">
        <is>
          <t>Dilute Wash Nightmoth</t>
        </is>
      </c>
      <c r="I1536" s="4">
        <f>IMAGE("https://images.lululemon.com/is/image/lululemon/71290",1)</f>
        <v/>
      </c>
      <c r="J1536" s="4" t="inlineStr">
        <is>
          <t>XL</t>
        </is>
      </c>
      <c r="K1536" s="4" t="inlineStr">
        <is>
          <t>44/507</t>
        </is>
      </c>
      <c r="L1536" s="4" t="inlineStr">
        <is>
          <t>Yes</t>
        </is>
      </c>
      <c r="M1536" s="4" t="inlineStr">
        <is>
          <t>Make it look easy. This short-sleeve polo is always dressed to impress thanks to cotton-blend fabric that has a sophisticated structure and texture.</t>
        </is>
      </c>
      <c r="N1536" s="4" t="inlineStr">
        <is>
          <t>Cotton-Pique-Short-Sleeve-Polo-Shirt</t>
        </is>
      </c>
      <c r="O1536" s="4" t="inlineStr"/>
    </row>
    <row r="1537" ht="80" customHeight="1">
      <c r="A1537" s="5">
        <f>IMAGE("https://images.lululemon.com/is/image/lululemon/LM3FRKS_071291_1?wid=320&amp;op_usm=0.8",1)</f>
        <v/>
      </c>
      <c r="B1537" s="5" t="inlineStr">
        <is>
          <t>Cotton Pique Short-Sleeve Polo Shirt</t>
        </is>
      </c>
      <c r="C1537" s="5" t="inlineStr">
        <is>
          <t>157689518</t>
        </is>
      </c>
      <c r="D1537" s="5" t="inlineStr">
        <is>
          <t>157689518-dilutewashnightmoth</t>
        </is>
      </c>
      <c r="E1537" s="5" t="inlineStr">
        <is>
          <t>Cotton Pique Short-Sleeve Polo DWWD S</t>
        </is>
      </c>
      <c r="F1537" s="5" t="inlineStr">
        <is>
          <t>$98.00</t>
        </is>
      </c>
      <c r="G1537" s="5" t="inlineStr">
        <is>
          <t>$49.00</t>
        </is>
      </c>
      <c r="H1537" s="5" t="inlineStr">
        <is>
          <t>Dilute Wash Nightmoth</t>
        </is>
      </c>
      <c r="I1537" s="5">
        <f>IMAGE("https://images.lululemon.com/is/image/lululemon/71290",1)</f>
        <v/>
      </c>
      <c r="J1537" s="5" t="inlineStr">
        <is>
          <t>XXL</t>
        </is>
      </c>
      <c r="K1537" s="5" t="inlineStr">
        <is>
          <t>12/507</t>
        </is>
      </c>
      <c r="L1537" s="5" t="inlineStr">
        <is>
          <t>Yes</t>
        </is>
      </c>
      <c r="M1537" s="5" t="inlineStr">
        <is>
          <t>Make it look easy. This short-sleeve polo is always dressed to impress thanks to cotton-blend fabric that has a sophisticated structure and texture.</t>
        </is>
      </c>
      <c r="N1537" s="5" t="inlineStr">
        <is>
          <t>Cotton-Pique-Short-Sleeve-Polo-Shirt</t>
        </is>
      </c>
      <c r="O1537" s="5" t="inlineStr"/>
    </row>
    <row r="1538" ht="80" customHeight="1">
      <c r="A1538" s="4">
        <f>IMAGE("https://images.lululemon.com/is/image/lululemon/LM3FTXS_041179_1?wid=320&amp;op_usm=0.8",1)</f>
        <v/>
      </c>
      <c r="B1538" s="4" t="inlineStr">
        <is>
          <t>Grid Fleece Full-Zip Jacket</t>
        </is>
      </c>
      <c r="C1538" s="4" t="inlineStr">
        <is>
          <t>157712471</t>
        </is>
      </c>
      <c r="D1538" s="4" t="inlineStr">
        <is>
          <t>157712471-sequoia</t>
        </is>
      </c>
      <c r="E1538" s="4" t="inlineStr">
        <is>
          <t>Grid Fleece Full-Zip Jacket SQUO S</t>
        </is>
      </c>
      <c r="F1538" s="4" t="inlineStr">
        <is>
          <t>$148.00</t>
        </is>
      </c>
      <c r="G1538" s="4" t="inlineStr">
        <is>
          <t>$74.00</t>
        </is>
      </c>
      <c r="H1538" s="4" t="inlineStr">
        <is>
          <t>Sequoia</t>
        </is>
      </c>
      <c r="I1538" s="4">
        <f>IMAGE("https://images.lululemon.com/is/image/lululemon/41179",1)</f>
        <v/>
      </c>
      <c r="J1538" s="4" t="inlineStr">
        <is>
          <t>S</t>
        </is>
      </c>
      <c r="K1538" s="4" t="inlineStr">
        <is>
          <t>17/223</t>
        </is>
      </c>
      <c r="L1538" s="4" t="inlineStr">
        <is>
          <t>Yes</t>
        </is>
      </c>
      <c r="M1538" s="4" t="inlineStr">
        <is>
          <t>Cold-weather run specialist. This water-repellent layer has a grid-fleece interior that provides lightweight warmth without weighing you down.</t>
        </is>
      </c>
      <c r="N1538" s="4" t="inlineStr">
        <is>
          <t>Grid-Fleece-Full-Zip-Jacket</t>
        </is>
      </c>
      <c r="O1538" s="4" t="inlineStr">
        <is>
          <t>Athletic Jackets</t>
        </is>
      </c>
    </row>
    <row r="1539" ht="80" customHeight="1">
      <c r="A1539" s="7">
        <f>IMAGE("https://images.lululemon.com/is/image/lululemon/LM3FTXS_041179_1?wid=320&amp;op_usm=0.8",1)</f>
        <v/>
      </c>
      <c r="B1539" s="7" t="inlineStr">
        <is>
          <t>Grid Fleece Full-Zip Jacket</t>
        </is>
      </c>
      <c r="C1539" s="7" t="inlineStr">
        <is>
          <t>157712450</t>
        </is>
      </c>
      <c r="D1539" s="7" t="inlineStr">
        <is>
          <t>157712450-sequoia</t>
        </is>
      </c>
      <c r="E1539" s="7" t="inlineStr">
        <is>
          <t>Grid Fleece Full-Zip Jacket SQUO S</t>
        </is>
      </c>
      <c r="F1539" s="7" t="inlineStr">
        <is>
          <t>$148.00</t>
        </is>
      </c>
      <c r="G1539" s="7" t="inlineStr">
        <is>
          <t>$74.00</t>
        </is>
      </c>
      <c r="H1539" s="7" t="inlineStr">
        <is>
          <t>Sequoia</t>
        </is>
      </c>
      <c r="I1539" s="7">
        <f>IMAGE("https://images.lululemon.com/is/image/lululemon/41179",1)</f>
        <v/>
      </c>
      <c r="J1539" s="7" t="inlineStr">
        <is>
          <t>M</t>
        </is>
      </c>
      <c r="K1539" s="7" t="inlineStr">
        <is>
          <t>50/223</t>
        </is>
      </c>
      <c r="L1539" s="7" t="inlineStr">
        <is>
          <t>Yes</t>
        </is>
      </c>
      <c r="M1539" s="7" t="inlineStr">
        <is>
          <t>Cold-weather run specialist. This water-repellent layer has a grid-fleece interior that provides lightweight warmth without weighing you down.</t>
        </is>
      </c>
      <c r="N1539" s="7" t="inlineStr">
        <is>
          <t>Grid-Fleece-Full-Zip-Jacket</t>
        </is>
      </c>
      <c r="O1539" s="7" t="inlineStr">
        <is>
          <t>Athletic Jackets</t>
        </is>
      </c>
    </row>
    <row r="1540" ht="80" customHeight="1">
      <c r="A1540" s="4">
        <f>IMAGE("https://images.lululemon.com/is/image/lululemon/LM3FTXS_041179_1?wid=320&amp;op_usm=0.8",1)</f>
        <v/>
      </c>
      <c r="B1540" s="4" t="inlineStr">
        <is>
          <t>Grid Fleece Full-Zip Jacket</t>
        </is>
      </c>
      <c r="C1540" s="4" t="inlineStr">
        <is>
          <t>157712423</t>
        </is>
      </c>
      <c r="D1540" s="4" t="inlineStr">
        <is>
          <t>157712423-sequoia</t>
        </is>
      </c>
      <c r="E1540" s="4" t="inlineStr">
        <is>
          <t>Grid Fleece Full-Zip Jacket SQUO S</t>
        </is>
      </c>
      <c r="F1540" s="4" t="inlineStr">
        <is>
          <t>$148.00</t>
        </is>
      </c>
      <c r="G1540" s="4" t="inlineStr">
        <is>
          <t>$74.00</t>
        </is>
      </c>
      <c r="H1540" s="4" t="inlineStr">
        <is>
          <t>Sequoia</t>
        </is>
      </c>
      <c r="I1540" s="4">
        <f>IMAGE("https://images.lululemon.com/is/image/lululemon/41179",1)</f>
        <v/>
      </c>
      <c r="J1540" s="4" t="inlineStr">
        <is>
          <t>L</t>
        </is>
      </c>
      <c r="K1540" s="4" t="inlineStr">
        <is>
          <t>78/223</t>
        </is>
      </c>
      <c r="L1540" s="4" t="inlineStr">
        <is>
          <t>Yes</t>
        </is>
      </c>
      <c r="M1540" s="4" t="inlineStr">
        <is>
          <t>Cold-weather run specialist. This water-repellent layer has a grid-fleece interior that provides lightweight warmth without weighing you down.</t>
        </is>
      </c>
      <c r="N1540" s="4" t="inlineStr">
        <is>
          <t>Grid-Fleece-Full-Zip-Jacket</t>
        </is>
      </c>
      <c r="O1540" s="4" t="inlineStr">
        <is>
          <t>Athletic Jackets</t>
        </is>
      </c>
    </row>
    <row r="1541" ht="80" customHeight="1">
      <c r="A1541" s="7">
        <f>IMAGE("https://images.lululemon.com/is/image/lululemon/LM3FTXS_041179_1?wid=320&amp;op_usm=0.8",1)</f>
        <v/>
      </c>
      <c r="B1541" s="7" t="inlineStr">
        <is>
          <t>Grid Fleece Full-Zip Jacket</t>
        </is>
      </c>
      <c r="C1541" s="7" t="inlineStr">
        <is>
          <t>157712499</t>
        </is>
      </c>
      <c r="D1541" s="7" t="inlineStr">
        <is>
          <t>157712499-sequoia</t>
        </is>
      </c>
      <c r="E1541" s="7" t="inlineStr">
        <is>
          <t>Grid Fleece Full-Zip Jacket SQUO S</t>
        </is>
      </c>
      <c r="F1541" s="7" t="inlineStr">
        <is>
          <t>$148.00</t>
        </is>
      </c>
      <c r="G1541" s="7" t="inlineStr">
        <is>
          <t>$74.00</t>
        </is>
      </c>
      <c r="H1541" s="7" t="inlineStr">
        <is>
          <t>Sequoia</t>
        </is>
      </c>
      <c r="I1541" s="7">
        <f>IMAGE("https://images.lululemon.com/is/image/lululemon/41179",1)</f>
        <v/>
      </c>
      <c r="J1541" s="7" t="inlineStr">
        <is>
          <t>XL</t>
        </is>
      </c>
      <c r="K1541" s="7" t="inlineStr">
        <is>
          <t>56/223</t>
        </is>
      </c>
      <c r="L1541" s="7" t="inlineStr">
        <is>
          <t>Yes</t>
        </is>
      </c>
      <c r="M1541" s="7" t="inlineStr">
        <is>
          <t>Cold-weather run specialist. This water-repellent layer has a grid-fleece interior that provides lightweight warmth without weighing you down.</t>
        </is>
      </c>
      <c r="N1541" s="7" t="inlineStr">
        <is>
          <t>Grid-Fleece-Full-Zip-Jacket</t>
        </is>
      </c>
      <c r="O1541" s="7" t="inlineStr">
        <is>
          <t>Athletic Jackets</t>
        </is>
      </c>
    </row>
    <row r="1542" ht="80" customHeight="1">
      <c r="A1542" s="6">
        <f>IMAGE("https://images.lululemon.com/is/image/lululemon/LM3FTXS_041179_1?wid=320&amp;op_usm=0.8",1)</f>
        <v/>
      </c>
      <c r="B1542" s="6" t="inlineStr">
        <is>
          <t>Grid Fleece Full-Zip Jacket</t>
        </is>
      </c>
      <c r="C1542" s="6" t="inlineStr">
        <is>
          <t>157712542</t>
        </is>
      </c>
      <c r="D1542" s="6" t="inlineStr">
        <is>
          <t>157712542-sequoia</t>
        </is>
      </c>
      <c r="E1542" s="6" t="inlineStr">
        <is>
          <t>Grid Fleece Full-Zip Jacket SQUO S</t>
        </is>
      </c>
      <c r="F1542" s="6" t="inlineStr">
        <is>
          <t>$148.00</t>
        </is>
      </c>
      <c r="G1542" s="6" t="inlineStr">
        <is>
          <t>$74.00</t>
        </is>
      </c>
      <c r="H1542" s="6" t="inlineStr">
        <is>
          <t>Sequoia</t>
        </is>
      </c>
      <c r="I1542" s="6">
        <f>IMAGE("https://images.lululemon.com/is/image/lululemon/41179",1)</f>
        <v/>
      </c>
      <c r="J1542" s="6" t="inlineStr">
        <is>
          <t>XXL</t>
        </is>
      </c>
      <c r="K1542" s="6" t="inlineStr">
        <is>
          <t>22/223</t>
        </is>
      </c>
      <c r="L1542" s="6" t="inlineStr">
        <is>
          <t>Yes</t>
        </is>
      </c>
      <c r="M1542" s="6" t="inlineStr">
        <is>
          <t>Cold-weather run specialist. This water-repellent layer has a grid-fleece interior that provides lightweight warmth without weighing you down.</t>
        </is>
      </c>
      <c r="N1542" s="6" t="inlineStr">
        <is>
          <t>Grid-Fleece-Full-Zip-Jacket</t>
        </is>
      </c>
      <c r="O1542" s="6" t="inlineStr">
        <is>
          <t>Athletic Jackets</t>
        </is>
      </c>
    </row>
    <row r="1543" ht="80" customHeight="1">
      <c r="A1543" s="7">
        <f>IMAGE("https://images.lululemon.com/is/image/lululemon/LM7B87S_0001_1?wid=320&amp;op_usm=0.8",1)</f>
        <v/>
      </c>
      <c r="B1543" s="7" t="inlineStr">
        <is>
          <t>Pace Breaker Lined Short 9"</t>
        </is>
      </c>
      <c r="C1543" s="7" t="inlineStr">
        <is>
          <t>147033350</t>
        </is>
      </c>
      <c r="D1543" s="7" t="inlineStr">
        <is>
          <t>147033350-black</t>
        </is>
      </c>
      <c r="E1543" s="7" t="inlineStr">
        <is>
          <t>Pace Breaker Short 9" *Lined BLK S</t>
        </is>
      </c>
      <c r="F1543" s="7" t="inlineStr">
        <is>
          <t>$78.00</t>
        </is>
      </c>
      <c r="G1543" s="7" t="inlineStr">
        <is>
          <t>$39.00</t>
        </is>
      </c>
      <c r="H1543" s="7" t="inlineStr">
        <is>
          <t>Black</t>
        </is>
      </c>
      <c r="I1543" s="7">
        <f>IMAGE("https://images.lululemon.com/is/image/lululemon/0001",1)</f>
        <v/>
      </c>
      <c r="J1543" s="7" t="inlineStr">
        <is>
          <t>S</t>
        </is>
      </c>
      <c r="K1543" s="7" t="inlineStr">
        <is>
          <t>130/660</t>
        </is>
      </c>
      <c r="L1543" s="7" t="inlineStr">
        <is>
          <t>Yes</t>
        </is>
      </c>
      <c r="M1543" s="7" t="inlineStr">
        <is>
          <t>Athlete backed, performance driven. This elevated version of our most versatile short was designed for maximum comfort and zero distractions.</t>
        </is>
      </c>
      <c r="N1543" s="7" t="inlineStr">
        <is>
          <t>Pace-Breaker-Lined-9-Updated</t>
        </is>
      </c>
      <c r="O1543" s="7" t="inlineStr">
        <is>
          <t>Athletic Shorts, Liner Shorts</t>
        </is>
      </c>
    </row>
    <row r="1544" ht="80" customHeight="1">
      <c r="A1544" s="4">
        <f>IMAGE("https://images.lululemon.com/is/image/lululemon/LM7B87S_0001_1?wid=320&amp;op_usm=0.8",1)</f>
        <v/>
      </c>
      <c r="B1544" s="4" t="inlineStr">
        <is>
          <t>Pace Breaker Lined Short 9"</t>
        </is>
      </c>
      <c r="C1544" s="4" t="inlineStr">
        <is>
          <t>147033344</t>
        </is>
      </c>
      <c r="D1544" s="4" t="inlineStr">
        <is>
          <t>147033344-black</t>
        </is>
      </c>
      <c r="E1544" s="4" t="inlineStr">
        <is>
          <t>Pace Breaker Short 9" *Lined BLK S</t>
        </is>
      </c>
      <c r="F1544" s="4" t="inlineStr">
        <is>
          <t>$78.00</t>
        </is>
      </c>
      <c r="G1544" s="4" t="inlineStr">
        <is>
          <t>$39.00</t>
        </is>
      </c>
      <c r="H1544" s="4" t="inlineStr">
        <is>
          <t>Black</t>
        </is>
      </c>
      <c r="I1544" s="4">
        <f>IMAGE("https://images.lululemon.com/is/image/lululemon/0001",1)</f>
        <v/>
      </c>
      <c r="J1544" s="4" t="inlineStr">
        <is>
          <t>M</t>
        </is>
      </c>
      <c r="K1544" s="4" t="inlineStr">
        <is>
          <t>208/660</t>
        </is>
      </c>
      <c r="L1544" s="4" t="inlineStr">
        <is>
          <t>Yes</t>
        </is>
      </c>
      <c r="M1544" s="4" t="inlineStr">
        <is>
          <t>Athlete backed, performance driven. This elevated version of our most versatile short was designed for maximum comfort and zero distractions.</t>
        </is>
      </c>
      <c r="N1544" s="4" t="inlineStr">
        <is>
          <t>Pace-Breaker-Lined-9-Updated</t>
        </is>
      </c>
      <c r="O1544" s="4" t="inlineStr">
        <is>
          <t>Athletic Shorts, Liner Shorts</t>
        </is>
      </c>
    </row>
    <row r="1545" ht="80" customHeight="1">
      <c r="A1545" s="7">
        <f>IMAGE("https://images.lululemon.com/is/image/lululemon/LM7B87S_0001_1?wid=320&amp;op_usm=0.8",1)</f>
        <v/>
      </c>
      <c r="B1545" s="7" t="inlineStr">
        <is>
          <t>Pace Breaker Lined Short 9"</t>
        </is>
      </c>
      <c r="C1545" s="7" t="inlineStr">
        <is>
          <t>147033337</t>
        </is>
      </c>
      <c r="D1545" s="7" t="inlineStr">
        <is>
          <t>147033337-black</t>
        </is>
      </c>
      <c r="E1545" s="7" t="inlineStr">
        <is>
          <t>Pace Breaker Short 9" *Lined BLK S</t>
        </is>
      </c>
      <c r="F1545" s="7" t="inlineStr">
        <is>
          <t>$78.00</t>
        </is>
      </c>
      <c r="G1545" s="7" t="inlineStr">
        <is>
          <t>$39.00</t>
        </is>
      </c>
      <c r="H1545" s="7" t="inlineStr">
        <is>
          <t>Black</t>
        </is>
      </c>
      <c r="I1545" s="7">
        <f>IMAGE("https://images.lululemon.com/is/image/lululemon/0001",1)</f>
        <v/>
      </c>
      <c r="J1545" s="7" t="inlineStr">
        <is>
          <t>L</t>
        </is>
      </c>
      <c r="K1545" s="7" t="inlineStr">
        <is>
          <t>210/660</t>
        </is>
      </c>
      <c r="L1545" s="7" t="inlineStr">
        <is>
          <t>Yes</t>
        </is>
      </c>
      <c r="M1545" s="7" t="inlineStr">
        <is>
          <t>Athlete backed, performance driven. This elevated version of our most versatile short was designed for maximum comfort and zero distractions.</t>
        </is>
      </c>
      <c r="N1545" s="7" t="inlineStr">
        <is>
          <t>Pace-Breaker-Lined-9-Updated</t>
        </is>
      </c>
      <c r="O1545" s="7" t="inlineStr">
        <is>
          <t>Athletic Shorts, Liner Shorts</t>
        </is>
      </c>
    </row>
    <row r="1546" ht="80" customHeight="1">
      <c r="A1546" s="4">
        <f>IMAGE("https://images.lululemon.com/is/image/lululemon/LM7B87S_0001_1?wid=320&amp;op_usm=0.8",1)</f>
        <v/>
      </c>
      <c r="B1546" s="4" t="inlineStr">
        <is>
          <t>Pace Breaker Lined Short 9"</t>
        </is>
      </c>
      <c r="C1546" s="4" t="inlineStr">
        <is>
          <t>147033361</t>
        </is>
      </c>
      <c r="D1546" s="4" t="inlineStr">
        <is>
          <t>147033361-black</t>
        </is>
      </c>
      <c r="E1546" s="4" t="inlineStr">
        <is>
          <t>Pace Breaker Short 9" *Lined BLK S</t>
        </is>
      </c>
      <c r="F1546" s="4" t="inlineStr">
        <is>
          <t>$78.00</t>
        </is>
      </c>
      <c r="G1546" s="4" t="inlineStr">
        <is>
          <t>$39.00</t>
        </is>
      </c>
      <c r="H1546" s="4" t="inlineStr">
        <is>
          <t>Black</t>
        </is>
      </c>
      <c r="I1546" s="4">
        <f>IMAGE("https://images.lululemon.com/is/image/lululemon/0001",1)</f>
        <v/>
      </c>
      <c r="J1546" s="4" t="inlineStr">
        <is>
          <t>XL</t>
        </is>
      </c>
      <c r="K1546" s="4" t="inlineStr">
        <is>
          <t>72/660</t>
        </is>
      </c>
      <c r="L1546" s="4" t="inlineStr">
        <is>
          <t>Yes</t>
        </is>
      </c>
      <c r="M1546" s="4" t="inlineStr">
        <is>
          <t>Athlete backed, performance driven. This elevated version of our most versatile short was designed for maximum comfort and zero distractions.</t>
        </is>
      </c>
      <c r="N1546" s="4" t="inlineStr">
        <is>
          <t>Pace-Breaker-Lined-9-Updated</t>
        </is>
      </c>
      <c r="O1546" s="4" t="inlineStr">
        <is>
          <t>Athletic Shorts, Liner Shorts</t>
        </is>
      </c>
    </row>
    <row r="1547" ht="80" customHeight="1">
      <c r="A1547" s="5">
        <f>IMAGE("https://images.lululemon.com/is/image/lululemon/LM7B87S_0001_1?wid=320&amp;op_usm=0.8",1)</f>
        <v/>
      </c>
      <c r="B1547" s="5" t="inlineStr">
        <is>
          <t>Pace Breaker Lined Short 9"</t>
        </is>
      </c>
      <c r="C1547" s="5" t="inlineStr">
        <is>
          <t>147033377</t>
        </is>
      </c>
      <c r="D1547" s="5" t="inlineStr">
        <is>
          <t>147033377-black</t>
        </is>
      </c>
      <c r="E1547" s="5" t="inlineStr">
        <is>
          <t>Pace Breaker Short 9" *Lined BLK S</t>
        </is>
      </c>
      <c r="F1547" s="5" t="inlineStr">
        <is>
          <t>$78.00</t>
        </is>
      </c>
      <c r="G1547" s="5" t="inlineStr">
        <is>
          <t>$39.00</t>
        </is>
      </c>
      <c r="H1547" s="5" t="inlineStr">
        <is>
          <t>Black</t>
        </is>
      </c>
      <c r="I1547" s="5">
        <f>IMAGE("https://images.lululemon.com/is/image/lululemon/0001",1)</f>
        <v/>
      </c>
      <c r="J1547" s="5" t="inlineStr">
        <is>
          <t>XXL</t>
        </is>
      </c>
      <c r="K1547" s="5" t="inlineStr">
        <is>
          <t>40/660</t>
        </is>
      </c>
      <c r="L1547" s="5" t="inlineStr">
        <is>
          <t>Yes</t>
        </is>
      </c>
      <c r="M1547" s="5" t="inlineStr">
        <is>
          <t>Athlete backed, performance driven. This elevated version of our most versatile short was designed for maximum comfort and zero distractions.</t>
        </is>
      </c>
      <c r="N1547" s="5" t="inlineStr">
        <is>
          <t>Pace-Breaker-Lined-9-Updated</t>
        </is>
      </c>
      <c r="O1547" s="5" t="inlineStr">
        <is>
          <t>Athletic Shorts, Liner Shorts</t>
        </is>
      </c>
    </row>
    <row r="1548" ht="80" customHeight="1">
      <c r="A1548" s="4">
        <f>IMAGE("https://images.lululemon.com/is/image/lululemon/LM5AQYS_031382_1?wid=320&amp;op_usm=0.8",1)</f>
        <v/>
      </c>
      <c r="B1548" s="4" t="inlineStr">
        <is>
          <t>ABC Slim-Fit Trouser 30L *Warpstreme</t>
        </is>
      </c>
      <c r="C1548" s="4" t="inlineStr">
        <is>
          <t>147153042</t>
        </is>
      </c>
      <c r="D1548" s="4" t="inlineStr">
        <is>
          <t>147153042-obsidian</t>
        </is>
      </c>
      <c r="E1548" s="4" t="inlineStr">
        <is>
          <t>ABC Slim-Fit Trouser 30L *Warpstreme OBSI 32</t>
        </is>
      </c>
      <c r="F1548" s="4" t="inlineStr">
        <is>
          <t>$138.00</t>
        </is>
      </c>
      <c r="G1548" s="4" t="inlineStr">
        <is>
          <t>$69.00</t>
        </is>
      </c>
      <c r="H1548" s="4" t="inlineStr">
        <is>
          <t>Obsidian</t>
        </is>
      </c>
      <c r="I1548" s="4">
        <f>IMAGE("https://images.lululemon.com/is/image/lululemon/32476",1)</f>
        <v/>
      </c>
      <c r="J1548" s="4" t="inlineStr">
        <is>
          <t>32</t>
        </is>
      </c>
      <c r="K1548" s="4" t="inlineStr">
        <is>
          <t>3/216</t>
        </is>
      </c>
      <c r="L1548" s="4" t="inlineStr">
        <is>
          <t>Yes</t>
        </is>
      </c>
      <c r="M1548" s="4" t="inlineStr">
        <is>
          <t>These slim-fit trousers deliver all-day comfort with an elevated look.</t>
        </is>
      </c>
      <c r="N1548" s="4" t="inlineStr">
        <is>
          <t>ABC-Slim-Trouser-30</t>
        </is>
      </c>
      <c r="O1548" s="4" t="inlineStr">
        <is>
          <t>Dress Pants, Chinos</t>
        </is>
      </c>
    </row>
    <row r="1549" ht="80" customHeight="1">
      <c r="A1549" s="7">
        <f>IMAGE("https://images.lululemon.com/is/image/lululemon/LM5AQYS_031382_1?wid=320&amp;op_usm=0.8",1)</f>
        <v/>
      </c>
      <c r="B1549" s="7" t="inlineStr">
        <is>
          <t>ABC Slim-Fit Trouser 30L *Warpstreme</t>
        </is>
      </c>
      <c r="C1549" s="7" t="inlineStr">
        <is>
          <t>147153048</t>
        </is>
      </c>
      <c r="D1549" s="7" t="inlineStr">
        <is>
          <t>147153048-obsidian</t>
        </is>
      </c>
      <c r="E1549" s="7" t="inlineStr">
        <is>
          <t>ABC Slim-Fit Trouser 30L *Warpstreme OBSI 32</t>
        </is>
      </c>
      <c r="F1549" s="7" t="inlineStr">
        <is>
          <t>$138.00</t>
        </is>
      </c>
      <c r="G1549" s="7" t="inlineStr">
        <is>
          <t>$69.00</t>
        </is>
      </c>
      <c r="H1549" s="7" t="inlineStr">
        <is>
          <t>Obsidian</t>
        </is>
      </c>
      <c r="I1549" s="7">
        <f>IMAGE("https://images.lululemon.com/is/image/lululemon/32476",1)</f>
        <v/>
      </c>
      <c r="J1549" s="7" t="inlineStr">
        <is>
          <t>34</t>
        </is>
      </c>
      <c r="K1549" s="7" t="inlineStr">
        <is>
          <t>44/216</t>
        </is>
      </c>
      <c r="L1549" s="7" t="inlineStr">
        <is>
          <t>Yes</t>
        </is>
      </c>
      <c r="M1549" s="7" t="inlineStr">
        <is>
          <t>These slim-fit trousers deliver all-day comfort with an elevated look.</t>
        </is>
      </c>
      <c r="N1549" s="7" t="inlineStr">
        <is>
          <t>ABC-Slim-Trouser-30</t>
        </is>
      </c>
      <c r="O1549" s="7" t="inlineStr">
        <is>
          <t>Dress Pants, Chinos</t>
        </is>
      </c>
    </row>
    <row r="1550" ht="80" customHeight="1">
      <c r="A1550" s="4">
        <f>IMAGE("https://images.lululemon.com/is/image/lululemon/LM5AQYS_031382_1?wid=320&amp;op_usm=0.8",1)</f>
        <v/>
      </c>
      <c r="B1550" s="4" t="inlineStr">
        <is>
          <t>ABC Slim-Fit Trouser 30L *Warpstreme</t>
        </is>
      </c>
      <c r="C1550" s="4" t="inlineStr">
        <is>
          <t>147153054</t>
        </is>
      </c>
      <c r="D1550" s="4" t="inlineStr">
        <is>
          <t>147153054-obsidian</t>
        </is>
      </c>
      <c r="E1550" s="4" t="inlineStr">
        <is>
          <t>ABC Slim-Fit Trouser 30L *Warpstreme OBSI 32</t>
        </is>
      </c>
      <c r="F1550" s="4" t="inlineStr">
        <is>
          <t>$138.00</t>
        </is>
      </c>
      <c r="G1550" s="4" t="inlineStr">
        <is>
          <t>$69.00</t>
        </is>
      </c>
      <c r="H1550" s="4" t="inlineStr">
        <is>
          <t>Obsidian</t>
        </is>
      </c>
      <c r="I1550" s="4">
        <f>IMAGE("https://images.lululemon.com/is/image/lululemon/32476",1)</f>
        <v/>
      </c>
      <c r="J1550" s="4" t="inlineStr">
        <is>
          <t>36</t>
        </is>
      </c>
      <c r="K1550" s="4" t="inlineStr">
        <is>
          <t>17/216</t>
        </is>
      </c>
      <c r="L1550" s="4" t="inlineStr">
        <is>
          <t>Yes</t>
        </is>
      </c>
      <c r="M1550" s="4" t="inlineStr">
        <is>
          <t>These slim-fit trousers deliver all-day comfort with an elevated look.</t>
        </is>
      </c>
      <c r="N1550" s="4" t="inlineStr">
        <is>
          <t>ABC-Slim-Trouser-30</t>
        </is>
      </c>
      <c r="O1550" s="4" t="inlineStr">
        <is>
          <t>Dress Pants, Chinos</t>
        </is>
      </c>
    </row>
    <row r="1551" ht="80" customHeight="1">
      <c r="A1551" s="7">
        <f>IMAGE("https://images.lululemon.com/is/image/lululemon/LM5AQYS_031382_1?wid=320&amp;op_usm=0.8",1)</f>
        <v/>
      </c>
      <c r="B1551" s="7" t="inlineStr">
        <is>
          <t>ABC Slim-Fit Trouser 30L *Warpstreme</t>
        </is>
      </c>
      <c r="C1551" s="7" t="inlineStr">
        <is>
          <t>147153059</t>
        </is>
      </c>
      <c r="D1551" s="7" t="inlineStr">
        <is>
          <t>147153059-obsidian</t>
        </is>
      </c>
      <c r="E1551" s="7" t="inlineStr">
        <is>
          <t>ABC Slim-Fit Trouser 30L *Warpstreme OBSI 32</t>
        </is>
      </c>
      <c r="F1551" s="7" t="inlineStr">
        <is>
          <t>$138.00</t>
        </is>
      </c>
      <c r="G1551" s="7" t="inlineStr">
        <is>
          <t>$69.00</t>
        </is>
      </c>
      <c r="H1551" s="7" t="inlineStr">
        <is>
          <t>Obsidian</t>
        </is>
      </c>
      <c r="I1551" s="7">
        <f>IMAGE("https://images.lululemon.com/is/image/lululemon/32476",1)</f>
        <v/>
      </c>
      <c r="J1551" s="7" t="inlineStr">
        <is>
          <t>38</t>
        </is>
      </c>
      <c r="K1551" s="7" t="inlineStr">
        <is>
          <t>29/216</t>
        </is>
      </c>
      <c r="L1551" s="7" t="inlineStr">
        <is>
          <t>Yes</t>
        </is>
      </c>
      <c r="M1551" s="7" t="inlineStr">
        <is>
          <t>These slim-fit trousers deliver all-day comfort with an elevated look.</t>
        </is>
      </c>
      <c r="N1551" s="7" t="inlineStr">
        <is>
          <t>ABC-Slim-Trouser-30</t>
        </is>
      </c>
      <c r="O1551" s="7" t="inlineStr">
        <is>
          <t>Dress Pants, Chinos</t>
        </is>
      </c>
    </row>
    <row r="1552" ht="80" customHeight="1">
      <c r="A1552" s="4">
        <f>IMAGE("https://images.lululemon.com/is/image/lululemon/LM5AQYS_031382_1?wid=320&amp;op_usm=0.8",1)</f>
        <v/>
      </c>
      <c r="B1552" s="4" t="inlineStr">
        <is>
          <t>ABC Slim-Fit Trouser 30L *Warpstreme</t>
        </is>
      </c>
      <c r="C1552" s="4" t="inlineStr">
        <is>
          <t>147152983</t>
        </is>
      </c>
      <c r="D1552" s="4" t="inlineStr">
        <is>
          <t>147152983-truenavy</t>
        </is>
      </c>
      <c r="E1552" s="4" t="inlineStr">
        <is>
          <t>ABC Slim-Fit Trouser 30L *Warpstreme OBSI 32</t>
        </is>
      </c>
      <c r="F1552" s="4" t="inlineStr">
        <is>
          <t>$138.00</t>
        </is>
      </c>
      <c r="G1552" s="4" t="inlineStr">
        <is>
          <t>$69.00</t>
        </is>
      </c>
      <c r="H1552" s="4" t="inlineStr">
        <is>
          <t>True Navy</t>
        </is>
      </c>
      <c r="I1552" s="4">
        <f>IMAGE("https://images.lululemon.com/is/image/lululemon/31382",1)</f>
        <v/>
      </c>
      <c r="J1552" s="4" t="inlineStr">
        <is>
          <t>34</t>
        </is>
      </c>
      <c r="K1552" s="4" t="inlineStr">
        <is>
          <t>37/216</t>
        </is>
      </c>
      <c r="L1552" s="4" t="inlineStr">
        <is>
          <t>Yes</t>
        </is>
      </c>
      <c r="M1552" s="4" t="inlineStr">
        <is>
          <t>These slim-fit trousers deliver all-day comfort with an elevated look.</t>
        </is>
      </c>
      <c r="N1552" s="4" t="inlineStr">
        <is>
          <t>ABC-Slim-Trouser-30</t>
        </is>
      </c>
      <c r="O1552" s="4" t="inlineStr">
        <is>
          <t>Dress Pants, Chinos</t>
        </is>
      </c>
    </row>
    <row r="1553" ht="80" customHeight="1">
      <c r="A1553" s="7">
        <f>IMAGE("https://images.lululemon.com/is/image/lululemon/LM5AQYS_031382_1?wid=320&amp;op_usm=0.8",1)</f>
        <v/>
      </c>
      <c r="B1553" s="7" t="inlineStr">
        <is>
          <t>ABC Slim-Fit Trouser 30L *Warpstreme</t>
        </is>
      </c>
      <c r="C1553" s="7" t="inlineStr">
        <is>
          <t>147152989</t>
        </is>
      </c>
      <c r="D1553" s="7" t="inlineStr">
        <is>
          <t>147152989-truenavy</t>
        </is>
      </c>
      <c r="E1553" s="7" t="inlineStr">
        <is>
          <t>ABC Slim-Fit Trouser 30L *Warpstreme OBSI 32</t>
        </is>
      </c>
      <c r="F1553" s="7" t="inlineStr">
        <is>
          <t>$138.00</t>
        </is>
      </c>
      <c r="G1553" s="7" t="inlineStr">
        <is>
          <t>$69.00</t>
        </is>
      </c>
      <c r="H1553" s="7" t="inlineStr">
        <is>
          <t>True Navy</t>
        </is>
      </c>
      <c r="I1553" s="7">
        <f>IMAGE("https://images.lululemon.com/is/image/lululemon/31382",1)</f>
        <v/>
      </c>
      <c r="J1553" s="7" t="inlineStr">
        <is>
          <t>36</t>
        </is>
      </c>
      <c r="K1553" s="7" t="inlineStr">
        <is>
          <t>50/216</t>
        </is>
      </c>
      <c r="L1553" s="7" t="inlineStr">
        <is>
          <t>Yes</t>
        </is>
      </c>
      <c r="M1553" s="7" t="inlineStr">
        <is>
          <t>These slim-fit trousers deliver all-day comfort with an elevated look.</t>
        </is>
      </c>
      <c r="N1553" s="7" t="inlineStr">
        <is>
          <t>ABC-Slim-Trouser-30</t>
        </is>
      </c>
      <c r="O1553" s="7" t="inlineStr">
        <is>
          <t>Dress Pants, Chinos</t>
        </is>
      </c>
    </row>
    <row r="1554" ht="80" customHeight="1">
      <c r="A1554" s="4">
        <f>IMAGE("https://images.lululemon.com/is/image/lululemon/LM5AQYS_031382_1?wid=320&amp;op_usm=0.8",1)</f>
        <v/>
      </c>
      <c r="B1554" s="4" t="inlineStr">
        <is>
          <t>ABC Slim-Fit Trouser 30L *Warpstreme</t>
        </is>
      </c>
      <c r="C1554" s="4" t="inlineStr">
        <is>
          <t>147152995</t>
        </is>
      </c>
      <c r="D1554" s="4" t="inlineStr">
        <is>
          <t>147152995-truenavy</t>
        </is>
      </c>
      <c r="E1554" s="4" t="inlineStr">
        <is>
          <t>ABC Slim-Fit Trouser 30L *Warpstreme OBSI 32</t>
        </is>
      </c>
      <c r="F1554" s="4" t="inlineStr">
        <is>
          <t>$138.00</t>
        </is>
      </c>
      <c r="G1554" s="4" t="inlineStr">
        <is>
          <t>$69.00</t>
        </is>
      </c>
      <c r="H1554" s="4" t="inlineStr">
        <is>
          <t>True Navy</t>
        </is>
      </c>
      <c r="I1554" s="4">
        <f>IMAGE("https://images.lululemon.com/is/image/lululemon/31382",1)</f>
        <v/>
      </c>
      <c r="J1554" s="4" t="inlineStr">
        <is>
          <t>38</t>
        </is>
      </c>
      <c r="K1554" s="4" t="inlineStr">
        <is>
          <t>20/216</t>
        </is>
      </c>
      <c r="L1554" s="4" t="inlineStr">
        <is>
          <t>Yes</t>
        </is>
      </c>
      <c r="M1554" s="4" t="inlineStr">
        <is>
          <t>These slim-fit trousers deliver all-day comfort with an elevated look.</t>
        </is>
      </c>
      <c r="N1554" s="4" t="inlineStr">
        <is>
          <t>ABC-Slim-Trouser-30</t>
        </is>
      </c>
      <c r="O1554" s="4" t="inlineStr">
        <is>
          <t>Dress Pants, Chinos</t>
        </is>
      </c>
    </row>
    <row r="1555" ht="80" customHeight="1">
      <c r="A1555" s="5">
        <f>IMAGE("https://images.lululemon.com/is/image/lululemon/LM5AQYS_031382_1?wid=320&amp;op_usm=0.8",1)</f>
        <v/>
      </c>
      <c r="B1555" s="5" t="inlineStr">
        <is>
          <t>ABC Slim-Fit Trouser 30L *Warpstreme</t>
        </is>
      </c>
      <c r="C1555" s="5" t="inlineStr">
        <is>
          <t>147153001</t>
        </is>
      </c>
      <c r="D1555" s="5" t="inlineStr">
        <is>
          <t>147153001-truenavy</t>
        </is>
      </c>
      <c r="E1555" s="5" t="inlineStr">
        <is>
          <t>ABC Slim-Fit Trouser 30L *Warpstreme OBSI 32</t>
        </is>
      </c>
      <c r="F1555" s="5" t="inlineStr">
        <is>
          <t>$138.00</t>
        </is>
      </c>
      <c r="G1555" s="5" t="inlineStr">
        <is>
          <t>$69.00</t>
        </is>
      </c>
      <c r="H1555" s="5" t="inlineStr">
        <is>
          <t>True Navy</t>
        </is>
      </c>
      <c r="I1555" s="5">
        <f>IMAGE("https://images.lululemon.com/is/image/lululemon/31382",1)</f>
        <v/>
      </c>
      <c r="J1555" s="5" t="inlineStr">
        <is>
          <t>40</t>
        </is>
      </c>
      <c r="K1555" s="5" t="inlineStr">
        <is>
          <t>16/216</t>
        </is>
      </c>
      <c r="L1555" s="5" t="inlineStr">
        <is>
          <t>Yes</t>
        </is>
      </c>
      <c r="M1555" s="5" t="inlineStr">
        <is>
          <t>These slim-fit trousers deliver all-day comfort with an elevated look.</t>
        </is>
      </c>
      <c r="N1555" s="5" t="inlineStr">
        <is>
          <t>ABC-Slim-Trouser-30</t>
        </is>
      </c>
      <c r="O1555" s="5" t="inlineStr">
        <is>
          <t>Dress Pants, Chinos</t>
        </is>
      </c>
    </row>
    <row r="1556" ht="80" customHeight="1">
      <c r="A1556" s="4">
        <f>IMAGE("https://images.lululemon.com/is/image/lululemon/LM5AO5S_032476_1?wid=320&amp;op_usm=0.8",1)</f>
        <v/>
      </c>
      <c r="B1556" s="4" t="inlineStr">
        <is>
          <t>ABC Classic-Fit Trouser 32L *Warpstreme</t>
        </is>
      </c>
      <c r="C1556" s="4" t="inlineStr">
        <is>
          <t>147152220</t>
        </is>
      </c>
      <c r="D1556" s="4" t="inlineStr">
        <is>
          <t>147152220-truenavy</t>
        </is>
      </c>
      <c r="E1556" s="4" t="inlineStr">
        <is>
          <t>ABC Classic-Fit Trouser 32L *Warpstreme TRNV 28</t>
        </is>
      </c>
      <c r="F1556" s="4" t="inlineStr">
        <is>
          <t>$138.00</t>
        </is>
      </c>
      <c r="G1556" s="4" t="inlineStr">
        <is>
          <t>$69.00</t>
        </is>
      </c>
      <c r="H1556" s="4" t="inlineStr">
        <is>
          <t>True Navy</t>
        </is>
      </c>
      <c r="I1556" s="4">
        <f>IMAGE("https://images.lululemon.com/is/image/lululemon/31382",1)</f>
        <v/>
      </c>
      <c r="J1556" s="4" t="inlineStr">
        <is>
          <t>28</t>
        </is>
      </c>
      <c r="K1556" s="4" t="inlineStr">
        <is>
          <t>61/3719</t>
        </is>
      </c>
      <c r="L1556" s="4" t="inlineStr">
        <is>
          <t>Yes</t>
        </is>
      </c>
      <c r="M1556" s="4" t="inlineStr">
        <is>
          <t>These classic-fit trousers deliver all-day comfort with an elevated look.</t>
        </is>
      </c>
      <c r="N1556" s="4" t="inlineStr">
        <is>
          <t>ABC-Classic-Fit-Trouser-32-Warpstreme</t>
        </is>
      </c>
      <c r="O1556" s="4" t="inlineStr">
        <is>
          <t>Dress Pants, Chinos</t>
        </is>
      </c>
    </row>
    <row r="1557" ht="80" customHeight="1">
      <c r="A1557" s="7">
        <f>IMAGE("https://images.lululemon.com/is/image/lululemon/LM5AO5S_032476_1?wid=320&amp;op_usm=0.8",1)</f>
        <v/>
      </c>
      <c r="B1557" s="7" t="inlineStr">
        <is>
          <t>ABC Classic-Fit Trouser 32L *Warpstreme</t>
        </is>
      </c>
      <c r="C1557" s="7" t="inlineStr">
        <is>
          <t>147152222</t>
        </is>
      </c>
      <c r="D1557" s="7" t="inlineStr">
        <is>
          <t>147152222-truenavy</t>
        </is>
      </c>
      <c r="E1557" s="7" t="inlineStr">
        <is>
          <t>ABC Classic-Fit Trouser 32L *Warpstreme TRNV 28</t>
        </is>
      </c>
      <c r="F1557" s="7" t="inlineStr">
        <is>
          <t>$138.00</t>
        </is>
      </c>
      <c r="G1557" s="7" t="inlineStr">
        <is>
          <t>$69.00</t>
        </is>
      </c>
      <c r="H1557" s="7" t="inlineStr">
        <is>
          <t>True Navy</t>
        </is>
      </c>
      <c r="I1557" s="7">
        <f>IMAGE("https://images.lululemon.com/is/image/lululemon/31382",1)</f>
        <v/>
      </c>
      <c r="J1557" s="7" t="inlineStr">
        <is>
          <t>30</t>
        </is>
      </c>
      <c r="K1557" s="7" t="inlineStr">
        <is>
          <t>170/3719</t>
        </is>
      </c>
      <c r="L1557" s="7" t="inlineStr">
        <is>
          <t>Yes</t>
        </is>
      </c>
      <c r="M1557" s="7" t="inlineStr">
        <is>
          <t>These classic-fit trousers deliver all-day comfort with an elevated look.</t>
        </is>
      </c>
      <c r="N1557" s="7" t="inlineStr">
        <is>
          <t>ABC-Classic-Fit-Trouser-32-Warpstreme</t>
        </is>
      </c>
      <c r="O1557" s="7" t="inlineStr">
        <is>
          <t>Dress Pants, Chinos</t>
        </is>
      </c>
    </row>
    <row r="1558" ht="80" customHeight="1">
      <c r="A1558" s="4">
        <f>IMAGE("https://images.lululemon.com/is/image/lululemon/LM5AO5S_032476_1?wid=320&amp;op_usm=0.8",1)</f>
        <v/>
      </c>
      <c r="B1558" s="4" t="inlineStr">
        <is>
          <t>ABC Classic-Fit Trouser 32L *Warpstreme</t>
        </is>
      </c>
      <c r="C1558" s="4" t="inlineStr">
        <is>
          <t>147152223</t>
        </is>
      </c>
      <c r="D1558" s="4" t="inlineStr">
        <is>
          <t>147152223-truenavy</t>
        </is>
      </c>
      <c r="E1558" s="4" t="inlineStr">
        <is>
          <t>ABC Classic-Fit Trouser 32L *Warpstreme TRNV 28</t>
        </is>
      </c>
      <c r="F1558" s="4" t="inlineStr">
        <is>
          <t>$138.00</t>
        </is>
      </c>
      <c r="G1558" s="4" t="inlineStr">
        <is>
          <t>$69.00</t>
        </is>
      </c>
      <c r="H1558" s="4" t="inlineStr">
        <is>
          <t>True Navy</t>
        </is>
      </c>
      <c r="I1558" s="4">
        <f>IMAGE("https://images.lululemon.com/is/image/lululemon/31382",1)</f>
        <v/>
      </c>
      <c r="J1558" s="4" t="inlineStr">
        <is>
          <t>31</t>
        </is>
      </c>
      <c r="K1558" s="4" t="inlineStr">
        <is>
          <t>66/3719</t>
        </is>
      </c>
      <c r="L1558" s="4" t="inlineStr">
        <is>
          <t>Yes</t>
        </is>
      </c>
      <c r="M1558" s="4" t="inlineStr">
        <is>
          <t>These classic-fit trousers deliver all-day comfort with an elevated look.</t>
        </is>
      </c>
      <c r="N1558" s="4" t="inlineStr">
        <is>
          <t>ABC-Classic-Fit-Trouser-32-Warpstreme</t>
        </is>
      </c>
      <c r="O1558" s="4" t="inlineStr">
        <is>
          <t>Dress Pants, Chinos</t>
        </is>
      </c>
    </row>
    <row r="1559" ht="80" customHeight="1">
      <c r="A1559" s="7">
        <f>IMAGE("https://images.lululemon.com/is/image/lululemon/LM5AO5S_032476_1?wid=320&amp;op_usm=0.8",1)</f>
        <v/>
      </c>
      <c r="B1559" s="7" t="inlineStr">
        <is>
          <t>ABC Classic-Fit Trouser 32L *Warpstreme</t>
        </is>
      </c>
      <c r="C1559" s="7" t="inlineStr">
        <is>
          <t>147152224</t>
        </is>
      </c>
      <c r="D1559" s="7" t="inlineStr">
        <is>
          <t>147152224-truenavy</t>
        </is>
      </c>
      <c r="E1559" s="7" t="inlineStr">
        <is>
          <t>ABC Classic-Fit Trouser 32L *Warpstreme TRNV 28</t>
        </is>
      </c>
      <c r="F1559" s="7" t="inlineStr">
        <is>
          <t>$138.00</t>
        </is>
      </c>
      <c r="G1559" s="7" t="inlineStr">
        <is>
          <t>$69.00</t>
        </is>
      </c>
      <c r="H1559" s="7" t="inlineStr">
        <is>
          <t>True Navy</t>
        </is>
      </c>
      <c r="I1559" s="7">
        <f>IMAGE("https://images.lululemon.com/is/image/lululemon/31382",1)</f>
        <v/>
      </c>
      <c r="J1559" s="7" t="inlineStr">
        <is>
          <t>32</t>
        </is>
      </c>
      <c r="K1559" s="7" t="inlineStr">
        <is>
          <t>374/3719</t>
        </is>
      </c>
      <c r="L1559" s="7" t="inlineStr">
        <is>
          <t>Yes</t>
        </is>
      </c>
      <c r="M1559" s="7" t="inlineStr">
        <is>
          <t>These classic-fit trousers deliver all-day comfort with an elevated look.</t>
        </is>
      </c>
      <c r="N1559" s="7" t="inlineStr">
        <is>
          <t>ABC-Classic-Fit-Trouser-32-Warpstreme</t>
        </is>
      </c>
      <c r="O1559" s="7" t="inlineStr">
        <is>
          <t>Dress Pants, Chinos</t>
        </is>
      </c>
    </row>
    <row r="1560" ht="80" customHeight="1">
      <c r="A1560" s="4">
        <f>IMAGE("https://images.lululemon.com/is/image/lululemon/LM5AO5S_032476_1?wid=320&amp;op_usm=0.8",1)</f>
        <v/>
      </c>
      <c r="B1560" s="4" t="inlineStr">
        <is>
          <t>ABC Classic-Fit Trouser 32L *Warpstreme</t>
        </is>
      </c>
      <c r="C1560" s="4" t="inlineStr">
        <is>
          <t>147152225</t>
        </is>
      </c>
      <c r="D1560" s="4" t="inlineStr">
        <is>
          <t>147152225-truenavy</t>
        </is>
      </c>
      <c r="E1560" s="4" t="inlineStr">
        <is>
          <t>ABC Classic-Fit Trouser 32L *Warpstreme TRNV 28</t>
        </is>
      </c>
      <c r="F1560" s="4" t="inlineStr">
        <is>
          <t>$138.00</t>
        </is>
      </c>
      <c r="G1560" s="4" t="inlineStr">
        <is>
          <t>$69.00</t>
        </is>
      </c>
      <c r="H1560" s="4" t="inlineStr">
        <is>
          <t>True Navy</t>
        </is>
      </c>
      <c r="I1560" s="4">
        <f>IMAGE("https://images.lululemon.com/is/image/lululemon/31382",1)</f>
        <v/>
      </c>
      <c r="J1560" s="4" t="inlineStr">
        <is>
          <t>33</t>
        </is>
      </c>
      <c r="K1560" s="4" t="inlineStr">
        <is>
          <t>264/3719</t>
        </is>
      </c>
      <c r="L1560" s="4" t="inlineStr">
        <is>
          <t>Yes</t>
        </is>
      </c>
      <c r="M1560" s="4" t="inlineStr">
        <is>
          <t>These classic-fit trousers deliver all-day comfort with an elevated look.</t>
        </is>
      </c>
      <c r="N1560" s="4" t="inlineStr">
        <is>
          <t>ABC-Classic-Fit-Trouser-32-Warpstreme</t>
        </is>
      </c>
      <c r="O1560" s="4" t="inlineStr">
        <is>
          <t>Dress Pants, Chinos</t>
        </is>
      </c>
    </row>
    <row r="1561" ht="80" customHeight="1">
      <c r="A1561" s="7">
        <f>IMAGE("https://images.lululemon.com/is/image/lululemon/LM5AO5S_032476_1?wid=320&amp;op_usm=0.8",1)</f>
        <v/>
      </c>
      <c r="B1561" s="7" t="inlineStr">
        <is>
          <t>ABC Classic-Fit Trouser 32L *Warpstreme</t>
        </is>
      </c>
      <c r="C1561" s="7" t="inlineStr">
        <is>
          <t>147152226</t>
        </is>
      </c>
      <c r="D1561" s="7" t="inlineStr">
        <is>
          <t>147152226-truenavy</t>
        </is>
      </c>
      <c r="E1561" s="7" t="inlineStr">
        <is>
          <t>ABC Classic-Fit Trouser 32L *Warpstreme TRNV 28</t>
        </is>
      </c>
      <c r="F1561" s="7" t="inlineStr">
        <is>
          <t>$138.00</t>
        </is>
      </c>
      <c r="G1561" s="7" t="inlineStr">
        <is>
          <t>$69.00</t>
        </is>
      </c>
      <c r="H1561" s="7" t="inlineStr">
        <is>
          <t>True Navy</t>
        </is>
      </c>
      <c r="I1561" s="7">
        <f>IMAGE("https://images.lululemon.com/is/image/lululemon/31382",1)</f>
        <v/>
      </c>
      <c r="J1561" s="7" t="inlineStr">
        <is>
          <t>34</t>
        </is>
      </c>
      <c r="K1561" s="7" t="inlineStr">
        <is>
          <t>518/3719</t>
        </is>
      </c>
      <c r="L1561" s="7" t="inlineStr">
        <is>
          <t>Yes</t>
        </is>
      </c>
      <c r="M1561" s="7" t="inlineStr">
        <is>
          <t>These classic-fit trousers deliver all-day comfort with an elevated look.</t>
        </is>
      </c>
      <c r="N1561" s="7" t="inlineStr">
        <is>
          <t>ABC-Classic-Fit-Trouser-32-Warpstreme</t>
        </is>
      </c>
      <c r="O1561" s="7" t="inlineStr">
        <is>
          <t>Dress Pants, Chinos</t>
        </is>
      </c>
    </row>
    <row r="1562" ht="80" customHeight="1">
      <c r="A1562" s="4">
        <f>IMAGE("https://images.lululemon.com/is/image/lululemon/LM5AO5S_032476_1?wid=320&amp;op_usm=0.8",1)</f>
        <v/>
      </c>
      <c r="B1562" s="4" t="inlineStr">
        <is>
          <t>ABC Classic-Fit Trouser 32L *Warpstreme</t>
        </is>
      </c>
      <c r="C1562" s="4" t="inlineStr">
        <is>
          <t>147152228</t>
        </is>
      </c>
      <c r="D1562" s="4" t="inlineStr">
        <is>
          <t>147152228-truenavy</t>
        </is>
      </c>
      <c r="E1562" s="4" t="inlineStr">
        <is>
          <t>ABC Classic-Fit Trouser 32L *Warpstreme TRNV 28</t>
        </is>
      </c>
      <c r="F1562" s="4" t="inlineStr">
        <is>
          <t>$138.00</t>
        </is>
      </c>
      <c r="G1562" s="4" t="inlineStr">
        <is>
          <t>$69.00</t>
        </is>
      </c>
      <c r="H1562" s="4" t="inlineStr">
        <is>
          <t>True Navy</t>
        </is>
      </c>
      <c r="I1562" s="4">
        <f>IMAGE("https://images.lululemon.com/is/image/lululemon/31382",1)</f>
        <v/>
      </c>
      <c r="J1562" s="4" t="inlineStr">
        <is>
          <t>36</t>
        </is>
      </c>
      <c r="K1562" s="4" t="inlineStr">
        <is>
          <t>335/3719</t>
        </is>
      </c>
      <c r="L1562" s="4" t="inlineStr">
        <is>
          <t>Yes</t>
        </is>
      </c>
      <c r="M1562" s="4" t="inlineStr">
        <is>
          <t>These classic-fit trousers deliver all-day comfort with an elevated look.</t>
        </is>
      </c>
      <c r="N1562" s="4" t="inlineStr">
        <is>
          <t>ABC-Classic-Fit-Trouser-32-Warpstreme</t>
        </is>
      </c>
      <c r="O1562" s="4" t="inlineStr">
        <is>
          <t>Dress Pants, Chinos</t>
        </is>
      </c>
    </row>
    <row r="1563" ht="80" customHeight="1">
      <c r="A1563" s="7">
        <f>IMAGE("https://images.lululemon.com/is/image/lululemon/LM5AO5S_032476_1?wid=320&amp;op_usm=0.8",1)</f>
        <v/>
      </c>
      <c r="B1563" s="7" t="inlineStr">
        <is>
          <t>ABC Classic-Fit Trouser 32L *Warpstreme</t>
        </is>
      </c>
      <c r="C1563" s="7" t="inlineStr">
        <is>
          <t>147152230</t>
        </is>
      </c>
      <c r="D1563" s="7" t="inlineStr">
        <is>
          <t>147152230-truenavy</t>
        </is>
      </c>
      <c r="E1563" s="7" t="inlineStr">
        <is>
          <t>ABC Classic-Fit Trouser 32L *Warpstreme TRNV 28</t>
        </is>
      </c>
      <c r="F1563" s="7" t="inlineStr">
        <is>
          <t>$138.00</t>
        </is>
      </c>
      <c r="G1563" s="7" t="inlineStr">
        <is>
          <t>$69.00</t>
        </is>
      </c>
      <c r="H1563" s="7" t="inlineStr">
        <is>
          <t>True Navy</t>
        </is>
      </c>
      <c r="I1563" s="7">
        <f>IMAGE("https://images.lululemon.com/is/image/lululemon/31382",1)</f>
        <v/>
      </c>
      <c r="J1563" s="7" t="inlineStr">
        <is>
          <t>38</t>
        </is>
      </c>
      <c r="K1563" s="7" t="inlineStr">
        <is>
          <t>258/3719</t>
        </is>
      </c>
      <c r="L1563" s="7" t="inlineStr">
        <is>
          <t>Yes</t>
        </is>
      </c>
      <c r="M1563" s="7" t="inlineStr">
        <is>
          <t>These classic-fit trousers deliver all-day comfort with an elevated look.</t>
        </is>
      </c>
      <c r="N1563" s="7" t="inlineStr">
        <is>
          <t>ABC-Classic-Fit-Trouser-32-Warpstreme</t>
        </is>
      </c>
      <c r="O1563" s="7" t="inlineStr">
        <is>
          <t>Dress Pants, Chinos</t>
        </is>
      </c>
    </row>
    <row r="1564" ht="80" customHeight="1">
      <c r="A1564" s="4">
        <f>IMAGE("https://images.lululemon.com/is/image/lululemon/LM5AO5S_032476_1?wid=320&amp;op_usm=0.8",1)</f>
        <v/>
      </c>
      <c r="B1564" s="4" t="inlineStr">
        <is>
          <t>ABC Classic-Fit Trouser 32L *Warpstreme</t>
        </is>
      </c>
      <c r="C1564" s="4" t="inlineStr">
        <is>
          <t>147152232</t>
        </is>
      </c>
      <c r="D1564" s="4" t="inlineStr">
        <is>
          <t>147152232-truenavy</t>
        </is>
      </c>
      <c r="E1564" s="4" t="inlineStr">
        <is>
          <t>ABC Classic-Fit Trouser 32L *Warpstreme TRNV 28</t>
        </is>
      </c>
      <c r="F1564" s="4" t="inlineStr">
        <is>
          <t>$138.00</t>
        </is>
      </c>
      <c r="G1564" s="4" t="inlineStr">
        <is>
          <t>$69.00</t>
        </is>
      </c>
      <c r="H1564" s="4" t="inlineStr">
        <is>
          <t>True Navy</t>
        </is>
      </c>
      <c r="I1564" s="4">
        <f>IMAGE("https://images.lululemon.com/is/image/lululemon/31382",1)</f>
        <v/>
      </c>
      <c r="J1564" s="4" t="inlineStr">
        <is>
          <t>40</t>
        </is>
      </c>
      <c r="K1564" s="4" t="inlineStr">
        <is>
          <t>165/3719</t>
        </is>
      </c>
      <c r="L1564" s="4" t="inlineStr">
        <is>
          <t>Yes</t>
        </is>
      </c>
      <c r="M1564" s="4" t="inlineStr">
        <is>
          <t>These classic-fit trousers deliver all-day comfort with an elevated look.</t>
        </is>
      </c>
      <c r="N1564" s="4" t="inlineStr">
        <is>
          <t>ABC-Classic-Fit-Trouser-32-Warpstreme</t>
        </is>
      </c>
      <c r="O1564" s="4" t="inlineStr">
        <is>
          <t>Dress Pants, Chinos</t>
        </is>
      </c>
    </row>
    <row r="1565" ht="80" customHeight="1">
      <c r="A1565" s="7">
        <f>IMAGE("https://images.lululemon.com/is/image/lululemon/LM5AO5S_032476_1?wid=320&amp;op_usm=0.8",1)</f>
        <v/>
      </c>
      <c r="B1565" s="7" t="inlineStr">
        <is>
          <t>ABC Classic-Fit Trouser 32L *Warpstreme</t>
        </is>
      </c>
      <c r="C1565" s="7" t="inlineStr">
        <is>
          <t>147152242</t>
        </is>
      </c>
      <c r="D1565" s="7" t="inlineStr">
        <is>
          <t>147152242-obsidian</t>
        </is>
      </c>
      <c r="E1565" s="7" t="inlineStr">
        <is>
          <t>ABC Classic-Fit Trouser 32L *Warpstreme TRNV 28</t>
        </is>
      </c>
      <c r="F1565" s="7" t="inlineStr">
        <is>
          <t>$138.00</t>
        </is>
      </c>
      <c r="G1565" s="7" t="inlineStr">
        <is>
          <t>$69.00</t>
        </is>
      </c>
      <c r="H1565" s="7" t="inlineStr">
        <is>
          <t>Obsidian</t>
        </is>
      </c>
      <c r="I1565" s="7">
        <f>IMAGE("https://images.lululemon.com/is/image/lululemon/32476",1)</f>
        <v/>
      </c>
      <c r="J1565" s="7" t="inlineStr">
        <is>
          <t>28</t>
        </is>
      </c>
      <c r="K1565" s="7" t="inlineStr">
        <is>
          <t>10/3719</t>
        </is>
      </c>
      <c r="L1565" s="7" t="inlineStr">
        <is>
          <t>Yes</t>
        </is>
      </c>
      <c r="M1565" s="7" t="inlineStr">
        <is>
          <t>These classic-fit trousers deliver all-day comfort with an elevated look.</t>
        </is>
      </c>
      <c r="N1565" s="7" t="inlineStr">
        <is>
          <t>ABC-Classic-Fit-Trouser-32-Warpstreme</t>
        </is>
      </c>
      <c r="O1565" s="7" t="inlineStr">
        <is>
          <t>Dress Pants, Chinos</t>
        </is>
      </c>
    </row>
    <row r="1566" ht="80" customHeight="1">
      <c r="A1566" s="4">
        <f>IMAGE("https://images.lululemon.com/is/image/lululemon/LM5AO5S_032476_1?wid=320&amp;op_usm=0.8",1)</f>
        <v/>
      </c>
      <c r="B1566" s="4" t="inlineStr">
        <is>
          <t>ABC Classic-Fit Trouser 32L *Warpstreme</t>
        </is>
      </c>
      <c r="C1566" s="4" t="inlineStr">
        <is>
          <t>147152244</t>
        </is>
      </c>
      <c r="D1566" s="4" t="inlineStr">
        <is>
          <t>147152244-obsidian</t>
        </is>
      </c>
      <c r="E1566" s="4" t="inlineStr">
        <is>
          <t>ABC Classic-Fit Trouser 32L *Warpstreme TRNV 28</t>
        </is>
      </c>
      <c r="F1566" s="4" t="inlineStr">
        <is>
          <t>$138.00</t>
        </is>
      </c>
      <c r="G1566" s="4" t="inlineStr">
        <is>
          <t>$69.00</t>
        </is>
      </c>
      <c r="H1566" s="4" t="inlineStr">
        <is>
          <t>Obsidian</t>
        </is>
      </c>
      <c r="I1566" s="4">
        <f>IMAGE("https://images.lululemon.com/is/image/lululemon/32476",1)</f>
        <v/>
      </c>
      <c r="J1566" s="4" t="inlineStr">
        <is>
          <t>30</t>
        </is>
      </c>
      <c r="K1566" s="4" t="inlineStr">
        <is>
          <t>44/3719</t>
        </is>
      </c>
      <c r="L1566" s="4" t="inlineStr">
        <is>
          <t>Yes</t>
        </is>
      </c>
      <c r="M1566" s="4" t="inlineStr">
        <is>
          <t>These classic-fit trousers deliver all-day comfort with an elevated look.</t>
        </is>
      </c>
      <c r="N1566" s="4" t="inlineStr">
        <is>
          <t>ABC-Classic-Fit-Trouser-32-Warpstreme</t>
        </is>
      </c>
      <c r="O1566" s="4" t="inlineStr">
        <is>
          <t>Dress Pants, Chinos</t>
        </is>
      </c>
    </row>
    <row r="1567" ht="80" customHeight="1">
      <c r="A1567" s="7">
        <f>IMAGE("https://images.lululemon.com/is/image/lululemon/LM5AO5S_032476_1?wid=320&amp;op_usm=0.8",1)</f>
        <v/>
      </c>
      <c r="B1567" s="7" t="inlineStr">
        <is>
          <t>ABC Classic-Fit Trouser 32L *Warpstreme</t>
        </is>
      </c>
      <c r="C1567" s="7" t="inlineStr">
        <is>
          <t>147152245</t>
        </is>
      </c>
      <c r="D1567" s="7" t="inlineStr">
        <is>
          <t>147152245-obsidian</t>
        </is>
      </c>
      <c r="E1567" s="7" t="inlineStr">
        <is>
          <t>ABC Classic-Fit Trouser 32L *Warpstreme TRNV 28</t>
        </is>
      </c>
      <c r="F1567" s="7" t="inlineStr">
        <is>
          <t>$138.00</t>
        </is>
      </c>
      <c r="G1567" s="7" t="inlineStr">
        <is>
          <t>$69.00</t>
        </is>
      </c>
      <c r="H1567" s="7" t="inlineStr">
        <is>
          <t>Obsidian</t>
        </is>
      </c>
      <c r="I1567" s="7">
        <f>IMAGE("https://images.lululemon.com/is/image/lululemon/32476",1)</f>
        <v/>
      </c>
      <c r="J1567" s="7" t="inlineStr">
        <is>
          <t>31</t>
        </is>
      </c>
      <c r="K1567" s="7" t="inlineStr">
        <is>
          <t>21/3719</t>
        </is>
      </c>
      <c r="L1567" s="7" t="inlineStr">
        <is>
          <t>Yes</t>
        </is>
      </c>
      <c r="M1567" s="7" t="inlineStr">
        <is>
          <t>These classic-fit trousers deliver all-day comfort with an elevated look.</t>
        </is>
      </c>
      <c r="N1567" s="7" t="inlineStr">
        <is>
          <t>ABC-Classic-Fit-Trouser-32-Warpstreme</t>
        </is>
      </c>
      <c r="O1567" s="7" t="inlineStr">
        <is>
          <t>Dress Pants, Chinos</t>
        </is>
      </c>
    </row>
    <row r="1568" ht="80" customHeight="1">
      <c r="A1568" s="4">
        <f>IMAGE("https://images.lululemon.com/is/image/lululemon/LM5AO5S_032476_1?wid=320&amp;op_usm=0.8",1)</f>
        <v/>
      </c>
      <c r="B1568" s="4" t="inlineStr">
        <is>
          <t>ABC Classic-Fit Trouser 32L *Warpstreme</t>
        </is>
      </c>
      <c r="C1568" s="4" t="inlineStr">
        <is>
          <t>147152246</t>
        </is>
      </c>
      <c r="D1568" s="4" t="inlineStr">
        <is>
          <t>147152246-obsidian</t>
        </is>
      </c>
      <c r="E1568" s="4" t="inlineStr">
        <is>
          <t>ABC Classic-Fit Trouser 32L *Warpstreme TRNV 28</t>
        </is>
      </c>
      <c r="F1568" s="4" t="inlineStr">
        <is>
          <t>$138.00</t>
        </is>
      </c>
      <c r="G1568" s="4" t="inlineStr">
        <is>
          <t>$69.00</t>
        </is>
      </c>
      <c r="H1568" s="4" t="inlineStr">
        <is>
          <t>Obsidian</t>
        </is>
      </c>
      <c r="I1568" s="4">
        <f>IMAGE("https://images.lululemon.com/is/image/lululemon/32476",1)</f>
        <v/>
      </c>
      <c r="J1568" s="4" t="inlineStr">
        <is>
          <t>32</t>
        </is>
      </c>
      <c r="K1568" s="4" t="inlineStr">
        <is>
          <t>80/3719</t>
        </is>
      </c>
      <c r="L1568" s="4" t="inlineStr">
        <is>
          <t>Yes</t>
        </is>
      </c>
      <c r="M1568" s="4" t="inlineStr">
        <is>
          <t>These classic-fit trousers deliver all-day comfort with an elevated look.</t>
        </is>
      </c>
      <c r="N1568" s="4" t="inlineStr">
        <is>
          <t>ABC-Classic-Fit-Trouser-32-Warpstreme</t>
        </is>
      </c>
      <c r="O1568" s="4" t="inlineStr">
        <is>
          <t>Dress Pants, Chinos</t>
        </is>
      </c>
    </row>
    <row r="1569" ht="80" customHeight="1">
      <c r="A1569" s="7">
        <f>IMAGE("https://images.lululemon.com/is/image/lululemon/LM5AO5S_032476_1?wid=320&amp;op_usm=0.8",1)</f>
        <v/>
      </c>
      <c r="B1569" s="7" t="inlineStr">
        <is>
          <t>ABC Classic-Fit Trouser 32L *Warpstreme</t>
        </is>
      </c>
      <c r="C1569" s="7" t="inlineStr">
        <is>
          <t>147152247</t>
        </is>
      </c>
      <c r="D1569" s="7" t="inlineStr">
        <is>
          <t>147152247-obsidian</t>
        </is>
      </c>
      <c r="E1569" s="7" t="inlineStr">
        <is>
          <t>ABC Classic-Fit Trouser 32L *Warpstreme TRNV 28</t>
        </is>
      </c>
      <c r="F1569" s="7" t="inlineStr">
        <is>
          <t>$138.00</t>
        </is>
      </c>
      <c r="G1569" s="7" t="inlineStr">
        <is>
          <t>$69.00</t>
        </is>
      </c>
      <c r="H1569" s="7" t="inlineStr">
        <is>
          <t>Obsidian</t>
        </is>
      </c>
      <c r="I1569" s="7">
        <f>IMAGE("https://images.lululemon.com/is/image/lululemon/32476",1)</f>
        <v/>
      </c>
      <c r="J1569" s="7" t="inlineStr">
        <is>
          <t>33</t>
        </is>
      </c>
      <c r="K1569" s="7" t="inlineStr">
        <is>
          <t>28/3719</t>
        </is>
      </c>
      <c r="L1569" s="7" t="inlineStr">
        <is>
          <t>Yes</t>
        </is>
      </c>
      <c r="M1569" s="7" t="inlineStr">
        <is>
          <t>These classic-fit trousers deliver all-day comfort with an elevated look.</t>
        </is>
      </c>
      <c r="N1569" s="7" t="inlineStr">
        <is>
          <t>ABC-Classic-Fit-Trouser-32-Warpstreme</t>
        </is>
      </c>
      <c r="O1569" s="7" t="inlineStr">
        <is>
          <t>Dress Pants, Chinos</t>
        </is>
      </c>
    </row>
    <row r="1570" ht="80" customHeight="1">
      <c r="A1570" s="4">
        <f>IMAGE("https://images.lululemon.com/is/image/lululemon/LM5AO5S_032476_1?wid=320&amp;op_usm=0.8",1)</f>
        <v/>
      </c>
      <c r="B1570" s="4" t="inlineStr">
        <is>
          <t>ABC Classic-Fit Trouser 32L *Warpstreme</t>
        </is>
      </c>
      <c r="C1570" s="4" t="inlineStr">
        <is>
          <t>147152248</t>
        </is>
      </c>
      <c r="D1570" s="4" t="inlineStr">
        <is>
          <t>147152248-obsidian</t>
        </is>
      </c>
      <c r="E1570" s="4" t="inlineStr">
        <is>
          <t>ABC Classic-Fit Trouser 32L *Warpstreme TRNV 28</t>
        </is>
      </c>
      <c r="F1570" s="4" t="inlineStr">
        <is>
          <t>$138.00</t>
        </is>
      </c>
      <c r="G1570" s="4" t="inlineStr">
        <is>
          <t>$69.00</t>
        </is>
      </c>
      <c r="H1570" s="4" t="inlineStr">
        <is>
          <t>Obsidian</t>
        </is>
      </c>
      <c r="I1570" s="4">
        <f>IMAGE("https://images.lululemon.com/is/image/lululemon/32476",1)</f>
        <v/>
      </c>
      <c r="J1570" s="4" t="inlineStr">
        <is>
          <t>34</t>
        </is>
      </c>
      <c r="K1570" s="4" t="inlineStr">
        <is>
          <t>124/3719</t>
        </is>
      </c>
      <c r="L1570" s="4" t="inlineStr">
        <is>
          <t>Yes</t>
        </is>
      </c>
      <c r="M1570" s="4" t="inlineStr">
        <is>
          <t>These classic-fit trousers deliver all-day comfort with an elevated look.</t>
        </is>
      </c>
      <c r="N1570" s="4" t="inlineStr">
        <is>
          <t>ABC-Classic-Fit-Trouser-32-Warpstreme</t>
        </is>
      </c>
      <c r="O1570" s="4" t="inlineStr">
        <is>
          <t>Dress Pants, Chinos</t>
        </is>
      </c>
    </row>
    <row r="1571" ht="80" customHeight="1">
      <c r="A1571" s="7">
        <f>IMAGE("https://images.lululemon.com/is/image/lululemon/LM5AO5S_032476_1?wid=320&amp;op_usm=0.8",1)</f>
        <v/>
      </c>
      <c r="B1571" s="7" t="inlineStr">
        <is>
          <t>ABC Classic-Fit Trouser 32L *Warpstreme</t>
        </is>
      </c>
      <c r="C1571" s="7" t="inlineStr">
        <is>
          <t>147152250</t>
        </is>
      </c>
      <c r="D1571" s="7" t="inlineStr">
        <is>
          <t>147152250-obsidian</t>
        </is>
      </c>
      <c r="E1571" s="7" t="inlineStr">
        <is>
          <t>ABC Classic-Fit Trouser 32L *Warpstreme TRNV 28</t>
        </is>
      </c>
      <c r="F1571" s="7" t="inlineStr">
        <is>
          <t>$138.00</t>
        </is>
      </c>
      <c r="G1571" s="7" t="inlineStr">
        <is>
          <t>$69.00</t>
        </is>
      </c>
      <c r="H1571" s="7" t="inlineStr">
        <is>
          <t>Obsidian</t>
        </is>
      </c>
      <c r="I1571" s="7">
        <f>IMAGE("https://images.lululemon.com/is/image/lululemon/32476",1)</f>
        <v/>
      </c>
      <c r="J1571" s="7" t="inlineStr">
        <is>
          <t>36</t>
        </is>
      </c>
      <c r="K1571" s="7" t="inlineStr">
        <is>
          <t>109/3719</t>
        </is>
      </c>
      <c r="L1571" s="7" t="inlineStr">
        <is>
          <t>Yes</t>
        </is>
      </c>
      <c r="M1571" s="7" t="inlineStr">
        <is>
          <t>These classic-fit trousers deliver all-day comfort with an elevated look.</t>
        </is>
      </c>
      <c r="N1571" s="7" t="inlineStr">
        <is>
          <t>ABC-Classic-Fit-Trouser-32-Warpstreme</t>
        </is>
      </c>
      <c r="O1571" s="7" t="inlineStr">
        <is>
          <t>Dress Pants, Chinos</t>
        </is>
      </c>
    </row>
    <row r="1572" ht="80" customHeight="1">
      <c r="A1572" s="4">
        <f>IMAGE("https://images.lululemon.com/is/image/lululemon/LM5AO5S_032476_1?wid=320&amp;op_usm=0.8",1)</f>
        <v/>
      </c>
      <c r="B1572" s="4" t="inlineStr">
        <is>
          <t>ABC Classic-Fit Trouser 32L *Warpstreme</t>
        </is>
      </c>
      <c r="C1572" s="4" t="inlineStr">
        <is>
          <t>147152252</t>
        </is>
      </c>
      <c r="D1572" s="4" t="inlineStr">
        <is>
          <t>147152252-obsidian</t>
        </is>
      </c>
      <c r="E1572" s="4" t="inlineStr">
        <is>
          <t>ABC Classic-Fit Trouser 32L *Warpstreme TRNV 28</t>
        </is>
      </c>
      <c r="F1572" s="4" t="inlineStr">
        <is>
          <t>$138.00</t>
        </is>
      </c>
      <c r="G1572" s="4" t="inlineStr">
        <is>
          <t>$69.00</t>
        </is>
      </c>
      <c r="H1572" s="4" t="inlineStr">
        <is>
          <t>Obsidian</t>
        </is>
      </c>
      <c r="I1572" s="4">
        <f>IMAGE("https://images.lululemon.com/is/image/lululemon/32476",1)</f>
        <v/>
      </c>
      <c r="J1572" s="4" t="inlineStr">
        <is>
          <t>38</t>
        </is>
      </c>
      <c r="K1572" s="4" t="inlineStr">
        <is>
          <t>68/3719</t>
        </is>
      </c>
      <c r="L1572" s="4" t="inlineStr">
        <is>
          <t>Yes</t>
        </is>
      </c>
      <c r="M1572" s="4" t="inlineStr">
        <is>
          <t>These classic-fit trousers deliver all-day comfort with an elevated look.</t>
        </is>
      </c>
      <c r="N1572" s="4" t="inlineStr">
        <is>
          <t>ABC-Classic-Fit-Trouser-32-Warpstreme</t>
        </is>
      </c>
      <c r="O1572" s="4" t="inlineStr">
        <is>
          <t>Dress Pants, Chinos</t>
        </is>
      </c>
    </row>
    <row r="1573" ht="80" customHeight="1">
      <c r="A1573" s="7">
        <f>IMAGE("https://images.lululemon.com/is/image/lululemon/LM5AO5S_032476_1?wid=320&amp;op_usm=0.8",1)</f>
        <v/>
      </c>
      <c r="B1573" s="7" t="inlineStr">
        <is>
          <t>ABC Classic-Fit Trouser 32L *Warpstreme</t>
        </is>
      </c>
      <c r="C1573" s="7" t="inlineStr">
        <is>
          <t>147152254</t>
        </is>
      </c>
      <c r="D1573" s="7" t="inlineStr">
        <is>
          <t>147152254-obsidian</t>
        </is>
      </c>
      <c r="E1573" s="7" t="inlineStr">
        <is>
          <t>ABC Classic-Fit Trouser 32L *Warpstreme TRNV 28</t>
        </is>
      </c>
      <c r="F1573" s="7" t="inlineStr">
        <is>
          <t>$138.00</t>
        </is>
      </c>
      <c r="G1573" s="7" t="inlineStr">
        <is>
          <t>$69.00</t>
        </is>
      </c>
      <c r="H1573" s="7" t="inlineStr">
        <is>
          <t>Obsidian</t>
        </is>
      </c>
      <c r="I1573" s="7">
        <f>IMAGE("https://images.lululemon.com/is/image/lululemon/32476",1)</f>
        <v/>
      </c>
      <c r="J1573" s="7" t="inlineStr">
        <is>
          <t>40</t>
        </is>
      </c>
      <c r="K1573" s="7" t="inlineStr">
        <is>
          <t>106/3719</t>
        </is>
      </c>
      <c r="L1573" s="7" t="inlineStr">
        <is>
          <t>Yes</t>
        </is>
      </c>
      <c r="M1573" s="7" t="inlineStr">
        <is>
          <t>These classic-fit trousers deliver all-day comfort with an elevated look.</t>
        </is>
      </c>
      <c r="N1573" s="7" t="inlineStr">
        <is>
          <t>ABC-Classic-Fit-Trouser-32-Warpstreme</t>
        </is>
      </c>
      <c r="O1573" s="7" t="inlineStr">
        <is>
          <t>Dress Pants, Chinos</t>
        </is>
      </c>
    </row>
    <row r="1574" ht="80" customHeight="1">
      <c r="A1574" s="4">
        <f>IMAGE("https://images.lululemon.com/is/image/lululemon/LM5AO5S_032476_1?wid=320&amp;op_usm=0.8",1)</f>
        <v/>
      </c>
      <c r="B1574" s="4" t="inlineStr">
        <is>
          <t>ABC Classic-Fit Trouser 32L *Warpstreme</t>
        </is>
      </c>
      <c r="C1574" s="4" t="inlineStr">
        <is>
          <t>147153788</t>
        </is>
      </c>
      <c r="D1574" s="4" t="inlineStr">
        <is>
          <t>147153788-silverdrop</t>
        </is>
      </c>
      <c r="E1574" s="4" t="inlineStr">
        <is>
          <t>ABC Classic-Fit Trouser 32L *Warpstreme TRNV 28</t>
        </is>
      </c>
      <c r="F1574" s="4" t="inlineStr">
        <is>
          <t>$138.00</t>
        </is>
      </c>
      <c r="G1574" s="4" t="inlineStr">
        <is>
          <t>$69.00</t>
        </is>
      </c>
      <c r="H1574" s="4" t="inlineStr">
        <is>
          <t>Silver Drop</t>
        </is>
      </c>
      <c r="I1574" s="4">
        <f>IMAGE("https://images.lululemon.com/is/image/lululemon/33928",1)</f>
        <v/>
      </c>
      <c r="J1574" s="4" t="inlineStr">
        <is>
          <t>28</t>
        </is>
      </c>
      <c r="K1574" s="4" t="inlineStr">
        <is>
          <t>2/3719</t>
        </is>
      </c>
      <c r="L1574" s="4" t="inlineStr">
        <is>
          <t>Yes</t>
        </is>
      </c>
      <c r="M1574" s="4" t="inlineStr">
        <is>
          <t>These classic-fit trousers deliver all-day comfort with an elevated look.</t>
        </is>
      </c>
      <c r="N1574" s="4" t="inlineStr">
        <is>
          <t>ABC-Classic-Fit-Trouser-32-Warpstreme</t>
        </is>
      </c>
      <c r="O1574" s="4" t="inlineStr">
        <is>
          <t>Dress Pants, Chinos</t>
        </is>
      </c>
    </row>
    <row r="1575" ht="80" customHeight="1">
      <c r="A1575" s="7">
        <f>IMAGE("https://images.lululemon.com/is/image/lululemon/LM5AO5S_032476_1?wid=320&amp;op_usm=0.8",1)</f>
        <v/>
      </c>
      <c r="B1575" s="7" t="inlineStr">
        <is>
          <t>ABC Classic-Fit Trouser 32L *Warpstreme</t>
        </is>
      </c>
      <c r="C1575" s="7" t="inlineStr">
        <is>
          <t>147153802</t>
        </is>
      </c>
      <c r="D1575" s="7" t="inlineStr">
        <is>
          <t>147153802-silverdrop</t>
        </is>
      </c>
      <c r="E1575" s="7" t="inlineStr">
        <is>
          <t>ABC Classic-Fit Trouser 32L *Warpstreme TRNV 28</t>
        </is>
      </c>
      <c r="F1575" s="7" t="inlineStr">
        <is>
          <t>$138.00</t>
        </is>
      </c>
      <c r="G1575" s="7" t="inlineStr">
        <is>
          <t>$69.00</t>
        </is>
      </c>
      <c r="H1575" s="7" t="inlineStr">
        <is>
          <t>Silver Drop</t>
        </is>
      </c>
      <c r="I1575" s="7">
        <f>IMAGE("https://images.lululemon.com/is/image/lululemon/33928",1)</f>
        <v/>
      </c>
      <c r="J1575" s="7" t="inlineStr">
        <is>
          <t>32</t>
        </is>
      </c>
      <c r="K1575" s="7" t="inlineStr">
        <is>
          <t>21/3719</t>
        </is>
      </c>
      <c r="L1575" s="7" t="inlineStr">
        <is>
          <t>Yes</t>
        </is>
      </c>
      <c r="M1575" s="7" t="inlineStr">
        <is>
          <t>These classic-fit trousers deliver all-day comfort with an elevated look.</t>
        </is>
      </c>
      <c r="N1575" s="7" t="inlineStr">
        <is>
          <t>ABC-Classic-Fit-Trouser-32-Warpstreme</t>
        </is>
      </c>
      <c r="O1575" s="7" t="inlineStr">
        <is>
          <t>Dress Pants, Chinos</t>
        </is>
      </c>
    </row>
    <row r="1576" ht="80" customHeight="1">
      <c r="A1576" s="4">
        <f>IMAGE("https://images.lululemon.com/is/image/lululemon/LM5AO5S_032476_1?wid=320&amp;op_usm=0.8",1)</f>
        <v/>
      </c>
      <c r="B1576" s="4" t="inlineStr">
        <is>
          <t>ABC Classic-Fit Trouser 32L *Warpstreme</t>
        </is>
      </c>
      <c r="C1576" s="4" t="inlineStr">
        <is>
          <t>147153805</t>
        </is>
      </c>
      <c r="D1576" s="4" t="inlineStr">
        <is>
          <t>147153805-silverdrop</t>
        </is>
      </c>
      <c r="E1576" s="4" t="inlineStr">
        <is>
          <t>ABC Classic-Fit Trouser 32L *Warpstreme TRNV 28</t>
        </is>
      </c>
      <c r="F1576" s="4" t="inlineStr">
        <is>
          <t>$138.00</t>
        </is>
      </c>
      <c r="G1576" s="4" t="inlineStr">
        <is>
          <t>$69.00</t>
        </is>
      </c>
      <c r="H1576" s="4" t="inlineStr">
        <is>
          <t>Silver Drop</t>
        </is>
      </c>
      <c r="I1576" s="4">
        <f>IMAGE("https://images.lululemon.com/is/image/lululemon/33928",1)</f>
        <v/>
      </c>
      <c r="J1576" s="4" t="inlineStr">
        <is>
          <t>33</t>
        </is>
      </c>
      <c r="K1576" s="4" t="inlineStr">
        <is>
          <t>9/3719</t>
        </is>
      </c>
      <c r="L1576" s="4" t="inlineStr">
        <is>
          <t>Yes</t>
        </is>
      </c>
      <c r="M1576" s="4" t="inlineStr">
        <is>
          <t>These classic-fit trousers deliver all-day comfort with an elevated look.</t>
        </is>
      </c>
      <c r="N1576" s="4" t="inlineStr">
        <is>
          <t>ABC-Classic-Fit-Trouser-32-Warpstreme</t>
        </is>
      </c>
      <c r="O1576" s="4" t="inlineStr">
        <is>
          <t>Dress Pants, Chinos</t>
        </is>
      </c>
    </row>
    <row r="1577" ht="80" customHeight="1">
      <c r="A1577" s="7">
        <f>IMAGE("https://images.lululemon.com/is/image/lululemon/LM5AO5S_032476_1?wid=320&amp;op_usm=0.8",1)</f>
        <v/>
      </c>
      <c r="B1577" s="7" t="inlineStr">
        <is>
          <t>ABC Classic-Fit Trouser 32L *Warpstreme</t>
        </is>
      </c>
      <c r="C1577" s="7" t="inlineStr">
        <is>
          <t>147153814</t>
        </is>
      </c>
      <c r="D1577" s="7" t="inlineStr">
        <is>
          <t>147153814-silverdrop</t>
        </is>
      </c>
      <c r="E1577" s="7" t="inlineStr">
        <is>
          <t>ABC Classic-Fit Trouser 32L *Warpstreme TRNV 28</t>
        </is>
      </c>
      <c r="F1577" s="7" t="inlineStr">
        <is>
          <t>$138.00</t>
        </is>
      </c>
      <c r="G1577" s="7" t="inlineStr">
        <is>
          <t>$69.00</t>
        </is>
      </c>
      <c r="H1577" s="7" t="inlineStr">
        <is>
          <t>Silver Drop</t>
        </is>
      </c>
      <c r="I1577" s="7">
        <f>IMAGE("https://images.lululemon.com/is/image/lululemon/33928",1)</f>
        <v/>
      </c>
      <c r="J1577" s="7" t="inlineStr">
        <is>
          <t>36</t>
        </is>
      </c>
      <c r="K1577" s="7" t="inlineStr">
        <is>
          <t>8/3719</t>
        </is>
      </c>
      <c r="L1577" s="7" t="inlineStr">
        <is>
          <t>Yes</t>
        </is>
      </c>
      <c r="M1577" s="7" t="inlineStr">
        <is>
          <t>These classic-fit trousers deliver all-day comfort with an elevated look.</t>
        </is>
      </c>
      <c r="N1577" s="7" t="inlineStr">
        <is>
          <t>ABC-Classic-Fit-Trouser-32-Warpstreme</t>
        </is>
      </c>
      <c r="O1577" s="7" t="inlineStr">
        <is>
          <t>Dress Pants, Chinos</t>
        </is>
      </c>
    </row>
    <row r="1578" ht="80" customHeight="1">
      <c r="A1578" s="4">
        <f>IMAGE("https://images.lululemon.com/is/image/lululemon/LM5AO5S_032476_1?wid=320&amp;op_usm=0.8",1)</f>
        <v/>
      </c>
      <c r="B1578" s="4" t="inlineStr">
        <is>
          <t>ABC Classic-Fit Trouser 32L *Warpstreme</t>
        </is>
      </c>
      <c r="C1578" s="4" t="inlineStr">
        <is>
          <t>147153820</t>
        </is>
      </c>
      <c r="D1578" s="4" t="inlineStr">
        <is>
          <t>147153820-silverdrop</t>
        </is>
      </c>
      <c r="E1578" s="4" t="inlineStr">
        <is>
          <t>ABC Classic-Fit Trouser 32L *Warpstreme TRNV 28</t>
        </is>
      </c>
      <c r="F1578" s="4" t="inlineStr">
        <is>
          <t>$138.00</t>
        </is>
      </c>
      <c r="G1578" s="4" t="inlineStr">
        <is>
          <t>$69.00</t>
        </is>
      </c>
      <c r="H1578" s="4" t="inlineStr">
        <is>
          <t>Silver Drop</t>
        </is>
      </c>
      <c r="I1578" s="4">
        <f>IMAGE("https://images.lululemon.com/is/image/lululemon/33928",1)</f>
        <v/>
      </c>
      <c r="J1578" s="4" t="inlineStr">
        <is>
          <t>38</t>
        </is>
      </c>
      <c r="K1578" s="4" t="inlineStr">
        <is>
          <t>34/3719</t>
        </is>
      </c>
      <c r="L1578" s="4" t="inlineStr">
        <is>
          <t>Yes</t>
        </is>
      </c>
      <c r="M1578" s="4" t="inlineStr">
        <is>
          <t>These classic-fit trousers deliver all-day comfort with an elevated look.</t>
        </is>
      </c>
      <c r="N1578" s="4" t="inlineStr">
        <is>
          <t>ABC-Classic-Fit-Trouser-32-Warpstreme</t>
        </is>
      </c>
      <c r="O1578" s="4" t="inlineStr">
        <is>
          <t>Dress Pants, Chinos</t>
        </is>
      </c>
    </row>
    <row r="1579" ht="80" customHeight="1">
      <c r="A1579" s="7">
        <f>IMAGE("https://images.lululemon.com/is/image/lululemon/LM5AO5S_032476_1?wid=320&amp;op_usm=0.8",1)</f>
        <v/>
      </c>
      <c r="B1579" s="7" t="inlineStr">
        <is>
          <t>ABC Classic-Fit Trouser 32L *Warpstreme</t>
        </is>
      </c>
      <c r="C1579" s="7" t="inlineStr">
        <is>
          <t>153842527</t>
        </is>
      </c>
      <c r="D1579" s="7" t="inlineStr">
        <is>
          <t>153842527-oilgrey</t>
        </is>
      </c>
      <c r="E1579" s="7" t="inlineStr">
        <is>
          <t>ABC Classic-Fit Trouser 32L *Warpstreme TRNV 28</t>
        </is>
      </c>
      <c r="F1579" s="7" t="inlineStr">
        <is>
          <t>$138.00</t>
        </is>
      </c>
      <c r="G1579" s="7" t="inlineStr">
        <is>
          <t>$69.00</t>
        </is>
      </c>
      <c r="H1579" s="7" t="inlineStr">
        <is>
          <t>Oil Grey</t>
        </is>
      </c>
      <c r="I1579" s="7">
        <f>IMAGE("https://images.lululemon.com/is/image/lululemon/33123",1)</f>
        <v/>
      </c>
      <c r="J1579" s="7" t="inlineStr">
        <is>
          <t>28</t>
        </is>
      </c>
      <c r="K1579" s="7" t="inlineStr">
        <is>
          <t>4/3719</t>
        </is>
      </c>
      <c r="L1579" s="7" t="inlineStr">
        <is>
          <t>Yes</t>
        </is>
      </c>
      <c r="M1579" s="7" t="inlineStr">
        <is>
          <t>These classic-fit trousers deliver all-day comfort with an elevated look.</t>
        </is>
      </c>
      <c r="N1579" s="7" t="inlineStr">
        <is>
          <t>ABC-Classic-Fit-Trouser-32-Warpstreme</t>
        </is>
      </c>
      <c r="O1579" s="7" t="inlineStr">
        <is>
          <t>Dress Pants, Chinos</t>
        </is>
      </c>
    </row>
    <row r="1580" ht="80" customHeight="1">
      <c r="A1580" s="4">
        <f>IMAGE("https://images.lululemon.com/is/image/lululemon/LM5AO5S_032476_1?wid=320&amp;op_usm=0.8",1)</f>
        <v/>
      </c>
      <c r="B1580" s="4" t="inlineStr">
        <is>
          <t>ABC Classic-Fit Trouser 32L *Warpstreme</t>
        </is>
      </c>
      <c r="C1580" s="4" t="inlineStr">
        <is>
          <t>153842556</t>
        </is>
      </c>
      <c r="D1580" s="4" t="inlineStr">
        <is>
          <t>153842556-oilgrey</t>
        </is>
      </c>
      <c r="E1580" s="4" t="inlineStr">
        <is>
          <t>ABC Classic-Fit Trouser 32L *Warpstreme TRNV 28</t>
        </is>
      </c>
      <c r="F1580" s="4" t="inlineStr">
        <is>
          <t>$138.00</t>
        </is>
      </c>
      <c r="G1580" s="4" t="inlineStr">
        <is>
          <t>$69.00</t>
        </is>
      </c>
      <c r="H1580" s="4" t="inlineStr">
        <is>
          <t>Oil Grey</t>
        </is>
      </c>
      <c r="I1580" s="4">
        <f>IMAGE("https://images.lululemon.com/is/image/lululemon/33123",1)</f>
        <v/>
      </c>
      <c r="J1580" s="4" t="inlineStr">
        <is>
          <t>32</t>
        </is>
      </c>
      <c r="K1580" s="4" t="inlineStr">
        <is>
          <t>7/3719</t>
        </is>
      </c>
      <c r="L1580" s="4" t="inlineStr">
        <is>
          <t>Yes</t>
        </is>
      </c>
      <c r="M1580" s="4" t="inlineStr">
        <is>
          <t>These classic-fit trousers deliver all-day comfort with an elevated look.</t>
        </is>
      </c>
      <c r="N1580" s="4" t="inlineStr">
        <is>
          <t>ABC-Classic-Fit-Trouser-32-Warpstreme</t>
        </is>
      </c>
      <c r="O1580" s="4" t="inlineStr">
        <is>
          <t>Dress Pants, Chinos</t>
        </is>
      </c>
    </row>
    <row r="1581" ht="80" customHeight="1">
      <c r="A1581" s="7">
        <f>IMAGE("https://images.lululemon.com/is/image/lululemon/LM5AO5S_032476_1?wid=320&amp;op_usm=0.8",1)</f>
        <v/>
      </c>
      <c r="B1581" s="7" t="inlineStr">
        <is>
          <t>ABC Classic-Fit Trouser 32L *Warpstreme</t>
        </is>
      </c>
      <c r="C1581" s="7" t="inlineStr">
        <is>
          <t>153842574</t>
        </is>
      </c>
      <c r="D1581" s="7" t="inlineStr">
        <is>
          <t>153842574-oilgrey</t>
        </is>
      </c>
      <c r="E1581" s="7" t="inlineStr">
        <is>
          <t>ABC Classic-Fit Trouser 32L *Warpstreme TRNV 28</t>
        </is>
      </c>
      <c r="F1581" s="7" t="inlineStr">
        <is>
          <t>$138.00</t>
        </is>
      </c>
      <c r="G1581" s="7" t="inlineStr">
        <is>
          <t>$69.00</t>
        </is>
      </c>
      <c r="H1581" s="7" t="inlineStr">
        <is>
          <t>Oil Grey</t>
        </is>
      </c>
      <c r="I1581" s="7">
        <f>IMAGE("https://images.lululemon.com/is/image/lululemon/33123",1)</f>
        <v/>
      </c>
      <c r="J1581" s="7" t="inlineStr">
        <is>
          <t>34</t>
        </is>
      </c>
      <c r="K1581" s="7" t="inlineStr">
        <is>
          <t>22/3719</t>
        </is>
      </c>
      <c r="L1581" s="7" t="inlineStr">
        <is>
          <t>Yes</t>
        </is>
      </c>
      <c r="M1581" s="7" t="inlineStr">
        <is>
          <t>These classic-fit trousers deliver all-day comfort with an elevated look.</t>
        </is>
      </c>
      <c r="N1581" s="7" t="inlineStr">
        <is>
          <t>ABC-Classic-Fit-Trouser-32-Warpstreme</t>
        </is>
      </c>
      <c r="O1581" s="7" t="inlineStr">
        <is>
          <t>Dress Pants, Chinos</t>
        </is>
      </c>
    </row>
    <row r="1582" ht="80" customHeight="1">
      <c r="A1582" s="4">
        <f>IMAGE("https://images.lululemon.com/is/image/lululemon/LM5AO5S_032476_1?wid=320&amp;op_usm=0.8",1)</f>
        <v/>
      </c>
      <c r="B1582" s="4" t="inlineStr">
        <is>
          <t>ABC Classic-Fit Trouser 32L *Warpstreme</t>
        </is>
      </c>
      <c r="C1582" s="4" t="inlineStr">
        <is>
          <t>153842590</t>
        </is>
      </c>
      <c r="D1582" s="4" t="inlineStr">
        <is>
          <t>153842590-oilgrey</t>
        </is>
      </c>
      <c r="E1582" s="4" t="inlineStr">
        <is>
          <t>ABC Classic-Fit Trouser 32L *Warpstreme TRNV 28</t>
        </is>
      </c>
      <c r="F1582" s="4" t="inlineStr">
        <is>
          <t>$138.00</t>
        </is>
      </c>
      <c r="G1582" s="4" t="inlineStr">
        <is>
          <t>$69.00</t>
        </is>
      </c>
      <c r="H1582" s="4" t="inlineStr">
        <is>
          <t>Oil Grey</t>
        </is>
      </c>
      <c r="I1582" s="4">
        <f>IMAGE("https://images.lululemon.com/is/image/lululemon/33123",1)</f>
        <v/>
      </c>
      <c r="J1582" s="4" t="inlineStr">
        <is>
          <t>36</t>
        </is>
      </c>
      <c r="K1582" s="4" t="inlineStr">
        <is>
          <t>16/3719</t>
        </is>
      </c>
      <c r="L1582" s="4" t="inlineStr">
        <is>
          <t>Yes</t>
        </is>
      </c>
      <c r="M1582" s="4" t="inlineStr">
        <is>
          <t>These classic-fit trousers deliver all-day comfort with an elevated look.</t>
        </is>
      </c>
      <c r="N1582" s="4" t="inlineStr">
        <is>
          <t>ABC-Classic-Fit-Trouser-32-Warpstreme</t>
        </is>
      </c>
      <c r="O1582" s="4" t="inlineStr">
        <is>
          <t>Dress Pants, Chinos</t>
        </is>
      </c>
    </row>
    <row r="1583" ht="80" customHeight="1">
      <c r="A1583" s="7">
        <f>IMAGE("https://images.lululemon.com/is/image/lululemon/LM5AO5S_032476_1?wid=320&amp;op_usm=0.8",1)</f>
        <v/>
      </c>
      <c r="B1583" s="7" t="inlineStr">
        <is>
          <t>ABC Classic-Fit Trouser 32L *Warpstreme</t>
        </is>
      </c>
      <c r="C1583" s="7" t="inlineStr">
        <is>
          <t>153842606</t>
        </is>
      </c>
      <c r="D1583" s="7" t="inlineStr">
        <is>
          <t>153842606-oilgrey</t>
        </is>
      </c>
      <c r="E1583" s="7" t="inlineStr">
        <is>
          <t>ABC Classic-Fit Trouser 32L *Warpstreme TRNV 28</t>
        </is>
      </c>
      <c r="F1583" s="7" t="inlineStr">
        <is>
          <t>$138.00</t>
        </is>
      </c>
      <c r="G1583" s="7" t="inlineStr">
        <is>
          <t>$69.00</t>
        </is>
      </c>
      <c r="H1583" s="7" t="inlineStr">
        <is>
          <t>Oil Grey</t>
        </is>
      </c>
      <c r="I1583" s="7">
        <f>IMAGE("https://images.lululemon.com/is/image/lululemon/33123",1)</f>
        <v/>
      </c>
      <c r="J1583" s="7" t="inlineStr">
        <is>
          <t>38</t>
        </is>
      </c>
      <c r="K1583" s="7" t="inlineStr">
        <is>
          <t>1/3719</t>
        </is>
      </c>
      <c r="L1583" s="7" t="inlineStr">
        <is>
          <t>Yes</t>
        </is>
      </c>
      <c r="M1583" s="7" t="inlineStr">
        <is>
          <t>These classic-fit trousers deliver all-day comfort with an elevated look.</t>
        </is>
      </c>
      <c r="N1583" s="7" t="inlineStr">
        <is>
          <t>ABC-Classic-Fit-Trouser-32-Warpstreme</t>
        </is>
      </c>
      <c r="O1583" s="7" t="inlineStr">
        <is>
          <t>Dress Pants, Chinos</t>
        </is>
      </c>
    </row>
    <row r="1584" ht="80" customHeight="1">
      <c r="A1584" s="4">
        <f>IMAGE("https://images.lululemon.com/is/image/lululemon/LM5AO5S_032476_1?wid=320&amp;op_usm=0.8",1)</f>
        <v/>
      </c>
      <c r="B1584" s="4" t="inlineStr">
        <is>
          <t>ABC Classic-Fit Trouser 32L *Warpstreme</t>
        </is>
      </c>
      <c r="C1584" s="4" t="inlineStr">
        <is>
          <t>153842619</t>
        </is>
      </c>
      <c r="D1584" s="4" t="inlineStr">
        <is>
          <t>153842619-oilgrey</t>
        </is>
      </c>
      <c r="E1584" s="4" t="inlineStr">
        <is>
          <t>ABC Classic-Fit Trouser 32L *Warpstreme TRNV 28</t>
        </is>
      </c>
      <c r="F1584" s="4" t="inlineStr">
        <is>
          <t>$138.00</t>
        </is>
      </c>
      <c r="G1584" s="4" t="inlineStr">
        <is>
          <t>$69.00</t>
        </is>
      </c>
      <c r="H1584" s="4" t="inlineStr">
        <is>
          <t>Oil Grey</t>
        </is>
      </c>
      <c r="I1584" s="4">
        <f>IMAGE("https://images.lululemon.com/is/image/lululemon/33123",1)</f>
        <v/>
      </c>
      <c r="J1584" s="4" t="inlineStr">
        <is>
          <t>40</t>
        </is>
      </c>
      <c r="K1584" s="4" t="inlineStr">
        <is>
          <t>8/3719</t>
        </is>
      </c>
      <c r="L1584" s="4" t="inlineStr">
        <is>
          <t>Yes</t>
        </is>
      </c>
      <c r="M1584" s="4" t="inlineStr">
        <is>
          <t>These classic-fit trousers deliver all-day comfort with an elevated look.</t>
        </is>
      </c>
      <c r="N1584" s="4" t="inlineStr">
        <is>
          <t>ABC-Classic-Fit-Trouser-32-Warpstreme</t>
        </is>
      </c>
      <c r="O1584" s="4" t="inlineStr">
        <is>
          <t>Dress Pants, Chinos</t>
        </is>
      </c>
    </row>
    <row r="1585" ht="80" customHeight="1">
      <c r="A1585" s="7">
        <f>IMAGE("https://images.lululemon.com/is/image/lululemon/LM5AO5S_032476_1?wid=320&amp;op_usm=0.8",1)</f>
        <v/>
      </c>
      <c r="B1585" s="7" t="inlineStr">
        <is>
          <t>ABC Classic-Fit Trouser 32L *Warpstreme</t>
        </is>
      </c>
      <c r="C1585" s="7" t="inlineStr">
        <is>
          <t>157682728</t>
        </is>
      </c>
      <c r="D1585" s="7" t="inlineStr">
        <is>
          <t>157682728-wackykhaki</t>
        </is>
      </c>
      <c r="E1585" s="7" t="inlineStr">
        <is>
          <t>ABC Classic-Fit Trouser 32L *Warpstreme TRNV 28</t>
        </is>
      </c>
      <c r="F1585" s="7" t="inlineStr">
        <is>
          <t>$138.00</t>
        </is>
      </c>
      <c r="G1585" s="7" t="inlineStr">
        <is>
          <t>$69.00</t>
        </is>
      </c>
      <c r="H1585" s="7" t="inlineStr">
        <is>
          <t>Wacky Khaki</t>
        </is>
      </c>
      <c r="I1585" s="7">
        <f>IMAGE("https://images.lululemon.com/is/image/lululemon/19222",1)</f>
        <v/>
      </c>
      <c r="J1585" s="7" t="inlineStr">
        <is>
          <t>28</t>
        </is>
      </c>
      <c r="K1585" s="7" t="inlineStr">
        <is>
          <t>3/3719</t>
        </is>
      </c>
      <c r="L1585" s="7" t="inlineStr">
        <is>
          <t>Yes</t>
        </is>
      </c>
      <c r="M1585" s="7" t="inlineStr">
        <is>
          <t>These classic-fit trousers deliver all-day comfort with an elevated look.</t>
        </is>
      </c>
      <c r="N1585" s="7" t="inlineStr">
        <is>
          <t>ABC-Classic-Fit-Trouser-32-Warpstreme</t>
        </is>
      </c>
      <c r="O1585" s="7" t="inlineStr">
        <is>
          <t>Dress Pants, Chinos</t>
        </is>
      </c>
    </row>
    <row r="1586" ht="80" customHeight="1">
      <c r="A1586" s="4">
        <f>IMAGE("https://images.lululemon.com/is/image/lululemon/LM5AO5S_032476_1?wid=320&amp;op_usm=0.8",1)</f>
        <v/>
      </c>
      <c r="B1586" s="4" t="inlineStr">
        <is>
          <t>ABC Classic-Fit Trouser 32L *Warpstreme</t>
        </is>
      </c>
      <c r="C1586" s="4" t="inlineStr">
        <is>
          <t>157682768</t>
        </is>
      </c>
      <c r="D1586" s="4" t="inlineStr">
        <is>
          <t>157682768-wackykhaki</t>
        </is>
      </c>
      <c r="E1586" s="4" t="inlineStr">
        <is>
          <t>ABC Classic-Fit Trouser 32L *Warpstreme TRNV 28</t>
        </is>
      </c>
      <c r="F1586" s="4" t="inlineStr">
        <is>
          <t>$138.00</t>
        </is>
      </c>
      <c r="G1586" s="4" t="inlineStr">
        <is>
          <t>$69.00</t>
        </is>
      </c>
      <c r="H1586" s="4" t="inlineStr">
        <is>
          <t>Wacky Khaki</t>
        </is>
      </c>
      <c r="I1586" s="4">
        <f>IMAGE("https://images.lululemon.com/is/image/lululemon/19222",1)</f>
        <v/>
      </c>
      <c r="J1586" s="4" t="inlineStr">
        <is>
          <t>33</t>
        </is>
      </c>
      <c r="K1586" s="4" t="inlineStr">
        <is>
          <t>1/3719</t>
        </is>
      </c>
      <c r="L1586" s="4" t="inlineStr">
        <is>
          <t>Yes</t>
        </is>
      </c>
      <c r="M1586" s="4" t="inlineStr">
        <is>
          <t>These classic-fit trousers deliver all-day comfort with an elevated look.</t>
        </is>
      </c>
      <c r="N1586" s="4" t="inlineStr">
        <is>
          <t>ABC-Classic-Fit-Trouser-32-Warpstreme</t>
        </is>
      </c>
      <c r="O1586" s="4" t="inlineStr">
        <is>
          <t>Dress Pants, Chinos</t>
        </is>
      </c>
    </row>
    <row r="1587" ht="80" customHeight="1">
      <c r="A1587" s="7">
        <f>IMAGE("https://images.lululemon.com/is/image/lululemon/LM5AO5S_032476_1?wid=320&amp;op_usm=0.8",1)</f>
        <v/>
      </c>
      <c r="B1587" s="7" t="inlineStr">
        <is>
          <t>ABC Classic-Fit Trouser 32L *Warpstreme</t>
        </is>
      </c>
      <c r="C1587" s="7" t="inlineStr">
        <is>
          <t>157682788</t>
        </is>
      </c>
      <c r="D1587" s="7" t="inlineStr">
        <is>
          <t>157682788-wackykhaki</t>
        </is>
      </c>
      <c r="E1587" s="7" t="inlineStr">
        <is>
          <t>ABC Classic-Fit Trouser 32L *Warpstreme TRNV 28</t>
        </is>
      </c>
      <c r="F1587" s="7" t="inlineStr">
        <is>
          <t>$138.00</t>
        </is>
      </c>
      <c r="G1587" s="7" t="inlineStr">
        <is>
          <t>$69.00</t>
        </is>
      </c>
      <c r="H1587" s="7" t="inlineStr">
        <is>
          <t>Wacky Khaki</t>
        </is>
      </c>
      <c r="I1587" s="7">
        <f>IMAGE("https://images.lululemon.com/is/image/lululemon/19222",1)</f>
        <v/>
      </c>
      <c r="J1587" s="7" t="inlineStr">
        <is>
          <t>36</t>
        </is>
      </c>
      <c r="K1587" s="7" t="inlineStr">
        <is>
          <t>1/3719</t>
        </is>
      </c>
      <c r="L1587" s="7" t="inlineStr">
        <is>
          <t>Yes</t>
        </is>
      </c>
      <c r="M1587" s="7" t="inlineStr">
        <is>
          <t>These classic-fit trousers deliver all-day comfort with an elevated look.</t>
        </is>
      </c>
      <c r="N1587" s="7" t="inlineStr">
        <is>
          <t>ABC-Classic-Fit-Trouser-32-Warpstreme</t>
        </is>
      </c>
      <c r="O1587" s="7" t="inlineStr">
        <is>
          <t>Dress Pants, Chinos</t>
        </is>
      </c>
    </row>
    <row r="1588" ht="80" customHeight="1">
      <c r="A1588" s="4">
        <f>IMAGE("https://images.lululemon.com/is/image/lululemon/LM5AO5S_032476_1?wid=320&amp;op_usm=0.8",1)</f>
        <v/>
      </c>
      <c r="B1588" s="4" t="inlineStr">
        <is>
          <t>ABC Classic-Fit Trouser 32L *Warpstreme</t>
        </is>
      </c>
      <c r="C1588" s="4" t="inlineStr">
        <is>
          <t>157682795</t>
        </is>
      </c>
      <c r="D1588" s="4" t="inlineStr">
        <is>
          <t>157682795-wackykhaki</t>
        </is>
      </c>
      <c r="E1588" s="4" t="inlineStr">
        <is>
          <t>ABC Classic-Fit Trouser 32L *Warpstreme TRNV 28</t>
        </is>
      </c>
      <c r="F1588" s="4" t="inlineStr">
        <is>
          <t>$138.00</t>
        </is>
      </c>
      <c r="G1588" s="4" t="inlineStr">
        <is>
          <t>$69.00</t>
        </is>
      </c>
      <c r="H1588" s="4" t="inlineStr">
        <is>
          <t>Wacky Khaki</t>
        </is>
      </c>
      <c r="I1588" s="4">
        <f>IMAGE("https://images.lululemon.com/is/image/lululemon/19222",1)</f>
        <v/>
      </c>
      <c r="J1588" s="4" t="inlineStr">
        <is>
          <t>38</t>
        </is>
      </c>
      <c r="K1588" s="4" t="inlineStr">
        <is>
          <t>24/3719</t>
        </is>
      </c>
      <c r="L1588" s="4" t="inlineStr">
        <is>
          <t>Yes</t>
        </is>
      </c>
      <c r="M1588" s="4" t="inlineStr">
        <is>
          <t>These classic-fit trousers deliver all-day comfort with an elevated look.</t>
        </is>
      </c>
      <c r="N1588" s="4" t="inlineStr">
        <is>
          <t>ABC-Classic-Fit-Trouser-32-Warpstreme</t>
        </is>
      </c>
      <c r="O1588" s="4" t="inlineStr">
        <is>
          <t>Dress Pants, Chinos</t>
        </is>
      </c>
    </row>
    <row r="1589" ht="80" customHeight="1">
      <c r="A1589" s="7">
        <f>IMAGE("https://images.lululemon.com/is/image/lululemon/LM5AO5S_032476_1?wid=320&amp;op_usm=0.8",1)</f>
        <v/>
      </c>
      <c r="B1589" s="7" t="inlineStr">
        <is>
          <t>ABC Classic-Fit Trouser 32L *Warpstreme</t>
        </is>
      </c>
      <c r="C1589" s="7" t="inlineStr">
        <is>
          <t>147153856</t>
        </is>
      </c>
      <c r="D1589" s="7" t="inlineStr">
        <is>
          <t>147153856-armygreen</t>
        </is>
      </c>
      <c r="E1589" s="7" t="inlineStr">
        <is>
          <t>ABC Classic-Fit Trouser 32L *Warpstreme TRNV 28</t>
        </is>
      </c>
      <c r="F1589" s="7" t="inlineStr">
        <is>
          <t>$138.00</t>
        </is>
      </c>
      <c r="G1589" s="7" t="inlineStr">
        <is>
          <t>$69.00</t>
        </is>
      </c>
      <c r="H1589" s="7" t="inlineStr">
        <is>
          <t>Army Green</t>
        </is>
      </c>
      <c r="I1589" s="7">
        <f>IMAGE("https://images.lululemon.com/is/image/lululemon/45739",1)</f>
        <v/>
      </c>
      <c r="J1589" s="7" t="inlineStr">
        <is>
          <t>28</t>
        </is>
      </c>
      <c r="K1589" s="7" t="inlineStr">
        <is>
          <t>6/3719</t>
        </is>
      </c>
      <c r="L1589" s="7" t="inlineStr">
        <is>
          <t>Yes</t>
        </is>
      </c>
      <c r="M1589" s="7" t="inlineStr">
        <is>
          <t>These classic-fit trousers deliver all-day comfort with an elevated look.</t>
        </is>
      </c>
      <c r="N1589" s="7" t="inlineStr">
        <is>
          <t>ABC-Classic-Fit-Trouser-32-Warpstreme</t>
        </is>
      </c>
      <c r="O1589" s="7" t="inlineStr">
        <is>
          <t>Dress Pants, Chinos</t>
        </is>
      </c>
    </row>
    <row r="1590" ht="80" customHeight="1">
      <c r="A1590" s="4">
        <f>IMAGE("https://images.lululemon.com/is/image/lululemon/LM5AO5S_032476_1?wid=320&amp;op_usm=0.8",1)</f>
        <v/>
      </c>
      <c r="B1590" s="4" t="inlineStr">
        <is>
          <t>ABC Classic-Fit Trouser 32L *Warpstreme</t>
        </is>
      </c>
      <c r="C1590" s="4" t="inlineStr">
        <is>
          <t>147153862</t>
        </is>
      </c>
      <c r="D1590" s="4" t="inlineStr">
        <is>
          <t>147153862-armygreen</t>
        </is>
      </c>
      <c r="E1590" s="4" t="inlineStr">
        <is>
          <t>ABC Classic-Fit Trouser 32L *Warpstreme TRNV 28</t>
        </is>
      </c>
      <c r="F1590" s="4" t="inlineStr">
        <is>
          <t>$138.00</t>
        </is>
      </c>
      <c r="G1590" s="4" t="inlineStr">
        <is>
          <t>$69.00</t>
        </is>
      </c>
      <c r="H1590" s="4" t="inlineStr">
        <is>
          <t>Army Green</t>
        </is>
      </c>
      <c r="I1590" s="4">
        <f>IMAGE("https://images.lululemon.com/is/image/lululemon/45739",1)</f>
        <v/>
      </c>
      <c r="J1590" s="4" t="inlineStr">
        <is>
          <t>30</t>
        </is>
      </c>
      <c r="K1590" s="4" t="inlineStr">
        <is>
          <t>19/3719</t>
        </is>
      </c>
      <c r="L1590" s="4" t="inlineStr">
        <is>
          <t>Yes</t>
        </is>
      </c>
      <c r="M1590" s="4" t="inlineStr">
        <is>
          <t>These classic-fit trousers deliver all-day comfort with an elevated look.</t>
        </is>
      </c>
      <c r="N1590" s="4" t="inlineStr">
        <is>
          <t>ABC-Classic-Fit-Trouser-32-Warpstreme</t>
        </is>
      </c>
      <c r="O1590" s="4" t="inlineStr">
        <is>
          <t>Dress Pants, Chinos</t>
        </is>
      </c>
    </row>
    <row r="1591" ht="80" customHeight="1">
      <c r="A1591" s="7">
        <f>IMAGE("https://images.lululemon.com/is/image/lululemon/LM5AO5S_032476_1?wid=320&amp;op_usm=0.8",1)</f>
        <v/>
      </c>
      <c r="B1591" s="7" t="inlineStr">
        <is>
          <t>ABC Classic-Fit Trouser 32L *Warpstreme</t>
        </is>
      </c>
      <c r="C1591" s="7" t="inlineStr">
        <is>
          <t>147153865</t>
        </is>
      </c>
      <c r="D1591" s="7" t="inlineStr">
        <is>
          <t>147153865-armygreen</t>
        </is>
      </c>
      <c r="E1591" s="7" t="inlineStr">
        <is>
          <t>ABC Classic-Fit Trouser 32L *Warpstreme TRNV 28</t>
        </is>
      </c>
      <c r="F1591" s="7" t="inlineStr">
        <is>
          <t>$138.00</t>
        </is>
      </c>
      <c r="G1591" s="7" t="inlineStr">
        <is>
          <t>$69.00</t>
        </is>
      </c>
      <c r="H1591" s="7" t="inlineStr">
        <is>
          <t>Army Green</t>
        </is>
      </c>
      <c r="I1591" s="7">
        <f>IMAGE("https://images.lululemon.com/is/image/lululemon/45739",1)</f>
        <v/>
      </c>
      <c r="J1591" s="7" t="inlineStr">
        <is>
          <t>31</t>
        </is>
      </c>
      <c r="K1591" s="7" t="inlineStr">
        <is>
          <t>10/3719</t>
        </is>
      </c>
      <c r="L1591" s="7" t="inlineStr">
        <is>
          <t>Yes</t>
        </is>
      </c>
      <c r="M1591" s="7" t="inlineStr">
        <is>
          <t>These classic-fit trousers deliver all-day comfort with an elevated look.</t>
        </is>
      </c>
      <c r="N1591" s="7" t="inlineStr">
        <is>
          <t>ABC-Classic-Fit-Trouser-32-Warpstreme</t>
        </is>
      </c>
      <c r="O1591" s="7" t="inlineStr">
        <is>
          <t>Dress Pants, Chinos</t>
        </is>
      </c>
    </row>
    <row r="1592" ht="80" customHeight="1">
      <c r="A1592" s="4">
        <f>IMAGE("https://images.lululemon.com/is/image/lululemon/LM5AO5S_032476_1?wid=320&amp;op_usm=0.8",1)</f>
        <v/>
      </c>
      <c r="B1592" s="4" t="inlineStr">
        <is>
          <t>ABC Classic-Fit Trouser 32L *Warpstreme</t>
        </is>
      </c>
      <c r="C1592" s="4" t="inlineStr">
        <is>
          <t>147153868</t>
        </is>
      </c>
      <c r="D1592" s="4" t="inlineStr">
        <is>
          <t>147153868-armygreen</t>
        </is>
      </c>
      <c r="E1592" s="4" t="inlineStr">
        <is>
          <t>ABC Classic-Fit Trouser 32L *Warpstreme TRNV 28</t>
        </is>
      </c>
      <c r="F1592" s="4" t="inlineStr">
        <is>
          <t>$138.00</t>
        </is>
      </c>
      <c r="G1592" s="4" t="inlineStr">
        <is>
          <t>$69.00</t>
        </is>
      </c>
      <c r="H1592" s="4" t="inlineStr">
        <is>
          <t>Army Green</t>
        </is>
      </c>
      <c r="I1592" s="4">
        <f>IMAGE("https://images.lululemon.com/is/image/lululemon/45739",1)</f>
        <v/>
      </c>
      <c r="J1592" s="4" t="inlineStr">
        <is>
          <t>32</t>
        </is>
      </c>
      <c r="K1592" s="4" t="inlineStr">
        <is>
          <t>34/3719</t>
        </is>
      </c>
      <c r="L1592" s="4" t="inlineStr">
        <is>
          <t>Yes</t>
        </is>
      </c>
      <c r="M1592" s="4" t="inlineStr">
        <is>
          <t>These classic-fit trousers deliver all-day comfort with an elevated look.</t>
        </is>
      </c>
      <c r="N1592" s="4" t="inlineStr">
        <is>
          <t>ABC-Classic-Fit-Trouser-32-Warpstreme</t>
        </is>
      </c>
      <c r="O1592" s="4" t="inlineStr">
        <is>
          <t>Dress Pants, Chinos</t>
        </is>
      </c>
    </row>
    <row r="1593" ht="80" customHeight="1">
      <c r="A1593" s="7">
        <f>IMAGE("https://images.lululemon.com/is/image/lululemon/LM5AO5S_032476_1?wid=320&amp;op_usm=0.8",1)</f>
        <v/>
      </c>
      <c r="B1593" s="7" t="inlineStr">
        <is>
          <t>ABC Classic-Fit Trouser 32L *Warpstreme</t>
        </is>
      </c>
      <c r="C1593" s="7" t="inlineStr">
        <is>
          <t>147153871</t>
        </is>
      </c>
      <c r="D1593" s="7" t="inlineStr">
        <is>
          <t>147153871-armygreen</t>
        </is>
      </c>
      <c r="E1593" s="7" t="inlineStr">
        <is>
          <t>ABC Classic-Fit Trouser 32L *Warpstreme TRNV 28</t>
        </is>
      </c>
      <c r="F1593" s="7" t="inlineStr">
        <is>
          <t>$138.00</t>
        </is>
      </c>
      <c r="G1593" s="7" t="inlineStr">
        <is>
          <t>$69.00</t>
        </is>
      </c>
      <c r="H1593" s="7" t="inlineStr">
        <is>
          <t>Army Green</t>
        </is>
      </c>
      <c r="I1593" s="7">
        <f>IMAGE("https://images.lululemon.com/is/image/lululemon/45739",1)</f>
        <v/>
      </c>
      <c r="J1593" s="7" t="inlineStr">
        <is>
          <t>33</t>
        </is>
      </c>
      <c r="K1593" s="7" t="inlineStr">
        <is>
          <t>24/3719</t>
        </is>
      </c>
      <c r="L1593" s="7" t="inlineStr">
        <is>
          <t>Yes</t>
        </is>
      </c>
      <c r="M1593" s="7" t="inlineStr">
        <is>
          <t>These classic-fit trousers deliver all-day comfort with an elevated look.</t>
        </is>
      </c>
      <c r="N1593" s="7" t="inlineStr">
        <is>
          <t>ABC-Classic-Fit-Trouser-32-Warpstreme</t>
        </is>
      </c>
      <c r="O1593" s="7" t="inlineStr">
        <is>
          <t>Dress Pants, Chinos</t>
        </is>
      </c>
    </row>
    <row r="1594" ht="80" customHeight="1">
      <c r="A1594" s="4">
        <f>IMAGE("https://images.lululemon.com/is/image/lululemon/LM5AO5S_032476_1?wid=320&amp;op_usm=0.8",1)</f>
        <v/>
      </c>
      <c r="B1594" s="4" t="inlineStr">
        <is>
          <t>ABC Classic-Fit Trouser 32L *Warpstreme</t>
        </is>
      </c>
      <c r="C1594" s="4" t="inlineStr">
        <is>
          <t>147153874</t>
        </is>
      </c>
      <c r="D1594" s="4" t="inlineStr">
        <is>
          <t>147153874-armygreen</t>
        </is>
      </c>
      <c r="E1594" s="4" t="inlineStr">
        <is>
          <t>ABC Classic-Fit Trouser 32L *Warpstreme TRNV 28</t>
        </is>
      </c>
      <c r="F1594" s="4" t="inlineStr">
        <is>
          <t>$138.00</t>
        </is>
      </c>
      <c r="G1594" s="4" t="inlineStr">
        <is>
          <t>$69.00</t>
        </is>
      </c>
      <c r="H1594" s="4" t="inlineStr">
        <is>
          <t>Army Green</t>
        </is>
      </c>
      <c r="I1594" s="4">
        <f>IMAGE("https://images.lululemon.com/is/image/lululemon/45739",1)</f>
        <v/>
      </c>
      <c r="J1594" s="4" t="inlineStr">
        <is>
          <t>34</t>
        </is>
      </c>
      <c r="K1594" s="4" t="inlineStr">
        <is>
          <t>48/3719</t>
        </is>
      </c>
      <c r="L1594" s="4" t="inlineStr">
        <is>
          <t>Yes</t>
        </is>
      </c>
      <c r="M1594" s="4" t="inlineStr">
        <is>
          <t>These classic-fit trousers deliver all-day comfort with an elevated look.</t>
        </is>
      </c>
      <c r="N1594" s="4" t="inlineStr">
        <is>
          <t>ABC-Classic-Fit-Trouser-32-Warpstreme</t>
        </is>
      </c>
      <c r="O1594" s="4" t="inlineStr">
        <is>
          <t>Dress Pants, Chinos</t>
        </is>
      </c>
    </row>
    <row r="1595" ht="80" customHeight="1">
      <c r="A1595" s="7">
        <f>IMAGE("https://images.lululemon.com/is/image/lululemon/LM5AO5S_032476_1?wid=320&amp;op_usm=0.8",1)</f>
        <v/>
      </c>
      <c r="B1595" s="7" t="inlineStr">
        <is>
          <t>ABC Classic-Fit Trouser 32L *Warpstreme</t>
        </is>
      </c>
      <c r="C1595" s="7" t="inlineStr">
        <is>
          <t>147153880</t>
        </is>
      </c>
      <c r="D1595" s="7" t="inlineStr">
        <is>
          <t>147153880-armygreen</t>
        </is>
      </c>
      <c r="E1595" s="7" t="inlineStr">
        <is>
          <t>ABC Classic-Fit Trouser 32L *Warpstreme TRNV 28</t>
        </is>
      </c>
      <c r="F1595" s="7" t="inlineStr">
        <is>
          <t>$138.00</t>
        </is>
      </c>
      <c r="G1595" s="7" t="inlineStr">
        <is>
          <t>$69.00</t>
        </is>
      </c>
      <c r="H1595" s="7" t="inlineStr">
        <is>
          <t>Army Green</t>
        </is>
      </c>
      <c r="I1595" s="7">
        <f>IMAGE("https://images.lululemon.com/is/image/lululemon/45739",1)</f>
        <v/>
      </c>
      <c r="J1595" s="7" t="inlineStr">
        <is>
          <t>36</t>
        </is>
      </c>
      <c r="K1595" s="7" t="inlineStr">
        <is>
          <t>28/3719</t>
        </is>
      </c>
      <c r="L1595" s="7" t="inlineStr">
        <is>
          <t>Yes</t>
        </is>
      </c>
      <c r="M1595" s="7" t="inlineStr">
        <is>
          <t>These classic-fit trousers deliver all-day comfort with an elevated look.</t>
        </is>
      </c>
      <c r="N1595" s="7" t="inlineStr">
        <is>
          <t>ABC-Classic-Fit-Trouser-32-Warpstreme</t>
        </is>
      </c>
      <c r="O1595" s="7" t="inlineStr">
        <is>
          <t>Dress Pants, Chinos</t>
        </is>
      </c>
    </row>
    <row r="1596" ht="80" customHeight="1">
      <c r="A1596" s="4">
        <f>IMAGE("https://images.lululemon.com/is/image/lululemon/LM5AO5S_032476_1?wid=320&amp;op_usm=0.8",1)</f>
        <v/>
      </c>
      <c r="B1596" s="4" t="inlineStr">
        <is>
          <t>ABC Classic-Fit Trouser 32L *Warpstreme</t>
        </is>
      </c>
      <c r="C1596" s="4" t="inlineStr">
        <is>
          <t>147153886</t>
        </is>
      </c>
      <c r="D1596" s="4" t="inlineStr">
        <is>
          <t>147153886-armygreen</t>
        </is>
      </c>
      <c r="E1596" s="4" t="inlineStr">
        <is>
          <t>ABC Classic-Fit Trouser 32L *Warpstreme TRNV 28</t>
        </is>
      </c>
      <c r="F1596" s="4" t="inlineStr">
        <is>
          <t>$138.00</t>
        </is>
      </c>
      <c r="G1596" s="4" t="inlineStr">
        <is>
          <t>$69.00</t>
        </is>
      </c>
      <c r="H1596" s="4" t="inlineStr">
        <is>
          <t>Army Green</t>
        </is>
      </c>
      <c r="I1596" s="4">
        <f>IMAGE("https://images.lululemon.com/is/image/lululemon/45739",1)</f>
        <v/>
      </c>
      <c r="J1596" s="4" t="inlineStr">
        <is>
          <t>38</t>
        </is>
      </c>
      <c r="K1596" s="4" t="inlineStr">
        <is>
          <t>30/3719</t>
        </is>
      </c>
      <c r="L1596" s="4" t="inlineStr">
        <is>
          <t>Yes</t>
        </is>
      </c>
      <c r="M1596" s="4" t="inlineStr">
        <is>
          <t>These classic-fit trousers deliver all-day comfort with an elevated look.</t>
        </is>
      </c>
      <c r="N1596" s="4" t="inlineStr">
        <is>
          <t>ABC-Classic-Fit-Trouser-32-Warpstreme</t>
        </is>
      </c>
      <c r="O1596" s="4" t="inlineStr">
        <is>
          <t>Dress Pants, Chinos</t>
        </is>
      </c>
    </row>
    <row r="1597" ht="80" customHeight="1">
      <c r="A1597" s="7">
        <f>IMAGE("https://images.lululemon.com/is/image/lululemon/LM5AO5S_032476_1?wid=320&amp;op_usm=0.8",1)</f>
        <v/>
      </c>
      <c r="B1597" s="7" t="inlineStr">
        <is>
          <t>ABC Classic-Fit Trouser 32L *Warpstreme</t>
        </is>
      </c>
      <c r="C1597" s="7" t="inlineStr">
        <is>
          <t>147153892</t>
        </is>
      </c>
      <c r="D1597" s="7" t="inlineStr">
        <is>
          <t>147153892-armygreen</t>
        </is>
      </c>
      <c r="E1597" s="7" t="inlineStr">
        <is>
          <t>ABC Classic-Fit Trouser 32L *Warpstreme TRNV 28</t>
        </is>
      </c>
      <c r="F1597" s="7" t="inlineStr">
        <is>
          <t>$138.00</t>
        </is>
      </c>
      <c r="G1597" s="7" t="inlineStr">
        <is>
          <t>$69.00</t>
        </is>
      </c>
      <c r="H1597" s="7" t="inlineStr">
        <is>
          <t>Army Green</t>
        </is>
      </c>
      <c r="I1597" s="7">
        <f>IMAGE("https://images.lululemon.com/is/image/lululemon/45739",1)</f>
        <v/>
      </c>
      <c r="J1597" s="7" t="inlineStr">
        <is>
          <t>40</t>
        </is>
      </c>
      <c r="K1597" s="7" t="inlineStr">
        <is>
          <t>9/3719</t>
        </is>
      </c>
      <c r="L1597" s="7" t="inlineStr">
        <is>
          <t>Yes</t>
        </is>
      </c>
      <c r="M1597" s="7" t="inlineStr">
        <is>
          <t>These classic-fit trousers deliver all-day comfort with an elevated look.</t>
        </is>
      </c>
      <c r="N1597" s="7" t="inlineStr">
        <is>
          <t>ABC-Classic-Fit-Trouser-32-Warpstreme</t>
        </is>
      </c>
      <c r="O1597" s="7" t="inlineStr">
        <is>
          <t>Dress Pants, Chinos</t>
        </is>
      </c>
    </row>
    <row r="1598" ht="80" customHeight="1">
      <c r="A1598" s="4">
        <f>IMAGE("https://images.lululemon.com/is/image/lululemon/LM5AO5S_032476_1?wid=320&amp;op_usm=0.8",1)</f>
        <v/>
      </c>
      <c r="B1598" s="4" t="inlineStr">
        <is>
          <t>ABC Classic-Fit Trouser 32L *Warpstreme</t>
        </is>
      </c>
      <c r="C1598" s="4" t="inlineStr">
        <is>
          <t>155859876</t>
        </is>
      </c>
      <c r="D1598" s="4" t="inlineStr">
        <is>
          <t>155859876-solargrey</t>
        </is>
      </c>
      <c r="E1598" s="4" t="inlineStr">
        <is>
          <t>ABC Classic-Fit Trouser 32L *Warpstreme TRNV 28</t>
        </is>
      </c>
      <c r="F1598" s="4" t="inlineStr">
        <is>
          <t>$138.00</t>
        </is>
      </c>
      <c r="G1598" s="4" t="inlineStr">
        <is>
          <t>$69.00</t>
        </is>
      </c>
      <c r="H1598" s="4" t="inlineStr">
        <is>
          <t>Solar Grey</t>
        </is>
      </c>
      <c r="I1598" s="4">
        <f>IMAGE("https://images.lululemon.com/is/image/lululemon/38426",1)</f>
        <v/>
      </c>
      <c r="J1598" s="4" t="inlineStr">
        <is>
          <t>28</t>
        </is>
      </c>
      <c r="K1598" s="4" t="inlineStr">
        <is>
          <t>5/3719</t>
        </is>
      </c>
      <c r="L1598" s="4" t="inlineStr">
        <is>
          <t>Yes</t>
        </is>
      </c>
      <c r="M1598" s="4" t="inlineStr">
        <is>
          <t>These classic-fit trousers deliver all-day comfort with an elevated look.</t>
        </is>
      </c>
      <c r="N1598" s="4" t="inlineStr">
        <is>
          <t>ABC-Classic-Fit-Trouser-32-Warpstreme</t>
        </is>
      </c>
      <c r="O1598" s="4" t="inlineStr">
        <is>
          <t>Dress Pants, Chinos</t>
        </is>
      </c>
    </row>
    <row r="1599" ht="80" customHeight="1">
      <c r="A1599" s="7">
        <f>IMAGE("https://images.lululemon.com/is/image/lululemon/LM5AO5S_032476_1?wid=320&amp;op_usm=0.8",1)</f>
        <v/>
      </c>
      <c r="B1599" s="7" t="inlineStr">
        <is>
          <t>ABC Classic-Fit Trouser 32L *Warpstreme</t>
        </is>
      </c>
      <c r="C1599" s="7" t="inlineStr">
        <is>
          <t>155859901</t>
        </is>
      </c>
      <c r="D1599" s="7" t="inlineStr">
        <is>
          <t>155859901-solargrey</t>
        </is>
      </c>
      <c r="E1599" s="7" t="inlineStr">
        <is>
          <t>ABC Classic-Fit Trouser 32L *Warpstreme TRNV 28</t>
        </is>
      </c>
      <c r="F1599" s="7" t="inlineStr">
        <is>
          <t>$138.00</t>
        </is>
      </c>
      <c r="G1599" s="7" t="inlineStr">
        <is>
          <t>$69.00</t>
        </is>
      </c>
      <c r="H1599" s="7" t="inlineStr">
        <is>
          <t>Solar Grey</t>
        </is>
      </c>
      <c r="I1599" s="7">
        <f>IMAGE("https://images.lululemon.com/is/image/lululemon/38426",1)</f>
        <v/>
      </c>
      <c r="J1599" s="7" t="inlineStr">
        <is>
          <t>30</t>
        </is>
      </c>
      <c r="K1599" s="7" t="inlineStr">
        <is>
          <t>19/3719</t>
        </is>
      </c>
      <c r="L1599" s="7" t="inlineStr">
        <is>
          <t>Yes</t>
        </is>
      </c>
      <c r="M1599" s="7" t="inlineStr">
        <is>
          <t>These classic-fit trousers deliver all-day comfort with an elevated look.</t>
        </is>
      </c>
      <c r="N1599" s="7" t="inlineStr">
        <is>
          <t>ABC-Classic-Fit-Trouser-32-Warpstreme</t>
        </is>
      </c>
      <c r="O1599" s="7" t="inlineStr">
        <is>
          <t>Dress Pants, Chinos</t>
        </is>
      </c>
    </row>
    <row r="1600" ht="80" customHeight="1">
      <c r="A1600" s="4">
        <f>IMAGE("https://images.lululemon.com/is/image/lululemon/LM5AO5S_032476_1?wid=320&amp;op_usm=0.8",1)</f>
        <v/>
      </c>
      <c r="B1600" s="4" t="inlineStr">
        <is>
          <t>ABC Classic-Fit Trouser 32L *Warpstreme</t>
        </is>
      </c>
      <c r="C1600" s="4" t="inlineStr">
        <is>
          <t>155859913</t>
        </is>
      </c>
      <c r="D1600" s="4" t="inlineStr">
        <is>
          <t>155859913-solargrey</t>
        </is>
      </c>
      <c r="E1600" s="4" t="inlineStr">
        <is>
          <t>ABC Classic-Fit Trouser 32L *Warpstreme TRNV 28</t>
        </is>
      </c>
      <c r="F1600" s="4" t="inlineStr">
        <is>
          <t>$138.00</t>
        </is>
      </c>
      <c r="G1600" s="4" t="inlineStr">
        <is>
          <t>$69.00</t>
        </is>
      </c>
      <c r="H1600" s="4" t="inlineStr">
        <is>
          <t>Solar Grey</t>
        </is>
      </c>
      <c r="I1600" s="4">
        <f>IMAGE("https://images.lululemon.com/is/image/lululemon/38426",1)</f>
        <v/>
      </c>
      <c r="J1600" s="4" t="inlineStr">
        <is>
          <t>31</t>
        </is>
      </c>
      <c r="K1600" s="4" t="inlineStr">
        <is>
          <t>12/3719</t>
        </is>
      </c>
      <c r="L1600" s="4" t="inlineStr">
        <is>
          <t>Yes</t>
        </is>
      </c>
      <c r="M1600" s="4" t="inlineStr">
        <is>
          <t>These classic-fit trousers deliver all-day comfort with an elevated look.</t>
        </is>
      </c>
      <c r="N1600" s="4" t="inlineStr">
        <is>
          <t>ABC-Classic-Fit-Trouser-32-Warpstreme</t>
        </is>
      </c>
      <c r="O1600" s="4" t="inlineStr">
        <is>
          <t>Dress Pants, Chinos</t>
        </is>
      </c>
    </row>
    <row r="1601" ht="80" customHeight="1">
      <c r="A1601" s="7">
        <f>IMAGE("https://images.lululemon.com/is/image/lululemon/LM5AO5S_032476_1?wid=320&amp;op_usm=0.8",1)</f>
        <v/>
      </c>
      <c r="B1601" s="7" t="inlineStr">
        <is>
          <t>ABC Classic-Fit Trouser 32L *Warpstreme</t>
        </is>
      </c>
      <c r="C1601" s="7" t="inlineStr">
        <is>
          <t>155859924</t>
        </is>
      </c>
      <c r="D1601" s="7" t="inlineStr">
        <is>
          <t>155859924-solargrey</t>
        </is>
      </c>
      <c r="E1601" s="7" t="inlineStr">
        <is>
          <t>ABC Classic-Fit Trouser 32L *Warpstreme TRNV 28</t>
        </is>
      </c>
      <c r="F1601" s="7" t="inlineStr">
        <is>
          <t>$138.00</t>
        </is>
      </c>
      <c r="G1601" s="7" t="inlineStr">
        <is>
          <t>$69.00</t>
        </is>
      </c>
      <c r="H1601" s="7" t="inlineStr">
        <is>
          <t>Solar Grey</t>
        </is>
      </c>
      <c r="I1601" s="7">
        <f>IMAGE("https://images.lululemon.com/is/image/lululemon/38426",1)</f>
        <v/>
      </c>
      <c r="J1601" s="7" t="inlineStr">
        <is>
          <t>32</t>
        </is>
      </c>
      <c r="K1601" s="7" t="inlineStr">
        <is>
          <t>46/3719</t>
        </is>
      </c>
      <c r="L1601" s="7" t="inlineStr">
        <is>
          <t>Yes</t>
        </is>
      </c>
      <c r="M1601" s="7" t="inlineStr">
        <is>
          <t>These classic-fit trousers deliver all-day comfort with an elevated look.</t>
        </is>
      </c>
      <c r="N1601" s="7" t="inlineStr">
        <is>
          <t>ABC-Classic-Fit-Trouser-32-Warpstreme</t>
        </is>
      </c>
      <c r="O1601" s="7" t="inlineStr">
        <is>
          <t>Dress Pants, Chinos</t>
        </is>
      </c>
    </row>
    <row r="1602" ht="80" customHeight="1">
      <c r="A1602" s="4">
        <f>IMAGE("https://images.lululemon.com/is/image/lululemon/LM5AO5S_032476_1?wid=320&amp;op_usm=0.8",1)</f>
        <v/>
      </c>
      <c r="B1602" s="4" t="inlineStr">
        <is>
          <t>ABC Classic-Fit Trouser 32L *Warpstreme</t>
        </is>
      </c>
      <c r="C1602" s="4" t="inlineStr">
        <is>
          <t>155859935</t>
        </is>
      </c>
      <c r="D1602" s="4" t="inlineStr">
        <is>
          <t>155859935-solargrey</t>
        </is>
      </c>
      <c r="E1602" s="4" t="inlineStr">
        <is>
          <t>ABC Classic-Fit Trouser 32L *Warpstreme TRNV 28</t>
        </is>
      </c>
      <c r="F1602" s="4" t="inlineStr">
        <is>
          <t>$138.00</t>
        </is>
      </c>
      <c r="G1602" s="4" t="inlineStr">
        <is>
          <t>$69.00</t>
        </is>
      </c>
      <c r="H1602" s="4" t="inlineStr">
        <is>
          <t>Solar Grey</t>
        </is>
      </c>
      <c r="I1602" s="4">
        <f>IMAGE("https://images.lululemon.com/is/image/lululemon/38426",1)</f>
        <v/>
      </c>
      <c r="J1602" s="4" t="inlineStr">
        <is>
          <t>33</t>
        </is>
      </c>
      <c r="K1602" s="4" t="inlineStr">
        <is>
          <t>25/3719</t>
        </is>
      </c>
      <c r="L1602" s="4" t="inlineStr">
        <is>
          <t>Yes</t>
        </is>
      </c>
      <c r="M1602" s="4" t="inlineStr">
        <is>
          <t>These classic-fit trousers deliver all-day comfort with an elevated look.</t>
        </is>
      </c>
      <c r="N1602" s="4" t="inlineStr">
        <is>
          <t>ABC-Classic-Fit-Trouser-32-Warpstreme</t>
        </is>
      </c>
      <c r="O1602" s="4" t="inlineStr">
        <is>
          <t>Dress Pants, Chinos</t>
        </is>
      </c>
    </row>
    <row r="1603" ht="80" customHeight="1">
      <c r="A1603" s="7">
        <f>IMAGE("https://images.lululemon.com/is/image/lululemon/LM5AO5S_032476_1?wid=320&amp;op_usm=0.8",1)</f>
        <v/>
      </c>
      <c r="B1603" s="7" t="inlineStr">
        <is>
          <t>ABC Classic-Fit Trouser 32L *Warpstreme</t>
        </is>
      </c>
      <c r="C1603" s="7" t="inlineStr">
        <is>
          <t>155859947</t>
        </is>
      </c>
      <c r="D1603" s="7" t="inlineStr">
        <is>
          <t>155859947-solargrey</t>
        </is>
      </c>
      <c r="E1603" s="7" t="inlineStr">
        <is>
          <t>ABC Classic-Fit Trouser 32L *Warpstreme TRNV 28</t>
        </is>
      </c>
      <c r="F1603" s="7" t="inlineStr">
        <is>
          <t>$138.00</t>
        </is>
      </c>
      <c r="G1603" s="7" t="inlineStr">
        <is>
          <t>$69.00</t>
        </is>
      </c>
      <c r="H1603" s="7" t="inlineStr">
        <is>
          <t>Solar Grey</t>
        </is>
      </c>
      <c r="I1603" s="7">
        <f>IMAGE("https://images.lululemon.com/is/image/lululemon/38426",1)</f>
        <v/>
      </c>
      <c r="J1603" s="7" t="inlineStr">
        <is>
          <t>34</t>
        </is>
      </c>
      <c r="K1603" s="7" t="inlineStr">
        <is>
          <t>57/3719</t>
        </is>
      </c>
      <c r="L1603" s="7" t="inlineStr">
        <is>
          <t>Yes</t>
        </is>
      </c>
      <c r="M1603" s="7" t="inlineStr">
        <is>
          <t>These classic-fit trousers deliver all-day comfort with an elevated look.</t>
        </is>
      </c>
      <c r="N1603" s="7" t="inlineStr">
        <is>
          <t>ABC-Classic-Fit-Trouser-32-Warpstreme</t>
        </is>
      </c>
      <c r="O1603" s="7" t="inlineStr">
        <is>
          <t>Dress Pants, Chinos</t>
        </is>
      </c>
    </row>
    <row r="1604" ht="80" customHeight="1">
      <c r="A1604" s="4">
        <f>IMAGE("https://images.lululemon.com/is/image/lululemon/LM5AO5S_032476_1?wid=320&amp;op_usm=0.8",1)</f>
        <v/>
      </c>
      <c r="B1604" s="4" t="inlineStr">
        <is>
          <t>ABC Classic-Fit Trouser 32L *Warpstreme</t>
        </is>
      </c>
      <c r="C1604" s="4" t="inlineStr">
        <is>
          <t>155859972</t>
        </is>
      </c>
      <c r="D1604" s="4" t="inlineStr">
        <is>
          <t>155859972-solargrey</t>
        </is>
      </c>
      <c r="E1604" s="4" t="inlineStr">
        <is>
          <t>ABC Classic-Fit Trouser 32L *Warpstreme TRNV 28</t>
        </is>
      </c>
      <c r="F1604" s="4" t="inlineStr">
        <is>
          <t>$138.00</t>
        </is>
      </c>
      <c r="G1604" s="4" t="inlineStr">
        <is>
          <t>$69.00</t>
        </is>
      </c>
      <c r="H1604" s="4" t="inlineStr">
        <is>
          <t>Solar Grey</t>
        </is>
      </c>
      <c r="I1604" s="4">
        <f>IMAGE("https://images.lululemon.com/is/image/lululemon/38426",1)</f>
        <v/>
      </c>
      <c r="J1604" s="4" t="inlineStr">
        <is>
          <t>36</t>
        </is>
      </c>
      <c r="K1604" s="4" t="inlineStr">
        <is>
          <t>46/3719</t>
        </is>
      </c>
      <c r="L1604" s="4" t="inlineStr">
        <is>
          <t>Yes</t>
        </is>
      </c>
      <c r="M1604" s="4" t="inlineStr">
        <is>
          <t>These classic-fit trousers deliver all-day comfort with an elevated look.</t>
        </is>
      </c>
      <c r="N1604" s="4" t="inlineStr">
        <is>
          <t>ABC-Classic-Fit-Trouser-32-Warpstreme</t>
        </is>
      </c>
      <c r="O1604" s="4" t="inlineStr">
        <is>
          <t>Dress Pants, Chinos</t>
        </is>
      </c>
    </row>
    <row r="1605" ht="80" customHeight="1">
      <c r="A1605" s="7">
        <f>IMAGE("https://images.lululemon.com/is/image/lululemon/LM5AO5S_032476_1?wid=320&amp;op_usm=0.8",1)</f>
        <v/>
      </c>
      <c r="B1605" s="7" t="inlineStr">
        <is>
          <t>ABC Classic-Fit Trouser 32L *Warpstreme</t>
        </is>
      </c>
      <c r="C1605" s="7" t="inlineStr">
        <is>
          <t>155859993</t>
        </is>
      </c>
      <c r="D1605" s="7" t="inlineStr">
        <is>
          <t>155859993-solargrey</t>
        </is>
      </c>
      <c r="E1605" s="7" t="inlineStr">
        <is>
          <t>ABC Classic-Fit Trouser 32L *Warpstreme TRNV 28</t>
        </is>
      </c>
      <c r="F1605" s="7" t="inlineStr">
        <is>
          <t>$138.00</t>
        </is>
      </c>
      <c r="G1605" s="7" t="inlineStr">
        <is>
          <t>$69.00</t>
        </is>
      </c>
      <c r="H1605" s="7" t="inlineStr">
        <is>
          <t>Solar Grey</t>
        </is>
      </c>
      <c r="I1605" s="7">
        <f>IMAGE("https://images.lululemon.com/is/image/lululemon/38426",1)</f>
        <v/>
      </c>
      <c r="J1605" s="7" t="inlineStr">
        <is>
          <t>38</t>
        </is>
      </c>
      <c r="K1605" s="7" t="inlineStr">
        <is>
          <t>26/3719</t>
        </is>
      </c>
      <c r="L1605" s="7" t="inlineStr">
        <is>
          <t>Yes</t>
        </is>
      </c>
      <c r="M1605" s="7" t="inlineStr">
        <is>
          <t>These classic-fit trousers deliver all-day comfort with an elevated look.</t>
        </is>
      </c>
      <c r="N1605" s="7" t="inlineStr">
        <is>
          <t>ABC-Classic-Fit-Trouser-32-Warpstreme</t>
        </is>
      </c>
      <c r="O1605" s="7" t="inlineStr">
        <is>
          <t>Dress Pants, Chinos</t>
        </is>
      </c>
    </row>
    <row r="1606" ht="80" customHeight="1">
      <c r="A1606" s="4">
        <f>IMAGE("https://images.lululemon.com/is/image/lululemon/LM5AO5S_032476_1?wid=320&amp;op_usm=0.8",1)</f>
        <v/>
      </c>
      <c r="B1606" s="4" t="inlineStr">
        <is>
          <t>ABC Classic-Fit Trouser 32L *Warpstreme</t>
        </is>
      </c>
      <c r="C1606" s="4" t="inlineStr">
        <is>
          <t>155860014</t>
        </is>
      </c>
      <c r="D1606" s="4" t="inlineStr">
        <is>
          <t>155860014-solargrey</t>
        </is>
      </c>
      <c r="E1606" s="4" t="inlineStr">
        <is>
          <t>ABC Classic-Fit Trouser 32L *Warpstreme TRNV 28</t>
        </is>
      </c>
      <c r="F1606" s="4" t="inlineStr">
        <is>
          <t>$138.00</t>
        </is>
      </c>
      <c r="G1606" s="4" t="inlineStr">
        <is>
          <t>$69.00</t>
        </is>
      </c>
      <c r="H1606" s="4" t="inlineStr">
        <is>
          <t>Solar Grey</t>
        </is>
      </c>
      <c r="I1606" s="4">
        <f>IMAGE("https://images.lululemon.com/is/image/lululemon/38426",1)</f>
        <v/>
      </c>
      <c r="J1606" s="4" t="inlineStr">
        <is>
          <t>40</t>
        </is>
      </c>
      <c r="K1606" s="4" t="inlineStr">
        <is>
          <t>9/3719</t>
        </is>
      </c>
      <c r="L1606" s="4" t="inlineStr">
        <is>
          <t>Yes</t>
        </is>
      </c>
      <c r="M1606" s="4" t="inlineStr">
        <is>
          <t>These classic-fit trousers deliver all-day comfort with an elevated look.</t>
        </is>
      </c>
      <c r="N1606" s="4" t="inlineStr">
        <is>
          <t>ABC-Classic-Fit-Trouser-32-Warpstreme</t>
        </is>
      </c>
      <c r="O1606" s="4" t="inlineStr">
        <is>
          <t>Dress Pants, Chinos</t>
        </is>
      </c>
    </row>
    <row r="1607" ht="80" customHeight="1">
      <c r="A1607" s="7">
        <f>IMAGE("https://images.lululemon.com/is/image/lululemon/LM5AO5S_032476_1?wid=320&amp;op_usm=0.8",1)</f>
        <v/>
      </c>
      <c r="B1607" s="7" t="inlineStr">
        <is>
          <t>ABC Classic-Fit Trouser 32L *Warpstreme</t>
        </is>
      </c>
      <c r="C1607" s="7" t="inlineStr">
        <is>
          <t>154886522</t>
        </is>
      </c>
      <c r="D1607" s="7" t="inlineStr">
        <is>
          <t>154886522-ironblue</t>
        </is>
      </c>
      <c r="E1607" s="7" t="inlineStr">
        <is>
          <t>ABC Classic-Fit Trouser 32L *Warpstreme TRNV 28</t>
        </is>
      </c>
      <c r="F1607" s="7" t="inlineStr">
        <is>
          <t>$138.00</t>
        </is>
      </c>
      <c r="G1607" s="7" t="inlineStr">
        <is>
          <t>$69.00</t>
        </is>
      </c>
      <c r="H1607" s="7" t="inlineStr">
        <is>
          <t>Iron Blue</t>
        </is>
      </c>
      <c r="I1607" s="7">
        <f>IMAGE("https://images.lululemon.com/is/image/lululemon/26865",1)</f>
        <v/>
      </c>
      <c r="J1607" s="7" t="inlineStr">
        <is>
          <t>28</t>
        </is>
      </c>
      <c r="K1607" s="7" t="inlineStr">
        <is>
          <t>6/3719</t>
        </is>
      </c>
      <c r="L1607" s="7" t="inlineStr">
        <is>
          <t>Yes</t>
        </is>
      </c>
      <c r="M1607" s="7" t="inlineStr">
        <is>
          <t>These classic-fit trousers deliver all-day comfort with an elevated look.</t>
        </is>
      </c>
      <c r="N1607" s="7" t="inlineStr">
        <is>
          <t>ABC-Classic-Fit-Trouser-32-Warpstreme</t>
        </is>
      </c>
      <c r="O1607" s="7" t="inlineStr">
        <is>
          <t>Dress Pants, Chinos</t>
        </is>
      </c>
    </row>
    <row r="1608" ht="80" customHeight="1">
      <c r="A1608" s="4">
        <f>IMAGE("https://images.lululemon.com/is/image/lululemon/LM5AO5S_032476_1?wid=320&amp;op_usm=0.8",1)</f>
        <v/>
      </c>
      <c r="B1608" s="4" t="inlineStr">
        <is>
          <t>ABC Classic-Fit Trouser 32L *Warpstreme</t>
        </is>
      </c>
      <c r="C1608" s="4" t="inlineStr">
        <is>
          <t>154886547</t>
        </is>
      </c>
      <c r="D1608" s="4" t="inlineStr">
        <is>
          <t>154886547-ironblue</t>
        </is>
      </c>
      <c r="E1608" s="4" t="inlineStr">
        <is>
          <t>ABC Classic-Fit Trouser 32L *Warpstreme TRNV 28</t>
        </is>
      </c>
      <c r="F1608" s="4" t="inlineStr">
        <is>
          <t>$138.00</t>
        </is>
      </c>
      <c r="G1608" s="4" t="inlineStr">
        <is>
          <t>$69.00</t>
        </is>
      </c>
      <c r="H1608" s="4" t="inlineStr">
        <is>
          <t>Iron Blue</t>
        </is>
      </c>
      <c r="I1608" s="4">
        <f>IMAGE("https://images.lululemon.com/is/image/lululemon/26865",1)</f>
        <v/>
      </c>
      <c r="J1608" s="4" t="inlineStr">
        <is>
          <t>30</t>
        </is>
      </c>
      <c r="K1608" s="4" t="inlineStr">
        <is>
          <t>25/3719</t>
        </is>
      </c>
      <c r="L1608" s="4" t="inlineStr">
        <is>
          <t>Yes</t>
        </is>
      </c>
      <c r="M1608" s="4" t="inlineStr">
        <is>
          <t>These classic-fit trousers deliver all-day comfort with an elevated look.</t>
        </is>
      </c>
      <c r="N1608" s="4" t="inlineStr">
        <is>
          <t>ABC-Classic-Fit-Trouser-32-Warpstreme</t>
        </is>
      </c>
      <c r="O1608" s="4" t="inlineStr">
        <is>
          <t>Dress Pants, Chinos</t>
        </is>
      </c>
    </row>
    <row r="1609" ht="80" customHeight="1">
      <c r="A1609" s="7">
        <f>IMAGE("https://images.lululemon.com/is/image/lululemon/LM5AO5S_032476_1?wid=320&amp;op_usm=0.8",1)</f>
        <v/>
      </c>
      <c r="B1609" s="7" t="inlineStr">
        <is>
          <t>ABC Classic-Fit Trouser 32L *Warpstreme</t>
        </is>
      </c>
      <c r="C1609" s="7" t="inlineStr">
        <is>
          <t>154886556</t>
        </is>
      </c>
      <c r="D1609" s="7" t="inlineStr">
        <is>
          <t>154886556-ironblue</t>
        </is>
      </c>
      <c r="E1609" s="7" t="inlineStr">
        <is>
          <t>ABC Classic-Fit Trouser 32L *Warpstreme TRNV 28</t>
        </is>
      </c>
      <c r="F1609" s="7" t="inlineStr">
        <is>
          <t>$138.00</t>
        </is>
      </c>
      <c r="G1609" s="7" t="inlineStr">
        <is>
          <t>$69.00</t>
        </is>
      </c>
      <c r="H1609" s="7" t="inlineStr">
        <is>
          <t>Iron Blue</t>
        </is>
      </c>
      <c r="I1609" s="7">
        <f>IMAGE("https://images.lululemon.com/is/image/lululemon/26865",1)</f>
        <v/>
      </c>
      <c r="J1609" s="7" t="inlineStr">
        <is>
          <t>31</t>
        </is>
      </c>
      <c r="K1609" s="7" t="inlineStr">
        <is>
          <t>16/3719</t>
        </is>
      </c>
      <c r="L1609" s="7" t="inlineStr">
        <is>
          <t>Yes</t>
        </is>
      </c>
      <c r="M1609" s="7" t="inlineStr">
        <is>
          <t>These classic-fit trousers deliver all-day comfort with an elevated look.</t>
        </is>
      </c>
      <c r="N1609" s="7" t="inlineStr">
        <is>
          <t>ABC-Classic-Fit-Trouser-32-Warpstreme</t>
        </is>
      </c>
      <c r="O1609" s="7" t="inlineStr">
        <is>
          <t>Dress Pants, Chinos</t>
        </is>
      </c>
    </row>
    <row r="1610" ht="80" customHeight="1">
      <c r="A1610" s="4">
        <f>IMAGE("https://images.lululemon.com/is/image/lululemon/LM5AO5S_032476_1?wid=320&amp;op_usm=0.8",1)</f>
        <v/>
      </c>
      <c r="B1610" s="4" t="inlineStr">
        <is>
          <t>ABC Classic-Fit Trouser 32L *Warpstreme</t>
        </is>
      </c>
      <c r="C1610" s="4" t="inlineStr">
        <is>
          <t>154886566</t>
        </is>
      </c>
      <c r="D1610" s="4" t="inlineStr">
        <is>
          <t>154886566-ironblue</t>
        </is>
      </c>
      <c r="E1610" s="4" t="inlineStr">
        <is>
          <t>ABC Classic-Fit Trouser 32L *Warpstreme TRNV 28</t>
        </is>
      </c>
      <c r="F1610" s="4" t="inlineStr">
        <is>
          <t>$138.00</t>
        </is>
      </c>
      <c r="G1610" s="4" t="inlineStr">
        <is>
          <t>$69.00</t>
        </is>
      </c>
      <c r="H1610" s="4" t="inlineStr">
        <is>
          <t>Iron Blue</t>
        </is>
      </c>
      <c r="I1610" s="4">
        <f>IMAGE("https://images.lululemon.com/is/image/lululemon/26865",1)</f>
        <v/>
      </c>
      <c r="J1610" s="4" t="inlineStr">
        <is>
          <t>32</t>
        </is>
      </c>
      <c r="K1610" s="4" t="inlineStr">
        <is>
          <t>55/3719</t>
        </is>
      </c>
      <c r="L1610" s="4" t="inlineStr">
        <is>
          <t>Yes</t>
        </is>
      </c>
      <c r="M1610" s="4" t="inlineStr">
        <is>
          <t>These classic-fit trousers deliver all-day comfort with an elevated look.</t>
        </is>
      </c>
      <c r="N1610" s="4" t="inlineStr">
        <is>
          <t>ABC-Classic-Fit-Trouser-32-Warpstreme</t>
        </is>
      </c>
      <c r="O1610" s="4" t="inlineStr">
        <is>
          <t>Dress Pants, Chinos</t>
        </is>
      </c>
    </row>
    <row r="1611" ht="80" customHeight="1">
      <c r="A1611" s="7">
        <f>IMAGE("https://images.lululemon.com/is/image/lululemon/LM5AO5S_032476_1?wid=320&amp;op_usm=0.8",1)</f>
        <v/>
      </c>
      <c r="B1611" s="7" t="inlineStr">
        <is>
          <t>ABC Classic-Fit Trouser 32L *Warpstreme</t>
        </is>
      </c>
      <c r="C1611" s="7" t="inlineStr">
        <is>
          <t>154886576</t>
        </is>
      </c>
      <c r="D1611" s="7" t="inlineStr">
        <is>
          <t>154886576-ironblue</t>
        </is>
      </c>
      <c r="E1611" s="7" t="inlineStr">
        <is>
          <t>ABC Classic-Fit Trouser 32L *Warpstreme TRNV 28</t>
        </is>
      </c>
      <c r="F1611" s="7" t="inlineStr">
        <is>
          <t>$138.00</t>
        </is>
      </c>
      <c r="G1611" s="7" t="inlineStr">
        <is>
          <t>$69.00</t>
        </is>
      </c>
      <c r="H1611" s="7" t="inlineStr">
        <is>
          <t>Iron Blue</t>
        </is>
      </c>
      <c r="I1611" s="7">
        <f>IMAGE("https://images.lululemon.com/is/image/lululemon/26865",1)</f>
        <v/>
      </c>
      <c r="J1611" s="7" t="inlineStr">
        <is>
          <t>33</t>
        </is>
      </c>
      <c r="K1611" s="7" t="inlineStr">
        <is>
          <t>32/3719</t>
        </is>
      </c>
      <c r="L1611" s="7" t="inlineStr">
        <is>
          <t>Yes</t>
        </is>
      </c>
      <c r="M1611" s="7" t="inlineStr">
        <is>
          <t>These classic-fit trousers deliver all-day comfort with an elevated look.</t>
        </is>
      </c>
      <c r="N1611" s="7" t="inlineStr">
        <is>
          <t>ABC-Classic-Fit-Trouser-32-Warpstreme</t>
        </is>
      </c>
      <c r="O1611" s="7" t="inlineStr">
        <is>
          <t>Dress Pants, Chinos</t>
        </is>
      </c>
    </row>
    <row r="1612" ht="80" customHeight="1">
      <c r="A1612" s="4">
        <f>IMAGE("https://images.lululemon.com/is/image/lululemon/LM5AO5S_032476_1?wid=320&amp;op_usm=0.8",1)</f>
        <v/>
      </c>
      <c r="B1612" s="4" t="inlineStr">
        <is>
          <t>ABC Classic-Fit Trouser 32L *Warpstreme</t>
        </is>
      </c>
      <c r="C1612" s="4" t="inlineStr">
        <is>
          <t>154886587</t>
        </is>
      </c>
      <c r="D1612" s="4" t="inlineStr">
        <is>
          <t>154886587-ironblue</t>
        </is>
      </c>
      <c r="E1612" s="4" t="inlineStr">
        <is>
          <t>ABC Classic-Fit Trouser 32L *Warpstreme TRNV 28</t>
        </is>
      </c>
      <c r="F1612" s="4" t="inlineStr">
        <is>
          <t>$138.00</t>
        </is>
      </c>
      <c r="G1612" s="4" t="inlineStr">
        <is>
          <t>$69.00</t>
        </is>
      </c>
      <c r="H1612" s="4" t="inlineStr">
        <is>
          <t>Iron Blue</t>
        </is>
      </c>
      <c r="I1612" s="4">
        <f>IMAGE("https://images.lululemon.com/is/image/lululemon/26865",1)</f>
        <v/>
      </c>
      <c r="J1612" s="4" t="inlineStr">
        <is>
          <t>34</t>
        </is>
      </c>
      <c r="K1612" s="4" t="inlineStr">
        <is>
          <t>68/3719</t>
        </is>
      </c>
      <c r="L1612" s="4" t="inlineStr">
        <is>
          <t>Yes</t>
        </is>
      </c>
      <c r="M1612" s="4" t="inlineStr">
        <is>
          <t>These classic-fit trousers deliver all-day comfort with an elevated look.</t>
        </is>
      </c>
      <c r="N1612" s="4" t="inlineStr">
        <is>
          <t>ABC-Classic-Fit-Trouser-32-Warpstreme</t>
        </is>
      </c>
      <c r="O1612" s="4" t="inlineStr">
        <is>
          <t>Dress Pants, Chinos</t>
        </is>
      </c>
    </row>
    <row r="1613" ht="80" customHeight="1">
      <c r="A1613" s="7">
        <f>IMAGE("https://images.lululemon.com/is/image/lululemon/LM5AO5S_032476_1?wid=320&amp;op_usm=0.8",1)</f>
        <v/>
      </c>
      <c r="B1613" s="7" t="inlineStr">
        <is>
          <t>ABC Classic-Fit Trouser 32L *Warpstreme</t>
        </is>
      </c>
      <c r="C1613" s="7" t="inlineStr">
        <is>
          <t>154886610</t>
        </is>
      </c>
      <c r="D1613" s="7" t="inlineStr">
        <is>
          <t>154886610-ironblue</t>
        </is>
      </c>
      <c r="E1613" s="7" t="inlineStr">
        <is>
          <t>ABC Classic-Fit Trouser 32L *Warpstreme TRNV 28</t>
        </is>
      </c>
      <c r="F1613" s="7" t="inlineStr">
        <is>
          <t>$138.00</t>
        </is>
      </c>
      <c r="G1613" s="7" t="inlineStr">
        <is>
          <t>$69.00</t>
        </is>
      </c>
      <c r="H1613" s="7" t="inlineStr">
        <is>
          <t>Iron Blue</t>
        </is>
      </c>
      <c r="I1613" s="7">
        <f>IMAGE("https://images.lululemon.com/is/image/lululemon/26865",1)</f>
        <v/>
      </c>
      <c r="J1613" s="7" t="inlineStr">
        <is>
          <t>36</t>
        </is>
      </c>
      <c r="K1613" s="7" t="inlineStr">
        <is>
          <t>57/3719</t>
        </is>
      </c>
      <c r="L1613" s="7" t="inlineStr">
        <is>
          <t>Yes</t>
        </is>
      </c>
      <c r="M1613" s="7" t="inlineStr">
        <is>
          <t>These classic-fit trousers deliver all-day comfort with an elevated look.</t>
        </is>
      </c>
      <c r="N1613" s="7" t="inlineStr">
        <is>
          <t>ABC-Classic-Fit-Trouser-32-Warpstreme</t>
        </is>
      </c>
      <c r="O1613" s="7" t="inlineStr">
        <is>
          <t>Dress Pants, Chinos</t>
        </is>
      </c>
    </row>
    <row r="1614" ht="80" customHeight="1">
      <c r="A1614" s="4">
        <f>IMAGE("https://images.lululemon.com/is/image/lululemon/LM5AO5S_032476_1?wid=320&amp;op_usm=0.8",1)</f>
        <v/>
      </c>
      <c r="B1614" s="4" t="inlineStr">
        <is>
          <t>ABC Classic-Fit Trouser 32L *Warpstreme</t>
        </is>
      </c>
      <c r="C1614" s="4" t="inlineStr">
        <is>
          <t>154886638</t>
        </is>
      </c>
      <c r="D1614" s="4" t="inlineStr">
        <is>
          <t>154886638-ironblue</t>
        </is>
      </c>
      <c r="E1614" s="4" t="inlineStr">
        <is>
          <t>ABC Classic-Fit Trouser 32L *Warpstreme TRNV 28</t>
        </is>
      </c>
      <c r="F1614" s="4" t="inlineStr">
        <is>
          <t>$138.00</t>
        </is>
      </c>
      <c r="G1614" s="4" t="inlineStr">
        <is>
          <t>$69.00</t>
        </is>
      </c>
      <c r="H1614" s="4" t="inlineStr">
        <is>
          <t>Iron Blue</t>
        </is>
      </c>
      <c r="I1614" s="4">
        <f>IMAGE("https://images.lululemon.com/is/image/lululemon/26865",1)</f>
        <v/>
      </c>
      <c r="J1614" s="4" t="inlineStr">
        <is>
          <t>38</t>
        </is>
      </c>
      <c r="K1614" s="4" t="inlineStr">
        <is>
          <t>32/3719</t>
        </is>
      </c>
      <c r="L1614" s="4" t="inlineStr">
        <is>
          <t>Yes</t>
        </is>
      </c>
      <c r="M1614" s="4" t="inlineStr">
        <is>
          <t>These classic-fit trousers deliver all-day comfort with an elevated look.</t>
        </is>
      </c>
      <c r="N1614" s="4" t="inlineStr">
        <is>
          <t>ABC-Classic-Fit-Trouser-32-Warpstreme</t>
        </is>
      </c>
      <c r="O1614" s="4" t="inlineStr">
        <is>
          <t>Dress Pants, Chinos</t>
        </is>
      </c>
    </row>
    <row r="1615" ht="80" customHeight="1">
      <c r="A1615" s="5">
        <f>IMAGE("https://images.lululemon.com/is/image/lululemon/LM5AO5S_032476_1?wid=320&amp;op_usm=0.8",1)</f>
        <v/>
      </c>
      <c r="B1615" s="5" t="inlineStr">
        <is>
          <t>ABC Classic-Fit Trouser 32L *Warpstreme</t>
        </is>
      </c>
      <c r="C1615" s="5" t="inlineStr">
        <is>
          <t>154886670</t>
        </is>
      </c>
      <c r="D1615" s="5" t="inlineStr">
        <is>
          <t>154886670-ironblue</t>
        </is>
      </c>
      <c r="E1615" s="5" t="inlineStr">
        <is>
          <t>ABC Classic-Fit Trouser 32L *Warpstreme TRNV 28</t>
        </is>
      </c>
      <c r="F1615" s="5" t="inlineStr">
        <is>
          <t>$138.00</t>
        </is>
      </c>
      <c r="G1615" s="5" t="inlineStr">
        <is>
          <t>$69.00</t>
        </is>
      </c>
      <c r="H1615" s="5" t="inlineStr">
        <is>
          <t>Iron Blue</t>
        </is>
      </c>
      <c r="I1615" s="5">
        <f>IMAGE("https://images.lululemon.com/is/image/lululemon/26865",1)</f>
        <v/>
      </c>
      <c r="J1615" s="5" t="inlineStr">
        <is>
          <t>40</t>
        </is>
      </c>
      <c r="K1615" s="5" t="inlineStr">
        <is>
          <t>13/3719</t>
        </is>
      </c>
      <c r="L1615" s="5" t="inlineStr">
        <is>
          <t>Yes</t>
        </is>
      </c>
      <c r="M1615" s="5" t="inlineStr">
        <is>
          <t>These classic-fit trousers deliver all-day comfort with an elevated look.</t>
        </is>
      </c>
      <c r="N1615" s="5" t="inlineStr">
        <is>
          <t>ABC-Classic-Fit-Trouser-32-Warpstreme</t>
        </is>
      </c>
      <c r="O1615" s="5" t="inlineStr">
        <is>
          <t>Dress Pants, Chinos</t>
        </is>
      </c>
    </row>
    <row r="1616" ht="80" customHeight="1">
      <c r="A1616" s="4">
        <f>IMAGE("https://images.lululemon.com/is/image/lululemon/LM3FTVS_070108_1?wid=320&amp;op_usm=0.8",1)</f>
        <v/>
      </c>
      <c r="B1616" s="4" t="inlineStr">
        <is>
          <t>Rulu Fleece Crewneck Long-Sleeve Shirt</t>
        </is>
      </c>
      <c r="C1616" s="4" t="inlineStr">
        <is>
          <t>157700849</t>
        </is>
      </c>
      <c r="D1616" s="4" t="inlineStr">
        <is>
          <t>157700849-warmashgrey</t>
        </is>
      </c>
      <c r="E1616" s="4" t="inlineStr">
        <is>
          <t>Rulu Fleece Crewneck Long Sleeve WSHG S</t>
        </is>
      </c>
      <c r="F1616" s="4" t="inlineStr">
        <is>
          <t>$98.00</t>
        </is>
      </c>
      <c r="G1616" s="4" t="inlineStr">
        <is>
          <t>$49.00</t>
        </is>
      </c>
      <c r="H1616" s="4" t="inlineStr">
        <is>
          <t>Warm Ash Grey</t>
        </is>
      </c>
      <c r="I1616" s="4">
        <f>IMAGE("https://images.lululemon.com/is/image/lululemon/70108",1)</f>
        <v/>
      </c>
      <c r="J1616" s="4" t="inlineStr">
        <is>
          <t>S</t>
        </is>
      </c>
      <c r="K1616" s="4" t="inlineStr">
        <is>
          <t>15/138</t>
        </is>
      </c>
      <c r="L1616" s="4" t="inlineStr">
        <is>
          <t>Yes</t>
        </is>
      </c>
      <c r="M1616" s="4" t="inlineStr">
        <is>
          <t>Make cold days count. Warm Rulu™ fleece fabric on this versatile layer keeps the chills out so you can run, play, and stay out longer.</t>
        </is>
      </c>
      <c r="N1616" s="4" t="inlineStr">
        <is>
          <t>Rulu-Fleece-Crewneck-Long-Sleeve-Shirt</t>
        </is>
      </c>
      <c r="O1616" s="4" t="inlineStr"/>
    </row>
    <row r="1617" ht="80" customHeight="1">
      <c r="A1617" s="7">
        <f>IMAGE("https://images.lululemon.com/is/image/lululemon/LM3FTVS_070108_1?wid=320&amp;op_usm=0.8",1)</f>
        <v/>
      </c>
      <c r="B1617" s="7" t="inlineStr">
        <is>
          <t>Rulu Fleece Crewneck Long-Sleeve Shirt</t>
        </is>
      </c>
      <c r="C1617" s="7" t="inlineStr">
        <is>
          <t>157700848</t>
        </is>
      </c>
      <c r="D1617" s="7" t="inlineStr">
        <is>
          <t>157700848-warmashgrey</t>
        </is>
      </c>
      <c r="E1617" s="7" t="inlineStr">
        <is>
          <t>Rulu Fleece Crewneck Long Sleeve WSHG S</t>
        </is>
      </c>
      <c r="F1617" s="7" t="inlineStr">
        <is>
          <t>$98.00</t>
        </is>
      </c>
      <c r="G1617" s="7" t="inlineStr">
        <is>
          <t>$49.00</t>
        </is>
      </c>
      <c r="H1617" s="7" t="inlineStr">
        <is>
          <t>Warm Ash Grey</t>
        </is>
      </c>
      <c r="I1617" s="7">
        <f>IMAGE("https://images.lululemon.com/is/image/lululemon/70108",1)</f>
        <v/>
      </c>
      <c r="J1617" s="7" t="inlineStr">
        <is>
          <t>M</t>
        </is>
      </c>
      <c r="K1617" s="7" t="inlineStr">
        <is>
          <t>29/138</t>
        </is>
      </c>
      <c r="L1617" s="7" t="inlineStr">
        <is>
          <t>Yes</t>
        </is>
      </c>
      <c r="M1617" s="7" t="inlineStr">
        <is>
          <t>Make cold days count. Warm Rulu™ fleece fabric on this versatile layer keeps the chills out so you can run, play, and stay out longer.</t>
        </is>
      </c>
      <c r="N1617" s="7" t="inlineStr">
        <is>
          <t>Rulu-Fleece-Crewneck-Long-Sleeve-Shirt</t>
        </is>
      </c>
      <c r="O1617" s="7" t="inlineStr"/>
    </row>
    <row r="1618" ht="80" customHeight="1">
      <c r="A1618" s="4">
        <f>IMAGE("https://images.lululemon.com/is/image/lululemon/LM3FTVS_070108_1?wid=320&amp;op_usm=0.8",1)</f>
        <v/>
      </c>
      <c r="B1618" s="4" t="inlineStr">
        <is>
          <t>Rulu Fleece Crewneck Long-Sleeve Shirt</t>
        </is>
      </c>
      <c r="C1618" s="4" t="inlineStr">
        <is>
          <t>157700846</t>
        </is>
      </c>
      <c r="D1618" s="4" t="inlineStr">
        <is>
          <t>157700846-warmashgrey</t>
        </is>
      </c>
      <c r="E1618" s="4" t="inlineStr">
        <is>
          <t>Rulu Fleece Crewneck Long Sleeve WSHG S</t>
        </is>
      </c>
      <c r="F1618" s="4" t="inlineStr">
        <is>
          <t>$98.00</t>
        </is>
      </c>
      <c r="G1618" s="4" t="inlineStr">
        <is>
          <t>$49.00</t>
        </is>
      </c>
      <c r="H1618" s="4" t="inlineStr">
        <is>
          <t>Warm Ash Grey</t>
        </is>
      </c>
      <c r="I1618" s="4">
        <f>IMAGE("https://images.lululemon.com/is/image/lululemon/70108",1)</f>
        <v/>
      </c>
      <c r="J1618" s="4" t="inlineStr">
        <is>
          <t>L</t>
        </is>
      </c>
      <c r="K1618" s="4" t="inlineStr">
        <is>
          <t>45/138</t>
        </is>
      </c>
      <c r="L1618" s="4" t="inlineStr">
        <is>
          <t>Yes</t>
        </is>
      </c>
      <c r="M1618" s="4" t="inlineStr">
        <is>
          <t>Make cold days count. Warm Rulu™ fleece fabric on this versatile layer keeps the chills out so you can run, play, and stay out longer.</t>
        </is>
      </c>
      <c r="N1618" s="4" t="inlineStr">
        <is>
          <t>Rulu-Fleece-Crewneck-Long-Sleeve-Shirt</t>
        </is>
      </c>
      <c r="O1618" s="4" t="inlineStr"/>
    </row>
    <row r="1619" ht="80" customHeight="1">
      <c r="A1619" s="7">
        <f>IMAGE("https://images.lululemon.com/is/image/lululemon/LM3FTVS_070108_1?wid=320&amp;op_usm=0.8",1)</f>
        <v/>
      </c>
      <c r="B1619" s="7" t="inlineStr">
        <is>
          <t>Rulu Fleece Crewneck Long-Sleeve Shirt</t>
        </is>
      </c>
      <c r="C1619" s="7" t="inlineStr">
        <is>
          <t>157700851</t>
        </is>
      </c>
      <c r="D1619" s="7" t="inlineStr">
        <is>
          <t>157700851-warmashgrey</t>
        </is>
      </c>
      <c r="E1619" s="7" t="inlineStr">
        <is>
          <t>Rulu Fleece Crewneck Long Sleeve WSHG S</t>
        </is>
      </c>
      <c r="F1619" s="7" t="inlineStr">
        <is>
          <t>$98.00</t>
        </is>
      </c>
      <c r="G1619" s="7" t="inlineStr">
        <is>
          <t>$49.00</t>
        </is>
      </c>
      <c r="H1619" s="7" t="inlineStr">
        <is>
          <t>Warm Ash Grey</t>
        </is>
      </c>
      <c r="I1619" s="7">
        <f>IMAGE("https://images.lululemon.com/is/image/lululemon/70108",1)</f>
        <v/>
      </c>
      <c r="J1619" s="7" t="inlineStr">
        <is>
          <t>XL</t>
        </is>
      </c>
      <c r="K1619" s="7" t="inlineStr">
        <is>
          <t>34/138</t>
        </is>
      </c>
      <c r="L1619" s="7" t="inlineStr">
        <is>
          <t>Yes</t>
        </is>
      </c>
      <c r="M1619" s="7" t="inlineStr">
        <is>
          <t>Make cold days count. Warm Rulu™ fleece fabric on this versatile layer keeps the chills out so you can run, play, and stay out longer.</t>
        </is>
      </c>
      <c r="N1619" s="7" t="inlineStr">
        <is>
          <t>Rulu-Fleece-Crewneck-Long-Sleeve-Shirt</t>
        </is>
      </c>
      <c r="O1619" s="7" t="inlineStr"/>
    </row>
    <row r="1620" ht="80" customHeight="1">
      <c r="A1620" s="6">
        <f>IMAGE("https://images.lululemon.com/is/image/lululemon/LM3FTVS_070108_1?wid=320&amp;op_usm=0.8",1)</f>
        <v/>
      </c>
      <c r="B1620" s="6" t="inlineStr">
        <is>
          <t>Rulu Fleece Crewneck Long-Sleeve Shirt</t>
        </is>
      </c>
      <c r="C1620" s="6" t="inlineStr">
        <is>
          <t>157700855</t>
        </is>
      </c>
      <c r="D1620" s="6" t="inlineStr">
        <is>
          <t>157700855-warmashgrey</t>
        </is>
      </c>
      <c r="E1620" s="6" t="inlineStr">
        <is>
          <t>Rulu Fleece Crewneck Long Sleeve WSHG S</t>
        </is>
      </c>
      <c r="F1620" s="6" t="inlineStr">
        <is>
          <t>$98.00</t>
        </is>
      </c>
      <c r="G1620" s="6" t="inlineStr">
        <is>
          <t>$49.00</t>
        </is>
      </c>
      <c r="H1620" s="6" t="inlineStr">
        <is>
          <t>Warm Ash Grey</t>
        </is>
      </c>
      <c r="I1620" s="6">
        <f>IMAGE("https://images.lululemon.com/is/image/lululemon/70108",1)</f>
        <v/>
      </c>
      <c r="J1620" s="6" t="inlineStr">
        <is>
          <t>XXL</t>
        </is>
      </c>
      <c r="K1620" s="6" t="inlineStr">
        <is>
          <t>15/138</t>
        </is>
      </c>
      <c r="L1620" s="6" t="inlineStr">
        <is>
          <t>Yes</t>
        </is>
      </c>
      <c r="M1620" s="6" t="inlineStr">
        <is>
          <t>Make cold days count. Warm Rulu™ fleece fabric on this versatile layer keeps the chills out so you can run, play, and stay out longer.</t>
        </is>
      </c>
      <c r="N1620" s="6" t="inlineStr">
        <is>
          <t>Rulu-Fleece-Crewneck-Long-Sleeve-Shirt</t>
        </is>
      </c>
      <c r="O1620" s="6" t="inlineStr"/>
    </row>
    <row r="1621" ht="80" customHeight="1">
      <c r="A1621" s="7">
        <f>IMAGE("https://images.lululemon.com/is/image/lululemon/LM5B18S_0001_1?wid=320&amp;op_usm=0.8",1)</f>
        <v/>
      </c>
      <c r="B1621" s="7" t="inlineStr">
        <is>
          <t>Smooth Spacer Jogger *Regular</t>
        </is>
      </c>
      <c r="C1621" s="7" t="inlineStr">
        <is>
          <t>157704672</t>
        </is>
      </c>
      <c r="D1621" s="7" t="inlineStr">
        <is>
          <t>157704672-olivebrown</t>
        </is>
      </c>
      <c r="E1621" s="7" t="inlineStr">
        <is>
          <t>Smooth Spacer Jogger *Regular OVBR S</t>
        </is>
      </c>
      <c r="F1621" s="7" t="inlineStr">
        <is>
          <t>$138.00</t>
        </is>
      </c>
      <c r="G1621" s="7" t="inlineStr">
        <is>
          <t>$69.00</t>
        </is>
      </c>
      <c r="H1621" s="7" t="inlineStr">
        <is>
          <t>Olive Brown</t>
        </is>
      </c>
      <c r="I1621" s="7">
        <f>IMAGE("https://images.lululemon.com/is/image/lululemon/71148",1)</f>
        <v/>
      </c>
      <c r="J1621" s="7" t="inlineStr">
        <is>
          <t>S</t>
        </is>
      </c>
      <c r="K1621" s="7" t="inlineStr">
        <is>
          <t>32/634</t>
        </is>
      </c>
      <c r="L1621" s="7" t="inlineStr">
        <is>
          <t>Yes</t>
        </is>
      </c>
      <c r="M1621" s="7" t="inlineStr">
        <is>
          <t>Instant recovery mode. Fast-drying fabric on these joggers is soft on the outside and sleek next to skin for that perfect cool-down feeling.</t>
        </is>
      </c>
      <c r="N1621" s="7" t="inlineStr">
        <is>
          <t>Smooth-Spacer-Jogger</t>
        </is>
      </c>
      <c r="O1621" s="7" t="inlineStr"/>
    </row>
    <row r="1622" ht="80" customHeight="1">
      <c r="A1622" s="4">
        <f>IMAGE("https://images.lululemon.com/is/image/lululemon/LM5B18S_0001_1?wid=320&amp;op_usm=0.8",1)</f>
        <v/>
      </c>
      <c r="B1622" s="4" t="inlineStr">
        <is>
          <t>Smooth Spacer Jogger *Regular</t>
        </is>
      </c>
      <c r="C1622" s="4" t="inlineStr">
        <is>
          <t>157704663</t>
        </is>
      </c>
      <c r="D1622" s="4" t="inlineStr">
        <is>
          <t>157704663-olivebrown</t>
        </is>
      </c>
      <c r="E1622" s="4" t="inlineStr">
        <is>
          <t>Smooth Spacer Jogger *Regular OVBR S</t>
        </is>
      </c>
      <c r="F1622" s="4" t="inlineStr">
        <is>
          <t>$138.00</t>
        </is>
      </c>
      <c r="G1622" s="4" t="inlineStr">
        <is>
          <t>$69.00</t>
        </is>
      </c>
      <c r="H1622" s="4" t="inlineStr">
        <is>
          <t>Olive Brown</t>
        </is>
      </c>
      <c r="I1622" s="4">
        <f>IMAGE("https://images.lululemon.com/is/image/lululemon/71148",1)</f>
        <v/>
      </c>
      <c r="J1622" s="4" t="inlineStr">
        <is>
          <t>M</t>
        </is>
      </c>
      <c r="K1622" s="4" t="inlineStr">
        <is>
          <t>82/634</t>
        </is>
      </c>
      <c r="L1622" s="4" t="inlineStr">
        <is>
          <t>Yes</t>
        </is>
      </c>
      <c r="M1622" s="4" t="inlineStr">
        <is>
          <t>Instant recovery mode. Fast-drying fabric on these joggers is soft on the outside and sleek next to skin for that perfect cool-down feeling.</t>
        </is>
      </c>
      <c r="N1622" s="4" t="inlineStr">
        <is>
          <t>Smooth-Spacer-Jogger</t>
        </is>
      </c>
      <c r="O1622" s="4" t="inlineStr"/>
    </row>
    <row r="1623" ht="80" customHeight="1">
      <c r="A1623" s="7">
        <f>IMAGE("https://images.lululemon.com/is/image/lululemon/LM5B18S_0001_1?wid=320&amp;op_usm=0.8",1)</f>
        <v/>
      </c>
      <c r="B1623" s="7" t="inlineStr">
        <is>
          <t>Smooth Spacer Jogger *Regular</t>
        </is>
      </c>
      <c r="C1623" s="7" t="inlineStr">
        <is>
          <t>157704652</t>
        </is>
      </c>
      <c r="D1623" s="7" t="inlineStr">
        <is>
          <t>157704652-olivebrown</t>
        </is>
      </c>
      <c r="E1623" s="7" t="inlineStr">
        <is>
          <t>Smooth Spacer Jogger *Regular OVBR S</t>
        </is>
      </c>
      <c r="F1623" s="7" t="inlineStr">
        <is>
          <t>$138.00</t>
        </is>
      </c>
      <c r="G1623" s="7" t="inlineStr">
        <is>
          <t>$69.00</t>
        </is>
      </c>
      <c r="H1623" s="7" t="inlineStr">
        <is>
          <t>Olive Brown</t>
        </is>
      </c>
      <c r="I1623" s="7">
        <f>IMAGE("https://images.lululemon.com/is/image/lululemon/71148",1)</f>
        <v/>
      </c>
      <c r="J1623" s="7" t="inlineStr">
        <is>
          <t>L</t>
        </is>
      </c>
      <c r="K1623" s="7" t="inlineStr">
        <is>
          <t>91/634</t>
        </is>
      </c>
      <c r="L1623" s="7" t="inlineStr">
        <is>
          <t>Yes</t>
        </is>
      </c>
      <c r="M1623" s="7" t="inlineStr">
        <is>
          <t>Instant recovery mode. Fast-drying fabric on these joggers is soft on the outside and sleek next to skin for that perfect cool-down feeling.</t>
        </is>
      </c>
      <c r="N1623" s="7" t="inlineStr">
        <is>
          <t>Smooth-Spacer-Jogger</t>
        </is>
      </c>
      <c r="O1623" s="7" t="inlineStr"/>
    </row>
    <row r="1624" ht="80" customHeight="1">
      <c r="A1624" s="4">
        <f>IMAGE("https://images.lululemon.com/is/image/lululemon/LM5B18S_0001_1?wid=320&amp;op_usm=0.8",1)</f>
        <v/>
      </c>
      <c r="B1624" s="4" t="inlineStr">
        <is>
          <t>Smooth Spacer Jogger *Regular</t>
        </is>
      </c>
      <c r="C1624" s="4" t="inlineStr">
        <is>
          <t>157704682</t>
        </is>
      </c>
      <c r="D1624" s="4" t="inlineStr">
        <is>
          <t>157704682-olivebrown</t>
        </is>
      </c>
      <c r="E1624" s="4" t="inlineStr">
        <is>
          <t>Smooth Spacer Jogger *Regular OVBR S</t>
        </is>
      </c>
      <c r="F1624" s="4" t="inlineStr">
        <is>
          <t>$138.00</t>
        </is>
      </c>
      <c r="G1624" s="4" t="inlineStr">
        <is>
          <t>$69.00</t>
        </is>
      </c>
      <c r="H1624" s="4" t="inlineStr">
        <is>
          <t>Olive Brown</t>
        </is>
      </c>
      <c r="I1624" s="4">
        <f>IMAGE("https://images.lululemon.com/is/image/lululemon/71148",1)</f>
        <v/>
      </c>
      <c r="J1624" s="4" t="inlineStr">
        <is>
          <t>XL</t>
        </is>
      </c>
      <c r="K1624" s="4" t="inlineStr">
        <is>
          <t>52/634</t>
        </is>
      </c>
      <c r="L1624" s="4" t="inlineStr">
        <is>
          <t>Yes</t>
        </is>
      </c>
      <c r="M1624" s="4" t="inlineStr">
        <is>
          <t>Instant recovery mode. Fast-drying fabric on these joggers is soft on the outside and sleek next to skin for that perfect cool-down feeling.</t>
        </is>
      </c>
      <c r="N1624" s="4" t="inlineStr">
        <is>
          <t>Smooth-Spacer-Jogger</t>
        </is>
      </c>
      <c r="O1624" s="4" t="inlineStr"/>
    </row>
    <row r="1625" ht="80" customHeight="1">
      <c r="A1625" s="7">
        <f>IMAGE("https://images.lululemon.com/is/image/lululemon/LM5B18S_0001_1?wid=320&amp;op_usm=0.8",1)</f>
        <v/>
      </c>
      <c r="B1625" s="7" t="inlineStr">
        <is>
          <t>Smooth Spacer Jogger *Regular</t>
        </is>
      </c>
      <c r="C1625" s="7" t="inlineStr">
        <is>
          <t>157704694</t>
        </is>
      </c>
      <c r="D1625" s="7" t="inlineStr">
        <is>
          <t>157704694-olivebrown</t>
        </is>
      </c>
      <c r="E1625" s="7" t="inlineStr">
        <is>
          <t>Smooth Spacer Jogger *Regular OVBR S</t>
        </is>
      </c>
      <c r="F1625" s="7" t="inlineStr">
        <is>
          <t>$138.00</t>
        </is>
      </c>
      <c r="G1625" s="7" t="inlineStr">
        <is>
          <t>$69.00</t>
        </is>
      </c>
      <c r="H1625" s="7" t="inlineStr">
        <is>
          <t>Olive Brown</t>
        </is>
      </c>
      <c r="I1625" s="7">
        <f>IMAGE("https://images.lululemon.com/is/image/lululemon/71148",1)</f>
        <v/>
      </c>
      <c r="J1625" s="7" t="inlineStr">
        <is>
          <t>XXL</t>
        </is>
      </c>
      <c r="K1625" s="7" t="inlineStr">
        <is>
          <t>13/634</t>
        </is>
      </c>
      <c r="L1625" s="7" t="inlineStr">
        <is>
          <t>Yes</t>
        </is>
      </c>
      <c r="M1625" s="7" t="inlineStr">
        <is>
          <t>Instant recovery mode. Fast-drying fabric on these joggers is soft on the outside and sleek next to skin for that perfect cool-down feeling.</t>
        </is>
      </c>
      <c r="N1625" s="7" t="inlineStr">
        <is>
          <t>Smooth-Spacer-Jogger</t>
        </is>
      </c>
      <c r="O1625" s="7" t="inlineStr"/>
    </row>
    <row r="1626" ht="80" customHeight="1">
      <c r="A1626" s="4">
        <f>IMAGE("https://images.lululemon.com/is/image/lululemon/LM5B18S_0001_1?wid=320&amp;op_usm=0.8",1)</f>
        <v/>
      </c>
      <c r="B1626" s="4" t="inlineStr">
        <is>
          <t>Smooth Spacer Jogger *Regular</t>
        </is>
      </c>
      <c r="C1626" s="4" t="inlineStr">
        <is>
          <t>158032195</t>
        </is>
      </c>
      <c r="D1626" s="4" t="inlineStr">
        <is>
          <t>158032195-olivebrown</t>
        </is>
      </c>
      <c r="E1626" s="4" t="inlineStr">
        <is>
          <t>Smooth Spacer Jogger *Regular OVBR S</t>
        </is>
      </c>
      <c r="F1626" s="4" t="inlineStr">
        <is>
          <t>$138.00</t>
        </is>
      </c>
      <c r="G1626" s="4" t="inlineStr">
        <is>
          <t>$69.00</t>
        </is>
      </c>
      <c r="H1626" s="4" t="inlineStr">
        <is>
          <t>Olive Brown</t>
        </is>
      </c>
      <c r="I1626" s="4">
        <f>IMAGE("https://images.lululemon.com/is/image/lululemon/71148",1)</f>
        <v/>
      </c>
      <c r="J1626" s="4" t="inlineStr">
        <is>
          <t>3XL</t>
        </is>
      </c>
      <c r="K1626" s="4" t="inlineStr">
        <is>
          <t>5/634</t>
        </is>
      </c>
      <c r="L1626" s="4" t="inlineStr">
        <is>
          <t>Yes</t>
        </is>
      </c>
      <c r="M1626" s="4" t="inlineStr">
        <is>
          <t>Instant recovery mode. Fast-drying fabric on these joggers is soft on the outside and sleek next to skin for that perfect cool-down feeling.</t>
        </is>
      </c>
      <c r="N1626" s="4" t="inlineStr">
        <is>
          <t>Smooth-Spacer-Jogger</t>
        </is>
      </c>
      <c r="O1626" s="4" t="inlineStr"/>
    </row>
    <row r="1627" ht="80" customHeight="1">
      <c r="A1627" s="7">
        <f>IMAGE("https://images.lululemon.com/is/image/lululemon/LM5B18S_0001_1?wid=320&amp;op_usm=0.8",1)</f>
        <v/>
      </c>
      <c r="B1627" s="7" t="inlineStr">
        <is>
          <t>Smooth Spacer Jogger *Regular</t>
        </is>
      </c>
      <c r="C1627" s="7" t="inlineStr">
        <is>
          <t>158032401</t>
        </is>
      </c>
      <c r="D1627" s="7" t="inlineStr">
        <is>
          <t>158032401-steelblue</t>
        </is>
      </c>
      <c r="E1627" s="7" t="inlineStr">
        <is>
          <t>Smooth Spacer Jogger *Regular OVBR S</t>
        </is>
      </c>
      <c r="F1627" s="7" t="inlineStr">
        <is>
          <t>$138.00</t>
        </is>
      </c>
      <c r="G1627" s="7" t="inlineStr">
        <is>
          <t>$69.00</t>
        </is>
      </c>
      <c r="H1627" s="7" t="inlineStr">
        <is>
          <t>Steel Blue</t>
        </is>
      </c>
      <c r="I1627" s="7">
        <f>IMAGE("https://images.lululemon.com/is/image/lululemon/1179",1)</f>
        <v/>
      </c>
      <c r="J1627" s="7" t="inlineStr">
        <is>
          <t>S</t>
        </is>
      </c>
      <c r="K1627" s="7" t="inlineStr">
        <is>
          <t>15/634</t>
        </is>
      </c>
      <c r="L1627" s="7" t="inlineStr">
        <is>
          <t>Yes</t>
        </is>
      </c>
      <c r="M1627" s="7" t="inlineStr">
        <is>
          <t>Instant recovery mode. Fast-drying fabric on these joggers is soft on the outside and sleek next to skin for that perfect cool-down feeling.</t>
        </is>
      </c>
      <c r="N1627" s="7" t="inlineStr">
        <is>
          <t>Smooth-Spacer-Jogger</t>
        </is>
      </c>
      <c r="O1627" s="7" t="inlineStr"/>
    </row>
    <row r="1628" ht="80" customHeight="1">
      <c r="A1628" s="4">
        <f>IMAGE("https://images.lululemon.com/is/image/lululemon/LM5B18S_0001_1?wid=320&amp;op_usm=0.8",1)</f>
        <v/>
      </c>
      <c r="B1628" s="4" t="inlineStr">
        <is>
          <t>Smooth Spacer Jogger *Regular</t>
        </is>
      </c>
      <c r="C1628" s="4" t="inlineStr">
        <is>
          <t>158032379</t>
        </is>
      </c>
      <c r="D1628" s="4" t="inlineStr">
        <is>
          <t>158032379-steelblue</t>
        </is>
      </c>
      <c r="E1628" s="4" t="inlineStr">
        <is>
          <t>Smooth Spacer Jogger *Regular OVBR S</t>
        </is>
      </c>
      <c r="F1628" s="4" t="inlineStr">
        <is>
          <t>$138.00</t>
        </is>
      </c>
      <c r="G1628" s="4" t="inlineStr">
        <is>
          <t>$69.00</t>
        </is>
      </c>
      <c r="H1628" s="4" t="inlineStr">
        <is>
          <t>Steel Blue</t>
        </is>
      </c>
      <c r="I1628" s="4">
        <f>IMAGE("https://images.lululemon.com/is/image/lululemon/1179",1)</f>
        <v/>
      </c>
      <c r="J1628" s="4" t="inlineStr">
        <is>
          <t>M</t>
        </is>
      </c>
      <c r="K1628" s="4" t="inlineStr">
        <is>
          <t>37/634</t>
        </is>
      </c>
      <c r="L1628" s="4" t="inlineStr">
        <is>
          <t>Yes</t>
        </is>
      </c>
      <c r="M1628" s="4" t="inlineStr">
        <is>
          <t>Instant recovery mode. Fast-drying fabric on these joggers is soft on the outside and sleek next to skin for that perfect cool-down feeling.</t>
        </is>
      </c>
      <c r="N1628" s="4" t="inlineStr">
        <is>
          <t>Smooth-Spacer-Jogger</t>
        </is>
      </c>
      <c r="O1628" s="4" t="inlineStr"/>
    </row>
    <row r="1629" ht="80" customHeight="1">
      <c r="A1629" s="7">
        <f>IMAGE("https://images.lululemon.com/is/image/lululemon/LM5B18S_0001_1?wid=320&amp;op_usm=0.8",1)</f>
        <v/>
      </c>
      <c r="B1629" s="7" t="inlineStr">
        <is>
          <t>Smooth Spacer Jogger *Regular</t>
        </is>
      </c>
      <c r="C1629" s="7" t="inlineStr">
        <is>
          <t>158032355</t>
        </is>
      </c>
      <c r="D1629" s="7" t="inlineStr">
        <is>
          <t>158032355-steelblue</t>
        </is>
      </c>
      <c r="E1629" s="7" t="inlineStr">
        <is>
          <t>Smooth Spacer Jogger *Regular OVBR S</t>
        </is>
      </c>
      <c r="F1629" s="7" t="inlineStr">
        <is>
          <t>$138.00</t>
        </is>
      </c>
      <c r="G1629" s="7" t="inlineStr">
        <is>
          <t>$69.00</t>
        </is>
      </c>
      <c r="H1629" s="7" t="inlineStr">
        <is>
          <t>Steel Blue</t>
        </is>
      </c>
      <c r="I1629" s="7">
        <f>IMAGE("https://images.lululemon.com/is/image/lululemon/1179",1)</f>
        <v/>
      </c>
      <c r="J1629" s="7" t="inlineStr">
        <is>
          <t>L</t>
        </is>
      </c>
      <c r="K1629" s="7" t="inlineStr">
        <is>
          <t>46/634</t>
        </is>
      </c>
      <c r="L1629" s="7" t="inlineStr">
        <is>
          <t>Yes</t>
        </is>
      </c>
      <c r="M1629" s="7" t="inlineStr">
        <is>
          <t>Instant recovery mode. Fast-drying fabric on these joggers is soft on the outside and sleek next to skin for that perfect cool-down feeling.</t>
        </is>
      </c>
      <c r="N1629" s="7" t="inlineStr">
        <is>
          <t>Smooth-Spacer-Jogger</t>
        </is>
      </c>
      <c r="O1629" s="7" t="inlineStr"/>
    </row>
    <row r="1630" ht="80" customHeight="1">
      <c r="A1630" s="4">
        <f>IMAGE("https://images.lululemon.com/is/image/lululemon/LM5B18S_0001_1?wid=320&amp;op_usm=0.8",1)</f>
        <v/>
      </c>
      <c r="B1630" s="4" t="inlineStr">
        <is>
          <t>Smooth Spacer Jogger *Regular</t>
        </is>
      </c>
      <c r="C1630" s="4" t="inlineStr">
        <is>
          <t>158032423</t>
        </is>
      </c>
      <c r="D1630" s="4" t="inlineStr">
        <is>
          <t>158032423-steelblue</t>
        </is>
      </c>
      <c r="E1630" s="4" t="inlineStr">
        <is>
          <t>Smooth Spacer Jogger *Regular OVBR S</t>
        </is>
      </c>
      <c r="F1630" s="4" t="inlineStr">
        <is>
          <t>$138.00</t>
        </is>
      </c>
      <c r="G1630" s="4" t="inlineStr">
        <is>
          <t>$69.00</t>
        </is>
      </c>
      <c r="H1630" s="4" t="inlineStr">
        <is>
          <t>Steel Blue</t>
        </is>
      </c>
      <c r="I1630" s="4">
        <f>IMAGE("https://images.lululemon.com/is/image/lululemon/1179",1)</f>
        <v/>
      </c>
      <c r="J1630" s="4" t="inlineStr">
        <is>
          <t>XL</t>
        </is>
      </c>
      <c r="K1630" s="4" t="inlineStr">
        <is>
          <t>26/634</t>
        </is>
      </c>
      <c r="L1630" s="4" t="inlineStr">
        <is>
          <t>Yes</t>
        </is>
      </c>
      <c r="M1630" s="4" t="inlineStr">
        <is>
          <t>Instant recovery mode. Fast-drying fabric on these joggers is soft on the outside and sleek next to skin for that perfect cool-down feeling.</t>
        </is>
      </c>
      <c r="N1630" s="4" t="inlineStr">
        <is>
          <t>Smooth-Spacer-Jogger</t>
        </is>
      </c>
      <c r="O1630" s="4" t="inlineStr"/>
    </row>
    <row r="1631" ht="80" customHeight="1">
      <c r="A1631" s="7">
        <f>IMAGE("https://images.lululemon.com/is/image/lululemon/LM5B18S_0001_1?wid=320&amp;op_usm=0.8",1)</f>
        <v/>
      </c>
      <c r="B1631" s="7" t="inlineStr">
        <is>
          <t>Smooth Spacer Jogger *Regular</t>
        </is>
      </c>
      <c r="C1631" s="7" t="inlineStr">
        <is>
          <t>158032463</t>
        </is>
      </c>
      <c r="D1631" s="7" t="inlineStr">
        <is>
          <t>158032463-steelblue</t>
        </is>
      </c>
      <c r="E1631" s="7" t="inlineStr">
        <is>
          <t>Smooth Spacer Jogger *Regular OVBR S</t>
        </is>
      </c>
      <c r="F1631" s="7" t="inlineStr">
        <is>
          <t>$138.00</t>
        </is>
      </c>
      <c r="G1631" s="7" t="inlineStr">
        <is>
          <t>$69.00</t>
        </is>
      </c>
      <c r="H1631" s="7" t="inlineStr">
        <is>
          <t>Steel Blue</t>
        </is>
      </c>
      <c r="I1631" s="7">
        <f>IMAGE("https://images.lululemon.com/is/image/lululemon/1179",1)</f>
        <v/>
      </c>
      <c r="J1631" s="7" t="inlineStr">
        <is>
          <t>XXL</t>
        </is>
      </c>
      <c r="K1631" s="7" t="inlineStr">
        <is>
          <t>8/634</t>
        </is>
      </c>
      <c r="L1631" s="7" t="inlineStr">
        <is>
          <t>Yes</t>
        </is>
      </c>
      <c r="M1631" s="7" t="inlineStr">
        <is>
          <t>Instant recovery mode. Fast-drying fabric on these joggers is soft on the outside and sleek next to skin for that perfect cool-down feeling.</t>
        </is>
      </c>
      <c r="N1631" s="7" t="inlineStr">
        <is>
          <t>Smooth-Spacer-Jogger</t>
        </is>
      </c>
      <c r="O1631" s="7" t="inlineStr"/>
    </row>
    <row r="1632" ht="80" customHeight="1">
      <c r="A1632" s="4">
        <f>IMAGE("https://images.lululemon.com/is/image/lululemon/LM5B18S_0001_1?wid=320&amp;op_usm=0.8",1)</f>
        <v/>
      </c>
      <c r="B1632" s="4" t="inlineStr">
        <is>
          <t>Smooth Spacer Jogger *Regular</t>
        </is>
      </c>
      <c r="C1632" s="4" t="inlineStr">
        <is>
          <t>153154187</t>
        </is>
      </c>
      <c r="D1632" s="4" t="inlineStr">
        <is>
          <t>153154187-black</t>
        </is>
      </c>
      <c r="E1632" s="4" t="inlineStr">
        <is>
          <t>Smooth Spacer Jogger *Regular OVBR S</t>
        </is>
      </c>
      <c r="F1632" s="4" t="inlineStr">
        <is>
          <t>$138.00</t>
        </is>
      </c>
      <c r="G1632" s="4" t="inlineStr">
        <is>
          <t>$69.00</t>
        </is>
      </c>
      <c r="H1632" s="4" t="inlineStr">
        <is>
          <t>Black</t>
        </is>
      </c>
      <c r="I1632" s="4">
        <f>IMAGE("https://images.lululemon.com/is/image/lululemon/0001",1)</f>
        <v/>
      </c>
      <c r="J1632" s="4" t="inlineStr">
        <is>
          <t>S</t>
        </is>
      </c>
      <c r="K1632" s="4" t="inlineStr">
        <is>
          <t>25/634</t>
        </is>
      </c>
      <c r="L1632" s="4" t="inlineStr">
        <is>
          <t>Yes</t>
        </is>
      </c>
      <c r="M1632" s="4" t="inlineStr">
        <is>
          <t>Instant recovery mode. Fast-drying fabric on these joggers is soft on the outside and sleek next to skin for that perfect cool-down feeling.</t>
        </is>
      </c>
      <c r="N1632" s="4" t="inlineStr">
        <is>
          <t>Smooth-Spacer-Jogger</t>
        </is>
      </c>
      <c r="O1632" s="4" t="inlineStr"/>
    </row>
    <row r="1633" ht="80" customHeight="1">
      <c r="A1633" s="7">
        <f>IMAGE("https://images.lululemon.com/is/image/lululemon/LM5B18S_0001_1?wid=320&amp;op_usm=0.8",1)</f>
        <v/>
      </c>
      <c r="B1633" s="7" t="inlineStr">
        <is>
          <t>Smooth Spacer Jogger *Regular</t>
        </is>
      </c>
      <c r="C1633" s="7" t="inlineStr">
        <is>
          <t>153154181</t>
        </is>
      </c>
      <c r="D1633" s="7" t="inlineStr">
        <is>
          <t>153154181-black</t>
        </is>
      </c>
      <c r="E1633" s="7" t="inlineStr">
        <is>
          <t>Smooth Spacer Jogger *Regular OVBR S</t>
        </is>
      </c>
      <c r="F1633" s="7" t="inlineStr">
        <is>
          <t>$138.00</t>
        </is>
      </c>
      <c r="G1633" s="7" t="inlineStr">
        <is>
          <t>$69.00</t>
        </is>
      </c>
      <c r="H1633" s="7" t="inlineStr">
        <is>
          <t>Black</t>
        </is>
      </c>
      <c r="I1633" s="7">
        <f>IMAGE("https://images.lululemon.com/is/image/lululemon/0001",1)</f>
        <v/>
      </c>
      <c r="J1633" s="7" t="inlineStr">
        <is>
          <t>M</t>
        </is>
      </c>
      <c r="K1633" s="7" t="inlineStr">
        <is>
          <t>79/634</t>
        </is>
      </c>
      <c r="L1633" s="7" t="inlineStr">
        <is>
          <t>Yes</t>
        </is>
      </c>
      <c r="M1633" s="7" t="inlineStr">
        <is>
          <t>Instant recovery mode. Fast-drying fabric on these joggers is soft on the outside and sleek next to skin for that perfect cool-down feeling.</t>
        </is>
      </c>
      <c r="N1633" s="7" t="inlineStr">
        <is>
          <t>Smooth-Spacer-Jogger</t>
        </is>
      </c>
      <c r="O1633" s="7" t="inlineStr"/>
    </row>
    <row r="1634" ht="80" customHeight="1">
      <c r="A1634" s="4">
        <f>IMAGE("https://images.lululemon.com/is/image/lululemon/LM5B18S_0001_1?wid=320&amp;op_usm=0.8",1)</f>
        <v/>
      </c>
      <c r="B1634" s="4" t="inlineStr">
        <is>
          <t>Smooth Spacer Jogger *Regular</t>
        </is>
      </c>
      <c r="C1634" s="4" t="inlineStr">
        <is>
          <t>153154178</t>
        </is>
      </c>
      <c r="D1634" s="4" t="inlineStr">
        <is>
          <t>153154178-black</t>
        </is>
      </c>
      <c r="E1634" s="4" t="inlineStr">
        <is>
          <t>Smooth Spacer Jogger *Regular OVBR S</t>
        </is>
      </c>
      <c r="F1634" s="4" t="inlineStr">
        <is>
          <t>$138.00</t>
        </is>
      </c>
      <c r="G1634" s="4" t="inlineStr">
        <is>
          <t>$69.00</t>
        </is>
      </c>
      <c r="H1634" s="4" t="inlineStr">
        <is>
          <t>Black</t>
        </is>
      </c>
      <c r="I1634" s="4">
        <f>IMAGE("https://images.lululemon.com/is/image/lululemon/0001",1)</f>
        <v/>
      </c>
      <c r="J1634" s="4" t="inlineStr">
        <is>
          <t>L</t>
        </is>
      </c>
      <c r="K1634" s="4" t="inlineStr">
        <is>
          <t>67/634</t>
        </is>
      </c>
      <c r="L1634" s="4" t="inlineStr">
        <is>
          <t>Yes</t>
        </is>
      </c>
      <c r="M1634" s="4" t="inlineStr">
        <is>
          <t>Instant recovery mode. Fast-drying fabric on these joggers is soft on the outside and sleek next to skin for that perfect cool-down feeling.</t>
        </is>
      </c>
      <c r="N1634" s="4" t="inlineStr">
        <is>
          <t>Smooth-Spacer-Jogger</t>
        </is>
      </c>
      <c r="O1634" s="4" t="inlineStr"/>
    </row>
    <row r="1635" ht="80" customHeight="1">
      <c r="A1635" s="7">
        <f>IMAGE("https://images.lululemon.com/is/image/lululemon/LM5B18S_0001_1?wid=320&amp;op_usm=0.8",1)</f>
        <v/>
      </c>
      <c r="B1635" s="7" t="inlineStr">
        <is>
          <t>Smooth Spacer Jogger *Regular</t>
        </is>
      </c>
      <c r="C1635" s="7" t="inlineStr">
        <is>
          <t>153154191</t>
        </is>
      </c>
      <c r="D1635" s="7" t="inlineStr">
        <is>
          <t>153154191-black</t>
        </is>
      </c>
      <c r="E1635" s="7" t="inlineStr">
        <is>
          <t>Smooth Spacer Jogger *Regular OVBR S</t>
        </is>
      </c>
      <c r="F1635" s="7" t="inlineStr">
        <is>
          <t>$138.00</t>
        </is>
      </c>
      <c r="G1635" s="7" t="inlineStr">
        <is>
          <t>$69.00</t>
        </is>
      </c>
      <c r="H1635" s="7" t="inlineStr">
        <is>
          <t>Black</t>
        </is>
      </c>
      <c r="I1635" s="7">
        <f>IMAGE("https://images.lululemon.com/is/image/lululemon/0001",1)</f>
        <v/>
      </c>
      <c r="J1635" s="7" t="inlineStr">
        <is>
          <t>XL</t>
        </is>
      </c>
      <c r="K1635" s="7" t="inlineStr">
        <is>
          <t>39/634</t>
        </is>
      </c>
      <c r="L1635" s="7" t="inlineStr">
        <is>
          <t>Yes</t>
        </is>
      </c>
      <c r="M1635" s="7" t="inlineStr">
        <is>
          <t>Instant recovery mode. Fast-drying fabric on these joggers is soft on the outside and sleek next to skin for that perfect cool-down feeling.</t>
        </is>
      </c>
      <c r="N1635" s="7" t="inlineStr">
        <is>
          <t>Smooth-Spacer-Jogger</t>
        </is>
      </c>
      <c r="O1635" s="7" t="inlineStr"/>
    </row>
    <row r="1636" ht="80" customHeight="1">
      <c r="A1636" s="4">
        <f>IMAGE("https://images.lululemon.com/is/image/lululemon/LM5B18S_0001_1?wid=320&amp;op_usm=0.8",1)</f>
        <v/>
      </c>
      <c r="B1636" s="4" t="inlineStr">
        <is>
          <t>Smooth Spacer Jogger *Regular</t>
        </is>
      </c>
      <c r="C1636" s="4" t="inlineStr">
        <is>
          <t>153154200</t>
        </is>
      </c>
      <c r="D1636" s="4" t="inlineStr">
        <is>
          <t>153154200-black</t>
        </is>
      </c>
      <c r="E1636" s="4" t="inlineStr">
        <is>
          <t>Smooth Spacer Jogger *Regular OVBR S</t>
        </is>
      </c>
      <c r="F1636" s="4" t="inlineStr">
        <is>
          <t>$138.00</t>
        </is>
      </c>
      <c r="G1636" s="4" t="inlineStr">
        <is>
          <t>$69.00</t>
        </is>
      </c>
      <c r="H1636" s="4" t="inlineStr">
        <is>
          <t>Black</t>
        </is>
      </c>
      <c r="I1636" s="4">
        <f>IMAGE("https://images.lululemon.com/is/image/lululemon/0001",1)</f>
        <v/>
      </c>
      <c r="J1636" s="4" t="inlineStr">
        <is>
          <t>XXL</t>
        </is>
      </c>
      <c r="K1636" s="4" t="inlineStr">
        <is>
          <t>14/634</t>
        </is>
      </c>
      <c r="L1636" s="4" t="inlineStr">
        <is>
          <t>Yes</t>
        </is>
      </c>
      <c r="M1636" s="4" t="inlineStr">
        <is>
          <t>Instant recovery mode. Fast-drying fabric on these joggers is soft on the outside and sleek next to skin for that perfect cool-down feeling.</t>
        </is>
      </c>
      <c r="N1636" s="4" t="inlineStr">
        <is>
          <t>Smooth-Spacer-Jogger</t>
        </is>
      </c>
      <c r="O1636" s="4" t="inlineStr"/>
    </row>
    <row r="1637" ht="80" customHeight="1">
      <c r="A1637" s="5">
        <f>IMAGE("https://images.lululemon.com/is/image/lululemon/LM5B18S_0001_1?wid=320&amp;op_usm=0.8",1)</f>
        <v/>
      </c>
      <c r="B1637" s="5" t="inlineStr">
        <is>
          <t>Smooth Spacer Jogger *Regular</t>
        </is>
      </c>
      <c r="C1637" s="5" t="inlineStr">
        <is>
          <t>153154163</t>
        </is>
      </c>
      <c r="D1637" s="5" t="inlineStr">
        <is>
          <t>153154163-black</t>
        </is>
      </c>
      <c r="E1637" s="5" t="inlineStr">
        <is>
          <t>Smooth Spacer Jogger *Regular OVBR S</t>
        </is>
      </c>
      <c r="F1637" s="5" t="inlineStr">
        <is>
          <t>$138.00</t>
        </is>
      </c>
      <c r="G1637" s="5" t="inlineStr">
        <is>
          <t>$69.00</t>
        </is>
      </c>
      <c r="H1637" s="5" t="inlineStr">
        <is>
          <t>Black</t>
        </is>
      </c>
      <c r="I1637" s="5">
        <f>IMAGE("https://images.lululemon.com/is/image/lululemon/0001",1)</f>
        <v/>
      </c>
      <c r="J1637" s="5" t="inlineStr">
        <is>
          <t>3XL</t>
        </is>
      </c>
      <c r="K1637" s="5" t="inlineStr">
        <is>
          <t>3/634</t>
        </is>
      </c>
      <c r="L1637" s="5" t="inlineStr">
        <is>
          <t>Yes</t>
        </is>
      </c>
      <c r="M1637" s="5" t="inlineStr">
        <is>
          <t>Instant recovery mode. Fast-drying fabric on these joggers is soft on the outside and sleek next to skin for that perfect cool-down feeling.</t>
        </is>
      </c>
      <c r="N1637" s="5" t="inlineStr">
        <is>
          <t>Smooth-Spacer-Jogger</t>
        </is>
      </c>
      <c r="O1637" s="5" t="inlineStr"/>
    </row>
    <row r="1638" ht="80" customHeight="1">
      <c r="A1638" s="4">
        <f>IMAGE("https://images.lululemon.com/is/image/lululemon/LM3EX9S_035955_1?wid=320&amp;op_usm=0.8",1)</f>
        <v/>
      </c>
      <c r="B1638" s="4" t="inlineStr">
        <is>
          <t>Textured Spacer Anorak</t>
        </is>
      </c>
      <c r="C1638" s="4" t="inlineStr">
        <is>
          <t>154884416</t>
        </is>
      </c>
      <c r="D1638" s="4" t="inlineStr">
        <is>
          <t>154884416-nomad</t>
        </is>
      </c>
      <c r="E1638" s="4" t="inlineStr">
        <is>
          <t>Textured Spacer Anorak NOMD S</t>
        </is>
      </c>
      <c r="F1638" s="4" t="inlineStr">
        <is>
          <t>$148.00</t>
        </is>
      </c>
      <c r="G1638" s="4" t="inlineStr">
        <is>
          <t>$74.00</t>
        </is>
      </c>
      <c r="H1638" s="4" t="inlineStr">
        <is>
          <t>Nomad</t>
        </is>
      </c>
      <c r="I1638" s="4">
        <f>IMAGE("https://images.lululemon.com/is/image/lululemon/35955",1)</f>
        <v/>
      </c>
      <c r="J1638" s="4" t="inlineStr">
        <is>
          <t>S</t>
        </is>
      </c>
      <c r="K1638" s="4" t="inlineStr">
        <is>
          <t>6/45</t>
        </is>
      </c>
      <c r="L1638" s="4" t="inlineStr">
        <is>
          <t>Yes</t>
        </is>
      </c>
      <c r="M1638" s="4" t="inlineStr">
        <is>
          <t>Technical comfort at its finest. This anorak uses spacer construction to create a warm, lofty fabric that feels soft and has a slightly structured look.</t>
        </is>
      </c>
      <c r="N1638" s="4" t="inlineStr">
        <is>
          <t>Textured-Spacer-Anorak</t>
        </is>
      </c>
      <c r="O1638" s="4" t="inlineStr"/>
    </row>
    <row r="1639" ht="80" customHeight="1">
      <c r="A1639" s="7">
        <f>IMAGE("https://images.lululemon.com/is/image/lululemon/LM3EX9S_035955_1?wid=320&amp;op_usm=0.8",1)</f>
        <v/>
      </c>
      <c r="B1639" s="7" t="inlineStr">
        <is>
          <t>Textured Spacer Anorak</t>
        </is>
      </c>
      <c r="C1639" s="7" t="inlineStr">
        <is>
          <t>154884403</t>
        </is>
      </c>
      <c r="D1639" s="7" t="inlineStr">
        <is>
          <t>154884403-nomad</t>
        </is>
      </c>
      <c r="E1639" s="7" t="inlineStr">
        <is>
          <t>Textured Spacer Anorak NOMD S</t>
        </is>
      </c>
      <c r="F1639" s="7" t="inlineStr">
        <is>
          <t>$148.00</t>
        </is>
      </c>
      <c r="G1639" s="7" t="inlineStr">
        <is>
          <t>$74.00</t>
        </is>
      </c>
      <c r="H1639" s="7" t="inlineStr">
        <is>
          <t>Nomad</t>
        </is>
      </c>
      <c r="I1639" s="7">
        <f>IMAGE("https://images.lululemon.com/is/image/lululemon/35955",1)</f>
        <v/>
      </c>
      <c r="J1639" s="7" t="inlineStr">
        <is>
          <t>M</t>
        </is>
      </c>
      <c r="K1639" s="7" t="inlineStr">
        <is>
          <t>21/45</t>
        </is>
      </c>
      <c r="L1639" s="7" t="inlineStr">
        <is>
          <t>Yes</t>
        </is>
      </c>
      <c r="M1639" s="7" t="inlineStr">
        <is>
          <t>Technical comfort at its finest. This anorak uses spacer construction to create a warm, lofty fabric that feels soft and has a slightly structured look.</t>
        </is>
      </c>
      <c r="N1639" s="7" t="inlineStr">
        <is>
          <t>Textured-Spacer-Anorak</t>
        </is>
      </c>
      <c r="O1639" s="7" t="inlineStr"/>
    </row>
    <row r="1640" ht="80" customHeight="1">
      <c r="A1640" s="4">
        <f>IMAGE("https://images.lululemon.com/is/image/lululemon/LM3EX9S_035955_1?wid=320&amp;op_usm=0.8",1)</f>
        <v/>
      </c>
      <c r="B1640" s="4" t="inlineStr">
        <is>
          <t>Textured Spacer Anorak</t>
        </is>
      </c>
      <c r="C1640" s="4" t="inlineStr">
        <is>
          <t>154884389</t>
        </is>
      </c>
      <c r="D1640" s="4" t="inlineStr">
        <is>
          <t>154884389-nomad</t>
        </is>
      </c>
      <c r="E1640" s="4" t="inlineStr">
        <is>
          <t>Textured Spacer Anorak NOMD S</t>
        </is>
      </c>
      <c r="F1640" s="4" t="inlineStr">
        <is>
          <t>$148.00</t>
        </is>
      </c>
      <c r="G1640" s="4" t="inlineStr">
        <is>
          <t>$74.00</t>
        </is>
      </c>
      <c r="H1640" s="4" t="inlineStr">
        <is>
          <t>Nomad</t>
        </is>
      </c>
      <c r="I1640" s="4">
        <f>IMAGE("https://images.lululemon.com/is/image/lululemon/35955",1)</f>
        <v/>
      </c>
      <c r="J1640" s="4" t="inlineStr">
        <is>
          <t>L</t>
        </is>
      </c>
      <c r="K1640" s="4" t="inlineStr">
        <is>
          <t>9/45</t>
        </is>
      </c>
      <c r="L1640" s="4" t="inlineStr">
        <is>
          <t>Yes</t>
        </is>
      </c>
      <c r="M1640" s="4" t="inlineStr">
        <is>
          <t>Technical comfort at its finest. This anorak uses spacer construction to create a warm, lofty fabric that feels soft and has a slightly structured look.</t>
        </is>
      </c>
      <c r="N1640" s="4" t="inlineStr">
        <is>
          <t>Textured-Spacer-Anorak</t>
        </is>
      </c>
      <c r="O1640" s="4" t="inlineStr"/>
    </row>
    <row r="1641" ht="80" customHeight="1">
      <c r="A1641" s="5">
        <f>IMAGE("https://images.lululemon.com/is/image/lululemon/LM3EX9S_035955_1?wid=320&amp;op_usm=0.8",1)</f>
        <v/>
      </c>
      <c r="B1641" s="5" t="inlineStr">
        <is>
          <t>Textured Spacer Anorak</t>
        </is>
      </c>
      <c r="C1641" s="5" t="inlineStr">
        <is>
          <t>154884428</t>
        </is>
      </c>
      <c r="D1641" s="5" t="inlineStr">
        <is>
          <t>154884428-nomad</t>
        </is>
      </c>
      <c r="E1641" s="5" t="inlineStr">
        <is>
          <t>Textured Spacer Anorak NOMD S</t>
        </is>
      </c>
      <c r="F1641" s="5" t="inlineStr">
        <is>
          <t>$148.00</t>
        </is>
      </c>
      <c r="G1641" s="5" t="inlineStr">
        <is>
          <t>$74.00</t>
        </is>
      </c>
      <c r="H1641" s="5" t="inlineStr">
        <is>
          <t>Nomad</t>
        </is>
      </c>
      <c r="I1641" s="5">
        <f>IMAGE("https://images.lululemon.com/is/image/lululemon/35955",1)</f>
        <v/>
      </c>
      <c r="J1641" s="5" t="inlineStr">
        <is>
          <t>XL</t>
        </is>
      </c>
      <c r="K1641" s="5" t="inlineStr">
        <is>
          <t>9/45</t>
        </is>
      </c>
      <c r="L1641" s="5" t="inlineStr">
        <is>
          <t>Yes</t>
        </is>
      </c>
      <c r="M1641" s="5" t="inlineStr">
        <is>
          <t>Technical comfort at its finest. This anorak uses spacer construction to create a warm, lofty fabric that feels soft and has a slightly structured look.</t>
        </is>
      </c>
      <c r="N1641" s="5" t="inlineStr">
        <is>
          <t>Textured-Spacer-Anorak</t>
        </is>
      </c>
      <c r="O1641" s="5" t="inlineStr"/>
    </row>
    <row r="1642" ht="80" customHeight="1">
      <c r="A1642" s="4">
        <f>IMAGE("https://images.lululemon.com/is/image/lululemon/LU9DO6S_0002_1?wid=320&amp;op_usm=0.8",1)</f>
        <v/>
      </c>
      <c r="B1642" s="4" t="inlineStr">
        <is>
          <t>Unisex Daily Essential Quarter Socks</t>
        </is>
      </c>
      <c r="C1642" s="4" t="inlineStr">
        <is>
          <t>157768510</t>
        </is>
      </c>
      <c r="D1642" s="4" t="inlineStr">
        <is>
          <t>157768510-white</t>
        </is>
      </c>
      <c r="E1642" s="4" t="inlineStr">
        <is>
          <t>Daily Essential Socks WHT S</t>
        </is>
      </c>
      <c r="F1642" s="4" t="inlineStr">
        <is>
          <t>$14.00</t>
        </is>
      </c>
      <c r="G1642" s="4" t="inlineStr">
        <is>
          <t>$7.00</t>
        </is>
      </c>
      <c r="H1642" s="4" t="inlineStr">
        <is>
          <t>White</t>
        </is>
      </c>
      <c r="I1642" s="4">
        <f>IMAGE("https://images.lululemon.com/is/image/lululemon/0002",1)</f>
        <v/>
      </c>
      <c r="J1642" s="4" t="inlineStr">
        <is>
          <t>S</t>
        </is>
      </c>
      <c r="K1642" s="4" t="inlineStr">
        <is>
          <t>70/416</t>
        </is>
      </c>
      <c r="L1642" s="4" t="inlineStr">
        <is>
          <t>Yes</t>
        </is>
      </c>
      <c r="M1642" s="4" t="inlineStr">
        <is>
          <t>Top drawer comfort. These soft cotton socks combine integrated arch support and plush cushioning.</t>
        </is>
      </c>
      <c r="N1642" s="4" t="inlineStr">
        <is>
          <t>Unisex-Daily-Essential-Quarter-Socks</t>
        </is>
      </c>
      <c r="O1642" s="4" t="inlineStr">
        <is>
          <t>Quarter Socks</t>
        </is>
      </c>
    </row>
    <row r="1643" ht="80" customHeight="1">
      <c r="A1643" s="7">
        <f>IMAGE("https://images.lululemon.com/is/image/lululemon/LU9DO6S_0002_1?wid=320&amp;op_usm=0.8",1)</f>
        <v/>
      </c>
      <c r="B1643" s="7" t="inlineStr">
        <is>
          <t>Unisex Daily Essential Quarter Socks</t>
        </is>
      </c>
      <c r="C1643" s="7" t="inlineStr">
        <is>
          <t>157768508</t>
        </is>
      </c>
      <c r="D1643" s="7" t="inlineStr">
        <is>
          <t>157768508-white</t>
        </is>
      </c>
      <c r="E1643" s="7" t="inlineStr">
        <is>
          <t>Daily Essential Socks WHT S</t>
        </is>
      </c>
      <c r="F1643" s="7" t="inlineStr">
        <is>
          <t>$14.00</t>
        </is>
      </c>
      <c r="G1643" s="7" t="inlineStr">
        <is>
          <t>$7.00</t>
        </is>
      </c>
      <c r="H1643" s="7" t="inlineStr">
        <is>
          <t>White</t>
        </is>
      </c>
      <c r="I1643" s="7">
        <f>IMAGE("https://images.lululemon.com/is/image/lululemon/0002",1)</f>
        <v/>
      </c>
      <c r="J1643" s="7" t="inlineStr">
        <is>
          <t>M</t>
        </is>
      </c>
      <c r="K1643" s="7" t="inlineStr">
        <is>
          <t>149/416</t>
        </is>
      </c>
      <c r="L1643" s="7" t="inlineStr">
        <is>
          <t>Yes</t>
        </is>
      </c>
      <c r="M1643" s="7" t="inlineStr">
        <is>
          <t>Top drawer comfort. These soft cotton socks combine integrated arch support and plush cushioning.</t>
        </is>
      </c>
      <c r="N1643" s="7" t="inlineStr">
        <is>
          <t>Unisex-Daily-Essential-Quarter-Socks</t>
        </is>
      </c>
      <c r="O1643" s="7" t="inlineStr">
        <is>
          <t>Quarter Socks</t>
        </is>
      </c>
    </row>
    <row r="1644" ht="80" customHeight="1">
      <c r="A1644" s="4">
        <f>IMAGE("https://images.lululemon.com/is/image/lululemon/LU9DO6S_0002_1?wid=320&amp;op_usm=0.8",1)</f>
        <v/>
      </c>
      <c r="B1644" s="4" t="inlineStr">
        <is>
          <t>Unisex Daily Essential Quarter Socks</t>
        </is>
      </c>
      <c r="C1644" s="4" t="inlineStr">
        <is>
          <t>157768500</t>
        </is>
      </c>
      <c r="D1644" s="4" t="inlineStr">
        <is>
          <t>157768500-white</t>
        </is>
      </c>
      <c r="E1644" s="4" t="inlineStr">
        <is>
          <t>Daily Essential Socks WHT S</t>
        </is>
      </c>
      <c r="F1644" s="4" t="inlineStr">
        <is>
          <t>$14.00</t>
        </is>
      </c>
      <c r="G1644" s="4" t="inlineStr">
        <is>
          <t>$7.00</t>
        </is>
      </c>
      <c r="H1644" s="4" t="inlineStr">
        <is>
          <t>White</t>
        </is>
      </c>
      <c r="I1644" s="4">
        <f>IMAGE("https://images.lululemon.com/is/image/lululemon/0002",1)</f>
        <v/>
      </c>
      <c r="J1644" s="4" t="inlineStr">
        <is>
          <t>L</t>
        </is>
      </c>
      <c r="K1644" s="4" t="inlineStr">
        <is>
          <t>139/416</t>
        </is>
      </c>
      <c r="L1644" s="4" t="inlineStr">
        <is>
          <t>Yes</t>
        </is>
      </c>
      <c r="M1644" s="4" t="inlineStr">
        <is>
          <t>Top drawer comfort. These soft cotton socks combine integrated arch support and plush cushioning.</t>
        </is>
      </c>
      <c r="N1644" s="4" t="inlineStr">
        <is>
          <t>Unisex-Daily-Essential-Quarter-Socks</t>
        </is>
      </c>
      <c r="O1644" s="4" t="inlineStr">
        <is>
          <t>Quarter Socks</t>
        </is>
      </c>
    </row>
    <row r="1645" ht="80" customHeight="1">
      <c r="A1645" s="7">
        <f>IMAGE("https://images.lululemon.com/is/image/lululemon/LU9DO6S_0002_1?wid=320&amp;op_usm=0.8",1)</f>
        <v/>
      </c>
      <c r="B1645" s="7" t="inlineStr">
        <is>
          <t>Unisex Daily Essential Quarter Socks</t>
        </is>
      </c>
      <c r="C1645" s="7" t="inlineStr">
        <is>
          <t>157768516</t>
        </is>
      </c>
      <c r="D1645" s="7" t="inlineStr">
        <is>
          <t>157768516-white</t>
        </is>
      </c>
      <c r="E1645" s="7" t="inlineStr">
        <is>
          <t>Daily Essential Socks WHT S</t>
        </is>
      </c>
      <c r="F1645" s="7" t="inlineStr">
        <is>
          <t>$14.00</t>
        </is>
      </c>
      <c r="G1645" s="7" t="inlineStr">
        <is>
          <t>$7.00</t>
        </is>
      </c>
      <c r="H1645" s="7" t="inlineStr">
        <is>
          <t>White</t>
        </is>
      </c>
      <c r="I1645" s="7">
        <f>IMAGE("https://images.lululemon.com/is/image/lululemon/0002",1)</f>
        <v/>
      </c>
      <c r="J1645" s="7" t="inlineStr">
        <is>
          <t>XL</t>
        </is>
      </c>
      <c r="K1645" s="7" t="inlineStr">
        <is>
          <t>41/416</t>
        </is>
      </c>
      <c r="L1645" s="7" t="inlineStr">
        <is>
          <t>Yes</t>
        </is>
      </c>
      <c r="M1645" s="7" t="inlineStr">
        <is>
          <t>Top drawer comfort. These soft cotton socks combine integrated arch support and plush cushioning.</t>
        </is>
      </c>
      <c r="N1645" s="7" t="inlineStr">
        <is>
          <t>Unisex-Daily-Essential-Quarter-Socks</t>
        </is>
      </c>
      <c r="O1645" s="7" t="inlineStr">
        <is>
          <t>Quarter Socks</t>
        </is>
      </c>
    </row>
    <row r="1646" ht="80" customHeight="1">
      <c r="A1646" s="6">
        <f>IMAGE("https://images.lululemon.com/is/image/lululemon/LU9DO6S_0002_1?wid=320&amp;op_usm=0.8",1)</f>
        <v/>
      </c>
      <c r="B1646" s="6" t="inlineStr">
        <is>
          <t>Unisex Daily Essential Quarter Socks</t>
        </is>
      </c>
      <c r="C1646" s="6" t="inlineStr">
        <is>
          <t>157768482</t>
        </is>
      </c>
      <c r="D1646" s="6" t="inlineStr">
        <is>
          <t>157768482-black</t>
        </is>
      </c>
      <c r="E1646" s="6" t="inlineStr">
        <is>
          <t>Daily Essential Socks WHT S</t>
        </is>
      </c>
      <c r="F1646" s="6" t="inlineStr">
        <is>
          <t>$14.00</t>
        </is>
      </c>
      <c r="G1646" s="6" t="inlineStr">
        <is>
          <t>$7.00</t>
        </is>
      </c>
      <c r="H1646" s="6" t="inlineStr">
        <is>
          <t>Black</t>
        </is>
      </c>
      <c r="I1646" s="6">
        <f>IMAGE("https://images.lululemon.com/is/image/lululemon/0001",1)</f>
        <v/>
      </c>
      <c r="J1646" s="6" t="inlineStr">
        <is>
          <t>L</t>
        </is>
      </c>
      <c r="K1646" s="6" t="inlineStr">
        <is>
          <t>17/416</t>
        </is>
      </c>
      <c r="L1646" s="6" t="inlineStr">
        <is>
          <t>Yes</t>
        </is>
      </c>
      <c r="M1646" s="6" t="inlineStr">
        <is>
          <t>Top drawer comfort. These soft cotton socks combine integrated arch support and plush cushioning.</t>
        </is>
      </c>
      <c r="N1646" s="6" t="inlineStr">
        <is>
          <t>Unisex-Daily-Essential-Quarter-Socks</t>
        </is>
      </c>
      <c r="O1646" s="6" t="inlineStr">
        <is>
          <t>Quarter Socks</t>
        </is>
      </c>
    </row>
    <row r="1647" ht="80" customHeight="1">
      <c r="A1647" s="7">
        <f>IMAGE("https://images.lululemon.com/is/image/lululemon/LM4AIHS_031382_1?wid=320&amp;op_usm=0.8",1)</f>
        <v/>
      </c>
      <c r="B1647" s="7" t="inlineStr">
        <is>
          <t>Wunder Puff 600-Down-Fill Vest</t>
        </is>
      </c>
      <c r="C1647" s="7" t="inlineStr">
        <is>
          <t>147155582</t>
        </is>
      </c>
      <c r="D1647" s="7" t="inlineStr">
        <is>
          <t>147155582-truenavy</t>
        </is>
      </c>
      <c r="E1647" s="7" t="inlineStr">
        <is>
          <t>Wunder Puff Vest TRNV S</t>
        </is>
      </c>
      <c r="F1647" s="7" t="inlineStr">
        <is>
          <t>$268.00</t>
        </is>
      </c>
      <c r="G1647" s="7" t="inlineStr">
        <is>
          <t>$134.00</t>
        </is>
      </c>
      <c r="H1647" s="7" t="inlineStr">
        <is>
          <t>True Navy</t>
        </is>
      </c>
      <c r="I1647" s="7">
        <f>IMAGE("https://images.lululemon.com/is/image/lululemon/31382",1)</f>
        <v/>
      </c>
      <c r="J1647" s="7" t="inlineStr">
        <is>
          <t>S</t>
        </is>
      </c>
      <c r="K1647" s="7" t="inlineStr">
        <is>
          <t>5/56</t>
        </is>
      </c>
      <c r="L1647" s="7" t="inlineStr">
        <is>
          <t>Yes</t>
        </is>
      </c>
      <c r="M1647" s="7" t="inlineStr">
        <is>
          <t>Peak cold-weather comfort has arrived. Take winter by storm in this wonderfully warm puffer vest that is insulated with plush channels of 600-fill-power down.</t>
        </is>
      </c>
      <c r="N1647" s="7" t="inlineStr">
        <is>
          <t>Wunder-Puff-Vest</t>
        </is>
      </c>
      <c r="O1647" s="7" t="inlineStr">
        <is>
          <t>Vests, Puffer Jackets</t>
        </is>
      </c>
    </row>
    <row r="1648" ht="80" customHeight="1">
      <c r="A1648" s="4">
        <f>IMAGE("https://images.lululemon.com/is/image/lululemon/LM4AIHS_031382_1?wid=320&amp;op_usm=0.8",1)</f>
        <v/>
      </c>
      <c r="B1648" s="4" t="inlineStr">
        <is>
          <t>Wunder Puff 600-Down-Fill Vest</t>
        </is>
      </c>
      <c r="C1648" s="4" t="inlineStr">
        <is>
          <t>147155580</t>
        </is>
      </c>
      <c r="D1648" s="4" t="inlineStr">
        <is>
          <t>147155580-truenavy</t>
        </is>
      </c>
      <c r="E1648" s="4" t="inlineStr">
        <is>
          <t>Wunder Puff Vest TRNV S</t>
        </is>
      </c>
      <c r="F1648" s="4" t="inlineStr">
        <is>
          <t>$268.00</t>
        </is>
      </c>
      <c r="G1648" s="4" t="inlineStr">
        <is>
          <t>$134.00</t>
        </is>
      </c>
      <c r="H1648" s="4" t="inlineStr">
        <is>
          <t>True Navy</t>
        </is>
      </c>
      <c r="I1648" s="4">
        <f>IMAGE("https://images.lululemon.com/is/image/lululemon/31382",1)</f>
        <v/>
      </c>
      <c r="J1648" s="4" t="inlineStr">
        <is>
          <t>M</t>
        </is>
      </c>
      <c r="K1648" s="4" t="inlineStr">
        <is>
          <t>9/56</t>
        </is>
      </c>
      <c r="L1648" s="4" t="inlineStr">
        <is>
          <t>Yes</t>
        </is>
      </c>
      <c r="M1648" s="4" t="inlineStr">
        <is>
          <t>Peak cold-weather comfort has arrived. Take winter by storm in this wonderfully warm puffer vest that is insulated with plush channels of 600-fill-power down.</t>
        </is>
      </c>
      <c r="N1648" s="4" t="inlineStr">
        <is>
          <t>Wunder-Puff-Vest</t>
        </is>
      </c>
      <c r="O1648" s="4" t="inlineStr">
        <is>
          <t>Vests, Puffer Jackets</t>
        </is>
      </c>
    </row>
    <row r="1649" ht="80" customHeight="1">
      <c r="A1649" s="7">
        <f>IMAGE("https://images.lululemon.com/is/image/lululemon/LM4AIHS_031382_1?wid=320&amp;op_usm=0.8",1)</f>
        <v/>
      </c>
      <c r="B1649" s="7" t="inlineStr">
        <is>
          <t>Wunder Puff 600-Down-Fill Vest</t>
        </is>
      </c>
      <c r="C1649" s="7" t="inlineStr">
        <is>
          <t>147155578</t>
        </is>
      </c>
      <c r="D1649" s="7" t="inlineStr">
        <is>
          <t>147155578-truenavy</t>
        </is>
      </c>
      <c r="E1649" s="7" t="inlineStr">
        <is>
          <t>Wunder Puff Vest TRNV S</t>
        </is>
      </c>
      <c r="F1649" s="7" t="inlineStr">
        <is>
          <t>$268.00</t>
        </is>
      </c>
      <c r="G1649" s="7" t="inlineStr">
        <is>
          <t>$134.00</t>
        </is>
      </c>
      <c r="H1649" s="7" t="inlineStr">
        <is>
          <t>True Navy</t>
        </is>
      </c>
      <c r="I1649" s="7">
        <f>IMAGE("https://images.lululemon.com/is/image/lululemon/31382",1)</f>
        <v/>
      </c>
      <c r="J1649" s="7" t="inlineStr">
        <is>
          <t>L</t>
        </is>
      </c>
      <c r="K1649" s="7" t="inlineStr">
        <is>
          <t>23/56</t>
        </is>
      </c>
      <c r="L1649" s="7" t="inlineStr">
        <is>
          <t>Yes</t>
        </is>
      </c>
      <c r="M1649" s="7" t="inlineStr">
        <is>
          <t>Peak cold-weather comfort has arrived. Take winter by storm in this wonderfully warm puffer vest that is insulated with plush channels of 600-fill-power down.</t>
        </is>
      </c>
      <c r="N1649" s="7" t="inlineStr">
        <is>
          <t>Wunder-Puff-Vest</t>
        </is>
      </c>
      <c r="O1649" s="7" t="inlineStr">
        <is>
          <t>Vests, Puffer Jackets</t>
        </is>
      </c>
    </row>
    <row r="1650" ht="80" customHeight="1">
      <c r="A1650" s="4">
        <f>IMAGE("https://images.lululemon.com/is/image/lululemon/LM4AIHS_031382_1?wid=320&amp;op_usm=0.8",1)</f>
        <v/>
      </c>
      <c r="B1650" s="4" t="inlineStr">
        <is>
          <t>Wunder Puff 600-Down-Fill Vest</t>
        </is>
      </c>
      <c r="C1650" s="4" t="inlineStr">
        <is>
          <t>147155584</t>
        </is>
      </c>
      <c r="D1650" s="4" t="inlineStr">
        <is>
          <t>147155584-truenavy</t>
        </is>
      </c>
      <c r="E1650" s="4" t="inlineStr">
        <is>
          <t>Wunder Puff Vest TRNV S</t>
        </is>
      </c>
      <c r="F1650" s="4" t="inlineStr">
        <is>
          <t>$268.00</t>
        </is>
      </c>
      <c r="G1650" s="4" t="inlineStr">
        <is>
          <t>$134.00</t>
        </is>
      </c>
      <c r="H1650" s="4" t="inlineStr">
        <is>
          <t>True Navy</t>
        </is>
      </c>
      <c r="I1650" s="4">
        <f>IMAGE("https://images.lululemon.com/is/image/lululemon/31382",1)</f>
        <v/>
      </c>
      <c r="J1650" s="4" t="inlineStr">
        <is>
          <t>XL</t>
        </is>
      </c>
      <c r="K1650" s="4" t="inlineStr">
        <is>
          <t>17/56</t>
        </is>
      </c>
      <c r="L1650" s="4" t="inlineStr">
        <is>
          <t>Yes</t>
        </is>
      </c>
      <c r="M1650" s="4" t="inlineStr">
        <is>
          <t>Peak cold-weather comfort has arrived. Take winter by storm in this wonderfully warm puffer vest that is insulated with plush channels of 600-fill-power down.</t>
        </is>
      </c>
      <c r="N1650" s="4" t="inlineStr">
        <is>
          <t>Wunder-Puff-Vest</t>
        </is>
      </c>
      <c r="O1650" s="4" t="inlineStr">
        <is>
          <t>Vests, Puffer Jackets</t>
        </is>
      </c>
    </row>
    <row r="1651" ht="80" customHeight="1">
      <c r="A1651" s="5">
        <f>IMAGE("https://images.lululemon.com/is/image/lululemon/LM4AIHS_031382_1?wid=320&amp;op_usm=0.8",1)</f>
        <v/>
      </c>
      <c r="B1651" s="5" t="inlineStr">
        <is>
          <t>Wunder Puff 600-Down-Fill Vest</t>
        </is>
      </c>
      <c r="C1651" s="5" t="inlineStr">
        <is>
          <t>147155589</t>
        </is>
      </c>
      <c r="D1651" s="5" t="inlineStr">
        <is>
          <t>147155589-truenavy</t>
        </is>
      </c>
      <c r="E1651" s="5" t="inlineStr">
        <is>
          <t>Wunder Puff Vest TRNV S</t>
        </is>
      </c>
      <c r="F1651" s="5" t="inlineStr">
        <is>
          <t>$268.00</t>
        </is>
      </c>
      <c r="G1651" s="5" t="inlineStr">
        <is>
          <t>$134.00</t>
        </is>
      </c>
      <c r="H1651" s="5" t="inlineStr">
        <is>
          <t>True Navy</t>
        </is>
      </c>
      <c r="I1651" s="5">
        <f>IMAGE("https://images.lululemon.com/is/image/lululemon/31382",1)</f>
        <v/>
      </c>
      <c r="J1651" s="5" t="inlineStr">
        <is>
          <t>XXL</t>
        </is>
      </c>
      <c r="K1651" s="5" t="inlineStr">
        <is>
          <t>2/56</t>
        </is>
      </c>
      <c r="L1651" s="5" t="inlineStr">
        <is>
          <t>Yes</t>
        </is>
      </c>
      <c r="M1651" s="5" t="inlineStr">
        <is>
          <t>Peak cold-weather comfort has arrived. Take winter by storm in this wonderfully warm puffer vest that is insulated with plush channels of 600-fill-power down.</t>
        </is>
      </c>
      <c r="N1651" s="5" t="inlineStr">
        <is>
          <t>Wunder-Puff-Vest</t>
        </is>
      </c>
      <c r="O1651" s="5" t="inlineStr">
        <is>
          <t>Vests, Puffer Jackets</t>
        </is>
      </c>
    </row>
    <row r="1652" ht="80" customHeight="1">
      <c r="A1652" s="4">
        <f>IMAGE("https://images.lululemon.com/is/image/lululemon/LM3GFIS_033928_1?wid=320&amp;op_usm=0.8",1)</f>
        <v/>
      </c>
      <c r="B1652" s="4" t="inlineStr">
        <is>
          <t>Mile Maker Mesh Short-Sleeve T-Shirt</t>
        </is>
      </c>
      <c r="C1652" s="4" t="inlineStr">
        <is>
          <t>157701360</t>
        </is>
      </c>
      <c r="D1652" s="4" t="inlineStr">
        <is>
          <t>157701360-silverdrop</t>
        </is>
      </c>
      <c r="E1652" s="4" t="inlineStr">
        <is>
          <t>Mile Maker Mesh Short Sleeve SILD S</t>
        </is>
      </c>
      <c r="F1652" s="4" t="inlineStr">
        <is>
          <t>$58.00</t>
        </is>
      </c>
      <c r="G1652" s="4" t="inlineStr">
        <is>
          <t>$29.00</t>
        </is>
      </c>
      <c r="H1652" s="4" t="inlineStr">
        <is>
          <t>Silver Drop</t>
        </is>
      </c>
      <c r="I1652" s="4">
        <f>IMAGE("https://images.lululemon.com/is/image/lululemon/33928",1)</f>
        <v/>
      </c>
      <c r="J1652" s="4" t="inlineStr">
        <is>
          <t>S</t>
        </is>
      </c>
      <c r="K1652" s="4" t="inlineStr">
        <is>
          <t>21/753</t>
        </is>
      </c>
      <c r="L1652" s="4" t="inlineStr">
        <is>
          <t>Yes</t>
        </is>
      </c>
      <c r="M1652" s="4" t="inlineStr">
        <is>
          <t>Take flight. This featherlight, breezy mesh running top is made with lyocell fibres to add a natural softness to your long-distance run sessions.</t>
        </is>
      </c>
      <c r="N1652" s="4" t="inlineStr">
        <is>
          <t>Mile-Maker-Mesh-Short-Sleeve-T-Shirt</t>
        </is>
      </c>
      <c r="O1652" s="4" t="inlineStr"/>
    </row>
    <row r="1653" ht="80" customHeight="1">
      <c r="A1653" s="7">
        <f>IMAGE("https://images.lululemon.com/is/image/lululemon/LM3GFIS_033928_1?wid=320&amp;op_usm=0.8",1)</f>
        <v/>
      </c>
      <c r="B1653" s="7" t="inlineStr">
        <is>
          <t>Mile Maker Mesh Short-Sleeve T-Shirt</t>
        </is>
      </c>
      <c r="C1653" s="7" t="inlineStr">
        <is>
          <t>157701358</t>
        </is>
      </c>
      <c r="D1653" s="7" t="inlineStr">
        <is>
          <t>157701358-silverdrop</t>
        </is>
      </c>
      <c r="E1653" s="7" t="inlineStr">
        <is>
          <t>Mile Maker Mesh Short Sleeve SILD S</t>
        </is>
      </c>
      <c r="F1653" s="7" t="inlineStr">
        <is>
          <t>$58.00</t>
        </is>
      </c>
      <c r="G1653" s="7" t="inlineStr">
        <is>
          <t>$29.00</t>
        </is>
      </c>
      <c r="H1653" s="7" t="inlineStr">
        <is>
          <t>Silver Drop</t>
        </is>
      </c>
      <c r="I1653" s="7">
        <f>IMAGE("https://images.lululemon.com/is/image/lululemon/33928",1)</f>
        <v/>
      </c>
      <c r="J1653" s="7" t="inlineStr">
        <is>
          <t>M</t>
        </is>
      </c>
      <c r="K1653" s="7" t="inlineStr">
        <is>
          <t>58/753</t>
        </is>
      </c>
      <c r="L1653" s="7" t="inlineStr">
        <is>
          <t>Yes</t>
        </is>
      </c>
      <c r="M1653" s="7" t="inlineStr">
        <is>
          <t>Take flight. This featherlight, breezy mesh running top is made with lyocell fibres to add a natural softness to your long-distance run sessions.</t>
        </is>
      </c>
      <c r="N1653" s="7" t="inlineStr">
        <is>
          <t>Mile-Maker-Mesh-Short-Sleeve-T-Shirt</t>
        </is>
      </c>
      <c r="O1653" s="7" t="inlineStr"/>
    </row>
    <row r="1654" ht="80" customHeight="1">
      <c r="A1654" s="4">
        <f>IMAGE("https://images.lululemon.com/is/image/lululemon/LM3GFIS_033928_1?wid=320&amp;op_usm=0.8",1)</f>
        <v/>
      </c>
      <c r="B1654" s="4" t="inlineStr">
        <is>
          <t>Mile Maker Mesh Short-Sleeve T-Shirt</t>
        </is>
      </c>
      <c r="C1654" s="4" t="inlineStr">
        <is>
          <t>157701356</t>
        </is>
      </c>
      <c r="D1654" s="4" t="inlineStr">
        <is>
          <t>157701356-silverdrop</t>
        </is>
      </c>
      <c r="E1654" s="4" t="inlineStr">
        <is>
          <t>Mile Maker Mesh Short Sleeve SILD S</t>
        </is>
      </c>
      <c r="F1654" s="4" t="inlineStr">
        <is>
          <t>$58.00</t>
        </is>
      </c>
      <c r="G1654" s="4" t="inlineStr">
        <is>
          <t>$29.00</t>
        </is>
      </c>
      <c r="H1654" s="4" t="inlineStr">
        <is>
          <t>Silver Drop</t>
        </is>
      </c>
      <c r="I1654" s="4">
        <f>IMAGE("https://images.lululemon.com/is/image/lululemon/33928",1)</f>
        <v/>
      </c>
      <c r="J1654" s="4" t="inlineStr">
        <is>
          <t>L</t>
        </is>
      </c>
      <c r="K1654" s="4" t="inlineStr">
        <is>
          <t>85/753</t>
        </is>
      </c>
      <c r="L1654" s="4" t="inlineStr">
        <is>
          <t>Yes</t>
        </is>
      </c>
      <c r="M1654" s="4" t="inlineStr">
        <is>
          <t>Take flight. This featherlight, breezy mesh running top is made with lyocell fibres to add a natural softness to your long-distance run sessions.</t>
        </is>
      </c>
      <c r="N1654" s="4" t="inlineStr">
        <is>
          <t>Mile-Maker-Mesh-Short-Sleeve-T-Shirt</t>
        </is>
      </c>
      <c r="O1654" s="4" t="inlineStr"/>
    </row>
    <row r="1655" ht="80" customHeight="1">
      <c r="A1655" s="7">
        <f>IMAGE("https://images.lululemon.com/is/image/lululemon/LM3GFIS_033928_1?wid=320&amp;op_usm=0.8",1)</f>
        <v/>
      </c>
      <c r="B1655" s="7" t="inlineStr">
        <is>
          <t>Mile Maker Mesh Short-Sleeve T-Shirt</t>
        </is>
      </c>
      <c r="C1655" s="7" t="inlineStr">
        <is>
          <t>157701363</t>
        </is>
      </c>
      <c r="D1655" s="7" t="inlineStr">
        <is>
          <t>157701363-silverdrop</t>
        </is>
      </c>
      <c r="E1655" s="7" t="inlineStr">
        <is>
          <t>Mile Maker Mesh Short Sleeve SILD S</t>
        </is>
      </c>
      <c r="F1655" s="7" t="inlineStr">
        <is>
          <t>$58.00</t>
        </is>
      </c>
      <c r="G1655" s="7" t="inlineStr">
        <is>
          <t>$29.00</t>
        </is>
      </c>
      <c r="H1655" s="7" t="inlineStr">
        <is>
          <t>Silver Drop</t>
        </is>
      </c>
      <c r="I1655" s="7">
        <f>IMAGE("https://images.lululemon.com/is/image/lululemon/33928",1)</f>
        <v/>
      </c>
      <c r="J1655" s="7" t="inlineStr">
        <is>
          <t>XL</t>
        </is>
      </c>
      <c r="K1655" s="7" t="inlineStr">
        <is>
          <t>57/753</t>
        </is>
      </c>
      <c r="L1655" s="7" t="inlineStr">
        <is>
          <t>Yes</t>
        </is>
      </c>
      <c r="M1655" s="7" t="inlineStr">
        <is>
          <t>Take flight. This featherlight, breezy mesh running top is made with lyocell fibres to add a natural softness to your long-distance run sessions.</t>
        </is>
      </c>
      <c r="N1655" s="7" t="inlineStr">
        <is>
          <t>Mile-Maker-Mesh-Short-Sleeve-T-Shirt</t>
        </is>
      </c>
      <c r="O1655" s="7" t="inlineStr"/>
    </row>
    <row r="1656" ht="80" customHeight="1">
      <c r="A1656" s="4">
        <f>IMAGE("https://images.lululemon.com/is/image/lululemon/LM3GFIS_033928_1?wid=320&amp;op_usm=0.8",1)</f>
        <v/>
      </c>
      <c r="B1656" s="4" t="inlineStr">
        <is>
          <t>Mile Maker Mesh Short-Sleeve T-Shirt</t>
        </is>
      </c>
      <c r="C1656" s="4" t="inlineStr">
        <is>
          <t>157701365</t>
        </is>
      </c>
      <c r="D1656" s="4" t="inlineStr">
        <is>
          <t>157701365-silverdrop</t>
        </is>
      </c>
      <c r="E1656" s="4" t="inlineStr">
        <is>
          <t>Mile Maker Mesh Short Sleeve SILD S</t>
        </is>
      </c>
      <c r="F1656" s="4" t="inlineStr">
        <is>
          <t>$58.00</t>
        </is>
      </c>
      <c r="G1656" s="4" t="inlineStr">
        <is>
          <t>$29.00</t>
        </is>
      </c>
      <c r="H1656" s="4" t="inlineStr">
        <is>
          <t>Silver Drop</t>
        </is>
      </c>
      <c r="I1656" s="4">
        <f>IMAGE("https://images.lululemon.com/is/image/lululemon/33928",1)</f>
        <v/>
      </c>
      <c r="J1656" s="4" t="inlineStr">
        <is>
          <t>XXL</t>
        </is>
      </c>
      <c r="K1656" s="4" t="inlineStr">
        <is>
          <t>31/753</t>
        </is>
      </c>
      <c r="L1656" s="4" t="inlineStr">
        <is>
          <t>Yes</t>
        </is>
      </c>
      <c r="M1656" s="4" t="inlineStr">
        <is>
          <t>Take flight. This featherlight, breezy mesh running top is made with lyocell fibres to add a natural softness to your long-distance run sessions.</t>
        </is>
      </c>
      <c r="N1656" s="4" t="inlineStr">
        <is>
          <t>Mile-Maker-Mesh-Short-Sleeve-T-Shirt</t>
        </is>
      </c>
      <c r="O1656" s="4" t="inlineStr"/>
    </row>
    <row r="1657" ht="80" customHeight="1">
      <c r="A1657" s="7">
        <f>IMAGE("https://images.lululemon.com/is/image/lululemon/LM3GFIS_033928_1?wid=320&amp;op_usm=0.8",1)</f>
        <v/>
      </c>
      <c r="B1657" s="7" t="inlineStr">
        <is>
          <t>Mile Maker Mesh Short-Sleeve T-Shirt</t>
        </is>
      </c>
      <c r="C1657" s="7" t="inlineStr">
        <is>
          <t>157701346</t>
        </is>
      </c>
      <c r="D1657" s="7" t="inlineStr">
        <is>
          <t>157701346-black</t>
        </is>
      </c>
      <c r="E1657" s="7" t="inlineStr">
        <is>
          <t>Mile Maker Mesh Short Sleeve SILD S</t>
        </is>
      </c>
      <c r="F1657" s="7" t="inlineStr">
        <is>
          <t>$58.00</t>
        </is>
      </c>
      <c r="G1657" s="7" t="inlineStr">
        <is>
          <t>$29.00</t>
        </is>
      </c>
      <c r="H1657" s="7" t="inlineStr">
        <is>
          <t>Black</t>
        </is>
      </c>
      <c r="I1657" s="7">
        <f>IMAGE("https://images.lululemon.com/is/image/lululemon/0001",1)</f>
        <v/>
      </c>
      <c r="J1657" s="7" t="inlineStr">
        <is>
          <t>S</t>
        </is>
      </c>
      <c r="K1657" s="7" t="inlineStr">
        <is>
          <t>47/753</t>
        </is>
      </c>
      <c r="L1657" s="7" t="inlineStr">
        <is>
          <t>Yes</t>
        </is>
      </c>
      <c r="M1657" s="7" t="inlineStr">
        <is>
          <t>Take flight. This featherlight, breezy mesh running top is made with lyocell fibres to add a natural softness to your long-distance run sessions.</t>
        </is>
      </c>
      <c r="N1657" s="7" t="inlineStr">
        <is>
          <t>Mile-Maker-Mesh-Short-Sleeve-T-Shirt</t>
        </is>
      </c>
      <c r="O1657" s="7" t="inlineStr"/>
    </row>
    <row r="1658" ht="80" customHeight="1">
      <c r="A1658" s="4">
        <f>IMAGE("https://images.lululemon.com/is/image/lululemon/LM3GFIS_033928_1?wid=320&amp;op_usm=0.8",1)</f>
        <v/>
      </c>
      <c r="B1658" s="4" t="inlineStr">
        <is>
          <t>Mile Maker Mesh Short-Sleeve T-Shirt</t>
        </is>
      </c>
      <c r="C1658" s="4" t="inlineStr">
        <is>
          <t>157701343</t>
        </is>
      </c>
      <c r="D1658" s="4" t="inlineStr">
        <is>
          <t>157701343-black</t>
        </is>
      </c>
      <c r="E1658" s="4" t="inlineStr">
        <is>
          <t>Mile Maker Mesh Short Sleeve SILD S</t>
        </is>
      </c>
      <c r="F1658" s="4" t="inlineStr">
        <is>
          <t>$58.00</t>
        </is>
      </c>
      <c r="G1658" s="4" t="inlineStr">
        <is>
          <t>$29.00</t>
        </is>
      </c>
      <c r="H1658" s="4" t="inlineStr">
        <is>
          <t>Black</t>
        </is>
      </c>
      <c r="I1658" s="4">
        <f>IMAGE("https://images.lululemon.com/is/image/lululemon/0001",1)</f>
        <v/>
      </c>
      <c r="J1658" s="4" t="inlineStr">
        <is>
          <t>M</t>
        </is>
      </c>
      <c r="K1658" s="4" t="inlineStr">
        <is>
          <t>132/753</t>
        </is>
      </c>
      <c r="L1658" s="4" t="inlineStr">
        <is>
          <t>Yes</t>
        </is>
      </c>
      <c r="M1658" s="4" t="inlineStr">
        <is>
          <t>Take flight. This featherlight, breezy mesh running top is made with lyocell fibres to add a natural softness to your long-distance run sessions.</t>
        </is>
      </c>
      <c r="N1658" s="4" t="inlineStr">
        <is>
          <t>Mile-Maker-Mesh-Short-Sleeve-T-Shirt</t>
        </is>
      </c>
      <c r="O1658" s="4" t="inlineStr"/>
    </row>
    <row r="1659" ht="80" customHeight="1">
      <c r="A1659" s="7">
        <f>IMAGE("https://images.lululemon.com/is/image/lululemon/LM3GFIS_033928_1?wid=320&amp;op_usm=0.8",1)</f>
        <v/>
      </c>
      <c r="B1659" s="7" t="inlineStr">
        <is>
          <t>Mile Maker Mesh Short-Sleeve T-Shirt</t>
        </is>
      </c>
      <c r="C1659" s="7" t="inlineStr">
        <is>
          <t>157701340</t>
        </is>
      </c>
      <c r="D1659" s="7" t="inlineStr">
        <is>
          <t>157701340-black</t>
        </is>
      </c>
      <c r="E1659" s="7" t="inlineStr">
        <is>
          <t>Mile Maker Mesh Short Sleeve SILD S</t>
        </is>
      </c>
      <c r="F1659" s="7" t="inlineStr">
        <is>
          <t>$58.00</t>
        </is>
      </c>
      <c r="G1659" s="7" t="inlineStr">
        <is>
          <t>$29.00</t>
        </is>
      </c>
      <c r="H1659" s="7" t="inlineStr">
        <is>
          <t>Black</t>
        </is>
      </c>
      <c r="I1659" s="7">
        <f>IMAGE("https://images.lululemon.com/is/image/lululemon/0001",1)</f>
        <v/>
      </c>
      <c r="J1659" s="7" t="inlineStr">
        <is>
          <t>L</t>
        </is>
      </c>
      <c r="K1659" s="7" t="inlineStr">
        <is>
          <t>172/753</t>
        </is>
      </c>
      <c r="L1659" s="7" t="inlineStr">
        <is>
          <t>Yes</t>
        </is>
      </c>
      <c r="M1659" s="7" t="inlineStr">
        <is>
          <t>Take flight. This featherlight, breezy mesh running top is made with lyocell fibres to add a natural softness to your long-distance run sessions.</t>
        </is>
      </c>
      <c r="N1659" s="7" t="inlineStr">
        <is>
          <t>Mile-Maker-Mesh-Short-Sleeve-T-Shirt</t>
        </is>
      </c>
      <c r="O1659" s="7" t="inlineStr"/>
    </row>
    <row r="1660" ht="80" customHeight="1">
      <c r="A1660" s="4">
        <f>IMAGE("https://images.lululemon.com/is/image/lululemon/LM3GFIS_033928_1?wid=320&amp;op_usm=0.8",1)</f>
        <v/>
      </c>
      <c r="B1660" s="4" t="inlineStr">
        <is>
          <t>Mile Maker Mesh Short-Sleeve T-Shirt</t>
        </is>
      </c>
      <c r="C1660" s="4" t="inlineStr">
        <is>
          <t>157701348</t>
        </is>
      </c>
      <c r="D1660" s="4" t="inlineStr">
        <is>
          <t>157701348-black</t>
        </is>
      </c>
      <c r="E1660" s="4" t="inlineStr">
        <is>
          <t>Mile Maker Mesh Short Sleeve SILD S</t>
        </is>
      </c>
      <c r="F1660" s="4" t="inlineStr">
        <is>
          <t>$58.00</t>
        </is>
      </c>
      <c r="G1660" s="4" t="inlineStr">
        <is>
          <t>$29.00</t>
        </is>
      </c>
      <c r="H1660" s="4" t="inlineStr">
        <is>
          <t>Black</t>
        </is>
      </c>
      <c r="I1660" s="4">
        <f>IMAGE("https://images.lululemon.com/is/image/lululemon/0001",1)</f>
        <v/>
      </c>
      <c r="J1660" s="4" t="inlineStr">
        <is>
          <t>XL</t>
        </is>
      </c>
      <c r="K1660" s="4" t="inlineStr">
        <is>
          <t>114/753</t>
        </is>
      </c>
      <c r="L1660" s="4" t="inlineStr">
        <is>
          <t>Yes</t>
        </is>
      </c>
      <c r="M1660" s="4" t="inlineStr">
        <is>
          <t>Take flight. This featherlight, breezy mesh running top is made with lyocell fibres to add a natural softness to your long-distance run sessions.</t>
        </is>
      </c>
      <c r="N1660" s="4" t="inlineStr">
        <is>
          <t>Mile-Maker-Mesh-Short-Sleeve-T-Shirt</t>
        </is>
      </c>
      <c r="O1660" s="4" t="inlineStr"/>
    </row>
    <row r="1661" ht="80" customHeight="1">
      <c r="A1661" s="5">
        <f>IMAGE("https://images.lululemon.com/is/image/lululemon/LM3GFIS_033928_1?wid=320&amp;op_usm=0.8",1)</f>
        <v/>
      </c>
      <c r="B1661" s="5" t="inlineStr">
        <is>
          <t>Mile Maker Mesh Short-Sleeve T-Shirt</t>
        </is>
      </c>
      <c r="C1661" s="5" t="inlineStr">
        <is>
          <t>157701353</t>
        </is>
      </c>
      <c r="D1661" s="5" t="inlineStr">
        <is>
          <t>157701353-black</t>
        </is>
      </c>
      <c r="E1661" s="5" t="inlineStr">
        <is>
          <t>Mile Maker Mesh Short Sleeve SILD S</t>
        </is>
      </c>
      <c r="F1661" s="5" t="inlineStr">
        <is>
          <t>$58.00</t>
        </is>
      </c>
      <c r="G1661" s="5" t="inlineStr">
        <is>
          <t>$29.00</t>
        </is>
      </c>
      <c r="H1661" s="5" t="inlineStr">
        <is>
          <t>Black</t>
        </is>
      </c>
      <c r="I1661" s="5">
        <f>IMAGE("https://images.lululemon.com/is/image/lululemon/0001",1)</f>
        <v/>
      </c>
      <c r="J1661" s="5" t="inlineStr">
        <is>
          <t>XXL</t>
        </is>
      </c>
      <c r="K1661" s="5" t="inlineStr">
        <is>
          <t>36/753</t>
        </is>
      </c>
      <c r="L1661" s="5" t="inlineStr">
        <is>
          <t>Yes</t>
        </is>
      </c>
      <c r="M1661" s="5" t="inlineStr">
        <is>
          <t>Take flight. This featherlight, breezy mesh running top is made with lyocell fibres to add a natural softness to your long-distance run sessions.</t>
        </is>
      </c>
      <c r="N1661" s="5" t="inlineStr">
        <is>
          <t>Mile-Maker-Mesh-Short-Sleeve-T-Shirt</t>
        </is>
      </c>
      <c r="O1661" s="5" t="inlineStr"/>
    </row>
    <row r="1662" ht="80" customHeight="1">
      <c r="A1662" s="4">
        <f>IMAGE("https://images.lululemon.com/is/image/lululemon/LM7BJSS_0001_1?wid=320&amp;op_usm=0.8",1)</f>
        <v/>
      </c>
      <c r="B1662" s="4" t="inlineStr">
        <is>
          <t>Zeroed In Linerless Short 5"</t>
        </is>
      </c>
      <c r="C1662" s="4" t="inlineStr">
        <is>
          <t>151652037</t>
        </is>
      </c>
      <c r="D1662" s="4" t="inlineStr">
        <is>
          <t>151652037-truenavy</t>
        </is>
      </c>
      <c r="E1662" s="4" t="inlineStr">
        <is>
          <t>Zeroed In Short 5" *LL TRNV S</t>
        </is>
      </c>
      <c r="F1662" s="4" t="inlineStr">
        <is>
          <t>$68.00</t>
        </is>
      </c>
      <c r="G1662" s="4" t="inlineStr">
        <is>
          <t>$34.00</t>
        </is>
      </c>
      <c r="H1662" s="4" t="inlineStr">
        <is>
          <t>True Navy</t>
        </is>
      </c>
      <c r="I1662" s="4">
        <f>IMAGE("https://images.lululemon.com/is/image/lululemon/31382",1)</f>
        <v/>
      </c>
      <c r="J1662" s="4" t="inlineStr">
        <is>
          <t>S</t>
        </is>
      </c>
      <c r="K1662" s="4" t="inlineStr">
        <is>
          <t>12/635</t>
        </is>
      </c>
      <c r="L1662" s="4" t="inlineStr">
        <is>
          <t>Yes</t>
        </is>
      </c>
      <c r="M1662" s="4" t="inlineStr">
        <is>
          <t>Work out or hang out. These versatile shorts are designed to keep up with every way you like to move.</t>
        </is>
      </c>
      <c r="N1662" s="4" t="inlineStr">
        <is>
          <t>Zeroed-In-Linerless-Short-5</t>
        </is>
      </c>
      <c r="O1662" s="4" t="inlineStr">
        <is>
          <t>Athletic Shorts, Track Shorts</t>
        </is>
      </c>
    </row>
    <row r="1663" ht="80" customHeight="1">
      <c r="A1663" s="7">
        <f>IMAGE("https://images.lululemon.com/is/image/lululemon/LM7BJSS_0001_1?wid=320&amp;op_usm=0.8",1)</f>
        <v/>
      </c>
      <c r="B1663" s="7" t="inlineStr">
        <is>
          <t>Zeroed In Linerless Short 5"</t>
        </is>
      </c>
      <c r="C1663" s="7" t="inlineStr">
        <is>
          <t>151652034</t>
        </is>
      </c>
      <c r="D1663" s="7" t="inlineStr">
        <is>
          <t>151652034-truenavy</t>
        </is>
      </c>
      <c r="E1663" s="7" t="inlineStr">
        <is>
          <t>Zeroed In Short 5" *LL TRNV S</t>
        </is>
      </c>
      <c r="F1663" s="7" t="inlineStr">
        <is>
          <t>$68.00</t>
        </is>
      </c>
      <c r="G1663" s="7" t="inlineStr">
        <is>
          <t>$34.00</t>
        </is>
      </c>
      <c r="H1663" s="7" t="inlineStr">
        <is>
          <t>True Navy</t>
        </is>
      </c>
      <c r="I1663" s="7">
        <f>IMAGE("https://images.lululemon.com/is/image/lululemon/31382",1)</f>
        <v/>
      </c>
      <c r="J1663" s="7" t="inlineStr">
        <is>
          <t>M</t>
        </is>
      </c>
      <c r="K1663" s="7" t="inlineStr">
        <is>
          <t>28/635</t>
        </is>
      </c>
      <c r="L1663" s="7" t="inlineStr">
        <is>
          <t>Yes</t>
        </is>
      </c>
      <c r="M1663" s="7" t="inlineStr">
        <is>
          <t>Work out or hang out. These versatile shorts are designed to keep up with every way you like to move.</t>
        </is>
      </c>
      <c r="N1663" s="7" t="inlineStr">
        <is>
          <t>Zeroed-In-Linerless-Short-5</t>
        </is>
      </c>
      <c r="O1663" s="7" t="inlineStr">
        <is>
          <t>Athletic Shorts, Track Shorts</t>
        </is>
      </c>
    </row>
    <row r="1664" ht="80" customHeight="1">
      <c r="A1664" s="4">
        <f>IMAGE("https://images.lululemon.com/is/image/lululemon/LM7BJSS_0001_1?wid=320&amp;op_usm=0.8",1)</f>
        <v/>
      </c>
      <c r="B1664" s="4" t="inlineStr">
        <is>
          <t>Zeroed In Linerless Short 5"</t>
        </is>
      </c>
      <c r="C1664" s="4" t="inlineStr">
        <is>
          <t>151652031</t>
        </is>
      </c>
      <c r="D1664" s="4" t="inlineStr">
        <is>
          <t>151652031-truenavy</t>
        </is>
      </c>
      <c r="E1664" s="4" t="inlineStr">
        <is>
          <t>Zeroed In Short 5" *LL TRNV S</t>
        </is>
      </c>
      <c r="F1664" s="4" t="inlineStr">
        <is>
          <t>$68.00</t>
        </is>
      </c>
      <c r="G1664" s="4" t="inlineStr">
        <is>
          <t>$34.00</t>
        </is>
      </c>
      <c r="H1664" s="4" t="inlineStr">
        <is>
          <t>True Navy</t>
        </is>
      </c>
      <c r="I1664" s="4">
        <f>IMAGE("https://images.lululemon.com/is/image/lululemon/31382",1)</f>
        <v/>
      </c>
      <c r="J1664" s="4" t="inlineStr">
        <is>
          <t>L</t>
        </is>
      </c>
      <c r="K1664" s="4" t="inlineStr">
        <is>
          <t>35/635</t>
        </is>
      </c>
      <c r="L1664" s="4" t="inlineStr">
        <is>
          <t>Yes</t>
        </is>
      </c>
      <c r="M1664" s="4" t="inlineStr">
        <is>
          <t>Work out or hang out. These versatile shorts are designed to keep up with every way you like to move.</t>
        </is>
      </c>
      <c r="N1664" s="4" t="inlineStr">
        <is>
          <t>Zeroed-In-Linerless-Short-5</t>
        </is>
      </c>
      <c r="O1664" s="4" t="inlineStr">
        <is>
          <t>Athletic Shorts, Track Shorts</t>
        </is>
      </c>
    </row>
    <row r="1665" ht="80" customHeight="1">
      <c r="A1665" s="7">
        <f>IMAGE("https://images.lululemon.com/is/image/lululemon/LM7BJSS_0001_1?wid=320&amp;op_usm=0.8",1)</f>
        <v/>
      </c>
      <c r="B1665" s="7" t="inlineStr">
        <is>
          <t>Zeroed In Linerless Short 5"</t>
        </is>
      </c>
      <c r="C1665" s="7" t="inlineStr">
        <is>
          <t>151652040</t>
        </is>
      </c>
      <c r="D1665" s="7" t="inlineStr">
        <is>
          <t>151652040-truenavy</t>
        </is>
      </c>
      <c r="E1665" s="7" t="inlineStr">
        <is>
          <t>Zeroed In Short 5" *LL TRNV S</t>
        </is>
      </c>
      <c r="F1665" s="7" t="inlineStr">
        <is>
          <t>$68.00</t>
        </is>
      </c>
      <c r="G1665" s="7" t="inlineStr">
        <is>
          <t>$34.00</t>
        </is>
      </c>
      <c r="H1665" s="7" t="inlineStr">
        <is>
          <t>True Navy</t>
        </is>
      </c>
      <c r="I1665" s="7">
        <f>IMAGE("https://images.lululemon.com/is/image/lululemon/31382",1)</f>
        <v/>
      </c>
      <c r="J1665" s="7" t="inlineStr">
        <is>
          <t>XL</t>
        </is>
      </c>
      <c r="K1665" s="7" t="inlineStr">
        <is>
          <t>23/635</t>
        </is>
      </c>
      <c r="L1665" s="7" t="inlineStr">
        <is>
          <t>Yes</t>
        </is>
      </c>
      <c r="M1665" s="7" t="inlineStr">
        <is>
          <t>Work out or hang out. These versatile shorts are designed to keep up with every way you like to move.</t>
        </is>
      </c>
      <c r="N1665" s="7" t="inlineStr">
        <is>
          <t>Zeroed-In-Linerless-Short-5</t>
        </is>
      </c>
      <c r="O1665" s="7" t="inlineStr">
        <is>
          <t>Athletic Shorts, Track Shorts</t>
        </is>
      </c>
    </row>
    <row r="1666" ht="80" customHeight="1">
      <c r="A1666" s="4">
        <f>IMAGE("https://images.lululemon.com/is/image/lululemon/LM7BJSS_0001_1?wid=320&amp;op_usm=0.8",1)</f>
        <v/>
      </c>
      <c r="B1666" s="4" t="inlineStr">
        <is>
          <t>Zeroed In Linerless Short 5"</t>
        </is>
      </c>
      <c r="C1666" s="4" t="inlineStr">
        <is>
          <t>151652046</t>
        </is>
      </c>
      <c r="D1666" s="4" t="inlineStr">
        <is>
          <t>151652046-truenavy</t>
        </is>
      </c>
      <c r="E1666" s="4" t="inlineStr">
        <is>
          <t>Zeroed In Short 5" *LL TRNV S</t>
        </is>
      </c>
      <c r="F1666" s="4" t="inlineStr">
        <is>
          <t>$68.00</t>
        </is>
      </c>
      <c r="G1666" s="4" t="inlineStr">
        <is>
          <t>$34.00</t>
        </is>
      </c>
      <c r="H1666" s="4" t="inlineStr">
        <is>
          <t>True Navy</t>
        </is>
      </c>
      <c r="I1666" s="4">
        <f>IMAGE("https://images.lululemon.com/is/image/lululemon/31382",1)</f>
        <v/>
      </c>
      <c r="J1666" s="4" t="inlineStr">
        <is>
          <t>XXL</t>
        </is>
      </c>
      <c r="K1666" s="4" t="inlineStr">
        <is>
          <t>7/635</t>
        </is>
      </c>
      <c r="L1666" s="4" t="inlineStr">
        <is>
          <t>Yes</t>
        </is>
      </c>
      <c r="M1666" s="4" t="inlineStr">
        <is>
          <t>Work out or hang out. These versatile shorts are designed to keep up with every way you like to move.</t>
        </is>
      </c>
      <c r="N1666" s="4" t="inlineStr">
        <is>
          <t>Zeroed-In-Linerless-Short-5</t>
        </is>
      </c>
      <c r="O1666" s="4" t="inlineStr">
        <is>
          <t>Athletic Shorts, Track Shorts</t>
        </is>
      </c>
    </row>
    <row r="1667" ht="80" customHeight="1">
      <c r="A1667" s="7">
        <f>IMAGE("https://images.lululemon.com/is/image/lululemon/LM7BJSS_0001_1?wid=320&amp;op_usm=0.8",1)</f>
        <v/>
      </c>
      <c r="B1667" s="7" t="inlineStr">
        <is>
          <t>Zeroed In Linerless Short 5"</t>
        </is>
      </c>
      <c r="C1667" s="7" t="inlineStr">
        <is>
          <t>151652005</t>
        </is>
      </c>
      <c r="D1667" s="7" t="inlineStr">
        <is>
          <t>151652005-black</t>
        </is>
      </c>
      <c r="E1667" s="7" t="inlineStr">
        <is>
          <t>Zeroed In Short 5" *LL TRNV S</t>
        </is>
      </c>
      <c r="F1667" s="7" t="inlineStr">
        <is>
          <t>$68.00</t>
        </is>
      </c>
      <c r="G1667" s="7" t="inlineStr">
        <is>
          <t>$34.00</t>
        </is>
      </c>
      <c r="H1667" s="7" t="inlineStr">
        <is>
          <t>Black</t>
        </is>
      </c>
      <c r="I1667" s="7">
        <f>IMAGE("https://images.lululemon.com/is/image/lululemon/0001",1)</f>
        <v/>
      </c>
      <c r="J1667" s="7" t="inlineStr">
        <is>
          <t>S</t>
        </is>
      </c>
      <c r="K1667" s="7" t="inlineStr">
        <is>
          <t>48/635</t>
        </is>
      </c>
      <c r="L1667" s="7" t="inlineStr">
        <is>
          <t>Yes</t>
        </is>
      </c>
      <c r="M1667" s="7" t="inlineStr">
        <is>
          <t>Work out or hang out. These versatile shorts are designed to keep up with every way you like to move.</t>
        </is>
      </c>
      <c r="N1667" s="7" t="inlineStr">
        <is>
          <t>Zeroed-In-Linerless-Short-5</t>
        </is>
      </c>
      <c r="O1667" s="7" t="inlineStr">
        <is>
          <t>Athletic Shorts, Track Shorts</t>
        </is>
      </c>
    </row>
    <row r="1668" ht="80" customHeight="1">
      <c r="A1668" s="4">
        <f>IMAGE("https://images.lululemon.com/is/image/lululemon/LM7BJSS_0001_1?wid=320&amp;op_usm=0.8",1)</f>
        <v/>
      </c>
      <c r="B1668" s="4" t="inlineStr">
        <is>
          <t>Zeroed In Linerless Short 5"</t>
        </is>
      </c>
      <c r="C1668" s="4" t="inlineStr">
        <is>
          <t>151652002</t>
        </is>
      </c>
      <c r="D1668" s="4" t="inlineStr">
        <is>
          <t>151652002-black</t>
        </is>
      </c>
      <c r="E1668" s="4" t="inlineStr">
        <is>
          <t>Zeroed In Short 5" *LL TRNV S</t>
        </is>
      </c>
      <c r="F1668" s="4" t="inlineStr">
        <is>
          <t>$68.00</t>
        </is>
      </c>
      <c r="G1668" s="4" t="inlineStr">
        <is>
          <t>$34.00</t>
        </is>
      </c>
      <c r="H1668" s="4" t="inlineStr">
        <is>
          <t>Black</t>
        </is>
      </c>
      <c r="I1668" s="4">
        <f>IMAGE("https://images.lululemon.com/is/image/lululemon/0001",1)</f>
        <v/>
      </c>
      <c r="J1668" s="4" t="inlineStr">
        <is>
          <t>M</t>
        </is>
      </c>
      <c r="K1668" s="4" t="inlineStr">
        <is>
          <t>140/635</t>
        </is>
      </c>
      <c r="L1668" s="4" t="inlineStr">
        <is>
          <t>Yes</t>
        </is>
      </c>
      <c r="M1668" s="4" t="inlineStr">
        <is>
          <t>Work out or hang out. These versatile shorts are designed to keep up with every way you like to move.</t>
        </is>
      </c>
      <c r="N1668" s="4" t="inlineStr">
        <is>
          <t>Zeroed-In-Linerless-Short-5</t>
        </is>
      </c>
      <c r="O1668" s="4" t="inlineStr">
        <is>
          <t>Athletic Shorts, Track Shorts</t>
        </is>
      </c>
    </row>
    <row r="1669" ht="80" customHeight="1">
      <c r="A1669" s="7">
        <f>IMAGE("https://images.lululemon.com/is/image/lululemon/LM7BJSS_0001_1?wid=320&amp;op_usm=0.8",1)</f>
        <v/>
      </c>
      <c r="B1669" s="7" t="inlineStr">
        <is>
          <t>Zeroed In Linerless Short 5"</t>
        </is>
      </c>
      <c r="C1669" s="7" t="inlineStr">
        <is>
          <t>151651999</t>
        </is>
      </c>
      <c r="D1669" s="7" t="inlineStr">
        <is>
          <t>151651999-black</t>
        </is>
      </c>
      <c r="E1669" s="7" t="inlineStr">
        <is>
          <t>Zeroed In Short 5" *LL TRNV S</t>
        </is>
      </c>
      <c r="F1669" s="7" t="inlineStr">
        <is>
          <t>$68.00</t>
        </is>
      </c>
      <c r="G1669" s="7" t="inlineStr">
        <is>
          <t>$34.00</t>
        </is>
      </c>
      <c r="H1669" s="7" t="inlineStr">
        <is>
          <t>Black</t>
        </is>
      </c>
      <c r="I1669" s="7">
        <f>IMAGE("https://images.lululemon.com/is/image/lululemon/0001",1)</f>
        <v/>
      </c>
      <c r="J1669" s="7" t="inlineStr">
        <is>
          <t>L</t>
        </is>
      </c>
      <c r="K1669" s="7" t="inlineStr">
        <is>
          <t>136/635</t>
        </is>
      </c>
      <c r="L1669" s="7" t="inlineStr">
        <is>
          <t>Yes</t>
        </is>
      </c>
      <c r="M1669" s="7" t="inlineStr">
        <is>
          <t>Work out or hang out. These versatile shorts are designed to keep up with every way you like to move.</t>
        </is>
      </c>
      <c r="N1669" s="7" t="inlineStr">
        <is>
          <t>Zeroed-In-Linerless-Short-5</t>
        </is>
      </c>
      <c r="O1669" s="7" t="inlineStr">
        <is>
          <t>Athletic Shorts, Track Shorts</t>
        </is>
      </c>
    </row>
    <row r="1670" ht="80" customHeight="1">
      <c r="A1670" s="4">
        <f>IMAGE("https://images.lululemon.com/is/image/lululemon/LM7BJSS_0001_1?wid=320&amp;op_usm=0.8",1)</f>
        <v/>
      </c>
      <c r="B1670" s="4" t="inlineStr">
        <is>
          <t>Zeroed In Linerless Short 5"</t>
        </is>
      </c>
      <c r="C1670" s="4" t="inlineStr">
        <is>
          <t>151652008</t>
        </is>
      </c>
      <c r="D1670" s="4" t="inlineStr">
        <is>
          <t>151652008-black</t>
        </is>
      </c>
      <c r="E1670" s="4" t="inlineStr">
        <is>
          <t>Zeroed In Short 5" *LL TRNV S</t>
        </is>
      </c>
      <c r="F1670" s="4" t="inlineStr">
        <is>
          <t>$68.00</t>
        </is>
      </c>
      <c r="G1670" s="4" t="inlineStr">
        <is>
          <t>$34.00</t>
        </is>
      </c>
      <c r="H1670" s="4" t="inlineStr">
        <is>
          <t>Black</t>
        </is>
      </c>
      <c r="I1670" s="4">
        <f>IMAGE("https://images.lululemon.com/is/image/lululemon/0001",1)</f>
        <v/>
      </c>
      <c r="J1670" s="4" t="inlineStr">
        <is>
          <t>XL</t>
        </is>
      </c>
      <c r="K1670" s="4" t="inlineStr">
        <is>
          <t>114/635</t>
        </is>
      </c>
      <c r="L1670" s="4" t="inlineStr">
        <is>
          <t>Yes</t>
        </is>
      </c>
      <c r="M1670" s="4" t="inlineStr">
        <is>
          <t>Work out or hang out. These versatile shorts are designed to keep up with every way you like to move.</t>
        </is>
      </c>
      <c r="N1670" s="4" t="inlineStr">
        <is>
          <t>Zeroed-In-Linerless-Short-5</t>
        </is>
      </c>
      <c r="O1670" s="4" t="inlineStr">
        <is>
          <t>Athletic Shorts, Track Shorts</t>
        </is>
      </c>
    </row>
    <row r="1671" ht="80" customHeight="1">
      <c r="A1671" s="7">
        <f>IMAGE("https://images.lululemon.com/is/image/lululemon/LM7BJSS_0001_1?wid=320&amp;op_usm=0.8",1)</f>
        <v/>
      </c>
      <c r="B1671" s="7" t="inlineStr">
        <is>
          <t>Zeroed In Linerless Short 5"</t>
        </is>
      </c>
      <c r="C1671" s="7" t="inlineStr">
        <is>
          <t>151652014</t>
        </is>
      </c>
      <c r="D1671" s="7" t="inlineStr">
        <is>
          <t>151652014-black</t>
        </is>
      </c>
      <c r="E1671" s="7" t="inlineStr">
        <is>
          <t>Zeroed In Short 5" *LL TRNV S</t>
        </is>
      </c>
      <c r="F1671" s="7" t="inlineStr">
        <is>
          <t>$68.00</t>
        </is>
      </c>
      <c r="G1671" s="7" t="inlineStr">
        <is>
          <t>$34.00</t>
        </is>
      </c>
      <c r="H1671" s="7" t="inlineStr">
        <is>
          <t>Black</t>
        </is>
      </c>
      <c r="I1671" s="7">
        <f>IMAGE("https://images.lululemon.com/is/image/lululemon/0001",1)</f>
        <v/>
      </c>
      <c r="J1671" s="7" t="inlineStr">
        <is>
          <t>XXL</t>
        </is>
      </c>
      <c r="K1671" s="7" t="inlineStr">
        <is>
          <t>42/635</t>
        </is>
      </c>
      <c r="L1671" s="7" t="inlineStr">
        <is>
          <t>Yes</t>
        </is>
      </c>
      <c r="M1671" s="7" t="inlineStr">
        <is>
          <t>Work out or hang out. These versatile shorts are designed to keep up with every way you like to move.</t>
        </is>
      </c>
      <c r="N1671" s="7" t="inlineStr">
        <is>
          <t>Zeroed-In-Linerless-Short-5</t>
        </is>
      </c>
      <c r="O1671" s="7" t="inlineStr">
        <is>
          <t>Athletic Shorts, Track Shorts</t>
        </is>
      </c>
    </row>
    <row r="1672" ht="80" customHeight="1">
      <c r="A1672" s="4">
        <f>IMAGE("https://images.lululemon.com/is/image/lululemon/LM7BJSS_0001_1?wid=320&amp;op_usm=0.8",1)</f>
        <v/>
      </c>
      <c r="B1672" s="4" t="inlineStr">
        <is>
          <t>Zeroed In Linerless Short 5"</t>
        </is>
      </c>
      <c r="C1672" s="4" t="inlineStr">
        <is>
          <t>156494270</t>
        </is>
      </c>
      <c r="D1672" s="4" t="inlineStr">
        <is>
          <t>156494270-carboncrunchvapormulti</t>
        </is>
      </c>
      <c r="E1672" s="4" t="inlineStr">
        <is>
          <t>Zeroed In Short 5" *LL TRNV S</t>
        </is>
      </c>
      <c r="F1672" s="4" t="inlineStr">
        <is>
          <t>$68.00</t>
        </is>
      </c>
      <c r="G1672" s="4" t="inlineStr">
        <is>
          <t>$34.00</t>
        </is>
      </c>
      <c r="H1672" s="4" t="inlineStr">
        <is>
          <t>Carbon Crunch Vapor Multi</t>
        </is>
      </c>
      <c r="I1672" s="4">
        <f>IMAGE("https://images.lululemon.com/is/image/lululemon/69709",1)</f>
        <v/>
      </c>
      <c r="J1672" s="4" t="inlineStr">
        <is>
          <t>M</t>
        </is>
      </c>
      <c r="K1672" s="4" t="inlineStr">
        <is>
          <t>11/635</t>
        </is>
      </c>
      <c r="L1672" s="4" t="inlineStr">
        <is>
          <t>Yes</t>
        </is>
      </c>
      <c r="M1672" s="4" t="inlineStr">
        <is>
          <t>Work out or hang out. These versatile shorts are designed to keep up with every way you like to move.</t>
        </is>
      </c>
      <c r="N1672" s="4" t="inlineStr">
        <is>
          <t>Zeroed-In-Linerless-Short-5</t>
        </is>
      </c>
      <c r="O1672" s="4" t="inlineStr">
        <is>
          <t>Athletic Shorts, Track Shorts</t>
        </is>
      </c>
    </row>
    <row r="1673" ht="80" customHeight="1">
      <c r="A1673" s="7">
        <f>IMAGE("https://images.lululemon.com/is/image/lululemon/LM7BJSS_0001_1?wid=320&amp;op_usm=0.8",1)</f>
        <v/>
      </c>
      <c r="B1673" s="7" t="inlineStr">
        <is>
          <t>Zeroed In Linerless Short 5"</t>
        </is>
      </c>
      <c r="C1673" s="7" t="inlineStr">
        <is>
          <t>156494258</t>
        </is>
      </c>
      <c r="D1673" s="7" t="inlineStr">
        <is>
          <t>156494258-carboncrunchvapormulti</t>
        </is>
      </c>
      <c r="E1673" s="7" t="inlineStr">
        <is>
          <t>Zeroed In Short 5" *LL TRNV S</t>
        </is>
      </c>
      <c r="F1673" s="7" t="inlineStr">
        <is>
          <t>$68.00</t>
        </is>
      </c>
      <c r="G1673" s="7" t="inlineStr">
        <is>
          <t>$34.00</t>
        </is>
      </c>
      <c r="H1673" s="7" t="inlineStr">
        <is>
          <t>Carbon Crunch Vapor Multi</t>
        </is>
      </c>
      <c r="I1673" s="7">
        <f>IMAGE("https://images.lululemon.com/is/image/lululemon/69709",1)</f>
        <v/>
      </c>
      <c r="J1673" s="7" t="inlineStr">
        <is>
          <t>L</t>
        </is>
      </c>
      <c r="K1673" s="7" t="inlineStr">
        <is>
          <t>20/635</t>
        </is>
      </c>
      <c r="L1673" s="7" t="inlineStr">
        <is>
          <t>Yes</t>
        </is>
      </c>
      <c r="M1673" s="7" t="inlineStr">
        <is>
          <t>Work out or hang out. These versatile shorts are designed to keep up with every way you like to move.</t>
        </is>
      </c>
      <c r="N1673" s="7" t="inlineStr">
        <is>
          <t>Zeroed-In-Linerless-Short-5</t>
        </is>
      </c>
      <c r="O1673" s="7" t="inlineStr">
        <is>
          <t>Athletic Shorts, Track Shorts</t>
        </is>
      </c>
    </row>
    <row r="1674" ht="80" customHeight="1">
      <c r="A1674" s="4">
        <f>IMAGE("https://images.lululemon.com/is/image/lululemon/LM7BJSS_0001_1?wid=320&amp;op_usm=0.8",1)</f>
        <v/>
      </c>
      <c r="B1674" s="4" t="inlineStr">
        <is>
          <t>Zeroed In Linerless Short 5"</t>
        </is>
      </c>
      <c r="C1674" s="4" t="inlineStr">
        <is>
          <t>156494288</t>
        </is>
      </c>
      <c r="D1674" s="4" t="inlineStr">
        <is>
          <t>156494288-carboncrunchvapormulti</t>
        </is>
      </c>
      <c r="E1674" s="4" t="inlineStr">
        <is>
          <t>Zeroed In Short 5" *LL TRNV S</t>
        </is>
      </c>
      <c r="F1674" s="4" t="inlineStr">
        <is>
          <t>$68.00</t>
        </is>
      </c>
      <c r="G1674" s="4" t="inlineStr">
        <is>
          <t>$34.00</t>
        </is>
      </c>
      <c r="H1674" s="4" t="inlineStr">
        <is>
          <t>Carbon Crunch Vapor Multi</t>
        </is>
      </c>
      <c r="I1674" s="4">
        <f>IMAGE("https://images.lululemon.com/is/image/lululemon/69709",1)</f>
        <v/>
      </c>
      <c r="J1674" s="4" t="inlineStr">
        <is>
          <t>XL</t>
        </is>
      </c>
      <c r="K1674" s="4" t="inlineStr">
        <is>
          <t>16/635</t>
        </is>
      </c>
      <c r="L1674" s="4" t="inlineStr">
        <is>
          <t>Yes</t>
        </is>
      </c>
      <c r="M1674" s="4" t="inlineStr">
        <is>
          <t>Work out or hang out. These versatile shorts are designed to keep up with every way you like to move.</t>
        </is>
      </c>
      <c r="N1674" s="4" t="inlineStr">
        <is>
          <t>Zeroed-In-Linerless-Short-5</t>
        </is>
      </c>
      <c r="O1674" s="4" t="inlineStr">
        <is>
          <t>Athletic Shorts, Track Shorts</t>
        </is>
      </c>
    </row>
    <row r="1675" ht="80" customHeight="1">
      <c r="A1675" s="5">
        <f>IMAGE("https://images.lululemon.com/is/image/lululemon/LM7BJSS_0001_1?wid=320&amp;op_usm=0.8",1)</f>
        <v/>
      </c>
      <c r="B1675" s="5" t="inlineStr">
        <is>
          <t>Zeroed In Linerless Short 5"</t>
        </is>
      </c>
      <c r="C1675" s="5" t="inlineStr">
        <is>
          <t>156494310</t>
        </is>
      </c>
      <c r="D1675" s="5" t="inlineStr">
        <is>
          <t>156494310-carboncrunchvapormulti</t>
        </is>
      </c>
      <c r="E1675" s="5" t="inlineStr">
        <is>
          <t>Zeroed In Short 5" *LL TRNV S</t>
        </is>
      </c>
      <c r="F1675" s="5" t="inlineStr">
        <is>
          <t>$68.00</t>
        </is>
      </c>
      <c r="G1675" s="5" t="inlineStr">
        <is>
          <t>$34.00</t>
        </is>
      </c>
      <c r="H1675" s="5" t="inlineStr">
        <is>
          <t>Carbon Crunch Vapor Multi</t>
        </is>
      </c>
      <c r="I1675" s="5">
        <f>IMAGE("https://images.lululemon.com/is/image/lululemon/69709",1)</f>
        <v/>
      </c>
      <c r="J1675" s="5" t="inlineStr">
        <is>
          <t>XXL</t>
        </is>
      </c>
      <c r="K1675" s="5" t="inlineStr">
        <is>
          <t>3/635</t>
        </is>
      </c>
      <c r="L1675" s="5" t="inlineStr">
        <is>
          <t>Yes</t>
        </is>
      </c>
      <c r="M1675" s="5" t="inlineStr">
        <is>
          <t>Work out or hang out. These versatile shorts are designed to keep up with every way you like to move.</t>
        </is>
      </c>
      <c r="N1675" s="5" t="inlineStr">
        <is>
          <t>Zeroed-In-Linerless-Short-5</t>
        </is>
      </c>
      <c r="O1675" s="5" t="inlineStr">
        <is>
          <t>Athletic Shorts, Track Shorts</t>
        </is>
      </c>
    </row>
    <row r="1676" ht="80" customHeight="1">
      <c r="A1676" s="4">
        <f>IMAGE("https://images.lululemon.com/is/image/lululemon/LU9C80S_0001_1?wid=320&amp;op_usm=0.8",1)</f>
        <v/>
      </c>
      <c r="B1676" s="4" t="inlineStr">
        <is>
          <t>Everywhere Crossbody Bag 2L *Metal Hardware</t>
        </is>
      </c>
      <c r="C1676" s="4" t="inlineStr">
        <is>
          <t>153829113</t>
        </is>
      </c>
      <c r="D1676" s="4" t="inlineStr">
        <is>
          <t>153829113-black</t>
        </is>
      </c>
      <c r="E1676" s="4" t="inlineStr">
        <is>
          <t>Everywhere Crossbody Bag *Metal Hardware BLK ONE SIZE</t>
        </is>
      </c>
      <c r="F1676" s="4" t="inlineStr">
        <is>
          <t>$78.00</t>
        </is>
      </c>
      <c r="G1676" s="4" t="inlineStr">
        <is>
          <t>$39.00</t>
        </is>
      </c>
      <c r="H1676" s="4" t="inlineStr">
        <is>
          <t>Black</t>
        </is>
      </c>
      <c r="I1676" s="4">
        <f>IMAGE("https://images.lululemon.com/is/image/lululemon/0001",1)</f>
        <v/>
      </c>
      <c r="J1676" s="4" t="inlineStr">
        <is>
          <t>O/S</t>
        </is>
      </c>
      <c r="K1676" s="4" t="inlineStr">
        <is>
          <t>906/1282</t>
        </is>
      </c>
      <c r="L1676" s="4" t="inlineStr">
        <is>
          <t>Yes</t>
        </is>
      </c>
      <c r="M1676" s="4" t="inlineStr">
        <is>
          <t>Bringing you more of what you love. The Everywhere Crossbody comes equipped with strategically placed pockets inside and out and a removable strap to customize your look.</t>
        </is>
      </c>
      <c r="N1676" s="4" t="inlineStr">
        <is>
          <t>Everywhere-Crossbody-Bag-2L-Metal-Hardware</t>
        </is>
      </c>
      <c r="O1676" s="4" t="inlineStr">
        <is>
          <t>Crossbody Bags</t>
        </is>
      </c>
    </row>
    <row r="1677" ht="80" customHeight="1">
      <c r="A1677" s="5">
        <f>IMAGE("https://images.lululemon.com/is/image/lululemon/LU9C80S_0001_1?wid=320&amp;op_usm=0.8",1)</f>
        <v/>
      </c>
      <c r="B1677" s="5" t="inlineStr">
        <is>
          <t>Everywhere Crossbody Bag 2L *Metal Hardware</t>
        </is>
      </c>
      <c r="C1677" s="5" t="inlineStr">
        <is>
          <t>158020595</t>
        </is>
      </c>
      <c r="D1677" s="5" t="inlineStr">
        <is>
          <t>158020595-berryrumble/gold</t>
        </is>
      </c>
      <c r="E1677" s="5" t="inlineStr">
        <is>
          <t>Everywhere Crossbody Bag *Metal Hardware BLK ONE SIZE</t>
        </is>
      </c>
      <c r="F1677" s="5" t="inlineStr">
        <is>
          <t>$78.00</t>
        </is>
      </c>
      <c r="G1677" s="5" t="inlineStr">
        <is>
          <t>$39.00</t>
        </is>
      </c>
      <c r="H1677" s="5" t="inlineStr">
        <is>
          <t>Berry Rumble/Gold</t>
        </is>
      </c>
      <c r="I1677" s="5">
        <f>IMAGE("https://images.lululemon.com/is/image/lululemon/73255",1)</f>
        <v/>
      </c>
      <c r="J1677" s="5" t="inlineStr">
        <is>
          <t>O/S</t>
        </is>
      </c>
      <c r="K1677" s="5" t="inlineStr">
        <is>
          <t>376/1282</t>
        </is>
      </c>
      <c r="L1677" s="5" t="inlineStr">
        <is>
          <t>Yes</t>
        </is>
      </c>
      <c r="M1677" s="5" t="inlineStr">
        <is>
          <t>Bringing you more of what you love. The Everywhere Crossbody comes equipped with strategically placed pockets inside and out and a removable strap to customize your look.</t>
        </is>
      </c>
      <c r="N1677" s="5" t="inlineStr">
        <is>
          <t>Everywhere-Crossbody-Bag-2L-Metal-Hardware</t>
        </is>
      </c>
      <c r="O1677" s="5" t="inlineStr">
        <is>
          <t>Crossbody Bags</t>
        </is>
      </c>
    </row>
    <row r="1678" ht="80" customHeight="1">
      <c r="A1678" s="4">
        <f>IMAGE("https://images.lululemon.com/is/image/lululemon/LM5BGES_0001_1?wid=320&amp;op_usm=0.8",1)</f>
        <v/>
      </c>
      <c r="B1678" s="4" t="inlineStr">
        <is>
          <t>Soft Jersey Classic-Fit Pant *Regular</t>
        </is>
      </c>
      <c r="C1678" s="4" t="inlineStr">
        <is>
          <t>155864278</t>
        </is>
      </c>
      <c r="D1678" s="4" t="inlineStr">
        <is>
          <t>155864278-black</t>
        </is>
      </c>
      <c r="E1678" s="4" t="inlineStr">
        <is>
          <t>Soft Jersey Classic-Fit Pant *Regular BLK S</t>
        </is>
      </c>
      <c r="F1678" s="4" t="inlineStr">
        <is>
          <t>$98.00</t>
        </is>
      </c>
      <c r="G1678" s="4" t="inlineStr">
        <is>
          <t>$49.00</t>
        </is>
      </c>
      <c r="H1678" s="4" t="inlineStr">
        <is>
          <t>Black</t>
        </is>
      </c>
      <c r="I1678" s="4">
        <f>IMAGE("https://images.lululemon.com/is/image/lululemon/0001",1)</f>
        <v/>
      </c>
      <c r="J1678" s="4" t="inlineStr">
        <is>
          <t>S</t>
        </is>
      </c>
      <c r="K1678" s="4" t="inlineStr">
        <is>
          <t>12/38</t>
        </is>
      </c>
      <c r="L1678" s="4" t="inlineStr">
        <is>
          <t>Yes</t>
        </is>
      </c>
      <c r="M1678" s="4" t="inlineStr">
        <is>
          <t>Rest and reset. These lightweight pants have a softly brushed interior that makes downtime irresistible.</t>
        </is>
      </c>
      <c r="N1678" s="4" t="inlineStr">
        <is>
          <t>Soft-Jersey-Classic-Fit-Pant-Regular</t>
        </is>
      </c>
      <c r="O1678" s="4" t="inlineStr"/>
    </row>
    <row r="1679" ht="80" customHeight="1">
      <c r="A1679" s="7">
        <f>IMAGE("https://images.lululemon.com/is/image/lululemon/LM5BGES_0001_1?wid=320&amp;op_usm=0.8",1)</f>
        <v/>
      </c>
      <c r="B1679" s="7" t="inlineStr">
        <is>
          <t>Soft Jersey Classic-Fit Pant *Regular</t>
        </is>
      </c>
      <c r="C1679" s="7" t="inlineStr">
        <is>
          <t>155864265</t>
        </is>
      </c>
      <c r="D1679" s="7" t="inlineStr">
        <is>
          <t>155864265-black</t>
        </is>
      </c>
      <c r="E1679" s="7" t="inlineStr">
        <is>
          <t>Soft Jersey Classic-Fit Pant *Regular BLK S</t>
        </is>
      </c>
      <c r="F1679" s="7" t="inlineStr">
        <is>
          <t>$98.00</t>
        </is>
      </c>
      <c r="G1679" s="7" t="inlineStr">
        <is>
          <t>$49.00</t>
        </is>
      </c>
      <c r="H1679" s="7" t="inlineStr">
        <is>
          <t>Black</t>
        </is>
      </c>
      <c r="I1679" s="7">
        <f>IMAGE("https://images.lululemon.com/is/image/lululemon/0001",1)</f>
        <v/>
      </c>
      <c r="J1679" s="7" t="inlineStr">
        <is>
          <t>M</t>
        </is>
      </c>
      <c r="K1679" s="7" t="inlineStr">
        <is>
          <t>16/38</t>
        </is>
      </c>
      <c r="L1679" s="7" t="inlineStr">
        <is>
          <t>Yes</t>
        </is>
      </c>
      <c r="M1679" s="7" t="inlineStr">
        <is>
          <t>Rest and reset. These lightweight pants have a softly brushed interior that makes downtime irresistible.</t>
        </is>
      </c>
      <c r="N1679" s="7" t="inlineStr">
        <is>
          <t>Soft-Jersey-Classic-Fit-Pant-Regular</t>
        </is>
      </c>
      <c r="O1679" s="7" t="inlineStr"/>
    </row>
    <row r="1680" ht="80" customHeight="1">
      <c r="A1680" s="4">
        <f>IMAGE("https://images.lululemon.com/is/image/lululemon/LM5BGES_0001_1?wid=320&amp;op_usm=0.8",1)</f>
        <v/>
      </c>
      <c r="B1680" s="4" t="inlineStr">
        <is>
          <t>Soft Jersey Classic-Fit Pant *Regular</t>
        </is>
      </c>
      <c r="C1680" s="4" t="inlineStr">
        <is>
          <t>155864253</t>
        </is>
      </c>
      <c r="D1680" s="4" t="inlineStr">
        <is>
          <t>155864253-black</t>
        </is>
      </c>
      <c r="E1680" s="4" t="inlineStr">
        <is>
          <t>Soft Jersey Classic-Fit Pant *Regular BLK S</t>
        </is>
      </c>
      <c r="F1680" s="4" t="inlineStr">
        <is>
          <t>$98.00</t>
        </is>
      </c>
      <c r="G1680" s="4" t="inlineStr">
        <is>
          <t>$49.00</t>
        </is>
      </c>
      <c r="H1680" s="4" t="inlineStr">
        <is>
          <t>Black</t>
        </is>
      </c>
      <c r="I1680" s="4">
        <f>IMAGE("https://images.lululemon.com/is/image/lululemon/0001",1)</f>
        <v/>
      </c>
      <c r="J1680" s="4" t="inlineStr">
        <is>
          <t>L</t>
        </is>
      </c>
      <c r="K1680" s="4" t="inlineStr">
        <is>
          <t>4/38</t>
        </is>
      </c>
      <c r="L1680" s="4" t="inlineStr">
        <is>
          <t>Yes</t>
        </is>
      </c>
      <c r="M1680" s="4" t="inlineStr">
        <is>
          <t>Rest and reset. These lightweight pants have a softly brushed interior that makes downtime irresistible.</t>
        </is>
      </c>
      <c r="N1680" s="4" t="inlineStr">
        <is>
          <t>Soft-Jersey-Classic-Fit-Pant-Regular</t>
        </is>
      </c>
      <c r="O1680" s="4" t="inlineStr"/>
    </row>
    <row r="1681" ht="80" customHeight="1">
      <c r="A1681" s="7">
        <f>IMAGE("https://images.lululemon.com/is/image/lululemon/LM5BGES_0001_1?wid=320&amp;op_usm=0.8",1)</f>
        <v/>
      </c>
      <c r="B1681" s="7" t="inlineStr">
        <is>
          <t>Soft Jersey Classic-Fit Pant *Regular</t>
        </is>
      </c>
      <c r="C1681" s="7" t="inlineStr">
        <is>
          <t>155864290</t>
        </is>
      </c>
      <c r="D1681" s="7" t="inlineStr">
        <is>
          <t>155864290-black</t>
        </is>
      </c>
      <c r="E1681" s="7" t="inlineStr">
        <is>
          <t>Soft Jersey Classic-Fit Pant *Regular BLK S</t>
        </is>
      </c>
      <c r="F1681" s="7" t="inlineStr">
        <is>
          <t>$98.00</t>
        </is>
      </c>
      <c r="G1681" s="7" t="inlineStr">
        <is>
          <t>$49.00</t>
        </is>
      </c>
      <c r="H1681" s="7" t="inlineStr">
        <is>
          <t>Black</t>
        </is>
      </c>
      <c r="I1681" s="7">
        <f>IMAGE("https://images.lululemon.com/is/image/lululemon/0001",1)</f>
        <v/>
      </c>
      <c r="J1681" s="7" t="inlineStr">
        <is>
          <t>XL</t>
        </is>
      </c>
      <c r="K1681" s="7" t="inlineStr">
        <is>
          <t>5/38</t>
        </is>
      </c>
      <c r="L1681" s="7" t="inlineStr">
        <is>
          <t>Yes</t>
        </is>
      </c>
      <c r="M1681" s="7" t="inlineStr">
        <is>
          <t>Rest and reset. These lightweight pants have a softly brushed interior that makes downtime irresistible.</t>
        </is>
      </c>
      <c r="N1681" s="7" t="inlineStr">
        <is>
          <t>Soft-Jersey-Classic-Fit-Pant-Regular</t>
        </is>
      </c>
      <c r="O1681" s="7" t="inlineStr"/>
    </row>
    <row r="1682" ht="80" customHeight="1">
      <c r="A1682" s="6">
        <f>IMAGE("https://images.lululemon.com/is/image/lululemon/LM5BGES_0001_1?wid=320&amp;op_usm=0.8",1)</f>
        <v/>
      </c>
      <c r="B1682" s="6" t="inlineStr">
        <is>
          <t>Soft Jersey Classic-Fit Pant *Regular</t>
        </is>
      </c>
      <c r="C1682" s="6" t="inlineStr">
        <is>
          <t>155864312</t>
        </is>
      </c>
      <c r="D1682" s="6" t="inlineStr">
        <is>
          <t>155864312-black</t>
        </is>
      </c>
      <c r="E1682" s="6" t="inlineStr">
        <is>
          <t>Soft Jersey Classic-Fit Pant *Regular BLK S</t>
        </is>
      </c>
      <c r="F1682" s="6" t="inlineStr">
        <is>
          <t>$98.00</t>
        </is>
      </c>
      <c r="G1682" s="6" t="inlineStr">
        <is>
          <t>$49.00</t>
        </is>
      </c>
      <c r="H1682" s="6" t="inlineStr">
        <is>
          <t>Black</t>
        </is>
      </c>
      <c r="I1682" s="6">
        <f>IMAGE("https://images.lululemon.com/is/image/lululemon/0001",1)</f>
        <v/>
      </c>
      <c r="J1682" s="6" t="inlineStr">
        <is>
          <t>XXL</t>
        </is>
      </c>
      <c r="K1682" s="6" t="inlineStr">
        <is>
          <t>1/38</t>
        </is>
      </c>
      <c r="L1682" s="6" t="inlineStr">
        <is>
          <t>Yes</t>
        </is>
      </c>
      <c r="M1682" s="6" t="inlineStr">
        <is>
          <t>Rest and reset. These lightweight pants have a softly brushed interior that makes downtime irresistible.</t>
        </is>
      </c>
      <c r="N1682" s="6" t="inlineStr">
        <is>
          <t>Soft-Jersey-Classic-Fit-Pant-Regular</t>
        </is>
      </c>
      <c r="O1682"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97"/>
  <sheetViews>
    <sheetView workbookViewId="0">
      <selection activeCell="A1" sqref="A1"/>
    </sheetView>
  </sheetViews>
  <sheetFormatPr baseColWidth="8" defaultRowHeight="15"/>
  <cols>
    <col width="20" customWidth="1" min="1" max="1"/>
    <col width="30" customWidth="1" min="2" max="2"/>
    <col width="20" customWidth="1" min="3" max="3"/>
    <col width="25" customWidth="1" min="4" max="4"/>
    <col width="35" customWidth="1" min="5" max="5"/>
    <col width="15" customWidth="1" min="6" max="6"/>
    <col width="15" customWidth="1" min="7" max="7"/>
    <col width="20" customWidth="1" min="8" max="8"/>
    <col width="12" customWidth="1" min="9" max="9"/>
    <col width="12" customWidth="1" min="10" max="10"/>
    <col width="20" customWidth="1" min="11" max="11"/>
    <col width="12" customWidth="1" min="12" max="12"/>
    <col width="40" customWidth="1" min="13" max="13"/>
    <col width="25" customWidth="1" min="14" max="14"/>
    <col width="20" customWidth="1" min="15" max="15"/>
  </cols>
  <sheetData>
    <row r="1" ht="30" customHeight="1">
      <c r="A1" s="1" t="inlineStr">
        <is>
          <t>Product Image</t>
        </is>
      </c>
      <c r="B1" s="1" t="inlineStr">
        <is>
          <t>Product Name</t>
        </is>
      </c>
      <c r="C1" s="1" t="inlineStr">
        <is>
          <t>SKU</t>
        </is>
      </c>
      <c r="D1" s="1" t="inlineStr">
        <is>
          <t>colorSku</t>
        </is>
      </c>
      <c r="E1" s="1" t="inlineStr">
        <is>
          <t>sku name c</t>
        </is>
      </c>
      <c r="F1" s="1" t="inlineStr">
        <is>
          <t>Retail Price</t>
        </is>
      </c>
      <c r="G1" s="1" t="inlineStr">
        <is>
          <t>Wholesale Price</t>
        </is>
      </c>
      <c r="H1" s="1" t="inlineStr">
        <is>
          <t>color names</t>
        </is>
      </c>
      <c r="I1" s="1" t="inlineStr">
        <is>
          <t>Current Color Swatch</t>
        </is>
      </c>
      <c r="J1" s="1" t="inlineStr">
        <is>
          <t>Size</t>
        </is>
      </c>
      <c r="K1" s="1" t="inlineStr">
        <is>
          <t>Qty (Item/Total)</t>
        </is>
      </c>
      <c r="L1" s="1" t="inlineStr">
        <is>
          <t>instock</t>
        </is>
      </c>
      <c r="M1" s="1" t="inlineStr">
        <is>
          <t>Description</t>
        </is>
      </c>
      <c r="N1" s="1" t="inlineStr">
        <is>
          <t>Slug</t>
        </is>
      </c>
      <c r="O1" s="1" t="inlineStr">
        <is>
          <t>product type</t>
        </is>
      </c>
    </row>
    <row r="2" ht="80" customHeight="1">
      <c r="A2" s="4">
        <f>IMAGE("https://images.lululemon.com/is/image/lululemon/LW4BWRS_0001_1?wid=320&amp;op_usm=0.8",1)</f>
        <v/>
      </c>
      <c r="B2" s="4" t="inlineStr">
        <is>
          <t>Women's Wunder Puff 600-Down-Fill Jacket</t>
        </is>
      </c>
      <c r="C2" s="4" t="inlineStr">
        <is>
          <t>144525671</t>
        </is>
      </c>
      <c r="D2" s="4" t="inlineStr">
        <is>
          <t>144525671-black</t>
        </is>
      </c>
      <c r="E2" s="4" t="inlineStr">
        <is>
          <t>Wunder Puff Jacket BLK 2</t>
        </is>
      </c>
      <c r="F2" s="4" t="inlineStr">
        <is>
          <t>$348.00</t>
        </is>
      </c>
      <c r="G2" s="4" t="inlineStr">
        <is>
          <t>$174.00</t>
        </is>
      </c>
      <c r="H2" s="4" t="inlineStr">
        <is>
          <t>Black</t>
        </is>
      </c>
      <c r="I2" s="4">
        <f>IMAGE("https://images.lululemon.com/is/image/lululemon/0001",1)</f>
        <v/>
      </c>
      <c r="J2" s="4" t="inlineStr">
        <is>
          <t>2</t>
        </is>
      </c>
      <c r="K2" s="4" t="inlineStr">
        <is>
          <t>24/408</t>
        </is>
      </c>
      <c r="L2" s="4" t="inlineStr">
        <is>
          <t>Yes</t>
        </is>
      </c>
      <c r="M2" s="4" t="inlineStr">
        <is>
          <t>This wonderfully warm down puffer has a cinchable waist and hem that lets you customize the shape and keep out cold drafts.</t>
        </is>
      </c>
      <c r="N2" s="4" t="inlineStr">
        <is>
          <t>Wunder-Puff-Jacket</t>
        </is>
      </c>
      <c r="O2" s="4" t="inlineStr">
        <is>
          <t>Puffer Jackets</t>
        </is>
      </c>
    </row>
    <row r="3" ht="80" customHeight="1">
      <c r="A3" s="7">
        <f>IMAGE("https://images.lululemon.com/is/image/lululemon/LW4BWRS_0001_1?wid=320&amp;op_usm=0.8",1)</f>
        <v/>
      </c>
      <c r="B3" s="7" t="inlineStr">
        <is>
          <t>Women's Wunder Puff 600-Down-Fill Jacket</t>
        </is>
      </c>
      <c r="C3" s="7" t="inlineStr">
        <is>
          <t>144525676</t>
        </is>
      </c>
      <c r="D3" s="7" t="inlineStr">
        <is>
          <t>144525676-black</t>
        </is>
      </c>
      <c r="E3" s="7" t="inlineStr">
        <is>
          <t>Wunder Puff Jacket BLK 2</t>
        </is>
      </c>
      <c r="F3" s="7" t="inlineStr">
        <is>
          <t>$348.00</t>
        </is>
      </c>
      <c r="G3" s="7" t="inlineStr">
        <is>
          <t>$174.00</t>
        </is>
      </c>
      <c r="H3" s="7" t="inlineStr">
        <is>
          <t>Black</t>
        </is>
      </c>
      <c r="I3" s="7">
        <f>IMAGE("https://images.lululemon.com/is/image/lululemon/0001",1)</f>
        <v/>
      </c>
      <c r="J3" s="7" t="inlineStr">
        <is>
          <t>4</t>
        </is>
      </c>
      <c r="K3" s="7" t="inlineStr">
        <is>
          <t>85/408</t>
        </is>
      </c>
      <c r="L3" s="7" t="inlineStr">
        <is>
          <t>Yes</t>
        </is>
      </c>
      <c r="M3" s="7" t="inlineStr">
        <is>
          <t>This wonderfully warm down puffer has a cinchable waist and hem that lets you customize the shape and keep out cold drafts.</t>
        </is>
      </c>
      <c r="N3" s="7" t="inlineStr">
        <is>
          <t>Wunder-Puff-Jacket</t>
        </is>
      </c>
      <c r="O3" s="7" t="inlineStr">
        <is>
          <t>Puffer Jackets</t>
        </is>
      </c>
    </row>
    <row r="4" ht="80" customHeight="1">
      <c r="A4" s="4">
        <f>IMAGE("https://images.lululemon.com/is/image/lululemon/LW4BWRS_0001_1?wid=320&amp;op_usm=0.8",1)</f>
        <v/>
      </c>
      <c r="B4" s="4" t="inlineStr">
        <is>
          <t>Women's Wunder Puff 600-Down-Fill Jacket</t>
        </is>
      </c>
      <c r="C4" s="4" t="inlineStr">
        <is>
          <t>144525677</t>
        </is>
      </c>
      <c r="D4" s="4" t="inlineStr">
        <is>
          <t>144525677-black</t>
        </is>
      </c>
      <c r="E4" s="4" t="inlineStr">
        <is>
          <t>Wunder Puff Jacket BLK 2</t>
        </is>
      </c>
      <c r="F4" s="4" t="inlineStr">
        <is>
          <t>$348.00</t>
        </is>
      </c>
      <c r="G4" s="4" t="inlineStr">
        <is>
          <t>$174.00</t>
        </is>
      </c>
      <c r="H4" s="4" t="inlineStr">
        <is>
          <t>Black</t>
        </is>
      </c>
      <c r="I4" s="4">
        <f>IMAGE("https://images.lululemon.com/is/image/lululemon/0001",1)</f>
        <v/>
      </c>
      <c r="J4" s="4" t="inlineStr">
        <is>
          <t>6</t>
        </is>
      </c>
      <c r="K4" s="4" t="inlineStr">
        <is>
          <t>83/408</t>
        </is>
      </c>
      <c r="L4" s="4" t="inlineStr">
        <is>
          <t>Yes</t>
        </is>
      </c>
      <c r="M4" s="4" t="inlineStr">
        <is>
          <t>This wonderfully warm down puffer has a cinchable waist and hem that lets you customize the shape and keep out cold drafts.</t>
        </is>
      </c>
      <c r="N4" s="4" t="inlineStr">
        <is>
          <t>Wunder-Puff-Jacket</t>
        </is>
      </c>
      <c r="O4" s="4" t="inlineStr">
        <is>
          <t>Puffer Jackets</t>
        </is>
      </c>
    </row>
    <row r="5" ht="80" customHeight="1">
      <c r="A5" s="7">
        <f>IMAGE("https://images.lululemon.com/is/image/lululemon/LW4BWRS_0001_1?wid=320&amp;op_usm=0.8",1)</f>
        <v/>
      </c>
      <c r="B5" s="7" t="inlineStr">
        <is>
          <t>Women's Wunder Puff 600-Down-Fill Jacket</t>
        </is>
      </c>
      <c r="C5" s="7" t="inlineStr">
        <is>
          <t>144525678</t>
        </is>
      </c>
      <c r="D5" s="7" t="inlineStr">
        <is>
          <t>144525678-black</t>
        </is>
      </c>
      <c r="E5" s="7" t="inlineStr">
        <is>
          <t>Wunder Puff Jacket BLK 2</t>
        </is>
      </c>
      <c r="F5" s="7" t="inlineStr">
        <is>
          <t>$348.00</t>
        </is>
      </c>
      <c r="G5" s="7" t="inlineStr">
        <is>
          <t>$174.00</t>
        </is>
      </c>
      <c r="H5" s="7" t="inlineStr">
        <is>
          <t>Black</t>
        </is>
      </c>
      <c r="I5" s="7">
        <f>IMAGE("https://images.lululemon.com/is/image/lululemon/0001",1)</f>
        <v/>
      </c>
      <c r="J5" s="7" t="inlineStr">
        <is>
          <t>8</t>
        </is>
      </c>
      <c r="K5" s="7" t="inlineStr">
        <is>
          <t>93/408</t>
        </is>
      </c>
      <c r="L5" s="7" t="inlineStr">
        <is>
          <t>Yes</t>
        </is>
      </c>
      <c r="M5" s="7" t="inlineStr">
        <is>
          <t>This wonderfully warm down puffer has a cinchable waist and hem that lets you customize the shape and keep out cold drafts.</t>
        </is>
      </c>
      <c r="N5" s="7" t="inlineStr">
        <is>
          <t>Wunder-Puff-Jacket</t>
        </is>
      </c>
      <c r="O5" s="7" t="inlineStr">
        <is>
          <t>Puffer Jackets</t>
        </is>
      </c>
    </row>
    <row r="6" ht="80" customHeight="1">
      <c r="A6" s="4">
        <f>IMAGE("https://images.lululemon.com/is/image/lululemon/LW4BWRS_0001_1?wid=320&amp;op_usm=0.8",1)</f>
        <v/>
      </c>
      <c r="B6" s="4" t="inlineStr">
        <is>
          <t>Women's Wunder Puff 600-Down-Fill Jacket</t>
        </is>
      </c>
      <c r="C6" s="4" t="inlineStr">
        <is>
          <t>144525666</t>
        </is>
      </c>
      <c r="D6" s="4" t="inlineStr">
        <is>
          <t>144525666-black</t>
        </is>
      </c>
      <c r="E6" s="4" t="inlineStr">
        <is>
          <t>Wunder Puff Jacket BLK 2</t>
        </is>
      </c>
      <c r="F6" s="4" t="inlineStr">
        <is>
          <t>$348.00</t>
        </is>
      </c>
      <c r="G6" s="4" t="inlineStr">
        <is>
          <t>$174.00</t>
        </is>
      </c>
      <c r="H6" s="4" t="inlineStr">
        <is>
          <t>Black</t>
        </is>
      </c>
      <c r="I6" s="4">
        <f>IMAGE("https://images.lululemon.com/is/image/lululemon/0001",1)</f>
        <v/>
      </c>
      <c r="J6" s="4" t="inlineStr">
        <is>
          <t>10</t>
        </is>
      </c>
      <c r="K6" s="4" t="inlineStr">
        <is>
          <t>73/408</t>
        </is>
      </c>
      <c r="L6" s="4" t="inlineStr">
        <is>
          <t>Yes</t>
        </is>
      </c>
      <c r="M6" s="4" t="inlineStr">
        <is>
          <t>This wonderfully warm down puffer has a cinchable waist and hem that lets you customize the shape and keep out cold drafts.</t>
        </is>
      </c>
      <c r="N6" s="4" t="inlineStr">
        <is>
          <t>Wunder-Puff-Jacket</t>
        </is>
      </c>
      <c r="O6" s="4" t="inlineStr">
        <is>
          <t>Puffer Jackets</t>
        </is>
      </c>
    </row>
    <row r="7" ht="80" customHeight="1">
      <c r="A7" s="7">
        <f>IMAGE("https://images.lululemon.com/is/image/lululemon/LW4BWRS_0001_1?wid=320&amp;op_usm=0.8",1)</f>
        <v/>
      </c>
      <c r="B7" s="7" t="inlineStr">
        <is>
          <t>Women's Wunder Puff 600-Down-Fill Jacket</t>
        </is>
      </c>
      <c r="C7" s="7" t="inlineStr">
        <is>
          <t>144525667</t>
        </is>
      </c>
      <c r="D7" s="7" t="inlineStr">
        <is>
          <t>144525667-black</t>
        </is>
      </c>
      <c r="E7" s="7" t="inlineStr">
        <is>
          <t>Wunder Puff Jacket BLK 2</t>
        </is>
      </c>
      <c r="F7" s="7" t="inlineStr">
        <is>
          <t>$348.00</t>
        </is>
      </c>
      <c r="G7" s="7" t="inlineStr">
        <is>
          <t>$174.00</t>
        </is>
      </c>
      <c r="H7" s="7" t="inlineStr">
        <is>
          <t>Black</t>
        </is>
      </c>
      <c r="I7" s="7">
        <f>IMAGE("https://images.lululemon.com/is/image/lululemon/0001",1)</f>
        <v/>
      </c>
      <c r="J7" s="7" t="inlineStr">
        <is>
          <t>12</t>
        </is>
      </c>
      <c r="K7" s="7" t="inlineStr">
        <is>
          <t>49/408</t>
        </is>
      </c>
      <c r="L7" s="7" t="inlineStr">
        <is>
          <t>Yes</t>
        </is>
      </c>
      <c r="M7" s="7" t="inlineStr">
        <is>
          <t>This wonderfully warm down puffer has a cinchable waist and hem that lets you customize the shape and keep out cold drafts.</t>
        </is>
      </c>
      <c r="N7" s="7" t="inlineStr">
        <is>
          <t>Wunder-Puff-Jacket</t>
        </is>
      </c>
      <c r="O7" s="7" t="inlineStr">
        <is>
          <t>Puffer Jackets</t>
        </is>
      </c>
    </row>
    <row r="8" ht="80" customHeight="1">
      <c r="A8" s="6">
        <f>IMAGE("https://images.lululemon.com/is/image/lululemon/LW4BWRS_0001_1?wid=320&amp;op_usm=0.8",1)</f>
        <v/>
      </c>
      <c r="B8" s="6" t="inlineStr">
        <is>
          <t>Women's Wunder Puff 600-Down-Fill Jacket</t>
        </is>
      </c>
      <c r="C8" s="6" t="inlineStr">
        <is>
          <t>144525668</t>
        </is>
      </c>
      <c r="D8" s="6" t="inlineStr">
        <is>
          <t>144525668-black</t>
        </is>
      </c>
      <c r="E8" s="6" t="inlineStr">
        <is>
          <t>Wunder Puff Jacket BLK 2</t>
        </is>
      </c>
      <c r="F8" s="6" t="inlineStr">
        <is>
          <t>$348.00</t>
        </is>
      </c>
      <c r="G8" s="6" t="inlineStr">
        <is>
          <t>$174.00</t>
        </is>
      </c>
      <c r="H8" s="6" t="inlineStr">
        <is>
          <t>Black</t>
        </is>
      </c>
      <c r="I8" s="6">
        <f>IMAGE("https://images.lululemon.com/is/image/lululemon/0001",1)</f>
        <v/>
      </c>
      <c r="J8" s="6" t="inlineStr">
        <is>
          <t>14</t>
        </is>
      </c>
      <c r="K8" s="6" t="inlineStr">
        <is>
          <t>1/408</t>
        </is>
      </c>
      <c r="L8" s="6" t="inlineStr">
        <is>
          <t>Yes</t>
        </is>
      </c>
      <c r="M8" s="6" t="inlineStr">
        <is>
          <t>This wonderfully warm down puffer has a cinchable waist and hem that lets you customize the shape and keep out cold drafts.</t>
        </is>
      </c>
      <c r="N8" s="6" t="inlineStr">
        <is>
          <t>Wunder-Puff-Jacket</t>
        </is>
      </c>
      <c r="O8" s="6" t="inlineStr">
        <is>
          <t>Puffer Jackets</t>
        </is>
      </c>
    </row>
    <row r="9" ht="80" customHeight="1">
      <c r="A9" s="7">
        <f>IMAGE("https://images.lululemon.com/is/image/lululemon/LU9CIAS_035486_1?wid=320&amp;op_usm=0.8",1)</f>
        <v/>
      </c>
      <c r="B9" s="7" t="inlineStr">
        <is>
          <t>Insulated Mug 20oz</t>
        </is>
      </c>
      <c r="C9" s="7" t="inlineStr">
        <is>
          <t>156751580</t>
        </is>
      </c>
      <c r="D9" s="7" t="inlineStr">
        <is>
          <t>156751580-blissfulpink</t>
        </is>
      </c>
      <c r="E9" s="7" t="inlineStr">
        <is>
          <t>Insulated Mug 20oz BLLP ONE SIZE</t>
        </is>
      </c>
      <c r="F9" s="7" t="inlineStr">
        <is>
          <t>$38.00</t>
        </is>
      </c>
      <c r="G9" s="7" t="inlineStr">
        <is>
          <t>$19.00</t>
        </is>
      </c>
      <c r="H9" s="7" t="inlineStr">
        <is>
          <t>Blissful Pink</t>
        </is>
      </c>
      <c r="I9" s="7">
        <f>IMAGE("https://images.lululemon.com/is/image/lululemon/35486",1)</f>
        <v/>
      </c>
      <c r="J9" s="7" t="inlineStr">
        <is>
          <t>O/S</t>
        </is>
      </c>
      <c r="K9" s="7" t="inlineStr">
        <is>
          <t>389/687</t>
        </is>
      </c>
      <c r="L9" s="7" t="inlineStr">
        <is>
          <t>Yes</t>
        </is>
      </c>
      <c r="M9" s="7" t="inlineStr">
        <is>
          <t>Sip, sip, hooray. This insulated mug has a leak-proof lid and a double-walled design that will keep your drink ice cold or perfectly hot.</t>
        </is>
      </c>
      <c r="N9" s="7" t="inlineStr">
        <is>
          <t>Insulated-Mug-20oz</t>
        </is>
      </c>
      <c r="O9" s="7" t="inlineStr">
        <is>
          <t>Tumblers and Travel Mugs</t>
        </is>
      </c>
    </row>
    <row r="10" ht="80" customHeight="1">
      <c r="A10" s="6">
        <f>IMAGE("https://images.lululemon.com/is/image/lululemon/LU9CIAS_035486_1?wid=320&amp;op_usm=0.8",1)</f>
        <v/>
      </c>
      <c r="B10" s="6" t="inlineStr">
        <is>
          <t>Insulated Mug 20oz</t>
        </is>
      </c>
      <c r="C10" s="6" t="inlineStr">
        <is>
          <t>158068618</t>
        </is>
      </c>
      <c r="D10" s="6" t="inlineStr">
        <is>
          <t>158068618-indochineblue</t>
        </is>
      </c>
      <c r="E10" s="6" t="inlineStr">
        <is>
          <t>Insulated Mug 20oz BLLP ONE SIZE</t>
        </is>
      </c>
      <c r="F10" s="6" t="inlineStr">
        <is>
          <t>$38.00</t>
        </is>
      </c>
      <c r="G10" s="6" t="inlineStr">
        <is>
          <t>$19.00</t>
        </is>
      </c>
      <c r="H10" s="6" t="inlineStr">
        <is>
          <t>Indochine Blue</t>
        </is>
      </c>
      <c r="I10" s="6">
        <f>IMAGE("https://images.lululemon.com/is/image/lululemon/28022",1)</f>
        <v/>
      </c>
      <c r="J10" s="6" t="inlineStr">
        <is>
          <t>O/S</t>
        </is>
      </c>
      <c r="K10" s="6" t="inlineStr">
        <is>
          <t>298/687</t>
        </is>
      </c>
      <c r="L10" s="6" t="inlineStr">
        <is>
          <t>Yes</t>
        </is>
      </c>
      <c r="M10" s="6" t="inlineStr">
        <is>
          <t>Sip, sip, hooray. This insulated mug has a leak-proof lid and a double-walled design that will keep your drink ice cold or perfectly hot.</t>
        </is>
      </c>
      <c r="N10" s="6" t="inlineStr">
        <is>
          <t>Insulated-Mug-20oz</t>
        </is>
      </c>
      <c r="O10" s="6" t="inlineStr">
        <is>
          <t>Tumblers and Travel Mugs</t>
        </is>
      </c>
    </row>
    <row r="11" ht="80" customHeight="1">
      <c r="A11" s="7">
        <f>IMAGE("https://images.lululemon.com/is/image/lululemon/LW2DQ0S_062214_1?wid=320&amp;op_usm=0.8",1)</f>
        <v/>
      </c>
      <c r="B11" s="7" t="inlineStr">
        <is>
          <t>Wunder Train Strappy Racer Bra *Light Support, A/B Cup</t>
        </is>
      </c>
      <c r="C11" s="7" t="inlineStr">
        <is>
          <t>157708688</t>
        </is>
      </c>
      <c r="D11" s="7" t="inlineStr">
        <is>
          <t>157708688-bayleaf</t>
        </is>
      </c>
      <c r="E11" s="7" t="inlineStr">
        <is>
          <t>Wunder Train Strappy Racer Bra A/B BALF 2</t>
        </is>
      </c>
      <c r="F11" s="7" t="inlineStr">
        <is>
          <t>$58.00</t>
        </is>
      </c>
      <c r="G11" s="7" t="inlineStr">
        <is>
          <t>$29.00</t>
        </is>
      </c>
      <c r="H11" s="7" t="inlineStr">
        <is>
          <t>Bay Leaf</t>
        </is>
      </c>
      <c r="I11" s="7">
        <f>IMAGE("https://images.lululemon.com/is/image/lululemon/62214",1)</f>
        <v/>
      </c>
      <c r="J11" s="7" t="inlineStr">
        <is>
          <t>2</t>
        </is>
      </c>
      <c r="K11" s="7" t="inlineStr">
        <is>
          <t>11/233</t>
        </is>
      </c>
      <c r="L11" s="7" t="inlineStr">
        <is>
          <t>Yes</t>
        </is>
      </c>
      <c r="M11" s="7" t="inlineStr">
        <is>
          <t>Focus on every push, press, and hold. This narrow-strap bra is intentionally designed with a light feel that lets you stay hyper-mindful.</t>
        </is>
      </c>
      <c r="N11" s="7" t="inlineStr">
        <is>
          <t>Wunder-Train-Strappy-Race-Bra-Light-AB</t>
        </is>
      </c>
      <c r="O11" s="7" t="inlineStr">
        <is>
          <t>Racerback Bras, Bralettes, Strappy Bras</t>
        </is>
      </c>
    </row>
    <row r="12" ht="80" customHeight="1">
      <c r="A12" s="4">
        <f>IMAGE("https://images.lululemon.com/is/image/lululemon/LW2DQ0S_062214_1?wid=320&amp;op_usm=0.8",1)</f>
        <v/>
      </c>
      <c r="B12" s="4" t="inlineStr">
        <is>
          <t>Wunder Train Strappy Racer Bra *Light Support, A/B Cup</t>
        </is>
      </c>
      <c r="C12" s="4" t="inlineStr">
        <is>
          <t>157708719</t>
        </is>
      </c>
      <c r="D12" s="4" t="inlineStr">
        <is>
          <t>157708719-bayleaf</t>
        </is>
      </c>
      <c r="E12" s="4" t="inlineStr">
        <is>
          <t>Wunder Train Strappy Racer Bra A/B BALF 2</t>
        </is>
      </c>
      <c r="F12" s="4" t="inlineStr">
        <is>
          <t>$58.00</t>
        </is>
      </c>
      <c r="G12" s="4" t="inlineStr">
        <is>
          <t>$29.00</t>
        </is>
      </c>
      <c r="H12" s="4" t="inlineStr">
        <is>
          <t>Bay Leaf</t>
        </is>
      </c>
      <c r="I12" s="4">
        <f>IMAGE("https://images.lululemon.com/is/image/lululemon/62214",1)</f>
        <v/>
      </c>
      <c r="J12" s="4" t="inlineStr">
        <is>
          <t>8</t>
        </is>
      </c>
      <c r="K12" s="4" t="inlineStr">
        <is>
          <t>6/233</t>
        </is>
      </c>
      <c r="L12" s="4" t="inlineStr">
        <is>
          <t>Yes</t>
        </is>
      </c>
      <c r="M12" s="4" t="inlineStr">
        <is>
          <t>Focus on every push, press, and hold. This narrow-strap bra is intentionally designed with a light feel that lets you stay hyper-mindful.</t>
        </is>
      </c>
      <c r="N12" s="4" t="inlineStr">
        <is>
          <t>Wunder-Train-Strappy-Race-Bra-Light-AB</t>
        </is>
      </c>
      <c r="O12" s="4" t="inlineStr">
        <is>
          <t>Racerback Bras, Bralettes, Strappy Bras</t>
        </is>
      </c>
    </row>
    <row r="13" ht="80" customHeight="1">
      <c r="A13" s="7">
        <f>IMAGE("https://images.lululemon.com/is/image/lululemon/LW2DQ0S_062214_1?wid=320&amp;op_usm=0.8",1)</f>
        <v/>
      </c>
      <c r="B13" s="7" t="inlineStr">
        <is>
          <t>Wunder Train Strappy Racer Bra *Light Support, A/B Cup</t>
        </is>
      </c>
      <c r="C13" s="7" t="inlineStr">
        <is>
          <t>157708648</t>
        </is>
      </c>
      <c r="D13" s="7" t="inlineStr">
        <is>
          <t>157708648-bayleaf</t>
        </is>
      </c>
      <c r="E13" s="7" t="inlineStr">
        <is>
          <t>Wunder Train Strappy Racer Bra A/B BALF 2</t>
        </is>
      </c>
      <c r="F13" s="7" t="inlineStr">
        <is>
          <t>$58.00</t>
        </is>
      </c>
      <c r="G13" s="7" t="inlineStr">
        <is>
          <t>$29.00</t>
        </is>
      </c>
      <c r="H13" s="7" t="inlineStr">
        <is>
          <t>Bay Leaf</t>
        </is>
      </c>
      <c r="I13" s="7">
        <f>IMAGE("https://images.lululemon.com/is/image/lululemon/62214",1)</f>
        <v/>
      </c>
      <c r="J13" s="7" t="inlineStr">
        <is>
          <t>10</t>
        </is>
      </c>
      <c r="K13" s="7" t="inlineStr">
        <is>
          <t>16/233</t>
        </is>
      </c>
      <c r="L13" s="7" t="inlineStr">
        <is>
          <t>Yes</t>
        </is>
      </c>
      <c r="M13" s="7" t="inlineStr">
        <is>
          <t>Focus on every push, press, and hold. This narrow-strap bra is intentionally designed with a light feel that lets you stay hyper-mindful.</t>
        </is>
      </c>
      <c r="N13" s="7" t="inlineStr">
        <is>
          <t>Wunder-Train-Strappy-Race-Bra-Light-AB</t>
        </is>
      </c>
      <c r="O13" s="7" t="inlineStr">
        <is>
          <t>Racerback Bras, Bralettes, Strappy Bras</t>
        </is>
      </c>
    </row>
    <row r="14" ht="80" customHeight="1">
      <c r="A14" s="4">
        <f>IMAGE("https://images.lululemon.com/is/image/lululemon/LW2DQ0S_062214_1?wid=320&amp;op_usm=0.8",1)</f>
        <v/>
      </c>
      <c r="B14" s="4" t="inlineStr">
        <is>
          <t>Wunder Train Strappy Racer Bra *Light Support, A/B Cup</t>
        </is>
      </c>
      <c r="C14" s="4" t="inlineStr">
        <is>
          <t>157708662</t>
        </is>
      </c>
      <c r="D14" s="4" t="inlineStr">
        <is>
          <t>157708662-bayleaf</t>
        </is>
      </c>
      <c r="E14" s="4" t="inlineStr">
        <is>
          <t>Wunder Train Strappy Racer Bra A/B BALF 2</t>
        </is>
      </c>
      <c r="F14" s="4" t="inlineStr">
        <is>
          <t>$58.00</t>
        </is>
      </c>
      <c r="G14" s="4" t="inlineStr">
        <is>
          <t>$29.00</t>
        </is>
      </c>
      <c r="H14" s="4" t="inlineStr">
        <is>
          <t>Bay Leaf</t>
        </is>
      </c>
      <c r="I14" s="4">
        <f>IMAGE("https://images.lululemon.com/is/image/lululemon/62214",1)</f>
        <v/>
      </c>
      <c r="J14" s="4" t="inlineStr">
        <is>
          <t>12</t>
        </is>
      </c>
      <c r="K14" s="4" t="inlineStr">
        <is>
          <t>7/233</t>
        </is>
      </c>
      <c r="L14" s="4" t="inlineStr">
        <is>
          <t>Yes</t>
        </is>
      </c>
      <c r="M14" s="4" t="inlineStr">
        <is>
          <t>Focus on every push, press, and hold. This narrow-strap bra is intentionally designed with a light feel that lets you stay hyper-mindful.</t>
        </is>
      </c>
      <c r="N14" s="4" t="inlineStr">
        <is>
          <t>Wunder-Train-Strappy-Race-Bra-Light-AB</t>
        </is>
      </c>
      <c r="O14" s="4" t="inlineStr">
        <is>
          <t>Racerback Bras, Bralettes, Strappy Bras</t>
        </is>
      </c>
    </row>
    <row r="15" ht="80" customHeight="1">
      <c r="A15" s="7">
        <f>IMAGE("https://images.lululemon.com/is/image/lululemon/LW2DQ0S_062214_1?wid=320&amp;op_usm=0.8",1)</f>
        <v/>
      </c>
      <c r="B15" s="7" t="inlineStr">
        <is>
          <t>Wunder Train Strappy Racer Bra *Light Support, A/B Cup</t>
        </is>
      </c>
      <c r="C15" s="7" t="inlineStr">
        <is>
          <t>157706911</t>
        </is>
      </c>
      <c r="D15" s="7" t="inlineStr">
        <is>
          <t>157706911-sunburstorange</t>
        </is>
      </c>
      <c r="E15" s="7" t="inlineStr">
        <is>
          <t>Wunder Train Strappy Racer Bra A/B BALF 2</t>
        </is>
      </c>
      <c r="F15" s="7" t="inlineStr">
        <is>
          <t>$58.00</t>
        </is>
      </c>
      <c r="G15" s="7" t="inlineStr">
        <is>
          <t>$29.00</t>
        </is>
      </c>
      <c r="H15" s="7" t="inlineStr">
        <is>
          <t>Sunburst Orange</t>
        </is>
      </c>
      <c r="I15" s="7">
        <f>IMAGE("https://images.lululemon.com/is/image/lululemon/71177",1)</f>
        <v/>
      </c>
      <c r="J15" s="7" t="inlineStr">
        <is>
          <t>2</t>
        </is>
      </c>
      <c r="K15" s="7" t="inlineStr">
        <is>
          <t>12/233</t>
        </is>
      </c>
      <c r="L15" s="7" t="inlineStr">
        <is>
          <t>Yes</t>
        </is>
      </c>
      <c r="M15" s="7" t="inlineStr">
        <is>
          <t>Focus on every push, press, and hold. This narrow-strap bra is intentionally designed with a light feel that lets you stay hyper-mindful.</t>
        </is>
      </c>
      <c r="N15" s="7" t="inlineStr">
        <is>
          <t>Wunder-Train-Strappy-Race-Bra-Light-AB</t>
        </is>
      </c>
      <c r="O15" s="7" t="inlineStr">
        <is>
          <t>Racerback Bras, Bralettes, Strappy Bras</t>
        </is>
      </c>
    </row>
    <row r="16" ht="80" customHeight="1">
      <c r="A16" s="4">
        <f>IMAGE("https://images.lululemon.com/is/image/lululemon/LW2DQ0S_062214_1?wid=320&amp;op_usm=0.8",1)</f>
        <v/>
      </c>
      <c r="B16" s="4" t="inlineStr">
        <is>
          <t>Wunder Train Strappy Racer Bra *Light Support, A/B Cup</t>
        </is>
      </c>
      <c r="C16" s="4" t="inlineStr">
        <is>
          <t>157706926</t>
        </is>
      </c>
      <c r="D16" s="4" t="inlineStr">
        <is>
          <t>157706926-sunburstorange</t>
        </is>
      </c>
      <c r="E16" s="4" t="inlineStr">
        <is>
          <t>Wunder Train Strappy Racer Bra A/B BALF 2</t>
        </is>
      </c>
      <c r="F16" s="4" t="inlineStr">
        <is>
          <t>$58.00</t>
        </is>
      </c>
      <c r="G16" s="4" t="inlineStr">
        <is>
          <t>$29.00</t>
        </is>
      </c>
      <c r="H16" s="4" t="inlineStr">
        <is>
          <t>Sunburst Orange</t>
        </is>
      </c>
      <c r="I16" s="4">
        <f>IMAGE("https://images.lululemon.com/is/image/lululemon/71177",1)</f>
        <v/>
      </c>
      <c r="J16" s="4" t="inlineStr">
        <is>
          <t>4</t>
        </is>
      </c>
      <c r="K16" s="4" t="inlineStr">
        <is>
          <t>31/233</t>
        </is>
      </c>
      <c r="L16" s="4" t="inlineStr">
        <is>
          <t>Yes</t>
        </is>
      </c>
      <c r="M16" s="4" t="inlineStr">
        <is>
          <t>Focus on every push, press, and hold. This narrow-strap bra is intentionally designed with a light feel that lets you stay hyper-mindful.</t>
        </is>
      </c>
      <c r="N16" s="4" t="inlineStr">
        <is>
          <t>Wunder-Train-Strappy-Race-Bra-Light-AB</t>
        </is>
      </c>
      <c r="O16" s="4" t="inlineStr">
        <is>
          <t>Racerback Bras, Bralettes, Strappy Bras</t>
        </is>
      </c>
    </row>
    <row r="17" ht="80" customHeight="1">
      <c r="A17" s="7">
        <f>IMAGE("https://images.lululemon.com/is/image/lululemon/LW2DQ0S_062214_1?wid=320&amp;op_usm=0.8",1)</f>
        <v/>
      </c>
      <c r="B17" s="7" t="inlineStr">
        <is>
          <t>Wunder Train Strappy Racer Bra *Light Support, A/B Cup</t>
        </is>
      </c>
      <c r="C17" s="7" t="inlineStr">
        <is>
          <t>157706947</t>
        </is>
      </c>
      <c r="D17" s="7" t="inlineStr">
        <is>
          <t>157706947-sunburstorange</t>
        </is>
      </c>
      <c r="E17" s="7" t="inlineStr">
        <is>
          <t>Wunder Train Strappy Racer Bra A/B BALF 2</t>
        </is>
      </c>
      <c r="F17" s="7" t="inlineStr">
        <is>
          <t>$58.00</t>
        </is>
      </c>
      <c r="G17" s="7" t="inlineStr">
        <is>
          <t>$29.00</t>
        </is>
      </c>
      <c r="H17" s="7" t="inlineStr">
        <is>
          <t>Sunburst Orange</t>
        </is>
      </c>
      <c r="I17" s="7">
        <f>IMAGE("https://images.lululemon.com/is/image/lululemon/71177",1)</f>
        <v/>
      </c>
      <c r="J17" s="7" t="inlineStr">
        <is>
          <t>6</t>
        </is>
      </c>
      <c r="K17" s="7" t="inlineStr">
        <is>
          <t>45/233</t>
        </is>
      </c>
      <c r="L17" s="7" t="inlineStr">
        <is>
          <t>Yes</t>
        </is>
      </c>
      <c r="M17" s="7" t="inlineStr">
        <is>
          <t>Focus on every push, press, and hold. This narrow-strap bra is intentionally designed with a light feel that lets you stay hyper-mindful.</t>
        </is>
      </c>
      <c r="N17" s="7" t="inlineStr">
        <is>
          <t>Wunder-Train-Strappy-Race-Bra-Light-AB</t>
        </is>
      </c>
      <c r="O17" s="7" t="inlineStr">
        <is>
          <t>Racerback Bras, Bralettes, Strappy Bras</t>
        </is>
      </c>
    </row>
    <row r="18" ht="80" customHeight="1">
      <c r="A18" s="4">
        <f>IMAGE("https://images.lululemon.com/is/image/lululemon/LW2DQ0S_062214_1?wid=320&amp;op_usm=0.8",1)</f>
        <v/>
      </c>
      <c r="B18" s="4" t="inlineStr">
        <is>
          <t>Wunder Train Strappy Racer Bra *Light Support, A/B Cup</t>
        </is>
      </c>
      <c r="C18" s="4" t="inlineStr">
        <is>
          <t>157706967</t>
        </is>
      </c>
      <c r="D18" s="4" t="inlineStr">
        <is>
          <t>157706967-sunburstorange</t>
        </is>
      </c>
      <c r="E18" s="4" t="inlineStr">
        <is>
          <t>Wunder Train Strappy Racer Bra A/B BALF 2</t>
        </is>
      </c>
      <c r="F18" s="4" t="inlineStr">
        <is>
          <t>$58.00</t>
        </is>
      </c>
      <c r="G18" s="4" t="inlineStr">
        <is>
          <t>$29.00</t>
        </is>
      </c>
      <c r="H18" s="4" t="inlineStr">
        <is>
          <t>Sunburst Orange</t>
        </is>
      </c>
      <c r="I18" s="4">
        <f>IMAGE("https://images.lululemon.com/is/image/lululemon/71177",1)</f>
        <v/>
      </c>
      <c r="J18" s="4" t="inlineStr">
        <is>
          <t>8</t>
        </is>
      </c>
      <c r="K18" s="4" t="inlineStr">
        <is>
          <t>36/233</t>
        </is>
      </c>
      <c r="L18" s="4" t="inlineStr">
        <is>
          <t>Yes</t>
        </is>
      </c>
      <c r="M18" s="4" t="inlineStr">
        <is>
          <t>Focus on every push, press, and hold. This narrow-strap bra is intentionally designed with a light feel that lets you stay hyper-mindful.</t>
        </is>
      </c>
      <c r="N18" s="4" t="inlineStr">
        <is>
          <t>Wunder-Train-Strappy-Race-Bra-Light-AB</t>
        </is>
      </c>
      <c r="O18" s="4" t="inlineStr">
        <is>
          <t>Racerback Bras, Bralettes, Strappy Bras</t>
        </is>
      </c>
    </row>
    <row r="19" ht="80" customHeight="1">
      <c r="A19" s="7">
        <f>IMAGE("https://images.lululemon.com/is/image/lululemon/LW2DQ0S_062214_1?wid=320&amp;op_usm=0.8",1)</f>
        <v/>
      </c>
      <c r="B19" s="7" t="inlineStr">
        <is>
          <t>Wunder Train Strappy Racer Bra *Light Support, A/B Cup</t>
        </is>
      </c>
      <c r="C19" s="7" t="inlineStr">
        <is>
          <t>157706847</t>
        </is>
      </c>
      <c r="D19" s="7" t="inlineStr">
        <is>
          <t>157706847-sunburstorange</t>
        </is>
      </c>
      <c r="E19" s="7" t="inlineStr">
        <is>
          <t>Wunder Train Strappy Racer Bra A/B BALF 2</t>
        </is>
      </c>
      <c r="F19" s="7" t="inlineStr">
        <is>
          <t>$58.00</t>
        </is>
      </c>
      <c r="G19" s="7" t="inlineStr">
        <is>
          <t>$29.00</t>
        </is>
      </c>
      <c r="H19" s="7" t="inlineStr">
        <is>
          <t>Sunburst Orange</t>
        </is>
      </c>
      <c r="I19" s="7">
        <f>IMAGE("https://images.lululemon.com/is/image/lululemon/71177",1)</f>
        <v/>
      </c>
      <c r="J19" s="7" t="inlineStr">
        <is>
          <t>10</t>
        </is>
      </c>
      <c r="K19" s="7" t="inlineStr">
        <is>
          <t>24/233</t>
        </is>
      </c>
      <c r="L19" s="7" t="inlineStr">
        <is>
          <t>Yes</t>
        </is>
      </c>
      <c r="M19" s="7" t="inlineStr">
        <is>
          <t>Focus on every push, press, and hold. This narrow-strap bra is intentionally designed with a light feel that lets you stay hyper-mindful.</t>
        </is>
      </c>
      <c r="N19" s="7" t="inlineStr">
        <is>
          <t>Wunder-Train-Strappy-Race-Bra-Light-AB</t>
        </is>
      </c>
      <c r="O19" s="7" t="inlineStr">
        <is>
          <t>Racerback Bras, Bralettes, Strappy Bras</t>
        </is>
      </c>
    </row>
    <row r="20" ht="80" customHeight="1">
      <c r="A20" s="4">
        <f>IMAGE("https://images.lululemon.com/is/image/lululemon/LW2DQ0S_062214_1?wid=320&amp;op_usm=0.8",1)</f>
        <v/>
      </c>
      <c r="B20" s="4" t="inlineStr">
        <is>
          <t>Wunder Train Strappy Racer Bra *Light Support, A/B Cup</t>
        </is>
      </c>
      <c r="C20" s="4" t="inlineStr">
        <is>
          <t>157706864</t>
        </is>
      </c>
      <c r="D20" s="4" t="inlineStr">
        <is>
          <t>157706864-sunburstorange</t>
        </is>
      </c>
      <c r="E20" s="4" t="inlineStr">
        <is>
          <t>Wunder Train Strappy Racer Bra A/B BALF 2</t>
        </is>
      </c>
      <c r="F20" s="4" t="inlineStr">
        <is>
          <t>$58.00</t>
        </is>
      </c>
      <c r="G20" s="4" t="inlineStr">
        <is>
          <t>$29.00</t>
        </is>
      </c>
      <c r="H20" s="4" t="inlineStr">
        <is>
          <t>Sunburst Orange</t>
        </is>
      </c>
      <c r="I20" s="4">
        <f>IMAGE("https://images.lululemon.com/is/image/lululemon/71177",1)</f>
        <v/>
      </c>
      <c r="J20" s="4" t="inlineStr">
        <is>
          <t>12</t>
        </is>
      </c>
      <c r="K20" s="4" t="inlineStr">
        <is>
          <t>10/233</t>
        </is>
      </c>
      <c r="L20" s="4" t="inlineStr">
        <is>
          <t>Yes</t>
        </is>
      </c>
      <c r="M20" s="4" t="inlineStr">
        <is>
          <t>Focus on every push, press, and hold. This narrow-strap bra is intentionally designed with a light feel that lets you stay hyper-mindful.</t>
        </is>
      </c>
      <c r="N20" s="4" t="inlineStr">
        <is>
          <t>Wunder-Train-Strappy-Race-Bra-Light-AB</t>
        </is>
      </c>
      <c r="O20" s="4" t="inlineStr">
        <is>
          <t>Racerback Bras, Bralettes, Strappy Bras</t>
        </is>
      </c>
    </row>
    <row r="21" ht="80" customHeight="1">
      <c r="A21" s="7">
        <f>IMAGE("https://images.lululemon.com/is/image/lululemon/LW2DQ0S_062214_1?wid=320&amp;op_usm=0.8",1)</f>
        <v/>
      </c>
      <c r="B21" s="7" t="inlineStr">
        <is>
          <t>Wunder Train Strappy Racer Bra *Light Support, A/B Cup</t>
        </is>
      </c>
      <c r="C21" s="7" t="inlineStr">
        <is>
          <t>157702012</t>
        </is>
      </c>
      <c r="D21" s="7" t="inlineStr">
        <is>
          <t>157702012-thawedcamoblackmulti</t>
        </is>
      </c>
      <c r="E21" s="7" t="inlineStr">
        <is>
          <t>Wunder Train Strappy Racer Bra A/B BALF 2</t>
        </is>
      </c>
      <c r="F21" s="7" t="inlineStr">
        <is>
          <t>$58.00</t>
        </is>
      </c>
      <c r="G21" s="7" t="inlineStr">
        <is>
          <t>$29.00</t>
        </is>
      </c>
      <c r="H21" s="7" t="inlineStr">
        <is>
          <t>Thawed Camo Black Multi</t>
        </is>
      </c>
      <c r="I21" s="7">
        <f>IMAGE("https://images.lululemon.com/is/image/lululemon/71293",1)</f>
        <v/>
      </c>
      <c r="J21" s="7" t="inlineStr">
        <is>
          <t>2</t>
        </is>
      </c>
      <c r="K21" s="7" t="inlineStr">
        <is>
          <t>4/233</t>
        </is>
      </c>
      <c r="L21" s="7" t="inlineStr">
        <is>
          <t>Yes</t>
        </is>
      </c>
      <c r="M21" s="7" t="inlineStr">
        <is>
          <t>Focus on every push, press, and hold. This narrow-strap bra is intentionally designed with a light feel that lets you stay hyper-mindful.</t>
        </is>
      </c>
      <c r="N21" s="7" t="inlineStr">
        <is>
          <t>Wunder-Train-Strappy-Race-Bra-Light-AB</t>
        </is>
      </c>
      <c r="O21" s="7" t="inlineStr">
        <is>
          <t>Racerback Bras, Bralettes, Strappy Bras</t>
        </is>
      </c>
    </row>
    <row r="22" ht="80" customHeight="1">
      <c r="A22" s="4">
        <f>IMAGE("https://images.lululemon.com/is/image/lululemon/LW2DQ0S_062214_1?wid=320&amp;op_usm=0.8",1)</f>
        <v/>
      </c>
      <c r="B22" s="4" t="inlineStr">
        <is>
          <t>Wunder Train Strappy Racer Bra *Light Support, A/B Cup</t>
        </is>
      </c>
      <c r="C22" s="4" t="inlineStr">
        <is>
          <t>157702070</t>
        </is>
      </c>
      <c r="D22" s="4" t="inlineStr">
        <is>
          <t>157702070-thawedcamoblackmulti</t>
        </is>
      </c>
      <c r="E22" s="4" t="inlineStr">
        <is>
          <t>Wunder Train Strappy Racer Bra A/B BALF 2</t>
        </is>
      </c>
      <c r="F22" s="4" t="inlineStr">
        <is>
          <t>$58.00</t>
        </is>
      </c>
      <c r="G22" s="4" t="inlineStr">
        <is>
          <t>$29.00</t>
        </is>
      </c>
      <c r="H22" s="4" t="inlineStr">
        <is>
          <t>Thawed Camo Black Multi</t>
        </is>
      </c>
      <c r="I22" s="4">
        <f>IMAGE("https://images.lululemon.com/is/image/lululemon/71293",1)</f>
        <v/>
      </c>
      <c r="J22" s="4" t="inlineStr">
        <is>
          <t>6</t>
        </is>
      </c>
      <c r="K22" s="4" t="inlineStr">
        <is>
          <t>5/233</t>
        </is>
      </c>
      <c r="L22" s="4" t="inlineStr">
        <is>
          <t>Yes</t>
        </is>
      </c>
      <c r="M22" s="4" t="inlineStr">
        <is>
          <t>Focus on every push, press, and hold. This narrow-strap bra is intentionally designed with a light feel that lets you stay hyper-mindful.</t>
        </is>
      </c>
      <c r="N22" s="4" t="inlineStr">
        <is>
          <t>Wunder-Train-Strappy-Race-Bra-Light-AB</t>
        </is>
      </c>
      <c r="O22" s="4" t="inlineStr">
        <is>
          <t>Racerback Bras, Bralettes, Strappy Bras</t>
        </is>
      </c>
    </row>
    <row r="23" ht="80" customHeight="1">
      <c r="A23" s="7">
        <f>IMAGE("https://images.lululemon.com/is/image/lululemon/LW2DQ0S_062214_1?wid=320&amp;op_usm=0.8",1)</f>
        <v/>
      </c>
      <c r="B23" s="7" t="inlineStr">
        <is>
          <t>Wunder Train Strappy Racer Bra *Light Support, A/B Cup</t>
        </is>
      </c>
      <c r="C23" s="7" t="inlineStr">
        <is>
          <t>157702097</t>
        </is>
      </c>
      <c r="D23" s="7" t="inlineStr">
        <is>
          <t>157702097-thawedcamoblackmulti</t>
        </is>
      </c>
      <c r="E23" s="7" t="inlineStr">
        <is>
          <t>Wunder Train Strappy Racer Bra A/B BALF 2</t>
        </is>
      </c>
      <c r="F23" s="7" t="inlineStr">
        <is>
          <t>$58.00</t>
        </is>
      </c>
      <c r="G23" s="7" t="inlineStr">
        <is>
          <t>$29.00</t>
        </is>
      </c>
      <c r="H23" s="7" t="inlineStr">
        <is>
          <t>Thawed Camo Black Multi</t>
        </is>
      </c>
      <c r="I23" s="7">
        <f>IMAGE("https://images.lululemon.com/is/image/lululemon/71293",1)</f>
        <v/>
      </c>
      <c r="J23" s="7" t="inlineStr">
        <is>
          <t>8</t>
        </is>
      </c>
      <c r="K23" s="7" t="inlineStr">
        <is>
          <t>16/233</t>
        </is>
      </c>
      <c r="L23" s="7" t="inlineStr">
        <is>
          <t>Yes</t>
        </is>
      </c>
      <c r="M23" s="7" t="inlineStr">
        <is>
          <t>Focus on every push, press, and hold. This narrow-strap bra is intentionally designed with a light feel that lets you stay hyper-mindful.</t>
        </is>
      </c>
      <c r="N23" s="7" t="inlineStr">
        <is>
          <t>Wunder-Train-Strappy-Race-Bra-Light-AB</t>
        </is>
      </c>
      <c r="O23" s="7" t="inlineStr">
        <is>
          <t>Racerback Bras, Bralettes, Strappy Bras</t>
        </is>
      </c>
    </row>
    <row r="24" ht="80" customHeight="1">
      <c r="A24" s="6">
        <f>IMAGE("https://images.lululemon.com/is/image/lululemon/LW2DQ0S_062214_1?wid=320&amp;op_usm=0.8",1)</f>
        <v/>
      </c>
      <c r="B24" s="6" t="inlineStr">
        <is>
          <t>Wunder Train Strappy Racer Bra *Light Support, A/B Cup</t>
        </is>
      </c>
      <c r="C24" s="6" t="inlineStr">
        <is>
          <t>157701924</t>
        </is>
      </c>
      <c r="D24" s="6" t="inlineStr">
        <is>
          <t>157701924-thawedcamoblackmulti</t>
        </is>
      </c>
      <c r="E24" s="6" t="inlineStr">
        <is>
          <t>Wunder Train Strappy Racer Bra A/B BALF 2</t>
        </is>
      </c>
      <c r="F24" s="6" t="inlineStr">
        <is>
          <t>$58.00</t>
        </is>
      </c>
      <c r="G24" s="6" t="inlineStr">
        <is>
          <t>$29.00</t>
        </is>
      </c>
      <c r="H24" s="6" t="inlineStr">
        <is>
          <t>Thawed Camo Black Multi</t>
        </is>
      </c>
      <c r="I24" s="6">
        <f>IMAGE("https://images.lululemon.com/is/image/lululemon/71293",1)</f>
        <v/>
      </c>
      <c r="J24" s="6" t="inlineStr">
        <is>
          <t>10</t>
        </is>
      </c>
      <c r="K24" s="6" t="inlineStr">
        <is>
          <t>10/233</t>
        </is>
      </c>
      <c r="L24" s="6" t="inlineStr">
        <is>
          <t>Yes</t>
        </is>
      </c>
      <c r="M24" s="6" t="inlineStr">
        <is>
          <t>Focus on every push, press, and hold. This narrow-strap bra is intentionally designed with a light feel that lets you stay hyper-mindful.</t>
        </is>
      </c>
      <c r="N24" s="6" t="inlineStr">
        <is>
          <t>Wunder-Train-Strappy-Race-Bra-Light-AB</t>
        </is>
      </c>
      <c r="O24" s="6" t="inlineStr">
        <is>
          <t>Racerback Bras, Bralettes, Strappy Bras</t>
        </is>
      </c>
    </row>
    <row r="25" ht="80" customHeight="1">
      <c r="A25" s="7">
        <f>IMAGE("https://images.lululemon.com/is/image/lululemon/LW1DSPS_0002_1?wid=320&amp;op_usm=0.8",1)</f>
        <v/>
      </c>
      <c r="B25" s="7" t="inlineStr">
        <is>
          <t>lululemon Align™ Waist-Length Racerback Tank Top</t>
        </is>
      </c>
      <c r="C25" s="7" t="inlineStr">
        <is>
          <t>157678698</t>
        </is>
      </c>
      <c r="D25" s="7" t="inlineStr">
        <is>
          <t>157678698-rainforestgreen</t>
        </is>
      </c>
      <c r="E25" s="7" t="inlineStr">
        <is>
          <t>lululemon Align™ Waist-Length Racerback RNFG 2</t>
        </is>
      </c>
      <c r="F25" s="7" t="inlineStr">
        <is>
          <t>$58.00</t>
        </is>
      </c>
      <c r="G25" s="7" t="inlineStr">
        <is>
          <t>$29.00</t>
        </is>
      </c>
      <c r="H25" s="7" t="inlineStr">
        <is>
          <t>Rainforest Green</t>
        </is>
      </c>
      <c r="I25" s="7">
        <f>IMAGE("https://images.lululemon.com/is/image/lululemon/49106",1)</f>
        <v/>
      </c>
      <c r="J25" s="7" t="inlineStr">
        <is>
          <t>2</t>
        </is>
      </c>
      <c r="K25" s="7" t="inlineStr">
        <is>
          <t>25/1129</t>
        </is>
      </c>
      <c r="L25" s="7" t="inlineStr">
        <is>
          <t>Yes</t>
        </is>
      </c>
      <c r="M25" s="7" t="inlineStr">
        <is>
          <t>When feeling nothing is everything. The lululemon Align™ collection is so weightless and buttery soft, all you feel is your practice.</t>
        </is>
      </c>
      <c r="N25" s="7" t="inlineStr">
        <is>
          <t>Align-WaistLength-Racerback-Tank</t>
        </is>
      </c>
      <c r="O25" s="7" t="inlineStr"/>
    </row>
    <row r="26" ht="80" customHeight="1">
      <c r="A26" s="4">
        <f>IMAGE("https://images.lululemon.com/is/image/lululemon/LW1DSPS_0002_1?wid=320&amp;op_usm=0.8",1)</f>
        <v/>
      </c>
      <c r="B26" s="4" t="inlineStr">
        <is>
          <t>lululemon Align™ Waist-Length Racerback Tank Top</t>
        </is>
      </c>
      <c r="C26" s="4" t="inlineStr">
        <is>
          <t>157678730</t>
        </is>
      </c>
      <c r="D26" s="4" t="inlineStr">
        <is>
          <t>157678730-rainforestgreen</t>
        </is>
      </c>
      <c r="E26" s="4" t="inlineStr">
        <is>
          <t>lululemon Align™ Waist-Length Racerback RNFG 2</t>
        </is>
      </c>
      <c r="F26" s="4" t="inlineStr">
        <is>
          <t>$58.00</t>
        </is>
      </c>
      <c r="G26" s="4" t="inlineStr">
        <is>
          <t>$29.00</t>
        </is>
      </c>
      <c r="H26" s="4" t="inlineStr">
        <is>
          <t>Rainforest Green</t>
        </is>
      </c>
      <c r="I26" s="4">
        <f>IMAGE("https://images.lululemon.com/is/image/lululemon/49106",1)</f>
        <v/>
      </c>
      <c r="J26" s="4" t="inlineStr">
        <is>
          <t>4</t>
        </is>
      </c>
      <c r="K26" s="4" t="inlineStr">
        <is>
          <t>70/1129</t>
        </is>
      </c>
      <c r="L26" s="4" t="inlineStr">
        <is>
          <t>Yes</t>
        </is>
      </c>
      <c r="M26" s="4" t="inlineStr">
        <is>
          <t>When feeling nothing is everything. The lululemon Align™ collection is so weightless and buttery soft, all you feel is your practice.</t>
        </is>
      </c>
      <c r="N26" s="4" t="inlineStr">
        <is>
          <t>Align-WaistLength-Racerback-Tank</t>
        </is>
      </c>
      <c r="O26" s="4" t="inlineStr"/>
    </row>
    <row r="27" ht="80" customHeight="1">
      <c r="A27" s="7">
        <f>IMAGE("https://images.lululemon.com/is/image/lululemon/LW1DSPS_0002_1?wid=320&amp;op_usm=0.8",1)</f>
        <v/>
      </c>
      <c r="B27" s="7" t="inlineStr">
        <is>
          <t>lululemon Align™ Waist-Length Racerback Tank Top</t>
        </is>
      </c>
      <c r="C27" s="7" t="inlineStr">
        <is>
          <t>157678744</t>
        </is>
      </c>
      <c r="D27" s="7" t="inlineStr">
        <is>
          <t>157678744-rainforestgreen</t>
        </is>
      </c>
      <c r="E27" s="7" t="inlineStr">
        <is>
          <t>lululemon Align™ Waist-Length Racerback RNFG 2</t>
        </is>
      </c>
      <c r="F27" s="7" t="inlineStr">
        <is>
          <t>$58.00</t>
        </is>
      </c>
      <c r="G27" s="7" t="inlineStr">
        <is>
          <t>$29.00</t>
        </is>
      </c>
      <c r="H27" s="7" t="inlineStr">
        <is>
          <t>Rainforest Green</t>
        </is>
      </c>
      <c r="I27" s="7">
        <f>IMAGE("https://images.lululemon.com/is/image/lululemon/49106",1)</f>
        <v/>
      </c>
      <c r="J27" s="7" t="inlineStr">
        <is>
          <t>6</t>
        </is>
      </c>
      <c r="K27" s="7" t="inlineStr">
        <is>
          <t>75/1129</t>
        </is>
      </c>
      <c r="L27" s="7" t="inlineStr">
        <is>
          <t>Yes</t>
        </is>
      </c>
      <c r="M27" s="7" t="inlineStr">
        <is>
          <t>When feeling nothing is everything. The lululemon Align™ collection is so weightless and buttery soft, all you feel is your practice.</t>
        </is>
      </c>
      <c r="N27" s="7" t="inlineStr">
        <is>
          <t>Align-WaistLength-Racerback-Tank</t>
        </is>
      </c>
      <c r="O27" s="7" t="inlineStr"/>
    </row>
    <row r="28" ht="80" customHeight="1">
      <c r="A28" s="4">
        <f>IMAGE("https://images.lululemon.com/is/image/lululemon/LW1DSPS_0002_1?wid=320&amp;op_usm=0.8",1)</f>
        <v/>
      </c>
      <c r="B28" s="4" t="inlineStr">
        <is>
          <t>lululemon Align™ Waist-Length Racerback Tank Top</t>
        </is>
      </c>
      <c r="C28" s="4" t="inlineStr">
        <is>
          <t>157678754</t>
        </is>
      </c>
      <c r="D28" s="4" t="inlineStr">
        <is>
          <t>157678754-rainforestgreen</t>
        </is>
      </c>
      <c r="E28" s="4" t="inlineStr">
        <is>
          <t>lululemon Align™ Waist-Length Racerback RNFG 2</t>
        </is>
      </c>
      <c r="F28" s="4" t="inlineStr">
        <is>
          <t>$58.00</t>
        </is>
      </c>
      <c r="G28" s="4" t="inlineStr">
        <is>
          <t>$29.00</t>
        </is>
      </c>
      <c r="H28" s="4" t="inlineStr">
        <is>
          <t>Rainforest Green</t>
        </is>
      </c>
      <c r="I28" s="4">
        <f>IMAGE("https://images.lululemon.com/is/image/lululemon/49106",1)</f>
        <v/>
      </c>
      <c r="J28" s="4" t="inlineStr">
        <is>
          <t>8</t>
        </is>
      </c>
      <c r="K28" s="4" t="inlineStr">
        <is>
          <t>56/1129</t>
        </is>
      </c>
      <c r="L28" s="4" t="inlineStr">
        <is>
          <t>Yes</t>
        </is>
      </c>
      <c r="M28" s="4" t="inlineStr">
        <is>
          <t>When feeling nothing is everything. The lululemon Align™ collection is so weightless and buttery soft, all you feel is your practice.</t>
        </is>
      </c>
      <c r="N28" s="4" t="inlineStr">
        <is>
          <t>Align-WaistLength-Racerback-Tank</t>
        </is>
      </c>
      <c r="O28" s="4" t="inlineStr"/>
    </row>
    <row r="29" ht="80" customHeight="1">
      <c r="A29" s="7">
        <f>IMAGE("https://images.lululemon.com/is/image/lululemon/LW1DSPS_0002_1?wid=320&amp;op_usm=0.8",1)</f>
        <v/>
      </c>
      <c r="B29" s="7" t="inlineStr">
        <is>
          <t>lululemon Align™ Waist-Length Racerback Tank Top</t>
        </is>
      </c>
      <c r="C29" s="7" t="inlineStr">
        <is>
          <t>157678617</t>
        </is>
      </c>
      <c r="D29" s="7" t="inlineStr">
        <is>
          <t>157678617-rainforestgreen</t>
        </is>
      </c>
      <c r="E29" s="7" t="inlineStr">
        <is>
          <t>lululemon Align™ Waist-Length Racerback RNFG 2</t>
        </is>
      </c>
      <c r="F29" s="7" t="inlineStr">
        <is>
          <t>$58.00</t>
        </is>
      </c>
      <c r="G29" s="7" t="inlineStr">
        <is>
          <t>$29.00</t>
        </is>
      </c>
      <c r="H29" s="7" t="inlineStr">
        <is>
          <t>Rainforest Green</t>
        </is>
      </c>
      <c r="I29" s="7">
        <f>IMAGE("https://images.lululemon.com/is/image/lululemon/49106",1)</f>
        <v/>
      </c>
      <c r="J29" s="7" t="inlineStr">
        <is>
          <t>10</t>
        </is>
      </c>
      <c r="K29" s="7" t="inlineStr">
        <is>
          <t>39/1129</t>
        </is>
      </c>
      <c r="L29" s="7" t="inlineStr">
        <is>
          <t>Yes</t>
        </is>
      </c>
      <c r="M29" s="7" t="inlineStr">
        <is>
          <t>When feeling nothing is everything. The lululemon Align™ collection is so weightless and buttery soft, all you feel is your practice.</t>
        </is>
      </c>
      <c r="N29" s="7" t="inlineStr">
        <is>
          <t>Align-WaistLength-Racerback-Tank</t>
        </is>
      </c>
      <c r="O29" s="7" t="inlineStr"/>
    </row>
    <row r="30" ht="80" customHeight="1">
      <c r="A30" s="4">
        <f>IMAGE("https://images.lululemon.com/is/image/lululemon/LW1DSPS_0002_1?wid=320&amp;op_usm=0.8",1)</f>
        <v/>
      </c>
      <c r="B30" s="4" t="inlineStr">
        <is>
          <t>lululemon Align™ Waist-Length Racerback Tank Top</t>
        </is>
      </c>
      <c r="C30" s="4" t="inlineStr">
        <is>
          <t>157678636</t>
        </is>
      </c>
      <c r="D30" s="4" t="inlineStr">
        <is>
          <t>157678636-rainforestgreen</t>
        </is>
      </c>
      <c r="E30" s="4" t="inlineStr">
        <is>
          <t>lululemon Align™ Waist-Length Racerback RNFG 2</t>
        </is>
      </c>
      <c r="F30" s="4" t="inlineStr">
        <is>
          <t>$58.00</t>
        </is>
      </c>
      <c r="G30" s="4" t="inlineStr">
        <is>
          <t>$29.00</t>
        </is>
      </c>
      <c r="H30" s="4" t="inlineStr">
        <is>
          <t>Rainforest Green</t>
        </is>
      </c>
      <c r="I30" s="4">
        <f>IMAGE("https://images.lululemon.com/is/image/lululemon/49106",1)</f>
        <v/>
      </c>
      <c r="J30" s="4" t="inlineStr">
        <is>
          <t>12</t>
        </is>
      </c>
      <c r="K30" s="4" t="inlineStr">
        <is>
          <t>37/1129</t>
        </is>
      </c>
      <c r="L30" s="4" t="inlineStr">
        <is>
          <t>Yes</t>
        </is>
      </c>
      <c r="M30" s="4" t="inlineStr">
        <is>
          <t>When feeling nothing is everything. The lululemon Align™ collection is so weightless and buttery soft, all you feel is your practice.</t>
        </is>
      </c>
      <c r="N30" s="4" t="inlineStr">
        <is>
          <t>Align-WaistLength-Racerback-Tank</t>
        </is>
      </c>
      <c r="O30" s="4" t="inlineStr"/>
    </row>
    <row r="31" ht="80" customHeight="1">
      <c r="A31" s="7">
        <f>IMAGE("https://images.lululemon.com/is/image/lululemon/LW1DSPS_0002_1?wid=320&amp;op_usm=0.8",1)</f>
        <v/>
      </c>
      <c r="B31" s="7" t="inlineStr">
        <is>
          <t>lululemon Align™ Waist-Length Racerback Tank Top</t>
        </is>
      </c>
      <c r="C31" s="7" t="inlineStr">
        <is>
          <t>158034255</t>
        </is>
      </c>
      <c r="D31" s="7" t="inlineStr">
        <is>
          <t>158034255-berryrumble</t>
        </is>
      </c>
      <c r="E31" s="7" t="inlineStr">
        <is>
          <t>lululemon Align™ Waist-Length Racerback RNFG 2</t>
        </is>
      </c>
      <c r="F31" s="7" t="inlineStr">
        <is>
          <t>$58.00</t>
        </is>
      </c>
      <c r="G31" s="7" t="inlineStr">
        <is>
          <t>$29.00</t>
        </is>
      </c>
      <c r="H31" s="7" t="inlineStr">
        <is>
          <t>Berry Rumble</t>
        </is>
      </c>
      <c r="I31" s="7">
        <f>IMAGE("https://images.lululemon.com/is/image/lululemon/21363",1)</f>
        <v/>
      </c>
      <c r="J31" s="7" t="inlineStr">
        <is>
          <t>2</t>
        </is>
      </c>
      <c r="K31" s="7" t="inlineStr">
        <is>
          <t>8/1129</t>
        </is>
      </c>
      <c r="L31" s="7" t="inlineStr">
        <is>
          <t>Yes</t>
        </is>
      </c>
      <c r="M31" s="7" t="inlineStr">
        <is>
          <t>When feeling nothing is everything. The lululemon Align™ collection is so weightless and buttery soft, all you feel is your practice.</t>
        </is>
      </c>
      <c r="N31" s="7" t="inlineStr">
        <is>
          <t>Align-WaistLength-Racerback-Tank</t>
        </is>
      </c>
      <c r="O31" s="7" t="inlineStr"/>
    </row>
    <row r="32" ht="80" customHeight="1">
      <c r="A32" s="4">
        <f>IMAGE("https://images.lululemon.com/is/image/lululemon/LW1DSPS_0002_1?wid=320&amp;op_usm=0.8",1)</f>
        <v/>
      </c>
      <c r="B32" s="4" t="inlineStr">
        <is>
          <t>lululemon Align™ Waist-Length Racerback Tank Top</t>
        </is>
      </c>
      <c r="C32" s="4" t="inlineStr">
        <is>
          <t>158034282</t>
        </is>
      </c>
      <c r="D32" s="4" t="inlineStr">
        <is>
          <t>158034282-berryrumble</t>
        </is>
      </c>
      <c r="E32" s="4" t="inlineStr">
        <is>
          <t>lululemon Align™ Waist-Length Racerback RNFG 2</t>
        </is>
      </c>
      <c r="F32" s="4" t="inlineStr">
        <is>
          <t>$58.00</t>
        </is>
      </c>
      <c r="G32" s="4" t="inlineStr">
        <is>
          <t>$29.00</t>
        </is>
      </c>
      <c r="H32" s="4" t="inlineStr">
        <is>
          <t>Berry Rumble</t>
        </is>
      </c>
      <c r="I32" s="4">
        <f>IMAGE("https://images.lululemon.com/is/image/lululemon/21363",1)</f>
        <v/>
      </c>
      <c r="J32" s="4" t="inlineStr">
        <is>
          <t>4</t>
        </is>
      </c>
      <c r="K32" s="4" t="inlineStr">
        <is>
          <t>43/1129</t>
        </is>
      </c>
      <c r="L32" s="4" t="inlineStr">
        <is>
          <t>Yes</t>
        </is>
      </c>
      <c r="M32" s="4" t="inlineStr">
        <is>
          <t>When feeling nothing is everything. The lululemon Align™ collection is so weightless and buttery soft, all you feel is your practice.</t>
        </is>
      </c>
      <c r="N32" s="4" t="inlineStr">
        <is>
          <t>Align-WaistLength-Racerback-Tank</t>
        </is>
      </c>
      <c r="O32" s="4" t="inlineStr"/>
    </row>
    <row r="33" ht="80" customHeight="1">
      <c r="A33" s="7">
        <f>IMAGE("https://images.lululemon.com/is/image/lululemon/LW1DSPS_0002_1?wid=320&amp;op_usm=0.8",1)</f>
        <v/>
      </c>
      <c r="B33" s="7" t="inlineStr">
        <is>
          <t>lululemon Align™ Waist-Length Racerback Tank Top</t>
        </is>
      </c>
      <c r="C33" s="7" t="inlineStr">
        <is>
          <t>158034296</t>
        </is>
      </c>
      <c r="D33" s="7" t="inlineStr">
        <is>
          <t>158034296-berryrumble</t>
        </is>
      </c>
      <c r="E33" s="7" t="inlineStr">
        <is>
          <t>lululemon Align™ Waist-Length Racerback RNFG 2</t>
        </is>
      </c>
      <c r="F33" s="7" t="inlineStr">
        <is>
          <t>$58.00</t>
        </is>
      </c>
      <c r="G33" s="7" t="inlineStr">
        <is>
          <t>$29.00</t>
        </is>
      </c>
      <c r="H33" s="7" t="inlineStr">
        <is>
          <t>Berry Rumble</t>
        </is>
      </c>
      <c r="I33" s="7">
        <f>IMAGE("https://images.lululemon.com/is/image/lululemon/21363",1)</f>
        <v/>
      </c>
      <c r="J33" s="7" t="inlineStr">
        <is>
          <t>6</t>
        </is>
      </c>
      <c r="K33" s="7" t="inlineStr">
        <is>
          <t>45/1129</t>
        </is>
      </c>
      <c r="L33" s="7" t="inlineStr">
        <is>
          <t>Yes</t>
        </is>
      </c>
      <c r="M33" s="7" t="inlineStr">
        <is>
          <t>When feeling nothing is everything. The lululemon Align™ collection is so weightless and buttery soft, all you feel is your practice.</t>
        </is>
      </c>
      <c r="N33" s="7" t="inlineStr">
        <is>
          <t>Align-WaistLength-Racerback-Tank</t>
        </is>
      </c>
      <c r="O33" s="7" t="inlineStr"/>
    </row>
    <row r="34" ht="80" customHeight="1">
      <c r="A34" s="4">
        <f>IMAGE("https://images.lululemon.com/is/image/lululemon/LW1DSPS_0002_1?wid=320&amp;op_usm=0.8",1)</f>
        <v/>
      </c>
      <c r="B34" s="4" t="inlineStr">
        <is>
          <t>lululemon Align™ Waist-Length Racerback Tank Top</t>
        </is>
      </c>
      <c r="C34" s="4" t="inlineStr">
        <is>
          <t>158034306</t>
        </is>
      </c>
      <c r="D34" s="4" t="inlineStr">
        <is>
          <t>158034306-berryrumble</t>
        </is>
      </c>
      <c r="E34" s="4" t="inlineStr">
        <is>
          <t>lululemon Align™ Waist-Length Racerback RNFG 2</t>
        </is>
      </c>
      <c r="F34" s="4" t="inlineStr">
        <is>
          <t>$58.00</t>
        </is>
      </c>
      <c r="G34" s="4" t="inlineStr">
        <is>
          <t>$29.00</t>
        </is>
      </c>
      <c r="H34" s="4" t="inlineStr">
        <is>
          <t>Berry Rumble</t>
        </is>
      </c>
      <c r="I34" s="4">
        <f>IMAGE("https://images.lululemon.com/is/image/lululemon/21363",1)</f>
        <v/>
      </c>
      <c r="J34" s="4" t="inlineStr">
        <is>
          <t>8</t>
        </is>
      </c>
      <c r="K34" s="4" t="inlineStr">
        <is>
          <t>32/1129</t>
        </is>
      </c>
      <c r="L34" s="4" t="inlineStr">
        <is>
          <t>Yes</t>
        </is>
      </c>
      <c r="M34" s="4" t="inlineStr">
        <is>
          <t>When feeling nothing is everything. The lululemon Align™ collection is so weightless and buttery soft, all you feel is your practice.</t>
        </is>
      </c>
      <c r="N34" s="4" t="inlineStr">
        <is>
          <t>Align-WaistLength-Racerback-Tank</t>
        </is>
      </c>
      <c r="O34" s="4" t="inlineStr"/>
    </row>
    <row r="35" ht="80" customHeight="1">
      <c r="A35" s="7">
        <f>IMAGE("https://images.lululemon.com/is/image/lululemon/LW1DSPS_0002_1?wid=320&amp;op_usm=0.8",1)</f>
        <v/>
      </c>
      <c r="B35" s="7" t="inlineStr">
        <is>
          <t>lululemon Align™ Waist-Length Racerback Tank Top</t>
        </is>
      </c>
      <c r="C35" s="7" t="inlineStr">
        <is>
          <t>158034203</t>
        </is>
      </c>
      <c r="D35" s="7" t="inlineStr">
        <is>
          <t>158034203-berryrumble</t>
        </is>
      </c>
      <c r="E35" s="7" t="inlineStr">
        <is>
          <t>lululemon Align™ Waist-Length Racerback RNFG 2</t>
        </is>
      </c>
      <c r="F35" s="7" t="inlineStr">
        <is>
          <t>$58.00</t>
        </is>
      </c>
      <c r="G35" s="7" t="inlineStr">
        <is>
          <t>$29.00</t>
        </is>
      </c>
      <c r="H35" s="7" t="inlineStr">
        <is>
          <t>Berry Rumble</t>
        </is>
      </c>
      <c r="I35" s="7">
        <f>IMAGE("https://images.lululemon.com/is/image/lululemon/21363",1)</f>
        <v/>
      </c>
      <c r="J35" s="7" t="inlineStr">
        <is>
          <t>10</t>
        </is>
      </c>
      <c r="K35" s="7" t="inlineStr">
        <is>
          <t>18/1129</t>
        </is>
      </c>
      <c r="L35" s="7" t="inlineStr">
        <is>
          <t>Yes</t>
        </is>
      </c>
      <c r="M35" s="7" t="inlineStr">
        <is>
          <t>When feeling nothing is everything. The lululemon Align™ collection is so weightless and buttery soft, all you feel is your practice.</t>
        </is>
      </c>
      <c r="N35" s="7" t="inlineStr">
        <is>
          <t>Align-WaistLength-Racerback-Tank</t>
        </is>
      </c>
      <c r="O35" s="7" t="inlineStr"/>
    </row>
    <row r="36" ht="80" customHeight="1">
      <c r="A36" s="4">
        <f>IMAGE("https://images.lululemon.com/is/image/lululemon/LW1DSPS_0002_1?wid=320&amp;op_usm=0.8",1)</f>
        <v/>
      </c>
      <c r="B36" s="4" t="inlineStr">
        <is>
          <t>lululemon Align™ Waist-Length Racerback Tank Top</t>
        </is>
      </c>
      <c r="C36" s="4" t="inlineStr">
        <is>
          <t>158034217</t>
        </is>
      </c>
      <c r="D36" s="4" t="inlineStr">
        <is>
          <t>158034217-berryrumble</t>
        </is>
      </c>
      <c r="E36" s="4" t="inlineStr">
        <is>
          <t>lululemon Align™ Waist-Length Racerback RNFG 2</t>
        </is>
      </c>
      <c r="F36" s="4" t="inlineStr">
        <is>
          <t>$58.00</t>
        </is>
      </c>
      <c r="G36" s="4" t="inlineStr">
        <is>
          <t>$29.00</t>
        </is>
      </c>
      <c r="H36" s="4" t="inlineStr">
        <is>
          <t>Berry Rumble</t>
        </is>
      </c>
      <c r="I36" s="4">
        <f>IMAGE("https://images.lululemon.com/is/image/lululemon/21363",1)</f>
        <v/>
      </c>
      <c r="J36" s="4" t="inlineStr">
        <is>
          <t>12</t>
        </is>
      </c>
      <c r="K36" s="4" t="inlineStr">
        <is>
          <t>15/1129</t>
        </is>
      </c>
      <c r="L36" s="4" t="inlineStr">
        <is>
          <t>Yes</t>
        </is>
      </c>
      <c r="M36" s="4" t="inlineStr">
        <is>
          <t>When feeling nothing is everything. The lululemon Align™ collection is so weightless and buttery soft, all you feel is your practice.</t>
        </is>
      </c>
      <c r="N36" s="4" t="inlineStr">
        <is>
          <t>Align-WaistLength-Racerback-Tank</t>
        </is>
      </c>
      <c r="O36" s="4" t="inlineStr"/>
    </row>
    <row r="37" ht="80" customHeight="1">
      <c r="A37" s="7">
        <f>IMAGE("https://images.lululemon.com/is/image/lululemon/LW1DSPS_0002_1?wid=320&amp;op_usm=0.8",1)</f>
        <v/>
      </c>
      <c r="B37" s="7" t="inlineStr">
        <is>
          <t>lululemon Align™ Waist-Length Racerback Tank Top</t>
        </is>
      </c>
      <c r="C37" s="7" t="inlineStr">
        <is>
          <t>158034278</t>
        </is>
      </c>
      <c r="D37" s="7" t="inlineStr">
        <is>
          <t>158034278-brilliantblue</t>
        </is>
      </c>
      <c r="E37" s="7" t="inlineStr">
        <is>
          <t>lululemon Align™ Waist-Length Racerback RNFG 2</t>
        </is>
      </c>
      <c r="F37" s="7" t="inlineStr">
        <is>
          <t>$58.00</t>
        </is>
      </c>
      <c r="G37" s="7" t="inlineStr">
        <is>
          <t>$29.00</t>
        </is>
      </c>
      <c r="H37" s="7" t="inlineStr">
        <is>
          <t>Brilliant Blue</t>
        </is>
      </c>
      <c r="I37" s="7">
        <f>IMAGE("https://images.lululemon.com/is/image/lululemon/33190",1)</f>
        <v/>
      </c>
      <c r="J37" s="7" t="inlineStr">
        <is>
          <t>2</t>
        </is>
      </c>
      <c r="K37" s="7" t="inlineStr">
        <is>
          <t>5/1129</t>
        </is>
      </c>
      <c r="L37" s="7" t="inlineStr">
        <is>
          <t>Yes</t>
        </is>
      </c>
      <c r="M37" s="7" t="inlineStr">
        <is>
          <t>When feeling nothing is everything. The lululemon Align™ collection is so weightless and buttery soft, all you feel is your practice.</t>
        </is>
      </c>
      <c r="N37" s="7" t="inlineStr">
        <is>
          <t>Align-WaistLength-Racerback-Tank</t>
        </is>
      </c>
      <c r="O37" s="7" t="inlineStr"/>
    </row>
    <row r="38" ht="80" customHeight="1">
      <c r="A38" s="4">
        <f>IMAGE("https://images.lululemon.com/is/image/lululemon/LW1DSPS_0002_1?wid=320&amp;op_usm=0.8",1)</f>
        <v/>
      </c>
      <c r="B38" s="4" t="inlineStr">
        <is>
          <t>lululemon Align™ Waist-Length Racerback Tank Top</t>
        </is>
      </c>
      <c r="C38" s="4" t="inlineStr">
        <is>
          <t>158034293</t>
        </is>
      </c>
      <c r="D38" s="4" t="inlineStr">
        <is>
          <t>158034293-brilliantblue</t>
        </is>
      </c>
      <c r="E38" s="4" t="inlineStr">
        <is>
          <t>lululemon Align™ Waist-Length Racerback RNFG 2</t>
        </is>
      </c>
      <c r="F38" s="4" t="inlineStr">
        <is>
          <t>$58.00</t>
        </is>
      </c>
      <c r="G38" s="4" t="inlineStr">
        <is>
          <t>$29.00</t>
        </is>
      </c>
      <c r="H38" s="4" t="inlineStr">
        <is>
          <t>Brilliant Blue</t>
        </is>
      </c>
      <c r="I38" s="4">
        <f>IMAGE("https://images.lululemon.com/is/image/lululemon/33190",1)</f>
        <v/>
      </c>
      <c r="J38" s="4" t="inlineStr">
        <is>
          <t>4</t>
        </is>
      </c>
      <c r="K38" s="4" t="inlineStr">
        <is>
          <t>17/1129</t>
        </is>
      </c>
      <c r="L38" s="4" t="inlineStr">
        <is>
          <t>Yes</t>
        </is>
      </c>
      <c r="M38" s="4" t="inlineStr">
        <is>
          <t>When feeling nothing is everything. The lululemon Align™ collection is so weightless and buttery soft, all you feel is your practice.</t>
        </is>
      </c>
      <c r="N38" s="4" t="inlineStr">
        <is>
          <t>Align-WaistLength-Racerback-Tank</t>
        </is>
      </c>
      <c r="O38" s="4" t="inlineStr"/>
    </row>
    <row r="39" ht="80" customHeight="1">
      <c r="A39" s="7">
        <f>IMAGE("https://images.lululemon.com/is/image/lululemon/LW1DSPS_0002_1?wid=320&amp;op_usm=0.8",1)</f>
        <v/>
      </c>
      <c r="B39" s="7" t="inlineStr">
        <is>
          <t>lululemon Align™ Waist-Length Racerback Tank Top</t>
        </is>
      </c>
      <c r="C39" s="7" t="inlineStr">
        <is>
          <t>158034305</t>
        </is>
      </c>
      <c r="D39" s="7" t="inlineStr">
        <is>
          <t>158034305-brilliantblue</t>
        </is>
      </c>
      <c r="E39" s="7" t="inlineStr">
        <is>
          <t>lululemon Align™ Waist-Length Racerback RNFG 2</t>
        </is>
      </c>
      <c r="F39" s="7" t="inlineStr">
        <is>
          <t>$58.00</t>
        </is>
      </c>
      <c r="G39" s="7" t="inlineStr">
        <is>
          <t>$29.00</t>
        </is>
      </c>
      <c r="H39" s="7" t="inlineStr">
        <is>
          <t>Brilliant Blue</t>
        </is>
      </c>
      <c r="I39" s="7">
        <f>IMAGE("https://images.lululemon.com/is/image/lululemon/33190",1)</f>
        <v/>
      </c>
      <c r="J39" s="7" t="inlineStr">
        <is>
          <t>6</t>
        </is>
      </c>
      <c r="K39" s="7" t="inlineStr">
        <is>
          <t>22/1129</t>
        </is>
      </c>
      <c r="L39" s="7" t="inlineStr">
        <is>
          <t>Yes</t>
        </is>
      </c>
      <c r="M39" s="7" t="inlineStr">
        <is>
          <t>When feeling nothing is everything. The lululemon Align™ collection is so weightless and buttery soft, all you feel is your practice.</t>
        </is>
      </c>
      <c r="N39" s="7" t="inlineStr">
        <is>
          <t>Align-WaistLength-Racerback-Tank</t>
        </is>
      </c>
      <c r="O39" s="7" t="inlineStr"/>
    </row>
    <row r="40" ht="80" customHeight="1">
      <c r="A40" s="4">
        <f>IMAGE("https://images.lululemon.com/is/image/lululemon/LW1DSPS_0002_1?wid=320&amp;op_usm=0.8",1)</f>
        <v/>
      </c>
      <c r="B40" s="4" t="inlineStr">
        <is>
          <t>lululemon Align™ Waist-Length Racerback Tank Top</t>
        </is>
      </c>
      <c r="C40" s="4" t="inlineStr">
        <is>
          <t>158034315</t>
        </is>
      </c>
      <c r="D40" s="4" t="inlineStr">
        <is>
          <t>158034315-brilliantblue</t>
        </is>
      </c>
      <c r="E40" s="4" t="inlineStr">
        <is>
          <t>lululemon Align™ Waist-Length Racerback RNFG 2</t>
        </is>
      </c>
      <c r="F40" s="4" t="inlineStr">
        <is>
          <t>$58.00</t>
        </is>
      </c>
      <c r="G40" s="4" t="inlineStr">
        <is>
          <t>$29.00</t>
        </is>
      </c>
      <c r="H40" s="4" t="inlineStr">
        <is>
          <t>Brilliant Blue</t>
        </is>
      </c>
      <c r="I40" s="4">
        <f>IMAGE("https://images.lululemon.com/is/image/lululemon/33190",1)</f>
        <v/>
      </c>
      <c r="J40" s="4" t="inlineStr">
        <is>
          <t>8</t>
        </is>
      </c>
      <c r="K40" s="4" t="inlineStr">
        <is>
          <t>13/1129</t>
        </is>
      </c>
      <c r="L40" s="4" t="inlineStr">
        <is>
          <t>Yes</t>
        </is>
      </c>
      <c r="M40" s="4" t="inlineStr">
        <is>
          <t>When feeling nothing is everything. The lululemon Align™ collection is so weightless and buttery soft, all you feel is your practice.</t>
        </is>
      </c>
      <c r="N40" s="4" t="inlineStr">
        <is>
          <t>Align-WaistLength-Racerback-Tank</t>
        </is>
      </c>
      <c r="O40" s="4" t="inlineStr"/>
    </row>
    <row r="41" ht="80" customHeight="1">
      <c r="A41" s="7">
        <f>IMAGE("https://images.lululemon.com/is/image/lululemon/LW1DSPS_0002_1?wid=320&amp;op_usm=0.8",1)</f>
        <v/>
      </c>
      <c r="B41" s="7" t="inlineStr">
        <is>
          <t>lululemon Align™ Waist-Length Racerback Tank Top</t>
        </is>
      </c>
      <c r="C41" s="7" t="inlineStr">
        <is>
          <t>158034221</t>
        </is>
      </c>
      <c r="D41" s="7" t="inlineStr">
        <is>
          <t>158034221-brilliantblue</t>
        </is>
      </c>
      <c r="E41" s="7" t="inlineStr">
        <is>
          <t>lululemon Align™ Waist-Length Racerback RNFG 2</t>
        </is>
      </c>
      <c r="F41" s="7" t="inlineStr">
        <is>
          <t>$58.00</t>
        </is>
      </c>
      <c r="G41" s="7" t="inlineStr">
        <is>
          <t>$29.00</t>
        </is>
      </c>
      <c r="H41" s="7" t="inlineStr">
        <is>
          <t>Brilliant Blue</t>
        </is>
      </c>
      <c r="I41" s="7">
        <f>IMAGE("https://images.lululemon.com/is/image/lululemon/33190",1)</f>
        <v/>
      </c>
      <c r="J41" s="7" t="inlineStr">
        <is>
          <t>10</t>
        </is>
      </c>
      <c r="K41" s="7" t="inlineStr">
        <is>
          <t>5/1129</t>
        </is>
      </c>
      <c r="L41" s="7" t="inlineStr">
        <is>
          <t>Yes</t>
        </is>
      </c>
      <c r="M41" s="7" t="inlineStr">
        <is>
          <t>When feeling nothing is everything. The lululemon Align™ collection is so weightless and buttery soft, all you feel is your practice.</t>
        </is>
      </c>
      <c r="N41" s="7" t="inlineStr">
        <is>
          <t>Align-WaistLength-Racerback-Tank</t>
        </is>
      </c>
      <c r="O41" s="7" t="inlineStr"/>
    </row>
    <row r="42" ht="80" customHeight="1">
      <c r="A42" s="4">
        <f>IMAGE("https://images.lululemon.com/is/image/lululemon/LW1DSPS_0002_1?wid=320&amp;op_usm=0.8",1)</f>
        <v/>
      </c>
      <c r="B42" s="4" t="inlineStr">
        <is>
          <t>lululemon Align™ Waist-Length Racerback Tank Top</t>
        </is>
      </c>
      <c r="C42" s="4" t="inlineStr">
        <is>
          <t>158034235</t>
        </is>
      </c>
      <c r="D42" s="4" t="inlineStr">
        <is>
          <t>158034235-brilliantblue</t>
        </is>
      </c>
      <c r="E42" s="4" t="inlineStr">
        <is>
          <t>lululemon Align™ Waist-Length Racerback RNFG 2</t>
        </is>
      </c>
      <c r="F42" s="4" t="inlineStr">
        <is>
          <t>$58.00</t>
        </is>
      </c>
      <c r="G42" s="4" t="inlineStr">
        <is>
          <t>$29.00</t>
        </is>
      </c>
      <c r="H42" s="4" t="inlineStr">
        <is>
          <t>Brilliant Blue</t>
        </is>
      </c>
      <c r="I42" s="4">
        <f>IMAGE("https://images.lululemon.com/is/image/lululemon/33190",1)</f>
        <v/>
      </c>
      <c r="J42" s="4" t="inlineStr">
        <is>
          <t>12</t>
        </is>
      </c>
      <c r="K42" s="4" t="inlineStr">
        <is>
          <t>3/1129</t>
        </is>
      </c>
      <c r="L42" s="4" t="inlineStr">
        <is>
          <t>Yes</t>
        </is>
      </c>
      <c r="M42" s="4" t="inlineStr">
        <is>
          <t>When feeling nothing is everything. The lululemon Align™ collection is so weightless and buttery soft, all you feel is your practice.</t>
        </is>
      </c>
      <c r="N42" s="4" t="inlineStr">
        <is>
          <t>Align-WaistLength-Racerback-Tank</t>
        </is>
      </c>
      <c r="O42" s="4" t="inlineStr"/>
    </row>
    <row r="43" ht="80" customHeight="1">
      <c r="A43" s="7">
        <f>IMAGE("https://images.lululemon.com/is/image/lululemon/LW1DSPS_0002_1?wid=320&amp;op_usm=0.8",1)</f>
        <v/>
      </c>
      <c r="B43" s="7" t="inlineStr">
        <is>
          <t>lululemon Align™ Waist-Length Racerback Tank Top</t>
        </is>
      </c>
      <c r="C43" s="7" t="inlineStr">
        <is>
          <t>158034386</t>
        </is>
      </c>
      <c r="D43" s="7" t="inlineStr">
        <is>
          <t>158034386-blackplum</t>
        </is>
      </c>
      <c r="E43" s="7" t="inlineStr">
        <is>
          <t>lululemon Align™ Waist-Length Racerback RNFG 2</t>
        </is>
      </c>
      <c r="F43" s="7" t="inlineStr">
        <is>
          <t>$58.00</t>
        </is>
      </c>
      <c r="G43" s="7" t="inlineStr">
        <is>
          <t>$29.00</t>
        </is>
      </c>
      <c r="H43" s="7" t="inlineStr">
        <is>
          <t>Black Plum</t>
        </is>
      </c>
      <c r="I43" s="7">
        <f>IMAGE("https://images.lululemon.com/is/image/lululemon/34697",1)</f>
        <v/>
      </c>
      <c r="J43" s="7" t="inlineStr">
        <is>
          <t>2</t>
        </is>
      </c>
      <c r="K43" s="7" t="inlineStr">
        <is>
          <t>6/1129</t>
        </is>
      </c>
      <c r="L43" s="7" t="inlineStr">
        <is>
          <t>Yes</t>
        </is>
      </c>
      <c r="M43" s="7" t="inlineStr">
        <is>
          <t>When feeling nothing is everything. The lululemon Align™ collection is so weightless and buttery soft, all you feel is your practice.</t>
        </is>
      </c>
      <c r="N43" s="7" t="inlineStr">
        <is>
          <t>Align-WaistLength-Racerback-Tank</t>
        </is>
      </c>
      <c r="O43" s="7" t="inlineStr"/>
    </row>
    <row r="44" ht="80" customHeight="1">
      <c r="A44" s="4">
        <f>IMAGE("https://images.lululemon.com/is/image/lululemon/LW1DSPS_0002_1?wid=320&amp;op_usm=0.8",1)</f>
        <v/>
      </c>
      <c r="B44" s="4" t="inlineStr">
        <is>
          <t>lululemon Align™ Waist-Length Racerback Tank Top</t>
        </is>
      </c>
      <c r="C44" s="4" t="inlineStr">
        <is>
          <t>158034406</t>
        </is>
      </c>
      <c r="D44" s="4" t="inlineStr">
        <is>
          <t>158034406-blackplum</t>
        </is>
      </c>
      <c r="E44" s="4" t="inlineStr">
        <is>
          <t>lululemon Align™ Waist-Length Racerback RNFG 2</t>
        </is>
      </c>
      <c r="F44" s="4" t="inlineStr">
        <is>
          <t>$58.00</t>
        </is>
      </c>
      <c r="G44" s="4" t="inlineStr">
        <is>
          <t>$29.00</t>
        </is>
      </c>
      <c r="H44" s="4" t="inlineStr">
        <is>
          <t>Black Plum</t>
        </is>
      </c>
      <c r="I44" s="4">
        <f>IMAGE("https://images.lululemon.com/is/image/lululemon/34697",1)</f>
        <v/>
      </c>
      <c r="J44" s="4" t="inlineStr">
        <is>
          <t>4</t>
        </is>
      </c>
      <c r="K44" s="4" t="inlineStr">
        <is>
          <t>17/1129</t>
        </is>
      </c>
      <c r="L44" s="4" t="inlineStr">
        <is>
          <t>Yes</t>
        </is>
      </c>
      <c r="M44" s="4" t="inlineStr">
        <is>
          <t>When feeling nothing is everything. The lululemon Align™ collection is so weightless and buttery soft, all you feel is your practice.</t>
        </is>
      </c>
      <c r="N44" s="4" t="inlineStr">
        <is>
          <t>Align-WaistLength-Racerback-Tank</t>
        </is>
      </c>
      <c r="O44" s="4" t="inlineStr"/>
    </row>
    <row r="45" ht="80" customHeight="1">
      <c r="A45" s="7">
        <f>IMAGE("https://images.lululemon.com/is/image/lululemon/LW1DSPS_0002_1?wid=320&amp;op_usm=0.8",1)</f>
        <v/>
      </c>
      <c r="B45" s="7" t="inlineStr">
        <is>
          <t>lululemon Align™ Waist-Length Racerback Tank Top</t>
        </is>
      </c>
      <c r="C45" s="7" t="inlineStr">
        <is>
          <t>158034416</t>
        </is>
      </c>
      <c r="D45" s="7" t="inlineStr">
        <is>
          <t>158034416-blackplum</t>
        </is>
      </c>
      <c r="E45" s="7" t="inlineStr">
        <is>
          <t>lululemon Align™ Waist-Length Racerback RNFG 2</t>
        </is>
      </c>
      <c r="F45" s="7" t="inlineStr">
        <is>
          <t>$58.00</t>
        </is>
      </c>
      <c r="G45" s="7" t="inlineStr">
        <is>
          <t>$29.00</t>
        </is>
      </c>
      <c r="H45" s="7" t="inlineStr">
        <is>
          <t>Black Plum</t>
        </is>
      </c>
      <c r="I45" s="7">
        <f>IMAGE("https://images.lululemon.com/is/image/lululemon/34697",1)</f>
        <v/>
      </c>
      <c r="J45" s="7" t="inlineStr">
        <is>
          <t>6</t>
        </is>
      </c>
      <c r="K45" s="7" t="inlineStr">
        <is>
          <t>8/1129</t>
        </is>
      </c>
      <c r="L45" s="7" t="inlineStr">
        <is>
          <t>Yes</t>
        </is>
      </c>
      <c r="M45" s="7" t="inlineStr">
        <is>
          <t>When feeling nothing is everything. The lululemon Align™ collection is so weightless and buttery soft, all you feel is your practice.</t>
        </is>
      </c>
      <c r="N45" s="7" t="inlineStr">
        <is>
          <t>Align-WaistLength-Racerback-Tank</t>
        </is>
      </c>
      <c r="O45" s="7" t="inlineStr"/>
    </row>
    <row r="46" ht="80" customHeight="1">
      <c r="A46" s="4">
        <f>IMAGE("https://images.lululemon.com/is/image/lululemon/LW1DSPS_0002_1?wid=320&amp;op_usm=0.8",1)</f>
        <v/>
      </c>
      <c r="B46" s="4" t="inlineStr">
        <is>
          <t>lululemon Align™ Waist-Length Racerback Tank Top</t>
        </is>
      </c>
      <c r="C46" s="4" t="inlineStr">
        <is>
          <t>158034350</t>
        </is>
      </c>
      <c r="D46" s="4" t="inlineStr">
        <is>
          <t>158034350-blackplum</t>
        </is>
      </c>
      <c r="E46" s="4" t="inlineStr">
        <is>
          <t>lululemon Align™ Waist-Length Racerback RNFG 2</t>
        </is>
      </c>
      <c r="F46" s="4" t="inlineStr">
        <is>
          <t>$58.00</t>
        </is>
      </c>
      <c r="G46" s="4" t="inlineStr">
        <is>
          <t>$29.00</t>
        </is>
      </c>
      <c r="H46" s="4" t="inlineStr">
        <is>
          <t>Black Plum</t>
        </is>
      </c>
      <c r="I46" s="4">
        <f>IMAGE("https://images.lululemon.com/is/image/lululemon/34697",1)</f>
        <v/>
      </c>
      <c r="J46" s="4" t="inlineStr">
        <is>
          <t>12</t>
        </is>
      </c>
      <c r="K46" s="4" t="inlineStr">
        <is>
          <t>14/1129</t>
        </is>
      </c>
      <c r="L46" s="4" t="inlineStr">
        <is>
          <t>Yes</t>
        </is>
      </c>
      <c r="M46" s="4" t="inlineStr">
        <is>
          <t>When feeling nothing is everything. The lululemon Align™ collection is so weightless and buttery soft, all you feel is your practice.</t>
        </is>
      </c>
      <c r="N46" s="4" t="inlineStr">
        <is>
          <t>Align-WaistLength-Racerback-Tank</t>
        </is>
      </c>
      <c r="O46" s="4" t="inlineStr"/>
    </row>
    <row r="47" ht="80" customHeight="1">
      <c r="A47" s="7">
        <f>IMAGE("https://images.lululemon.com/is/image/lululemon/LW1DSPS_0002_1?wid=320&amp;op_usm=0.8",1)</f>
        <v/>
      </c>
      <c r="B47" s="7" t="inlineStr">
        <is>
          <t>lululemon Align™ Waist-Length Racerback Tank Top</t>
        </is>
      </c>
      <c r="C47" s="7" t="inlineStr">
        <is>
          <t>158034360</t>
        </is>
      </c>
      <c r="D47" s="7" t="inlineStr">
        <is>
          <t>158034360-blackplum</t>
        </is>
      </c>
      <c r="E47" s="7" t="inlineStr">
        <is>
          <t>lululemon Align™ Waist-Length Racerback RNFG 2</t>
        </is>
      </c>
      <c r="F47" s="7" t="inlineStr">
        <is>
          <t>$58.00</t>
        </is>
      </c>
      <c r="G47" s="7" t="inlineStr">
        <is>
          <t>$29.00</t>
        </is>
      </c>
      <c r="H47" s="7" t="inlineStr">
        <is>
          <t>Black Plum</t>
        </is>
      </c>
      <c r="I47" s="7">
        <f>IMAGE("https://images.lululemon.com/is/image/lululemon/34697",1)</f>
        <v/>
      </c>
      <c r="J47" s="7" t="inlineStr">
        <is>
          <t>14</t>
        </is>
      </c>
      <c r="K47" s="7" t="inlineStr">
        <is>
          <t>2/1129</t>
        </is>
      </c>
      <c r="L47" s="7" t="inlineStr">
        <is>
          <t>Yes</t>
        </is>
      </c>
      <c r="M47" s="7" t="inlineStr">
        <is>
          <t>When feeling nothing is everything. The lululemon Align™ collection is so weightless and buttery soft, all you feel is your practice.</t>
        </is>
      </c>
      <c r="N47" s="7" t="inlineStr">
        <is>
          <t>Align-WaistLength-Racerback-Tank</t>
        </is>
      </c>
      <c r="O47" s="7" t="inlineStr"/>
    </row>
    <row r="48" ht="80" customHeight="1">
      <c r="A48" s="4">
        <f>IMAGE("https://images.lululemon.com/is/image/lululemon/LW1DSPS_0002_1?wid=320&amp;op_usm=0.8",1)</f>
        <v/>
      </c>
      <c r="B48" s="4" t="inlineStr">
        <is>
          <t>lululemon Align™ Waist-Length Racerback Tank Top</t>
        </is>
      </c>
      <c r="C48" s="4" t="inlineStr">
        <is>
          <t>143478451</t>
        </is>
      </c>
      <c r="D48" s="4" t="inlineStr">
        <is>
          <t>143478451-white</t>
        </is>
      </c>
      <c r="E48" s="4" t="inlineStr">
        <is>
          <t>lululemon Align™ Waist-Length Racerback RNFG 2</t>
        </is>
      </c>
      <c r="F48" s="4" t="inlineStr">
        <is>
          <t>$58.00</t>
        </is>
      </c>
      <c r="G48" s="4" t="inlineStr">
        <is>
          <t>$29.00</t>
        </is>
      </c>
      <c r="H48" s="4" t="inlineStr">
        <is>
          <t>White</t>
        </is>
      </c>
      <c r="I48" s="4">
        <f>IMAGE("https://images.lululemon.com/is/image/lululemon/0002",1)</f>
        <v/>
      </c>
      <c r="J48" s="4" t="inlineStr">
        <is>
          <t>4</t>
        </is>
      </c>
      <c r="K48" s="4" t="inlineStr">
        <is>
          <t>124/1129</t>
        </is>
      </c>
      <c r="L48" s="4" t="inlineStr">
        <is>
          <t>Yes</t>
        </is>
      </c>
      <c r="M48" s="4" t="inlineStr">
        <is>
          <t>When feeling nothing is everything. The lululemon Align™ collection is so weightless and buttery soft, all you feel is your practice.</t>
        </is>
      </c>
      <c r="N48" s="4" t="inlineStr">
        <is>
          <t>Align-WaistLength-Racerback-Tank</t>
        </is>
      </c>
      <c r="O48" s="4" t="inlineStr"/>
    </row>
    <row r="49" ht="80" customHeight="1">
      <c r="A49" s="7">
        <f>IMAGE("https://images.lululemon.com/is/image/lululemon/LW1DSPS_0002_1?wid=320&amp;op_usm=0.8",1)</f>
        <v/>
      </c>
      <c r="B49" s="7" t="inlineStr">
        <is>
          <t>lululemon Align™ Waist-Length Racerback Tank Top</t>
        </is>
      </c>
      <c r="C49" s="7" t="inlineStr">
        <is>
          <t>143478454</t>
        </is>
      </c>
      <c r="D49" s="7" t="inlineStr">
        <is>
          <t>143478454-white</t>
        </is>
      </c>
      <c r="E49" s="7" t="inlineStr">
        <is>
          <t>lululemon Align™ Waist-Length Racerback RNFG 2</t>
        </is>
      </c>
      <c r="F49" s="7" t="inlineStr">
        <is>
          <t>$58.00</t>
        </is>
      </c>
      <c r="G49" s="7" t="inlineStr">
        <is>
          <t>$29.00</t>
        </is>
      </c>
      <c r="H49" s="7" t="inlineStr">
        <is>
          <t>White</t>
        </is>
      </c>
      <c r="I49" s="7">
        <f>IMAGE("https://images.lululemon.com/is/image/lululemon/0002",1)</f>
        <v/>
      </c>
      <c r="J49" s="7" t="inlineStr">
        <is>
          <t>6</t>
        </is>
      </c>
      <c r="K49" s="7" t="inlineStr">
        <is>
          <t>257/1129</t>
        </is>
      </c>
      <c r="L49" s="7" t="inlineStr">
        <is>
          <t>Yes</t>
        </is>
      </c>
      <c r="M49" s="7" t="inlineStr">
        <is>
          <t>When feeling nothing is everything. The lululemon Align™ collection is so weightless and buttery soft, all you feel is your practice.</t>
        </is>
      </c>
      <c r="N49" s="7" t="inlineStr">
        <is>
          <t>Align-WaistLength-Racerback-Tank</t>
        </is>
      </c>
      <c r="O49" s="7" t="inlineStr"/>
    </row>
    <row r="50" ht="80" customHeight="1">
      <c r="A50" s="4">
        <f>IMAGE("https://images.lululemon.com/is/image/lululemon/LW1DSPS_0002_1?wid=320&amp;op_usm=0.8",1)</f>
        <v/>
      </c>
      <c r="B50" s="4" t="inlineStr">
        <is>
          <t>lululemon Align™ Waist-Length Racerback Tank Top</t>
        </is>
      </c>
      <c r="C50" s="4" t="inlineStr">
        <is>
          <t>143478457</t>
        </is>
      </c>
      <c r="D50" s="4" t="inlineStr">
        <is>
          <t>143478457-white</t>
        </is>
      </c>
      <c r="E50" s="4" t="inlineStr">
        <is>
          <t>lululemon Align™ Waist-Length Racerback RNFG 2</t>
        </is>
      </c>
      <c r="F50" s="4" t="inlineStr">
        <is>
          <t>$58.00</t>
        </is>
      </c>
      <c r="G50" s="4" t="inlineStr">
        <is>
          <t>$29.00</t>
        </is>
      </c>
      <c r="H50" s="4" t="inlineStr">
        <is>
          <t>White</t>
        </is>
      </c>
      <c r="I50" s="4">
        <f>IMAGE("https://images.lululemon.com/is/image/lululemon/0002",1)</f>
        <v/>
      </c>
      <c r="J50" s="4" t="inlineStr">
        <is>
          <t>8</t>
        </is>
      </c>
      <c r="K50" s="4" t="inlineStr">
        <is>
          <t>130/1129</t>
        </is>
      </c>
      <c r="L50" s="4" t="inlineStr">
        <is>
          <t>Yes</t>
        </is>
      </c>
      <c r="M50" s="4" t="inlineStr">
        <is>
          <t>When feeling nothing is everything. The lululemon Align™ collection is so weightless and buttery soft, all you feel is your practice.</t>
        </is>
      </c>
      <c r="N50" s="4" t="inlineStr">
        <is>
          <t>Align-WaistLength-Racerback-Tank</t>
        </is>
      </c>
      <c r="O50" s="4" t="inlineStr"/>
    </row>
    <row r="51" ht="80" customHeight="1">
      <c r="A51" s="7">
        <f>IMAGE("https://images.lululemon.com/is/image/lululemon/LW1DSPS_0002_1?wid=320&amp;op_usm=0.8",1)</f>
        <v/>
      </c>
      <c r="B51" s="7" t="inlineStr">
        <is>
          <t>lululemon Align™ Waist-Length Racerback Tank Top</t>
        </is>
      </c>
      <c r="C51" s="7" t="inlineStr">
        <is>
          <t>143478419</t>
        </is>
      </c>
      <c r="D51" s="7" t="inlineStr">
        <is>
          <t>143478419-white</t>
        </is>
      </c>
      <c r="E51" s="7" t="inlineStr">
        <is>
          <t>lululemon Align™ Waist-Length Racerback RNFG 2</t>
        </is>
      </c>
      <c r="F51" s="7" t="inlineStr">
        <is>
          <t>$58.00</t>
        </is>
      </c>
      <c r="G51" s="7" t="inlineStr">
        <is>
          <t>$29.00</t>
        </is>
      </c>
      <c r="H51" s="7" t="inlineStr">
        <is>
          <t>White</t>
        </is>
      </c>
      <c r="I51" s="7">
        <f>IMAGE("https://images.lululemon.com/is/image/lululemon/0002",1)</f>
        <v/>
      </c>
      <c r="J51" s="7" t="inlineStr">
        <is>
          <t>10</t>
        </is>
      </c>
      <c r="K51" s="7" t="inlineStr">
        <is>
          <t>19/1129</t>
        </is>
      </c>
      <c r="L51" s="7" t="inlineStr">
        <is>
          <t>Yes</t>
        </is>
      </c>
      <c r="M51" s="7" t="inlineStr">
        <is>
          <t>When feeling nothing is everything. The lululemon Align™ collection is so weightless and buttery soft, all you feel is your practice.</t>
        </is>
      </c>
      <c r="N51" s="7" t="inlineStr">
        <is>
          <t>Align-WaistLength-Racerback-Tank</t>
        </is>
      </c>
      <c r="O51" s="7" t="inlineStr"/>
    </row>
    <row r="52" ht="80" customHeight="1">
      <c r="A52" s="6">
        <f>IMAGE("https://images.lululemon.com/is/image/lululemon/LW1DSPS_0002_1?wid=320&amp;op_usm=0.8",1)</f>
        <v/>
      </c>
      <c r="B52" s="6" t="inlineStr">
        <is>
          <t>lululemon Align™ Waist-Length Racerback Tank Top</t>
        </is>
      </c>
      <c r="C52" s="6" t="inlineStr">
        <is>
          <t>143478421</t>
        </is>
      </c>
      <c r="D52" s="6" t="inlineStr">
        <is>
          <t>143478421-white</t>
        </is>
      </c>
      <c r="E52" s="6" t="inlineStr">
        <is>
          <t>lululemon Align™ Waist-Length Racerback RNFG 2</t>
        </is>
      </c>
      <c r="F52" s="6" t="inlineStr">
        <is>
          <t>$58.00</t>
        </is>
      </c>
      <c r="G52" s="6" t="inlineStr">
        <is>
          <t>$29.00</t>
        </is>
      </c>
      <c r="H52" s="6" t="inlineStr">
        <is>
          <t>White</t>
        </is>
      </c>
      <c r="I52" s="6">
        <f>IMAGE("https://images.lululemon.com/is/image/lululemon/0002",1)</f>
        <v/>
      </c>
      <c r="J52" s="6" t="inlineStr">
        <is>
          <t>12</t>
        </is>
      </c>
      <c r="K52" s="6" t="inlineStr">
        <is>
          <t>24/1129</t>
        </is>
      </c>
      <c r="L52" s="6" t="inlineStr">
        <is>
          <t>Yes</t>
        </is>
      </c>
      <c r="M52" s="6" t="inlineStr">
        <is>
          <t>When feeling nothing is everything. The lululemon Align™ collection is so weightless and buttery soft, all you feel is your practice.</t>
        </is>
      </c>
      <c r="N52" s="6" t="inlineStr">
        <is>
          <t>Align-WaistLength-Racerback-Tank</t>
        </is>
      </c>
      <c r="O52" s="6" t="inlineStr"/>
    </row>
    <row r="53" ht="80" customHeight="1">
      <c r="A53" s="7">
        <f>IMAGE("https://images.lululemon.com/is/image/lululemon/LW5IEQS_072615_1?wid=320&amp;op_usm=0.8",1)</f>
        <v/>
      </c>
      <c r="B53" s="7" t="inlineStr">
        <is>
          <t>lululemon Align™ High-Rise Pant 28" *Flocked</t>
        </is>
      </c>
      <c r="C53" s="7" t="inlineStr">
        <is>
          <t>158119802</t>
        </is>
      </c>
      <c r="D53" s="7" t="inlineStr">
        <is>
          <t>158119802-polkaflockblack</t>
        </is>
      </c>
      <c r="E53" s="7" t="inlineStr">
        <is>
          <t>lululemon Align™ HR Pant 28" *Flock POFB 2</t>
        </is>
      </c>
      <c r="F53" s="7" t="inlineStr">
        <is>
          <t>$98.00</t>
        </is>
      </c>
      <c r="G53" s="7" t="inlineStr">
        <is>
          <t>$49.00</t>
        </is>
      </c>
      <c r="H53" s="7" t="inlineStr">
        <is>
          <t>Polka Flock Black</t>
        </is>
      </c>
      <c r="I53" s="7">
        <f>IMAGE("https://images.lululemon.com/is/image/lululemon/72615",1)</f>
        <v/>
      </c>
      <c r="J53" s="7" t="inlineStr">
        <is>
          <t>2</t>
        </is>
      </c>
      <c r="K53" s="7" t="inlineStr">
        <is>
          <t>4/223</t>
        </is>
      </c>
      <c r="L53" s="7" t="inlineStr">
        <is>
          <t>Yes</t>
        </is>
      </c>
      <c r="M53" s="7" t="inlineStr">
        <is>
          <t>When feeling nothing is everything. The lululemon Align™ collection is so weightless and buttery soft, all you feel is your practice. This version features velvety flocked details.</t>
        </is>
      </c>
      <c r="N53" s="7" t="inlineStr">
        <is>
          <t>lululemon-Align-High-Rise-Pant-28-Flocked</t>
        </is>
      </c>
      <c r="O53" s="7" t="inlineStr"/>
    </row>
    <row r="54" ht="80" customHeight="1">
      <c r="A54" s="4">
        <f>IMAGE("https://images.lululemon.com/is/image/lululemon/LW5IEQS_072615_1?wid=320&amp;op_usm=0.8",1)</f>
        <v/>
      </c>
      <c r="B54" s="4" t="inlineStr">
        <is>
          <t>lululemon Align™ High-Rise Pant 28" *Flocked</t>
        </is>
      </c>
      <c r="C54" s="4" t="inlineStr">
        <is>
          <t>158119803</t>
        </is>
      </c>
      <c r="D54" s="4" t="inlineStr">
        <is>
          <t>158119803-polkaflockblack</t>
        </is>
      </c>
      <c r="E54" s="4" t="inlineStr">
        <is>
          <t>lululemon Align™ HR Pant 28" *Flock POFB 2</t>
        </is>
      </c>
      <c r="F54" s="4" t="inlineStr">
        <is>
          <t>$98.00</t>
        </is>
      </c>
      <c r="G54" s="4" t="inlineStr">
        <is>
          <t>$49.00</t>
        </is>
      </c>
      <c r="H54" s="4" t="inlineStr">
        <is>
          <t>Polka Flock Black</t>
        </is>
      </c>
      <c r="I54" s="4">
        <f>IMAGE("https://images.lululemon.com/is/image/lululemon/72615",1)</f>
        <v/>
      </c>
      <c r="J54" s="4" t="inlineStr">
        <is>
          <t>4</t>
        </is>
      </c>
      <c r="K54" s="4" t="inlineStr">
        <is>
          <t>46/223</t>
        </is>
      </c>
      <c r="L54" s="4" t="inlineStr">
        <is>
          <t>Yes</t>
        </is>
      </c>
      <c r="M54" s="4" t="inlineStr">
        <is>
          <t>When feeling nothing is everything. The lululemon Align™ collection is so weightless and buttery soft, all you feel is your practice. This version features velvety flocked details.</t>
        </is>
      </c>
      <c r="N54" s="4" t="inlineStr">
        <is>
          <t>lululemon-Align-High-Rise-Pant-28-Flocked</t>
        </is>
      </c>
      <c r="O54" s="4" t="inlineStr"/>
    </row>
    <row r="55" ht="80" customHeight="1">
      <c r="A55" s="7">
        <f>IMAGE("https://images.lululemon.com/is/image/lululemon/LW5IEQS_072615_1?wid=320&amp;op_usm=0.8",1)</f>
        <v/>
      </c>
      <c r="B55" s="7" t="inlineStr">
        <is>
          <t>lululemon Align™ High-Rise Pant 28" *Flocked</t>
        </is>
      </c>
      <c r="C55" s="7" t="inlineStr">
        <is>
          <t>158119804</t>
        </is>
      </c>
      <c r="D55" s="7" t="inlineStr">
        <is>
          <t>158119804-polkaflockblack</t>
        </is>
      </c>
      <c r="E55" s="7" t="inlineStr">
        <is>
          <t>lululemon Align™ HR Pant 28" *Flock POFB 2</t>
        </is>
      </c>
      <c r="F55" s="7" t="inlineStr">
        <is>
          <t>$98.00</t>
        </is>
      </c>
      <c r="G55" s="7" t="inlineStr">
        <is>
          <t>$49.00</t>
        </is>
      </c>
      <c r="H55" s="7" t="inlineStr">
        <is>
          <t>Polka Flock Black</t>
        </is>
      </c>
      <c r="I55" s="7">
        <f>IMAGE("https://images.lululemon.com/is/image/lululemon/72615",1)</f>
        <v/>
      </c>
      <c r="J55" s="7" t="inlineStr">
        <is>
          <t>6</t>
        </is>
      </c>
      <c r="K55" s="7" t="inlineStr">
        <is>
          <t>69/223</t>
        </is>
      </c>
      <c r="L55" s="7" t="inlineStr">
        <is>
          <t>Yes</t>
        </is>
      </c>
      <c r="M55" s="7" t="inlineStr">
        <is>
          <t>When feeling nothing is everything. The lululemon Align™ collection is so weightless and buttery soft, all you feel is your practice. This version features velvety flocked details.</t>
        </is>
      </c>
      <c r="N55" s="7" t="inlineStr">
        <is>
          <t>lululemon-Align-High-Rise-Pant-28-Flocked</t>
        </is>
      </c>
      <c r="O55" s="7" t="inlineStr"/>
    </row>
    <row r="56" ht="80" customHeight="1">
      <c r="A56" s="4">
        <f>IMAGE("https://images.lululemon.com/is/image/lululemon/LW5IEQS_072615_1?wid=320&amp;op_usm=0.8",1)</f>
        <v/>
      </c>
      <c r="B56" s="4" t="inlineStr">
        <is>
          <t>lululemon Align™ High-Rise Pant 28" *Flocked</t>
        </is>
      </c>
      <c r="C56" s="4" t="inlineStr">
        <is>
          <t>158119805</t>
        </is>
      </c>
      <c r="D56" s="4" t="inlineStr">
        <is>
          <t>158119805-polkaflockblack</t>
        </is>
      </c>
      <c r="E56" s="4" t="inlineStr">
        <is>
          <t>lululemon Align™ HR Pant 28" *Flock POFB 2</t>
        </is>
      </c>
      <c r="F56" s="4" t="inlineStr">
        <is>
          <t>$98.00</t>
        </is>
      </c>
      <c r="G56" s="4" t="inlineStr">
        <is>
          <t>$49.00</t>
        </is>
      </c>
      <c r="H56" s="4" t="inlineStr">
        <is>
          <t>Polka Flock Black</t>
        </is>
      </c>
      <c r="I56" s="4">
        <f>IMAGE("https://images.lululemon.com/is/image/lululemon/72615",1)</f>
        <v/>
      </c>
      <c r="J56" s="4" t="inlineStr">
        <is>
          <t>8</t>
        </is>
      </c>
      <c r="K56" s="4" t="inlineStr">
        <is>
          <t>55/223</t>
        </is>
      </c>
      <c r="L56" s="4" t="inlineStr">
        <is>
          <t>Yes</t>
        </is>
      </c>
      <c r="M56" s="4" t="inlineStr">
        <is>
          <t>When feeling nothing is everything. The lululemon Align™ collection is so weightless and buttery soft, all you feel is your practice. This version features velvety flocked details.</t>
        </is>
      </c>
      <c r="N56" s="4" t="inlineStr">
        <is>
          <t>lululemon-Align-High-Rise-Pant-28-Flocked</t>
        </is>
      </c>
      <c r="O56" s="4" t="inlineStr"/>
    </row>
    <row r="57" ht="80" customHeight="1">
      <c r="A57" s="7">
        <f>IMAGE("https://images.lululemon.com/is/image/lululemon/LW5IEQS_072615_1?wid=320&amp;op_usm=0.8",1)</f>
        <v/>
      </c>
      <c r="B57" s="7" t="inlineStr">
        <is>
          <t>lululemon Align™ High-Rise Pant 28" *Flocked</t>
        </is>
      </c>
      <c r="C57" s="7" t="inlineStr">
        <is>
          <t>158119799</t>
        </is>
      </c>
      <c r="D57" s="7" t="inlineStr">
        <is>
          <t>158119799-polkaflockblack</t>
        </is>
      </c>
      <c r="E57" s="7" t="inlineStr">
        <is>
          <t>lululemon Align™ HR Pant 28" *Flock POFB 2</t>
        </is>
      </c>
      <c r="F57" s="7" t="inlineStr">
        <is>
          <t>$98.00</t>
        </is>
      </c>
      <c r="G57" s="7" t="inlineStr">
        <is>
          <t>$49.00</t>
        </is>
      </c>
      <c r="H57" s="7" t="inlineStr">
        <is>
          <t>Polka Flock Black</t>
        </is>
      </c>
      <c r="I57" s="7">
        <f>IMAGE("https://images.lululemon.com/is/image/lululemon/72615",1)</f>
        <v/>
      </c>
      <c r="J57" s="7" t="inlineStr">
        <is>
          <t>10</t>
        </is>
      </c>
      <c r="K57" s="7" t="inlineStr">
        <is>
          <t>34/223</t>
        </is>
      </c>
      <c r="L57" s="7" t="inlineStr">
        <is>
          <t>Yes</t>
        </is>
      </c>
      <c r="M57" s="7" t="inlineStr">
        <is>
          <t>When feeling nothing is everything. The lululemon Align™ collection is so weightless and buttery soft, all you feel is your practice. This version features velvety flocked details.</t>
        </is>
      </c>
      <c r="N57" s="7" t="inlineStr">
        <is>
          <t>lululemon-Align-High-Rise-Pant-28-Flocked</t>
        </is>
      </c>
      <c r="O57" s="7" t="inlineStr"/>
    </row>
    <row r="58" ht="80" customHeight="1">
      <c r="A58" s="6">
        <f>IMAGE("https://images.lululemon.com/is/image/lululemon/LW5IEQS_072615_1?wid=320&amp;op_usm=0.8",1)</f>
        <v/>
      </c>
      <c r="B58" s="6" t="inlineStr">
        <is>
          <t>lululemon Align™ High-Rise Pant 28" *Flocked</t>
        </is>
      </c>
      <c r="C58" s="6" t="inlineStr">
        <is>
          <t>158119800</t>
        </is>
      </c>
      <c r="D58" s="6" t="inlineStr">
        <is>
          <t>158119800-polkaflockblack</t>
        </is>
      </c>
      <c r="E58" s="6" t="inlineStr">
        <is>
          <t>lululemon Align™ HR Pant 28" *Flock POFB 2</t>
        </is>
      </c>
      <c r="F58" s="6" t="inlineStr">
        <is>
          <t>$98.00</t>
        </is>
      </c>
      <c r="G58" s="6" t="inlineStr">
        <is>
          <t>$49.00</t>
        </is>
      </c>
      <c r="H58" s="6" t="inlineStr">
        <is>
          <t>Polka Flock Black</t>
        </is>
      </c>
      <c r="I58" s="6">
        <f>IMAGE("https://images.lululemon.com/is/image/lululemon/72615",1)</f>
        <v/>
      </c>
      <c r="J58" s="6" t="inlineStr">
        <is>
          <t>12</t>
        </is>
      </c>
      <c r="K58" s="6" t="inlineStr">
        <is>
          <t>15/223</t>
        </is>
      </c>
      <c r="L58" s="6" t="inlineStr">
        <is>
          <t>Yes</t>
        </is>
      </c>
      <c r="M58" s="6" t="inlineStr">
        <is>
          <t>When feeling nothing is everything. The lululemon Align™ collection is so weightless and buttery soft, all you feel is your practice. This version features velvety flocked details.</t>
        </is>
      </c>
      <c r="N58" s="6" t="inlineStr">
        <is>
          <t>lululemon-Align-High-Rise-Pant-28-Flocked</t>
        </is>
      </c>
      <c r="O58" s="6" t="inlineStr"/>
    </row>
    <row r="59" ht="80" customHeight="1">
      <c r="A59" s="7">
        <f>IMAGE("https://images.lululemon.com/is/image/lululemon/LW8AQ1S_0001_1?wid=320&amp;op_usm=0.8",1)</f>
        <v/>
      </c>
      <c r="B59" s="7" t="inlineStr">
        <is>
          <t>lululemon Align™ High-Rise Skirt *Long</t>
        </is>
      </c>
      <c r="C59" s="7" t="inlineStr">
        <is>
          <t>156482883</t>
        </is>
      </c>
      <c r="D59" s="7" t="inlineStr">
        <is>
          <t>156482883-black</t>
        </is>
      </c>
      <c r="E59" s="7" t="inlineStr">
        <is>
          <t>lululemon Align™ HR Skirt *Long BLK 2</t>
        </is>
      </c>
      <c r="F59" s="7" t="inlineStr">
        <is>
          <t>$78.00</t>
        </is>
      </c>
      <c r="G59" s="7" t="inlineStr">
        <is>
          <t>$39.00</t>
        </is>
      </c>
      <c r="H59" s="7" t="inlineStr">
        <is>
          <t>Black</t>
        </is>
      </c>
      <c r="I59" s="7">
        <f>IMAGE("https://images.lululemon.com/is/image/lululemon/0001",1)</f>
        <v/>
      </c>
      <c r="J59" s="7" t="inlineStr">
        <is>
          <t>2</t>
        </is>
      </c>
      <c r="K59" s="7" t="inlineStr">
        <is>
          <t>784/7793</t>
        </is>
      </c>
      <c r="L59" s="7" t="inlineStr">
        <is>
          <t>Yes</t>
        </is>
      </c>
      <c r="M59" s="7" t="inlineStr">
        <is>
          <t>Get the buttery-softness of lululemon Align™ in this skirt that has a built-in shorts liner.</t>
        </is>
      </c>
      <c r="N59" s="7" t="inlineStr">
        <is>
          <t>lululemon-Align-High-Rise-Skirt-Long</t>
        </is>
      </c>
      <c r="O59" s="7" t="inlineStr">
        <is>
          <t>Skorts</t>
        </is>
      </c>
    </row>
    <row r="60" ht="80" customHeight="1">
      <c r="A60" s="4">
        <f>IMAGE("https://images.lululemon.com/is/image/lululemon/LW8AQ1S_0001_1?wid=320&amp;op_usm=0.8",1)</f>
        <v/>
      </c>
      <c r="B60" s="4" t="inlineStr">
        <is>
          <t>lululemon Align™ High-Rise Skirt *Long</t>
        </is>
      </c>
      <c r="C60" s="4" t="inlineStr">
        <is>
          <t>156482908</t>
        </is>
      </c>
      <c r="D60" s="4" t="inlineStr">
        <is>
          <t>156482908-black</t>
        </is>
      </c>
      <c r="E60" s="4" t="inlineStr">
        <is>
          <t>lululemon Align™ HR Skirt *Long BLK 2</t>
        </is>
      </c>
      <c r="F60" s="4" t="inlineStr">
        <is>
          <t>$78.00</t>
        </is>
      </c>
      <c r="G60" s="4" t="inlineStr">
        <is>
          <t>$39.00</t>
        </is>
      </c>
      <c r="H60" s="4" t="inlineStr">
        <is>
          <t>Black</t>
        </is>
      </c>
      <c r="I60" s="4">
        <f>IMAGE("https://images.lululemon.com/is/image/lululemon/0001",1)</f>
        <v/>
      </c>
      <c r="J60" s="4" t="inlineStr">
        <is>
          <t>4</t>
        </is>
      </c>
      <c r="K60" s="4" t="inlineStr">
        <is>
          <t>1023/7793</t>
        </is>
      </c>
      <c r="L60" s="4" t="inlineStr">
        <is>
          <t>Yes</t>
        </is>
      </c>
      <c r="M60" s="4" t="inlineStr">
        <is>
          <t>Get the buttery-softness of lululemon Align™ in this skirt that has a built-in shorts liner.</t>
        </is>
      </c>
      <c r="N60" s="4" t="inlineStr">
        <is>
          <t>lululemon-Align-High-Rise-Skirt-Long</t>
        </is>
      </c>
      <c r="O60" s="4" t="inlineStr">
        <is>
          <t>Skorts</t>
        </is>
      </c>
    </row>
    <row r="61" ht="80" customHeight="1">
      <c r="A61" s="7">
        <f>IMAGE("https://images.lululemon.com/is/image/lululemon/LW8AQ1S_0001_1?wid=320&amp;op_usm=0.8",1)</f>
        <v/>
      </c>
      <c r="B61" s="7" t="inlineStr">
        <is>
          <t>lululemon Align™ High-Rise Skirt *Long</t>
        </is>
      </c>
      <c r="C61" s="7" t="inlineStr">
        <is>
          <t>156482913</t>
        </is>
      </c>
      <c r="D61" s="7" t="inlineStr">
        <is>
          <t>156482913-black</t>
        </is>
      </c>
      <c r="E61" s="7" t="inlineStr">
        <is>
          <t>lululemon Align™ HR Skirt *Long BLK 2</t>
        </is>
      </c>
      <c r="F61" s="7" t="inlineStr">
        <is>
          <t>$78.00</t>
        </is>
      </c>
      <c r="G61" s="7" t="inlineStr">
        <is>
          <t>$39.00</t>
        </is>
      </c>
      <c r="H61" s="7" t="inlineStr">
        <is>
          <t>Black</t>
        </is>
      </c>
      <c r="I61" s="7">
        <f>IMAGE("https://images.lululemon.com/is/image/lululemon/0001",1)</f>
        <v/>
      </c>
      <c r="J61" s="7" t="inlineStr">
        <is>
          <t>6</t>
        </is>
      </c>
      <c r="K61" s="7" t="inlineStr">
        <is>
          <t>1222/7793</t>
        </is>
      </c>
      <c r="L61" s="7" t="inlineStr">
        <is>
          <t>Yes</t>
        </is>
      </c>
      <c r="M61" s="7" t="inlineStr">
        <is>
          <t>Get the buttery-softness of lululemon Align™ in this skirt that has a built-in shorts liner.</t>
        </is>
      </c>
      <c r="N61" s="7" t="inlineStr">
        <is>
          <t>lululemon-Align-High-Rise-Skirt-Long</t>
        </is>
      </c>
      <c r="O61" s="7" t="inlineStr">
        <is>
          <t>Skorts</t>
        </is>
      </c>
    </row>
    <row r="62" ht="80" customHeight="1">
      <c r="A62" s="4">
        <f>IMAGE("https://images.lululemon.com/is/image/lululemon/LW8AQ1S_0001_1?wid=320&amp;op_usm=0.8",1)</f>
        <v/>
      </c>
      <c r="B62" s="4" t="inlineStr">
        <is>
          <t>lululemon Align™ High-Rise Skirt *Long</t>
        </is>
      </c>
      <c r="C62" s="4" t="inlineStr">
        <is>
          <t>156482919</t>
        </is>
      </c>
      <c r="D62" s="4" t="inlineStr">
        <is>
          <t>156482919-black</t>
        </is>
      </c>
      <c r="E62" s="4" t="inlineStr">
        <is>
          <t>lululemon Align™ HR Skirt *Long BLK 2</t>
        </is>
      </c>
      <c r="F62" s="4" t="inlineStr">
        <is>
          <t>$78.00</t>
        </is>
      </c>
      <c r="G62" s="4" t="inlineStr">
        <is>
          <t>$39.00</t>
        </is>
      </c>
      <c r="H62" s="4" t="inlineStr">
        <is>
          <t>Black</t>
        </is>
      </c>
      <c r="I62" s="4">
        <f>IMAGE("https://images.lululemon.com/is/image/lululemon/0001",1)</f>
        <v/>
      </c>
      <c r="J62" s="4" t="inlineStr">
        <is>
          <t>8</t>
        </is>
      </c>
      <c r="K62" s="4" t="inlineStr">
        <is>
          <t>611/7793</t>
        </is>
      </c>
      <c r="L62" s="4" t="inlineStr">
        <is>
          <t>Yes</t>
        </is>
      </c>
      <c r="M62" s="4" t="inlineStr">
        <is>
          <t>Get the buttery-softness of lululemon Align™ in this skirt that has a built-in shorts liner.</t>
        </is>
      </c>
      <c r="N62" s="4" t="inlineStr">
        <is>
          <t>lululemon-Align-High-Rise-Skirt-Long</t>
        </is>
      </c>
      <c r="O62" s="4" t="inlineStr">
        <is>
          <t>Skorts</t>
        </is>
      </c>
    </row>
    <row r="63" ht="80" customHeight="1">
      <c r="A63" s="7">
        <f>IMAGE("https://images.lululemon.com/is/image/lululemon/LW8AQ1S_0001_1?wid=320&amp;op_usm=0.8",1)</f>
        <v/>
      </c>
      <c r="B63" s="7" t="inlineStr">
        <is>
          <t>lululemon Align™ High-Rise Skirt *Long</t>
        </is>
      </c>
      <c r="C63" s="7" t="inlineStr">
        <is>
          <t>156482858</t>
        </is>
      </c>
      <c r="D63" s="7" t="inlineStr">
        <is>
          <t>156482858-black</t>
        </is>
      </c>
      <c r="E63" s="7" t="inlineStr">
        <is>
          <t>lululemon Align™ HR Skirt *Long BLK 2</t>
        </is>
      </c>
      <c r="F63" s="7" t="inlineStr">
        <is>
          <t>$78.00</t>
        </is>
      </c>
      <c r="G63" s="7" t="inlineStr">
        <is>
          <t>$39.00</t>
        </is>
      </c>
      <c r="H63" s="7" t="inlineStr">
        <is>
          <t>Black</t>
        </is>
      </c>
      <c r="I63" s="7">
        <f>IMAGE("https://images.lululemon.com/is/image/lululemon/0001",1)</f>
        <v/>
      </c>
      <c r="J63" s="7" t="inlineStr">
        <is>
          <t>10</t>
        </is>
      </c>
      <c r="K63" s="7" t="inlineStr">
        <is>
          <t>224/7793</t>
        </is>
      </c>
      <c r="L63" s="7" t="inlineStr">
        <is>
          <t>Yes</t>
        </is>
      </c>
      <c r="M63" s="7" t="inlineStr">
        <is>
          <t>Get the buttery-softness of lululemon Align™ in this skirt that has a built-in shorts liner.</t>
        </is>
      </c>
      <c r="N63" s="7" t="inlineStr">
        <is>
          <t>lululemon-Align-High-Rise-Skirt-Long</t>
        </is>
      </c>
      <c r="O63" s="7" t="inlineStr">
        <is>
          <t>Skorts</t>
        </is>
      </c>
    </row>
    <row r="64" ht="80" customHeight="1">
      <c r="A64" s="4">
        <f>IMAGE("https://images.lululemon.com/is/image/lululemon/LW8AQ1S_0001_1?wid=320&amp;op_usm=0.8",1)</f>
        <v/>
      </c>
      <c r="B64" s="4" t="inlineStr">
        <is>
          <t>lululemon Align™ High-Rise Skirt *Long</t>
        </is>
      </c>
      <c r="C64" s="4" t="inlineStr">
        <is>
          <t>156482863</t>
        </is>
      </c>
      <c r="D64" s="4" t="inlineStr">
        <is>
          <t>156482863-black</t>
        </is>
      </c>
      <c r="E64" s="4" t="inlineStr">
        <is>
          <t>lululemon Align™ HR Skirt *Long BLK 2</t>
        </is>
      </c>
      <c r="F64" s="4" t="inlineStr">
        <is>
          <t>$78.00</t>
        </is>
      </c>
      <c r="G64" s="4" t="inlineStr">
        <is>
          <t>$39.00</t>
        </is>
      </c>
      <c r="H64" s="4" t="inlineStr">
        <is>
          <t>Black</t>
        </is>
      </c>
      <c r="I64" s="4">
        <f>IMAGE("https://images.lululemon.com/is/image/lululemon/0001",1)</f>
        <v/>
      </c>
      <c r="J64" s="4" t="inlineStr">
        <is>
          <t>12</t>
        </is>
      </c>
      <c r="K64" s="4" t="inlineStr">
        <is>
          <t>147/7793</t>
        </is>
      </c>
      <c r="L64" s="4" t="inlineStr">
        <is>
          <t>Yes</t>
        </is>
      </c>
      <c r="M64" s="4" t="inlineStr">
        <is>
          <t>Get the buttery-softness of lululemon Align™ in this skirt that has a built-in shorts liner.</t>
        </is>
      </c>
      <c r="N64" s="4" t="inlineStr">
        <is>
          <t>lululemon-Align-High-Rise-Skirt-Long</t>
        </is>
      </c>
      <c r="O64" s="4" t="inlineStr">
        <is>
          <t>Skorts</t>
        </is>
      </c>
    </row>
    <row r="65" ht="80" customHeight="1">
      <c r="A65" s="7">
        <f>IMAGE("https://images.lululemon.com/is/image/lululemon/LW8AQ1S_0001_1?wid=320&amp;op_usm=0.8",1)</f>
        <v/>
      </c>
      <c r="B65" s="7" t="inlineStr">
        <is>
          <t>lululemon Align™ High-Rise Skirt *Long</t>
        </is>
      </c>
      <c r="C65" s="7" t="inlineStr">
        <is>
          <t>156482339</t>
        </is>
      </c>
      <c r="D65" s="7" t="inlineStr">
        <is>
          <t>156482339-white</t>
        </is>
      </c>
      <c r="E65" s="7" t="inlineStr">
        <is>
          <t>lululemon Align™ HR Skirt *Long BLK 2</t>
        </is>
      </c>
      <c r="F65" s="7" t="inlineStr">
        <is>
          <t>$78.00</t>
        </is>
      </c>
      <c r="G65" s="7" t="inlineStr">
        <is>
          <t>$39.00</t>
        </is>
      </c>
      <c r="H65" s="7" t="inlineStr">
        <is>
          <t>White</t>
        </is>
      </c>
      <c r="I65" s="7">
        <f>IMAGE("https://images.lululemon.com/is/image/lululemon/0002",1)</f>
        <v/>
      </c>
      <c r="J65" s="7" t="inlineStr">
        <is>
          <t>2</t>
        </is>
      </c>
      <c r="K65" s="7" t="inlineStr">
        <is>
          <t>562/7793</t>
        </is>
      </c>
      <c r="L65" s="7" t="inlineStr">
        <is>
          <t>Yes</t>
        </is>
      </c>
      <c r="M65" s="7" t="inlineStr">
        <is>
          <t>Get the buttery-softness of lululemon Align™ in this skirt that has a built-in shorts liner.</t>
        </is>
      </c>
      <c r="N65" s="7" t="inlineStr">
        <is>
          <t>lululemon-Align-High-Rise-Skirt-Long</t>
        </is>
      </c>
      <c r="O65" s="7" t="inlineStr">
        <is>
          <t>Skorts</t>
        </is>
      </c>
    </row>
    <row r="66" ht="80" customHeight="1">
      <c r="A66" s="4">
        <f>IMAGE("https://images.lululemon.com/is/image/lululemon/LW8AQ1S_0001_1?wid=320&amp;op_usm=0.8",1)</f>
        <v/>
      </c>
      <c r="B66" s="4" t="inlineStr">
        <is>
          <t>lululemon Align™ High-Rise Skirt *Long</t>
        </is>
      </c>
      <c r="C66" s="4" t="inlineStr">
        <is>
          <t>156482365</t>
        </is>
      </c>
      <c r="D66" s="4" t="inlineStr">
        <is>
          <t>156482365-white</t>
        </is>
      </c>
      <c r="E66" s="4" t="inlineStr">
        <is>
          <t>lululemon Align™ HR Skirt *Long BLK 2</t>
        </is>
      </c>
      <c r="F66" s="4" t="inlineStr">
        <is>
          <t>$78.00</t>
        </is>
      </c>
      <c r="G66" s="4" t="inlineStr">
        <is>
          <t>$39.00</t>
        </is>
      </c>
      <c r="H66" s="4" t="inlineStr">
        <is>
          <t>White</t>
        </is>
      </c>
      <c r="I66" s="4">
        <f>IMAGE("https://images.lululemon.com/is/image/lululemon/0002",1)</f>
        <v/>
      </c>
      <c r="J66" s="4" t="inlineStr">
        <is>
          <t>4</t>
        </is>
      </c>
      <c r="K66" s="4" t="inlineStr">
        <is>
          <t>298/7793</t>
        </is>
      </c>
      <c r="L66" s="4" t="inlineStr">
        <is>
          <t>Yes</t>
        </is>
      </c>
      <c r="M66" s="4" t="inlineStr">
        <is>
          <t>Get the buttery-softness of lululemon Align™ in this skirt that has a built-in shorts liner.</t>
        </is>
      </c>
      <c r="N66" s="4" t="inlineStr">
        <is>
          <t>lululemon-Align-High-Rise-Skirt-Long</t>
        </is>
      </c>
      <c r="O66" s="4" t="inlineStr">
        <is>
          <t>Skorts</t>
        </is>
      </c>
    </row>
    <row r="67" ht="80" customHeight="1">
      <c r="A67" s="7">
        <f>IMAGE("https://images.lululemon.com/is/image/lululemon/LW8AQ1S_0001_1?wid=320&amp;op_usm=0.8",1)</f>
        <v/>
      </c>
      <c r="B67" s="7" t="inlineStr">
        <is>
          <t>lululemon Align™ High-Rise Skirt *Long</t>
        </is>
      </c>
      <c r="C67" s="7" t="inlineStr">
        <is>
          <t>156482368</t>
        </is>
      </c>
      <c r="D67" s="7" t="inlineStr">
        <is>
          <t>156482368-white</t>
        </is>
      </c>
      <c r="E67" s="7" t="inlineStr">
        <is>
          <t>lululemon Align™ HR Skirt *Long BLK 2</t>
        </is>
      </c>
      <c r="F67" s="7" t="inlineStr">
        <is>
          <t>$78.00</t>
        </is>
      </c>
      <c r="G67" s="7" t="inlineStr">
        <is>
          <t>$39.00</t>
        </is>
      </c>
      <c r="H67" s="7" t="inlineStr">
        <is>
          <t>White</t>
        </is>
      </c>
      <c r="I67" s="7">
        <f>IMAGE("https://images.lululemon.com/is/image/lululemon/0002",1)</f>
        <v/>
      </c>
      <c r="J67" s="7" t="inlineStr">
        <is>
          <t>6</t>
        </is>
      </c>
      <c r="K67" s="7" t="inlineStr">
        <is>
          <t>826/7793</t>
        </is>
      </c>
      <c r="L67" s="7" t="inlineStr">
        <is>
          <t>Yes</t>
        </is>
      </c>
      <c r="M67" s="7" t="inlineStr">
        <is>
          <t>Get the buttery-softness of lululemon Align™ in this skirt that has a built-in shorts liner.</t>
        </is>
      </c>
      <c r="N67" s="7" t="inlineStr">
        <is>
          <t>lululemon-Align-High-Rise-Skirt-Long</t>
        </is>
      </c>
      <c r="O67" s="7" t="inlineStr">
        <is>
          <t>Skorts</t>
        </is>
      </c>
    </row>
    <row r="68" ht="80" customHeight="1">
      <c r="A68" s="4">
        <f>IMAGE("https://images.lululemon.com/is/image/lululemon/LW8AQ1S_0001_1?wid=320&amp;op_usm=0.8",1)</f>
        <v/>
      </c>
      <c r="B68" s="4" t="inlineStr">
        <is>
          <t>lululemon Align™ High-Rise Skirt *Long</t>
        </is>
      </c>
      <c r="C68" s="4" t="inlineStr">
        <is>
          <t>156482374</t>
        </is>
      </c>
      <c r="D68" s="4" t="inlineStr">
        <is>
          <t>156482374-white</t>
        </is>
      </c>
      <c r="E68" s="4" t="inlineStr">
        <is>
          <t>lululemon Align™ HR Skirt *Long BLK 2</t>
        </is>
      </c>
      <c r="F68" s="4" t="inlineStr">
        <is>
          <t>$78.00</t>
        </is>
      </c>
      <c r="G68" s="4" t="inlineStr">
        <is>
          <t>$39.00</t>
        </is>
      </c>
      <c r="H68" s="4" t="inlineStr">
        <is>
          <t>White</t>
        </is>
      </c>
      <c r="I68" s="4">
        <f>IMAGE("https://images.lululemon.com/is/image/lululemon/0002",1)</f>
        <v/>
      </c>
      <c r="J68" s="4" t="inlineStr">
        <is>
          <t>8</t>
        </is>
      </c>
      <c r="K68" s="4" t="inlineStr">
        <is>
          <t>237/7793</t>
        </is>
      </c>
      <c r="L68" s="4" t="inlineStr">
        <is>
          <t>Yes</t>
        </is>
      </c>
      <c r="M68" s="4" t="inlineStr">
        <is>
          <t>Get the buttery-softness of lululemon Align™ in this skirt that has a built-in shorts liner.</t>
        </is>
      </c>
      <c r="N68" s="4" t="inlineStr">
        <is>
          <t>lululemon-Align-High-Rise-Skirt-Long</t>
        </is>
      </c>
      <c r="O68" s="4" t="inlineStr">
        <is>
          <t>Skorts</t>
        </is>
      </c>
    </row>
    <row r="69" ht="80" customHeight="1">
      <c r="A69" s="7">
        <f>IMAGE("https://images.lululemon.com/is/image/lululemon/LW8AQ1S_0001_1?wid=320&amp;op_usm=0.8",1)</f>
        <v/>
      </c>
      <c r="B69" s="7" t="inlineStr">
        <is>
          <t>lululemon Align™ High-Rise Skirt *Long</t>
        </is>
      </c>
      <c r="C69" s="7" t="inlineStr">
        <is>
          <t>156482312</t>
        </is>
      </c>
      <c r="D69" s="7" t="inlineStr">
        <is>
          <t>156482312-white</t>
        </is>
      </c>
      <c r="E69" s="7" t="inlineStr">
        <is>
          <t>lululemon Align™ HR Skirt *Long BLK 2</t>
        </is>
      </c>
      <c r="F69" s="7" t="inlineStr">
        <is>
          <t>$78.00</t>
        </is>
      </c>
      <c r="G69" s="7" t="inlineStr">
        <is>
          <t>$39.00</t>
        </is>
      </c>
      <c r="H69" s="7" t="inlineStr">
        <is>
          <t>White</t>
        </is>
      </c>
      <c r="I69" s="7">
        <f>IMAGE("https://images.lululemon.com/is/image/lululemon/0002",1)</f>
        <v/>
      </c>
      <c r="J69" s="7" t="inlineStr">
        <is>
          <t>10</t>
        </is>
      </c>
      <c r="K69" s="7" t="inlineStr">
        <is>
          <t>177/7793</t>
        </is>
      </c>
      <c r="L69" s="7" t="inlineStr">
        <is>
          <t>Yes</t>
        </is>
      </c>
      <c r="M69" s="7" t="inlineStr">
        <is>
          <t>Get the buttery-softness of lululemon Align™ in this skirt that has a built-in shorts liner.</t>
        </is>
      </c>
      <c r="N69" s="7" t="inlineStr">
        <is>
          <t>lululemon-Align-High-Rise-Skirt-Long</t>
        </is>
      </c>
      <c r="O69" s="7" t="inlineStr">
        <is>
          <t>Skorts</t>
        </is>
      </c>
    </row>
    <row r="70" ht="80" customHeight="1">
      <c r="A70" s="4">
        <f>IMAGE("https://images.lululemon.com/is/image/lululemon/LW8AQ1S_0001_1?wid=320&amp;op_usm=0.8",1)</f>
        <v/>
      </c>
      <c r="B70" s="4" t="inlineStr">
        <is>
          <t>lululemon Align™ High-Rise Skirt *Long</t>
        </is>
      </c>
      <c r="C70" s="4" t="inlineStr">
        <is>
          <t>156482318</t>
        </is>
      </c>
      <c r="D70" s="4" t="inlineStr">
        <is>
          <t>156482318-white</t>
        </is>
      </c>
      <c r="E70" s="4" t="inlineStr">
        <is>
          <t>lululemon Align™ HR Skirt *Long BLK 2</t>
        </is>
      </c>
      <c r="F70" s="4" t="inlineStr">
        <is>
          <t>$78.00</t>
        </is>
      </c>
      <c r="G70" s="4" t="inlineStr">
        <is>
          <t>$39.00</t>
        </is>
      </c>
      <c r="H70" s="4" t="inlineStr">
        <is>
          <t>White</t>
        </is>
      </c>
      <c r="I70" s="4">
        <f>IMAGE("https://images.lululemon.com/is/image/lululemon/0002",1)</f>
        <v/>
      </c>
      <c r="J70" s="4" t="inlineStr">
        <is>
          <t>12</t>
        </is>
      </c>
      <c r="K70" s="4" t="inlineStr">
        <is>
          <t>129/7793</t>
        </is>
      </c>
      <c r="L70" s="4" t="inlineStr">
        <is>
          <t>Yes</t>
        </is>
      </c>
      <c r="M70" s="4" t="inlineStr">
        <is>
          <t>Get the buttery-softness of lululemon Align™ in this skirt that has a built-in shorts liner.</t>
        </is>
      </c>
      <c r="N70" s="4" t="inlineStr">
        <is>
          <t>lululemon-Align-High-Rise-Skirt-Long</t>
        </is>
      </c>
      <c r="O70" s="4" t="inlineStr">
        <is>
          <t>Skorts</t>
        </is>
      </c>
    </row>
    <row r="71" ht="80" customHeight="1">
      <c r="A71" s="7">
        <f>IMAGE("https://images.lululemon.com/is/image/lululemon/LW8AQ1S_0001_1?wid=320&amp;op_usm=0.8",1)</f>
        <v/>
      </c>
      <c r="B71" s="7" t="inlineStr">
        <is>
          <t>lululemon Align™ High-Rise Skirt *Long</t>
        </is>
      </c>
      <c r="C71" s="7" t="inlineStr">
        <is>
          <t>157683767</t>
        </is>
      </c>
      <c r="D71" s="7" t="inlineStr">
        <is>
          <t>157683767-palmdeco</t>
        </is>
      </c>
      <c r="E71" s="7" t="inlineStr">
        <is>
          <t>lululemon Align™ HR Skirt *Long BLK 2</t>
        </is>
      </c>
      <c r="F71" s="7" t="inlineStr">
        <is>
          <t>$78.00</t>
        </is>
      </c>
      <c r="G71" s="7" t="inlineStr">
        <is>
          <t>$39.00</t>
        </is>
      </c>
      <c r="H71" s="7" t="inlineStr">
        <is>
          <t>Palm Deco</t>
        </is>
      </c>
      <c r="I71" s="7">
        <f>IMAGE("https://images.lululemon.com/is/image/lululemon/35487",1)</f>
        <v/>
      </c>
      <c r="J71" s="7" t="inlineStr">
        <is>
          <t>2</t>
        </is>
      </c>
      <c r="K71" s="7" t="inlineStr">
        <is>
          <t>124/7793</t>
        </is>
      </c>
      <c r="L71" s="7" t="inlineStr">
        <is>
          <t>Yes</t>
        </is>
      </c>
      <c r="M71" s="7" t="inlineStr">
        <is>
          <t>Get the buttery-softness of lululemon Align™ in this skirt that has a built-in shorts liner.</t>
        </is>
      </c>
      <c r="N71" s="7" t="inlineStr">
        <is>
          <t>lululemon-Align-High-Rise-Skirt-Long</t>
        </is>
      </c>
      <c r="O71" s="7" t="inlineStr">
        <is>
          <t>Skorts</t>
        </is>
      </c>
    </row>
    <row r="72" ht="80" customHeight="1">
      <c r="A72" s="4">
        <f>IMAGE("https://images.lululemon.com/is/image/lululemon/LW8AQ1S_0001_1?wid=320&amp;op_usm=0.8",1)</f>
        <v/>
      </c>
      <c r="B72" s="4" t="inlineStr">
        <is>
          <t>lululemon Align™ High-Rise Skirt *Long</t>
        </is>
      </c>
      <c r="C72" s="4" t="inlineStr">
        <is>
          <t>157683775</t>
        </is>
      </c>
      <c r="D72" s="4" t="inlineStr">
        <is>
          <t>157683775-palmdeco</t>
        </is>
      </c>
      <c r="E72" s="4" t="inlineStr">
        <is>
          <t>lululemon Align™ HR Skirt *Long BLK 2</t>
        </is>
      </c>
      <c r="F72" s="4" t="inlineStr">
        <is>
          <t>$78.00</t>
        </is>
      </c>
      <c r="G72" s="4" t="inlineStr">
        <is>
          <t>$39.00</t>
        </is>
      </c>
      <c r="H72" s="4" t="inlineStr">
        <is>
          <t>Palm Deco</t>
        </is>
      </c>
      <c r="I72" s="4">
        <f>IMAGE("https://images.lululemon.com/is/image/lululemon/35487",1)</f>
        <v/>
      </c>
      <c r="J72" s="4" t="inlineStr">
        <is>
          <t>4</t>
        </is>
      </c>
      <c r="K72" s="4" t="inlineStr">
        <is>
          <t>198/7793</t>
        </is>
      </c>
      <c r="L72" s="4" t="inlineStr">
        <is>
          <t>Yes</t>
        </is>
      </c>
      <c r="M72" s="4" t="inlineStr">
        <is>
          <t>Get the buttery-softness of lululemon Align™ in this skirt that has a built-in shorts liner.</t>
        </is>
      </c>
      <c r="N72" s="4" t="inlineStr">
        <is>
          <t>lululemon-Align-High-Rise-Skirt-Long</t>
        </is>
      </c>
      <c r="O72" s="4" t="inlineStr">
        <is>
          <t>Skorts</t>
        </is>
      </c>
    </row>
    <row r="73" ht="80" customHeight="1">
      <c r="A73" s="7">
        <f>IMAGE("https://images.lululemon.com/is/image/lululemon/LW8AQ1S_0001_1?wid=320&amp;op_usm=0.8",1)</f>
        <v/>
      </c>
      <c r="B73" s="7" t="inlineStr">
        <is>
          <t>lululemon Align™ High-Rise Skirt *Long</t>
        </is>
      </c>
      <c r="C73" s="7" t="inlineStr">
        <is>
          <t>157683783</t>
        </is>
      </c>
      <c r="D73" s="7" t="inlineStr">
        <is>
          <t>157683783-palmdeco</t>
        </is>
      </c>
      <c r="E73" s="7" t="inlineStr">
        <is>
          <t>lululemon Align™ HR Skirt *Long BLK 2</t>
        </is>
      </c>
      <c r="F73" s="7" t="inlineStr">
        <is>
          <t>$78.00</t>
        </is>
      </c>
      <c r="G73" s="7" t="inlineStr">
        <is>
          <t>$39.00</t>
        </is>
      </c>
      <c r="H73" s="7" t="inlineStr">
        <is>
          <t>Palm Deco</t>
        </is>
      </c>
      <c r="I73" s="7">
        <f>IMAGE("https://images.lululemon.com/is/image/lululemon/35487",1)</f>
        <v/>
      </c>
      <c r="J73" s="7" t="inlineStr">
        <is>
          <t>6</t>
        </is>
      </c>
      <c r="K73" s="7" t="inlineStr">
        <is>
          <t>195/7793</t>
        </is>
      </c>
      <c r="L73" s="7" t="inlineStr">
        <is>
          <t>Yes</t>
        </is>
      </c>
      <c r="M73" s="7" t="inlineStr">
        <is>
          <t>Get the buttery-softness of lululemon Align™ in this skirt that has a built-in shorts liner.</t>
        </is>
      </c>
      <c r="N73" s="7" t="inlineStr">
        <is>
          <t>lululemon-Align-High-Rise-Skirt-Long</t>
        </is>
      </c>
      <c r="O73" s="7" t="inlineStr">
        <is>
          <t>Skorts</t>
        </is>
      </c>
    </row>
    <row r="74" ht="80" customHeight="1">
      <c r="A74" s="4">
        <f>IMAGE("https://images.lululemon.com/is/image/lululemon/LW8AQ1S_0001_1?wid=320&amp;op_usm=0.8",1)</f>
        <v/>
      </c>
      <c r="B74" s="4" t="inlineStr">
        <is>
          <t>lululemon Align™ High-Rise Skirt *Long</t>
        </is>
      </c>
      <c r="C74" s="4" t="inlineStr">
        <is>
          <t>157683791</t>
        </is>
      </c>
      <c r="D74" s="4" t="inlineStr">
        <is>
          <t>157683791-palmdeco</t>
        </is>
      </c>
      <c r="E74" s="4" t="inlineStr">
        <is>
          <t>lululemon Align™ HR Skirt *Long BLK 2</t>
        </is>
      </c>
      <c r="F74" s="4" t="inlineStr">
        <is>
          <t>$78.00</t>
        </is>
      </c>
      <c r="G74" s="4" t="inlineStr">
        <is>
          <t>$39.00</t>
        </is>
      </c>
      <c r="H74" s="4" t="inlineStr">
        <is>
          <t>Palm Deco</t>
        </is>
      </c>
      <c r="I74" s="4">
        <f>IMAGE("https://images.lululemon.com/is/image/lululemon/35487",1)</f>
        <v/>
      </c>
      <c r="J74" s="4" t="inlineStr">
        <is>
          <t>8</t>
        </is>
      </c>
      <c r="K74" s="4" t="inlineStr">
        <is>
          <t>154/7793</t>
        </is>
      </c>
      <c r="L74" s="4" t="inlineStr">
        <is>
          <t>Yes</t>
        </is>
      </c>
      <c r="M74" s="4" t="inlineStr">
        <is>
          <t>Get the buttery-softness of lululemon Align™ in this skirt that has a built-in shorts liner.</t>
        </is>
      </c>
      <c r="N74" s="4" t="inlineStr">
        <is>
          <t>lululemon-Align-High-Rise-Skirt-Long</t>
        </is>
      </c>
      <c r="O74" s="4" t="inlineStr">
        <is>
          <t>Skorts</t>
        </is>
      </c>
    </row>
    <row r="75" ht="80" customHeight="1">
      <c r="A75" s="7">
        <f>IMAGE("https://images.lululemon.com/is/image/lululemon/LW8AQ1S_0001_1?wid=320&amp;op_usm=0.8",1)</f>
        <v/>
      </c>
      <c r="B75" s="7" t="inlineStr">
        <is>
          <t>lululemon Align™ High-Rise Skirt *Long</t>
        </is>
      </c>
      <c r="C75" s="7" t="inlineStr">
        <is>
          <t>157683741</t>
        </is>
      </c>
      <c r="D75" s="7" t="inlineStr">
        <is>
          <t>157683741-palmdeco</t>
        </is>
      </c>
      <c r="E75" s="7" t="inlineStr">
        <is>
          <t>lululemon Align™ HR Skirt *Long BLK 2</t>
        </is>
      </c>
      <c r="F75" s="7" t="inlineStr">
        <is>
          <t>$78.00</t>
        </is>
      </c>
      <c r="G75" s="7" t="inlineStr">
        <is>
          <t>$39.00</t>
        </is>
      </c>
      <c r="H75" s="7" t="inlineStr">
        <is>
          <t>Palm Deco</t>
        </is>
      </c>
      <c r="I75" s="7">
        <f>IMAGE("https://images.lululemon.com/is/image/lululemon/35487",1)</f>
        <v/>
      </c>
      <c r="J75" s="7" t="inlineStr">
        <is>
          <t>10</t>
        </is>
      </c>
      <c r="K75" s="7" t="inlineStr">
        <is>
          <t>76/7793</t>
        </is>
      </c>
      <c r="L75" s="7" t="inlineStr">
        <is>
          <t>Yes</t>
        </is>
      </c>
      <c r="M75" s="7" t="inlineStr">
        <is>
          <t>Get the buttery-softness of lululemon Align™ in this skirt that has a built-in shorts liner.</t>
        </is>
      </c>
      <c r="N75" s="7" t="inlineStr">
        <is>
          <t>lululemon-Align-High-Rise-Skirt-Long</t>
        </is>
      </c>
      <c r="O75" s="7" t="inlineStr">
        <is>
          <t>Skorts</t>
        </is>
      </c>
    </row>
    <row r="76" ht="80" customHeight="1">
      <c r="A76" s="4">
        <f>IMAGE("https://images.lululemon.com/is/image/lululemon/LW8AQ1S_0001_1?wid=320&amp;op_usm=0.8",1)</f>
        <v/>
      </c>
      <c r="B76" s="4" t="inlineStr">
        <is>
          <t>lululemon Align™ High-Rise Skirt *Long</t>
        </is>
      </c>
      <c r="C76" s="4" t="inlineStr">
        <is>
          <t>157683749</t>
        </is>
      </c>
      <c r="D76" s="4" t="inlineStr">
        <is>
          <t>157683749-palmdeco</t>
        </is>
      </c>
      <c r="E76" s="4" t="inlineStr">
        <is>
          <t>lululemon Align™ HR Skirt *Long BLK 2</t>
        </is>
      </c>
      <c r="F76" s="4" t="inlineStr">
        <is>
          <t>$78.00</t>
        </is>
      </c>
      <c r="G76" s="4" t="inlineStr">
        <is>
          <t>$39.00</t>
        </is>
      </c>
      <c r="H76" s="4" t="inlineStr">
        <is>
          <t>Palm Deco</t>
        </is>
      </c>
      <c r="I76" s="4">
        <f>IMAGE("https://images.lululemon.com/is/image/lululemon/35487",1)</f>
        <v/>
      </c>
      <c r="J76" s="4" t="inlineStr">
        <is>
          <t>12</t>
        </is>
      </c>
      <c r="K76" s="4" t="inlineStr">
        <is>
          <t>31/7793</t>
        </is>
      </c>
      <c r="L76" s="4" t="inlineStr">
        <is>
          <t>Yes</t>
        </is>
      </c>
      <c r="M76" s="4" t="inlineStr">
        <is>
          <t>Get the buttery-softness of lululemon Align™ in this skirt that has a built-in shorts liner.</t>
        </is>
      </c>
      <c r="N76" s="4" t="inlineStr">
        <is>
          <t>lululemon-Align-High-Rise-Skirt-Long</t>
        </is>
      </c>
      <c r="O76" s="4" t="inlineStr">
        <is>
          <t>Skorts</t>
        </is>
      </c>
    </row>
    <row r="77" ht="80" customHeight="1">
      <c r="A77" s="7">
        <f>IMAGE("https://images.lululemon.com/is/image/lululemon/LW8AQ1S_0001_1?wid=320&amp;op_usm=0.8",1)</f>
        <v/>
      </c>
      <c r="B77" s="7" t="inlineStr">
        <is>
          <t>lululemon Align™ High-Rise Skirt *Long</t>
        </is>
      </c>
      <c r="C77" s="7" t="inlineStr">
        <is>
          <t>158168731</t>
        </is>
      </c>
      <c r="D77" s="7" t="inlineStr">
        <is>
          <t>158168731-blackplum</t>
        </is>
      </c>
      <c r="E77" s="7" t="inlineStr">
        <is>
          <t>lululemon Align™ HR Skirt *Long BLK 2</t>
        </is>
      </c>
      <c r="F77" s="7" t="inlineStr">
        <is>
          <t>$78.00</t>
        </is>
      </c>
      <c r="G77" s="7" t="inlineStr">
        <is>
          <t>$39.00</t>
        </is>
      </c>
      <c r="H77" s="7" t="inlineStr">
        <is>
          <t>Black Plum</t>
        </is>
      </c>
      <c r="I77" s="7">
        <f>IMAGE("https://images.lululemon.com/is/image/lululemon/34697",1)</f>
        <v/>
      </c>
      <c r="J77" s="7" t="inlineStr">
        <is>
          <t>2</t>
        </is>
      </c>
      <c r="K77" s="7" t="inlineStr">
        <is>
          <t>67/7793</t>
        </is>
      </c>
      <c r="L77" s="7" t="inlineStr">
        <is>
          <t>Yes</t>
        </is>
      </c>
      <c r="M77" s="7" t="inlineStr">
        <is>
          <t>Get the buttery-softness of lululemon Align™ in this skirt that has a built-in shorts liner.</t>
        </is>
      </c>
      <c r="N77" s="7" t="inlineStr">
        <is>
          <t>lululemon-Align-High-Rise-Skirt-Long</t>
        </is>
      </c>
      <c r="O77" s="7" t="inlineStr">
        <is>
          <t>Skorts</t>
        </is>
      </c>
    </row>
    <row r="78" ht="80" customHeight="1">
      <c r="A78" s="4">
        <f>IMAGE("https://images.lululemon.com/is/image/lululemon/LW8AQ1S_0001_1?wid=320&amp;op_usm=0.8",1)</f>
        <v/>
      </c>
      <c r="B78" s="4" t="inlineStr">
        <is>
          <t>lululemon Align™ High-Rise Skirt *Long</t>
        </is>
      </c>
      <c r="C78" s="4" t="inlineStr">
        <is>
          <t>158168732</t>
        </is>
      </c>
      <c r="D78" s="4" t="inlineStr">
        <is>
          <t>158168732-blackplum</t>
        </is>
      </c>
      <c r="E78" s="4" t="inlineStr">
        <is>
          <t>lululemon Align™ HR Skirt *Long BLK 2</t>
        </is>
      </c>
      <c r="F78" s="4" t="inlineStr">
        <is>
          <t>$78.00</t>
        </is>
      </c>
      <c r="G78" s="4" t="inlineStr">
        <is>
          <t>$39.00</t>
        </is>
      </c>
      <c r="H78" s="4" t="inlineStr">
        <is>
          <t>Black Plum</t>
        </is>
      </c>
      <c r="I78" s="4">
        <f>IMAGE("https://images.lululemon.com/is/image/lululemon/34697",1)</f>
        <v/>
      </c>
      <c r="J78" s="4" t="inlineStr">
        <is>
          <t>4</t>
        </is>
      </c>
      <c r="K78" s="4" t="inlineStr">
        <is>
          <t>113/7793</t>
        </is>
      </c>
      <c r="L78" s="4" t="inlineStr">
        <is>
          <t>Yes</t>
        </is>
      </c>
      <c r="M78" s="4" t="inlineStr">
        <is>
          <t>Get the buttery-softness of lululemon Align™ in this skirt that has a built-in shorts liner.</t>
        </is>
      </c>
      <c r="N78" s="4" t="inlineStr">
        <is>
          <t>lululemon-Align-High-Rise-Skirt-Long</t>
        </is>
      </c>
      <c r="O78" s="4" t="inlineStr">
        <is>
          <t>Skorts</t>
        </is>
      </c>
    </row>
    <row r="79" ht="80" customHeight="1">
      <c r="A79" s="7">
        <f>IMAGE("https://images.lululemon.com/is/image/lululemon/LW8AQ1S_0001_1?wid=320&amp;op_usm=0.8",1)</f>
        <v/>
      </c>
      <c r="B79" s="7" t="inlineStr">
        <is>
          <t>lululemon Align™ High-Rise Skirt *Long</t>
        </is>
      </c>
      <c r="C79" s="7" t="inlineStr">
        <is>
          <t>158168733</t>
        </is>
      </c>
      <c r="D79" s="7" t="inlineStr">
        <is>
          <t>158168733-blackplum</t>
        </is>
      </c>
      <c r="E79" s="7" t="inlineStr">
        <is>
          <t>lululemon Align™ HR Skirt *Long BLK 2</t>
        </is>
      </c>
      <c r="F79" s="7" t="inlineStr">
        <is>
          <t>$78.00</t>
        </is>
      </c>
      <c r="G79" s="7" t="inlineStr">
        <is>
          <t>$39.00</t>
        </is>
      </c>
      <c r="H79" s="7" t="inlineStr">
        <is>
          <t>Black Plum</t>
        </is>
      </c>
      <c r="I79" s="7">
        <f>IMAGE("https://images.lululemon.com/is/image/lululemon/34697",1)</f>
        <v/>
      </c>
      <c r="J79" s="7" t="inlineStr">
        <is>
          <t>6</t>
        </is>
      </c>
      <c r="K79" s="7" t="inlineStr">
        <is>
          <t>119/7793</t>
        </is>
      </c>
      <c r="L79" s="7" t="inlineStr">
        <is>
          <t>Yes</t>
        </is>
      </c>
      <c r="M79" s="7" t="inlineStr">
        <is>
          <t>Get the buttery-softness of lululemon Align™ in this skirt that has a built-in shorts liner.</t>
        </is>
      </c>
      <c r="N79" s="7" t="inlineStr">
        <is>
          <t>lululemon-Align-High-Rise-Skirt-Long</t>
        </is>
      </c>
      <c r="O79" s="7" t="inlineStr">
        <is>
          <t>Skorts</t>
        </is>
      </c>
    </row>
    <row r="80" ht="80" customHeight="1">
      <c r="A80" s="4">
        <f>IMAGE("https://images.lululemon.com/is/image/lululemon/LW8AQ1S_0001_1?wid=320&amp;op_usm=0.8",1)</f>
        <v/>
      </c>
      <c r="B80" s="4" t="inlineStr">
        <is>
          <t>lululemon Align™ High-Rise Skirt *Long</t>
        </is>
      </c>
      <c r="C80" s="4" t="inlineStr">
        <is>
          <t>158168734</t>
        </is>
      </c>
      <c r="D80" s="4" t="inlineStr">
        <is>
          <t>158168734-blackplum</t>
        </is>
      </c>
      <c r="E80" s="4" t="inlineStr">
        <is>
          <t>lululemon Align™ HR Skirt *Long BLK 2</t>
        </is>
      </c>
      <c r="F80" s="4" t="inlineStr">
        <is>
          <t>$78.00</t>
        </is>
      </c>
      <c r="G80" s="4" t="inlineStr">
        <is>
          <t>$39.00</t>
        </is>
      </c>
      <c r="H80" s="4" t="inlineStr">
        <is>
          <t>Black Plum</t>
        </is>
      </c>
      <c r="I80" s="4">
        <f>IMAGE("https://images.lululemon.com/is/image/lululemon/34697",1)</f>
        <v/>
      </c>
      <c r="J80" s="4" t="inlineStr">
        <is>
          <t>8</t>
        </is>
      </c>
      <c r="K80" s="4" t="inlineStr">
        <is>
          <t>89/7793</t>
        </is>
      </c>
      <c r="L80" s="4" t="inlineStr">
        <is>
          <t>Yes</t>
        </is>
      </c>
      <c r="M80" s="4" t="inlineStr">
        <is>
          <t>Get the buttery-softness of lululemon Align™ in this skirt that has a built-in shorts liner.</t>
        </is>
      </c>
      <c r="N80" s="4" t="inlineStr">
        <is>
          <t>lululemon-Align-High-Rise-Skirt-Long</t>
        </is>
      </c>
      <c r="O80" s="4" t="inlineStr">
        <is>
          <t>Skorts</t>
        </is>
      </c>
    </row>
    <row r="81" ht="80" customHeight="1">
      <c r="A81" s="7">
        <f>IMAGE("https://images.lululemon.com/is/image/lululemon/LW8AQ1S_0001_1?wid=320&amp;op_usm=0.8",1)</f>
        <v/>
      </c>
      <c r="B81" s="7" t="inlineStr">
        <is>
          <t>lululemon Align™ High-Rise Skirt *Long</t>
        </is>
      </c>
      <c r="C81" s="7" t="inlineStr">
        <is>
          <t>158168728</t>
        </is>
      </c>
      <c r="D81" s="7" t="inlineStr">
        <is>
          <t>158168728-blackplum</t>
        </is>
      </c>
      <c r="E81" s="7" t="inlineStr">
        <is>
          <t>lululemon Align™ HR Skirt *Long BLK 2</t>
        </is>
      </c>
      <c r="F81" s="7" t="inlineStr">
        <is>
          <t>$78.00</t>
        </is>
      </c>
      <c r="G81" s="7" t="inlineStr">
        <is>
          <t>$39.00</t>
        </is>
      </c>
      <c r="H81" s="7" t="inlineStr">
        <is>
          <t>Black Plum</t>
        </is>
      </c>
      <c r="I81" s="7">
        <f>IMAGE("https://images.lululemon.com/is/image/lululemon/34697",1)</f>
        <v/>
      </c>
      <c r="J81" s="7" t="inlineStr">
        <is>
          <t>10</t>
        </is>
      </c>
      <c r="K81" s="7" t="inlineStr">
        <is>
          <t>42/7793</t>
        </is>
      </c>
      <c r="L81" s="7" t="inlineStr">
        <is>
          <t>Yes</t>
        </is>
      </c>
      <c r="M81" s="7" t="inlineStr">
        <is>
          <t>Get the buttery-softness of lululemon Align™ in this skirt that has a built-in shorts liner.</t>
        </is>
      </c>
      <c r="N81" s="7" t="inlineStr">
        <is>
          <t>lululemon-Align-High-Rise-Skirt-Long</t>
        </is>
      </c>
      <c r="O81" s="7" t="inlineStr">
        <is>
          <t>Skorts</t>
        </is>
      </c>
    </row>
    <row r="82" ht="80" customHeight="1">
      <c r="A82" s="4">
        <f>IMAGE("https://images.lululemon.com/is/image/lululemon/LW8AQ1S_0001_1?wid=320&amp;op_usm=0.8",1)</f>
        <v/>
      </c>
      <c r="B82" s="4" t="inlineStr">
        <is>
          <t>lululemon Align™ High-Rise Skirt *Long</t>
        </is>
      </c>
      <c r="C82" s="4" t="inlineStr">
        <is>
          <t>158168729</t>
        </is>
      </c>
      <c r="D82" s="4" t="inlineStr">
        <is>
          <t>158168729-blackplum</t>
        </is>
      </c>
      <c r="E82" s="4" t="inlineStr">
        <is>
          <t>lululemon Align™ HR Skirt *Long BLK 2</t>
        </is>
      </c>
      <c r="F82" s="4" t="inlineStr">
        <is>
          <t>$78.00</t>
        </is>
      </c>
      <c r="G82" s="4" t="inlineStr">
        <is>
          <t>$39.00</t>
        </is>
      </c>
      <c r="H82" s="4" t="inlineStr">
        <is>
          <t>Black Plum</t>
        </is>
      </c>
      <c r="I82" s="4">
        <f>IMAGE("https://images.lululemon.com/is/image/lululemon/34697",1)</f>
        <v/>
      </c>
      <c r="J82" s="4" t="inlineStr">
        <is>
          <t>12</t>
        </is>
      </c>
      <c r="K82" s="4" t="inlineStr">
        <is>
          <t>13/7793</t>
        </is>
      </c>
      <c r="L82" s="4" t="inlineStr">
        <is>
          <t>Yes</t>
        </is>
      </c>
      <c r="M82" s="4" t="inlineStr">
        <is>
          <t>Get the buttery-softness of lululemon Align™ in this skirt that has a built-in shorts liner.</t>
        </is>
      </c>
      <c r="N82" s="4" t="inlineStr">
        <is>
          <t>lululemon-Align-High-Rise-Skirt-Long</t>
        </is>
      </c>
      <c r="O82" s="4" t="inlineStr">
        <is>
          <t>Skorts</t>
        </is>
      </c>
    </row>
    <row r="83" ht="80" customHeight="1">
      <c r="A83" s="7">
        <f>IMAGE("https://images.lululemon.com/is/image/lululemon/LW8AQ1S_0001_1?wid=320&amp;op_usm=0.8",1)</f>
        <v/>
      </c>
      <c r="B83" s="7" t="inlineStr">
        <is>
          <t>lululemon Align™ High-Rise Skirt *Long</t>
        </is>
      </c>
      <c r="C83" s="7" t="inlineStr">
        <is>
          <t>158193592</t>
        </is>
      </c>
      <c r="D83" s="7" t="inlineStr">
        <is>
          <t>158193592-brilliantblue</t>
        </is>
      </c>
      <c r="E83" s="7" t="inlineStr">
        <is>
          <t>lululemon Align™ HR Skirt *Long BLK 2</t>
        </is>
      </c>
      <c r="F83" s="7" t="inlineStr">
        <is>
          <t>$78.00</t>
        </is>
      </c>
      <c r="G83" s="7" t="inlineStr">
        <is>
          <t>$39.00</t>
        </is>
      </c>
      <c r="H83" s="7" t="inlineStr">
        <is>
          <t>Brilliant Blue</t>
        </is>
      </c>
      <c r="I83" s="7">
        <f>IMAGE("https://images.lululemon.com/is/image/lululemon/33190",1)</f>
        <v/>
      </c>
      <c r="J83" s="7" t="inlineStr">
        <is>
          <t>2</t>
        </is>
      </c>
      <c r="K83" s="7" t="inlineStr">
        <is>
          <t>49/7793</t>
        </is>
      </c>
      <c r="L83" s="7" t="inlineStr">
        <is>
          <t>Yes</t>
        </is>
      </c>
      <c r="M83" s="7" t="inlineStr">
        <is>
          <t>Get the buttery-softness of lululemon Align™ in this skirt that has a built-in shorts liner.</t>
        </is>
      </c>
      <c r="N83" s="7" t="inlineStr">
        <is>
          <t>lululemon-Align-High-Rise-Skirt-Long</t>
        </is>
      </c>
      <c r="O83" s="7" t="inlineStr">
        <is>
          <t>Skorts</t>
        </is>
      </c>
    </row>
    <row r="84" ht="80" customHeight="1">
      <c r="A84" s="4">
        <f>IMAGE("https://images.lululemon.com/is/image/lululemon/LW8AQ1S_0001_1?wid=320&amp;op_usm=0.8",1)</f>
        <v/>
      </c>
      <c r="B84" s="4" t="inlineStr">
        <is>
          <t>lululemon Align™ High-Rise Skirt *Long</t>
        </is>
      </c>
      <c r="C84" s="4" t="inlineStr">
        <is>
          <t>158193593</t>
        </is>
      </c>
      <c r="D84" s="4" t="inlineStr">
        <is>
          <t>158193593-brilliantblue</t>
        </is>
      </c>
      <c r="E84" s="4" t="inlineStr">
        <is>
          <t>lululemon Align™ HR Skirt *Long BLK 2</t>
        </is>
      </c>
      <c r="F84" s="4" t="inlineStr">
        <is>
          <t>$78.00</t>
        </is>
      </c>
      <c r="G84" s="4" t="inlineStr">
        <is>
          <t>$39.00</t>
        </is>
      </c>
      <c r="H84" s="4" t="inlineStr">
        <is>
          <t>Brilliant Blue</t>
        </is>
      </c>
      <c r="I84" s="4">
        <f>IMAGE("https://images.lululemon.com/is/image/lululemon/33190",1)</f>
        <v/>
      </c>
      <c r="J84" s="4" t="inlineStr">
        <is>
          <t>4</t>
        </is>
      </c>
      <c r="K84" s="4" t="inlineStr">
        <is>
          <t>86/7793</t>
        </is>
      </c>
      <c r="L84" s="4" t="inlineStr">
        <is>
          <t>Yes</t>
        </is>
      </c>
      <c r="M84" s="4" t="inlineStr">
        <is>
          <t>Get the buttery-softness of lululemon Align™ in this skirt that has a built-in shorts liner.</t>
        </is>
      </c>
      <c r="N84" s="4" t="inlineStr">
        <is>
          <t>lululemon-Align-High-Rise-Skirt-Long</t>
        </is>
      </c>
      <c r="O84" s="4" t="inlineStr">
        <is>
          <t>Skorts</t>
        </is>
      </c>
    </row>
    <row r="85" ht="80" customHeight="1">
      <c r="A85" s="7">
        <f>IMAGE("https://images.lululemon.com/is/image/lululemon/LW8AQ1S_0001_1?wid=320&amp;op_usm=0.8",1)</f>
        <v/>
      </c>
      <c r="B85" s="7" t="inlineStr">
        <is>
          <t>lululemon Align™ High-Rise Skirt *Long</t>
        </is>
      </c>
      <c r="C85" s="7" t="inlineStr">
        <is>
          <t>158193594</t>
        </is>
      </c>
      <c r="D85" s="7" t="inlineStr">
        <is>
          <t>158193594-brilliantblue</t>
        </is>
      </c>
      <c r="E85" s="7" t="inlineStr">
        <is>
          <t>lululemon Align™ HR Skirt *Long BLK 2</t>
        </is>
      </c>
      <c r="F85" s="7" t="inlineStr">
        <is>
          <t>$78.00</t>
        </is>
      </c>
      <c r="G85" s="7" t="inlineStr">
        <is>
          <t>$39.00</t>
        </is>
      </c>
      <c r="H85" s="7" t="inlineStr">
        <is>
          <t>Brilliant Blue</t>
        </is>
      </c>
      <c r="I85" s="7">
        <f>IMAGE("https://images.lululemon.com/is/image/lululemon/33190",1)</f>
        <v/>
      </c>
      <c r="J85" s="7" t="inlineStr">
        <is>
          <t>6</t>
        </is>
      </c>
      <c r="K85" s="7" t="inlineStr">
        <is>
          <t>88/7793</t>
        </is>
      </c>
      <c r="L85" s="7" t="inlineStr">
        <is>
          <t>Yes</t>
        </is>
      </c>
      <c r="M85" s="7" t="inlineStr">
        <is>
          <t>Get the buttery-softness of lululemon Align™ in this skirt that has a built-in shorts liner.</t>
        </is>
      </c>
      <c r="N85" s="7" t="inlineStr">
        <is>
          <t>lululemon-Align-High-Rise-Skirt-Long</t>
        </is>
      </c>
      <c r="O85" s="7" t="inlineStr">
        <is>
          <t>Skorts</t>
        </is>
      </c>
    </row>
    <row r="86" ht="80" customHeight="1">
      <c r="A86" s="4">
        <f>IMAGE("https://images.lululemon.com/is/image/lululemon/LW8AQ1S_0001_1?wid=320&amp;op_usm=0.8",1)</f>
        <v/>
      </c>
      <c r="B86" s="4" t="inlineStr">
        <is>
          <t>lululemon Align™ High-Rise Skirt *Long</t>
        </is>
      </c>
      <c r="C86" s="4" t="inlineStr">
        <is>
          <t>158193595</t>
        </is>
      </c>
      <c r="D86" s="4" t="inlineStr">
        <is>
          <t>158193595-brilliantblue</t>
        </is>
      </c>
      <c r="E86" s="4" t="inlineStr">
        <is>
          <t>lululemon Align™ HR Skirt *Long BLK 2</t>
        </is>
      </c>
      <c r="F86" s="4" t="inlineStr">
        <is>
          <t>$78.00</t>
        </is>
      </c>
      <c r="G86" s="4" t="inlineStr">
        <is>
          <t>$39.00</t>
        </is>
      </c>
      <c r="H86" s="4" t="inlineStr">
        <is>
          <t>Brilliant Blue</t>
        </is>
      </c>
      <c r="I86" s="4">
        <f>IMAGE("https://images.lululemon.com/is/image/lululemon/33190",1)</f>
        <v/>
      </c>
      <c r="J86" s="4" t="inlineStr">
        <is>
          <t>8</t>
        </is>
      </c>
      <c r="K86" s="4" t="inlineStr">
        <is>
          <t>66/7793</t>
        </is>
      </c>
      <c r="L86" s="4" t="inlineStr">
        <is>
          <t>Yes</t>
        </is>
      </c>
      <c r="M86" s="4" t="inlineStr">
        <is>
          <t>Get the buttery-softness of lululemon Align™ in this skirt that has a built-in shorts liner.</t>
        </is>
      </c>
      <c r="N86" s="4" t="inlineStr">
        <is>
          <t>lululemon-Align-High-Rise-Skirt-Long</t>
        </is>
      </c>
      <c r="O86" s="4" t="inlineStr">
        <is>
          <t>Skorts</t>
        </is>
      </c>
    </row>
    <row r="87" ht="80" customHeight="1">
      <c r="A87" s="7">
        <f>IMAGE("https://images.lululemon.com/is/image/lululemon/LW8AQ1S_0001_1?wid=320&amp;op_usm=0.8",1)</f>
        <v/>
      </c>
      <c r="B87" s="7" t="inlineStr">
        <is>
          <t>lululemon Align™ High-Rise Skirt *Long</t>
        </is>
      </c>
      <c r="C87" s="7" t="inlineStr">
        <is>
          <t>158193589</t>
        </is>
      </c>
      <c r="D87" s="7" t="inlineStr">
        <is>
          <t>158193589-brilliantblue</t>
        </is>
      </c>
      <c r="E87" s="7" t="inlineStr">
        <is>
          <t>lululemon Align™ HR Skirt *Long BLK 2</t>
        </is>
      </c>
      <c r="F87" s="7" t="inlineStr">
        <is>
          <t>$78.00</t>
        </is>
      </c>
      <c r="G87" s="7" t="inlineStr">
        <is>
          <t>$39.00</t>
        </is>
      </c>
      <c r="H87" s="7" t="inlineStr">
        <is>
          <t>Brilliant Blue</t>
        </is>
      </c>
      <c r="I87" s="7">
        <f>IMAGE("https://images.lululemon.com/is/image/lululemon/33190",1)</f>
        <v/>
      </c>
      <c r="J87" s="7" t="inlineStr">
        <is>
          <t>10</t>
        </is>
      </c>
      <c r="K87" s="7" t="inlineStr">
        <is>
          <t>32/7793</t>
        </is>
      </c>
      <c r="L87" s="7" t="inlineStr">
        <is>
          <t>Yes</t>
        </is>
      </c>
      <c r="M87" s="7" t="inlineStr">
        <is>
          <t>Get the buttery-softness of lululemon Align™ in this skirt that has a built-in shorts liner.</t>
        </is>
      </c>
      <c r="N87" s="7" t="inlineStr">
        <is>
          <t>lululemon-Align-High-Rise-Skirt-Long</t>
        </is>
      </c>
      <c r="O87" s="7" t="inlineStr">
        <is>
          <t>Skorts</t>
        </is>
      </c>
    </row>
    <row r="88" ht="80" customHeight="1">
      <c r="A88" s="6">
        <f>IMAGE("https://images.lululemon.com/is/image/lululemon/LW8AQ1S_0001_1?wid=320&amp;op_usm=0.8",1)</f>
        <v/>
      </c>
      <c r="B88" s="6" t="inlineStr">
        <is>
          <t>lululemon Align™ High-Rise Skirt *Long</t>
        </is>
      </c>
      <c r="C88" s="6" t="inlineStr">
        <is>
          <t>158193590</t>
        </is>
      </c>
      <c r="D88" s="6" t="inlineStr">
        <is>
          <t>158193590-brilliantblue</t>
        </is>
      </c>
      <c r="E88" s="6" t="inlineStr">
        <is>
          <t>lululemon Align™ HR Skirt *Long BLK 2</t>
        </is>
      </c>
      <c r="F88" s="6" t="inlineStr">
        <is>
          <t>$78.00</t>
        </is>
      </c>
      <c r="G88" s="6" t="inlineStr">
        <is>
          <t>$39.00</t>
        </is>
      </c>
      <c r="H88" s="6" t="inlineStr">
        <is>
          <t>Brilliant Blue</t>
        </is>
      </c>
      <c r="I88" s="6">
        <f>IMAGE("https://images.lululemon.com/is/image/lululemon/33190",1)</f>
        <v/>
      </c>
      <c r="J88" s="6" t="inlineStr">
        <is>
          <t>12</t>
        </is>
      </c>
      <c r="K88" s="6" t="inlineStr">
        <is>
          <t>11/7793</t>
        </is>
      </c>
      <c r="L88" s="6" t="inlineStr">
        <is>
          <t>Yes</t>
        </is>
      </c>
      <c r="M88" s="6" t="inlineStr">
        <is>
          <t>Get the buttery-softness of lululemon Align™ in this skirt that has a built-in shorts liner.</t>
        </is>
      </c>
      <c r="N88" s="6" t="inlineStr">
        <is>
          <t>lululemon-Align-High-Rise-Skirt-Long</t>
        </is>
      </c>
      <c r="O88" s="6" t="inlineStr">
        <is>
          <t>Skorts</t>
        </is>
      </c>
    </row>
    <row r="89" ht="80" customHeight="1">
      <c r="A89" s="5">
        <f>IMAGE("https://images.lululemon.com/is/image/lululemon/LU9AY5S_072992_1?wid=320&amp;op_usm=0.8",1)</f>
        <v/>
      </c>
      <c r="B89" s="5" t="inlineStr">
        <is>
          <t>The (Small) Towel</t>
        </is>
      </c>
      <c r="C89" s="5" t="inlineStr">
        <is>
          <t>157743699</t>
        </is>
      </c>
      <c r="D89" s="5" t="inlineStr">
        <is>
          <t>157743699-meadowhazeminigreymulti</t>
        </is>
      </c>
      <c r="E89" s="5" t="inlineStr">
        <is>
          <t>The (Small) Towel MHMG ONE SIZE</t>
        </is>
      </c>
      <c r="F89" s="5" t="inlineStr">
        <is>
          <t>$22.00</t>
        </is>
      </c>
      <c r="G89" s="5" t="inlineStr">
        <is>
          <t>$11.00</t>
        </is>
      </c>
      <c r="H89" s="5" t="inlineStr">
        <is>
          <t>Meadow Haze Mini Grey Multi</t>
        </is>
      </c>
      <c r="I89" s="5">
        <f>IMAGE("https://images.lululemon.com/is/image/lululemon/72992",1)</f>
        <v/>
      </c>
      <c r="J89" s="5" t="inlineStr">
        <is>
          <t>O/S</t>
        </is>
      </c>
      <c r="K89" s="5" t="inlineStr">
        <is>
          <t>170/170</t>
        </is>
      </c>
      <c r="L89" s="5" t="inlineStr">
        <is>
          <t>Yes</t>
        </is>
      </c>
      <c r="M89" s="5" t="inlineStr">
        <is>
          <t>This absorbent microfibre towel likes hot yoga, indoor cycling classes, and the gym. Sounds like you've got a lot in common!</t>
        </is>
      </c>
      <c r="N89" s="5" t="inlineStr">
        <is>
          <t>The-Small-Towel</t>
        </is>
      </c>
      <c r="O89" s="5" t="inlineStr">
        <is>
          <t>Towels</t>
        </is>
      </c>
    </row>
    <row r="90" ht="80" customHeight="1">
      <c r="A90" s="4">
        <f>IMAGE("https://images.lululemon.com/is/image/lululemon/LW9FOPS_0001_1?wid=320&amp;op_usm=0.8",1)</f>
        <v/>
      </c>
      <c r="B90" s="4" t="inlineStr">
        <is>
          <t>Women's Fast and Free Fleece Running Gloves</t>
        </is>
      </c>
      <c r="C90" s="4" t="inlineStr">
        <is>
          <t>154525191</t>
        </is>
      </c>
      <c r="D90" s="4" t="inlineStr">
        <is>
          <t>154525191-black</t>
        </is>
      </c>
      <c r="E90" s="4" t="inlineStr">
        <is>
          <t>Fast and Free Fleece Run Gloves W BLK XS</t>
        </is>
      </c>
      <c r="F90" s="4" t="inlineStr">
        <is>
          <t>$42.00</t>
        </is>
      </c>
      <c r="G90" s="4" t="inlineStr">
        <is>
          <t>$21.00</t>
        </is>
      </c>
      <c r="H90" s="4" t="inlineStr">
        <is>
          <t>Black</t>
        </is>
      </c>
      <c r="I90" s="4">
        <f>IMAGE("https://images.lululemon.com/is/image/lululemon/0001",1)</f>
        <v/>
      </c>
      <c r="J90" s="4" t="inlineStr">
        <is>
          <t>XS</t>
        </is>
      </c>
      <c r="K90" s="4" t="inlineStr">
        <is>
          <t>82/355</t>
        </is>
      </c>
      <c r="L90" s="4" t="inlineStr">
        <is>
          <t>Yes</t>
        </is>
      </c>
      <c r="M90" s="4" t="inlineStr">
        <is>
          <t>Cold hands can take your run off-track. Keep them warm while you clock miles in these fleece gloves made with screen-friendly technology.</t>
        </is>
      </c>
      <c r="N90" s="4" t="inlineStr">
        <is>
          <t>W-Fast-and-Free-Fleece-Run-Gloves</t>
        </is>
      </c>
      <c r="O90" s="4" t="inlineStr"/>
    </row>
    <row r="91" ht="80" customHeight="1">
      <c r="A91" s="7">
        <f>IMAGE("https://images.lululemon.com/is/image/lululemon/LW9FOPS_0001_1?wid=320&amp;op_usm=0.8",1)</f>
        <v/>
      </c>
      <c r="B91" s="7" t="inlineStr">
        <is>
          <t>Women's Fast and Free Fleece Running Gloves</t>
        </is>
      </c>
      <c r="C91" s="7" t="inlineStr">
        <is>
          <t>154525188</t>
        </is>
      </c>
      <c r="D91" s="7" t="inlineStr">
        <is>
          <t>154525188-black</t>
        </is>
      </c>
      <c r="E91" s="7" t="inlineStr">
        <is>
          <t>Fast and Free Fleece Run Gloves W BLK XS</t>
        </is>
      </c>
      <c r="F91" s="7" t="inlineStr">
        <is>
          <t>$42.00</t>
        </is>
      </c>
      <c r="G91" s="7" t="inlineStr">
        <is>
          <t>$21.00</t>
        </is>
      </c>
      <c r="H91" s="7" t="inlineStr">
        <is>
          <t>Black</t>
        </is>
      </c>
      <c r="I91" s="7">
        <f>IMAGE("https://images.lululemon.com/is/image/lululemon/0001",1)</f>
        <v/>
      </c>
      <c r="J91" s="7" t="inlineStr">
        <is>
          <t>S</t>
        </is>
      </c>
      <c r="K91" s="7" t="inlineStr">
        <is>
          <t>69/355</t>
        </is>
      </c>
      <c r="L91" s="7" t="inlineStr">
        <is>
          <t>Yes</t>
        </is>
      </c>
      <c r="M91" s="7" t="inlineStr">
        <is>
          <t>Cold hands can take your run off-track. Keep them warm while you clock miles in these fleece gloves made with screen-friendly technology.</t>
        </is>
      </c>
      <c r="N91" s="7" t="inlineStr">
        <is>
          <t>W-Fast-and-Free-Fleece-Run-Gloves</t>
        </is>
      </c>
      <c r="O91" s="7" t="inlineStr"/>
    </row>
    <row r="92" ht="80" customHeight="1">
      <c r="A92" s="4">
        <f>IMAGE("https://images.lululemon.com/is/image/lululemon/LW9FOPS_0001_1?wid=320&amp;op_usm=0.8",1)</f>
        <v/>
      </c>
      <c r="B92" s="4" t="inlineStr">
        <is>
          <t>Women's Fast and Free Fleece Running Gloves</t>
        </is>
      </c>
      <c r="C92" s="4" t="inlineStr">
        <is>
          <t>154525186</t>
        </is>
      </c>
      <c r="D92" s="4" t="inlineStr">
        <is>
          <t>154525186-black</t>
        </is>
      </c>
      <c r="E92" s="4" t="inlineStr">
        <is>
          <t>Fast and Free Fleece Run Gloves W BLK XS</t>
        </is>
      </c>
      <c r="F92" s="4" t="inlineStr">
        <is>
          <t>$42.00</t>
        </is>
      </c>
      <c r="G92" s="4" t="inlineStr">
        <is>
          <t>$21.00</t>
        </is>
      </c>
      <c r="H92" s="4" t="inlineStr">
        <is>
          <t>Black</t>
        </is>
      </c>
      <c r="I92" s="4">
        <f>IMAGE("https://images.lululemon.com/is/image/lululemon/0001",1)</f>
        <v/>
      </c>
      <c r="J92" s="4" t="inlineStr">
        <is>
          <t>M</t>
        </is>
      </c>
      <c r="K92" s="4" t="inlineStr">
        <is>
          <t>18/355</t>
        </is>
      </c>
      <c r="L92" s="4" t="inlineStr">
        <is>
          <t>Yes</t>
        </is>
      </c>
      <c r="M92" s="4" t="inlineStr">
        <is>
          <t>Cold hands can take your run off-track. Keep them warm while you clock miles in these fleece gloves made with screen-friendly technology.</t>
        </is>
      </c>
      <c r="N92" s="4" t="inlineStr">
        <is>
          <t>W-Fast-and-Free-Fleece-Run-Gloves</t>
        </is>
      </c>
      <c r="O92" s="4" t="inlineStr"/>
    </row>
    <row r="93" ht="80" customHeight="1">
      <c r="A93" s="5">
        <f>IMAGE("https://images.lululemon.com/is/image/lululemon/LW9FOPS_0001_1?wid=320&amp;op_usm=0.8",1)</f>
        <v/>
      </c>
      <c r="B93" s="5" t="inlineStr">
        <is>
          <t>Women's Fast and Free Fleece Running Gloves</t>
        </is>
      </c>
      <c r="C93" s="5" t="inlineStr">
        <is>
          <t>154525185</t>
        </is>
      </c>
      <c r="D93" s="5" t="inlineStr">
        <is>
          <t>154525185-black</t>
        </is>
      </c>
      <c r="E93" s="5" t="inlineStr">
        <is>
          <t>Fast and Free Fleece Run Gloves W BLK XS</t>
        </is>
      </c>
      <c r="F93" s="5" t="inlineStr">
        <is>
          <t>$42.00</t>
        </is>
      </c>
      <c r="G93" s="5" t="inlineStr">
        <is>
          <t>$21.00</t>
        </is>
      </c>
      <c r="H93" s="5" t="inlineStr">
        <is>
          <t>Black</t>
        </is>
      </c>
      <c r="I93" s="5">
        <f>IMAGE("https://images.lululemon.com/is/image/lululemon/0001",1)</f>
        <v/>
      </c>
      <c r="J93" s="5" t="inlineStr">
        <is>
          <t>L</t>
        </is>
      </c>
      <c r="K93" s="5" t="inlineStr">
        <is>
          <t>186/355</t>
        </is>
      </c>
      <c r="L93" s="5" t="inlineStr">
        <is>
          <t>Yes</t>
        </is>
      </c>
      <c r="M93" s="5" t="inlineStr">
        <is>
          <t>Cold hands can take your run off-track. Keep them warm while you clock miles in these fleece gloves made with screen-friendly technology.</t>
        </is>
      </c>
      <c r="N93" s="5" t="inlineStr">
        <is>
          <t>W-Fast-and-Free-Fleece-Run-Gloves</t>
        </is>
      </c>
      <c r="O93" s="5" t="inlineStr"/>
    </row>
    <row r="94" ht="80" customHeight="1">
      <c r="A94" s="6">
        <f>IMAGE("https://images.lululemon.com/is/image/lululemon/LU9B94S_065048_1?wid=320&amp;op_usm=0.8",1)</f>
        <v/>
      </c>
      <c r="B94" s="6" t="inlineStr">
        <is>
          <t>The Foldable Mat 6.5mm</t>
        </is>
      </c>
      <c r="C94" s="6" t="inlineStr">
        <is>
          <t>150350151</t>
        </is>
      </c>
      <c r="D94" s="6" t="inlineStr">
        <is>
          <t>150350151-traversegrey/black</t>
        </is>
      </c>
      <c r="E94" s="6" t="inlineStr">
        <is>
          <t>The Foldable Mat 6.5mm TVSG/BLK ONE SIZE</t>
        </is>
      </c>
      <c r="F94" s="6" t="inlineStr">
        <is>
          <t>$118.00</t>
        </is>
      </c>
      <c r="G94" s="6" t="inlineStr">
        <is>
          <t>$59.00</t>
        </is>
      </c>
      <c r="H94" s="6" t="inlineStr">
        <is>
          <t>Traverse Grey/Black</t>
        </is>
      </c>
      <c r="I94" s="6">
        <f>IMAGE("https://images.lululemon.com/is/image/lululemon/65048",1)</f>
        <v/>
      </c>
      <c r="J94" s="6" t="inlineStr">
        <is>
          <t>O/S</t>
        </is>
      </c>
      <c r="K94" s="6" t="inlineStr">
        <is>
          <t>311/311</t>
        </is>
      </c>
      <c r="L94" s="6" t="inlineStr">
        <is>
          <t>Yes</t>
        </is>
      </c>
      <c r="M94" s="6" t="inlineStr">
        <is>
          <t>Take your practice to new heights. This yoga mat stacks up (or folds down) for a fully personalized practice.</t>
        </is>
      </c>
      <c r="N94" s="6" t="inlineStr">
        <is>
          <t>The-Foldable-Mat</t>
        </is>
      </c>
      <c r="O94" s="6" t="inlineStr"/>
    </row>
    <row r="95" ht="80" customHeight="1">
      <c r="A95" s="7">
        <f>IMAGE("https://images.lululemon.com/is/image/lululemon/LW7CPPS_0001_1?wid=320&amp;op_usm=0.8",1)</f>
        <v/>
      </c>
      <c r="B95" s="7" t="inlineStr">
        <is>
          <t>Fast and Free High-Rise Short 6" *5 Pocket</t>
        </is>
      </c>
      <c r="C95" s="7" t="inlineStr">
        <is>
          <t>146955074</t>
        </is>
      </c>
      <c r="D95" s="7" t="inlineStr">
        <is>
          <t>146955074-black</t>
        </is>
      </c>
      <c r="E95" s="7" t="inlineStr">
        <is>
          <t>Fast and Free HR Short 6" *Pockets BLK 2</t>
        </is>
      </c>
      <c r="F95" s="7" t="inlineStr">
        <is>
          <t>$78.00</t>
        </is>
      </c>
      <c r="G95" s="7" t="inlineStr">
        <is>
          <t>$39.00</t>
        </is>
      </c>
      <c r="H95" s="7" t="inlineStr">
        <is>
          <t>Black</t>
        </is>
      </c>
      <c r="I95" s="7">
        <f>IMAGE("https://images.lululemon.com/is/image/lululemon/0001",1)</f>
        <v/>
      </c>
      <c r="J95" s="7" t="inlineStr">
        <is>
          <t>2</t>
        </is>
      </c>
      <c r="K95" s="7" t="inlineStr">
        <is>
          <t>152/1507</t>
        </is>
      </c>
      <c r="L95" s="7" t="inlineStr">
        <is>
          <t>Yes</t>
        </is>
      </c>
      <c r="M95" s="7" t="inlineStr">
        <is>
          <t>Set your run free. This five-pocket version of our Fast and Free short has seam-free inner thighs and a streamlined waistband to maximize that smooth, weightless feeling.</t>
        </is>
      </c>
      <c r="N95" s="7" t="inlineStr">
        <is>
          <t>Fast-And-Free-HR-Short-6-Inches-5-Pocket</t>
        </is>
      </c>
      <c r="O95" s="7" t="inlineStr">
        <is>
          <t>Athletic Shorts, Biker Shorts</t>
        </is>
      </c>
    </row>
    <row r="96" ht="80" customHeight="1">
      <c r="A96" s="4">
        <f>IMAGE("https://images.lululemon.com/is/image/lululemon/LW7CPPS_0001_1?wid=320&amp;op_usm=0.8",1)</f>
        <v/>
      </c>
      <c r="B96" s="4" t="inlineStr">
        <is>
          <t>Fast and Free High-Rise Short 6" *5 Pocket</t>
        </is>
      </c>
      <c r="C96" s="4" t="inlineStr">
        <is>
          <t>146955098</t>
        </is>
      </c>
      <c r="D96" s="4" t="inlineStr">
        <is>
          <t>146955098-black</t>
        </is>
      </c>
      <c r="E96" s="4" t="inlineStr">
        <is>
          <t>Fast and Free HR Short 6" *Pockets BLK 2</t>
        </is>
      </c>
      <c r="F96" s="4" t="inlineStr">
        <is>
          <t>$78.00</t>
        </is>
      </c>
      <c r="G96" s="4" t="inlineStr">
        <is>
          <t>$39.00</t>
        </is>
      </c>
      <c r="H96" s="4" t="inlineStr">
        <is>
          <t>Black</t>
        </is>
      </c>
      <c r="I96" s="4">
        <f>IMAGE("https://images.lululemon.com/is/image/lululemon/0001",1)</f>
        <v/>
      </c>
      <c r="J96" s="4" t="inlineStr">
        <is>
          <t>4</t>
        </is>
      </c>
      <c r="K96" s="4" t="inlineStr">
        <is>
          <t>293/1507</t>
        </is>
      </c>
      <c r="L96" s="4" t="inlineStr">
        <is>
          <t>Yes</t>
        </is>
      </c>
      <c r="M96" s="4" t="inlineStr">
        <is>
          <t>Set your run free. This five-pocket version of our Fast and Free short has seam-free inner thighs and a streamlined waistband to maximize that smooth, weightless feeling.</t>
        </is>
      </c>
      <c r="N96" s="4" t="inlineStr">
        <is>
          <t>Fast-And-Free-HR-Short-6-Inches-5-Pocket</t>
        </is>
      </c>
      <c r="O96" s="4" t="inlineStr">
        <is>
          <t>Athletic Shorts, Biker Shorts</t>
        </is>
      </c>
    </row>
    <row r="97" ht="80" customHeight="1">
      <c r="A97" s="7">
        <f>IMAGE("https://images.lululemon.com/is/image/lululemon/LW7CPPS_0001_1?wid=320&amp;op_usm=0.8",1)</f>
        <v/>
      </c>
      <c r="B97" s="7" t="inlineStr">
        <is>
          <t>Fast and Free High-Rise Short 6" *5 Pocket</t>
        </is>
      </c>
      <c r="C97" s="7" t="inlineStr">
        <is>
          <t>146955100</t>
        </is>
      </c>
      <c r="D97" s="7" t="inlineStr">
        <is>
          <t>146955100-black</t>
        </is>
      </c>
      <c r="E97" s="7" t="inlineStr">
        <is>
          <t>Fast and Free HR Short 6" *Pockets BLK 2</t>
        </is>
      </c>
      <c r="F97" s="7" t="inlineStr">
        <is>
          <t>$78.00</t>
        </is>
      </c>
      <c r="G97" s="7" t="inlineStr">
        <is>
          <t>$39.00</t>
        </is>
      </c>
      <c r="H97" s="7" t="inlineStr">
        <is>
          <t>Black</t>
        </is>
      </c>
      <c r="I97" s="7">
        <f>IMAGE("https://images.lululemon.com/is/image/lululemon/0001",1)</f>
        <v/>
      </c>
      <c r="J97" s="7" t="inlineStr">
        <is>
          <t>6</t>
        </is>
      </c>
      <c r="K97" s="7" t="inlineStr">
        <is>
          <t>319/1507</t>
        </is>
      </c>
      <c r="L97" s="7" t="inlineStr">
        <is>
          <t>Yes</t>
        </is>
      </c>
      <c r="M97" s="7" t="inlineStr">
        <is>
          <t>Set your run free. This five-pocket version of our Fast and Free short has seam-free inner thighs and a streamlined waistband to maximize that smooth, weightless feeling.</t>
        </is>
      </c>
      <c r="N97" s="7" t="inlineStr">
        <is>
          <t>Fast-And-Free-HR-Short-6-Inches-5-Pocket</t>
        </is>
      </c>
      <c r="O97" s="7" t="inlineStr">
        <is>
          <t>Athletic Shorts, Biker Shorts</t>
        </is>
      </c>
    </row>
    <row r="98" ht="80" customHeight="1">
      <c r="A98" s="4">
        <f>IMAGE("https://images.lululemon.com/is/image/lululemon/LW7CPPS_0001_1?wid=320&amp;op_usm=0.8",1)</f>
        <v/>
      </c>
      <c r="B98" s="4" t="inlineStr">
        <is>
          <t>Fast and Free High-Rise Short 6" *5 Pocket</t>
        </is>
      </c>
      <c r="C98" s="4" t="inlineStr">
        <is>
          <t>146955104</t>
        </is>
      </c>
      <c r="D98" s="4" t="inlineStr">
        <is>
          <t>146955104-black</t>
        </is>
      </c>
      <c r="E98" s="4" t="inlineStr">
        <is>
          <t>Fast and Free HR Short 6" *Pockets BLK 2</t>
        </is>
      </c>
      <c r="F98" s="4" t="inlineStr">
        <is>
          <t>$78.00</t>
        </is>
      </c>
      <c r="G98" s="4" t="inlineStr">
        <is>
          <t>$39.00</t>
        </is>
      </c>
      <c r="H98" s="4" t="inlineStr">
        <is>
          <t>Black</t>
        </is>
      </c>
      <c r="I98" s="4">
        <f>IMAGE("https://images.lululemon.com/is/image/lululemon/0001",1)</f>
        <v/>
      </c>
      <c r="J98" s="4" t="inlineStr">
        <is>
          <t>8</t>
        </is>
      </c>
      <c r="K98" s="4" t="inlineStr">
        <is>
          <t>197/1507</t>
        </is>
      </c>
      <c r="L98" s="4" t="inlineStr">
        <is>
          <t>Yes</t>
        </is>
      </c>
      <c r="M98" s="4" t="inlineStr">
        <is>
          <t>Set your run free. This five-pocket version of our Fast and Free short has seam-free inner thighs and a streamlined waistband to maximize that smooth, weightless feeling.</t>
        </is>
      </c>
      <c r="N98" s="4" t="inlineStr">
        <is>
          <t>Fast-And-Free-HR-Short-6-Inches-5-Pocket</t>
        </is>
      </c>
      <c r="O98" s="4" t="inlineStr">
        <is>
          <t>Athletic Shorts, Biker Shorts</t>
        </is>
      </c>
    </row>
    <row r="99" ht="80" customHeight="1">
      <c r="A99" s="7">
        <f>IMAGE("https://images.lululemon.com/is/image/lululemon/LW7CPPS_0001_1?wid=320&amp;op_usm=0.8",1)</f>
        <v/>
      </c>
      <c r="B99" s="7" t="inlineStr">
        <is>
          <t>Fast and Free High-Rise Short 6" *5 Pocket</t>
        </is>
      </c>
      <c r="C99" s="7" t="inlineStr">
        <is>
          <t>146955052</t>
        </is>
      </c>
      <c r="D99" s="7" t="inlineStr">
        <is>
          <t>146955052-black</t>
        </is>
      </c>
      <c r="E99" s="7" t="inlineStr">
        <is>
          <t>Fast and Free HR Short 6" *Pockets BLK 2</t>
        </is>
      </c>
      <c r="F99" s="7" t="inlineStr">
        <is>
          <t>$78.00</t>
        </is>
      </c>
      <c r="G99" s="7" t="inlineStr">
        <is>
          <t>$39.00</t>
        </is>
      </c>
      <c r="H99" s="7" t="inlineStr">
        <is>
          <t>Black</t>
        </is>
      </c>
      <c r="I99" s="7">
        <f>IMAGE("https://images.lululemon.com/is/image/lululemon/0001",1)</f>
        <v/>
      </c>
      <c r="J99" s="7" t="inlineStr">
        <is>
          <t>10</t>
        </is>
      </c>
      <c r="K99" s="7" t="inlineStr">
        <is>
          <t>92/1507</t>
        </is>
      </c>
      <c r="L99" s="7" t="inlineStr">
        <is>
          <t>Yes</t>
        </is>
      </c>
      <c r="M99" s="7" t="inlineStr">
        <is>
          <t>Set your run free. This five-pocket version of our Fast and Free short has seam-free inner thighs and a streamlined waistband to maximize that smooth, weightless feeling.</t>
        </is>
      </c>
      <c r="N99" s="7" t="inlineStr">
        <is>
          <t>Fast-And-Free-HR-Short-6-Inches-5-Pocket</t>
        </is>
      </c>
      <c r="O99" s="7" t="inlineStr">
        <is>
          <t>Athletic Shorts, Biker Shorts</t>
        </is>
      </c>
    </row>
    <row r="100" ht="80" customHeight="1">
      <c r="A100" s="4">
        <f>IMAGE("https://images.lululemon.com/is/image/lululemon/LW7CPPS_0001_1?wid=320&amp;op_usm=0.8",1)</f>
        <v/>
      </c>
      <c r="B100" s="4" t="inlineStr">
        <is>
          <t>Fast and Free High-Rise Short 6" *5 Pocket</t>
        </is>
      </c>
      <c r="C100" s="4" t="inlineStr">
        <is>
          <t>146955056</t>
        </is>
      </c>
      <c r="D100" s="4" t="inlineStr">
        <is>
          <t>146955056-black</t>
        </is>
      </c>
      <c r="E100" s="4" t="inlineStr">
        <is>
          <t>Fast and Free HR Short 6" *Pockets BLK 2</t>
        </is>
      </c>
      <c r="F100" s="4" t="inlineStr">
        <is>
          <t>$78.00</t>
        </is>
      </c>
      <c r="G100" s="4" t="inlineStr">
        <is>
          <t>$39.00</t>
        </is>
      </c>
      <c r="H100" s="4" t="inlineStr">
        <is>
          <t>Black</t>
        </is>
      </c>
      <c r="I100" s="4">
        <f>IMAGE("https://images.lululemon.com/is/image/lululemon/0001",1)</f>
        <v/>
      </c>
      <c r="J100" s="4" t="inlineStr">
        <is>
          <t>12</t>
        </is>
      </c>
      <c r="K100" s="4" t="inlineStr">
        <is>
          <t>39/1507</t>
        </is>
      </c>
      <c r="L100" s="4" t="inlineStr">
        <is>
          <t>Yes</t>
        </is>
      </c>
      <c r="M100" s="4" t="inlineStr">
        <is>
          <t>Set your run free. This five-pocket version of our Fast and Free short has seam-free inner thighs and a streamlined waistband to maximize that smooth, weightless feeling.</t>
        </is>
      </c>
      <c r="N100" s="4" t="inlineStr">
        <is>
          <t>Fast-And-Free-HR-Short-6-Inches-5-Pocket</t>
        </is>
      </c>
      <c r="O100" s="4" t="inlineStr">
        <is>
          <t>Athletic Shorts, Biker Shorts</t>
        </is>
      </c>
    </row>
    <row r="101" ht="80" customHeight="1">
      <c r="A101" s="7">
        <f>IMAGE("https://images.lululemon.com/is/image/lululemon/LW7CPPS_0001_1?wid=320&amp;op_usm=0.8",1)</f>
        <v/>
      </c>
      <c r="B101" s="7" t="inlineStr">
        <is>
          <t>Fast and Free High-Rise Short 6" *5 Pocket</t>
        </is>
      </c>
      <c r="C101" s="7" t="inlineStr">
        <is>
          <t>146955063</t>
        </is>
      </c>
      <c r="D101" s="7" t="inlineStr">
        <is>
          <t>146955063-black</t>
        </is>
      </c>
      <c r="E101" s="7" t="inlineStr">
        <is>
          <t>Fast and Free HR Short 6" *Pockets BLK 2</t>
        </is>
      </c>
      <c r="F101" s="7" t="inlineStr">
        <is>
          <t>$78.00</t>
        </is>
      </c>
      <c r="G101" s="7" t="inlineStr">
        <is>
          <t>$39.00</t>
        </is>
      </c>
      <c r="H101" s="7" t="inlineStr">
        <is>
          <t>Black</t>
        </is>
      </c>
      <c r="I101" s="7">
        <f>IMAGE("https://images.lululemon.com/is/image/lululemon/0001",1)</f>
        <v/>
      </c>
      <c r="J101" s="7" t="inlineStr">
        <is>
          <t>14</t>
        </is>
      </c>
      <c r="K101" s="7" t="inlineStr">
        <is>
          <t>4/1507</t>
        </is>
      </c>
      <c r="L101" s="7" t="inlineStr">
        <is>
          <t>Yes</t>
        </is>
      </c>
      <c r="M101" s="7" t="inlineStr">
        <is>
          <t>Set your run free. This five-pocket version of our Fast and Free short has seam-free inner thighs and a streamlined waistband to maximize that smooth, weightless feeling.</t>
        </is>
      </c>
      <c r="N101" s="7" t="inlineStr">
        <is>
          <t>Fast-And-Free-HR-Short-6-Inches-5-Pocket</t>
        </is>
      </c>
      <c r="O101" s="7" t="inlineStr">
        <is>
          <t>Athletic Shorts, Biker Shorts</t>
        </is>
      </c>
    </row>
    <row r="102" ht="80" customHeight="1">
      <c r="A102" s="4">
        <f>IMAGE("https://images.lululemon.com/is/image/lululemon/LW7CPPS_0001_1?wid=320&amp;op_usm=0.8",1)</f>
        <v/>
      </c>
      <c r="B102" s="4" t="inlineStr">
        <is>
          <t>Fast and Free High-Rise Short 6" *5 Pocket</t>
        </is>
      </c>
      <c r="C102" s="4" t="inlineStr">
        <is>
          <t>146955209</t>
        </is>
      </c>
      <c r="D102" s="4" t="inlineStr">
        <is>
          <t>146955209-truenavy</t>
        </is>
      </c>
      <c r="E102" s="4" t="inlineStr">
        <is>
          <t>Fast and Free HR Short 6" *Pockets BLK 2</t>
        </is>
      </c>
      <c r="F102" s="4" t="inlineStr">
        <is>
          <t>$78.00</t>
        </is>
      </c>
      <c r="G102" s="4" t="inlineStr">
        <is>
          <t>$39.00</t>
        </is>
      </c>
      <c r="H102" s="4" t="inlineStr">
        <is>
          <t>True Navy</t>
        </is>
      </c>
      <c r="I102" s="4">
        <f>IMAGE("https://images.lululemon.com/is/image/lululemon/31382",1)</f>
        <v/>
      </c>
      <c r="J102" s="4" t="inlineStr">
        <is>
          <t>2</t>
        </is>
      </c>
      <c r="K102" s="4" t="inlineStr">
        <is>
          <t>115/1507</t>
        </is>
      </c>
      <c r="L102" s="4" t="inlineStr">
        <is>
          <t>Yes</t>
        </is>
      </c>
      <c r="M102" s="4" t="inlineStr">
        <is>
          <t>Set your run free. This five-pocket version of our Fast and Free short has seam-free inner thighs and a streamlined waistband to maximize that smooth, weightless feeling.</t>
        </is>
      </c>
      <c r="N102" s="4" t="inlineStr">
        <is>
          <t>Fast-And-Free-HR-Short-6-Inches-5-Pocket</t>
        </is>
      </c>
      <c r="O102" s="4" t="inlineStr">
        <is>
          <t>Athletic Shorts, Biker Shorts</t>
        </is>
      </c>
    </row>
    <row r="103" ht="80" customHeight="1">
      <c r="A103" s="7">
        <f>IMAGE("https://images.lululemon.com/is/image/lululemon/LW7CPPS_0001_1?wid=320&amp;op_usm=0.8",1)</f>
        <v/>
      </c>
      <c r="B103" s="7" t="inlineStr">
        <is>
          <t>Fast and Free High-Rise Short 6" *5 Pocket</t>
        </is>
      </c>
      <c r="C103" s="7" t="inlineStr">
        <is>
          <t>146955233</t>
        </is>
      </c>
      <c r="D103" s="7" t="inlineStr">
        <is>
          <t>146955233-truenavy</t>
        </is>
      </c>
      <c r="E103" s="7" t="inlineStr">
        <is>
          <t>Fast and Free HR Short 6" *Pockets BLK 2</t>
        </is>
      </c>
      <c r="F103" s="7" t="inlineStr">
        <is>
          <t>$78.00</t>
        </is>
      </c>
      <c r="G103" s="7" t="inlineStr">
        <is>
          <t>$39.00</t>
        </is>
      </c>
      <c r="H103" s="7" t="inlineStr">
        <is>
          <t>True Navy</t>
        </is>
      </c>
      <c r="I103" s="7">
        <f>IMAGE("https://images.lululemon.com/is/image/lululemon/31382",1)</f>
        <v/>
      </c>
      <c r="J103" s="7" t="inlineStr">
        <is>
          <t>6</t>
        </is>
      </c>
      <c r="K103" s="7" t="inlineStr">
        <is>
          <t>95/1507</t>
        </is>
      </c>
      <c r="L103" s="7" t="inlineStr">
        <is>
          <t>Yes</t>
        </is>
      </c>
      <c r="M103" s="7" t="inlineStr">
        <is>
          <t>Set your run free. This five-pocket version of our Fast and Free short has seam-free inner thighs and a streamlined waistband to maximize that smooth, weightless feeling.</t>
        </is>
      </c>
      <c r="N103" s="7" t="inlineStr">
        <is>
          <t>Fast-And-Free-HR-Short-6-Inches-5-Pocket</t>
        </is>
      </c>
      <c r="O103" s="7" t="inlineStr">
        <is>
          <t>Athletic Shorts, Biker Shorts</t>
        </is>
      </c>
    </row>
    <row r="104" ht="80" customHeight="1">
      <c r="A104" s="4">
        <f>IMAGE("https://images.lululemon.com/is/image/lululemon/LW7CPPS_0001_1?wid=320&amp;op_usm=0.8",1)</f>
        <v/>
      </c>
      <c r="B104" s="4" t="inlineStr">
        <is>
          <t>Fast and Free High-Rise Short 6" *5 Pocket</t>
        </is>
      </c>
      <c r="C104" s="4" t="inlineStr">
        <is>
          <t>146955237</t>
        </is>
      </c>
      <c r="D104" s="4" t="inlineStr">
        <is>
          <t>146955237-truenavy</t>
        </is>
      </c>
      <c r="E104" s="4" t="inlineStr">
        <is>
          <t>Fast and Free HR Short 6" *Pockets BLK 2</t>
        </is>
      </c>
      <c r="F104" s="4" t="inlineStr">
        <is>
          <t>$78.00</t>
        </is>
      </c>
      <c r="G104" s="4" t="inlineStr">
        <is>
          <t>$39.00</t>
        </is>
      </c>
      <c r="H104" s="4" t="inlineStr">
        <is>
          <t>True Navy</t>
        </is>
      </c>
      <c r="I104" s="4">
        <f>IMAGE("https://images.lululemon.com/is/image/lululemon/31382",1)</f>
        <v/>
      </c>
      <c r="J104" s="4" t="inlineStr">
        <is>
          <t>8</t>
        </is>
      </c>
      <c r="K104" s="4" t="inlineStr">
        <is>
          <t>49/1507</t>
        </is>
      </c>
      <c r="L104" s="4" t="inlineStr">
        <is>
          <t>Yes</t>
        </is>
      </c>
      <c r="M104" s="4" t="inlineStr">
        <is>
          <t>Set your run free. This five-pocket version of our Fast and Free short has seam-free inner thighs and a streamlined waistband to maximize that smooth, weightless feeling.</t>
        </is>
      </c>
      <c r="N104" s="4" t="inlineStr">
        <is>
          <t>Fast-And-Free-HR-Short-6-Inches-5-Pocket</t>
        </is>
      </c>
      <c r="O104" s="4" t="inlineStr">
        <is>
          <t>Athletic Shorts, Biker Shorts</t>
        </is>
      </c>
    </row>
    <row r="105" ht="80" customHeight="1">
      <c r="A105" s="7">
        <f>IMAGE("https://images.lululemon.com/is/image/lululemon/LW7CPPS_0001_1?wid=320&amp;op_usm=0.8",1)</f>
        <v/>
      </c>
      <c r="B105" s="7" t="inlineStr">
        <is>
          <t>Fast and Free High-Rise Short 6" *5 Pocket</t>
        </is>
      </c>
      <c r="C105" s="7" t="inlineStr">
        <is>
          <t>146955185</t>
        </is>
      </c>
      <c r="D105" s="7" t="inlineStr">
        <is>
          <t>146955185-truenavy</t>
        </is>
      </c>
      <c r="E105" s="7" t="inlineStr">
        <is>
          <t>Fast and Free HR Short 6" *Pockets BLK 2</t>
        </is>
      </c>
      <c r="F105" s="7" t="inlineStr">
        <is>
          <t>$78.00</t>
        </is>
      </c>
      <c r="G105" s="7" t="inlineStr">
        <is>
          <t>$39.00</t>
        </is>
      </c>
      <c r="H105" s="7" t="inlineStr">
        <is>
          <t>True Navy</t>
        </is>
      </c>
      <c r="I105" s="7">
        <f>IMAGE("https://images.lululemon.com/is/image/lululemon/31382",1)</f>
        <v/>
      </c>
      <c r="J105" s="7" t="inlineStr">
        <is>
          <t>10</t>
        </is>
      </c>
      <c r="K105" s="7" t="inlineStr">
        <is>
          <t>23/1507</t>
        </is>
      </c>
      <c r="L105" s="7" t="inlineStr">
        <is>
          <t>Yes</t>
        </is>
      </c>
      <c r="M105" s="7" t="inlineStr">
        <is>
          <t>Set your run free. This five-pocket version of our Fast and Free short has seam-free inner thighs and a streamlined waistband to maximize that smooth, weightless feeling.</t>
        </is>
      </c>
      <c r="N105" s="7" t="inlineStr">
        <is>
          <t>Fast-And-Free-HR-Short-6-Inches-5-Pocket</t>
        </is>
      </c>
      <c r="O105" s="7" t="inlineStr">
        <is>
          <t>Athletic Shorts, Biker Shorts</t>
        </is>
      </c>
    </row>
    <row r="106" ht="80" customHeight="1">
      <c r="A106" s="4">
        <f>IMAGE("https://images.lululemon.com/is/image/lululemon/LW7CPPS_0001_1?wid=320&amp;op_usm=0.8",1)</f>
        <v/>
      </c>
      <c r="B106" s="4" t="inlineStr">
        <is>
          <t>Fast and Free High-Rise Short 6" *5 Pocket</t>
        </is>
      </c>
      <c r="C106" s="4" t="inlineStr">
        <is>
          <t>146955191</t>
        </is>
      </c>
      <c r="D106" s="4" t="inlineStr">
        <is>
          <t>146955191-truenavy</t>
        </is>
      </c>
      <c r="E106" s="4" t="inlineStr">
        <is>
          <t>Fast and Free HR Short 6" *Pockets BLK 2</t>
        </is>
      </c>
      <c r="F106" s="4" t="inlineStr">
        <is>
          <t>$78.00</t>
        </is>
      </c>
      <c r="G106" s="4" t="inlineStr">
        <is>
          <t>$39.00</t>
        </is>
      </c>
      <c r="H106" s="4" t="inlineStr">
        <is>
          <t>True Navy</t>
        </is>
      </c>
      <c r="I106" s="4">
        <f>IMAGE("https://images.lululemon.com/is/image/lululemon/31382",1)</f>
        <v/>
      </c>
      <c r="J106" s="4" t="inlineStr">
        <is>
          <t>12</t>
        </is>
      </c>
      <c r="K106" s="4" t="inlineStr">
        <is>
          <t>25/1507</t>
        </is>
      </c>
      <c r="L106" s="4" t="inlineStr">
        <is>
          <t>Yes</t>
        </is>
      </c>
      <c r="M106" s="4" t="inlineStr">
        <is>
          <t>Set your run free. This five-pocket version of our Fast and Free short has seam-free inner thighs and a streamlined waistband to maximize that smooth, weightless feeling.</t>
        </is>
      </c>
      <c r="N106" s="4" t="inlineStr">
        <is>
          <t>Fast-And-Free-HR-Short-6-Inches-5-Pocket</t>
        </is>
      </c>
      <c r="O106" s="4" t="inlineStr">
        <is>
          <t>Athletic Shorts, Biker Shorts</t>
        </is>
      </c>
    </row>
    <row r="107" ht="80" customHeight="1">
      <c r="A107" s="7">
        <f>IMAGE("https://images.lululemon.com/is/image/lululemon/LW7CPPS_0001_1?wid=320&amp;op_usm=0.8",1)</f>
        <v/>
      </c>
      <c r="B107" s="7" t="inlineStr">
        <is>
          <t>Fast and Free High-Rise Short 6" *5 Pocket</t>
        </is>
      </c>
      <c r="C107" s="7" t="inlineStr">
        <is>
          <t>158027143</t>
        </is>
      </c>
      <c r="D107" s="7" t="inlineStr">
        <is>
          <t>158027143-indochineblue</t>
        </is>
      </c>
      <c r="E107" s="7" t="inlineStr">
        <is>
          <t>Fast and Free HR Short 6" *Pockets BLK 2</t>
        </is>
      </c>
      <c r="F107" s="7" t="inlineStr">
        <is>
          <t>$78.00</t>
        </is>
      </c>
      <c r="G107" s="7" t="inlineStr">
        <is>
          <t>$39.00</t>
        </is>
      </c>
      <c r="H107" s="7" t="inlineStr">
        <is>
          <t>Indochine Blue</t>
        </is>
      </c>
      <c r="I107" s="7">
        <f>IMAGE("https://images.lululemon.com/is/image/lululemon/28022",1)</f>
        <v/>
      </c>
      <c r="J107" s="7" t="inlineStr">
        <is>
          <t>2</t>
        </is>
      </c>
      <c r="K107" s="7" t="inlineStr">
        <is>
          <t>9/1507</t>
        </is>
      </c>
      <c r="L107" s="7" t="inlineStr">
        <is>
          <t>Yes</t>
        </is>
      </c>
      <c r="M107" s="7" t="inlineStr">
        <is>
          <t>Set your run free. This five-pocket version of our Fast and Free short has seam-free inner thighs and a streamlined waistband to maximize that smooth, weightless feeling.</t>
        </is>
      </c>
      <c r="N107" s="7" t="inlineStr">
        <is>
          <t>Fast-And-Free-HR-Short-6-Inches-5-Pocket</t>
        </is>
      </c>
      <c r="O107" s="7" t="inlineStr">
        <is>
          <t>Athletic Shorts, Biker Shorts</t>
        </is>
      </c>
    </row>
    <row r="108" ht="80" customHeight="1">
      <c r="A108" s="4">
        <f>IMAGE("https://images.lululemon.com/is/image/lululemon/LW7CPPS_0001_1?wid=320&amp;op_usm=0.8",1)</f>
        <v/>
      </c>
      <c r="B108" s="4" t="inlineStr">
        <is>
          <t>Fast and Free High-Rise Short 6" *5 Pocket</t>
        </is>
      </c>
      <c r="C108" s="4" t="inlineStr">
        <is>
          <t>158027163</t>
        </is>
      </c>
      <c r="D108" s="4" t="inlineStr">
        <is>
          <t>158027163-indochineblue</t>
        </is>
      </c>
      <c r="E108" s="4" t="inlineStr">
        <is>
          <t>Fast and Free HR Short 6" *Pockets BLK 2</t>
        </is>
      </c>
      <c r="F108" s="4" t="inlineStr">
        <is>
          <t>$78.00</t>
        </is>
      </c>
      <c r="G108" s="4" t="inlineStr">
        <is>
          <t>$39.00</t>
        </is>
      </c>
      <c r="H108" s="4" t="inlineStr">
        <is>
          <t>Indochine Blue</t>
        </is>
      </c>
      <c r="I108" s="4">
        <f>IMAGE("https://images.lululemon.com/is/image/lululemon/28022",1)</f>
        <v/>
      </c>
      <c r="J108" s="4" t="inlineStr">
        <is>
          <t>4</t>
        </is>
      </c>
      <c r="K108" s="4" t="inlineStr">
        <is>
          <t>6/1507</t>
        </is>
      </c>
      <c r="L108" s="4" t="inlineStr">
        <is>
          <t>Yes</t>
        </is>
      </c>
      <c r="M108" s="4" t="inlineStr">
        <is>
          <t>Set your run free. This five-pocket version of our Fast and Free short has seam-free inner thighs and a streamlined waistband to maximize that smooth, weightless feeling.</t>
        </is>
      </c>
      <c r="N108" s="4" t="inlineStr">
        <is>
          <t>Fast-And-Free-HR-Short-6-Inches-5-Pocket</t>
        </is>
      </c>
      <c r="O108" s="4" t="inlineStr">
        <is>
          <t>Athletic Shorts, Biker Shorts</t>
        </is>
      </c>
    </row>
    <row r="109" ht="80" customHeight="1">
      <c r="A109" s="7">
        <f>IMAGE("https://images.lululemon.com/is/image/lululemon/LW7CPPS_0001_1?wid=320&amp;op_usm=0.8",1)</f>
        <v/>
      </c>
      <c r="B109" s="7" t="inlineStr">
        <is>
          <t>Fast and Free High-Rise Short 6" *5 Pocket</t>
        </is>
      </c>
      <c r="C109" s="7" t="inlineStr">
        <is>
          <t>158027198</t>
        </is>
      </c>
      <c r="D109" s="7" t="inlineStr">
        <is>
          <t>158027198-indochineblue</t>
        </is>
      </c>
      <c r="E109" s="7" t="inlineStr">
        <is>
          <t>Fast and Free HR Short 6" *Pockets BLK 2</t>
        </is>
      </c>
      <c r="F109" s="7" t="inlineStr">
        <is>
          <t>$78.00</t>
        </is>
      </c>
      <c r="G109" s="7" t="inlineStr">
        <is>
          <t>$39.00</t>
        </is>
      </c>
      <c r="H109" s="7" t="inlineStr">
        <is>
          <t>Indochine Blue</t>
        </is>
      </c>
      <c r="I109" s="7">
        <f>IMAGE("https://images.lululemon.com/is/image/lululemon/28022",1)</f>
        <v/>
      </c>
      <c r="J109" s="7" t="inlineStr">
        <is>
          <t>8</t>
        </is>
      </c>
      <c r="K109" s="7" t="inlineStr">
        <is>
          <t>1/1507</t>
        </is>
      </c>
      <c r="L109" s="7" t="inlineStr">
        <is>
          <t>Yes</t>
        </is>
      </c>
      <c r="M109" s="7" t="inlineStr">
        <is>
          <t>Set your run free. This five-pocket version of our Fast and Free short has seam-free inner thighs and a streamlined waistband to maximize that smooth, weightless feeling.</t>
        </is>
      </c>
      <c r="N109" s="7" t="inlineStr">
        <is>
          <t>Fast-And-Free-HR-Short-6-Inches-5-Pocket</t>
        </is>
      </c>
      <c r="O109" s="7" t="inlineStr">
        <is>
          <t>Athletic Shorts, Biker Shorts</t>
        </is>
      </c>
    </row>
    <row r="110" ht="80" customHeight="1">
      <c r="A110" s="4">
        <f>IMAGE("https://images.lululemon.com/is/image/lululemon/LW7CPPS_0001_1?wid=320&amp;op_usm=0.8",1)</f>
        <v/>
      </c>
      <c r="B110" s="4" t="inlineStr">
        <is>
          <t>Fast and Free High-Rise Short 6" *5 Pocket</t>
        </is>
      </c>
      <c r="C110" s="4" t="inlineStr">
        <is>
          <t>158027108</t>
        </is>
      </c>
      <c r="D110" s="4" t="inlineStr">
        <is>
          <t>158027108-indochineblue</t>
        </is>
      </c>
      <c r="E110" s="4" t="inlineStr">
        <is>
          <t>Fast and Free HR Short 6" *Pockets BLK 2</t>
        </is>
      </c>
      <c r="F110" s="4" t="inlineStr">
        <is>
          <t>$78.00</t>
        </is>
      </c>
      <c r="G110" s="4" t="inlineStr">
        <is>
          <t>$39.00</t>
        </is>
      </c>
      <c r="H110" s="4" t="inlineStr">
        <is>
          <t>Indochine Blue</t>
        </is>
      </c>
      <c r="I110" s="4">
        <f>IMAGE("https://images.lululemon.com/is/image/lululemon/28022",1)</f>
        <v/>
      </c>
      <c r="J110" s="4" t="inlineStr">
        <is>
          <t>12</t>
        </is>
      </c>
      <c r="K110" s="4" t="inlineStr">
        <is>
          <t>1/1507</t>
        </is>
      </c>
      <c r="L110" s="4" t="inlineStr">
        <is>
          <t>Yes</t>
        </is>
      </c>
      <c r="M110" s="4" t="inlineStr">
        <is>
          <t>Set your run free. This five-pocket version of our Fast and Free short has seam-free inner thighs and a streamlined waistband to maximize that smooth, weightless feeling.</t>
        </is>
      </c>
      <c r="N110" s="4" t="inlineStr">
        <is>
          <t>Fast-And-Free-HR-Short-6-Inches-5-Pocket</t>
        </is>
      </c>
      <c r="O110" s="4" t="inlineStr">
        <is>
          <t>Athletic Shorts, Biker Shorts</t>
        </is>
      </c>
    </row>
    <row r="111" ht="80" customHeight="1">
      <c r="A111" s="7">
        <f>IMAGE("https://images.lululemon.com/is/image/lululemon/LW7CPPS_0001_1?wid=320&amp;op_usm=0.8",1)</f>
        <v/>
      </c>
      <c r="B111" s="7" t="inlineStr">
        <is>
          <t>Fast and Free High-Rise Short 6" *5 Pocket</t>
        </is>
      </c>
      <c r="C111" s="7" t="inlineStr">
        <is>
          <t>158027438</t>
        </is>
      </c>
      <c r="D111" s="7" t="inlineStr">
        <is>
          <t>158027438-atmosphericpurple</t>
        </is>
      </c>
      <c r="E111" s="7" t="inlineStr">
        <is>
          <t>Fast and Free HR Short 6" *Pockets BLK 2</t>
        </is>
      </c>
      <c r="F111" s="7" t="inlineStr">
        <is>
          <t>$78.00</t>
        </is>
      </c>
      <c r="G111" s="7" t="inlineStr">
        <is>
          <t>$39.00</t>
        </is>
      </c>
      <c r="H111" s="7" t="inlineStr">
        <is>
          <t>ATMOSPHERIC PURPLE</t>
        </is>
      </c>
      <c r="I111" s="7">
        <f>IMAGE("https://images.lululemon.com/is/image/lululemon/63787",1)</f>
        <v/>
      </c>
      <c r="J111" s="7" t="inlineStr">
        <is>
          <t>2</t>
        </is>
      </c>
      <c r="K111" s="7" t="inlineStr">
        <is>
          <t>13/1507</t>
        </is>
      </c>
      <c r="L111" s="7" t="inlineStr">
        <is>
          <t>Yes</t>
        </is>
      </c>
      <c r="M111" s="7" t="inlineStr">
        <is>
          <t>Set your run free. This five-pocket version of our Fast and Free short has seam-free inner thighs and a streamlined waistband to maximize that smooth, weightless feeling.</t>
        </is>
      </c>
      <c r="N111" s="7" t="inlineStr">
        <is>
          <t>Fast-And-Free-HR-Short-6-Inches-5-Pocket</t>
        </is>
      </c>
      <c r="O111" s="7" t="inlineStr">
        <is>
          <t>Athletic Shorts, Biker Shorts</t>
        </is>
      </c>
    </row>
    <row r="112" ht="80" customHeight="1">
      <c r="A112" s="4">
        <f>IMAGE("https://images.lululemon.com/is/image/lululemon/LW7CPPS_0001_1?wid=320&amp;op_usm=0.8",1)</f>
        <v/>
      </c>
      <c r="B112" s="4" t="inlineStr">
        <is>
          <t>Fast and Free High-Rise Short 6" *5 Pocket</t>
        </is>
      </c>
      <c r="C112" s="4" t="inlineStr">
        <is>
          <t>158027454</t>
        </is>
      </c>
      <c r="D112" s="4" t="inlineStr">
        <is>
          <t>158027454-atmosphericpurple</t>
        </is>
      </c>
      <c r="E112" s="4" t="inlineStr">
        <is>
          <t>Fast and Free HR Short 6" *Pockets BLK 2</t>
        </is>
      </c>
      <c r="F112" s="4" t="inlineStr">
        <is>
          <t>$78.00</t>
        </is>
      </c>
      <c r="G112" s="4" t="inlineStr">
        <is>
          <t>$39.00</t>
        </is>
      </c>
      <c r="H112" s="4" t="inlineStr">
        <is>
          <t>ATMOSPHERIC PURPLE</t>
        </is>
      </c>
      <c r="I112" s="4">
        <f>IMAGE("https://images.lululemon.com/is/image/lululemon/63787",1)</f>
        <v/>
      </c>
      <c r="J112" s="4" t="inlineStr">
        <is>
          <t>4</t>
        </is>
      </c>
      <c r="K112" s="4" t="inlineStr">
        <is>
          <t>21/1507</t>
        </is>
      </c>
      <c r="L112" s="4" t="inlineStr">
        <is>
          <t>Yes</t>
        </is>
      </c>
      <c r="M112" s="4" t="inlineStr">
        <is>
          <t>Set your run free. This five-pocket version of our Fast and Free short has seam-free inner thighs and a streamlined waistband to maximize that smooth, weightless feeling.</t>
        </is>
      </c>
      <c r="N112" s="4" t="inlineStr">
        <is>
          <t>Fast-And-Free-HR-Short-6-Inches-5-Pocket</t>
        </is>
      </c>
      <c r="O112" s="4" t="inlineStr">
        <is>
          <t>Athletic Shorts, Biker Shorts</t>
        </is>
      </c>
    </row>
    <row r="113" ht="80" customHeight="1">
      <c r="A113" s="7">
        <f>IMAGE("https://images.lululemon.com/is/image/lululemon/LW7CPPS_0001_1?wid=320&amp;op_usm=0.8",1)</f>
        <v/>
      </c>
      <c r="B113" s="7" t="inlineStr">
        <is>
          <t>Fast and Free High-Rise Short 6" *5 Pocket</t>
        </is>
      </c>
      <c r="C113" s="7" t="inlineStr">
        <is>
          <t>158027471</t>
        </is>
      </c>
      <c r="D113" s="7" t="inlineStr">
        <is>
          <t>158027471-atmosphericpurple</t>
        </is>
      </c>
      <c r="E113" s="7" t="inlineStr">
        <is>
          <t>Fast and Free HR Short 6" *Pockets BLK 2</t>
        </is>
      </c>
      <c r="F113" s="7" t="inlineStr">
        <is>
          <t>$78.00</t>
        </is>
      </c>
      <c r="G113" s="7" t="inlineStr">
        <is>
          <t>$39.00</t>
        </is>
      </c>
      <c r="H113" s="7" t="inlineStr">
        <is>
          <t>ATMOSPHERIC PURPLE</t>
        </is>
      </c>
      <c r="I113" s="7">
        <f>IMAGE("https://images.lululemon.com/is/image/lululemon/63787",1)</f>
        <v/>
      </c>
      <c r="J113" s="7" t="inlineStr">
        <is>
          <t>6</t>
        </is>
      </c>
      <c r="K113" s="7" t="inlineStr">
        <is>
          <t>23/1507</t>
        </is>
      </c>
      <c r="L113" s="7" t="inlineStr">
        <is>
          <t>Yes</t>
        </is>
      </c>
      <c r="M113" s="7" t="inlineStr">
        <is>
          <t>Set your run free. This five-pocket version of our Fast and Free short has seam-free inner thighs and a streamlined waistband to maximize that smooth, weightless feeling.</t>
        </is>
      </c>
      <c r="N113" s="7" t="inlineStr">
        <is>
          <t>Fast-And-Free-HR-Short-6-Inches-5-Pocket</t>
        </is>
      </c>
      <c r="O113" s="7" t="inlineStr">
        <is>
          <t>Athletic Shorts, Biker Shorts</t>
        </is>
      </c>
    </row>
    <row r="114" ht="80" customHeight="1">
      <c r="A114" s="4">
        <f>IMAGE("https://images.lululemon.com/is/image/lululemon/LW7CPPS_0001_1?wid=320&amp;op_usm=0.8",1)</f>
        <v/>
      </c>
      <c r="B114" s="4" t="inlineStr">
        <is>
          <t>Fast and Free High-Rise Short 6" *5 Pocket</t>
        </is>
      </c>
      <c r="C114" s="4" t="inlineStr">
        <is>
          <t>158027491</t>
        </is>
      </c>
      <c r="D114" s="4" t="inlineStr">
        <is>
          <t>158027491-atmosphericpurple</t>
        </is>
      </c>
      <c r="E114" s="4" t="inlineStr">
        <is>
          <t>Fast and Free HR Short 6" *Pockets BLK 2</t>
        </is>
      </c>
      <c r="F114" s="4" t="inlineStr">
        <is>
          <t>$78.00</t>
        </is>
      </c>
      <c r="G114" s="4" t="inlineStr">
        <is>
          <t>$39.00</t>
        </is>
      </c>
      <c r="H114" s="4" t="inlineStr">
        <is>
          <t>ATMOSPHERIC PURPLE</t>
        </is>
      </c>
      <c r="I114" s="4">
        <f>IMAGE("https://images.lululemon.com/is/image/lululemon/63787",1)</f>
        <v/>
      </c>
      <c r="J114" s="4" t="inlineStr">
        <is>
          <t>8</t>
        </is>
      </c>
      <c r="K114" s="4" t="inlineStr">
        <is>
          <t>17/1507</t>
        </is>
      </c>
      <c r="L114" s="4" t="inlineStr">
        <is>
          <t>Yes</t>
        </is>
      </c>
      <c r="M114" s="4" t="inlineStr">
        <is>
          <t>Set your run free. This five-pocket version of our Fast and Free short has seam-free inner thighs and a streamlined waistband to maximize that smooth, weightless feeling.</t>
        </is>
      </c>
      <c r="N114" s="4" t="inlineStr">
        <is>
          <t>Fast-And-Free-HR-Short-6-Inches-5-Pocket</t>
        </is>
      </c>
      <c r="O114" s="4" t="inlineStr">
        <is>
          <t>Athletic Shorts, Biker Shorts</t>
        </is>
      </c>
    </row>
    <row r="115" ht="80" customHeight="1">
      <c r="A115" s="7">
        <f>IMAGE("https://images.lululemon.com/is/image/lululemon/LW7CPPS_0001_1?wid=320&amp;op_usm=0.8",1)</f>
        <v/>
      </c>
      <c r="B115" s="7" t="inlineStr">
        <is>
          <t>Fast and Free High-Rise Short 6" *5 Pocket</t>
        </is>
      </c>
      <c r="C115" s="7" t="inlineStr">
        <is>
          <t>158027363</t>
        </is>
      </c>
      <c r="D115" s="7" t="inlineStr">
        <is>
          <t>158027363-atmosphericpurple</t>
        </is>
      </c>
      <c r="E115" s="7" t="inlineStr">
        <is>
          <t>Fast and Free HR Short 6" *Pockets BLK 2</t>
        </is>
      </c>
      <c r="F115" s="7" t="inlineStr">
        <is>
          <t>$78.00</t>
        </is>
      </c>
      <c r="G115" s="7" t="inlineStr">
        <is>
          <t>$39.00</t>
        </is>
      </c>
      <c r="H115" s="7" t="inlineStr">
        <is>
          <t>ATMOSPHERIC PURPLE</t>
        </is>
      </c>
      <c r="I115" s="7">
        <f>IMAGE("https://images.lululemon.com/is/image/lululemon/63787",1)</f>
        <v/>
      </c>
      <c r="J115" s="7" t="inlineStr">
        <is>
          <t>10</t>
        </is>
      </c>
      <c r="K115" s="7" t="inlineStr">
        <is>
          <t>10/1507</t>
        </is>
      </c>
      <c r="L115" s="7" t="inlineStr">
        <is>
          <t>Yes</t>
        </is>
      </c>
      <c r="M115" s="7" t="inlineStr">
        <is>
          <t>Set your run free. This five-pocket version of our Fast and Free short has seam-free inner thighs and a streamlined waistband to maximize that smooth, weightless feeling.</t>
        </is>
      </c>
      <c r="N115" s="7" t="inlineStr">
        <is>
          <t>Fast-And-Free-HR-Short-6-Inches-5-Pocket</t>
        </is>
      </c>
      <c r="O115" s="7" t="inlineStr">
        <is>
          <t>Athletic Shorts, Biker Shorts</t>
        </is>
      </c>
    </row>
    <row r="116" ht="80" customHeight="1">
      <c r="A116" s="6">
        <f>IMAGE("https://images.lululemon.com/is/image/lululemon/LW7CPPS_0001_1?wid=320&amp;op_usm=0.8",1)</f>
        <v/>
      </c>
      <c r="B116" s="6" t="inlineStr">
        <is>
          <t>Fast and Free High-Rise Short 6" *5 Pocket</t>
        </is>
      </c>
      <c r="C116" s="6" t="inlineStr">
        <is>
          <t>158027375</t>
        </is>
      </c>
      <c r="D116" s="6" t="inlineStr">
        <is>
          <t>158027375-atmosphericpurple</t>
        </is>
      </c>
      <c r="E116" s="6" t="inlineStr">
        <is>
          <t>Fast and Free HR Short 6" *Pockets BLK 2</t>
        </is>
      </c>
      <c r="F116" s="6" t="inlineStr">
        <is>
          <t>$78.00</t>
        </is>
      </c>
      <c r="G116" s="6" t="inlineStr">
        <is>
          <t>$39.00</t>
        </is>
      </c>
      <c r="H116" s="6" t="inlineStr">
        <is>
          <t>ATMOSPHERIC PURPLE</t>
        </is>
      </c>
      <c r="I116" s="6">
        <f>IMAGE("https://images.lululemon.com/is/image/lululemon/63787",1)</f>
        <v/>
      </c>
      <c r="J116" s="6" t="inlineStr">
        <is>
          <t>12</t>
        </is>
      </c>
      <c r="K116" s="6" t="inlineStr">
        <is>
          <t>3/1507</t>
        </is>
      </c>
      <c r="L116" s="6" t="inlineStr">
        <is>
          <t>Yes</t>
        </is>
      </c>
      <c r="M116" s="6" t="inlineStr">
        <is>
          <t>Set your run free. This five-pocket version of our Fast and Free short has seam-free inner thighs and a streamlined waistband to maximize that smooth, weightless feeling.</t>
        </is>
      </c>
      <c r="N116" s="6" t="inlineStr">
        <is>
          <t>Fast-And-Free-HR-Short-6-Inches-5-Pocket</t>
        </is>
      </c>
      <c r="O116" s="6" t="inlineStr">
        <is>
          <t>Athletic Shorts, Biker Shorts</t>
        </is>
      </c>
    </row>
    <row r="117" ht="80" customHeight="1">
      <c r="A117" s="7">
        <f>IMAGE("https://images.lululemon.com/is/image/lululemon/LW3HFRS_034697_1?wid=320&amp;op_usm=0.8",1)</f>
        <v/>
      </c>
      <c r="B117" s="7" t="inlineStr">
        <is>
          <t>Waffle-Knit Funnel-Neck Long-Sleeve Shirt</t>
        </is>
      </c>
      <c r="C117" s="7" t="inlineStr">
        <is>
          <t>158118759</t>
        </is>
      </c>
      <c r="D117" s="7" t="inlineStr">
        <is>
          <t>158118759-blackplum</t>
        </is>
      </c>
      <c r="E117" s="7" t="inlineStr">
        <is>
          <t>Waffle-Knit Funnel-Neck Long Sleeve BLPM 2</t>
        </is>
      </c>
      <c r="F117" s="7" t="inlineStr">
        <is>
          <t>$128.00</t>
        </is>
      </c>
      <c r="G117" s="7" t="inlineStr">
        <is>
          <t>$64.00</t>
        </is>
      </c>
      <c r="H117" s="7" t="inlineStr">
        <is>
          <t>Black Plum</t>
        </is>
      </c>
      <c r="I117" s="7">
        <f>IMAGE("https://images.lululemon.com/is/image/lululemon/34697",1)</f>
        <v/>
      </c>
      <c r="J117" s="7" t="inlineStr">
        <is>
          <t>2</t>
        </is>
      </c>
      <c r="K117" s="7" t="inlineStr">
        <is>
          <t>14/89</t>
        </is>
      </c>
      <c r="L117" s="7" t="inlineStr">
        <is>
          <t>Yes</t>
        </is>
      </c>
      <c r="M117" s="7" t="inlineStr">
        <is>
          <t>Cold-weather convert. This sweat-wicking thermal layer helps lock in heat to keep you running when the temperature drops.</t>
        </is>
      </c>
      <c r="N117" s="7" t="inlineStr">
        <is>
          <t>Waffle-Knit-Funnel-Neck-LS-Shirt</t>
        </is>
      </c>
      <c r="O117" s="7" t="inlineStr">
        <is>
          <t>Turtlenecks</t>
        </is>
      </c>
    </row>
    <row r="118" ht="80" customHeight="1">
      <c r="A118" s="4">
        <f>IMAGE("https://images.lululemon.com/is/image/lululemon/LW3HFRS_034697_1?wid=320&amp;op_usm=0.8",1)</f>
        <v/>
      </c>
      <c r="B118" s="4" t="inlineStr">
        <is>
          <t>Waffle-Knit Funnel-Neck Long-Sleeve Shirt</t>
        </is>
      </c>
      <c r="C118" s="4" t="inlineStr">
        <is>
          <t>158118772</t>
        </is>
      </c>
      <c r="D118" s="4" t="inlineStr">
        <is>
          <t>158118772-blackplum</t>
        </is>
      </c>
      <c r="E118" s="4" t="inlineStr">
        <is>
          <t>Waffle-Knit Funnel-Neck Long Sleeve BLPM 2</t>
        </is>
      </c>
      <c r="F118" s="4" t="inlineStr">
        <is>
          <t>$128.00</t>
        </is>
      </c>
      <c r="G118" s="4" t="inlineStr">
        <is>
          <t>$64.00</t>
        </is>
      </c>
      <c r="H118" s="4" t="inlineStr">
        <is>
          <t>Black Plum</t>
        </is>
      </c>
      <c r="I118" s="4">
        <f>IMAGE("https://images.lululemon.com/is/image/lululemon/34697",1)</f>
        <v/>
      </c>
      <c r="J118" s="4" t="inlineStr">
        <is>
          <t>4</t>
        </is>
      </c>
      <c r="K118" s="4" t="inlineStr">
        <is>
          <t>12/89</t>
        </is>
      </c>
      <c r="L118" s="4" t="inlineStr">
        <is>
          <t>Yes</t>
        </is>
      </c>
      <c r="M118" s="4" t="inlineStr">
        <is>
          <t>Cold-weather convert. This sweat-wicking thermal layer helps lock in heat to keep you running when the temperature drops.</t>
        </is>
      </c>
      <c r="N118" s="4" t="inlineStr">
        <is>
          <t>Waffle-Knit-Funnel-Neck-LS-Shirt</t>
        </is>
      </c>
      <c r="O118" s="4" t="inlineStr">
        <is>
          <t>Turtlenecks</t>
        </is>
      </c>
    </row>
    <row r="119" ht="80" customHeight="1">
      <c r="A119" s="7">
        <f>IMAGE("https://images.lululemon.com/is/image/lululemon/LW3HFRS_034697_1?wid=320&amp;op_usm=0.8",1)</f>
        <v/>
      </c>
      <c r="B119" s="7" t="inlineStr">
        <is>
          <t>Waffle-Knit Funnel-Neck Long-Sleeve Shirt</t>
        </is>
      </c>
      <c r="C119" s="7" t="inlineStr">
        <is>
          <t>158118799</t>
        </is>
      </c>
      <c r="D119" s="7" t="inlineStr">
        <is>
          <t>158118799-blackplum</t>
        </is>
      </c>
      <c r="E119" s="7" t="inlineStr">
        <is>
          <t>Waffle-Knit Funnel-Neck Long Sleeve BLPM 2</t>
        </is>
      </c>
      <c r="F119" s="7" t="inlineStr">
        <is>
          <t>$128.00</t>
        </is>
      </c>
      <c r="G119" s="7" t="inlineStr">
        <is>
          <t>$64.00</t>
        </is>
      </c>
      <c r="H119" s="7" t="inlineStr">
        <is>
          <t>Black Plum</t>
        </is>
      </c>
      <c r="I119" s="7">
        <f>IMAGE("https://images.lululemon.com/is/image/lululemon/34697",1)</f>
        <v/>
      </c>
      <c r="J119" s="7" t="inlineStr">
        <is>
          <t>8</t>
        </is>
      </c>
      <c r="K119" s="7" t="inlineStr">
        <is>
          <t>28/89</t>
        </is>
      </c>
      <c r="L119" s="7" t="inlineStr">
        <is>
          <t>Yes</t>
        </is>
      </c>
      <c r="M119" s="7" t="inlineStr">
        <is>
          <t>Cold-weather convert. This sweat-wicking thermal layer helps lock in heat to keep you running when the temperature drops.</t>
        </is>
      </c>
      <c r="N119" s="7" t="inlineStr">
        <is>
          <t>Waffle-Knit-Funnel-Neck-LS-Shirt</t>
        </is>
      </c>
      <c r="O119" s="7" t="inlineStr">
        <is>
          <t>Turtlenecks</t>
        </is>
      </c>
    </row>
    <row r="120" ht="80" customHeight="1">
      <c r="A120" s="4">
        <f>IMAGE("https://images.lululemon.com/is/image/lululemon/LW3HFRS_034697_1?wid=320&amp;op_usm=0.8",1)</f>
        <v/>
      </c>
      <c r="B120" s="4" t="inlineStr">
        <is>
          <t>Waffle-Knit Funnel-Neck Long-Sleeve Shirt</t>
        </is>
      </c>
      <c r="C120" s="4" t="inlineStr">
        <is>
          <t>158118720</t>
        </is>
      </c>
      <c r="D120" s="4" t="inlineStr">
        <is>
          <t>158118720-blackplum</t>
        </is>
      </c>
      <c r="E120" s="4" t="inlineStr">
        <is>
          <t>Waffle-Knit Funnel-Neck Long Sleeve BLPM 2</t>
        </is>
      </c>
      <c r="F120" s="4" t="inlineStr">
        <is>
          <t>$128.00</t>
        </is>
      </c>
      <c r="G120" s="4" t="inlineStr">
        <is>
          <t>$64.00</t>
        </is>
      </c>
      <c r="H120" s="4" t="inlineStr">
        <is>
          <t>Black Plum</t>
        </is>
      </c>
      <c r="I120" s="4">
        <f>IMAGE("https://images.lululemon.com/is/image/lululemon/34697",1)</f>
        <v/>
      </c>
      <c r="J120" s="4" t="inlineStr">
        <is>
          <t>10</t>
        </is>
      </c>
      <c r="K120" s="4" t="inlineStr">
        <is>
          <t>18/89</t>
        </is>
      </c>
      <c r="L120" s="4" t="inlineStr">
        <is>
          <t>Yes</t>
        </is>
      </c>
      <c r="M120" s="4" t="inlineStr">
        <is>
          <t>Cold-weather convert. This sweat-wicking thermal layer helps lock in heat to keep you running when the temperature drops.</t>
        </is>
      </c>
      <c r="N120" s="4" t="inlineStr">
        <is>
          <t>Waffle-Knit-Funnel-Neck-LS-Shirt</t>
        </is>
      </c>
      <c r="O120" s="4" t="inlineStr">
        <is>
          <t>Turtlenecks</t>
        </is>
      </c>
    </row>
    <row r="121" ht="80" customHeight="1">
      <c r="A121" s="5">
        <f>IMAGE("https://images.lululemon.com/is/image/lululemon/LW3HFRS_034697_1?wid=320&amp;op_usm=0.8",1)</f>
        <v/>
      </c>
      <c r="B121" s="5" t="inlineStr">
        <is>
          <t>Waffle-Knit Funnel-Neck Long-Sleeve Shirt</t>
        </is>
      </c>
      <c r="C121" s="5" t="inlineStr">
        <is>
          <t>158118735</t>
        </is>
      </c>
      <c r="D121" s="5" t="inlineStr">
        <is>
          <t>158118735-blackplum</t>
        </is>
      </c>
      <c r="E121" s="5" t="inlineStr">
        <is>
          <t>Waffle-Knit Funnel-Neck Long Sleeve BLPM 2</t>
        </is>
      </c>
      <c r="F121" s="5" t="inlineStr">
        <is>
          <t>$128.00</t>
        </is>
      </c>
      <c r="G121" s="5" t="inlineStr">
        <is>
          <t>$64.00</t>
        </is>
      </c>
      <c r="H121" s="5" t="inlineStr">
        <is>
          <t>Black Plum</t>
        </is>
      </c>
      <c r="I121" s="5">
        <f>IMAGE("https://images.lululemon.com/is/image/lululemon/34697",1)</f>
        <v/>
      </c>
      <c r="J121" s="5" t="inlineStr">
        <is>
          <t>12</t>
        </is>
      </c>
      <c r="K121" s="5" t="inlineStr">
        <is>
          <t>17/89</t>
        </is>
      </c>
      <c r="L121" s="5" t="inlineStr">
        <is>
          <t>Yes</t>
        </is>
      </c>
      <c r="M121" s="5" t="inlineStr">
        <is>
          <t>Cold-weather convert. This sweat-wicking thermal layer helps lock in heat to keep you running when the temperature drops.</t>
        </is>
      </c>
      <c r="N121" s="5" t="inlineStr">
        <is>
          <t>Waffle-Knit-Funnel-Neck-LS-Shirt</t>
        </is>
      </c>
      <c r="O121" s="5" t="inlineStr">
        <is>
          <t>Turtlenecks</t>
        </is>
      </c>
    </row>
    <row r="122" ht="80" customHeight="1">
      <c r="A122" s="4">
        <f>IMAGE("https://images.lululemon.com/is/image/lululemon/LW4BOVS_0001_1?wid=320&amp;op_usm=0.8",1)</f>
        <v/>
      </c>
      <c r="B122" s="4" t="inlineStr">
        <is>
          <t>Pack It Down Jacket</t>
        </is>
      </c>
      <c r="C122" s="4" t="inlineStr">
        <is>
          <t>132325606</t>
        </is>
      </c>
      <c r="D122" s="4" t="inlineStr">
        <is>
          <t>132325606-black</t>
        </is>
      </c>
      <c r="E122" s="4" t="inlineStr">
        <is>
          <t>Pack It Down Jacket BLK 0</t>
        </is>
      </c>
      <c r="F122" s="4" t="inlineStr">
        <is>
          <t>$268.00</t>
        </is>
      </c>
      <c r="G122" s="4" t="inlineStr">
        <is>
          <t>$134.00</t>
        </is>
      </c>
      <c r="H122" s="4" t="inlineStr">
        <is>
          <t>Black</t>
        </is>
      </c>
      <c r="I122" s="4">
        <f>IMAGE("https://images.lululemon.com/is/image/lululemon/0001",1)</f>
        <v/>
      </c>
      <c r="J122" s="4" t="inlineStr">
        <is>
          <t>0</t>
        </is>
      </c>
      <c r="K122" s="4" t="inlineStr">
        <is>
          <t>2/1419</t>
        </is>
      </c>
      <c r="L122" s="4" t="inlineStr">
        <is>
          <t>Yes</t>
        </is>
      </c>
      <c r="M122" s="4" t="inlineStr">
        <is>
          <t>Layering season is here. Wear this packable, travel-friendly down jacket on its own or under a shell for added warmth.</t>
        </is>
      </c>
      <c r="N122" s="4" t="inlineStr">
        <is>
          <t>Pack-It-Down-Jacket</t>
        </is>
      </c>
      <c r="O122" s="4" t="inlineStr">
        <is>
          <t>Puffer Jackets</t>
        </is>
      </c>
    </row>
    <row r="123" ht="80" customHeight="1">
      <c r="A123" s="7">
        <f>IMAGE("https://images.lululemon.com/is/image/lululemon/LW4BOVS_0001_1?wid=320&amp;op_usm=0.8",1)</f>
        <v/>
      </c>
      <c r="B123" s="7" t="inlineStr">
        <is>
          <t>Pack It Down Jacket</t>
        </is>
      </c>
      <c r="C123" s="7" t="inlineStr">
        <is>
          <t>132325624</t>
        </is>
      </c>
      <c r="D123" s="7" t="inlineStr">
        <is>
          <t>132325624-black</t>
        </is>
      </c>
      <c r="E123" s="7" t="inlineStr">
        <is>
          <t>Pack It Down Jacket BLK 0</t>
        </is>
      </c>
      <c r="F123" s="7" t="inlineStr">
        <is>
          <t>$268.00</t>
        </is>
      </c>
      <c r="G123" s="7" t="inlineStr">
        <is>
          <t>$134.00</t>
        </is>
      </c>
      <c r="H123" s="7" t="inlineStr">
        <is>
          <t>Black</t>
        </is>
      </c>
      <c r="I123" s="7">
        <f>IMAGE("https://images.lululemon.com/is/image/lululemon/0001",1)</f>
        <v/>
      </c>
      <c r="J123" s="7" t="inlineStr">
        <is>
          <t>2</t>
        </is>
      </c>
      <c r="K123" s="7" t="inlineStr">
        <is>
          <t>84/1419</t>
        </is>
      </c>
      <c r="L123" s="7" t="inlineStr">
        <is>
          <t>Yes</t>
        </is>
      </c>
      <c r="M123" s="7" t="inlineStr">
        <is>
          <t>Layering season is here. Wear this packable, travel-friendly down jacket on its own or under a shell for added warmth.</t>
        </is>
      </c>
      <c r="N123" s="7" t="inlineStr">
        <is>
          <t>Pack-It-Down-Jacket</t>
        </is>
      </c>
      <c r="O123" s="7" t="inlineStr">
        <is>
          <t>Puffer Jackets</t>
        </is>
      </c>
    </row>
    <row r="124" ht="80" customHeight="1">
      <c r="A124" s="4">
        <f>IMAGE("https://images.lululemon.com/is/image/lululemon/LW4BOVS_0001_1?wid=320&amp;op_usm=0.8",1)</f>
        <v/>
      </c>
      <c r="B124" s="4" t="inlineStr">
        <is>
          <t>Pack It Down Jacket</t>
        </is>
      </c>
      <c r="C124" s="4" t="inlineStr">
        <is>
          <t>132325641</t>
        </is>
      </c>
      <c r="D124" s="4" t="inlineStr">
        <is>
          <t>132325641-black</t>
        </is>
      </c>
      <c r="E124" s="4" t="inlineStr">
        <is>
          <t>Pack It Down Jacket BLK 0</t>
        </is>
      </c>
      <c r="F124" s="4" t="inlineStr">
        <is>
          <t>$268.00</t>
        </is>
      </c>
      <c r="G124" s="4" t="inlineStr">
        <is>
          <t>$134.00</t>
        </is>
      </c>
      <c r="H124" s="4" t="inlineStr">
        <is>
          <t>Black</t>
        </is>
      </c>
      <c r="I124" s="4">
        <f>IMAGE("https://images.lululemon.com/is/image/lululemon/0001",1)</f>
        <v/>
      </c>
      <c r="J124" s="4" t="inlineStr">
        <is>
          <t>4</t>
        </is>
      </c>
      <c r="K124" s="4" t="inlineStr">
        <is>
          <t>278/1419</t>
        </is>
      </c>
      <c r="L124" s="4" t="inlineStr">
        <is>
          <t>Yes</t>
        </is>
      </c>
      <c r="M124" s="4" t="inlineStr">
        <is>
          <t>Layering season is here. Wear this packable, travel-friendly down jacket on its own or under a shell for added warmth.</t>
        </is>
      </c>
      <c r="N124" s="4" t="inlineStr">
        <is>
          <t>Pack-It-Down-Jacket</t>
        </is>
      </c>
      <c r="O124" s="4" t="inlineStr">
        <is>
          <t>Puffer Jackets</t>
        </is>
      </c>
    </row>
    <row r="125" ht="80" customHeight="1">
      <c r="A125" s="7">
        <f>IMAGE("https://images.lululemon.com/is/image/lululemon/LW4BOVS_0001_1?wid=320&amp;op_usm=0.8",1)</f>
        <v/>
      </c>
      <c r="B125" s="7" t="inlineStr">
        <is>
          <t>Pack It Down Jacket</t>
        </is>
      </c>
      <c r="C125" s="7" t="inlineStr">
        <is>
          <t>132325645</t>
        </is>
      </c>
      <c r="D125" s="7" t="inlineStr">
        <is>
          <t>132325645-black</t>
        </is>
      </c>
      <c r="E125" s="7" t="inlineStr">
        <is>
          <t>Pack It Down Jacket BLK 0</t>
        </is>
      </c>
      <c r="F125" s="7" t="inlineStr">
        <is>
          <t>$268.00</t>
        </is>
      </c>
      <c r="G125" s="7" t="inlineStr">
        <is>
          <t>$134.00</t>
        </is>
      </c>
      <c r="H125" s="7" t="inlineStr">
        <is>
          <t>Black</t>
        </is>
      </c>
      <c r="I125" s="7">
        <f>IMAGE("https://images.lululemon.com/is/image/lululemon/0001",1)</f>
        <v/>
      </c>
      <c r="J125" s="7" t="inlineStr">
        <is>
          <t>6</t>
        </is>
      </c>
      <c r="K125" s="7" t="inlineStr">
        <is>
          <t>312/1419</t>
        </is>
      </c>
      <c r="L125" s="7" t="inlineStr">
        <is>
          <t>Yes</t>
        </is>
      </c>
      <c r="M125" s="7" t="inlineStr">
        <is>
          <t>Layering season is here. Wear this packable, travel-friendly down jacket on its own or under a shell for added warmth.</t>
        </is>
      </c>
      <c r="N125" s="7" t="inlineStr">
        <is>
          <t>Pack-It-Down-Jacket</t>
        </is>
      </c>
      <c r="O125" s="7" t="inlineStr">
        <is>
          <t>Puffer Jackets</t>
        </is>
      </c>
    </row>
    <row r="126" ht="80" customHeight="1">
      <c r="A126" s="4">
        <f>IMAGE("https://images.lululemon.com/is/image/lululemon/LW4BOVS_0001_1?wid=320&amp;op_usm=0.8",1)</f>
        <v/>
      </c>
      <c r="B126" s="4" t="inlineStr">
        <is>
          <t>Pack It Down Jacket</t>
        </is>
      </c>
      <c r="C126" s="4" t="inlineStr">
        <is>
          <t>132325650</t>
        </is>
      </c>
      <c r="D126" s="4" t="inlineStr">
        <is>
          <t>132325650-black</t>
        </is>
      </c>
      <c r="E126" s="4" t="inlineStr">
        <is>
          <t>Pack It Down Jacket BLK 0</t>
        </is>
      </c>
      <c r="F126" s="4" t="inlineStr">
        <is>
          <t>$268.00</t>
        </is>
      </c>
      <c r="G126" s="4" t="inlineStr">
        <is>
          <t>$134.00</t>
        </is>
      </c>
      <c r="H126" s="4" t="inlineStr">
        <is>
          <t>Black</t>
        </is>
      </c>
      <c r="I126" s="4">
        <f>IMAGE("https://images.lululemon.com/is/image/lululemon/0001",1)</f>
        <v/>
      </c>
      <c r="J126" s="4" t="inlineStr">
        <is>
          <t>8</t>
        </is>
      </c>
      <c r="K126" s="4" t="inlineStr">
        <is>
          <t>246/1419</t>
        </is>
      </c>
      <c r="L126" s="4" t="inlineStr">
        <is>
          <t>Yes</t>
        </is>
      </c>
      <c r="M126" s="4" t="inlineStr">
        <is>
          <t>Layering season is here. Wear this packable, travel-friendly down jacket on its own or under a shell for added warmth.</t>
        </is>
      </c>
      <c r="N126" s="4" t="inlineStr">
        <is>
          <t>Pack-It-Down-Jacket</t>
        </is>
      </c>
      <c r="O126" s="4" t="inlineStr">
        <is>
          <t>Puffer Jackets</t>
        </is>
      </c>
    </row>
    <row r="127" ht="80" customHeight="1">
      <c r="A127" s="7">
        <f>IMAGE("https://images.lululemon.com/is/image/lululemon/LW4BOVS_0001_1?wid=320&amp;op_usm=0.8",1)</f>
        <v/>
      </c>
      <c r="B127" s="7" t="inlineStr">
        <is>
          <t>Pack It Down Jacket</t>
        </is>
      </c>
      <c r="C127" s="7" t="inlineStr">
        <is>
          <t>132325609</t>
        </is>
      </c>
      <c r="D127" s="7" t="inlineStr">
        <is>
          <t>132325609-black</t>
        </is>
      </c>
      <c r="E127" s="7" t="inlineStr">
        <is>
          <t>Pack It Down Jacket BLK 0</t>
        </is>
      </c>
      <c r="F127" s="7" t="inlineStr">
        <is>
          <t>$268.00</t>
        </is>
      </c>
      <c r="G127" s="7" t="inlineStr">
        <is>
          <t>$134.00</t>
        </is>
      </c>
      <c r="H127" s="7" t="inlineStr">
        <is>
          <t>Black</t>
        </is>
      </c>
      <c r="I127" s="7">
        <f>IMAGE("https://images.lululemon.com/is/image/lululemon/0001",1)</f>
        <v/>
      </c>
      <c r="J127" s="7" t="inlineStr">
        <is>
          <t>10</t>
        </is>
      </c>
      <c r="K127" s="7" t="inlineStr">
        <is>
          <t>113/1419</t>
        </is>
      </c>
      <c r="L127" s="7" t="inlineStr">
        <is>
          <t>Yes</t>
        </is>
      </c>
      <c r="M127" s="7" t="inlineStr">
        <is>
          <t>Layering season is here. Wear this packable, travel-friendly down jacket on its own or under a shell for added warmth.</t>
        </is>
      </c>
      <c r="N127" s="7" t="inlineStr">
        <is>
          <t>Pack-It-Down-Jacket</t>
        </is>
      </c>
      <c r="O127" s="7" t="inlineStr">
        <is>
          <t>Puffer Jackets</t>
        </is>
      </c>
    </row>
    <row r="128" ht="80" customHeight="1">
      <c r="A128" s="4">
        <f>IMAGE("https://images.lululemon.com/is/image/lululemon/LW4BOVS_0001_1?wid=320&amp;op_usm=0.8",1)</f>
        <v/>
      </c>
      <c r="B128" s="4" t="inlineStr">
        <is>
          <t>Pack It Down Jacket</t>
        </is>
      </c>
      <c r="C128" s="4" t="inlineStr">
        <is>
          <t>132325611</t>
        </is>
      </c>
      <c r="D128" s="4" t="inlineStr">
        <is>
          <t>132325611-black</t>
        </is>
      </c>
      <c r="E128" s="4" t="inlineStr">
        <is>
          <t>Pack It Down Jacket BLK 0</t>
        </is>
      </c>
      <c r="F128" s="4" t="inlineStr">
        <is>
          <t>$268.00</t>
        </is>
      </c>
      <c r="G128" s="4" t="inlineStr">
        <is>
          <t>$134.00</t>
        </is>
      </c>
      <c r="H128" s="4" t="inlineStr">
        <is>
          <t>Black</t>
        </is>
      </c>
      <c r="I128" s="4">
        <f>IMAGE("https://images.lululemon.com/is/image/lululemon/0001",1)</f>
        <v/>
      </c>
      <c r="J128" s="4" t="inlineStr">
        <is>
          <t>12</t>
        </is>
      </c>
      <c r="K128" s="4" t="inlineStr">
        <is>
          <t>54/1419</t>
        </is>
      </c>
      <c r="L128" s="4" t="inlineStr">
        <is>
          <t>Yes</t>
        </is>
      </c>
      <c r="M128" s="4" t="inlineStr">
        <is>
          <t>Layering season is here. Wear this packable, travel-friendly down jacket on its own or under a shell for added warmth.</t>
        </is>
      </c>
      <c r="N128" s="4" t="inlineStr">
        <is>
          <t>Pack-It-Down-Jacket</t>
        </is>
      </c>
      <c r="O128" s="4" t="inlineStr">
        <is>
          <t>Puffer Jackets</t>
        </is>
      </c>
    </row>
    <row r="129" ht="80" customHeight="1">
      <c r="A129" s="7">
        <f>IMAGE("https://images.lululemon.com/is/image/lululemon/LW4BOVS_0001_1?wid=320&amp;op_usm=0.8",1)</f>
        <v/>
      </c>
      <c r="B129" s="7" t="inlineStr">
        <is>
          <t>Pack It Down Jacket</t>
        </is>
      </c>
      <c r="C129" s="7" t="inlineStr">
        <is>
          <t>154975464</t>
        </is>
      </c>
      <c r="D129" s="7" t="inlineStr">
        <is>
          <t>154975464-truenavy</t>
        </is>
      </c>
      <c r="E129" s="7" t="inlineStr">
        <is>
          <t>Pack It Down Jacket BLK 0</t>
        </is>
      </c>
      <c r="F129" s="7" t="inlineStr">
        <is>
          <t>$268.00</t>
        </is>
      </c>
      <c r="G129" s="7" t="inlineStr">
        <is>
          <t>$134.00</t>
        </is>
      </c>
      <c r="H129" s="7" t="inlineStr">
        <is>
          <t>True Navy</t>
        </is>
      </c>
      <c r="I129" s="7">
        <f>IMAGE("https://images.lululemon.com/is/image/lululemon/31382",1)</f>
        <v/>
      </c>
      <c r="J129" s="7" t="inlineStr">
        <is>
          <t>2</t>
        </is>
      </c>
      <c r="K129" s="7" t="inlineStr">
        <is>
          <t>6/1419</t>
        </is>
      </c>
      <c r="L129" s="7" t="inlineStr">
        <is>
          <t>Yes</t>
        </is>
      </c>
      <c r="M129" s="7" t="inlineStr">
        <is>
          <t>Layering season is here. Wear this packable, travel-friendly down jacket on its own or under a shell for added warmth.</t>
        </is>
      </c>
      <c r="N129" s="7" t="inlineStr">
        <is>
          <t>Pack-It-Down-Jacket</t>
        </is>
      </c>
      <c r="O129" s="7" t="inlineStr">
        <is>
          <t>Puffer Jackets</t>
        </is>
      </c>
    </row>
    <row r="130" ht="80" customHeight="1">
      <c r="A130" s="4">
        <f>IMAGE("https://images.lululemon.com/is/image/lululemon/LW4BOVS_0001_1?wid=320&amp;op_usm=0.8",1)</f>
        <v/>
      </c>
      <c r="B130" s="4" t="inlineStr">
        <is>
          <t>Pack It Down Jacket</t>
        </is>
      </c>
      <c r="C130" s="4" t="inlineStr">
        <is>
          <t>154975484</t>
        </is>
      </c>
      <c r="D130" s="4" t="inlineStr">
        <is>
          <t>154975484-truenavy</t>
        </is>
      </c>
      <c r="E130" s="4" t="inlineStr">
        <is>
          <t>Pack It Down Jacket BLK 0</t>
        </is>
      </c>
      <c r="F130" s="4" t="inlineStr">
        <is>
          <t>$268.00</t>
        </is>
      </c>
      <c r="G130" s="4" t="inlineStr">
        <is>
          <t>$134.00</t>
        </is>
      </c>
      <c r="H130" s="4" t="inlineStr">
        <is>
          <t>True Navy</t>
        </is>
      </c>
      <c r="I130" s="4">
        <f>IMAGE("https://images.lululemon.com/is/image/lululemon/31382",1)</f>
        <v/>
      </c>
      <c r="J130" s="4" t="inlineStr">
        <is>
          <t>4</t>
        </is>
      </c>
      <c r="K130" s="4" t="inlineStr">
        <is>
          <t>9/1419</t>
        </is>
      </c>
      <c r="L130" s="4" t="inlineStr">
        <is>
          <t>Yes</t>
        </is>
      </c>
      <c r="M130" s="4" t="inlineStr">
        <is>
          <t>Layering season is here. Wear this packable, travel-friendly down jacket on its own or under a shell for added warmth.</t>
        </is>
      </c>
      <c r="N130" s="4" t="inlineStr">
        <is>
          <t>Pack-It-Down-Jacket</t>
        </is>
      </c>
      <c r="O130" s="4" t="inlineStr">
        <is>
          <t>Puffer Jackets</t>
        </is>
      </c>
    </row>
    <row r="131" ht="80" customHeight="1">
      <c r="A131" s="7">
        <f>IMAGE("https://images.lululemon.com/is/image/lululemon/LW4BOVS_0001_1?wid=320&amp;op_usm=0.8",1)</f>
        <v/>
      </c>
      <c r="B131" s="7" t="inlineStr">
        <is>
          <t>Pack It Down Jacket</t>
        </is>
      </c>
      <c r="C131" s="7" t="inlineStr">
        <is>
          <t>154975487</t>
        </is>
      </c>
      <c r="D131" s="7" t="inlineStr">
        <is>
          <t>154975487-truenavy</t>
        </is>
      </c>
      <c r="E131" s="7" t="inlineStr">
        <is>
          <t>Pack It Down Jacket BLK 0</t>
        </is>
      </c>
      <c r="F131" s="7" t="inlineStr">
        <is>
          <t>$268.00</t>
        </is>
      </c>
      <c r="G131" s="7" t="inlineStr">
        <is>
          <t>$134.00</t>
        </is>
      </c>
      <c r="H131" s="7" t="inlineStr">
        <is>
          <t>True Navy</t>
        </is>
      </c>
      <c r="I131" s="7">
        <f>IMAGE("https://images.lululemon.com/is/image/lululemon/31382",1)</f>
        <v/>
      </c>
      <c r="J131" s="7" t="inlineStr">
        <is>
          <t>6</t>
        </is>
      </c>
      <c r="K131" s="7" t="inlineStr">
        <is>
          <t>61/1419</t>
        </is>
      </c>
      <c r="L131" s="7" t="inlineStr">
        <is>
          <t>Yes</t>
        </is>
      </c>
      <c r="M131" s="7" t="inlineStr">
        <is>
          <t>Layering season is here. Wear this packable, travel-friendly down jacket on its own or under a shell for added warmth.</t>
        </is>
      </c>
      <c r="N131" s="7" t="inlineStr">
        <is>
          <t>Pack-It-Down-Jacket</t>
        </is>
      </c>
      <c r="O131" s="7" t="inlineStr">
        <is>
          <t>Puffer Jackets</t>
        </is>
      </c>
    </row>
    <row r="132" ht="80" customHeight="1">
      <c r="A132" s="4">
        <f>IMAGE("https://images.lululemon.com/is/image/lululemon/LW4BOVS_0001_1?wid=320&amp;op_usm=0.8",1)</f>
        <v/>
      </c>
      <c r="B132" s="4" t="inlineStr">
        <is>
          <t>Pack It Down Jacket</t>
        </is>
      </c>
      <c r="C132" s="4" t="inlineStr">
        <is>
          <t>154975491</t>
        </is>
      </c>
      <c r="D132" s="4" t="inlineStr">
        <is>
          <t>154975491-truenavy</t>
        </is>
      </c>
      <c r="E132" s="4" t="inlineStr">
        <is>
          <t>Pack It Down Jacket BLK 0</t>
        </is>
      </c>
      <c r="F132" s="4" t="inlineStr">
        <is>
          <t>$268.00</t>
        </is>
      </c>
      <c r="G132" s="4" t="inlineStr">
        <is>
          <t>$134.00</t>
        </is>
      </c>
      <c r="H132" s="4" t="inlineStr">
        <is>
          <t>True Navy</t>
        </is>
      </c>
      <c r="I132" s="4">
        <f>IMAGE("https://images.lululemon.com/is/image/lululemon/31382",1)</f>
        <v/>
      </c>
      <c r="J132" s="4" t="inlineStr">
        <is>
          <t>8</t>
        </is>
      </c>
      <c r="K132" s="4" t="inlineStr">
        <is>
          <t>67/1419</t>
        </is>
      </c>
      <c r="L132" s="4" t="inlineStr">
        <is>
          <t>Yes</t>
        </is>
      </c>
      <c r="M132" s="4" t="inlineStr">
        <is>
          <t>Layering season is here. Wear this packable, travel-friendly down jacket on its own or under a shell for added warmth.</t>
        </is>
      </c>
      <c r="N132" s="4" t="inlineStr">
        <is>
          <t>Pack-It-Down-Jacket</t>
        </is>
      </c>
      <c r="O132" s="4" t="inlineStr">
        <is>
          <t>Puffer Jackets</t>
        </is>
      </c>
    </row>
    <row r="133" ht="80" customHeight="1">
      <c r="A133" s="7">
        <f>IMAGE("https://images.lululemon.com/is/image/lululemon/LW4BOVS_0001_1?wid=320&amp;op_usm=0.8",1)</f>
        <v/>
      </c>
      <c r="B133" s="7" t="inlineStr">
        <is>
          <t>Pack It Down Jacket</t>
        </is>
      </c>
      <c r="C133" s="7" t="inlineStr">
        <is>
          <t>154975442</t>
        </is>
      </c>
      <c r="D133" s="7" t="inlineStr">
        <is>
          <t>154975442-truenavy</t>
        </is>
      </c>
      <c r="E133" s="7" t="inlineStr">
        <is>
          <t>Pack It Down Jacket BLK 0</t>
        </is>
      </c>
      <c r="F133" s="7" t="inlineStr">
        <is>
          <t>$268.00</t>
        </is>
      </c>
      <c r="G133" s="7" t="inlineStr">
        <is>
          <t>$134.00</t>
        </is>
      </c>
      <c r="H133" s="7" t="inlineStr">
        <is>
          <t>True Navy</t>
        </is>
      </c>
      <c r="I133" s="7">
        <f>IMAGE("https://images.lululemon.com/is/image/lululemon/31382",1)</f>
        <v/>
      </c>
      <c r="J133" s="7" t="inlineStr">
        <is>
          <t>10</t>
        </is>
      </c>
      <c r="K133" s="7" t="inlineStr">
        <is>
          <t>38/1419</t>
        </is>
      </c>
      <c r="L133" s="7" t="inlineStr">
        <is>
          <t>Yes</t>
        </is>
      </c>
      <c r="M133" s="7" t="inlineStr">
        <is>
          <t>Layering season is here. Wear this packable, travel-friendly down jacket on its own or under a shell for added warmth.</t>
        </is>
      </c>
      <c r="N133" s="7" t="inlineStr">
        <is>
          <t>Pack-It-Down-Jacket</t>
        </is>
      </c>
      <c r="O133" s="7" t="inlineStr">
        <is>
          <t>Puffer Jackets</t>
        </is>
      </c>
    </row>
    <row r="134" ht="80" customHeight="1">
      <c r="A134" s="4">
        <f>IMAGE("https://images.lululemon.com/is/image/lululemon/LW4BOVS_0001_1?wid=320&amp;op_usm=0.8",1)</f>
        <v/>
      </c>
      <c r="B134" s="4" t="inlineStr">
        <is>
          <t>Pack It Down Jacket</t>
        </is>
      </c>
      <c r="C134" s="4" t="inlineStr">
        <is>
          <t>154975447</t>
        </is>
      </c>
      <c r="D134" s="4" t="inlineStr">
        <is>
          <t>154975447-truenavy</t>
        </is>
      </c>
      <c r="E134" s="4" t="inlineStr">
        <is>
          <t>Pack It Down Jacket BLK 0</t>
        </is>
      </c>
      <c r="F134" s="4" t="inlineStr">
        <is>
          <t>$268.00</t>
        </is>
      </c>
      <c r="G134" s="4" t="inlineStr">
        <is>
          <t>$134.00</t>
        </is>
      </c>
      <c r="H134" s="4" t="inlineStr">
        <is>
          <t>True Navy</t>
        </is>
      </c>
      <c r="I134" s="4">
        <f>IMAGE("https://images.lululemon.com/is/image/lululemon/31382",1)</f>
        <v/>
      </c>
      <c r="J134" s="4" t="inlineStr">
        <is>
          <t>12</t>
        </is>
      </c>
      <c r="K134" s="4" t="inlineStr">
        <is>
          <t>26/1419</t>
        </is>
      </c>
      <c r="L134" s="4" t="inlineStr">
        <is>
          <t>Yes</t>
        </is>
      </c>
      <c r="M134" s="4" t="inlineStr">
        <is>
          <t>Layering season is here. Wear this packable, travel-friendly down jacket on its own or under a shell for added warmth.</t>
        </is>
      </c>
      <c r="N134" s="4" t="inlineStr">
        <is>
          <t>Pack-It-Down-Jacket</t>
        </is>
      </c>
      <c r="O134" s="4" t="inlineStr">
        <is>
          <t>Puffer Jackets</t>
        </is>
      </c>
    </row>
    <row r="135" ht="80" customHeight="1">
      <c r="A135" s="7">
        <f>IMAGE("https://images.lululemon.com/is/image/lululemon/LW4BOVS_0001_1?wid=320&amp;op_usm=0.8",1)</f>
        <v/>
      </c>
      <c r="B135" s="7" t="inlineStr">
        <is>
          <t>Pack It Down Jacket</t>
        </is>
      </c>
      <c r="C135" s="7" t="inlineStr">
        <is>
          <t>157682830</t>
        </is>
      </c>
      <c r="D135" s="7" t="inlineStr">
        <is>
          <t>157682830-olivebrown</t>
        </is>
      </c>
      <c r="E135" s="7" t="inlineStr">
        <is>
          <t>Pack It Down Jacket BLK 0</t>
        </is>
      </c>
      <c r="F135" s="7" t="inlineStr">
        <is>
          <t>$268.00</t>
        </is>
      </c>
      <c r="G135" s="7" t="inlineStr">
        <is>
          <t>$134.00</t>
        </is>
      </c>
      <c r="H135" s="7" t="inlineStr">
        <is>
          <t>Olive Brown</t>
        </is>
      </c>
      <c r="I135" s="7">
        <f>IMAGE("https://images.lululemon.com/is/image/lululemon/71148",1)</f>
        <v/>
      </c>
      <c r="J135" s="7" t="inlineStr">
        <is>
          <t>4</t>
        </is>
      </c>
      <c r="K135" s="7" t="inlineStr">
        <is>
          <t>4/1419</t>
        </is>
      </c>
      <c r="L135" s="7" t="inlineStr">
        <is>
          <t>Yes</t>
        </is>
      </c>
      <c r="M135" s="7" t="inlineStr">
        <is>
          <t>Layering season is here. Wear this packable, travel-friendly down jacket on its own or under a shell for added warmth.</t>
        </is>
      </c>
      <c r="N135" s="7" t="inlineStr">
        <is>
          <t>Pack-It-Down-Jacket</t>
        </is>
      </c>
      <c r="O135" s="7" t="inlineStr">
        <is>
          <t>Puffer Jackets</t>
        </is>
      </c>
    </row>
    <row r="136" ht="80" customHeight="1">
      <c r="A136" s="4">
        <f>IMAGE("https://images.lululemon.com/is/image/lululemon/LW4BOVS_0001_1?wid=320&amp;op_usm=0.8",1)</f>
        <v/>
      </c>
      <c r="B136" s="4" t="inlineStr">
        <is>
          <t>Pack It Down Jacket</t>
        </is>
      </c>
      <c r="C136" s="4" t="inlineStr">
        <is>
          <t>157682832</t>
        </is>
      </c>
      <c r="D136" s="4" t="inlineStr">
        <is>
          <t>157682832-olivebrown</t>
        </is>
      </c>
      <c r="E136" s="4" t="inlineStr">
        <is>
          <t>Pack It Down Jacket BLK 0</t>
        </is>
      </c>
      <c r="F136" s="4" t="inlineStr">
        <is>
          <t>$268.00</t>
        </is>
      </c>
      <c r="G136" s="4" t="inlineStr">
        <is>
          <t>$134.00</t>
        </is>
      </c>
      <c r="H136" s="4" t="inlineStr">
        <is>
          <t>Olive Brown</t>
        </is>
      </c>
      <c r="I136" s="4">
        <f>IMAGE("https://images.lululemon.com/is/image/lululemon/71148",1)</f>
        <v/>
      </c>
      <c r="J136" s="4" t="inlineStr">
        <is>
          <t>6</t>
        </is>
      </c>
      <c r="K136" s="4" t="inlineStr">
        <is>
          <t>36/1419</t>
        </is>
      </c>
      <c r="L136" s="4" t="inlineStr">
        <is>
          <t>Yes</t>
        </is>
      </c>
      <c r="M136" s="4" t="inlineStr">
        <is>
          <t>Layering season is here. Wear this packable, travel-friendly down jacket on its own or under a shell for added warmth.</t>
        </is>
      </c>
      <c r="N136" s="4" t="inlineStr">
        <is>
          <t>Pack-It-Down-Jacket</t>
        </is>
      </c>
      <c r="O136" s="4" t="inlineStr">
        <is>
          <t>Puffer Jackets</t>
        </is>
      </c>
    </row>
    <row r="137" ht="80" customHeight="1">
      <c r="A137" s="7">
        <f>IMAGE("https://images.lululemon.com/is/image/lululemon/LW4BOVS_0001_1?wid=320&amp;op_usm=0.8",1)</f>
        <v/>
      </c>
      <c r="B137" s="7" t="inlineStr">
        <is>
          <t>Pack It Down Jacket</t>
        </is>
      </c>
      <c r="C137" s="7" t="inlineStr">
        <is>
          <t>157682834</t>
        </is>
      </c>
      <c r="D137" s="7" t="inlineStr">
        <is>
          <t>157682834-olivebrown</t>
        </is>
      </c>
      <c r="E137" s="7" t="inlineStr">
        <is>
          <t>Pack It Down Jacket BLK 0</t>
        </is>
      </c>
      <c r="F137" s="7" t="inlineStr">
        <is>
          <t>$268.00</t>
        </is>
      </c>
      <c r="G137" s="7" t="inlineStr">
        <is>
          <t>$134.00</t>
        </is>
      </c>
      <c r="H137" s="7" t="inlineStr">
        <is>
          <t>Olive Brown</t>
        </is>
      </c>
      <c r="I137" s="7">
        <f>IMAGE("https://images.lululemon.com/is/image/lululemon/71148",1)</f>
        <v/>
      </c>
      <c r="J137" s="7" t="inlineStr">
        <is>
          <t>8</t>
        </is>
      </c>
      <c r="K137" s="7" t="inlineStr">
        <is>
          <t>33/1419</t>
        </is>
      </c>
      <c r="L137" s="7" t="inlineStr">
        <is>
          <t>Yes</t>
        </is>
      </c>
      <c r="M137" s="7" t="inlineStr">
        <is>
          <t>Layering season is here. Wear this packable, travel-friendly down jacket on its own or under a shell for added warmth.</t>
        </is>
      </c>
      <c r="N137" s="7" t="inlineStr">
        <is>
          <t>Pack-It-Down-Jacket</t>
        </is>
      </c>
      <c r="O137" s="7" t="inlineStr">
        <is>
          <t>Puffer Jackets</t>
        </is>
      </c>
    </row>
    <row r="138" ht="80" customHeight="1">
      <c r="A138" s="4">
        <f>IMAGE("https://images.lululemon.com/is/image/lululemon/LW4BOVS_0001_1?wid=320&amp;op_usm=0.8",1)</f>
        <v/>
      </c>
      <c r="B138" s="4" t="inlineStr">
        <is>
          <t>Pack It Down Jacket</t>
        </is>
      </c>
      <c r="C138" s="4" t="inlineStr">
        <is>
          <t>157682819</t>
        </is>
      </c>
      <c r="D138" s="4" t="inlineStr">
        <is>
          <t>157682819-olivebrown</t>
        </is>
      </c>
      <c r="E138" s="4" t="inlineStr">
        <is>
          <t>Pack It Down Jacket BLK 0</t>
        </is>
      </c>
      <c r="F138" s="4" t="inlineStr">
        <is>
          <t>$268.00</t>
        </is>
      </c>
      <c r="G138" s="4" t="inlineStr">
        <is>
          <t>$134.00</t>
        </is>
      </c>
      <c r="H138" s="4" t="inlineStr">
        <is>
          <t>Olive Brown</t>
        </is>
      </c>
      <c r="I138" s="4">
        <f>IMAGE("https://images.lululemon.com/is/image/lululemon/71148",1)</f>
        <v/>
      </c>
      <c r="J138" s="4" t="inlineStr">
        <is>
          <t>10</t>
        </is>
      </c>
      <c r="K138" s="4" t="inlineStr">
        <is>
          <t>27/1419</t>
        </is>
      </c>
      <c r="L138" s="4" t="inlineStr">
        <is>
          <t>Yes</t>
        </is>
      </c>
      <c r="M138" s="4" t="inlineStr">
        <is>
          <t>Layering season is here. Wear this packable, travel-friendly down jacket on its own or under a shell for added warmth.</t>
        </is>
      </c>
      <c r="N138" s="4" t="inlineStr">
        <is>
          <t>Pack-It-Down-Jacket</t>
        </is>
      </c>
      <c r="O138" s="4" t="inlineStr">
        <is>
          <t>Puffer Jackets</t>
        </is>
      </c>
    </row>
    <row r="139" ht="80" customHeight="1">
      <c r="A139" s="5">
        <f>IMAGE("https://images.lululemon.com/is/image/lululemon/LW4BOVS_0001_1?wid=320&amp;op_usm=0.8",1)</f>
        <v/>
      </c>
      <c r="B139" s="5" t="inlineStr">
        <is>
          <t>Pack It Down Jacket</t>
        </is>
      </c>
      <c r="C139" s="5" t="inlineStr">
        <is>
          <t>157682822</t>
        </is>
      </c>
      <c r="D139" s="5" t="inlineStr">
        <is>
          <t>157682822-olivebrown</t>
        </is>
      </c>
      <c r="E139" s="5" t="inlineStr">
        <is>
          <t>Pack It Down Jacket BLK 0</t>
        </is>
      </c>
      <c r="F139" s="5" t="inlineStr">
        <is>
          <t>$268.00</t>
        </is>
      </c>
      <c r="G139" s="5" t="inlineStr">
        <is>
          <t>$134.00</t>
        </is>
      </c>
      <c r="H139" s="5" t="inlineStr">
        <is>
          <t>Olive Brown</t>
        </is>
      </c>
      <c r="I139" s="5">
        <f>IMAGE("https://images.lululemon.com/is/image/lululemon/71148",1)</f>
        <v/>
      </c>
      <c r="J139" s="5" t="inlineStr">
        <is>
          <t>12</t>
        </is>
      </c>
      <c r="K139" s="5" t="inlineStr">
        <is>
          <t>23/1419</t>
        </is>
      </c>
      <c r="L139" s="5" t="inlineStr">
        <is>
          <t>Yes</t>
        </is>
      </c>
      <c r="M139" s="5" t="inlineStr">
        <is>
          <t>Layering season is here. Wear this packable, travel-friendly down jacket on its own or under a shell for added warmth.</t>
        </is>
      </c>
      <c r="N139" s="5" t="inlineStr">
        <is>
          <t>Pack-It-Down-Jacket</t>
        </is>
      </c>
      <c r="O139" s="5" t="inlineStr">
        <is>
          <t>Puffer Jackets</t>
        </is>
      </c>
    </row>
    <row r="140" ht="80" customHeight="1">
      <c r="A140" s="4">
        <f>IMAGE("https://images.lululemon.com/is/image/lululemon/LW3HT0S_4780_1?wid=320&amp;op_usm=0.8",1)</f>
        <v/>
      </c>
      <c r="B140" s="4" t="inlineStr">
        <is>
          <t>Swiftly Tech Long-Sleeve Shirt 2.0 *Hip Length</t>
        </is>
      </c>
      <c r="C140" s="4" t="inlineStr">
        <is>
          <t>117150037</t>
        </is>
      </c>
      <c r="D140" s="4" t="inlineStr">
        <is>
          <t>117150037-white/white</t>
        </is>
      </c>
      <c r="E140" s="4" t="inlineStr">
        <is>
          <t>Swiftly Tech Long Sleeve 2.0 WHWH 0</t>
        </is>
      </c>
      <c r="F140" s="4" t="inlineStr">
        <is>
          <t>$78.00</t>
        </is>
      </c>
      <c r="G140" s="4" t="inlineStr">
        <is>
          <t>$39.00</t>
        </is>
      </c>
      <c r="H140" s="4" t="inlineStr">
        <is>
          <t>White/White</t>
        </is>
      </c>
      <c r="I140" s="4">
        <f>IMAGE("https://images.lululemon.com/is/image/lululemon/12826",1)</f>
        <v/>
      </c>
      <c r="J140" s="4" t="inlineStr">
        <is>
          <t>0</t>
        </is>
      </c>
      <c r="K140" s="4" t="inlineStr">
        <is>
          <t>5/8639</t>
        </is>
      </c>
      <c r="L140" s="4" t="inlineStr">
        <is>
          <t>Yes</t>
        </is>
      </c>
      <c r="M140" s="4" t="inlineStr">
        <is>
          <t>Go ahead, get sweaty. The Swiftly collection is all about high-performing fabric that seamlessly adapts to you and your workout.</t>
        </is>
      </c>
      <c r="N140" s="4" t="inlineStr">
        <is>
          <t>Swiftly-Tech-LS-2</t>
        </is>
      </c>
      <c r="O140" s="4" t="inlineStr"/>
    </row>
    <row r="141" ht="80" customHeight="1">
      <c r="A141" s="7">
        <f>IMAGE("https://images.lululemon.com/is/image/lululemon/LW3HT0S_4780_1?wid=320&amp;op_usm=0.8",1)</f>
        <v/>
      </c>
      <c r="B141" s="7" t="inlineStr">
        <is>
          <t>Swiftly Tech Long-Sleeve Shirt 2.0 *Hip Length</t>
        </is>
      </c>
      <c r="C141" s="7" t="inlineStr">
        <is>
          <t>117150044</t>
        </is>
      </c>
      <c r="D141" s="7" t="inlineStr">
        <is>
          <t>117150044-white/white</t>
        </is>
      </c>
      <c r="E141" s="7" t="inlineStr">
        <is>
          <t>Swiftly Tech Long Sleeve 2.0 WHWH 0</t>
        </is>
      </c>
      <c r="F141" s="7" t="inlineStr">
        <is>
          <t>$78.00</t>
        </is>
      </c>
      <c r="G141" s="7" t="inlineStr">
        <is>
          <t>$39.00</t>
        </is>
      </c>
      <c r="H141" s="7" t="inlineStr">
        <is>
          <t>White/White</t>
        </is>
      </c>
      <c r="I141" s="7">
        <f>IMAGE("https://images.lululemon.com/is/image/lululemon/12826",1)</f>
        <v/>
      </c>
      <c r="J141" s="7" t="inlineStr">
        <is>
          <t>2</t>
        </is>
      </c>
      <c r="K141" s="7" t="inlineStr">
        <is>
          <t>63/8639</t>
        </is>
      </c>
      <c r="L141" s="7" t="inlineStr">
        <is>
          <t>Yes</t>
        </is>
      </c>
      <c r="M141" s="7" t="inlineStr">
        <is>
          <t>Go ahead, get sweaty. The Swiftly collection is all about high-performing fabric that seamlessly adapts to you and your workout.</t>
        </is>
      </c>
      <c r="N141" s="7" t="inlineStr">
        <is>
          <t>Swiftly-Tech-LS-2</t>
        </is>
      </c>
      <c r="O141" s="7" t="inlineStr"/>
    </row>
    <row r="142" ht="80" customHeight="1">
      <c r="A142" s="4">
        <f>IMAGE("https://images.lululemon.com/is/image/lululemon/LW3HT0S_4780_1?wid=320&amp;op_usm=0.8",1)</f>
        <v/>
      </c>
      <c r="B142" s="4" t="inlineStr">
        <is>
          <t>Swiftly Tech Long-Sleeve Shirt 2.0 *Hip Length</t>
        </is>
      </c>
      <c r="C142" s="4" t="inlineStr">
        <is>
          <t>117150045</t>
        </is>
      </c>
      <c r="D142" s="4" t="inlineStr">
        <is>
          <t>117150045-white/white</t>
        </is>
      </c>
      <c r="E142" s="4" t="inlineStr">
        <is>
          <t>Swiftly Tech Long Sleeve 2.0 WHWH 0</t>
        </is>
      </c>
      <c r="F142" s="4" t="inlineStr">
        <is>
          <t>$78.00</t>
        </is>
      </c>
      <c r="G142" s="4" t="inlineStr">
        <is>
          <t>$39.00</t>
        </is>
      </c>
      <c r="H142" s="4" t="inlineStr">
        <is>
          <t>White/White</t>
        </is>
      </c>
      <c r="I142" s="4">
        <f>IMAGE("https://images.lululemon.com/is/image/lululemon/12826",1)</f>
        <v/>
      </c>
      <c r="J142" s="4" t="inlineStr">
        <is>
          <t>4</t>
        </is>
      </c>
      <c r="K142" s="4" t="inlineStr">
        <is>
          <t>152/8639</t>
        </is>
      </c>
      <c r="L142" s="4" t="inlineStr">
        <is>
          <t>Yes</t>
        </is>
      </c>
      <c r="M142" s="4" t="inlineStr">
        <is>
          <t>Go ahead, get sweaty. The Swiftly collection is all about high-performing fabric that seamlessly adapts to you and your workout.</t>
        </is>
      </c>
      <c r="N142" s="4" t="inlineStr">
        <is>
          <t>Swiftly-Tech-LS-2</t>
        </is>
      </c>
      <c r="O142" s="4" t="inlineStr"/>
    </row>
    <row r="143" ht="80" customHeight="1">
      <c r="A143" s="7">
        <f>IMAGE("https://images.lululemon.com/is/image/lululemon/LW3HT0S_4780_1?wid=320&amp;op_usm=0.8",1)</f>
        <v/>
      </c>
      <c r="B143" s="7" t="inlineStr">
        <is>
          <t>Swiftly Tech Long-Sleeve Shirt 2.0 *Hip Length</t>
        </is>
      </c>
      <c r="C143" s="7" t="inlineStr">
        <is>
          <t>117150047</t>
        </is>
      </c>
      <c r="D143" s="7" t="inlineStr">
        <is>
          <t>117150047-white/white</t>
        </is>
      </c>
      <c r="E143" s="7" t="inlineStr">
        <is>
          <t>Swiftly Tech Long Sleeve 2.0 WHWH 0</t>
        </is>
      </c>
      <c r="F143" s="7" t="inlineStr">
        <is>
          <t>$78.00</t>
        </is>
      </c>
      <c r="G143" s="7" t="inlineStr">
        <is>
          <t>$39.00</t>
        </is>
      </c>
      <c r="H143" s="7" t="inlineStr">
        <is>
          <t>White/White</t>
        </is>
      </c>
      <c r="I143" s="7">
        <f>IMAGE("https://images.lululemon.com/is/image/lululemon/12826",1)</f>
        <v/>
      </c>
      <c r="J143" s="7" t="inlineStr">
        <is>
          <t>6</t>
        </is>
      </c>
      <c r="K143" s="7" t="inlineStr">
        <is>
          <t>321/8639</t>
        </is>
      </c>
      <c r="L143" s="7" t="inlineStr">
        <is>
          <t>Yes</t>
        </is>
      </c>
      <c r="M143" s="7" t="inlineStr">
        <is>
          <t>Go ahead, get sweaty. The Swiftly collection is all about high-performing fabric that seamlessly adapts to you and your workout.</t>
        </is>
      </c>
      <c r="N143" s="7" t="inlineStr">
        <is>
          <t>Swiftly-Tech-LS-2</t>
        </is>
      </c>
      <c r="O143" s="7" t="inlineStr"/>
    </row>
    <row r="144" ht="80" customHeight="1">
      <c r="A144" s="4">
        <f>IMAGE("https://images.lululemon.com/is/image/lululemon/LW3HT0S_4780_1?wid=320&amp;op_usm=0.8",1)</f>
        <v/>
      </c>
      <c r="B144" s="4" t="inlineStr">
        <is>
          <t>Swiftly Tech Long-Sleeve Shirt 2.0 *Hip Length</t>
        </is>
      </c>
      <c r="C144" s="4" t="inlineStr">
        <is>
          <t>117150048</t>
        </is>
      </c>
      <c r="D144" s="4" t="inlineStr">
        <is>
          <t>117150048-white/white</t>
        </is>
      </c>
      <c r="E144" s="4" t="inlineStr">
        <is>
          <t>Swiftly Tech Long Sleeve 2.0 WHWH 0</t>
        </is>
      </c>
      <c r="F144" s="4" t="inlineStr">
        <is>
          <t>$78.00</t>
        </is>
      </c>
      <c r="G144" s="4" t="inlineStr">
        <is>
          <t>$39.00</t>
        </is>
      </c>
      <c r="H144" s="4" t="inlineStr">
        <is>
          <t>White/White</t>
        </is>
      </c>
      <c r="I144" s="4">
        <f>IMAGE("https://images.lululemon.com/is/image/lululemon/12826",1)</f>
        <v/>
      </c>
      <c r="J144" s="4" t="inlineStr">
        <is>
          <t>8</t>
        </is>
      </c>
      <c r="K144" s="4" t="inlineStr">
        <is>
          <t>310/8639</t>
        </is>
      </c>
      <c r="L144" s="4" t="inlineStr">
        <is>
          <t>Yes</t>
        </is>
      </c>
      <c r="M144" s="4" t="inlineStr">
        <is>
          <t>Go ahead, get sweaty. The Swiftly collection is all about high-performing fabric that seamlessly adapts to you and your workout.</t>
        </is>
      </c>
      <c r="N144" s="4" t="inlineStr">
        <is>
          <t>Swiftly-Tech-LS-2</t>
        </is>
      </c>
      <c r="O144" s="4" t="inlineStr"/>
    </row>
    <row r="145" ht="80" customHeight="1">
      <c r="A145" s="7">
        <f>IMAGE("https://images.lululemon.com/is/image/lululemon/LW3HT0S_4780_1?wid=320&amp;op_usm=0.8",1)</f>
        <v/>
      </c>
      <c r="B145" s="7" t="inlineStr">
        <is>
          <t>Swiftly Tech Long-Sleeve Shirt 2.0 *Hip Length</t>
        </is>
      </c>
      <c r="C145" s="7" t="inlineStr">
        <is>
          <t>117150038</t>
        </is>
      </c>
      <c r="D145" s="7" t="inlineStr">
        <is>
          <t>117150038-white/white</t>
        </is>
      </c>
      <c r="E145" s="7" t="inlineStr">
        <is>
          <t>Swiftly Tech Long Sleeve 2.0 WHWH 0</t>
        </is>
      </c>
      <c r="F145" s="7" t="inlineStr">
        <is>
          <t>$78.00</t>
        </is>
      </c>
      <c r="G145" s="7" t="inlineStr">
        <is>
          <t>$39.00</t>
        </is>
      </c>
      <c r="H145" s="7" t="inlineStr">
        <is>
          <t>White/White</t>
        </is>
      </c>
      <c r="I145" s="7">
        <f>IMAGE("https://images.lululemon.com/is/image/lululemon/12826",1)</f>
        <v/>
      </c>
      <c r="J145" s="7" t="inlineStr">
        <is>
          <t>10</t>
        </is>
      </c>
      <c r="K145" s="7" t="inlineStr">
        <is>
          <t>217/8639</t>
        </is>
      </c>
      <c r="L145" s="7" t="inlineStr">
        <is>
          <t>Yes</t>
        </is>
      </c>
      <c r="M145" s="7" t="inlineStr">
        <is>
          <t>Go ahead, get sweaty. The Swiftly collection is all about high-performing fabric that seamlessly adapts to you and your workout.</t>
        </is>
      </c>
      <c r="N145" s="7" t="inlineStr">
        <is>
          <t>Swiftly-Tech-LS-2</t>
        </is>
      </c>
      <c r="O145" s="7" t="inlineStr"/>
    </row>
    <row r="146" ht="80" customHeight="1">
      <c r="A146" s="4">
        <f>IMAGE("https://images.lululemon.com/is/image/lululemon/LW3HT0S_4780_1?wid=320&amp;op_usm=0.8",1)</f>
        <v/>
      </c>
      <c r="B146" s="4" t="inlineStr">
        <is>
          <t>Swiftly Tech Long-Sleeve Shirt 2.0 *Hip Length</t>
        </is>
      </c>
      <c r="C146" s="4" t="inlineStr">
        <is>
          <t>117150039</t>
        </is>
      </c>
      <c r="D146" s="4" t="inlineStr">
        <is>
          <t>117150039-white/white</t>
        </is>
      </c>
      <c r="E146" s="4" t="inlineStr">
        <is>
          <t>Swiftly Tech Long Sleeve 2.0 WHWH 0</t>
        </is>
      </c>
      <c r="F146" s="4" t="inlineStr">
        <is>
          <t>$78.00</t>
        </is>
      </c>
      <c r="G146" s="4" t="inlineStr">
        <is>
          <t>$39.00</t>
        </is>
      </c>
      <c r="H146" s="4" t="inlineStr">
        <is>
          <t>White/White</t>
        </is>
      </c>
      <c r="I146" s="4">
        <f>IMAGE("https://images.lululemon.com/is/image/lululemon/12826",1)</f>
        <v/>
      </c>
      <c r="J146" s="4" t="inlineStr">
        <is>
          <t>12</t>
        </is>
      </c>
      <c r="K146" s="4" t="inlineStr">
        <is>
          <t>147/8639</t>
        </is>
      </c>
      <c r="L146" s="4" t="inlineStr">
        <is>
          <t>Yes</t>
        </is>
      </c>
      <c r="M146" s="4" t="inlineStr">
        <is>
          <t>Go ahead, get sweaty. The Swiftly collection is all about high-performing fabric that seamlessly adapts to you and your workout.</t>
        </is>
      </c>
      <c r="N146" s="4" t="inlineStr">
        <is>
          <t>Swiftly-Tech-LS-2</t>
        </is>
      </c>
      <c r="O146" s="4" t="inlineStr"/>
    </row>
    <row r="147" ht="80" customHeight="1">
      <c r="A147" s="7">
        <f>IMAGE("https://images.lululemon.com/is/image/lululemon/LW3HT0S_4780_1?wid=320&amp;op_usm=0.8",1)</f>
        <v/>
      </c>
      <c r="B147" s="7" t="inlineStr">
        <is>
          <t>Swiftly Tech Long-Sleeve Shirt 2.0 *Hip Length</t>
        </is>
      </c>
      <c r="C147" s="7" t="inlineStr">
        <is>
          <t>117150040</t>
        </is>
      </c>
      <c r="D147" s="7" t="inlineStr">
        <is>
          <t>117150040-white/white</t>
        </is>
      </c>
      <c r="E147" s="7" t="inlineStr">
        <is>
          <t>Swiftly Tech Long Sleeve 2.0 WHWH 0</t>
        </is>
      </c>
      <c r="F147" s="7" t="inlineStr">
        <is>
          <t>$78.00</t>
        </is>
      </c>
      <c r="G147" s="7" t="inlineStr">
        <is>
          <t>$39.00</t>
        </is>
      </c>
      <c r="H147" s="7" t="inlineStr">
        <is>
          <t>White/White</t>
        </is>
      </c>
      <c r="I147" s="7">
        <f>IMAGE("https://images.lululemon.com/is/image/lululemon/12826",1)</f>
        <v/>
      </c>
      <c r="J147" s="7" t="inlineStr">
        <is>
          <t>14</t>
        </is>
      </c>
      <c r="K147" s="7" t="inlineStr">
        <is>
          <t>81/8639</t>
        </is>
      </c>
      <c r="L147" s="7" t="inlineStr">
        <is>
          <t>Yes</t>
        </is>
      </c>
      <c r="M147" s="7" t="inlineStr">
        <is>
          <t>Go ahead, get sweaty. The Swiftly collection is all about high-performing fabric that seamlessly adapts to you and your workout.</t>
        </is>
      </c>
      <c r="N147" s="7" t="inlineStr">
        <is>
          <t>Swiftly-Tech-LS-2</t>
        </is>
      </c>
      <c r="O147" s="7" t="inlineStr"/>
    </row>
    <row r="148" ht="80" customHeight="1">
      <c r="A148" s="4">
        <f>IMAGE("https://images.lululemon.com/is/image/lululemon/LW3HT0S_4780_1?wid=320&amp;op_usm=0.8",1)</f>
        <v/>
      </c>
      <c r="B148" s="4" t="inlineStr">
        <is>
          <t>Swiftly Tech Long-Sleeve Shirt 2.0 *Hip Length</t>
        </is>
      </c>
      <c r="C148" s="4" t="inlineStr">
        <is>
          <t>117150041</t>
        </is>
      </c>
      <c r="D148" s="4" t="inlineStr">
        <is>
          <t>117150041-white/white</t>
        </is>
      </c>
      <c r="E148" s="4" t="inlineStr">
        <is>
          <t>Swiftly Tech Long Sleeve 2.0 WHWH 0</t>
        </is>
      </c>
      <c r="F148" s="4" t="inlineStr">
        <is>
          <t>$78.00</t>
        </is>
      </c>
      <c r="G148" s="4" t="inlineStr">
        <is>
          <t>$39.00</t>
        </is>
      </c>
      <c r="H148" s="4" t="inlineStr">
        <is>
          <t>White/White</t>
        </is>
      </c>
      <c r="I148" s="4">
        <f>IMAGE("https://images.lululemon.com/is/image/lululemon/12826",1)</f>
        <v/>
      </c>
      <c r="J148" s="4" t="inlineStr">
        <is>
          <t>16</t>
        </is>
      </c>
      <c r="K148" s="4" t="inlineStr">
        <is>
          <t>34/8639</t>
        </is>
      </c>
      <c r="L148" s="4" t="inlineStr">
        <is>
          <t>Yes</t>
        </is>
      </c>
      <c r="M148" s="4" t="inlineStr">
        <is>
          <t>Go ahead, get sweaty. The Swiftly collection is all about high-performing fabric that seamlessly adapts to you and your workout.</t>
        </is>
      </c>
      <c r="N148" s="4" t="inlineStr">
        <is>
          <t>Swiftly-Tech-LS-2</t>
        </is>
      </c>
      <c r="O148" s="4" t="inlineStr"/>
    </row>
    <row r="149" ht="80" customHeight="1">
      <c r="A149" s="7">
        <f>IMAGE("https://images.lululemon.com/is/image/lululemon/LW3HT0S_4780_1?wid=320&amp;op_usm=0.8",1)</f>
        <v/>
      </c>
      <c r="B149" s="7" t="inlineStr">
        <is>
          <t>Swiftly Tech Long-Sleeve Shirt 2.0 *Hip Length</t>
        </is>
      </c>
      <c r="C149" s="7" t="inlineStr">
        <is>
          <t>117150042</t>
        </is>
      </c>
      <c r="D149" s="7" t="inlineStr">
        <is>
          <t>117150042-white/white</t>
        </is>
      </c>
      <c r="E149" s="7" t="inlineStr">
        <is>
          <t>Swiftly Tech Long Sleeve 2.0 WHWH 0</t>
        </is>
      </c>
      <c r="F149" s="7" t="inlineStr">
        <is>
          <t>$78.00</t>
        </is>
      </c>
      <c r="G149" s="7" t="inlineStr">
        <is>
          <t>$39.00</t>
        </is>
      </c>
      <c r="H149" s="7" t="inlineStr">
        <is>
          <t>White/White</t>
        </is>
      </c>
      <c r="I149" s="7">
        <f>IMAGE("https://images.lululemon.com/is/image/lululemon/12826",1)</f>
        <v/>
      </c>
      <c r="J149" s="7" t="inlineStr">
        <is>
          <t>18</t>
        </is>
      </c>
      <c r="K149" s="7" t="inlineStr">
        <is>
          <t>38/8639</t>
        </is>
      </c>
      <c r="L149" s="7" t="inlineStr">
        <is>
          <t>Yes</t>
        </is>
      </c>
      <c r="M149" s="7" t="inlineStr">
        <is>
          <t>Go ahead, get sweaty. The Swiftly collection is all about high-performing fabric that seamlessly adapts to you and your workout.</t>
        </is>
      </c>
      <c r="N149" s="7" t="inlineStr">
        <is>
          <t>Swiftly-Tech-LS-2</t>
        </is>
      </c>
      <c r="O149" s="7" t="inlineStr"/>
    </row>
    <row r="150" ht="80" customHeight="1">
      <c r="A150" s="4">
        <f>IMAGE("https://images.lululemon.com/is/image/lululemon/LW3HT0S_4780_1?wid=320&amp;op_usm=0.8",1)</f>
        <v/>
      </c>
      <c r="B150" s="4" t="inlineStr">
        <is>
          <t>Swiftly Tech Long-Sleeve Shirt 2.0 *Hip Length</t>
        </is>
      </c>
      <c r="C150" s="4" t="inlineStr">
        <is>
          <t>122876073</t>
        </is>
      </c>
      <c r="D150" s="4" t="inlineStr">
        <is>
          <t>122876073-white/white</t>
        </is>
      </c>
      <c r="E150" s="4" t="inlineStr">
        <is>
          <t>Swiftly Tech Long Sleeve 2.0 WHWH 0</t>
        </is>
      </c>
      <c r="F150" s="4" t="inlineStr">
        <is>
          <t>$78.00</t>
        </is>
      </c>
      <c r="G150" s="4" t="inlineStr">
        <is>
          <t>$39.00</t>
        </is>
      </c>
      <c r="H150" s="4" t="inlineStr">
        <is>
          <t>White/White</t>
        </is>
      </c>
      <c r="I150" s="4">
        <f>IMAGE("https://images.lululemon.com/is/image/lululemon/12826",1)</f>
        <v/>
      </c>
      <c r="J150" s="4" t="inlineStr">
        <is>
          <t>20</t>
        </is>
      </c>
      <c r="K150" s="4" t="inlineStr">
        <is>
          <t>18/8639</t>
        </is>
      </c>
      <c r="L150" s="4" t="inlineStr">
        <is>
          <t>Yes</t>
        </is>
      </c>
      <c r="M150" s="4" t="inlineStr">
        <is>
          <t>Go ahead, get sweaty. The Swiftly collection is all about high-performing fabric that seamlessly adapts to you and your workout.</t>
        </is>
      </c>
      <c r="N150" s="4" t="inlineStr">
        <is>
          <t>Swiftly-Tech-LS-2</t>
        </is>
      </c>
      <c r="O150" s="4" t="inlineStr"/>
    </row>
    <row r="151" ht="80" customHeight="1">
      <c r="A151" s="7">
        <f>IMAGE("https://images.lululemon.com/is/image/lululemon/LW3HT0S_4780_1?wid=320&amp;op_usm=0.8",1)</f>
        <v/>
      </c>
      <c r="B151" s="7" t="inlineStr">
        <is>
          <t>Swiftly Tech Long-Sleeve Shirt 2.0 *Hip Length</t>
        </is>
      </c>
      <c r="C151" s="7" t="inlineStr">
        <is>
          <t>117150199</t>
        </is>
      </c>
      <c r="D151" s="7" t="inlineStr">
        <is>
          <t>117150199-black/black</t>
        </is>
      </c>
      <c r="E151" s="7" t="inlineStr">
        <is>
          <t>Swiftly Tech Long Sleeve 2.0 WHWH 0</t>
        </is>
      </c>
      <c r="F151" s="7" t="inlineStr">
        <is>
          <t>$78.00</t>
        </is>
      </c>
      <c r="G151" s="7" t="inlineStr">
        <is>
          <t>$39.00</t>
        </is>
      </c>
      <c r="H151" s="7" t="inlineStr">
        <is>
          <t>Black/Black</t>
        </is>
      </c>
      <c r="I151" s="7">
        <f>IMAGE("https://images.lululemon.com/is/image/lululemon/4780",1)</f>
        <v/>
      </c>
      <c r="J151" s="7" t="inlineStr">
        <is>
          <t>0</t>
        </is>
      </c>
      <c r="K151" s="7" t="inlineStr">
        <is>
          <t>47/8639</t>
        </is>
      </c>
      <c r="L151" s="7" t="inlineStr">
        <is>
          <t>Yes</t>
        </is>
      </c>
      <c r="M151" s="7" t="inlineStr">
        <is>
          <t>Go ahead, get sweaty. The Swiftly collection is all about high-performing fabric that seamlessly adapts to you and your workout.</t>
        </is>
      </c>
      <c r="N151" s="7" t="inlineStr">
        <is>
          <t>Swiftly-Tech-LS-2</t>
        </is>
      </c>
      <c r="O151" s="7" t="inlineStr"/>
    </row>
    <row r="152" ht="80" customHeight="1">
      <c r="A152" s="4">
        <f>IMAGE("https://images.lululemon.com/is/image/lululemon/LW3HT0S_4780_1?wid=320&amp;op_usm=0.8",1)</f>
        <v/>
      </c>
      <c r="B152" s="4" t="inlineStr">
        <is>
          <t>Swiftly Tech Long-Sleeve Shirt 2.0 *Hip Length</t>
        </is>
      </c>
      <c r="C152" s="4" t="inlineStr">
        <is>
          <t>117150207</t>
        </is>
      </c>
      <c r="D152" s="4" t="inlineStr">
        <is>
          <t>117150207-black/black</t>
        </is>
      </c>
      <c r="E152" s="4" t="inlineStr">
        <is>
          <t>Swiftly Tech Long Sleeve 2.0 WHWH 0</t>
        </is>
      </c>
      <c r="F152" s="4" t="inlineStr">
        <is>
          <t>$78.00</t>
        </is>
      </c>
      <c r="G152" s="4" t="inlineStr">
        <is>
          <t>$39.00</t>
        </is>
      </c>
      <c r="H152" s="4" t="inlineStr">
        <is>
          <t>Black/Black</t>
        </is>
      </c>
      <c r="I152" s="4">
        <f>IMAGE("https://images.lululemon.com/is/image/lululemon/4780",1)</f>
        <v/>
      </c>
      <c r="J152" s="4" t="inlineStr">
        <is>
          <t>2</t>
        </is>
      </c>
      <c r="K152" s="4" t="inlineStr">
        <is>
          <t>114/8639</t>
        </is>
      </c>
      <c r="L152" s="4" t="inlineStr">
        <is>
          <t>Yes</t>
        </is>
      </c>
      <c r="M152" s="4" t="inlineStr">
        <is>
          <t>Go ahead, get sweaty. The Swiftly collection is all about high-performing fabric that seamlessly adapts to you and your workout.</t>
        </is>
      </c>
      <c r="N152" s="4" t="inlineStr">
        <is>
          <t>Swiftly-Tech-LS-2</t>
        </is>
      </c>
      <c r="O152" s="4" t="inlineStr"/>
    </row>
    <row r="153" ht="80" customHeight="1">
      <c r="A153" s="7">
        <f>IMAGE("https://images.lululemon.com/is/image/lululemon/LW3HT0S_4780_1?wid=320&amp;op_usm=0.8",1)</f>
        <v/>
      </c>
      <c r="B153" s="7" t="inlineStr">
        <is>
          <t>Swiftly Tech Long-Sleeve Shirt 2.0 *Hip Length</t>
        </is>
      </c>
      <c r="C153" s="7" t="inlineStr">
        <is>
          <t>117150210</t>
        </is>
      </c>
      <c r="D153" s="7" t="inlineStr">
        <is>
          <t>117150210-black/black</t>
        </is>
      </c>
      <c r="E153" s="7" t="inlineStr">
        <is>
          <t>Swiftly Tech Long Sleeve 2.0 WHWH 0</t>
        </is>
      </c>
      <c r="F153" s="7" t="inlineStr">
        <is>
          <t>$78.00</t>
        </is>
      </c>
      <c r="G153" s="7" t="inlineStr">
        <is>
          <t>$39.00</t>
        </is>
      </c>
      <c r="H153" s="7" t="inlineStr">
        <is>
          <t>Black/Black</t>
        </is>
      </c>
      <c r="I153" s="7">
        <f>IMAGE("https://images.lululemon.com/is/image/lululemon/4780",1)</f>
        <v/>
      </c>
      <c r="J153" s="7" t="inlineStr">
        <is>
          <t>4</t>
        </is>
      </c>
      <c r="K153" s="7" t="inlineStr">
        <is>
          <t>412/8639</t>
        </is>
      </c>
      <c r="L153" s="7" t="inlineStr">
        <is>
          <t>Yes</t>
        </is>
      </c>
      <c r="M153" s="7" t="inlineStr">
        <is>
          <t>Go ahead, get sweaty. The Swiftly collection is all about high-performing fabric that seamlessly adapts to you and your workout.</t>
        </is>
      </c>
      <c r="N153" s="7" t="inlineStr">
        <is>
          <t>Swiftly-Tech-LS-2</t>
        </is>
      </c>
      <c r="O153" s="7" t="inlineStr"/>
    </row>
    <row r="154" ht="80" customHeight="1">
      <c r="A154" s="4">
        <f>IMAGE("https://images.lululemon.com/is/image/lululemon/LW3HT0S_4780_1?wid=320&amp;op_usm=0.8",1)</f>
        <v/>
      </c>
      <c r="B154" s="4" t="inlineStr">
        <is>
          <t>Swiftly Tech Long-Sleeve Shirt 2.0 *Hip Length</t>
        </is>
      </c>
      <c r="C154" s="4" t="inlineStr">
        <is>
          <t>117150211</t>
        </is>
      </c>
      <c r="D154" s="4" t="inlineStr">
        <is>
          <t>117150211-black/black</t>
        </is>
      </c>
      <c r="E154" s="4" t="inlineStr">
        <is>
          <t>Swiftly Tech Long Sleeve 2.0 WHWH 0</t>
        </is>
      </c>
      <c r="F154" s="4" t="inlineStr">
        <is>
          <t>$78.00</t>
        </is>
      </c>
      <c r="G154" s="4" t="inlineStr">
        <is>
          <t>$39.00</t>
        </is>
      </c>
      <c r="H154" s="4" t="inlineStr">
        <is>
          <t>Black/Black</t>
        </is>
      </c>
      <c r="I154" s="4">
        <f>IMAGE("https://images.lululemon.com/is/image/lululemon/4780",1)</f>
        <v/>
      </c>
      <c r="J154" s="4" t="inlineStr">
        <is>
          <t>6</t>
        </is>
      </c>
      <c r="K154" s="4" t="inlineStr">
        <is>
          <t>648/8639</t>
        </is>
      </c>
      <c r="L154" s="4" t="inlineStr">
        <is>
          <t>Yes</t>
        </is>
      </c>
      <c r="M154" s="4" t="inlineStr">
        <is>
          <t>Go ahead, get sweaty. The Swiftly collection is all about high-performing fabric that seamlessly adapts to you and your workout.</t>
        </is>
      </c>
      <c r="N154" s="4" t="inlineStr">
        <is>
          <t>Swiftly-Tech-LS-2</t>
        </is>
      </c>
      <c r="O154" s="4" t="inlineStr"/>
    </row>
    <row r="155" ht="80" customHeight="1">
      <c r="A155" s="7">
        <f>IMAGE("https://images.lululemon.com/is/image/lululemon/LW3HT0S_4780_1?wid=320&amp;op_usm=0.8",1)</f>
        <v/>
      </c>
      <c r="B155" s="7" t="inlineStr">
        <is>
          <t>Swiftly Tech Long-Sleeve Shirt 2.0 *Hip Length</t>
        </is>
      </c>
      <c r="C155" s="7" t="inlineStr">
        <is>
          <t>117150212</t>
        </is>
      </c>
      <c r="D155" s="7" t="inlineStr">
        <is>
          <t>117150212-black/black</t>
        </is>
      </c>
      <c r="E155" s="7" t="inlineStr">
        <is>
          <t>Swiftly Tech Long Sleeve 2.0 WHWH 0</t>
        </is>
      </c>
      <c r="F155" s="7" t="inlineStr">
        <is>
          <t>$78.00</t>
        </is>
      </c>
      <c r="G155" s="7" t="inlineStr">
        <is>
          <t>$39.00</t>
        </is>
      </c>
      <c r="H155" s="7" t="inlineStr">
        <is>
          <t>Black/Black</t>
        </is>
      </c>
      <c r="I155" s="7">
        <f>IMAGE("https://images.lululemon.com/is/image/lululemon/4780",1)</f>
        <v/>
      </c>
      <c r="J155" s="7" t="inlineStr">
        <is>
          <t>8</t>
        </is>
      </c>
      <c r="K155" s="7" t="inlineStr">
        <is>
          <t>492/8639</t>
        </is>
      </c>
      <c r="L155" s="7" t="inlineStr">
        <is>
          <t>Yes</t>
        </is>
      </c>
      <c r="M155" s="7" t="inlineStr">
        <is>
          <t>Go ahead, get sweaty. The Swiftly collection is all about high-performing fabric that seamlessly adapts to you and your workout.</t>
        </is>
      </c>
      <c r="N155" s="7" t="inlineStr">
        <is>
          <t>Swiftly-Tech-LS-2</t>
        </is>
      </c>
      <c r="O155" s="7" t="inlineStr"/>
    </row>
    <row r="156" ht="80" customHeight="1">
      <c r="A156" s="4">
        <f>IMAGE("https://images.lululemon.com/is/image/lululemon/LW3HT0S_4780_1?wid=320&amp;op_usm=0.8",1)</f>
        <v/>
      </c>
      <c r="B156" s="4" t="inlineStr">
        <is>
          <t>Swiftly Tech Long-Sleeve Shirt 2.0 *Hip Length</t>
        </is>
      </c>
      <c r="C156" s="4" t="inlineStr">
        <is>
          <t>117150200</t>
        </is>
      </c>
      <c r="D156" s="4" t="inlineStr">
        <is>
          <t>117150200-black/black</t>
        </is>
      </c>
      <c r="E156" s="4" t="inlineStr">
        <is>
          <t>Swiftly Tech Long Sleeve 2.0 WHWH 0</t>
        </is>
      </c>
      <c r="F156" s="4" t="inlineStr">
        <is>
          <t>$78.00</t>
        </is>
      </c>
      <c r="G156" s="4" t="inlineStr">
        <is>
          <t>$39.00</t>
        </is>
      </c>
      <c r="H156" s="4" t="inlineStr">
        <is>
          <t>Black/Black</t>
        </is>
      </c>
      <c r="I156" s="4">
        <f>IMAGE("https://images.lululemon.com/is/image/lululemon/4780",1)</f>
        <v/>
      </c>
      <c r="J156" s="4" t="inlineStr">
        <is>
          <t>10</t>
        </is>
      </c>
      <c r="K156" s="4" t="inlineStr">
        <is>
          <t>284/8639</t>
        </is>
      </c>
      <c r="L156" s="4" t="inlineStr">
        <is>
          <t>Yes</t>
        </is>
      </c>
      <c r="M156" s="4" t="inlineStr">
        <is>
          <t>Go ahead, get sweaty. The Swiftly collection is all about high-performing fabric that seamlessly adapts to you and your workout.</t>
        </is>
      </c>
      <c r="N156" s="4" t="inlineStr">
        <is>
          <t>Swiftly-Tech-LS-2</t>
        </is>
      </c>
      <c r="O156" s="4" t="inlineStr"/>
    </row>
    <row r="157" ht="80" customHeight="1">
      <c r="A157" s="7">
        <f>IMAGE("https://images.lululemon.com/is/image/lululemon/LW3HT0S_4780_1?wid=320&amp;op_usm=0.8",1)</f>
        <v/>
      </c>
      <c r="B157" s="7" t="inlineStr">
        <is>
          <t>Swiftly Tech Long-Sleeve Shirt 2.0 *Hip Length</t>
        </is>
      </c>
      <c r="C157" s="7" t="inlineStr">
        <is>
          <t>117150203</t>
        </is>
      </c>
      <c r="D157" s="7" t="inlineStr">
        <is>
          <t>117150203-black/black</t>
        </is>
      </c>
      <c r="E157" s="7" t="inlineStr">
        <is>
          <t>Swiftly Tech Long Sleeve 2.0 WHWH 0</t>
        </is>
      </c>
      <c r="F157" s="7" t="inlineStr">
        <is>
          <t>$78.00</t>
        </is>
      </c>
      <c r="G157" s="7" t="inlineStr">
        <is>
          <t>$39.00</t>
        </is>
      </c>
      <c r="H157" s="7" t="inlineStr">
        <is>
          <t>Black/Black</t>
        </is>
      </c>
      <c r="I157" s="7">
        <f>IMAGE("https://images.lululemon.com/is/image/lululemon/4780",1)</f>
        <v/>
      </c>
      <c r="J157" s="7" t="inlineStr">
        <is>
          <t>12</t>
        </is>
      </c>
      <c r="K157" s="7" t="inlineStr">
        <is>
          <t>116/8639</t>
        </is>
      </c>
      <c r="L157" s="7" t="inlineStr">
        <is>
          <t>Yes</t>
        </is>
      </c>
      <c r="M157" s="7" t="inlineStr">
        <is>
          <t>Go ahead, get sweaty. The Swiftly collection is all about high-performing fabric that seamlessly adapts to you and your workout.</t>
        </is>
      </c>
      <c r="N157" s="7" t="inlineStr">
        <is>
          <t>Swiftly-Tech-LS-2</t>
        </is>
      </c>
      <c r="O157" s="7" t="inlineStr"/>
    </row>
    <row r="158" ht="80" customHeight="1">
      <c r="A158" s="4">
        <f>IMAGE("https://images.lululemon.com/is/image/lululemon/LW3HT0S_4780_1?wid=320&amp;op_usm=0.8",1)</f>
        <v/>
      </c>
      <c r="B158" s="4" t="inlineStr">
        <is>
          <t>Swiftly Tech Long-Sleeve Shirt 2.0 *Hip Length</t>
        </is>
      </c>
      <c r="C158" s="4" t="inlineStr">
        <is>
          <t>117150204</t>
        </is>
      </c>
      <c r="D158" s="4" t="inlineStr">
        <is>
          <t>117150204-black/black</t>
        </is>
      </c>
      <c r="E158" s="4" t="inlineStr">
        <is>
          <t>Swiftly Tech Long Sleeve 2.0 WHWH 0</t>
        </is>
      </c>
      <c r="F158" s="4" t="inlineStr">
        <is>
          <t>$78.00</t>
        </is>
      </c>
      <c r="G158" s="4" t="inlineStr">
        <is>
          <t>$39.00</t>
        </is>
      </c>
      <c r="H158" s="4" t="inlineStr">
        <is>
          <t>Black/Black</t>
        </is>
      </c>
      <c r="I158" s="4">
        <f>IMAGE("https://images.lululemon.com/is/image/lululemon/4780",1)</f>
        <v/>
      </c>
      <c r="J158" s="4" t="inlineStr">
        <is>
          <t>14</t>
        </is>
      </c>
      <c r="K158" s="4" t="inlineStr">
        <is>
          <t>40/8639</t>
        </is>
      </c>
      <c r="L158" s="4" t="inlineStr">
        <is>
          <t>Yes</t>
        </is>
      </c>
      <c r="M158" s="4" t="inlineStr">
        <is>
          <t>Go ahead, get sweaty. The Swiftly collection is all about high-performing fabric that seamlessly adapts to you and your workout.</t>
        </is>
      </c>
      <c r="N158" s="4" t="inlineStr">
        <is>
          <t>Swiftly-Tech-LS-2</t>
        </is>
      </c>
      <c r="O158" s="4" t="inlineStr"/>
    </row>
    <row r="159" ht="80" customHeight="1">
      <c r="A159" s="7">
        <f>IMAGE("https://images.lululemon.com/is/image/lululemon/LW3HT0S_4780_1?wid=320&amp;op_usm=0.8",1)</f>
        <v/>
      </c>
      <c r="B159" s="7" t="inlineStr">
        <is>
          <t>Swiftly Tech Long-Sleeve Shirt 2.0 *Hip Length</t>
        </is>
      </c>
      <c r="C159" s="7" t="inlineStr">
        <is>
          <t>117150205</t>
        </is>
      </c>
      <c r="D159" s="7" t="inlineStr">
        <is>
          <t>117150205-black/black</t>
        </is>
      </c>
      <c r="E159" s="7" t="inlineStr">
        <is>
          <t>Swiftly Tech Long Sleeve 2.0 WHWH 0</t>
        </is>
      </c>
      <c r="F159" s="7" t="inlineStr">
        <is>
          <t>$78.00</t>
        </is>
      </c>
      <c r="G159" s="7" t="inlineStr">
        <is>
          <t>$39.00</t>
        </is>
      </c>
      <c r="H159" s="7" t="inlineStr">
        <is>
          <t>Black/Black</t>
        </is>
      </c>
      <c r="I159" s="7">
        <f>IMAGE("https://images.lululemon.com/is/image/lululemon/4780",1)</f>
        <v/>
      </c>
      <c r="J159" s="7" t="inlineStr">
        <is>
          <t>16</t>
        </is>
      </c>
      <c r="K159" s="7" t="inlineStr">
        <is>
          <t>44/8639</t>
        </is>
      </c>
      <c r="L159" s="7" t="inlineStr">
        <is>
          <t>Yes</t>
        </is>
      </c>
      <c r="M159" s="7" t="inlineStr">
        <is>
          <t>Go ahead, get sweaty. The Swiftly collection is all about high-performing fabric that seamlessly adapts to you and your workout.</t>
        </is>
      </c>
      <c r="N159" s="7" t="inlineStr">
        <is>
          <t>Swiftly-Tech-LS-2</t>
        </is>
      </c>
      <c r="O159" s="7" t="inlineStr"/>
    </row>
    <row r="160" ht="80" customHeight="1">
      <c r="A160" s="4">
        <f>IMAGE("https://images.lululemon.com/is/image/lululemon/LW3HT0S_4780_1?wid=320&amp;op_usm=0.8",1)</f>
        <v/>
      </c>
      <c r="B160" s="4" t="inlineStr">
        <is>
          <t>Swiftly Tech Long-Sleeve Shirt 2.0 *Hip Length</t>
        </is>
      </c>
      <c r="C160" s="4" t="inlineStr">
        <is>
          <t>117150206</t>
        </is>
      </c>
      <c r="D160" s="4" t="inlineStr">
        <is>
          <t>117150206-black/black</t>
        </is>
      </c>
      <c r="E160" s="4" t="inlineStr">
        <is>
          <t>Swiftly Tech Long Sleeve 2.0 WHWH 0</t>
        </is>
      </c>
      <c r="F160" s="4" t="inlineStr">
        <is>
          <t>$78.00</t>
        </is>
      </c>
      <c r="G160" s="4" t="inlineStr">
        <is>
          <t>$39.00</t>
        </is>
      </c>
      <c r="H160" s="4" t="inlineStr">
        <is>
          <t>Black/Black</t>
        </is>
      </c>
      <c r="I160" s="4">
        <f>IMAGE("https://images.lululemon.com/is/image/lululemon/4780",1)</f>
        <v/>
      </c>
      <c r="J160" s="4" t="inlineStr">
        <is>
          <t>18</t>
        </is>
      </c>
      <c r="K160" s="4" t="inlineStr">
        <is>
          <t>63/8639</t>
        </is>
      </c>
      <c r="L160" s="4" t="inlineStr">
        <is>
          <t>Yes</t>
        </is>
      </c>
      <c r="M160" s="4" t="inlineStr">
        <is>
          <t>Go ahead, get sweaty. The Swiftly collection is all about high-performing fabric that seamlessly adapts to you and your workout.</t>
        </is>
      </c>
      <c r="N160" s="4" t="inlineStr">
        <is>
          <t>Swiftly-Tech-LS-2</t>
        </is>
      </c>
      <c r="O160" s="4" t="inlineStr"/>
    </row>
    <row r="161" ht="80" customHeight="1">
      <c r="A161" s="7">
        <f>IMAGE("https://images.lululemon.com/is/image/lululemon/LW3HT0S_4780_1?wid=320&amp;op_usm=0.8",1)</f>
        <v/>
      </c>
      <c r="B161" s="7" t="inlineStr">
        <is>
          <t>Swiftly Tech Long-Sleeve Shirt 2.0 *Hip Length</t>
        </is>
      </c>
      <c r="C161" s="7" t="inlineStr">
        <is>
          <t>122876069</t>
        </is>
      </c>
      <c r="D161" s="7" t="inlineStr">
        <is>
          <t>122876069-black/black</t>
        </is>
      </c>
      <c r="E161" s="7" t="inlineStr">
        <is>
          <t>Swiftly Tech Long Sleeve 2.0 WHWH 0</t>
        </is>
      </c>
      <c r="F161" s="7" t="inlineStr">
        <is>
          <t>$78.00</t>
        </is>
      </c>
      <c r="G161" s="7" t="inlineStr">
        <is>
          <t>$39.00</t>
        </is>
      </c>
      <c r="H161" s="7" t="inlineStr">
        <is>
          <t>Black/Black</t>
        </is>
      </c>
      <c r="I161" s="7">
        <f>IMAGE("https://images.lululemon.com/is/image/lululemon/4780",1)</f>
        <v/>
      </c>
      <c r="J161" s="7" t="inlineStr">
        <is>
          <t>20</t>
        </is>
      </c>
      <c r="K161" s="7" t="inlineStr">
        <is>
          <t>45/8639</t>
        </is>
      </c>
      <c r="L161" s="7" t="inlineStr">
        <is>
          <t>Yes</t>
        </is>
      </c>
      <c r="M161" s="7" t="inlineStr">
        <is>
          <t>Go ahead, get sweaty. The Swiftly collection is all about high-performing fabric that seamlessly adapts to you and your workout.</t>
        </is>
      </c>
      <c r="N161" s="7" t="inlineStr">
        <is>
          <t>Swiftly-Tech-LS-2</t>
        </is>
      </c>
      <c r="O161" s="7" t="inlineStr"/>
    </row>
    <row r="162" ht="80" customHeight="1">
      <c r="A162" s="4">
        <f>IMAGE("https://images.lululemon.com/is/image/lululemon/LW3HT0S_4780_1?wid=320&amp;op_usm=0.8",1)</f>
        <v/>
      </c>
      <c r="B162" s="4" t="inlineStr">
        <is>
          <t>Swiftly Tech Long-Sleeve Shirt 2.0 *Hip Length</t>
        </is>
      </c>
      <c r="C162" s="4" t="inlineStr">
        <is>
          <t>117150050</t>
        </is>
      </c>
      <c r="D162" s="4" t="inlineStr">
        <is>
          <t>117150050-slate/white</t>
        </is>
      </c>
      <c r="E162" s="4" t="inlineStr">
        <is>
          <t>Swiftly Tech Long Sleeve 2.0 WHWH 0</t>
        </is>
      </c>
      <c r="F162" s="4" t="inlineStr">
        <is>
          <t>$78.00</t>
        </is>
      </c>
      <c r="G162" s="4" t="inlineStr">
        <is>
          <t>$39.00</t>
        </is>
      </c>
      <c r="H162" s="4" t="inlineStr">
        <is>
          <t>Slate/White</t>
        </is>
      </c>
      <c r="I162" s="4">
        <f>IMAGE("https://images.lululemon.com/is/image/lululemon/0572",1)</f>
        <v/>
      </c>
      <c r="J162" s="4" t="inlineStr">
        <is>
          <t>0</t>
        </is>
      </c>
      <c r="K162" s="4" t="inlineStr">
        <is>
          <t>4/8639</t>
        </is>
      </c>
      <c r="L162" s="4" t="inlineStr">
        <is>
          <t>Yes</t>
        </is>
      </c>
      <c r="M162" s="4" t="inlineStr">
        <is>
          <t>Go ahead, get sweaty. The Swiftly collection is all about high-performing fabric that seamlessly adapts to you and your workout.</t>
        </is>
      </c>
      <c r="N162" s="4" t="inlineStr">
        <is>
          <t>Swiftly-Tech-LS-2</t>
        </is>
      </c>
      <c r="O162" s="4" t="inlineStr"/>
    </row>
    <row r="163" ht="80" customHeight="1">
      <c r="A163" s="7">
        <f>IMAGE("https://images.lululemon.com/is/image/lululemon/LW3HT0S_4780_1?wid=320&amp;op_usm=0.8",1)</f>
        <v/>
      </c>
      <c r="B163" s="7" t="inlineStr">
        <is>
          <t>Swiftly Tech Long-Sleeve Shirt 2.0 *Hip Length</t>
        </is>
      </c>
      <c r="C163" s="7" t="inlineStr">
        <is>
          <t>117150061</t>
        </is>
      </c>
      <c r="D163" s="7" t="inlineStr">
        <is>
          <t>117150061-slate/white</t>
        </is>
      </c>
      <c r="E163" s="7" t="inlineStr">
        <is>
          <t>Swiftly Tech Long Sleeve 2.0 WHWH 0</t>
        </is>
      </c>
      <c r="F163" s="7" t="inlineStr">
        <is>
          <t>$78.00</t>
        </is>
      </c>
      <c r="G163" s="7" t="inlineStr">
        <is>
          <t>$39.00</t>
        </is>
      </c>
      <c r="H163" s="7" t="inlineStr">
        <is>
          <t>Slate/White</t>
        </is>
      </c>
      <c r="I163" s="7">
        <f>IMAGE("https://images.lululemon.com/is/image/lululemon/0572",1)</f>
        <v/>
      </c>
      <c r="J163" s="7" t="inlineStr">
        <is>
          <t>2</t>
        </is>
      </c>
      <c r="K163" s="7" t="inlineStr">
        <is>
          <t>110/8639</t>
        </is>
      </c>
      <c r="L163" s="7" t="inlineStr">
        <is>
          <t>Yes</t>
        </is>
      </c>
      <c r="M163" s="7" t="inlineStr">
        <is>
          <t>Go ahead, get sweaty. The Swiftly collection is all about high-performing fabric that seamlessly adapts to you and your workout.</t>
        </is>
      </c>
      <c r="N163" s="7" t="inlineStr">
        <is>
          <t>Swiftly-Tech-LS-2</t>
        </is>
      </c>
      <c r="O163" s="7" t="inlineStr"/>
    </row>
    <row r="164" ht="80" customHeight="1">
      <c r="A164" s="4">
        <f>IMAGE("https://images.lululemon.com/is/image/lululemon/LW3HT0S_4780_1?wid=320&amp;op_usm=0.8",1)</f>
        <v/>
      </c>
      <c r="B164" s="4" t="inlineStr">
        <is>
          <t>Swiftly Tech Long-Sleeve Shirt 2.0 *Hip Length</t>
        </is>
      </c>
      <c r="C164" s="4" t="inlineStr">
        <is>
          <t>117150062</t>
        </is>
      </c>
      <c r="D164" s="4" t="inlineStr">
        <is>
          <t>117150062-slate/white</t>
        </is>
      </c>
      <c r="E164" s="4" t="inlineStr">
        <is>
          <t>Swiftly Tech Long Sleeve 2.0 WHWH 0</t>
        </is>
      </c>
      <c r="F164" s="4" t="inlineStr">
        <is>
          <t>$78.00</t>
        </is>
      </c>
      <c r="G164" s="4" t="inlineStr">
        <is>
          <t>$39.00</t>
        </is>
      </c>
      <c r="H164" s="4" t="inlineStr">
        <is>
          <t>Slate/White</t>
        </is>
      </c>
      <c r="I164" s="4">
        <f>IMAGE("https://images.lululemon.com/is/image/lululemon/0572",1)</f>
        <v/>
      </c>
      <c r="J164" s="4" t="inlineStr">
        <is>
          <t>4</t>
        </is>
      </c>
      <c r="K164" s="4" t="inlineStr">
        <is>
          <t>583/8639</t>
        </is>
      </c>
      <c r="L164" s="4" t="inlineStr">
        <is>
          <t>Yes</t>
        </is>
      </c>
      <c r="M164" s="4" t="inlineStr">
        <is>
          <t>Go ahead, get sweaty. The Swiftly collection is all about high-performing fabric that seamlessly adapts to you and your workout.</t>
        </is>
      </c>
      <c r="N164" s="4" t="inlineStr">
        <is>
          <t>Swiftly-Tech-LS-2</t>
        </is>
      </c>
      <c r="O164" s="4" t="inlineStr"/>
    </row>
    <row r="165" ht="80" customHeight="1">
      <c r="A165" s="7">
        <f>IMAGE("https://images.lululemon.com/is/image/lululemon/LW3HT0S_4780_1?wid=320&amp;op_usm=0.8",1)</f>
        <v/>
      </c>
      <c r="B165" s="7" t="inlineStr">
        <is>
          <t>Swiftly Tech Long-Sleeve Shirt 2.0 *Hip Length</t>
        </is>
      </c>
      <c r="C165" s="7" t="inlineStr">
        <is>
          <t>117150064</t>
        </is>
      </c>
      <c r="D165" s="7" t="inlineStr">
        <is>
          <t>117150064-slate/white</t>
        </is>
      </c>
      <c r="E165" s="7" t="inlineStr">
        <is>
          <t>Swiftly Tech Long Sleeve 2.0 WHWH 0</t>
        </is>
      </c>
      <c r="F165" s="7" t="inlineStr">
        <is>
          <t>$78.00</t>
        </is>
      </c>
      <c r="G165" s="7" t="inlineStr">
        <is>
          <t>$39.00</t>
        </is>
      </c>
      <c r="H165" s="7" t="inlineStr">
        <is>
          <t>Slate/White</t>
        </is>
      </c>
      <c r="I165" s="7">
        <f>IMAGE("https://images.lululemon.com/is/image/lululemon/0572",1)</f>
        <v/>
      </c>
      <c r="J165" s="7" t="inlineStr">
        <is>
          <t>6</t>
        </is>
      </c>
      <c r="K165" s="7" t="inlineStr">
        <is>
          <t>1483/8639</t>
        </is>
      </c>
      <c r="L165" s="7" t="inlineStr">
        <is>
          <t>Yes</t>
        </is>
      </c>
      <c r="M165" s="7" t="inlineStr">
        <is>
          <t>Go ahead, get sweaty. The Swiftly collection is all about high-performing fabric that seamlessly adapts to you and your workout.</t>
        </is>
      </c>
      <c r="N165" s="7" t="inlineStr">
        <is>
          <t>Swiftly-Tech-LS-2</t>
        </is>
      </c>
      <c r="O165" s="7" t="inlineStr"/>
    </row>
    <row r="166" ht="80" customHeight="1">
      <c r="A166" s="4">
        <f>IMAGE("https://images.lululemon.com/is/image/lululemon/LW3HT0S_4780_1?wid=320&amp;op_usm=0.8",1)</f>
        <v/>
      </c>
      <c r="B166" s="4" t="inlineStr">
        <is>
          <t>Swiftly Tech Long-Sleeve Shirt 2.0 *Hip Length</t>
        </is>
      </c>
      <c r="C166" s="4" t="inlineStr">
        <is>
          <t>117150066</t>
        </is>
      </c>
      <c r="D166" s="4" t="inlineStr">
        <is>
          <t>117150066-slate/white</t>
        </is>
      </c>
      <c r="E166" s="4" t="inlineStr">
        <is>
          <t>Swiftly Tech Long Sleeve 2.0 WHWH 0</t>
        </is>
      </c>
      <c r="F166" s="4" t="inlineStr">
        <is>
          <t>$78.00</t>
        </is>
      </c>
      <c r="G166" s="4" t="inlineStr">
        <is>
          <t>$39.00</t>
        </is>
      </c>
      <c r="H166" s="4" t="inlineStr">
        <is>
          <t>Slate/White</t>
        </is>
      </c>
      <c r="I166" s="4">
        <f>IMAGE("https://images.lululemon.com/is/image/lululemon/0572",1)</f>
        <v/>
      </c>
      <c r="J166" s="4" t="inlineStr">
        <is>
          <t>8</t>
        </is>
      </c>
      <c r="K166" s="4" t="inlineStr">
        <is>
          <t>1486/8639</t>
        </is>
      </c>
      <c r="L166" s="4" t="inlineStr">
        <is>
          <t>Yes</t>
        </is>
      </c>
      <c r="M166" s="4" t="inlineStr">
        <is>
          <t>Go ahead, get sweaty. The Swiftly collection is all about high-performing fabric that seamlessly adapts to you and your workout.</t>
        </is>
      </c>
      <c r="N166" s="4" t="inlineStr">
        <is>
          <t>Swiftly-Tech-LS-2</t>
        </is>
      </c>
      <c r="O166" s="4" t="inlineStr"/>
    </row>
    <row r="167" ht="80" customHeight="1">
      <c r="A167" s="7">
        <f>IMAGE("https://images.lululemon.com/is/image/lululemon/LW3HT0S_4780_1?wid=320&amp;op_usm=0.8",1)</f>
        <v/>
      </c>
      <c r="B167" s="7" t="inlineStr">
        <is>
          <t>Swiftly Tech Long-Sleeve Shirt 2.0 *Hip Length</t>
        </is>
      </c>
      <c r="C167" s="7" t="inlineStr">
        <is>
          <t>117150052</t>
        </is>
      </c>
      <c r="D167" s="7" t="inlineStr">
        <is>
          <t>117150052-slate/white</t>
        </is>
      </c>
      <c r="E167" s="7" t="inlineStr">
        <is>
          <t>Swiftly Tech Long Sleeve 2.0 WHWH 0</t>
        </is>
      </c>
      <c r="F167" s="7" t="inlineStr">
        <is>
          <t>$78.00</t>
        </is>
      </c>
      <c r="G167" s="7" t="inlineStr">
        <is>
          <t>$39.00</t>
        </is>
      </c>
      <c r="H167" s="7" t="inlineStr">
        <is>
          <t>Slate/White</t>
        </is>
      </c>
      <c r="I167" s="7">
        <f>IMAGE("https://images.lululemon.com/is/image/lululemon/0572",1)</f>
        <v/>
      </c>
      <c r="J167" s="7" t="inlineStr">
        <is>
          <t>10</t>
        </is>
      </c>
      <c r="K167" s="7" t="inlineStr">
        <is>
          <t>754/8639</t>
        </is>
      </c>
      <c r="L167" s="7" t="inlineStr">
        <is>
          <t>Yes</t>
        </is>
      </c>
      <c r="M167" s="7" t="inlineStr">
        <is>
          <t>Go ahead, get sweaty. The Swiftly collection is all about high-performing fabric that seamlessly adapts to you and your workout.</t>
        </is>
      </c>
      <c r="N167" s="7" t="inlineStr">
        <is>
          <t>Swiftly-Tech-LS-2</t>
        </is>
      </c>
      <c r="O167" s="7" t="inlineStr"/>
    </row>
    <row r="168" ht="80" customHeight="1">
      <c r="A168" s="4">
        <f>IMAGE("https://images.lululemon.com/is/image/lululemon/LW3HT0S_4780_1?wid=320&amp;op_usm=0.8",1)</f>
        <v/>
      </c>
      <c r="B168" s="4" t="inlineStr">
        <is>
          <t>Swiftly Tech Long-Sleeve Shirt 2.0 *Hip Length</t>
        </is>
      </c>
      <c r="C168" s="4" t="inlineStr">
        <is>
          <t>117150053</t>
        </is>
      </c>
      <c r="D168" s="4" t="inlineStr">
        <is>
          <t>117150053-slate/white</t>
        </is>
      </c>
      <c r="E168" s="4" t="inlineStr">
        <is>
          <t>Swiftly Tech Long Sleeve 2.0 WHWH 0</t>
        </is>
      </c>
      <c r="F168" s="4" t="inlineStr">
        <is>
          <t>$78.00</t>
        </is>
      </c>
      <c r="G168" s="4" t="inlineStr">
        <is>
          <t>$39.00</t>
        </is>
      </c>
      <c r="H168" s="4" t="inlineStr">
        <is>
          <t>Slate/White</t>
        </is>
      </c>
      <c r="I168" s="4">
        <f>IMAGE("https://images.lululemon.com/is/image/lululemon/0572",1)</f>
        <v/>
      </c>
      <c r="J168" s="4" t="inlineStr">
        <is>
          <t>12</t>
        </is>
      </c>
      <c r="K168" s="4" t="inlineStr">
        <is>
          <t>306/8639</t>
        </is>
      </c>
      <c r="L168" s="4" t="inlineStr">
        <is>
          <t>Yes</t>
        </is>
      </c>
      <c r="M168" s="4" t="inlineStr">
        <is>
          <t>Go ahead, get sweaty. The Swiftly collection is all about high-performing fabric that seamlessly adapts to you and your workout.</t>
        </is>
      </c>
      <c r="N168" s="4" t="inlineStr">
        <is>
          <t>Swiftly-Tech-LS-2</t>
        </is>
      </c>
      <c r="O168" s="4" t="inlineStr"/>
    </row>
    <row r="169" ht="80" customHeight="1">
      <c r="A169" s="7">
        <f>IMAGE("https://images.lululemon.com/is/image/lululemon/LW3HT0S_4780_1?wid=320&amp;op_usm=0.8",1)</f>
        <v/>
      </c>
      <c r="B169" s="7" t="inlineStr">
        <is>
          <t>Swiftly Tech Long-Sleeve Shirt 2.0 *Hip Length</t>
        </is>
      </c>
      <c r="C169" s="7" t="inlineStr">
        <is>
          <t>117150055</t>
        </is>
      </c>
      <c r="D169" s="7" t="inlineStr">
        <is>
          <t>117150055-slate/white</t>
        </is>
      </c>
      <c r="E169" s="7" t="inlineStr">
        <is>
          <t>Swiftly Tech Long Sleeve 2.0 WHWH 0</t>
        </is>
      </c>
      <c r="F169" s="7" t="inlineStr">
        <is>
          <t>$78.00</t>
        </is>
      </c>
      <c r="G169" s="7" t="inlineStr">
        <is>
          <t>$39.00</t>
        </is>
      </c>
      <c r="H169" s="7" t="inlineStr">
        <is>
          <t>Slate/White</t>
        </is>
      </c>
      <c r="I169" s="7">
        <f>IMAGE("https://images.lululemon.com/is/image/lululemon/0572",1)</f>
        <v/>
      </c>
      <c r="J169" s="7" t="inlineStr">
        <is>
          <t>14</t>
        </is>
      </c>
      <c r="K169" s="7" t="inlineStr">
        <is>
          <t>10/8639</t>
        </is>
      </c>
      <c r="L169" s="7" t="inlineStr">
        <is>
          <t>Yes</t>
        </is>
      </c>
      <c r="M169" s="7" t="inlineStr">
        <is>
          <t>Go ahead, get sweaty. The Swiftly collection is all about high-performing fabric that seamlessly adapts to you and your workout.</t>
        </is>
      </c>
      <c r="N169" s="7" t="inlineStr">
        <is>
          <t>Swiftly-Tech-LS-2</t>
        </is>
      </c>
      <c r="O169" s="7" t="inlineStr"/>
    </row>
    <row r="170" ht="80" customHeight="1">
      <c r="A170" s="4">
        <f>IMAGE("https://images.lululemon.com/is/image/lululemon/LW3HT0S_4780_1?wid=320&amp;op_usm=0.8",1)</f>
        <v/>
      </c>
      <c r="B170" s="4" t="inlineStr">
        <is>
          <t>Swiftly Tech Long-Sleeve Shirt 2.0 *Hip Length</t>
        </is>
      </c>
      <c r="C170" s="4" t="inlineStr">
        <is>
          <t>155850333</t>
        </is>
      </c>
      <c r="D170" s="4" t="inlineStr">
        <is>
          <t>155850333-rainforestgreen/rainforestgreen</t>
        </is>
      </c>
      <c r="E170" s="4" t="inlineStr">
        <is>
          <t>Swiftly Tech Long Sleeve 2.0 WHWH 0</t>
        </is>
      </c>
      <c r="F170" s="4" t="inlineStr">
        <is>
          <t>$78.00</t>
        </is>
      </c>
      <c r="G170" s="4" t="inlineStr">
        <is>
          <t>$39.00</t>
        </is>
      </c>
      <c r="H170" s="4" t="inlineStr">
        <is>
          <t>Rainforest Green/Rainforest Green</t>
        </is>
      </c>
      <c r="I170" s="4">
        <f>IMAGE("https://images.lululemon.com/is/image/lululemon/49910",1)</f>
        <v/>
      </c>
      <c r="J170" s="4" t="inlineStr">
        <is>
          <t>2</t>
        </is>
      </c>
      <c r="K170" s="4" t="inlineStr">
        <is>
          <t>21/8639</t>
        </is>
      </c>
      <c r="L170" s="4" t="inlineStr">
        <is>
          <t>Yes</t>
        </is>
      </c>
      <c r="M170" s="4" t="inlineStr">
        <is>
          <t>Go ahead, get sweaty. The Swiftly collection is all about high-performing fabric that seamlessly adapts to you and your workout.</t>
        </is>
      </c>
      <c r="N170" s="4" t="inlineStr">
        <is>
          <t>Swiftly-Tech-LS-2</t>
        </is>
      </c>
      <c r="O170" s="4" t="inlineStr"/>
    </row>
    <row r="171" ht="80" customHeight="1">
      <c r="A171" s="7">
        <f>IMAGE("https://images.lululemon.com/is/image/lululemon/LW3HT0S_4780_1?wid=320&amp;op_usm=0.8",1)</f>
        <v/>
      </c>
      <c r="B171" s="7" t="inlineStr">
        <is>
          <t>Swiftly Tech Long-Sleeve Shirt 2.0 *Hip Length</t>
        </is>
      </c>
      <c r="C171" s="7" t="inlineStr">
        <is>
          <t>155850392</t>
        </is>
      </c>
      <c r="D171" s="7" t="inlineStr">
        <is>
          <t>155850392-rainforestgreen/rainforestgreen</t>
        </is>
      </c>
      <c r="E171" s="7" t="inlineStr">
        <is>
          <t>Swiftly Tech Long Sleeve 2.0 WHWH 0</t>
        </is>
      </c>
      <c r="F171" s="7" t="inlineStr">
        <is>
          <t>$78.00</t>
        </is>
      </c>
      <c r="G171" s="7" t="inlineStr">
        <is>
          <t>$39.00</t>
        </is>
      </c>
      <c r="H171" s="7" t="inlineStr">
        <is>
          <t>Rainforest Green/Rainforest Green</t>
        </is>
      </c>
      <c r="I171" s="7">
        <f>IMAGE("https://images.lululemon.com/is/image/lululemon/49910",1)</f>
        <v/>
      </c>
      <c r="J171" s="7" t="inlineStr">
        <is>
          <t>4</t>
        </is>
      </c>
      <c r="K171" s="7" t="inlineStr">
        <is>
          <t>55/8639</t>
        </is>
      </c>
      <c r="L171" s="7" t="inlineStr">
        <is>
          <t>Yes</t>
        </is>
      </c>
      <c r="M171" s="7" t="inlineStr">
        <is>
          <t>Go ahead, get sweaty. The Swiftly collection is all about high-performing fabric that seamlessly adapts to you and your workout.</t>
        </is>
      </c>
      <c r="N171" s="7" t="inlineStr">
        <is>
          <t>Swiftly-Tech-LS-2</t>
        </is>
      </c>
      <c r="O171" s="7" t="inlineStr"/>
    </row>
    <row r="172" ht="80" customHeight="1">
      <c r="A172" s="4">
        <f>IMAGE("https://images.lululemon.com/is/image/lululemon/LW3HT0S_4780_1?wid=320&amp;op_usm=0.8",1)</f>
        <v/>
      </c>
      <c r="B172" s="4" t="inlineStr">
        <is>
          <t>Swiftly Tech Long-Sleeve Shirt 2.0 *Hip Length</t>
        </is>
      </c>
      <c r="C172" s="4" t="inlineStr">
        <is>
          <t>155850403</t>
        </is>
      </c>
      <c r="D172" s="4" t="inlineStr">
        <is>
          <t>155850403-rainforestgreen/rainforestgreen</t>
        </is>
      </c>
      <c r="E172" s="4" t="inlineStr">
        <is>
          <t>Swiftly Tech Long Sleeve 2.0 WHWH 0</t>
        </is>
      </c>
      <c r="F172" s="4" t="inlineStr">
        <is>
          <t>$78.00</t>
        </is>
      </c>
      <c r="G172" s="4" t="inlineStr">
        <is>
          <t>$39.00</t>
        </is>
      </c>
      <c r="H172" s="4" t="inlineStr">
        <is>
          <t>Rainforest Green/Rainforest Green</t>
        </is>
      </c>
      <c r="I172" s="4">
        <f>IMAGE("https://images.lululemon.com/is/image/lululemon/49910",1)</f>
        <v/>
      </c>
      <c r="J172" s="4" t="inlineStr">
        <is>
          <t>6</t>
        </is>
      </c>
      <c r="K172" s="4" t="inlineStr">
        <is>
          <t>44/8639</t>
        </is>
      </c>
      <c r="L172" s="4" t="inlineStr">
        <is>
          <t>Yes</t>
        </is>
      </c>
      <c r="M172" s="4" t="inlineStr">
        <is>
          <t>Go ahead, get sweaty. The Swiftly collection is all about high-performing fabric that seamlessly adapts to you and your workout.</t>
        </is>
      </c>
      <c r="N172" s="4" t="inlineStr">
        <is>
          <t>Swiftly-Tech-LS-2</t>
        </is>
      </c>
      <c r="O172" s="4" t="inlineStr"/>
    </row>
    <row r="173" ht="80" customHeight="1">
      <c r="A173" s="7">
        <f>IMAGE("https://images.lululemon.com/is/image/lululemon/LW3HT0S_4780_1?wid=320&amp;op_usm=0.8",1)</f>
        <v/>
      </c>
      <c r="B173" s="7" t="inlineStr">
        <is>
          <t>Swiftly Tech Long-Sleeve Shirt 2.0 *Hip Length</t>
        </is>
      </c>
      <c r="C173" s="7" t="inlineStr">
        <is>
          <t>155850417</t>
        </is>
      </c>
      <c r="D173" s="7" t="inlineStr">
        <is>
          <t>155850417-rainforestgreen/rainforestgreen</t>
        </is>
      </c>
      <c r="E173" s="7" t="inlineStr">
        <is>
          <t>Swiftly Tech Long Sleeve 2.0 WHWH 0</t>
        </is>
      </c>
      <c r="F173" s="7" t="inlineStr">
        <is>
          <t>$78.00</t>
        </is>
      </c>
      <c r="G173" s="7" t="inlineStr">
        <is>
          <t>$39.00</t>
        </is>
      </c>
      <c r="H173" s="7" t="inlineStr">
        <is>
          <t>Rainforest Green/Rainforest Green</t>
        </is>
      </c>
      <c r="I173" s="7">
        <f>IMAGE("https://images.lululemon.com/is/image/lululemon/49910",1)</f>
        <v/>
      </c>
      <c r="J173" s="7" t="inlineStr">
        <is>
          <t>8</t>
        </is>
      </c>
      <c r="K173" s="7" t="inlineStr">
        <is>
          <t>46/8639</t>
        </is>
      </c>
      <c r="L173" s="7" t="inlineStr">
        <is>
          <t>Yes</t>
        </is>
      </c>
      <c r="M173" s="7" t="inlineStr">
        <is>
          <t>Go ahead, get sweaty. The Swiftly collection is all about high-performing fabric that seamlessly adapts to you and your workout.</t>
        </is>
      </c>
      <c r="N173" s="7" t="inlineStr">
        <is>
          <t>Swiftly-Tech-LS-2</t>
        </is>
      </c>
      <c r="O173" s="7" t="inlineStr"/>
    </row>
    <row r="174" ht="80" customHeight="1">
      <c r="A174" s="6">
        <f>IMAGE("https://images.lululemon.com/is/image/lululemon/LW3HT0S_4780_1?wid=320&amp;op_usm=0.8",1)</f>
        <v/>
      </c>
      <c r="B174" s="6" t="inlineStr">
        <is>
          <t>Swiftly Tech Long-Sleeve Shirt 2.0 *Hip Length</t>
        </is>
      </c>
      <c r="C174" s="6" t="inlineStr">
        <is>
          <t>155850275</t>
        </is>
      </c>
      <c r="D174" s="6" t="inlineStr">
        <is>
          <t>155850275-rainforestgreen/rainforestgreen</t>
        </is>
      </c>
      <c r="E174" s="6" t="inlineStr">
        <is>
          <t>Swiftly Tech Long Sleeve 2.0 WHWH 0</t>
        </is>
      </c>
      <c r="F174" s="6" t="inlineStr">
        <is>
          <t>$78.00</t>
        </is>
      </c>
      <c r="G174" s="6" t="inlineStr">
        <is>
          <t>$39.00</t>
        </is>
      </c>
      <c r="H174" s="6" t="inlineStr">
        <is>
          <t>Rainforest Green/Rainforest Green</t>
        </is>
      </c>
      <c r="I174" s="6">
        <f>IMAGE("https://images.lululemon.com/is/image/lululemon/49910",1)</f>
        <v/>
      </c>
      <c r="J174" s="6" t="inlineStr">
        <is>
          <t>10</t>
        </is>
      </c>
      <c r="K174" s="6" t="inlineStr">
        <is>
          <t>46/8639</t>
        </is>
      </c>
      <c r="L174" s="6" t="inlineStr">
        <is>
          <t>Yes</t>
        </is>
      </c>
      <c r="M174" s="6" t="inlineStr">
        <is>
          <t>Go ahead, get sweaty. The Swiftly collection is all about high-performing fabric that seamlessly adapts to you and your workout.</t>
        </is>
      </c>
      <c r="N174" s="6" t="inlineStr">
        <is>
          <t>Swiftly-Tech-LS-2</t>
        </is>
      </c>
      <c r="O174" s="6" t="inlineStr"/>
    </row>
    <row r="175" ht="80" customHeight="1">
      <c r="A175" s="7">
        <f>IMAGE("https://images.lululemon.com/is/image/lululemon/LW3GH4S_4780_1?wid=320&amp;op_usm=0.8",1)</f>
        <v/>
      </c>
      <c r="B175" s="7" t="inlineStr">
        <is>
          <t>Swiftly Tech Cropped Long-Sleeve Shirt 2.0</t>
        </is>
      </c>
      <c r="C175" s="7" t="inlineStr">
        <is>
          <t>146056178</t>
        </is>
      </c>
      <c r="D175" s="7" t="inlineStr">
        <is>
          <t>146056178-black/black</t>
        </is>
      </c>
      <c r="E175" s="7" t="inlineStr">
        <is>
          <t>Swiftly Tech Cropped Long Sleeve 2.0 BLK/BLK 6</t>
        </is>
      </c>
      <c r="F175" s="7" t="inlineStr">
        <is>
          <t>$78.00</t>
        </is>
      </c>
      <c r="G175" s="7" t="inlineStr">
        <is>
          <t>$39.00</t>
        </is>
      </c>
      <c r="H175" s="7" t="inlineStr">
        <is>
          <t>Black/Black</t>
        </is>
      </c>
      <c r="I175" s="7">
        <f>IMAGE("https://images.lululemon.com/is/image/lululemon/4780",1)</f>
        <v/>
      </c>
      <c r="J175" s="7" t="inlineStr">
        <is>
          <t>6</t>
        </is>
      </c>
      <c r="K175" s="7" t="inlineStr">
        <is>
          <t>83/465</t>
        </is>
      </c>
      <c r="L175" s="7" t="inlineStr">
        <is>
          <t>Yes</t>
        </is>
      </c>
      <c r="M175" s="7" t="inlineStr">
        <is>
          <t>Go ahead, get sweaty. The Swiftly collection is all about high-performing fabric that seamlessly adapts to you and your workout.</t>
        </is>
      </c>
      <c r="N175" s="7" t="inlineStr">
        <is>
          <t>Swiftly-Tech-Cropped-Long-Sleeve-Shirt-2</t>
        </is>
      </c>
      <c r="O175" s="7" t="inlineStr"/>
    </row>
    <row r="176" ht="80" customHeight="1">
      <c r="A176" s="4">
        <f>IMAGE("https://images.lululemon.com/is/image/lululemon/LW3GH4S_4780_1?wid=320&amp;op_usm=0.8",1)</f>
        <v/>
      </c>
      <c r="B176" s="4" t="inlineStr">
        <is>
          <t>Swiftly Tech Cropped Long-Sleeve Shirt 2.0</t>
        </is>
      </c>
      <c r="C176" s="4" t="inlineStr">
        <is>
          <t>146056179</t>
        </is>
      </c>
      <c r="D176" s="4" t="inlineStr">
        <is>
          <t>146056179-black/black</t>
        </is>
      </c>
      <c r="E176" s="4" t="inlineStr">
        <is>
          <t>Swiftly Tech Cropped Long Sleeve 2.0 BLK/BLK 6</t>
        </is>
      </c>
      <c r="F176" s="4" t="inlineStr">
        <is>
          <t>$78.00</t>
        </is>
      </c>
      <c r="G176" s="4" t="inlineStr">
        <is>
          <t>$39.00</t>
        </is>
      </c>
      <c r="H176" s="4" t="inlineStr">
        <is>
          <t>Black/Black</t>
        </is>
      </c>
      <c r="I176" s="4">
        <f>IMAGE("https://images.lululemon.com/is/image/lululemon/4780",1)</f>
        <v/>
      </c>
      <c r="J176" s="4" t="inlineStr">
        <is>
          <t>8</t>
        </is>
      </c>
      <c r="K176" s="4" t="inlineStr">
        <is>
          <t>148/465</t>
        </is>
      </c>
      <c r="L176" s="4" t="inlineStr">
        <is>
          <t>Yes</t>
        </is>
      </c>
      <c r="M176" s="4" t="inlineStr">
        <is>
          <t>Go ahead, get sweaty. The Swiftly collection is all about high-performing fabric that seamlessly adapts to you and your workout.</t>
        </is>
      </c>
      <c r="N176" s="4" t="inlineStr">
        <is>
          <t>Swiftly-Tech-Cropped-Long-Sleeve-Shirt-2</t>
        </is>
      </c>
      <c r="O176" s="4" t="inlineStr"/>
    </row>
    <row r="177" ht="80" customHeight="1">
      <c r="A177" s="7">
        <f>IMAGE("https://images.lululemon.com/is/image/lululemon/LW3GH4S_4780_1?wid=320&amp;op_usm=0.8",1)</f>
        <v/>
      </c>
      <c r="B177" s="7" t="inlineStr">
        <is>
          <t>Swiftly Tech Cropped Long-Sleeve Shirt 2.0</t>
        </is>
      </c>
      <c r="C177" s="7" t="inlineStr">
        <is>
          <t>146056167</t>
        </is>
      </c>
      <c r="D177" s="7" t="inlineStr">
        <is>
          <t>146056167-black/black</t>
        </is>
      </c>
      <c r="E177" s="7" t="inlineStr">
        <is>
          <t>Swiftly Tech Cropped Long Sleeve 2.0 BLK/BLK 6</t>
        </is>
      </c>
      <c r="F177" s="7" t="inlineStr">
        <is>
          <t>$78.00</t>
        </is>
      </c>
      <c r="G177" s="7" t="inlineStr">
        <is>
          <t>$39.00</t>
        </is>
      </c>
      <c r="H177" s="7" t="inlineStr">
        <is>
          <t>Black/Black</t>
        </is>
      </c>
      <c r="I177" s="7">
        <f>IMAGE("https://images.lululemon.com/is/image/lululemon/4780",1)</f>
        <v/>
      </c>
      <c r="J177" s="7" t="inlineStr">
        <is>
          <t>10</t>
        </is>
      </c>
      <c r="K177" s="7" t="inlineStr">
        <is>
          <t>159/465</t>
        </is>
      </c>
      <c r="L177" s="7" t="inlineStr">
        <is>
          <t>Yes</t>
        </is>
      </c>
      <c r="M177" s="7" t="inlineStr">
        <is>
          <t>Go ahead, get sweaty. The Swiftly collection is all about high-performing fabric that seamlessly adapts to you and your workout.</t>
        </is>
      </c>
      <c r="N177" s="7" t="inlineStr">
        <is>
          <t>Swiftly-Tech-Cropped-Long-Sleeve-Shirt-2</t>
        </is>
      </c>
      <c r="O177" s="7" t="inlineStr"/>
    </row>
    <row r="178" ht="80" customHeight="1">
      <c r="A178" s="6">
        <f>IMAGE("https://images.lululemon.com/is/image/lululemon/LW3GH4S_4780_1?wid=320&amp;op_usm=0.8",1)</f>
        <v/>
      </c>
      <c r="B178" s="6" t="inlineStr">
        <is>
          <t>Swiftly Tech Cropped Long-Sleeve Shirt 2.0</t>
        </is>
      </c>
      <c r="C178" s="6" t="inlineStr">
        <is>
          <t>146056168</t>
        </is>
      </c>
      <c r="D178" s="6" t="inlineStr">
        <is>
          <t>146056168-black/black</t>
        </is>
      </c>
      <c r="E178" s="6" t="inlineStr">
        <is>
          <t>Swiftly Tech Cropped Long Sleeve 2.0 BLK/BLK 6</t>
        </is>
      </c>
      <c r="F178" s="6" t="inlineStr">
        <is>
          <t>$78.00</t>
        </is>
      </c>
      <c r="G178" s="6" t="inlineStr">
        <is>
          <t>$39.00</t>
        </is>
      </c>
      <c r="H178" s="6" t="inlineStr">
        <is>
          <t>Black/Black</t>
        </is>
      </c>
      <c r="I178" s="6">
        <f>IMAGE("https://images.lululemon.com/is/image/lululemon/4780",1)</f>
        <v/>
      </c>
      <c r="J178" s="6" t="inlineStr">
        <is>
          <t>12</t>
        </is>
      </c>
      <c r="K178" s="6" t="inlineStr">
        <is>
          <t>75/465</t>
        </is>
      </c>
      <c r="L178" s="6" t="inlineStr">
        <is>
          <t>Yes</t>
        </is>
      </c>
      <c r="M178" s="6" t="inlineStr">
        <is>
          <t>Go ahead, get sweaty. The Swiftly collection is all about high-performing fabric that seamlessly adapts to you and your workout.</t>
        </is>
      </c>
      <c r="N178" s="6" t="inlineStr">
        <is>
          <t>Swiftly-Tech-Cropped-Long-Sleeve-Shirt-2</t>
        </is>
      </c>
      <c r="O178" s="6" t="inlineStr"/>
    </row>
    <row r="179" ht="80" customHeight="1">
      <c r="A179" s="5">
        <f>IMAGE("https://images.lululemon.com/is/image/lululemon/LU9BE3S_0001_1?wid=320&amp;op_usm=0.8",1)</f>
        <v/>
      </c>
      <c r="B179" s="5" t="inlineStr">
        <is>
          <t>Everywhere Belt Bag 1L *Clear</t>
        </is>
      </c>
      <c r="C179" s="5" t="inlineStr">
        <is>
          <t>147475064</t>
        </is>
      </c>
      <c r="D179" s="5" t="inlineStr">
        <is>
          <t>147475064-black</t>
        </is>
      </c>
      <c r="E179" s="5" t="inlineStr">
        <is>
          <t>Everywhere Belt Bag *Clear BLK ONE SIZE</t>
        </is>
      </c>
      <c r="F179" s="5" t="inlineStr">
        <is>
          <t>$38.00</t>
        </is>
      </c>
      <c r="G179" s="5" t="inlineStr">
        <is>
          <t>$19.00</t>
        </is>
      </c>
      <c r="H179" s="5" t="inlineStr">
        <is>
          <t>Black</t>
        </is>
      </c>
      <c r="I179" s="5">
        <f>IMAGE("https://images.lululemon.com/is/image/lululemon/0001",1)</f>
        <v/>
      </c>
      <c r="J179" s="5" t="inlineStr">
        <is>
          <t>O/S</t>
        </is>
      </c>
      <c r="K179" s="5" t="inlineStr">
        <is>
          <t>420/420</t>
        </is>
      </c>
      <c r="L179" s="5" t="inlineStr">
        <is>
          <t>Yes</t>
        </is>
      </c>
      <c r="M179" s="5" t="inlineStr">
        <is>
          <t>Stadium ready. Whether you're heading to a concert or cheering on your home team, this transparent belt bag keeps your belongings visible so lineups are a breeze.</t>
        </is>
      </c>
      <c r="N179" s="5" t="inlineStr">
        <is>
          <t>Clear-Belt-Bag-Logo-1L</t>
        </is>
      </c>
      <c r="O179" s="5" t="inlineStr">
        <is>
          <t>Belt Bags, Crossbody Bags</t>
        </is>
      </c>
    </row>
    <row r="180" ht="80" customHeight="1">
      <c r="A180" s="4">
        <f>IMAGE("https://images.lululemon.com/is/image/lululemon/LW9DAYS_0001_1?wid=320&amp;op_usm=0.8",1)</f>
        <v/>
      </c>
      <c r="B180" s="4" t="inlineStr">
        <is>
          <t>InvisiWear Mid-Rise Bikini Underwear</t>
        </is>
      </c>
      <c r="C180" s="4" t="inlineStr">
        <is>
          <t>131275095</t>
        </is>
      </c>
      <c r="D180" s="4" t="inlineStr">
        <is>
          <t>131275095-black</t>
        </is>
      </c>
      <c r="E180" s="4" t="inlineStr">
        <is>
          <t>InvisiWear Mid-Rise Bikini BLK XS</t>
        </is>
      </c>
      <c r="F180" s="4" t="inlineStr">
        <is>
          <t>$18.00</t>
        </is>
      </c>
      <c r="G180" s="4" t="inlineStr">
        <is>
          <t>$9.00</t>
        </is>
      </c>
      <c r="H180" s="4" t="inlineStr">
        <is>
          <t>Black</t>
        </is>
      </c>
      <c r="I180" s="4">
        <f>IMAGE("https://images.lululemon.com/is/image/lululemon/0001",1)</f>
        <v/>
      </c>
      <c r="J180" s="4" t="inlineStr">
        <is>
          <t>XS</t>
        </is>
      </c>
      <c r="K180" s="4" t="inlineStr">
        <is>
          <t>4/126</t>
        </is>
      </c>
      <c r="L180" s="4" t="inlineStr">
        <is>
          <t>Yes</t>
        </is>
      </c>
      <c r="M180" s="4" t="inlineStr">
        <is>
          <t>Nothing to see here. Virtually undetectable underneath your leggings, these smooth underwear have a comfortable fit that doesn't slip or slide.</t>
        </is>
      </c>
      <c r="N180" s="4" t="inlineStr">
        <is>
          <t>InvisiWear-Mid-Rise-Bikini-Underwear</t>
        </is>
      </c>
      <c r="O180" s="4" t="inlineStr">
        <is>
          <t>Bikini Underwear</t>
        </is>
      </c>
    </row>
    <row r="181" ht="80" customHeight="1">
      <c r="A181" s="7">
        <f>IMAGE("https://images.lululemon.com/is/image/lululemon/LW9DAYS_0001_1?wid=320&amp;op_usm=0.8",1)</f>
        <v/>
      </c>
      <c r="B181" s="7" t="inlineStr">
        <is>
          <t>InvisiWear Mid-Rise Bikini Underwear</t>
        </is>
      </c>
      <c r="C181" s="7" t="inlineStr">
        <is>
          <t>131275083</t>
        </is>
      </c>
      <c r="D181" s="7" t="inlineStr">
        <is>
          <t>131275083-black</t>
        </is>
      </c>
      <c r="E181" s="7" t="inlineStr">
        <is>
          <t>InvisiWear Mid-Rise Bikini BLK XS</t>
        </is>
      </c>
      <c r="F181" s="7" t="inlineStr">
        <is>
          <t>$18.00</t>
        </is>
      </c>
      <c r="G181" s="7" t="inlineStr">
        <is>
          <t>$9.00</t>
        </is>
      </c>
      <c r="H181" s="7" t="inlineStr">
        <is>
          <t>Black</t>
        </is>
      </c>
      <c r="I181" s="7">
        <f>IMAGE("https://images.lululemon.com/is/image/lululemon/0001",1)</f>
        <v/>
      </c>
      <c r="J181" s="7" t="inlineStr">
        <is>
          <t>S</t>
        </is>
      </c>
      <c r="K181" s="7" t="inlineStr">
        <is>
          <t>24/126</t>
        </is>
      </c>
      <c r="L181" s="7" t="inlineStr">
        <is>
          <t>Yes</t>
        </is>
      </c>
      <c r="M181" s="7" t="inlineStr">
        <is>
          <t>Nothing to see here. Virtually undetectable underneath your leggings, these smooth underwear have a comfortable fit that doesn't slip or slide.</t>
        </is>
      </c>
      <c r="N181" s="7" t="inlineStr">
        <is>
          <t>InvisiWear-Mid-Rise-Bikini-Underwear</t>
        </is>
      </c>
      <c r="O181" s="7" t="inlineStr">
        <is>
          <t>Bikini Underwear</t>
        </is>
      </c>
    </row>
    <row r="182" ht="80" customHeight="1">
      <c r="A182" s="4">
        <f>IMAGE("https://images.lululemon.com/is/image/lululemon/LW9DAYS_0001_1?wid=320&amp;op_usm=0.8",1)</f>
        <v/>
      </c>
      <c r="B182" s="4" t="inlineStr">
        <is>
          <t>InvisiWear Mid-Rise Bikini Underwear</t>
        </is>
      </c>
      <c r="C182" s="4" t="inlineStr">
        <is>
          <t>131275077</t>
        </is>
      </c>
      <c r="D182" s="4" t="inlineStr">
        <is>
          <t>131275077-black</t>
        </is>
      </c>
      <c r="E182" s="4" t="inlineStr">
        <is>
          <t>InvisiWear Mid-Rise Bikini BLK XS</t>
        </is>
      </c>
      <c r="F182" s="4" t="inlineStr">
        <is>
          <t>$18.00</t>
        </is>
      </c>
      <c r="G182" s="4" t="inlineStr">
        <is>
          <t>$9.00</t>
        </is>
      </c>
      <c r="H182" s="4" t="inlineStr">
        <is>
          <t>Black</t>
        </is>
      </c>
      <c r="I182" s="4">
        <f>IMAGE("https://images.lululemon.com/is/image/lululemon/0001",1)</f>
        <v/>
      </c>
      <c r="J182" s="4" t="inlineStr">
        <is>
          <t>M</t>
        </is>
      </c>
      <c r="K182" s="4" t="inlineStr">
        <is>
          <t>36/126</t>
        </is>
      </c>
      <c r="L182" s="4" t="inlineStr">
        <is>
          <t>Yes</t>
        </is>
      </c>
      <c r="M182" s="4" t="inlineStr">
        <is>
          <t>Nothing to see here. Virtually undetectable underneath your leggings, these smooth underwear have a comfortable fit that doesn't slip or slide.</t>
        </is>
      </c>
      <c r="N182" s="4" t="inlineStr">
        <is>
          <t>InvisiWear-Mid-Rise-Bikini-Underwear</t>
        </is>
      </c>
      <c r="O182" s="4" t="inlineStr">
        <is>
          <t>Bikini Underwear</t>
        </is>
      </c>
    </row>
    <row r="183" ht="80" customHeight="1">
      <c r="A183" s="7">
        <f>IMAGE("https://images.lululemon.com/is/image/lululemon/LW9DAYS_0001_1?wid=320&amp;op_usm=0.8",1)</f>
        <v/>
      </c>
      <c r="B183" s="7" t="inlineStr">
        <is>
          <t>InvisiWear Mid-Rise Bikini Underwear</t>
        </is>
      </c>
      <c r="C183" s="7" t="inlineStr">
        <is>
          <t>131275071</t>
        </is>
      </c>
      <c r="D183" s="7" t="inlineStr">
        <is>
          <t>131275071-black</t>
        </is>
      </c>
      <c r="E183" s="7" t="inlineStr">
        <is>
          <t>InvisiWear Mid-Rise Bikini BLK XS</t>
        </is>
      </c>
      <c r="F183" s="7" t="inlineStr">
        <is>
          <t>$18.00</t>
        </is>
      </c>
      <c r="G183" s="7" t="inlineStr">
        <is>
          <t>$9.00</t>
        </is>
      </c>
      <c r="H183" s="7" t="inlineStr">
        <is>
          <t>Black</t>
        </is>
      </c>
      <c r="I183" s="7">
        <f>IMAGE("https://images.lululemon.com/is/image/lululemon/0001",1)</f>
        <v/>
      </c>
      <c r="J183" s="7" t="inlineStr">
        <is>
          <t>L</t>
        </is>
      </c>
      <c r="K183" s="7" t="inlineStr">
        <is>
          <t>23/126</t>
        </is>
      </c>
      <c r="L183" s="7" t="inlineStr">
        <is>
          <t>Yes</t>
        </is>
      </c>
      <c r="M183" s="7" t="inlineStr">
        <is>
          <t>Nothing to see here. Virtually undetectable underneath your leggings, these smooth underwear have a comfortable fit that doesn't slip or slide.</t>
        </is>
      </c>
      <c r="N183" s="7" t="inlineStr">
        <is>
          <t>InvisiWear-Mid-Rise-Bikini-Underwear</t>
        </is>
      </c>
      <c r="O183" s="7" t="inlineStr">
        <is>
          <t>Bikini Underwear</t>
        </is>
      </c>
    </row>
    <row r="184" ht="80" customHeight="1">
      <c r="A184" s="6">
        <f>IMAGE("https://images.lululemon.com/is/image/lululemon/LW9DAYS_0001_1?wid=320&amp;op_usm=0.8",1)</f>
        <v/>
      </c>
      <c r="B184" s="6" t="inlineStr">
        <is>
          <t>InvisiWear Mid-Rise Bikini Underwear</t>
        </is>
      </c>
      <c r="C184" s="6" t="inlineStr">
        <is>
          <t>131275089</t>
        </is>
      </c>
      <c r="D184" s="6" t="inlineStr">
        <is>
          <t>131275089-black</t>
        </is>
      </c>
      <c r="E184" s="6" t="inlineStr">
        <is>
          <t>InvisiWear Mid-Rise Bikini BLK XS</t>
        </is>
      </c>
      <c r="F184" s="6" t="inlineStr">
        <is>
          <t>$18.00</t>
        </is>
      </c>
      <c r="G184" s="6" t="inlineStr">
        <is>
          <t>$9.00</t>
        </is>
      </c>
      <c r="H184" s="6" t="inlineStr">
        <is>
          <t>Black</t>
        </is>
      </c>
      <c r="I184" s="6">
        <f>IMAGE("https://images.lululemon.com/is/image/lululemon/0001",1)</f>
        <v/>
      </c>
      <c r="J184" s="6" t="inlineStr">
        <is>
          <t>XL</t>
        </is>
      </c>
      <c r="K184" s="6" t="inlineStr">
        <is>
          <t>39/126</t>
        </is>
      </c>
      <c r="L184" s="6" t="inlineStr">
        <is>
          <t>Yes</t>
        </is>
      </c>
      <c r="M184" s="6" t="inlineStr">
        <is>
          <t>Nothing to see here. Virtually undetectable underneath your leggings, these smooth underwear have a comfortable fit that doesn't slip or slide.</t>
        </is>
      </c>
      <c r="N184" s="6" t="inlineStr">
        <is>
          <t>InvisiWear-Mid-Rise-Bikini-Underwear</t>
        </is>
      </c>
      <c r="O184" s="6" t="inlineStr">
        <is>
          <t>Bikini Underwear</t>
        </is>
      </c>
    </row>
    <row r="185" ht="80" customHeight="1">
      <c r="A185" s="7">
        <f>IMAGE("https://images.lululemon.com/is/image/lululemon/LW9FM3S_073560_1?wid=320&amp;op_usm=0.8",1)</f>
        <v/>
      </c>
      <c r="B185" s="7" t="inlineStr">
        <is>
          <t>Extra Large Claw Hair Clip</t>
        </is>
      </c>
      <c r="C185" s="7" t="inlineStr">
        <is>
          <t>158023068</t>
        </is>
      </c>
      <c r="D185" s="7" t="inlineStr">
        <is>
          <t>158023068-berryrumble/racerpink</t>
        </is>
      </c>
      <c r="E185" s="7" t="inlineStr">
        <is>
          <t>Extra Large Claw Hair Clip 8RRP ONE SIZE</t>
        </is>
      </c>
      <c r="F185" s="7" t="inlineStr">
        <is>
          <t>$26.00</t>
        </is>
      </c>
      <c r="G185" s="7" t="inlineStr">
        <is>
          <t>$13.00</t>
        </is>
      </c>
      <c r="H185" s="7" t="inlineStr">
        <is>
          <t>Berry Rumble/Racer Pink</t>
        </is>
      </c>
      <c r="I185" s="7">
        <f>IMAGE("https://images.lululemon.com/is/image/lululemon/73560",1)</f>
        <v/>
      </c>
      <c r="J185" s="7" t="inlineStr">
        <is>
          <t>O/S</t>
        </is>
      </c>
      <c r="K185" s="7" t="inlineStr">
        <is>
          <t>846/1714</t>
        </is>
      </c>
      <c r="L185" s="7" t="inlineStr">
        <is>
          <t>Yes</t>
        </is>
      </c>
      <c r="M185" s="7" t="inlineStr">
        <is>
          <t>Wavy, textured, curly, or straight—whatever kind of hair you've got, this extra large clip will keep it together.</t>
        </is>
      </c>
      <c r="N185" s="7" t="inlineStr">
        <is>
          <t>Extra-Large-Claw-Hair-Clip</t>
        </is>
      </c>
      <c r="O185" s="7" t="inlineStr">
        <is>
          <t>Hair Clips</t>
        </is>
      </c>
    </row>
    <row r="186" ht="80" customHeight="1">
      <c r="A186" s="4">
        <f>IMAGE("https://images.lululemon.com/is/image/lululemon/LW9FM3S_073560_1?wid=320&amp;op_usm=0.8",1)</f>
        <v/>
      </c>
      <c r="B186" s="4" t="inlineStr">
        <is>
          <t>Extra Large Claw Hair Clip</t>
        </is>
      </c>
      <c r="C186" s="4" t="inlineStr">
        <is>
          <t>154836729</t>
        </is>
      </c>
      <c r="D186" s="4" t="inlineStr">
        <is>
          <t>154836729-frenchpress/burntcaramel</t>
        </is>
      </c>
      <c r="E186" s="4" t="inlineStr">
        <is>
          <t>Extra Large Claw Hair Clip 8RRP ONE SIZE</t>
        </is>
      </c>
      <c r="F186" s="4" t="inlineStr">
        <is>
          <t>$26.00</t>
        </is>
      </c>
      <c r="G186" s="4" t="inlineStr">
        <is>
          <t>$13.00</t>
        </is>
      </c>
      <c r="H186" s="4" t="inlineStr">
        <is>
          <t>French Press/Burnt Caramel</t>
        </is>
      </c>
      <c r="I186" s="4">
        <f>IMAGE("https://images.lululemon.com/is/image/lululemon/65675",1)</f>
        <v/>
      </c>
      <c r="J186" s="4" t="inlineStr">
        <is>
          <t>O/S</t>
        </is>
      </c>
      <c r="K186" s="4" t="inlineStr">
        <is>
          <t>24/1714</t>
        </is>
      </c>
      <c r="L186" s="4" t="inlineStr">
        <is>
          <t>Yes</t>
        </is>
      </c>
      <c r="M186" s="4" t="inlineStr">
        <is>
          <t>Wavy, textured, curly, or straight—whatever kind of hair you've got, this extra large clip will keep it together.</t>
        </is>
      </c>
      <c r="N186" s="4" t="inlineStr">
        <is>
          <t>Extra-Large-Claw-Hair-Clip</t>
        </is>
      </c>
      <c r="O186" s="4" t="inlineStr">
        <is>
          <t>Hair Clips</t>
        </is>
      </c>
    </row>
    <row r="187" ht="80" customHeight="1">
      <c r="A187" s="5">
        <f>IMAGE("https://images.lululemon.com/is/image/lululemon/LW9FM3S_073560_1?wid=320&amp;op_usm=0.8",1)</f>
        <v/>
      </c>
      <c r="B187" s="5" t="inlineStr">
        <is>
          <t>Extra Large Claw Hair Clip</t>
        </is>
      </c>
      <c r="C187" s="5" t="inlineStr">
        <is>
          <t>158023090</t>
        </is>
      </c>
      <c r="D187" s="5" t="inlineStr">
        <is>
          <t>158023090-cornflower/blissfulpink</t>
        </is>
      </c>
      <c r="E187" s="5" t="inlineStr">
        <is>
          <t>Extra Large Claw Hair Clip 8RRP ONE SIZE</t>
        </is>
      </c>
      <c r="F187" s="5" t="inlineStr">
        <is>
          <t>$26.00</t>
        </is>
      </c>
      <c r="G187" s="5" t="inlineStr">
        <is>
          <t>$13.00</t>
        </is>
      </c>
      <c r="H187" s="5" t="inlineStr">
        <is>
          <t>Cornflower/Blissful Pink</t>
        </is>
      </c>
      <c r="I187" s="5">
        <f>IMAGE("https://images.lululemon.com/is/image/lululemon/73561",1)</f>
        <v/>
      </c>
      <c r="J187" s="5" t="inlineStr">
        <is>
          <t>O/S</t>
        </is>
      </c>
      <c r="K187" s="5" t="inlineStr">
        <is>
          <t>844/1714</t>
        </is>
      </c>
      <c r="L187" s="5" t="inlineStr">
        <is>
          <t>Yes</t>
        </is>
      </c>
      <c r="M187" s="5" t="inlineStr">
        <is>
          <t>Wavy, textured, curly, or straight—whatever kind of hair you've got, this extra large clip will keep it together.</t>
        </is>
      </c>
      <c r="N187" s="5" t="inlineStr">
        <is>
          <t>Extra-Large-Claw-Hair-Clip</t>
        </is>
      </c>
      <c r="O187" s="5" t="inlineStr">
        <is>
          <t>Hair Clips</t>
        </is>
      </c>
    </row>
    <row r="188" ht="80" customHeight="1">
      <c r="A188" s="4">
        <f>IMAGE("https://images.lululemon.com/is/image/lululemon/LW3JE9S_033547_1?wid=320&amp;op_usm=0.8",1)</f>
        <v/>
      </c>
      <c r="B188" s="4" t="inlineStr">
        <is>
          <t>Swiftly Relaxed Long-Sleeve Shirt *Updated Fit</t>
        </is>
      </c>
      <c r="C188" s="4" t="inlineStr">
        <is>
          <t>158119165</t>
        </is>
      </c>
      <c r="D188" s="4" t="inlineStr">
        <is>
          <t>158119165-brilliantblue/brilliantblue</t>
        </is>
      </c>
      <c r="E188" s="4" t="inlineStr">
        <is>
          <t>Swiftly Relaxed Long Sleeve BRBU/BRBU 2</t>
        </is>
      </c>
      <c r="F188" s="4" t="inlineStr">
        <is>
          <t>$78.00</t>
        </is>
      </c>
      <c r="G188" s="4" t="inlineStr">
        <is>
          <t>$39.00</t>
        </is>
      </c>
      <c r="H188" s="4" t="inlineStr">
        <is>
          <t>Brilliant Blue/Brilliant Blue</t>
        </is>
      </c>
      <c r="I188" s="4">
        <f>IMAGE("https://images.lululemon.com/is/image/lululemon/33547",1)</f>
        <v/>
      </c>
      <c r="J188" s="4" t="inlineStr">
        <is>
          <t>2</t>
        </is>
      </c>
      <c r="K188" s="4" t="inlineStr">
        <is>
          <t>60/768</t>
        </is>
      </c>
      <c r="L188" s="4" t="inlineStr">
        <is>
          <t>Yes</t>
        </is>
      </c>
      <c r="M188" s="4" t="inlineStr">
        <is>
          <t>Go ahead, get sweaty. The Swiftly Relaxed collection is all about high performing-fabric that seamlessly adapts to you and your workout. An updated fit gives you slightly more room to move.</t>
        </is>
      </c>
      <c r="N188" s="4" t="inlineStr">
        <is>
          <t>Swiftly-Relaxed-Long-Sleeve-Shirt-Updated-Fit</t>
        </is>
      </c>
      <c r="O188" s="4" t="inlineStr"/>
    </row>
    <row r="189" ht="80" customHeight="1">
      <c r="A189" s="7">
        <f>IMAGE("https://images.lululemon.com/is/image/lululemon/LW3JE9S_033547_1?wid=320&amp;op_usm=0.8",1)</f>
        <v/>
      </c>
      <c r="B189" s="7" t="inlineStr">
        <is>
          <t>Swiftly Relaxed Long-Sleeve Shirt *Updated Fit</t>
        </is>
      </c>
      <c r="C189" s="7" t="inlineStr">
        <is>
          <t>158119170</t>
        </is>
      </c>
      <c r="D189" s="7" t="inlineStr">
        <is>
          <t>158119170-brilliantblue/brilliantblue</t>
        </is>
      </c>
      <c r="E189" s="7" t="inlineStr">
        <is>
          <t>Swiftly Relaxed Long Sleeve BRBU/BRBU 2</t>
        </is>
      </c>
      <c r="F189" s="7" t="inlineStr">
        <is>
          <t>$78.00</t>
        </is>
      </c>
      <c r="G189" s="7" t="inlineStr">
        <is>
          <t>$39.00</t>
        </is>
      </c>
      <c r="H189" s="7" t="inlineStr">
        <is>
          <t>Brilliant Blue/Brilliant Blue</t>
        </is>
      </c>
      <c r="I189" s="7">
        <f>IMAGE("https://images.lululemon.com/is/image/lululemon/33547",1)</f>
        <v/>
      </c>
      <c r="J189" s="7" t="inlineStr">
        <is>
          <t>4</t>
        </is>
      </c>
      <c r="K189" s="7" t="inlineStr">
        <is>
          <t>155/768</t>
        </is>
      </c>
      <c r="L189" s="7" t="inlineStr">
        <is>
          <t>Yes</t>
        </is>
      </c>
      <c r="M189" s="7" t="inlineStr">
        <is>
          <t>Go ahead, get sweaty. The Swiftly Relaxed collection is all about high performing-fabric that seamlessly adapts to you and your workout. An updated fit gives you slightly more room to move.</t>
        </is>
      </c>
      <c r="N189" s="7" t="inlineStr">
        <is>
          <t>Swiftly-Relaxed-Long-Sleeve-Shirt-Updated-Fit</t>
        </is>
      </c>
      <c r="O189" s="7" t="inlineStr"/>
    </row>
    <row r="190" ht="80" customHeight="1">
      <c r="A190" s="4">
        <f>IMAGE("https://images.lululemon.com/is/image/lululemon/LW3JE9S_033547_1?wid=320&amp;op_usm=0.8",1)</f>
        <v/>
      </c>
      <c r="B190" s="4" t="inlineStr">
        <is>
          <t>Swiftly Relaxed Long-Sleeve Shirt *Updated Fit</t>
        </is>
      </c>
      <c r="C190" s="4" t="inlineStr">
        <is>
          <t>158119176</t>
        </is>
      </c>
      <c r="D190" s="4" t="inlineStr">
        <is>
          <t>158119176-brilliantblue/brilliantblue</t>
        </is>
      </c>
      <c r="E190" s="4" t="inlineStr">
        <is>
          <t>Swiftly Relaxed Long Sleeve BRBU/BRBU 2</t>
        </is>
      </c>
      <c r="F190" s="4" t="inlineStr">
        <is>
          <t>$78.00</t>
        </is>
      </c>
      <c r="G190" s="4" t="inlineStr">
        <is>
          <t>$39.00</t>
        </is>
      </c>
      <c r="H190" s="4" t="inlineStr">
        <is>
          <t>Brilliant Blue/Brilliant Blue</t>
        </is>
      </c>
      <c r="I190" s="4">
        <f>IMAGE("https://images.lululemon.com/is/image/lululemon/33547",1)</f>
        <v/>
      </c>
      <c r="J190" s="4" t="inlineStr">
        <is>
          <t>6</t>
        </is>
      </c>
      <c r="K190" s="4" t="inlineStr">
        <is>
          <t>194/768</t>
        </is>
      </c>
      <c r="L190" s="4" t="inlineStr">
        <is>
          <t>Yes</t>
        </is>
      </c>
      <c r="M190" s="4" t="inlineStr">
        <is>
          <t>Go ahead, get sweaty. The Swiftly Relaxed collection is all about high performing-fabric that seamlessly adapts to you and your workout. An updated fit gives you slightly more room to move.</t>
        </is>
      </c>
      <c r="N190" s="4" t="inlineStr">
        <is>
          <t>Swiftly-Relaxed-Long-Sleeve-Shirt-Updated-Fit</t>
        </is>
      </c>
      <c r="O190" s="4" t="inlineStr"/>
    </row>
    <row r="191" ht="80" customHeight="1">
      <c r="A191" s="7">
        <f>IMAGE("https://images.lululemon.com/is/image/lululemon/LW3JE9S_033547_1?wid=320&amp;op_usm=0.8",1)</f>
        <v/>
      </c>
      <c r="B191" s="7" t="inlineStr">
        <is>
          <t>Swiftly Relaxed Long-Sleeve Shirt *Updated Fit</t>
        </is>
      </c>
      <c r="C191" s="7" t="inlineStr">
        <is>
          <t>158119182</t>
        </is>
      </c>
      <c r="D191" s="7" t="inlineStr">
        <is>
          <t>158119182-brilliantblue/brilliantblue</t>
        </is>
      </c>
      <c r="E191" s="7" t="inlineStr">
        <is>
          <t>Swiftly Relaxed Long Sleeve BRBU/BRBU 2</t>
        </is>
      </c>
      <c r="F191" s="7" t="inlineStr">
        <is>
          <t>$78.00</t>
        </is>
      </c>
      <c r="G191" s="7" t="inlineStr">
        <is>
          <t>$39.00</t>
        </is>
      </c>
      <c r="H191" s="7" t="inlineStr">
        <is>
          <t>Brilliant Blue/Brilliant Blue</t>
        </is>
      </c>
      <c r="I191" s="7">
        <f>IMAGE("https://images.lululemon.com/is/image/lululemon/33547",1)</f>
        <v/>
      </c>
      <c r="J191" s="7" t="inlineStr">
        <is>
          <t>8</t>
        </is>
      </c>
      <c r="K191" s="7" t="inlineStr">
        <is>
          <t>166/768</t>
        </is>
      </c>
      <c r="L191" s="7" t="inlineStr">
        <is>
          <t>Yes</t>
        </is>
      </c>
      <c r="M191" s="7" t="inlineStr">
        <is>
          <t>Go ahead, get sweaty. The Swiftly Relaxed collection is all about high performing-fabric that seamlessly adapts to you and your workout. An updated fit gives you slightly more room to move.</t>
        </is>
      </c>
      <c r="N191" s="7" t="inlineStr">
        <is>
          <t>Swiftly-Relaxed-Long-Sleeve-Shirt-Updated-Fit</t>
        </is>
      </c>
      <c r="O191" s="7" t="inlineStr"/>
    </row>
    <row r="192" ht="80" customHeight="1">
      <c r="A192" s="4">
        <f>IMAGE("https://images.lululemon.com/is/image/lululemon/LW3JE9S_033547_1?wid=320&amp;op_usm=0.8",1)</f>
        <v/>
      </c>
      <c r="B192" s="4" t="inlineStr">
        <is>
          <t>Swiftly Relaxed Long-Sleeve Shirt *Updated Fit</t>
        </is>
      </c>
      <c r="C192" s="4" t="inlineStr">
        <is>
          <t>158119137</t>
        </is>
      </c>
      <c r="D192" s="4" t="inlineStr">
        <is>
          <t>158119137-brilliantblue/brilliantblue</t>
        </is>
      </c>
      <c r="E192" s="4" t="inlineStr">
        <is>
          <t>Swiftly Relaxed Long Sleeve BRBU/BRBU 2</t>
        </is>
      </c>
      <c r="F192" s="4" t="inlineStr">
        <is>
          <t>$78.00</t>
        </is>
      </c>
      <c r="G192" s="4" t="inlineStr">
        <is>
          <t>$39.00</t>
        </is>
      </c>
      <c r="H192" s="4" t="inlineStr">
        <is>
          <t>Brilliant Blue/Brilliant Blue</t>
        </is>
      </c>
      <c r="I192" s="4">
        <f>IMAGE("https://images.lululemon.com/is/image/lululemon/33547",1)</f>
        <v/>
      </c>
      <c r="J192" s="4" t="inlineStr">
        <is>
          <t>10</t>
        </is>
      </c>
      <c r="K192" s="4" t="inlineStr">
        <is>
          <t>122/768</t>
        </is>
      </c>
      <c r="L192" s="4" t="inlineStr">
        <is>
          <t>Yes</t>
        </is>
      </c>
      <c r="M192" s="4" t="inlineStr">
        <is>
          <t>Go ahead, get sweaty. The Swiftly Relaxed collection is all about high performing-fabric that seamlessly adapts to you and your workout. An updated fit gives you slightly more room to move.</t>
        </is>
      </c>
      <c r="N192" s="4" t="inlineStr">
        <is>
          <t>Swiftly-Relaxed-Long-Sleeve-Shirt-Updated-Fit</t>
        </is>
      </c>
      <c r="O192" s="4" t="inlineStr"/>
    </row>
    <row r="193" ht="80" customHeight="1">
      <c r="A193" s="5">
        <f>IMAGE("https://images.lululemon.com/is/image/lululemon/LW3JE9S_033547_1?wid=320&amp;op_usm=0.8",1)</f>
        <v/>
      </c>
      <c r="B193" s="5" t="inlineStr">
        <is>
          <t>Swiftly Relaxed Long-Sleeve Shirt *Updated Fit</t>
        </is>
      </c>
      <c r="C193" s="5" t="inlineStr">
        <is>
          <t>158119147</t>
        </is>
      </c>
      <c r="D193" s="5" t="inlineStr">
        <is>
          <t>158119147-brilliantblue/brilliantblue</t>
        </is>
      </c>
      <c r="E193" s="5" t="inlineStr">
        <is>
          <t>Swiftly Relaxed Long Sleeve BRBU/BRBU 2</t>
        </is>
      </c>
      <c r="F193" s="5" t="inlineStr">
        <is>
          <t>$78.00</t>
        </is>
      </c>
      <c r="G193" s="5" t="inlineStr">
        <is>
          <t>$39.00</t>
        </is>
      </c>
      <c r="H193" s="5" t="inlineStr">
        <is>
          <t>Brilliant Blue/Brilliant Blue</t>
        </is>
      </c>
      <c r="I193" s="5">
        <f>IMAGE("https://images.lululemon.com/is/image/lululemon/33547",1)</f>
        <v/>
      </c>
      <c r="J193" s="5" t="inlineStr">
        <is>
          <t>12</t>
        </is>
      </c>
      <c r="K193" s="5" t="inlineStr">
        <is>
          <t>71/768</t>
        </is>
      </c>
      <c r="L193" s="5" t="inlineStr">
        <is>
          <t>Yes</t>
        </is>
      </c>
      <c r="M193" s="5" t="inlineStr">
        <is>
          <t>Go ahead, get sweaty. The Swiftly Relaxed collection is all about high performing-fabric that seamlessly adapts to you and your workout. An updated fit gives you slightly more room to move.</t>
        </is>
      </c>
      <c r="N193" s="5" t="inlineStr">
        <is>
          <t>Swiftly-Relaxed-Long-Sleeve-Shirt-Updated-Fit</t>
        </is>
      </c>
      <c r="O193" s="5" t="inlineStr"/>
    </row>
    <row r="194" ht="80" customHeight="1">
      <c r="A194" s="4">
        <f>IMAGE("https://images.lululemon.com/is/image/lululemon/LU9CLAS_0024_1?wid=320&amp;op_usm=0.8",1)</f>
        <v/>
      </c>
      <c r="B194" s="4" t="inlineStr">
        <is>
          <t>Unisex Daily Essential Crew Socks *Stripe</t>
        </is>
      </c>
      <c r="C194" s="4" t="inlineStr">
        <is>
          <t>155775205</t>
        </is>
      </c>
      <c r="D194" s="4" t="inlineStr">
        <is>
          <t>155775205-white/black</t>
        </is>
      </c>
      <c r="E194" s="4" t="inlineStr">
        <is>
          <t>Daily Essential Socks WHT/BLK S</t>
        </is>
      </c>
      <c r="F194" s="4" t="inlineStr">
        <is>
          <t>$14.00</t>
        </is>
      </c>
      <c r="G194" s="4" t="inlineStr">
        <is>
          <t>$7.00</t>
        </is>
      </c>
      <c r="H194" s="4" t="inlineStr">
        <is>
          <t>White/Black</t>
        </is>
      </c>
      <c r="I194" s="4">
        <f>IMAGE("https://images.lululemon.com/is/image/lululemon/0024",1)</f>
        <v/>
      </c>
      <c r="J194" s="4" t="inlineStr">
        <is>
          <t>S</t>
        </is>
      </c>
      <c r="K194" s="4" t="inlineStr">
        <is>
          <t>103/1221</t>
        </is>
      </c>
      <c r="L194" s="4" t="inlineStr">
        <is>
          <t>Yes</t>
        </is>
      </c>
      <c r="M194" s="4" t="inlineStr">
        <is>
          <t>Top drawer comfort. These soft cotton socks combine integrated arch support and plush cushioning.</t>
        </is>
      </c>
      <c r="N194" s="4" t="inlineStr">
        <is>
          <t>Unisex-Daily-Essential-Crew-Socks-Stripe</t>
        </is>
      </c>
      <c r="O194" s="4" t="inlineStr">
        <is>
          <t>Crew Socks</t>
        </is>
      </c>
    </row>
    <row r="195" ht="80" customHeight="1">
      <c r="A195" s="7">
        <f>IMAGE("https://images.lululemon.com/is/image/lululemon/LU9CLAS_0024_1?wid=320&amp;op_usm=0.8",1)</f>
        <v/>
      </c>
      <c r="B195" s="7" t="inlineStr">
        <is>
          <t>Unisex Daily Essential Crew Socks *Stripe</t>
        </is>
      </c>
      <c r="C195" s="7" t="inlineStr">
        <is>
          <t>155775194</t>
        </is>
      </c>
      <c r="D195" s="7" t="inlineStr">
        <is>
          <t>155775194-white/black</t>
        </is>
      </c>
      <c r="E195" s="7" t="inlineStr">
        <is>
          <t>Daily Essential Socks WHT/BLK S</t>
        </is>
      </c>
      <c r="F195" s="7" t="inlineStr">
        <is>
          <t>$14.00</t>
        </is>
      </c>
      <c r="G195" s="7" t="inlineStr">
        <is>
          <t>$7.00</t>
        </is>
      </c>
      <c r="H195" s="7" t="inlineStr">
        <is>
          <t>White/Black</t>
        </is>
      </c>
      <c r="I195" s="7">
        <f>IMAGE("https://images.lululemon.com/is/image/lululemon/0024",1)</f>
        <v/>
      </c>
      <c r="J195" s="7" t="inlineStr">
        <is>
          <t>M</t>
        </is>
      </c>
      <c r="K195" s="7" t="inlineStr">
        <is>
          <t>234/1221</t>
        </is>
      </c>
      <c r="L195" s="7" t="inlineStr">
        <is>
          <t>Yes</t>
        </is>
      </c>
      <c r="M195" s="7" t="inlineStr">
        <is>
          <t>Top drawer comfort. These soft cotton socks combine integrated arch support and plush cushioning.</t>
        </is>
      </c>
      <c r="N195" s="7" t="inlineStr">
        <is>
          <t>Unisex-Daily-Essential-Crew-Socks-Stripe</t>
        </is>
      </c>
      <c r="O195" s="7" t="inlineStr">
        <is>
          <t>Crew Socks</t>
        </is>
      </c>
    </row>
    <row r="196" ht="80" customHeight="1">
      <c r="A196" s="4">
        <f>IMAGE("https://images.lululemon.com/is/image/lululemon/LU9CLAS_0024_1?wid=320&amp;op_usm=0.8",1)</f>
        <v/>
      </c>
      <c r="B196" s="4" t="inlineStr">
        <is>
          <t>Unisex Daily Essential Crew Socks *Stripe</t>
        </is>
      </c>
      <c r="C196" s="4" t="inlineStr">
        <is>
          <t>155775183</t>
        </is>
      </c>
      <c r="D196" s="4" t="inlineStr">
        <is>
          <t>155775183-white/black</t>
        </is>
      </c>
      <c r="E196" s="4" t="inlineStr">
        <is>
          <t>Daily Essential Socks WHT/BLK S</t>
        </is>
      </c>
      <c r="F196" s="4" t="inlineStr">
        <is>
          <t>$14.00</t>
        </is>
      </c>
      <c r="G196" s="4" t="inlineStr">
        <is>
          <t>$7.00</t>
        </is>
      </c>
      <c r="H196" s="4" t="inlineStr">
        <is>
          <t>White/Black</t>
        </is>
      </c>
      <c r="I196" s="4">
        <f>IMAGE("https://images.lululemon.com/is/image/lululemon/0024",1)</f>
        <v/>
      </c>
      <c r="J196" s="4" t="inlineStr">
        <is>
          <t>L</t>
        </is>
      </c>
      <c r="K196" s="4" t="inlineStr">
        <is>
          <t>216/1221</t>
        </is>
      </c>
      <c r="L196" s="4" t="inlineStr">
        <is>
          <t>Yes</t>
        </is>
      </c>
      <c r="M196" s="4" t="inlineStr">
        <is>
          <t>Top drawer comfort. These soft cotton socks combine integrated arch support and plush cushioning.</t>
        </is>
      </c>
      <c r="N196" s="4" t="inlineStr">
        <is>
          <t>Unisex-Daily-Essential-Crew-Socks-Stripe</t>
        </is>
      </c>
      <c r="O196" s="4" t="inlineStr">
        <is>
          <t>Crew Socks</t>
        </is>
      </c>
    </row>
    <row r="197" ht="80" customHeight="1">
      <c r="A197" s="7">
        <f>IMAGE("https://images.lululemon.com/is/image/lululemon/LU9CLAS_0024_1?wid=320&amp;op_usm=0.8",1)</f>
        <v/>
      </c>
      <c r="B197" s="7" t="inlineStr">
        <is>
          <t>Unisex Daily Essential Crew Socks *Stripe</t>
        </is>
      </c>
      <c r="C197" s="7" t="inlineStr">
        <is>
          <t>155775212</t>
        </is>
      </c>
      <c r="D197" s="7" t="inlineStr">
        <is>
          <t>155775212-white/black</t>
        </is>
      </c>
      <c r="E197" s="7" t="inlineStr">
        <is>
          <t>Daily Essential Socks WHT/BLK S</t>
        </is>
      </c>
      <c r="F197" s="7" t="inlineStr">
        <is>
          <t>$14.00</t>
        </is>
      </c>
      <c r="G197" s="7" t="inlineStr">
        <is>
          <t>$7.00</t>
        </is>
      </c>
      <c r="H197" s="7" t="inlineStr">
        <is>
          <t>White/Black</t>
        </is>
      </c>
      <c r="I197" s="7">
        <f>IMAGE("https://images.lululemon.com/is/image/lululemon/0024",1)</f>
        <v/>
      </c>
      <c r="J197" s="7" t="inlineStr">
        <is>
          <t>XL</t>
        </is>
      </c>
      <c r="K197" s="7" t="inlineStr">
        <is>
          <t>75/1221</t>
        </is>
      </c>
      <c r="L197" s="7" t="inlineStr">
        <is>
          <t>Yes</t>
        </is>
      </c>
      <c r="M197" s="7" t="inlineStr">
        <is>
          <t>Top drawer comfort. These soft cotton socks combine integrated arch support and plush cushioning.</t>
        </is>
      </c>
      <c r="N197" s="7" t="inlineStr">
        <is>
          <t>Unisex-Daily-Essential-Crew-Socks-Stripe</t>
        </is>
      </c>
      <c r="O197" s="7" t="inlineStr">
        <is>
          <t>Crew Socks</t>
        </is>
      </c>
    </row>
    <row r="198" ht="80" customHeight="1">
      <c r="A198" s="4">
        <f>IMAGE("https://images.lululemon.com/is/image/lululemon/LU9CLAS_0024_1?wid=320&amp;op_usm=0.8",1)</f>
        <v/>
      </c>
      <c r="B198" s="4" t="inlineStr">
        <is>
          <t>Unisex Daily Essential Crew Socks *Stripe</t>
        </is>
      </c>
      <c r="C198" s="4" t="inlineStr">
        <is>
          <t>155788850</t>
        </is>
      </c>
      <c r="D198" s="4" t="inlineStr">
        <is>
          <t>155788850-white/rainforestgreen</t>
        </is>
      </c>
      <c r="E198" s="4" t="inlineStr">
        <is>
          <t>Daily Essential Socks WHT/BLK S</t>
        </is>
      </c>
      <c r="F198" s="4" t="inlineStr">
        <is>
          <t>$14.00</t>
        </is>
      </c>
      <c r="G198" s="4" t="inlineStr">
        <is>
          <t>$7.00</t>
        </is>
      </c>
      <c r="H198" s="4" t="inlineStr">
        <is>
          <t>White/Rainforest Green</t>
        </is>
      </c>
      <c r="I198" s="4">
        <f>IMAGE("https://images.lululemon.com/is/image/lululemon/69946",1)</f>
        <v/>
      </c>
      <c r="J198" s="4" t="inlineStr">
        <is>
          <t>S</t>
        </is>
      </c>
      <c r="K198" s="4" t="inlineStr">
        <is>
          <t>67/1221</t>
        </is>
      </c>
      <c r="L198" s="4" t="inlineStr">
        <is>
          <t>Yes</t>
        </is>
      </c>
      <c r="M198" s="4" t="inlineStr">
        <is>
          <t>Top drawer comfort. These soft cotton socks combine integrated arch support and plush cushioning.</t>
        </is>
      </c>
      <c r="N198" s="4" t="inlineStr">
        <is>
          <t>Unisex-Daily-Essential-Crew-Socks-Stripe</t>
        </is>
      </c>
      <c r="O198" s="4" t="inlineStr">
        <is>
          <t>Crew Socks</t>
        </is>
      </c>
    </row>
    <row r="199" ht="80" customHeight="1">
      <c r="A199" s="7">
        <f>IMAGE("https://images.lululemon.com/is/image/lululemon/LU9CLAS_0024_1?wid=320&amp;op_usm=0.8",1)</f>
        <v/>
      </c>
      <c r="B199" s="7" t="inlineStr">
        <is>
          <t>Unisex Daily Essential Crew Socks *Stripe</t>
        </is>
      </c>
      <c r="C199" s="7" t="inlineStr">
        <is>
          <t>155788849</t>
        </is>
      </c>
      <c r="D199" s="7" t="inlineStr">
        <is>
          <t>155788849-white/rainforestgreen</t>
        </is>
      </c>
      <c r="E199" s="7" t="inlineStr">
        <is>
          <t>Daily Essential Socks WHT/BLK S</t>
        </is>
      </c>
      <c r="F199" s="7" t="inlineStr">
        <is>
          <t>$14.00</t>
        </is>
      </c>
      <c r="G199" s="7" t="inlineStr">
        <is>
          <t>$7.00</t>
        </is>
      </c>
      <c r="H199" s="7" t="inlineStr">
        <is>
          <t>White/Rainforest Green</t>
        </is>
      </c>
      <c r="I199" s="7">
        <f>IMAGE("https://images.lululemon.com/is/image/lululemon/69946",1)</f>
        <v/>
      </c>
      <c r="J199" s="7" t="inlineStr">
        <is>
          <t>M</t>
        </is>
      </c>
      <c r="K199" s="7" t="inlineStr">
        <is>
          <t>145/1221</t>
        </is>
      </c>
      <c r="L199" s="7" t="inlineStr">
        <is>
          <t>Yes</t>
        </is>
      </c>
      <c r="M199" s="7" t="inlineStr">
        <is>
          <t>Top drawer comfort. These soft cotton socks combine integrated arch support and plush cushioning.</t>
        </is>
      </c>
      <c r="N199" s="7" t="inlineStr">
        <is>
          <t>Unisex-Daily-Essential-Crew-Socks-Stripe</t>
        </is>
      </c>
      <c r="O199" s="7" t="inlineStr">
        <is>
          <t>Crew Socks</t>
        </is>
      </c>
    </row>
    <row r="200" ht="80" customHeight="1">
      <c r="A200" s="4">
        <f>IMAGE("https://images.lululemon.com/is/image/lululemon/LU9CLAS_0024_1?wid=320&amp;op_usm=0.8",1)</f>
        <v/>
      </c>
      <c r="B200" s="4" t="inlineStr">
        <is>
          <t>Unisex Daily Essential Crew Socks *Stripe</t>
        </is>
      </c>
      <c r="C200" s="4" t="inlineStr">
        <is>
          <t>155788847</t>
        </is>
      </c>
      <c r="D200" s="4" t="inlineStr">
        <is>
          <t>155788847-white/rainforestgreen</t>
        </is>
      </c>
      <c r="E200" s="4" t="inlineStr">
        <is>
          <t>Daily Essential Socks WHT/BLK S</t>
        </is>
      </c>
      <c r="F200" s="4" t="inlineStr">
        <is>
          <t>$14.00</t>
        </is>
      </c>
      <c r="G200" s="4" t="inlineStr">
        <is>
          <t>$7.00</t>
        </is>
      </c>
      <c r="H200" s="4" t="inlineStr">
        <is>
          <t>White/Rainforest Green</t>
        </is>
      </c>
      <c r="I200" s="4">
        <f>IMAGE("https://images.lululemon.com/is/image/lululemon/69946",1)</f>
        <v/>
      </c>
      <c r="J200" s="4" t="inlineStr">
        <is>
          <t>L</t>
        </is>
      </c>
      <c r="K200" s="4" t="inlineStr">
        <is>
          <t>124/1221</t>
        </is>
      </c>
      <c r="L200" s="4" t="inlineStr">
        <is>
          <t>Yes</t>
        </is>
      </c>
      <c r="M200" s="4" t="inlineStr">
        <is>
          <t>Top drawer comfort. These soft cotton socks combine integrated arch support and plush cushioning.</t>
        </is>
      </c>
      <c r="N200" s="4" t="inlineStr">
        <is>
          <t>Unisex-Daily-Essential-Crew-Socks-Stripe</t>
        </is>
      </c>
      <c r="O200" s="4" t="inlineStr">
        <is>
          <t>Crew Socks</t>
        </is>
      </c>
    </row>
    <row r="201" ht="80" customHeight="1">
      <c r="A201" s="7">
        <f>IMAGE("https://images.lululemon.com/is/image/lululemon/LU9CLAS_0024_1?wid=320&amp;op_usm=0.8",1)</f>
        <v/>
      </c>
      <c r="B201" s="7" t="inlineStr">
        <is>
          <t>Unisex Daily Essential Crew Socks *Stripe</t>
        </is>
      </c>
      <c r="C201" s="7" t="inlineStr">
        <is>
          <t>155788852</t>
        </is>
      </c>
      <c r="D201" s="7" t="inlineStr">
        <is>
          <t>155788852-white/rainforestgreen</t>
        </is>
      </c>
      <c r="E201" s="7" t="inlineStr">
        <is>
          <t>Daily Essential Socks WHT/BLK S</t>
        </is>
      </c>
      <c r="F201" s="7" t="inlineStr">
        <is>
          <t>$14.00</t>
        </is>
      </c>
      <c r="G201" s="7" t="inlineStr">
        <is>
          <t>$7.00</t>
        </is>
      </c>
      <c r="H201" s="7" t="inlineStr">
        <is>
          <t>White/Rainforest Green</t>
        </is>
      </c>
      <c r="I201" s="7">
        <f>IMAGE("https://images.lululemon.com/is/image/lululemon/69946",1)</f>
        <v/>
      </c>
      <c r="J201" s="7" t="inlineStr">
        <is>
          <t>XL</t>
        </is>
      </c>
      <c r="K201" s="7" t="inlineStr">
        <is>
          <t>41/1221</t>
        </is>
      </c>
      <c r="L201" s="7" t="inlineStr">
        <is>
          <t>Yes</t>
        </is>
      </c>
      <c r="M201" s="7" t="inlineStr">
        <is>
          <t>Top drawer comfort. These soft cotton socks combine integrated arch support and plush cushioning.</t>
        </is>
      </c>
      <c r="N201" s="7" t="inlineStr">
        <is>
          <t>Unisex-Daily-Essential-Crew-Socks-Stripe</t>
        </is>
      </c>
      <c r="O201" s="7" t="inlineStr">
        <is>
          <t>Crew Socks</t>
        </is>
      </c>
    </row>
    <row r="202" ht="80" customHeight="1">
      <c r="A202" s="4">
        <f>IMAGE("https://images.lululemon.com/is/image/lululemon/LU9CLAS_0024_1?wid=320&amp;op_usm=0.8",1)</f>
        <v/>
      </c>
      <c r="B202" s="4" t="inlineStr">
        <is>
          <t>Unisex Daily Essential Crew Socks *Stripe</t>
        </is>
      </c>
      <c r="C202" s="4" t="inlineStr">
        <is>
          <t>157768641</t>
        </is>
      </c>
      <c r="D202" s="4" t="inlineStr">
        <is>
          <t>157768641-white/riverside</t>
        </is>
      </c>
      <c r="E202" s="4" t="inlineStr">
        <is>
          <t>Daily Essential Socks WHT/BLK S</t>
        </is>
      </c>
      <c r="F202" s="4" t="inlineStr">
        <is>
          <t>$14.00</t>
        </is>
      </c>
      <c r="G202" s="4" t="inlineStr">
        <is>
          <t>$7.00</t>
        </is>
      </c>
      <c r="H202" s="4" t="inlineStr">
        <is>
          <t>White/Riverside</t>
        </is>
      </c>
      <c r="I202" s="4">
        <f>IMAGE("https://images.lululemon.com/is/image/lululemon/74939",1)</f>
        <v/>
      </c>
      <c r="J202" s="4" t="inlineStr">
        <is>
          <t>S</t>
        </is>
      </c>
      <c r="K202" s="4" t="inlineStr">
        <is>
          <t>37/1221</t>
        </is>
      </c>
      <c r="L202" s="4" t="inlineStr">
        <is>
          <t>Yes</t>
        </is>
      </c>
      <c r="M202" s="4" t="inlineStr">
        <is>
          <t>Top drawer comfort. These soft cotton socks combine integrated arch support and plush cushioning.</t>
        </is>
      </c>
      <c r="N202" s="4" t="inlineStr">
        <is>
          <t>Unisex-Daily-Essential-Crew-Socks-Stripe</t>
        </is>
      </c>
      <c r="O202" s="4" t="inlineStr">
        <is>
          <t>Crew Socks</t>
        </is>
      </c>
    </row>
    <row r="203" ht="80" customHeight="1">
      <c r="A203" s="7">
        <f>IMAGE("https://images.lululemon.com/is/image/lululemon/LU9CLAS_0024_1?wid=320&amp;op_usm=0.8",1)</f>
        <v/>
      </c>
      <c r="B203" s="7" t="inlineStr">
        <is>
          <t>Unisex Daily Essential Crew Socks *Stripe</t>
        </is>
      </c>
      <c r="C203" s="7" t="inlineStr">
        <is>
          <t>157768640</t>
        </is>
      </c>
      <c r="D203" s="7" t="inlineStr">
        <is>
          <t>157768640-white/riverside</t>
        </is>
      </c>
      <c r="E203" s="7" t="inlineStr">
        <is>
          <t>Daily Essential Socks WHT/BLK S</t>
        </is>
      </c>
      <c r="F203" s="7" t="inlineStr">
        <is>
          <t>$14.00</t>
        </is>
      </c>
      <c r="G203" s="7" t="inlineStr">
        <is>
          <t>$7.00</t>
        </is>
      </c>
      <c r="H203" s="7" t="inlineStr">
        <is>
          <t>White/Riverside</t>
        </is>
      </c>
      <c r="I203" s="7">
        <f>IMAGE("https://images.lululemon.com/is/image/lululemon/74939",1)</f>
        <v/>
      </c>
      <c r="J203" s="7" t="inlineStr">
        <is>
          <t>M</t>
        </is>
      </c>
      <c r="K203" s="7" t="inlineStr">
        <is>
          <t>78/1221</t>
        </is>
      </c>
      <c r="L203" s="7" t="inlineStr">
        <is>
          <t>Yes</t>
        </is>
      </c>
      <c r="M203" s="7" t="inlineStr">
        <is>
          <t>Top drawer comfort. These soft cotton socks combine integrated arch support and plush cushioning.</t>
        </is>
      </c>
      <c r="N203" s="7" t="inlineStr">
        <is>
          <t>Unisex-Daily-Essential-Crew-Socks-Stripe</t>
        </is>
      </c>
      <c r="O203" s="7" t="inlineStr">
        <is>
          <t>Crew Socks</t>
        </is>
      </c>
    </row>
    <row r="204" ht="80" customHeight="1">
      <c r="A204" s="4">
        <f>IMAGE("https://images.lululemon.com/is/image/lululemon/LU9CLAS_0024_1?wid=320&amp;op_usm=0.8",1)</f>
        <v/>
      </c>
      <c r="B204" s="4" t="inlineStr">
        <is>
          <t>Unisex Daily Essential Crew Socks *Stripe</t>
        </is>
      </c>
      <c r="C204" s="4" t="inlineStr">
        <is>
          <t>157768639</t>
        </is>
      </c>
      <c r="D204" s="4" t="inlineStr">
        <is>
          <t>157768639-white/riverside</t>
        </is>
      </c>
      <c r="E204" s="4" t="inlineStr">
        <is>
          <t>Daily Essential Socks WHT/BLK S</t>
        </is>
      </c>
      <c r="F204" s="4" t="inlineStr">
        <is>
          <t>$14.00</t>
        </is>
      </c>
      <c r="G204" s="4" t="inlineStr">
        <is>
          <t>$7.00</t>
        </is>
      </c>
      <c r="H204" s="4" t="inlineStr">
        <is>
          <t>White/Riverside</t>
        </is>
      </c>
      <c r="I204" s="4">
        <f>IMAGE("https://images.lululemon.com/is/image/lululemon/74939",1)</f>
        <v/>
      </c>
      <c r="J204" s="4" t="inlineStr">
        <is>
          <t>L</t>
        </is>
      </c>
      <c r="K204" s="4" t="inlineStr">
        <is>
          <t>70/1221</t>
        </is>
      </c>
      <c r="L204" s="4" t="inlineStr">
        <is>
          <t>Yes</t>
        </is>
      </c>
      <c r="M204" s="4" t="inlineStr">
        <is>
          <t>Top drawer comfort. These soft cotton socks combine integrated arch support and plush cushioning.</t>
        </is>
      </c>
      <c r="N204" s="4" t="inlineStr">
        <is>
          <t>Unisex-Daily-Essential-Crew-Socks-Stripe</t>
        </is>
      </c>
      <c r="O204" s="4" t="inlineStr">
        <is>
          <t>Crew Socks</t>
        </is>
      </c>
    </row>
    <row r="205" ht="80" customHeight="1">
      <c r="A205" s="5">
        <f>IMAGE("https://images.lululemon.com/is/image/lululemon/LU9CLAS_0024_1?wid=320&amp;op_usm=0.8",1)</f>
        <v/>
      </c>
      <c r="B205" s="5" t="inlineStr">
        <is>
          <t>Unisex Daily Essential Crew Socks *Stripe</t>
        </is>
      </c>
      <c r="C205" s="5" t="inlineStr">
        <is>
          <t>157768642</t>
        </is>
      </c>
      <c r="D205" s="5" t="inlineStr">
        <is>
          <t>157768642-white/riverside</t>
        </is>
      </c>
      <c r="E205" s="5" t="inlineStr">
        <is>
          <t>Daily Essential Socks WHT/BLK S</t>
        </is>
      </c>
      <c r="F205" s="5" t="inlineStr">
        <is>
          <t>$14.00</t>
        </is>
      </c>
      <c r="G205" s="5" t="inlineStr">
        <is>
          <t>$7.00</t>
        </is>
      </c>
      <c r="H205" s="5" t="inlineStr">
        <is>
          <t>White/Riverside</t>
        </is>
      </c>
      <c r="I205" s="5">
        <f>IMAGE("https://images.lululemon.com/is/image/lululemon/74939",1)</f>
        <v/>
      </c>
      <c r="J205" s="5" t="inlineStr">
        <is>
          <t>XL</t>
        </is>
      </c>
      <c r="K205" s="5" t="inlineStr">
        <is>
          <t>31/1221</t>
        </is>
      </c>
      <c r="L205" s="5" t="inlineStr">
        <is>
          <t>Yes</t>
        </is>
      </c>
      <c r="M205" s="5" t="inlineStr">
        <is>
          <t>Top drawer comfort. These soft cotton socks combine integrated arch support and plush cushioning.</t>
        </is>
      </c>
      <c r="N205" s="5" t="inlineStr">
        <is>
          <t>Unisex-Daily-Essential-Crew-Socks-Stripe</t>
        </is>
      </c>
      <c r="O205" s="5" t="inlineStr">
        <is>
          <t>Crew Socks</t>
        </is>
      </c>
    </row>
    <row r="206" ht="80" customHeight="1">
      <c r="A206" s="4">
        <f>IMAGE("https://images.lululemon.com/is/image/lululemon/LW3JLMS_073582_1?wid=320&amp;op_usm=0.8",1)</f>
        <v/>
      </c>
      <c r="B206" s="4" t="inlineStr">
        <is>
          <t>Court Rival Track Jacket *Tennis Club</t>
        </is>
      </c>
      <c r="C206" s="4" t="inlineStr">
        <is>
          <t>158102154</t>
        </is>
      </c>
      <c r="D206" s="4" t="inlineStr">
        <is>
          <t>158102154-ivygrove/white</t>
        </is>
      </c>
      <c r="E206" s="4" t="inlineStr">
        <is>
          <t>Court Rival Track Jacket *Tennis Club IVYG/WHT 2</t>
        </is>
      </c>
      <c r="F206" s="4" t="inlineStr">
        <is>
          <t>$128.00</t>
        </is>
      </c>
      <c r="G206" s="4" t="inlineStr">
        <is>
          <t>$64.00</t>
        </is>
      </c>
      <c r="H206" s="4" t="inlineStr">
        <is>
          <t>Ivy Grove/White</t>
        </is>
      </c>
      <c r="I206" s="4">
        <f>IMAGE("https://images.lululemon.com/is/image/lululemon/73582",1)</f>
        <v/>
      </c>
      <c r="J206" s="4" t="inlineStr">
        <is>
          <t>2</t>
        </is>
      </c>
      <c r="K206" s="4" t="inlineStr">
        <is>
          <t>11/214</t>
        </is>
      </c>
      <c r="L206" s="4" t="inlineStr">
        <is>
          <t>Yes</t>
        </is>
      </c>
      <c r="M206" s="4" t="inlineStr">
        <is>
          <t>Keep your warm-up look on (match) point in this vintage-inspired jacket. Piping details land the look while lightweight, quick-drying fabric keeps you comfortable after your match.</t>
        </is>
      </c>
      <c r="N206" s="4" t="inlineStr">
        <is>
          <t>Court-Rival-Track-Jacket-Tennis-Club</t>
        </is>
      </c>
      <c r="O206" s="4" t="inlineStr">
        <is>
          <t>Track Jackets</t>
        </is>
      </c>
    </row>
    <row r="207" ht="80" customHeight="1">
      <c r="A207" s="7">
        <f>IMAGE("https://images.lululemon.com/is/image/lululemon/LW3JLMS_073582_1?wid=320&amp;op_usm=0.8",1)</f>
        <v/>
      </c>
      <c r="B207" s="7" t="inlineStr">
        <is>
          <t>Court Rival Track Jacket *Tennis Club</t>
        </is>
      </c>
      <c r="C207" s="7" t="inlineStr">
        <is>
          <t>158102160</t>
        </is>
      </c>
      <c r="D207" s="7" t="inlineStr">
        <is>
          <t>158102160-ivygrove/white</t>
        </is>
      </c>
      <c r="E207" s="7" t="inlineStr">
        <is>
          <t>Court Rival Track Jacket *Tennis Club IVYG/WHT 2</t>
        </is>
      </c>
      <c r="F207" s="7" t="inlineStr">
        <is>
          <t>$128.00</t>
        </is>
      </c>
      <c r="G207" s="7" t="inlineStr">
        <is>
          <t>$64.00</t>
        </is>
      </c>
      <c r="H207" s="7" t="inlineStr">
        <is>
          <t>Ivy Grove/White</t>
        </is>
      </c>
      <c r="I207" s="7">
        <f>IMAGE("https://images.lululemon.com/is/image/lululemon/73582",1)</f>
        <v/>
      </c>
      <c r="J207" s="7" t="inlineStr">
        <is>
          <t>4</t>
        </is>
      </c>
      <c r="K207" s="7" t="inlineStr">
        <is>
          <t>33/214</t>
        </is>
      </c>
      <c r="L207" s="7" t="inlineStr">
        <is>
          <t>Yes</t>
        </is>
      </c>
      <c r="M207" s="7" t="inlineStr">
        <is>
          <t>Keep your warm-up look on (match) point in this vintage-inspired jacket. Piping details land the look while lightweight, quick-drying fabric keeps you comfortable after your match.</t>
        </is>
      </c>
      <c r="N207" s="7" t="inlineStr">
        <is>
          <t>Court-Rival-Track-Jacket-Tennis-Club</t>
        </is>
      </c>
      <c r="O207" s="7" t="inlineStr">
        <is>
          <t>Track Jackets</t>
        </is>
      </c>
    </row>
    <row r="208" ht="80" customHeight="1">
      <c r="A208" s="4">
        <f>IMAGE("https://images.lululemon.com/is/image/lululemon/LW3JLMS_073582_1?wid=320&amp;op_usm=0.8",1)</f>
        <v/>
      </c>
      <c r="B208" s="4" t="inlineStr">
        <is>
          <t>Court Rival Track Jacket *Tennis Club</t>
        </is>
      </c>
      <c r="C208" s="4" t="inlineStr">
        <is>
          <t>158102164</t>
        </is>
      </c>
      <c r="D208" s="4" t="inlineStr">
        <is>
          <t>158102164-ivygrove/white</t>
        </is>
      </c>
      <c r="E208" s="4" t="inlineStr">
        <is>
          <t>Court Rival Track Jacket *Tennis Club IVYG/WHT 2</t>
        </is>
      </c>
      <c r="F208" s="4" t="inlineStr">
        <is>
          <t>$128.00</t>
        </is>
      </c>
      <c r="G208" s="4" t="inlineStr">
        <is>
          <t>$64.00</t>
        </is>
      </c>
      <c r="H208" s="4" t="inlineStr">
        <is>
          <t>Ivy Grove/White</t>
        </is>
      </c>
      <c r="I208" s="4">
        <f>IMAGE("https://images.lululemon.com/is/image/lululemon/73582",1)</f>
        <v/>
      </c>
      <c r="J208" s="4" t="inlineStr">
        <is>
          <t>6</t>
        </is>
      </c>
      <c r="K208" s="4" t="inlineStr">
        <is>
          <t>50/214</t>
        </is>
      </c>
      <c r="L208" s="4" t="inlineStr">
        <is>
          <t>Yes</t>
        </is>
      </c>
      <c r="M208" s="4" t="inlineStr">
        <is>
          <t>Keep your warm-up look on (match) point in this vintage-inspired jacket. Piping details land the look while lightweight, quick-drying fabric keeps you comfortable after your match.</t>
        </is>
      </c>
      <c r="N208" s="4" t="inlineStr">
        <is>
          <t>Court-Rival-Track-Jacket-Tennis-Club</t>
        </is>
      </c>
      <c r="O208" s="4" t="inlineStr">
        <is>
          <t>Track Jackets</t>
        </is>
      </c>
    </row>
    <row r="209" ht="80" customHeight="1">
      <c r="A209" s="7">
        <f>IMAGE("https://images.lululemon.com/is/image/lululemon/LW3JLMS_073582_1?wid=320&amp;op_usm=0.8",1)</f>
        <v/>
      </c>
      <c r="B209" s="7" t="inlineStr">
        <is>
          <t>Court Rival Track Jacket *Tennis Club</t>
        </is>
      </c>
      <c r="C209" s="7" t="inlineStr">
        <is>
          <t>158102171</t>
        </is>
      </c>
      <c r="D209" s="7" t="inlineStr">
        <is>
          <t>158102171-ivygrove/white</t>
        </is>
      </c>
      <c r="E209" s="7" t="inlineStr">
        <is>
          <t>Court Rival Track Jacket *Tennis Club IVYG/WHT 2</t>
        </is>
      </c>
      <c r="F209" s="7" t="inlineStr">
        <is>
          <t>$128.00</t>
        </is>
      </c>
      <c r="G209" s="7" t="inlineStr">
        <is>
          <t>$64.00</t>
        </is>
      </c>
      <c r="H209" s="7" t="inlineStr">
        <is>
          <t>Ivy Grove/White</t>
        </is>
      </c>
      <c r="I209" s="7">
        <f>IMAGE("https://images.lululemon.com/is/image/lululemon/73582",1)</f>
        <v/>
      </c>
      <c r="J209" s="7" t="inlineStr">
        <is>
          <t>8</t>
        </is>
      </c>
      <c r="K209" s="7" t="inlineStr">
        <is>
          <t>54/214</t>
        </is>
      </c>
      <c r="L209" s="7" t="inlineStr">
        <is>
          <t>Yes</t>
        </is>
      </c>
      <c r="M209" s="7" t="inlineStr">
        <is>
          <t>Keep your warm-up look on (match) point in this vintage-inspired jacket. Piping details land the look while lightweight, quick-drying fabric keeps you comfortable after your match.</t>
        </is>
      </c>
      <c r="N209" s="7" t="inlineStr">
        <is>
          <t>Court-Rival-Track-Jacket-Tennis-Club</t>
        </is>
      </c>
      <c r="O209" s="7" t="inlineStr">
        <is>
          <t>Track Jackets</t>
        </is>
      </c>
    </row>
    <row r="210" ht="80" customHeight="1">
      <c r="A210" s="4">
        <f>IMAGE("https://images.lululemon.com/is/image/lululemon/LW3JLMS_073582_1?wid=320&amp;op_usm=0.8",1)</f>
        <v/>
      </c>
      <c r="B210" s="4" t="inlineStr">
        <is>
          <t>Court Rival Track Jacket *Tennis Club</t>
        </is>
      </c>
      <c r="C210" s="4" t="inlineStr">
        <is>
          <t>158102138</t>
        </is>
      </c>
      <c r="D210" s="4" t="inlineStr">
        <is>
          <t>158102138-ivygrove/white</t>
        </is>
      </c>
      <c r="E210" s="4" t="inlineStr">
        <is>
          <t>Court Rival Track Jacket *Tennis Club IVYG/WHT 2</t>
        </is>
      </c>
      <c r="F210" s="4" t="inlineStr">
        <is>
          <t>$128.00</t>
        </is>
      </c>
      <c r="G210" s="4" t="inlineStr">
        <is>
          <t>$64.00</t>
        </is>
      </c>
      <c r="H210" s="4" t="inlineStr">
        <is>
          <t>Ivy Grove/White</t>
        </is>
      </c>
      <c r="I210" s="4">
        <f>IMAGE("https://images.lululemon.com/is/image/lululemon/73582",1)</f>
        <v/>
      </c>
      <c r="J210" s="4" t="inlineStr">
        <is>
          <t>10</t>
        </is>
      </c>
      <c r="K210" s="4" t="inlineStr">
        <is>
          <t>45/214</t>
        </is>
      </c>
      <c r="L210" s="4" t="inlineStr">
        <is>
          <t>Yes</t>
        </is>
      </c>
      <c r="M210" s="4" t="inlineStr">
        <is>
          <t>Keep your warm-up look on (match) point in this vintage-inspired jacket. Piping details land the look while lightweight, quick-drying fabric keeps you comfortable after your match.</t>
        </is>
      </c>
      <c r="N210" s="4" t="inlineStr">
        <is>
          <t>Court-Rival-Track-Jacket-Tennis-Club</t>
        </is>
      </c>
      <c r="O210" s="4" t="inlineStr">
        <is>
          <t>Track Jackets</t>
        </is>
      </c>
    </row>
    <row r="211" ht="80" customHeight="1">
      <c r="A211" s="5">
        <f>IMAGE("https://images.lululemon.com/is/image/lululemon/LW3JLMS_073582_1?wid=320&amp;op_usm=0.8",1)</f>
        <v/>
      </c>
      <c r="B211" s="5" t="inlineStr">
        <is>
          <t>Court Rival Track Jacket *Tennis Club</t>
        </is>
      </c>
      <c r="C211" s="5" t="inlineStr">
        <is>
          <t>158102144</t>
        </is>
      </c>
      <c r="D211" s="5" t="inlineStr">
        <is>
          <t>158102144-ivygrove/white</t>
        </is>
      </c>
      <c r="E211" s="5" t="inlineStr">
        <is>
          <t>Court Rival Track Jacket *Tennis Club IVYG/WHT 2</t>
        </is>
      </c>
      <c r="F211" s="5" t="inlineStr">
        <is>
          <t>$128.00</t>
        </is>
      </c>
      <c r="G211" s="5" t="inlineStr">
        <is>
          <t>$64.00</t>
        </is>
      </c>
      <c r="H211" s="5" t="inlineStr">
        <is>
          <t>Ivy Grove/White</t>
        </is>
      </c>
      <c r="I211" s="5">
        <f>IMAGE("https://images.lululemon.com/is/image/lululemon/73582",1)</f>
        <v/>
      </c>
      <c r="J211" s="5" t="inlineStr">
        <is>
          <t>12</t>
        </is>
      </c>
      <c r="K211" s="5" t="inlineStr">
        <is>
          <t>21/214</t>
        </is>
      </c>
      <c r="L211" s="5" t="inlineStr">
        <is>
          <t>Yes</t>
        </is>
      </c>
      <c r="M211" s="5" t="inlineStr">
        <is>
          <t>Keep your warm-up look on (match) point in this vintage-inspired jacket. Piping details land the look while lightweight, quick-drying fabric keeps you comfortable after your match.</t>
        </is>
      </c>
      <c r="N211" s="5" t="inlineStr">
        <is>
          <t>Court-Rival-Track-Jacket-Tennis-Club</t>
        </is>
      </c>
      <c r="O211" s="5" t="inlineStr">
        <is>
          <t>Track Jackets</t>
        </is>
      </c>
    </row>
    <row r="212" ht="80" customHeight="1">
      <c r="A212" s="4">
        <f>IMAGE("https://images.lululemon.com/is/image/lululemon/LW5HWVS_071188_1?wid=320&amp;op_usm=0.8",1)</f>
        <v/>
      </c>
      <c r="B212" s="4" t="inlineStr">
        <is>
          <t>Fast and Free High-Rise 1-Pocket Tight 25" *Evolve</t>
        </is>
      </c>
      <c r="C212" s="4" t="inlineStr">
        <is>
          <t>157716923</t>
        </is>
      </c>
      <c r="D212" s="4" t="inlineStr">
        <is>
          <t>157716923-deepseablue</t>
        </is>
      </c>
      <c r="E212" s="4" t="inlineStr">
        <is>
          <t>Fast and Free HR Tight 25" 1 Pkt *Evolve DSBU 2</t>
        </is>
      </c>
      <c r="F212" s="4" t="inlineStr">
        <is>
          <t>$108.00</t>
        </is>
      </c>
      <c r="G212" s="4" t="inlineStr">
        <is>
          <t>$54.00</t>
        </is>
      </c>
      <c r="H212" s="4" t="inlineStr">
        <is>
          <t>Deep Sea Blue</t>
        </is>
      </c>
      <c r="I212" s="4">
        <f>IMAGE("https://images.lululemon.com/is/image/lululemon/71188",1)</f>
        <v/>
      </c>
      <c r="J212" s="4" t="inlineStr">
        <is>
          <t>2</t>
        </is>
      </c>
      <c r="K212" s="4" t="inlineStr">
        <is>
          <t>32/166</t>
        </is>
      </c>
      <c r="L212" s="4" t="inlineStr">
        <is>
          <t>Yes</t>
        </is>
      </c>
      <c r="M212" s="4" t="inlineStr">
        <is>
          <t>Mind over miles. This evolved version of our Fast and Free tight features a single back zippered pocket and streamlined design lines for a distraction-free run.</t>
        </is>
      </c>
      <c r="N212" s="4" t="inlineStr">
        <is>
          <t>Fast-and-Free-High-Rise-1-Pocket-Tight-25-Evolve</t>
        </is>
      </c>
      <c r="O212" s="4" t="inlineStr">
        <is>
          <t>Athletic Pants</t>
        </is>
      </c>
    </row>
    <row r="213" ht="80" customHeight="1">
      <c r="A213" s="7">
        <f>IMAGE("https://images.lululemon.com/is/image/lululemon/LW5HWVS_071188_1?wid=320&amp;op_usm=0.8",1)</f>
        <v/>
      </c>
      <c r="B213" s="7" t="inlineStr">
        <is>
          <t>Fast and Free High-Rise 1-Pocket Tight 25" *Evolve</t>
        </is>
      </c>
      <c r="C213" s="7" t="inlineStr">
        <is>
          <t>157716937</t>
        </is>
      </c>
      <c r="D213" s="7" t="inlineStr">
        <is>
          <t>157716937-deepseablue</t>
        </is>
      </c>
      <c r="E213" s="7" t="inlineStr">
        <is>
          <t>Fast and Free HR Tight 25" 1 Pkt *Evolve DSBU 2</t>
        </is>
      </c>
      <c r="F213" s="7" t="inlineStr">
        <is>
          <t>$108.00</t>
        </is>
      </c>
      <c r="G213" s="7" t="inlineStr">
        <is>
          <t>$54.00</t>
        </is>
      </c>
      <c r="H213" s="7" t="inlineStr">
        <is>
          <t>Deep Sea Blue</t>
        </is>
      </c>
      <c r="I213" s="7">
        <f>IMAGE("https://images.lululemon.com/is/image/lululemon/71188",1)</f>
        <v/>
      </c>
      <c r="J213" s="7" t="inlineStr">
        <is>
          <t>6</t>
        </is>
      </c>
      <c r="K213" s="7" t="inlineStr">
        <is>
          <t>89/166</t>
        </is>
      </c>
      <c r="L213" s="7" t="inlineStr">
        <is>
          <t>Yes</t>
        </is>
      </c>
      <c r="M213" s="7" t="inlineStr">
        <is>
          <t>Mind over miles. This evolved version of our Fast and Free tight features a single back zippered pocket and streamlined design lines for a distraction-free run.</t>
        </is>
      </c>
      <c r="N213" s="7" t="inlineStr">
        <is>
          <t>Fast-and-Free-High-Rise-1-Pocket-Tight-25-Evolve</t>
        </is>
      </c>
      <c r="O213" s="7" t="inlineStr">
        <is>
          <t>Athletic Pants</t>
        </is>
      </c>
    </row>
    <row r="214" ht="80" customHeight="1">
      <c r="A214" s="6">
        <f>IMAGE("https://images.lululemon.com/is/image/lululemon/LW5HWVS_071188_1?wid=320&amp;op_usm=0.8",1)</f>
        <v/>
      </c>
      <c r="B214" s="6" t="inlineStr">
        <is>
          <t>Fast and Free High-Rise 1-Pocket Tight 25" *Evolve</t>
        </is>
      </c>
      <c r="C214" s="6" t="inlineStr">
        <is>
          <t>157716907</t>
        </is>
      </c>
      <c r="D214" s="6" t="inlineStr">
        <is>
          <t>157716907-deepseablue</t>
        </is>
      </c>
      <c r="E214" s="6" t="inlineStr">
        <is>
          <t>Fast and Free HR Tight 25" 1 Pkt *Evolve DSBU 2</t>
        </is>
      </c>
      <c r="F214" s="6" t="inlineStr">
        <is>
          <t>$108.00</t>
        </is>
      </c>
      <c r="G214" s="6" t="inlineStr">
        <is>
          <t>$54.00</t>
        </is>
      </c>
      <c r="H214" s="6" t="inlineStr">
        <is>
          <t>Deep Sea Blue</t>
        </is>
      </c>
      <c r="I214" s="6">
        <f>IMAGE("https://images.lululemon.com/is/image/lululemon/71188",1)</f>
        <v/>
      </c>
      <c r="J214" s="6" t="inlineStr">
        <is>
          <t>10</t>
        </is>
      </c>
      <c r="K214" s="6" t="inlineStr">
        <is>
          <t>45/166</t>
        </is>
      </c>
      <c r="L214" s="6" t="inlineStr">
        <is>
          <t>Yes</t>
        </is>
      </c>
      <c r="M214" s="6" t="inlineStr">
        <is>
          <t>Mind over miles. This evolved version of our Fast and Free tight features a single back zippered pocket and streamlined design lines for a distraction-free run.</t>
        </is>
      </c>
      <c r="N214" s="6" t="inlineStr">
        <is>
          <t>Fast-and-Free-High-Rise-1-Pocket-Tight-25-Evolve</t>
        </is>
      </c>
      <c r="O214" s="6" t="inlineStr">
        <is>
          <t>Athletic Pants</t>
        </is>
      </c>
    </row>
    <row r="215" ht="80" customHeight="1">
      <c r="A215" s="7">
        <f>IMAGE("https://images.lululemon.com/is/image/lululemon/LU9CPQS_0001_1?wid=320&amp;op_usm=0.8",1)</f>
        <v/>
      </c>
      <c r="B215" s="7" t="inlineStr">
        <is>
          <t>Unisex Power Stride Tab Socks</t>
        </is>
      </c>
      <c r="C215" s="7" t="inlineStr">
        <is>
          <t>156701189</t>
        </is>
      </c>
      <c r="D215" s="7" t="inlineStr">
        <is>
          <t>156701189-black</t>
        </is>
      </c>
      <c r="E215" s="7" t="inlineStr">
        <is>
          <t>Power Stride Socks BLK S</t>
        </is>
      </c>
      <c r="F215" s="7" t="inlineStr">
        <is>
          <t>$14.00</t>
        </is>
      </c>
      <c r="G215" s="7" t="inlineStr">
        <is>
          <t>$7.00</t>
        </is>
      </c>
      <c r="H215" s="7" t="inlineStr">
        <is>
          <t>Black</t>
        </is>
      </c>
      <c r="I215" s="7">
        <f>IMAGE("https://images.lululemon.com/is/image/lululemon/0001",1)</f>
        <v/>
      </c>
      <c r="J215" s="7" t="inlineStr">
        <is>
          <t>S</t>
        </is>
      </c>
      <c r="K215" s="7" t="inlineStr">
        <is>
          <t>144/636</t>
        </is>
      </c>
      <c r="L215" s="7" t="inlineStr">
        <is>
          <t>Yes</t>
        </is>
      </c>
      <c r="M215" s="7" t="inlineStr">
        <is>
          <t>Set the groundwork for a strong workout. We updated our versatile performance socks with intentional cushioning and enhanced breathability so you can move more comfortably.</t>
        </is>
      </c>
      <c r="N215" s="7" t="inlineStr">
        <is>
          <t>Unisex-Power-Stride-Tab-Socks</t>
        </is>
      </c>
      <c r="O215" s="7" t="inlineStr">
        <is>
          <t>Ankle Socks</t>
        </is>
      </c>
    </row>
    <row r="216" ht="80" customHeight="1">
      <c r="A216" s="4">
        <f>IMAGE("https://images.lululemon.com/is/image/lululemon/LU9CPQS_0001_1?wid=320&amp;op_usm=0.8",1)</f>
        <v/>
      </c>
      <c r="B216" s="4" t="inlineStr">
        <is>
          <t>Unisex Power Stride Tab Socks</t>
        </is>
      </c>
      <c r="C216" s="4" t="inlineStr">
        <is>
          <t>156701188</t>
        </is>
      </c>
      <c r="D216" s="4" t="inlineStr">
        <is>
          <t>156701188-black</t>
        </is>
      </c>
      <c r="E216" s="4" t="inlineStr">
        <is>
          <t>Power Stride Socks BLK S</t>
        </is>
      </c>
      <c r="F216" s="4" t="inlineStr">
        <is>
          <t>$14.00</t>
        </is>
      </c>
      <c r="G216" s="4" t="inlineStr">
        <is>
          <t>$7.00</t>
        </is>
      </c>
      <c r="H216" s="4" t="inlineStr">
        <is>
          <t>Black</t>
        </is>
      </c>
      <c r="I216" s="4">
        <f>IMAGE("https://images.lululemon.com/is/image/lululemon/0001",1)</f>
        <v/>
      </c>
      <c r="J216" s="4" t="inlineStr">
        <is>
          <t>M</t>
        </is>
      </c>
      <c r="K216" s="4" t="inlineStr">
        <is>
          <t>289/636</t>
        </is>
      </c>
      <c r="L216" s="4" t="inlineStr">
        <is>
          <t>Yes</t>
        </is>
      </c>
      <c r="M216" s="4" t="inlineStr">
        <is>
          <t>Set the groundwork for a strong workout. We updated our versatile performance socks with intentional cushioning and enhanced breathability so you can move more comfortably.</t>
        </is>
      </c>
      <c r="N216" s="4" t="inlineStr">
        <is>
          <t>Unisex-Power-Stride-Tab-Socks</t>
        </is>
      </c>
      <c r="O216" s="4" t="inlineStr">
        <is>
          <t>Ankle Socks</t>
        </is>
      </c>
    </row>
    <row r="217" ht="80" customHeight="1">
      <c r="A217" s="7">
        <f>IMAGE("https://images.lululemon.com/is/image/lululemon/LU9CPQS_0001_1?wid=320&amp;op_usm=0.8",1)</f>
        <v/>
      </c>
      <c r="B217" s="7" t="inlineStr">
        <is>
          <t>Unisex Power Stride Tab Socks</t>
        </is>
      </c>
      <c r="C217" s="7" t="inlineStr">
        <is>
          <t>156701187</t>
        </is>
      </c>
      <c r="D217" s="7" t="inlineStr">
        <is>
          <t>156701187-black</t>
        </is>
      </c>
      <c r="E217" s="7" t="inlineStr">
        <is>
          <t>Power Stride Socks BLK S</t>
        </is>
      </c>
      <c r="F217" s="7" t="inlineStr">
        <is>
          <t>$14.00</t>
        </is>
      </c>
      <c r="G217" s="7" t="inlineStr">
        <is>
          <t>$7.00</t>
        </is>
      </c>
      <c r="H217" s="7" t="inlineStr">
        <is>
          <t>Black</t>
        </is>
      </c>
      <c r="I217" s="7">
        <f>IMAGE("https://images.lululemon.com/is/image/lululemon/0001",1)</f>
        <v/>
      </c>
      <c r="J217" s="7" t="inlineStr">
        <is>
          <t>L</t>
        </is>
      </c>
      <c r="K217" s="7" t="inlineStr">
        <is>
          <t>193/636</t>
        </is>
      </c>
      <c r="L217" s="7" t="inlineStr">
        <is>
          <t>Yes</t>
        </is>
      </c>
      <c r="M217" s="7" t="inlineStr">
        <is>
          <t>Set the groundwork for a strong workout. We updated our versatile performance socks with intentional cushioning and enhanced breathability so you can move more comfortably.</t>
        </is>
      </c>
      <c r="N217" s="7" t="inlineStr">
        <is>
          <t>Unisex-Power-Stride-Tab-Socks</t>
        </is>
      </c>
      <c r="O217" s="7" t="inlineStr">
        <is>
          <t>Ankle Socks</t>
        </is>
      </c>
    </row>
    <row r="218" ht="80" customHeight="1">
      <c r="A218" s="6">
        <f>IMAGE("https://images.lululemon.com/is/image/lululemon/LU9CPQS_0001_1?wid=320&amp;op_usm=0.8",1)</f>
        <v/>
      </c>
      <c r="B218" s="6" t="inlineStr">
        <is>
          <t>Unisex Power Stride Tab Socks</t>
        </is>
      </c>
      <c r="C218" s="6" t="inlineStr">
        <is>
          <t>156701190</t>
        </is>
      </c>
      <c r="D218" s="6" t="inlineStr">
        <is>
          <t>156701190-black</t>
        </is>
      </c>
      <c r="E218" s="6" t="inlineStr">
        <is>
          <t>Power Stride Socks BLK S</t>
        </is>
      </c>
      <c r="F218" s="6" t="inlineStr">
        <is>
          <t>$14.00</t>
        </is>
      </c>
      <c r="G218" s="6" t="inlineStr">
        <is>
          <t>$7.00</t>
        </is>
      </c>
      <c r="H218" s="6" t="inlineStr">
        <is>
          <t>Black</t>
        </is>
      </c>
      <c r="I218" s="6">
        <f>IMAGE("https://images.lululemon.com/is/image/lululemon/0001",1)</f>
        <v/>
      </c>
      <c r="J218" s="6" t="inlineStr">
        <is>
          <t>XL</t>
        </is>
      </c>
      <c r="K218" s="6" t="inlineStr">
        <is>
          <t>10/636</t>
        </is>
      </c>
      <c r="L218" s="6" t="inlineStr">
        <is>
          <t>Yes</t>
        </is>
      </c>
      <c r="M218" s="6" t="inlineStr">
        <is>
          <t>Set the groundwork for a strong workout. We updated our versatile performance socks with intentional cushioning and enhanced breathability so you can move more comfortably.</t>
        </is>
      </c>
      <c r="N218" s="6" t="inlineStr">
        <is>
          <t>Unisex-Power-Stride-Tab-Socks</t>
        </is>
      </c>
      <c r="O218" s="6" t="inlineStr">
        <is>
          <t>Ankle Socks</t>
        </is>
      </c>
    </row>
    <row r="219" ht="80" customHeight="1">
      <c r="A219" s="5">
        <f>IMAGE("https://images.lululemon.com/is/image/lululemon/LW5GV7S_0001_1?wid=320&amp;op_usm=0.8",1)</f>
        <v/>
      </c>
      <c r="B219" s="5" t="inlineStr">
        <is>
          <t>Scuba Mid-Rise Wide-Leg Pant *Regular</t>
        </is>
      </c>
      <c r="C219" s="5" t="inlineStr">
        <is>
          <t>155701770</t>
        </is>
      </c>
      <c r="D219" s="5" t="inlineStr">
        <is>
          <t>155701770-black</t>
        </is>
      </c>
      <c r="E219" s="5" t="inlineStr">
        <is>
          <t>Scuba Mid-Rise Wide-Leg Pant *Regular BLK XL</t>
        </is>
      </c>
      <c r="F219" s="5" t="inlineStr">
        <is>
          <t>$118.00</t>
        </is>
      </c>
      <c r="G219" s="5" t="inlineStr">
        <is>
          <t>$59.00</t>
        </is>
      </c>
      <c r="H219" s="5" t="inlineStr">
        <is>
          <t>Black</t>
        </is>
      </c>
      <c r="I219" s="5">
        <f>IMAGE("https://images.lululemon.com/is/image/lululemon/0001",1)</f>
        <v/>
      </c>
      <c r="J219" s="5" t="inlineStr">
        <is>
          <t>XL</t>
        </is>
      </c>
      <c r="K219" s="5" t="inlineStr">
        <is>
          <t>22/22</t>
        </is>
      </c>
      <c r="L219" s="5" t="inlineStr">
        <is>
          <t>Yes</t>
        </is>
      </c>
      <c r="M219" s="5" t="inlineStr">
        <is>
          <t>Serious about softness. These sweatpants are all about fleecy fabric and pair perfectly with our Scuba sweatshirts.</t>
        </is>
      </c>
      <c r="N219" s="5" t="inlineStr">
        <is>
          <t>Scuba-MR-Wide-Leg-Pant-Regular</t>
        </is>
      </c>
      <c r="O219" s="5" t="inlineStr"/>
    </row>
    <row r="220" ht="80" customHeight="1">
      <c r="A220" s="4">
        <f>IMAGE("https://images.lululemon.com/is/image/lululemon/LW4CEGS_033454_1?wid=320&amp;op_usm=0.8",1)</f>
        <v/>
      </c>
      <c r="B220" s="4" t="inlineStr">
        <is>
          <t>Women's Cross Chill Performance Jacket</t>
        </is>
      </c>
      <c r="C220" s="4" t="inlineStr">
        <is>
          <t>155865585</t>
        </is>
      </c>
      <c r="D220" s="4" t="inlineStr">
        <is>
          <t>155865585-lightivory</t>
        </is>
      </c>
      <c r="E220" s="4" t="inlineStr">
        <is>
          <t>Cross Chill Performance Jacket LTIV XXS</t>
        </is>
      </c>
      <c r="F220" s="4" t="inlineStr">
        <is>
          <t>$228.00</t>
        </is>
      </c>
      <c r="G220" s="4" t="inlineStr">
        <is>
          <t>$114.00</t>
        </is>
      </c>
      <c r="H220" s="4" t="inlineStr">
        <is>
          <t>Light Ivory</t>
        </is>
      </c>
      <c r="I220" s="4">
        <f>IMAGE("https://images.lululemon.com/is/image/lululemon/33454",1)</f>
        <v/>
      </c>
      <c r="J220" s="4" t="inlineStr">
        <is>
          <t>XXS</t>
        </is>
      </c>
      <c r="K220" s="4" t="inlineStr">
        <is>
          <t>6/315</t>
        </is>
      </c>
      <c r="L220" s="4" t="inlineStr">
        <is>
          <t>Yes</t>
        </is>
      </c>
      <c r="M220" s="4" t="inlineStr">
        <is>
          <t>Cold-weather runs call for next-level comfort. This jacket is made from waterproof fabric to keep your core protected from rain and snow with a plush, fleecy interior.</t>
        </is>
      </c>
      <c r="N220" s="4" t="inlineStr">
        <is>
          <t>W-Cross-Chill-Performance-Jacket</t>
        </is>
      </c>
      <c r="O220" s="4" t="inlineStr">
        <is>
          <t>Athletic Jackets, Rain Jackets</t>
        </is>
      </c>
    </row>
    <row r="221" ht="80" customHeight="1">
      <c r="A221" s="7">
        <f>IMAGE("https://images.lululemon.com/is/image/lululemon/LW4CEGS_033454_1?wid=320&amp;op_usm=0.8",1)</f>
        <v/>
      </c>
      <c r="B221" s="7" t="inlineStr">
        <is>
          <t>Women's Cross Chill Performance Jacket</t>
        </is>
      </c>
      <c r="C221" s="7" t="inlineStr">
        <is>
          <t>155865566</t>
        </is>
      </c>
      <c r="D221" s="7" t="inlineStr">
        <is>
          <t>155865566-lightivory</t>
        </is>
      </c>
      <c r="E221" s="7" t="inlineStr">
        <is>
          <t>Cross Chill Performance Jacket LTIV XXS</t>
        </is>
      </c>
      <c r="F221" s="7" t="inlineStr">
        <is>
          <t>$228.00</t>
        </is>
      </c>
      <c r="G221" s="7" t="inlineStr">
        <is>
          <t>$114.00</t>
        </is>
      </c>
      <c r="H221" s="7" t="inlineStr">
        <is>
          <t>Light Ivory</t>
        </is>
      </c>
      <c r="I221" s="7">
        <f>IMAGE("https://images.lululemon.com/is/image/lululemon/33454",1)</f>
        <v/>
      </c>
      <c r="J221" s="7" t="inlineStr">
        <is>
          <t>XS</t>
        </is>
      </c>
      <c r="K221" s="7" t="inlineStr">
        <is>
          <t>34/315</t>
        </is>
      </c>
      <c r="L221" s="7" t="inlineStr">
        <is>
          <t>Yes</t>
        </is>
      </c>
      <c r="M221" s="7" t="inlineStr">
        <is>
          <t>Cold-weather runs call for next-level comfort. This jacket is made from waterproof fabric to keep your core protected from rain and snow with a plush, fleecy interior.</t>
        </is>
      </c>
      <c r="N221" s="7" t="inlineStr">
        <is>
          <t>W-Cross-Chill-Performance-Jacket</t>
        </is>
      </c>
      <c r="O221" s="7" t="inlineStr">
        <is>
          <t>Athletic Jackets, Rain Jackets</t>
        </is>
      </c>
    </row>
    <row r="222" ht="80" customHeight="1">
      <c r="A222" s="4">
        <f>IMAGE("https://images.lululemon.com/is/image/lululemon/LW4CEGS_033454_1?wid=320&amp;op_usm=0.8",1)</f>
        <v/>
      </c>
      <c r="B222" s="4" t="inlineStr">
        <is>
          <t>Women's Cross Chill Performance Jacket</t>
        </is>
      </c>
      <c r="C222" s="4" t="inlineStr">
        <is>
          <t>155865527</t>
        </is>
      </c>
      <c r="D222" s="4" t="inlineStr">
        <is>
          <t>155865527-lightivory</t>
        </is>
      </c>
      <c r="E222" s="4" t="inlineStr">
        <is>
          <t>Cross Chill Performance Jacket LTIV XXS</t>
        </is>
      </c>
      <c r="F222" s="4" t="inlineStr">
        <is>
          <t>$228.00</t>
        </is>
      </c>
      <c r="G222" s="4" t="inlineStr">
        <is>
          <t>$114.00</t>
        </is>
      </c>
      <c r="H222" s="4" t="inlineStr">
        <is>
          <t>Light Ivory</t>
        </is>
      </c>
      <c r="I222" s="4">
        <f>IMAGE("https://images.lululemon.com/is/image/lululemon/33454",1)</f>
        <v/>
      </c>
      <c r="J222" s="4" t="inlineStr">
        <is>
          <t>S</t>
        </is>
      </c>
      <c r="K222" s="4" t="inlineStr">
        <is>
          <t>79/315</t>
        </is>
      </c>
      <c r="L222" s="4" t="inlineStr">
        <is>
          <t>Yes</t>
        </is>
      </c>
      <c r="M222" s="4" t="inlineStr">
        <is>
          <t>Cold-weather runs call for next-level comfort. This jacket is made from waterproof fabric to keep your core protected from rain and snow with a plush, fleecy interior.</t>
        </is>
      </c>
      <c r="N222" s="4" t="inlineStr">
        <is>
          <t>W-Cross-Chill-Performance-Jacket</t>
        </is>
      </c>
      <c r="O222" s="4" t="inlineStr">
        <is>
          <t>Athletic Jackets, Rain Jackets</t>
        </is>
      </c>
    </row>
    <row r="223" ht="80" customHeight="1">
      <c r="A223" s="7">
        <f>IMAGE("https://images.lululemon.com/is/image/lululemon/LW4CEGS_033454_1?wid=320&amp;op_usm=0.8",1)</f>
        <v/>
      </c>
      <c r="B223" s="7" t="inlineStr">
        <is>
          <t>Women's Cross Chill Performance Jacket</t>
        </is>
      </c>
      <c r="C223" s="7" t="inlineStr">
        <is>
          <t>155865507</t>
        </is>
      </c>
      <c r="D223" s="7" t="inlineStr">
        <is>
          <t>155865507-lightivory</t>
        </is>
      </c>
      <c r="E223" s="7" t="inlineStr">
        <is>
          <t>Cross Chill Performance Jacket LTIV XXS</t>
        </is>
      </c>
      <c r="F223" s="7" t="inlineStr">
        <is>
          <t>$228.00</t>
        </is>
      </c>
      <c r="G223" s="7" t="inlineStr">
        <is>
          <t>$114.00</t>
        </is>
      </c>
      <c r="H223" s="7" t="inlineStr">
        <is>
          <t>Light Ivory</t>
        </is>
      </c>
      <c r="I223" s="7">
        <f>IMAGE("https://images.lululemon.com/is/image/lululemon/33454",1)</f>
        <v/>
      </c>
      <c r="J223" s="7" t="inlineStr">
        <is>
          <t>M</t>
        </is>
      </c>
      <c r="K223" s="7" t="inlineStr">
        <is>
          <t>95/315</t>
        </is>
      </c>
      <c r="L223" s="7" t="inlineStr">
        <is>
          <t>Yes</t>
        </is>
      </c>
      <c r="M223" s="7" t="inlineStr">
        <is>
          <t>Cold-weather runs call for next-level comfort. This jacket is made from waterproof fabric to keep your core protected from rain and snow with a plush, fleecy interior.</t>
        </is>
      </c>
      <c r="N223" s="7" t="inlineStr">
        <is>
          <t>W-Cross-Chill-Performance-Jacket</t>
        </is>
      </c>
      <c r="O223" s="7" t="inlineStr">
        <is>
          <t>Athletic Jackets, Rain Jackets</t>
        </is>
      </c>
    </row>
    <row r="224" ht="80" customHeight="1">
      <c r="A224" s="4">
        <f>IMAGE("https://images.lululemon.com/is/image/lululemon/LW4CEGS_033454_1?wid=320&amp;op_usm=0.8",1)</f>
        <v/>
      </c>
      <c r="B224" s="4" t="inlineStr">
        <is>
          <t>Women's Cross Chill Performance Jacket</t>
        </is>
      </c>
      <c r="C224" s="4" t="inlineStr">
        <is>
          <t>155865488</t>
        </is>
      </c>
      <c r="D224" s="4" t="inlineStr">
        <is>
          <t>155865488-lightivory</t>
        </is>
      </c>
      <c r="E224" s="4" t="inlineStr">
        <is>
          <t>Cross Chill Performance Jacket LTIV XXS</t>
        </is>
      </c>
      <c r="F224" s="4" t="inlineStr">
        <is>
          <t>$228.00</t>
        </is>
      </c>
      <c r="G224" s="4" t="inlineStr">
        <is>
          <t>$114.00</t>
        </is>
      </c>
      <c r="H224" s="4" t="inlineStr">
        <is>
          <t>Light Ivory</t>
        </is>
      </c>
      <c r="I224" s="4">
        <f>IMAGE("https://images.lululemon.com/is/image/lululemon/33454",1)</f>
        <v/>
      </c>
      <c r="J224" s="4" t="inlineStr">
        <is>
          <t>L</t>
        </is>
      </c>
      <c r="K224" s="4" t="inlineStr">
        <is>
          <t>68/315</t>
        </is>
      </c>
      <c r="L224" s="4" t="inlineStr">
        <is>
          <t>Yes</t>
        </is>
      </c>
      <c r="M224" s="4" t="inlineStr">
        <is>
          <t>Cold-weather runs call for next-level comfort. This jacket is made from waterproof fabric to keep your core protected from rain and snow with a plush, fleecy interior.</t>
        </is>
      </c>
      <c r="N224" s="4" t="inlineStr">
        <is>
          <t>W-Cross-Chill-Performance-Jacket</t>
        </is>
      </c>
      <c r="O224" s="4" t="inlineStr">
        <is>
          <t>Athletic Jackets, Rain Jackets</t>
        </is>
      </c>
    </row>
    <row r="225" ht="80" customHeight="1">
      <c r="A225" s="5">
        <f>IMAGE("https://images.lululemon.com/is/image/lululemon/LW4CEGS_033454_1?wid=320&amp;op_usm=0.8",1)</f>
        <v/>
      </c>
      <c r="B225" s="5" t="inlineStr">
        <is>
          <t>Women's Cross Chill Performance Jacket</t>
        </is>
      </c>
      <c r="C225" s="5" t="inlineStr">
        <is>
          <t>155865549</t>
        </is>
      </c>
      <c r="D225" s="5" t="inlineStr">
        <is>
          <t>155865549-lightivory</t>
        </is>
      </c>
      <c r="E225" s="5" t="inlineStr">
        <is>
          <t>Cross Chill Performance Jacket LTIV XXS</t>
        </is>
      </c>
      <c r="F225" s="5" t="inlineStr">
        <is>
          <t>$228.00</t>
        </is>
      </c>
      <c r="G225" s="5" t="inlineStr">
        <is>
          <t>$114.00</t>
        </is>
      </c>
      <c r="H225" s="5" t="inlineStr">
        <is>
          <t>Light Ivory</t>
        </is>
      </c>
      <c r="I225" s="5">
        <f>IMAGE("https://images.lululemon.com/is/image/lululemon/33454",1)</f>
        <v/>
      </c>
      <c r="J225" s="5" t="inlineStr">
        <is>
          <t>XL</t>
        </is>
      </c>
      <c r="K225" s="5" t="inlineStr">
        <is>
          <t>33/315</t>
        </is>
      </c>
      <c r="L225" s="5" t="inlineStr">
        <is>
          <t>Yes</t>
        </is>
      </c>
      <c r="M225" s="5" t="inlineStr">
        <is>
          <t>Cold-weather runs call for next-level comfort. This jacket is made from waterproof fabric to keep your core protected from rain and snow with a plush, fleecy interior.</t>
        </is>
      </c>
      <c r="N225" s="5" t="inlineStr">
        <is>
          <t>W-Cross-Chill-Performance-Jacket</t>
        </is>
      </c>
      <c r="O225" s="5" t="inlineStr">
        <is>
          <t>Athletic Jackets, Rain Jackets</t>
        </is>
      </c>
    </row>
    <row r="226" ht="80" customHeight="1">
      <c r="A226" s="6">
        <f>IMAGE("https://images.lululemon.com/is/image/lululemon/LU9ALIS_0001_1?wid=320&amp;op_usm=0.8",1)</f>
        <v/>
      </c>
      <c r="B226" s="6" t="inlineStr">
        <is>
          <t>Resistance Band Set</t>
        </is>
      </c>
      <c r="C226" s="6" t="inlineStr">
        <is>
          <t>142350264</t>
        </is>
      </c>
      <c r="D226" s="6" t="inlineStr">
        <is>
          <t>142350264-black</t>
        </is>
      </c>
      <c r="E226" s="6" t="inlineStr">
        <is>
          <t>Resistance Band Set BLK ONE SIZE</t>
        </is>
      </c>
      <c r="F226" s="6" t="inlineStr">
        <is>
          <t>$58.00</t>
        </is>
      </c>
      <c r="G226" s="6" t="inlineStr">
        <is>
          <t>$29.00</t>
        </is>
      </c>
      <c r="H226" s="6" t="inlineStr">
        <is>
          <t>Black</t>
        </is>
      </c>
      <c r="I226" s="6">
        <f>IMAGE("https://images.lululemon.com/is/image/lululemon/0001",1)</f>
        <v/>
      </c>
      <c r="J226" s="6" t="inlineStr">
        <is>
          <t>O/S</t>
        </is>
      </c>
      <c r="K226" s="6" t="inlineStr">
        <is>
          <t>298/298</t>
        </is>
      </c>
      <c r="L226" s="6" t="inlineStr">
        <is>
          <t>Yes</t>
        </is>
      </c>
      <c r="M226" s="6" t="inlineStr">
        <is>
          <t>Push, pull, strengthen, and tone—this resistance band set can handle it all. Switch between low, medium, and high resistance levels for a customized workout.</t>
        </is>
      </c>
      <c r="N226" s="6" t="inlineStr">
        <is>
          <t>Resistance-Bands-3-Pack</t>
        </is>
      </c>
      <c r="O226" s="6" t="inlineStr">
        <is>
          <t>Resistance Bands</t>
        </is>
      </c>
    </row>
    <row r="227" ht="80" customHeight="1">
      <c r="A227" s="7">
        <f>IMAGE("https://images.lululemon.com/is/image/lululemon/LU9BUMS_031382_1?wid=320&amp;op_usm=0.8",1)</f>
        <v/>
      </c>
      <c r="B227" s="7" t="inlineStr">
        <is>
          <t>Classic Ball Cap</t>
        </is>
      </c>
      <c r="C227" s="7" t="inlineStr">
        <is>
          <t>153836695</t>
        </is>
      </c>
      <c r="D227" s="7" t="inlineStr">
        <is>
          <t>153836695-truenavy</t>
        </is>
      </c>
      <c r="E227" s="7" t="inlineStr">
        <is>
          <t>Unisex Classic Ball Cap TRNV S/M</t>
        </is>
      </c>
      <c r="F227" s="7" t="inlineStr">
        <is>
          <t>$38.00</t>
        </is>
      </c>
      <c r="G227" s="7" t="inlineStr">
        <is>
          <t>$19.00</t>
        </is>
      </c>
      <c r="H227" s="7" t="inlineStr">
        <is>
          <t>True Navy</t>
        </is>
      </c>
      <c r="I227" s="7">
        <f>IMAGE("https://images.lululemon.com/is/image/lululemon/31382",1)</f>
        <v/>
      </c>
      <c r="J227" s="7" t="inlineStr">
        <is>
          <t>S/M</t>
        </is>
      </c>
      <c r="K227" s="7" t="inlineStr">
        <is>
          <t>163/3712</t>
        </is>
      </c>
      <c r="L227" s="7" t="inlineStr">
        <is>
          <t>Yes</t>
        </is>
      </c>
      <c r="M227" s="7" t="inlineStr">
        <is>
          <t>Anywhere, anytime. This soft, lightweight cap is a year-round favourite for days on the go.</t>
        </is>
      </c>
      <c r="N227" s="7" t="inlineStr">
        <is>
          <t>Soft-Cap</t>
        </is>
      </c>
      <c r="O227" s="7" t="inlineStr">
        <is>
          <t>Caps</t>
        </is>
      </c>
    </row>
    <row r="228" ht="80" customHeight="1">
      <c r="A228" s="4">
        <f>IMAGE("https://images.lululemon.com/is/image/lululemon/LU9BUMS_031382_1?wid=320&amp;op_usm=0.8",1)</f>
        <v/>
      </c>
      <c r="B228" s="4" t="inlineStr">
        <is>
          <t>Classic Ball Cap</t>
        </is>
      </c>
      <c r="C228" s="4" t="inlineStr">
        <is>
          <t>153836676</t>
        </is>
      </c>
      <c r="D228" s="4" t="inlineStr">
        <is>
          <t>153836676-truenavy</t>
        </is>
      </c>
      <c r="E228" s="4" t="inlineStr">
        <is>
          <t>Unisex Classic Ball Cap TRNV S/M</t>
        </is>
      </c>
      <c r="F228" s="4" t="inlineStr">
        <is>
          <t>$38.00</t>
        </is>
      </c>
      <c r="G228" s="4" t="inlineStr">
        <is>
          <t>$19.00</t>
        </is>
      </c>
      <c r="H228" s="4" t="inlineStr">
        <is>
          <t>True Navy</t>
        </is>
      </c>
      <c r="I228" s="4">
        <f>IMAGE("https://images.lululemon.com/is/image/lululemon/31382",1)</f>
        <v/>
      </c>
      <c r="J228" s="4" t="inlineStr">
        <is>
          <t>L/XL</t>
        </is>
      </c>
      <c r="K228" s="4" t="inlineStr">
        <is>
          <t>176/3712</t>
        </is>
      </c>
      <c r="L228" s="4" t="inlineStr">
        <is>
          <t>Yes</t>
        </is>
      </c>
      <c r="M228" s="4" t="inlineStr">
        <is>
          <t>Anywhere, anytime. This soft, lightweight cap is a year-round favourite for days on the go.</t>
        </is>
      </c>
      <c r="N228" s="4" t="inlineStr">
        <is>
          <t>Soft-Cap</t>
        </is>
      </c>
      <c r="O228" s="4" t="inlineStr">
        <is>
          <t>Caps</t>
        </is>
      </c>
    </row>
    <row r="229" ht="80" customHeight="1">
      <c r="A229" s="7">
        <f>IMAGE("https://images.lululemon.com/is/image/lululemon/LU9BUMS_031382_1?wid=320&amp;op_usm=0.8",1)</f>
        <v/>
      </c>
      <c r="B229" s="7" t="inlineStr">
        <is>
          <t>Classic Ball Cap</t>
        </is>
      </c>
      <c r="C229" s="7" t="inlineStr">
        <is>
          <t>150051019</t>
        </is>
      </c>
      <c r="D229" s="7" t="inlineStr">
        <is>
          <t>150051019-white</t>
        </is>
      </c>
      <c r="E229" s="7" t="inlineStr">
        <is>
          <t>Unisex Classic Ball Cap TRNV S/M</t>
        </is>
      </c>
      <c r="F229" s="7" t="inlineStr">
        <is>
          <t>$38.00</t>
        </is>
      </c>
      <c r="G229" s="7" t="inlineStr">
        <is>
          <t>$19.00</t>
        </is>
      </c>
      <c r="H229" s="7" t="inlineStr">
        <is>
          <t>White</t>
        </is>
      </c>
      <c r="I229" s="7">
        <f>IMAGE("https://images.lululemon.com/is/image/lululemon/0002",1)</f>
        <v/>
      </c>
      <c r="J229" s="7" t="inlineStr">
        <is>
          <t>S/M</t>
        </is>
      </c>
      <c r="K229" s="7" t="inlineStr">
        <is>
          <t>712/3712</t>
        </is>
      </c>
      <c r="L229" s="7" t="inlineStr">
        <is>
          <t>Yes</t>
        </is>
      </c>
      <c r="M229" s="7" t="inlineStr">
        <is>
          <t>Anywhere, anytime. This soft, lightweight cap is a year-round favourite for days on the go.</t>
        </is>
      </c>
      <c r="N229" s="7" t="inlineStr">
        <is>
          <t>Soft-Cap</t>
        </is>
      </c>
      <c r="O229" s="7" t="inlineStr">
        <is>
          <t>Caps</t>
        </is>
      </c>
    </row>
    <row r="230" ht="80" customHeight="1">
      <c r="A230" s="4">
        <f>IMAGE("https://images.lululemon.com/is/image/lululemon/LU9BUMS_031382_1?wid=320&amp;op_usm=0.8",1)</f>
        <v/>
      </c>
      <c r="B230" s="4" t="inlineStr">
        <is>
          <t>Classic Ball Cap</t>
        </is>
      </c>
      <c r="C230" s="4" t="inlineStr">
        <is>
          <t>150051008</t>
        </is>
      </c>
      <c r="D230" s="4" t="inlineStr">
        <is>
          <t>150051008-white</t>
        </is>
      </c>
      <c r="E230" s="4" t="inlineStr">
        <is>
          <t>Unisex Classic Ball Cap TRNV S/M</t>
        </is>
      </c>
      <c r="F230" s="4" t="inlineStr">
        <is>
          <t>$38.00</t>
        </is>
      </c>
      <c r="G230" s="4" t="inlineStr">
        <is>
          <t>$19.00</t>
        </is>
      </c>
      <c r="H230" s="4" t="inlineStr">
        <is>
          <t>White</t>
        </is>
      </c>
      <c r="I230" s="4">
        <f>IMAGE("https://images.lululemon.com/is/image/lululemon/0002",1)</f>
        <v/>
      </c>
      <c r="J230" s="4" t="inlineStr">
        <is>
          <t>L/XL</t>
        </is>
      </c>
      <c r="K230" s="4" t="inlineStr">
        <is>
          <t>622/3712</t>
        </is>
      </c>
      <c r="L230" s="4" t="inlineStr">
        <is>
          <t>Yes</t>
        </is>
      </c>
      <c r="M230" s="4" t="inlineStr">
        <is>
          <t>Anywhere, anytime. This soft, lightweight cap is a year-round favourite for days on the go.</t>
        </is>
      </c>
      <c r="N230" s="4" t="inlineStr">
        <is>
          <t>Soft-Cap</t>
        </is>
      </c>
      <c r="O230" s="4" t="inlineStr">
        <is>
          <t>Caps</t>
        </is>
      </c>
    </row>
    <row r="231" ht="80" customHeight="1">
      <c r="A231" s="7">
        <f>IMAGE("https://images.lululemon.com/is/image/lululemon/LU9BUMS_031382_1?wid=320&amp;op_usm=0.8",1)</f>
        <v/>
      </c>
      <c r="B231" s="7" t="inlineStr">
        <is>
          <t>Classic Ball Cap</t>
        </is>
      </c>
      <c r="C231" s="7" t="inlineStr">
        <is>
          <t>150050995</t>
        </is>
      </c>
      <c r="D231" s="7" t="inlineStr">
        <is>
          <t>150050995-black</t>
        </is>
      </c>
      <c r="E231" s="7" t="inlineStr">
        <is>
          <t>Unisex Classic Ball Cap TRNV S/M</t>
        </is>
      </c>
      <c r="F231" s="7" t="inlineStr">
        <is>
          <t>$38.00</t>
        </is>
      </c>
      <c r="G231" s="7" t="inlineStr">
        <is>
          <t>$19.00</t>
        </is>
      </c>
      <c r="H231" s="7" t="inlineStr">
        <is>
          <t>Black</t>
        </is>
      </c>
      <c r="I231" s="7">
        <f>IMAGE("https://images.lululemon.com/is/image/lululemon/0001",1)</f>
        <v/>
      </c>
      <c r="J231" s="7" t="inlineStr">
        <is>
          <t>S/M</t>
        </is>
      </c>
      <c r="K231" s="7" t="inlineStr">
        <is>
          <t>964/3712</t>
        </is>
      </c>
      <c r="L231" s="7" t="inlineStr">
        <is>
          <t>Yes</t>
        </is>
      </c>
      <c r="M231" s="7" t="inlineStr">
        <is>
          <t>Anywhere, anytime. This soft, lightweight cap is a year-round favourite for days on the go.</t>
        </is>
      </c>
      <c r="N231" s="7" t="inlineStr">
        <is>
          <t>Soft-Cap</t>
        </is>
      </c>
      <c r="O231" s="7" t="inlineStr">
        <is>
          <t>Caps</t>
        </is>
      </c>
    </row>
    <row r="232" ht="80" customHeight="1">
      <c r="A232" s="4">
        <f>IMAGE("https://images.lululemon.com/is/image/lululemon/LU9BUMS_031382_1?wid=320&amp;op_usm=0.8",1)</f>
        <v/>
      </c>
      <c r="B232" s="4" t="inlineStr">
        <is>
          <t>Classic Ball Cap</t>
        </is>
      </c>
      <c r="C232" s="4" t="inlineStr">
        <is>
          <t>150050988</t>
        </is>
      </c>
      <c r="D232" s="4" t="inlineStr">
        <is>
          <t>150050988-black</t>
        </is>
      </c>
      <c r="E232" s="4" t="inlineStr">
        <is>
          <t>Unisex Classic Ball Cap TRNV S/M</t>
        </is>
      </c>
      <c r="F232" s="4" t="inlineStr">
        <is>
          <t>$38.00</t>
        </is>
      </c>
      <c r="G232" s="4" t="inlineStr">
        <is>
          <t>$19.00</t>
        </is>
      </c>
      <c r="H232" s="4" t="inlineStr">
        <is>
          <t>Black</t>
        </is>
      </c>
      <c r="I232" s="4">
        <f>IMAGE("https://images.lululemon.com/is/image/lululemon/0001",1)</f>
        <v/>
      </c>
      <c r="J232" s="4" t="inlineStr">
        <is>
          <t>L/XL</t>
        </is>
      </c>
      <c r="K232" s="4" t="inlineStr">
        <is>
          <t>856/3712</t>
        </is>
      </c>
      <c r="L232" s="4" t="inlineStr">
        <is>
          <t>Yes</t>
        </is>
      </c>
      <c r="M232" s="4" t="inlineStr">
        <is>
          <t>Anywhere, anytime. This soft, lightweight cap is a year-round favourite for days on the go.</t>
        </is>
      </c>
      <c r="N232" s="4" t="inlineStr">
        <is>
          <t>Soft-Cap</t>
        </is>
      </c>
      <c r="O232" s="4" t="inlineStr">
        <is>
          <t>Caps</t>
        </is>
      </c>
    </row>
    <row r="233" ht="80" customHeight="1">
      <c r="A233" s="7">
        <f>IMAGE("https://images.lululemon.com/is/image/lululemon/LU9BUMS_031382_1?wid=320&amp;op_usm=0.8",1)</f>
        <v/>
      </c>
      <c r="B233" s="7" t="inlineStr">
        <is>
          <t>Classic Ball Cap</t>
        </is>
      </c>
      <c r="C233" s="7" t="inlineStr">
        <is>
          <t>155725378</t>
        </is>
      </c>
      <c r="D233" s="7" t="inlineStr">
        <is>
          <t>155725378-lightivory</t>
        </is>
      </c>
      <c r="E233" s="7" t="inlineStr">
        <is>
          <t>Unisex Classic Ball Cap TRNV S/M</t>
        </is>
      </c>
      <c r="F233" s="7" t="inlineStr">
        <is>
          <t>$38.00</t>
        </is>
      </c>
      <c r="G233" s="7" t="inlineStr">
        <is>
          <t>$19.00</t>
        </is>
      </c>
      <c r="H233" s="7" t="inlineStr">
        <is>
          <t>Light Ivory</t>
        </is>
      </c>
      <c r="I233" s="7">
        <f>IMAGE("https://images.lululemon.com/is/image/lululemon/33454",1)</f>
        <v/>
      </c>
      <c r="J233" s="7" t="inlineStr">
        <is>
          <t>S/M</t>
        </is>
      </c>
      <c r="K233" s="7" t="inlineStr">
        <is>
          <t>80/3712</t>
        </is>
      </c>
      <c r="L233" s="7" t="inlineStr">
        <is>
          <t>Yes</t>
        </is>
      </c>
      <c r="M233" s="7" t="inlineStr">
        <is>
          <t>Anywhere, anytime. This soft, lightweight cap is a year-round favourite for days on the go.</t>
        </is>
      </c>
      <c r="N233" s="7" t="inlineStr">
        <is>
          <t>Soft-Cap</t>
        </is>
      </c>
      <c r="O233" s="7" t="inlineStr">
        <is>
          <t>Caps</t>
        </is>
      </c>
    </row>
    <row r="234" ht="80" customHeight="1">
      <c r="A234" s="6">
        <f>IMAGE("https://images.lululemon.com/is/image/lululemon/LU9BUMS_031382_1?wid=320&amp;op_usm=0.8",1)</f>
        <v/>
      </c>
      <c r="B234" s="6" t="inlineStr">
        <is>
          <t>Classic Ball Cap</t>
        </is>
      </c>
      <c r="C234" s="6" t="inlineStr">
        <is>
          <t>155725366</t>
        </is>
      </c>
      <c r="D234" s="6" t="inlineStr">
        <is>
          <t>155725366-lightivory</t>
        </is>
      </c>
      <c r="E234" s="6" t="inlineStr">
        <is>
          <t>Unisex Classic Ball Cap TRNV S/M</t>
        </is>
      </c>
      <c r="F234" s="6" t="inlineStr">
        <is>
          <t>$38.00</t>
        </is>
      </c>
      <c r="G234" s="6" t="inlineStr">
        <is>
          <t>$19.00</t>
        </is>
      </c>
      <c r="H234" s="6" t="inlineStr">
        <is>
          <t>Light Ivory</t>
        </is>
      </c>
      <c r="I234" s="6">
        <f>IMAGE("https://images.lululemon.com/is/image/lululemon/33454",1)</f>
        <v/>
      </c>
      <c r="J234" s="6" t="inlineStr">
        <is>
          <t>L/XL</t>
        </is>
      </c>
      <c r="K234" s="6" t="inlineStr">
        <is>
          <t>139/3712</t>
        </is>
      </c>
      <c r="L234" s="6" t="inlineStr">
        <is>
          <t>Yes</t>
        </is>
      </c>
      <c r="M234" s="6" t="inlineStr">
        <is>
          <t>Anywhere, anytime. This soft, lightweight cap is a year-round favourite for days on the go.</t>
        </is>
      </c>
      <c r="N234" s="6" t="inlineStr">
        <is>
          <t>Soft-Cap</t>
        </is>
      </c>
      <c r="O234" s="6" t="inlineStr">
        <is>
          <t>Caps</t>
        </is>
      </c>
    </row>
    <row r="235" ht="80" customHeight="1">
      <c r="A235" s="7">
        <f>IMAGE("https://images.lululemon.com/is/image/lululemon/LU9CMAS_071473_1?wid=320&amp;op_usm=0.8",1)</f>
        <v/>
      </c>
      <c r="B235" s="7" t="inlineStr">
        <is>
          <t>Everywhere Backpack 22L</t>
        </is>
      </c>
      <c r="C235" s="7" t="inlineStr">
        <is>
          <t>156527940</t>
        </is>
      </c>
      <c r="D235" s="7" t="inlineStr">
        <is>
          <t>156527940-vapor/sheeroak</t>
        </is>
      </c>
      <c r="E235" s="7" t="inlineStr">
        <is>
          <t>Everywhere Backpack VPOR/SHOK ONE SIZE</t>
        </is>
      </c>
      <c r="F235" s="7" t="inlineStr">
        <is>
          <t>$78.00</t>
        </is>
      </c>
      <c r="G235" s="7" t="inlineStr">
        <is>
          <t>$39.00</t>
        </is>
      </c>
      <c r="H235" s="7" t="inlineStr">
        <is>
          <t>Vapor/Sheer Oak</t>
        </is>
      </c>
      <c r="I235" s="7">
        <f>IMAGE("https://images.lululemon.com/is/image/lululemon/71473",1)</f>
        <v/>
      </c>
      <c r="J235" s="7" t="inlineStr">
        <is>
          <t>O/S</t>
        </is>
      </c>
      <c r="K235" s="7" t="inlineStr">
        <is>
          <t>53/9167</t>
        </is>
      </c>
      <c r="L235" s="7" t="inlineStr">
        <is>
          <t>Yes</t>
        </is>
      </c>
      <c r="M235" s="7" t="inlineStr">
        <is>
          <t>Not your average backpack. With an internal laptop sleeve and side water bottle pockets, this one ticks the boxes for school, work, and travel.</t>
        </is>
      </c>
      <c r="N235" s="7" t="inlineStr">
        <is>
          <t>Everywhere-Backpack-22L</t>
        </is>
      </c>
      <c r="O235" s="7" t="inlineStr">
        <is>
          <t>Backpacks</t>
        </is>
      </c>
    </row>
    <row r="236" ht="80" customHeight="1">
      <c r="A236" s="4">
        <f>IMAGE("https://images.lululemon.com/is/image/lululemon/LU9CMAS_071473_1?wid=320&amp;op_usm=0.8",1)</f>
        <v/>
      </c>
      <c r="B236" s="4" t="inlineStr">
        <is>
          <t>Everywhere Backpack 22L</t>
        </is>
      </c>
      <c r="C236" s="4" t="inlineStr">
        <is>
          <t>157678353</t>
        </is>
      </c>
      <c r="D236" s="4" t="inlineStr">
        <is>
          <t>157678353-truenavy</t>
        </is>
      </c>
      <c r="E236" s="4" t="inlineStr">
        <is>
          <t>Everywhere Backpack VPOR/SHOK ONE SIZE</t>
        </is>
      </c>
      <c r="F236" s="4" t="inlineStr">
        <is>
          <t>$78.00</t>
        </is>
      </c>
      <c r="G236" s="4" t="inlineStr">
        <is>
          <t>$39.00</t>
        </is>
      </c>
      <c r="H236" s="4" t="inlineStr">
        <is>
          <t>True Navy</t>
        </is>
      </c>
      <c r="I236" s="4">
        <f>IMAGE("https://images.lululemon.com/is/image/lululemon/31382",1)</f>
        <v/>
      </c>
      <c r="J236" s="4" t="inlineStr">
        <is>
          <t>O/S</t>
        </is>
      </c>
      <c r="K236" s="4" t="inlineStr">
        <is>
          <t>113/9167</t>
        </is>
      </c>
      <c r="L236" s="4" t="inlineStr">
        <is>
          <t>Yes</t>
        </is>
      </c>
      <c r="M236" s="4" t="inlineStr">
        <is>
          <t>Not your average backpack. With an internal laptop sleeve and side water bottle pockets, this one ticks the boxes for school, work, and travel.</t>
        </is>
      </c>
      <c r="N236" s="4" t="inlineStr">
        <is>
          <t>Everywhere-Backpack-22L</t>
        </is>
      </c>
      <c r="O236" s="4" t="inlineStr">
        <is>
          <t>Backpacks</t>
        </is>
      </c>
    </row>
    <row r="237" ht="80" customHeight="1">
      <c r="A237" s="5">
        <f>IMAGE("https://images.lululemon.com/is/image/lululemon/LU9CMAS_071473_1?wid=320&amp;op_usm=0.8",1)</f>
        <v/>
      </c>
      <c r="B237" s="5" t="inlineStr">
        <is>
          <t>Everywhere Backpack 22L</t>
        </is>
      </c>
      <c r="C237" s="5" t="inlineStr">
        <is>
          <t>157678371</t>
        </is>
      </c>
      <c r="D237" s="5" t="inlineStr">
        <is>
          <t>157678371-black/graphitegrey</t>
        </is>
      </c>
      <c r="E237" s="5" t="inlineStr">
        <is>
          <t>Everywhere Backpack VPOR/SHOK ONE SIZE</t>
        </is>
      </c>
      <c r="F237" s="5" t="inlineStr">
        <is>
          <t>$78.00</t>
        </is>
      </c>
      <c r="G237" s="5" t="inlineStr">
        <is>
          <t>$39.00</t>
        </is>
      </c>
      <c r="H237" s="5" t="inlineStr">
        <is>
          <t>Black/Graphite Grey</t>
        </is>
      </c>
      <c r="I237" s="5">
        <f>IMAGE("https://images.lululemon.com/is/image/lululemon/43646",1)</f>
        <v/>
      </c>
      <c r="J237" s="5" t="inlineStr">
        <is>
          <t>O/S</t>
        </is>
      </c>
      <c r="K237" s="5" t="inlineStr">
        <is>
          <t>9001/9167</t>
        </is>
      </c>
      <c r="L237" s="5" t="inlineStr">
        <is>
          <t>Yes</t>
        </is>
      </c>
      <c r="M237" s="5" t="inlineStr">
        <is>
          <t>Not your average backpack. With an internal laptop sleeve and side water bottle pockets, this one ticks the boxes for school, work, and travel.</t>
        </is>
      </c>
      <c r="N237" s="5" t="inlineStr">
        <is>
          <t>Everywhere-Backpack-22L</t>
        </is>
      </c>
      <c r="O237" s="5" t="inlineStr">
        <is>
          <t>Backpacks</t>
        </is>
      </c>
    </row>
    <row r="238" ht="80" customHeight="1">
      <c r="A238" s="4">
        <f>IMAGE("https://images.lululemon.com/is/image/lululemon/LW1FBTS_068839_1?wid=320&amp;op_usm=0.8",1)</f>
        <v/>
      </c>
      <c r="B238" s="4" t="inlineStr">
        <is>
          <t>Asymmetrical Strap Cropped Tank Top *Medium Support, B/C Cup</t>
        </is>
      </c>
      <c r="C238" s="4" t="inlineStr">
        <is>
          <t>155801479</t>
        </is>
      </c>
      <c r="D238" s="4" t="inlineStr">
        <is>
          <t>155801479-starchblue</t>
        </is>
      </c>
      <c r="E238" s="4" t="inlineStr">
        <is>
          <t>Asymmetrical Strap Cropped Tank STRH M</t>
        </is>
      </c>
      <c r="F238" s="4" t="inlineStr">
        <is>
          <t>$68.00</t>
        </is>
      </c>
      <c r="G238" s="4" t="inlineStr">
        <is>
          <t>$34.00</t>
        </is>
      </c>
      <c r="H238" s="4" t="inlineStr">
        <is>
          <t>Starch Blue</t>
        </is>
      </c>
      <c r="I238" s="4">
        <f>IMAGE("https://images.lululemon.com/is/image/lululemon/68839",1)</f>
        <v/>
      </c>
      <c r="J238" s="4" t="inlineStr">
        <is>
          <t>M</t>
        </is>
      </c>
      <c r="K238" s="4" t="inlineStr">
        <is>
          <t>37/228</t>
        </is>
      </c>
      <c r="L238" s="4" t="inlineStr">
        <is>
          <t>Yes</t>
        </is>
      </c>
      <c r="M238" s="4" t="inlineStr">
        <is>
          <t>Support for your swing. This  cropped tank has a built-in  shelf bra and a tight fit that  sits close to the body and  stays in place when you reach,  stretch, or lunge.</t>
        </is>
      </c>
      <c r="N238" s="4" t="inlineStr">
        <is>
          <t>Asymmetrical-Strap-Cropped-Tank-Med-Support-BC-Cup</t>
        </is>
      </c>
      <c r="O238" s="4" t="inlineStr"/>
    </row>
    <row r="239" ht="80" customHeight="1">
      <c r="A239" s="7">
        <f>IMAGE("https://images.lululemon.com/is/image/lululemon/LW1FBTS_068839_1?wid=320&amp;op_usm=0.8",1)</f>
        <v/>
      </c>
      <c r="B239" s="7" t="inlineStr">
        <is>
          <t>Asymmetrical Strap Cropped Tank Top *Medium Support, B/C Cup</t>
        </is>
      </c>
      <c r="C239" s="7" t="inlineStr">
        <is>
          <t>155801471</t>
        </is>
      </c>
      <c r="D239" s="7" t="inlineStr">
        <is>
          <t>155801471-starchblue</t>
        </is>
      </c>
      <c r="E239" s="7" t="inlineStr">
        <is>
          <t>Asymmetrical Strap Cropped Tank STRH M</t>
        </is>
      </c>
      <c r="F239" s="7" t="inlineStr">
        <is>
          <t>$68.00</t>
        </is>
      </c>
      <c r="G239" s="7" t="inlineStr">
        <is>
          <t>$34.00</t>
        </is>
      </c>
      <c r="H239" s="7" t="inlineStr">
        <is>
          <t>Starch Blue</t>
        </is>
      </c>
      <c r="I239" s="7">
        <f>IMAGE("https://images.lululemon.com/is/image/lululemon/68839",1)</f>
        <v/>
      </c>
      <c r="J239" s="7" t="inlineStr">
        <is>
          <t>L</t>
        </is>
      </c>
      <c r="K239" s="7" t="inlineStr">
        <is>
          <t>98/228</t>
        </is>
      </c>
      <c r="L239" s="7" t="inlineStr">
        <is>
          <t>Yes</t>
        </is>
      </c>
      <c r="M239" s="7" t="inlineStr">
        <is>
          <t>Support for your swing. This  cropped tank has a built-in  shelf bra and a tight fit that  sits close to the body and  stays in place when you reach,  stretch, or lunge.</t>
        </is>
      </c>
      <c r="N239" s="7" t="inlineStr">
        <is>
          <t>Asymmetrical-Strap-Cropped-Tank-Med-Support-BC-Cup</t>
        </is>
      </c>
      <c r="O239" s="7" t="inlineStr"/>
    </row>
    <row r="240" ht="80" customHeight="1">
      <c r="A240" s="6">
        <f>IMAGE("https://images.lululemon.com/is/image/lululemon/LW1FBTS_068839_1?wid=320&amp;op_usm=0.8",1)</f>
        <v/>
      </c>
      <c r="B240" s="6" t="inlineStr">
        <is>
          <t>Asymmetrical Strap Cropped Tank Top *Medium Support, B/C Cup</t>
        </is>
      </c>
      <c r="C240" s="6" t="inlineStr">
        <is>
          <t>155801491</t>
        </is>
      </c>
      <c r="D240" s="6" t="inlineStr">
        <is>
          <t>155801491-starchblue</t>
        </is>
      </c>
      <c r="E240" s="6" t="inlineStr">
        <is>
          <t>Asymmetrical Strap Cropped Tank STRH M</t>
        </is>
      </c>
      <c r="F240" s="6" t="inlineStr">
        <is>
          <t>$68.00</t>
        </is>
      </c>
      <c r="G240" s="6" t="inlineStr">
        <is>
          <t>$34.00</t>
        </is>
      </c>
      <c r="H240" s="6" t="inlineStr">
        <is>
          <t>Starch Blue</t>
        </is>
      </c>
      <c r="I240" s="6">
        <f>IMAGE("https://images.lululemon.com/is/image/lululemon/68839",1)</f>
        <v/>
      </c>
      <c r="J240" s="6" t="inlineStr">
        <is>
          <t>XL</t>
        </is>
      </c>
      <c r="K240" s="6" t="inlineStr">
        <is>
          <t>93/228</t>
        </is>
      </c>
      <c r="L240" s="6" t="inlineStr">
        <is>
          <t>Yes</t>
        </is>
      </c>
      <c r="M240" s="6" t="inlineStr">
        <is>
          <t>Support for your swing. This  cropped tank has a built-in  shelf bra and a tight fit that  sits close to the body and  stays in place when you reach,  stretch, or lunge.</t>
        </is>
      </c>
      <c r="N240" s="6" t="inlineStr">
        <is>
          <t>Asymmetrical-Strap-Cropped-Tank-Med-Support-BC-Cup</t>
        </is>
      </c>
      <c r="O240" s="6" t="inlineStr"/>
    </row>
    <row r="241" ht="80" customHeight="1">
      <c r="A241" s="7">
        <f>IMAGE("https://images.lululemon.com/is/image/lululemon/LW3IMNS_0002_1?wid=320&amp;op_usm=0.8",1)</f>
        <v/>
      </c>
      <c r="B241" s="7" t="inlineStr">
        <is>
          <t>It's Rulu Half-Zip *Updated</t>
        </is>
      </c>
      <c r="C241" s="7" t="inlineStr">
        <is>
          <t>154881888</t>
        </is>
      </c>
      <c r="D241" s="7" t="inlineStr">
        <is>
          <t>154881888-black</t>
        </is>
      </c>
      <c r="E241" s="7" t="inlineStr">
        <is>
          <t>It's Rulu Half Zip BLK XXS</t>
        </is>
      </c>
      <c r="F241" s="7" t="inlineStr">
        <is>
          <t>$98.00</t>
        </is>
      </c>
      <c r="G241" s="7" t="inlineStr">
        <is>
          <t>$49.00</t>
        </is>
      </c>
      <c r="H241" s="7" t="inlineStr">
        <is>
          <t>Black</t>
        </is>
      </c>
      <c r="I241" s="7">
        <f>IMAGE("https://images.lululemon.com/is/image/lululemon/0001",1)</f>
        <v/>
      </c>
      <c r="J241" s="7" t="inlineStr">
        <is>
          <t>XXS</t>
        </is>
      </c>
      <c r="K241" s="7" t="inlineStr">
        <is>
          <t>1/950</t>
        </is>
      </c>
      <c r="L241" s="7" t="inlineStr">
        <is>
          <t>Yes</t>
        </is>
      </c>
      <c r="M241" s="7" t="inlineStr">
        <is>
          <t>Warm up to cold-weather workouts. This soft half zip wicks away sweat so you can stay comfortable when the temperature drops.</t>
        </is>
      </c>
      <c r="N241" s="7" t="inlineStr">
        <is>
          <t>Its-Rulu-Half-Zip-Updated</t>
        </is>
      </c>
      <c r="O241" s="7" t="inlineStr">
        <is>
          <t>Half Zip Sweatshirts, Base Layers</t>
        </is>
      </c>
    </row>
    <row r="242" ht="80" customHeight="1">
      <c r="A242" s="4">
        <f>IMAGE("https://images.lululemon.com/is/image/lululemon/LW3IMNS_0002_1?wid=320&amp;op_usm=0.8",1)</f>
        <v/>
      </c>
      <c r="B242" s="4" t="inlineStr">
        <is>
          <t>It's Rulu Half-Zip *Updated</t>
        </is>
      </c>
      <c r="C242" s="4" t="inlineStr">
        <is>
          <t>154881887</t>
        </is>
      </c>
      <c r="D242" s="4" t="inlineStr">
        <is>
          <t>154881887-black</t>
        </is>
      </c>
      <c r="E242" s="4" t="inlineStr">
        <is>
          <t>It's Rulu Half Zip BLK XXS</t>
        </is>
      </c>
      <c r="F242" s="4" t="inlineStr">
        <is>
          <t>$98.00</t>
        </is>
      </c>
      <c r="G242" s="4" t="inlineStr">
        <is>
          <t>$49.00</t>
        </is>
      </c>
      <c r="H242" s="4" t="inlineStr">
        <is>
          <t>Black</t>
        </is>
      </c>
      <c r="I242" s="4">
        <f>IMAGE("https://images.lululemon.com/is/image/lululemon/0001",1)</f>
        <v/>
      </c>
      <c r="J242" s="4" t="inlineStr">
        <is>
          <t>XS</t>
        </is>
      </c>
      <c r="K242" s="4" t="inlineStr">
        <is>
          <t>67/950</t>
        </is>
      </c>
      <c r="L242" s="4" t="inlineStr">
        <is>
          <t>Yes</t>
        </is>
      </c>
      <c r="M242" s="4" t="inlineStr">
        <is>
          <t>Warm up to cold-weather workouts. This soft half zip wicks away sweat so you can stay comfortable when the temperature drops.</t>
        </is>
      </c>
      <c r="N242" s="4" t="inlineStr">
        <is>
          <t>Its-Rulu-Half-Zip-Updated</t>
        </is>
      </c>
      <c r="O242" s="4" t="inlineStr">
        <is>
          <t>Half Zip Sweatshirts, Base Layers</t>
        </is>
      </c>
    </row>
    <row r="243" ht="80" customHeight="1">
      <c r="A243" s="7">
        <f>IMAGE("https://images.lululemon.com/is/image/lululemon/LW3IMNS_0002_1?wid=320&amp;op_usm=0.8",1)</f>
        <v/>
      </c>
      <c r="B243" s="7" t="inlineStr">
        <is>
          <t>It's Rulu Half-Zip *Updated</t>
        </is>
      </c>
      <c r="C243" s="7" t="inlineStr">
        <is>
          <t>154881883</t>
        </is>
      </c>
      <c r="D243" s="7" t="inlineStr">
        <is>
          <t>154881883-black</t>
        </is>
      </c>
      <c r="E243" s="7" t="inlineStr">
        <is>
          <t>It's Rulu Half Zip BLK XXS</t>
        </is>
      </c>
      <c r="F243" s="7" t="inlineStr">
        <is>
          <t>$98.00</t>
        </is>
      </c>
      <c r="G243" s="7" t="inlineStr">
        <is>
          <t>$49.00</t>
        </is>
      </c>
      <c r="H243" s="7" t="inlineStr">
        <is>
          <t>Black</t>
        </is>
      </c>
      <c r="I243" s="7">
        <f>IMAGE("https://images.lululemon.com/is/image/lululemon/0001",1)</f>
        <v/>
      </c>
      <c r="J243" s="7" t="inlineStr">
        <is>
          <t>S</t>
        </is>
      </c>
      <c r="K243" s="7" t="inlineStr">
        <is>
          <t>151/950</t>
        </is>
      </c>
      <c r="L243" s="7" t="inlineStr">
        <is>
          <t>Yes</t>
        </is>
      </c>
      <c r="M243" s="7" t="inlineStr">
        <is>
          <t>Warm up to cold-weather workouts. This soft half zip wicks away sweat so you can stay comfortable when the temperature drops.</t>
        </is>
      </c>
      <c r="N243" s="7" t="inlineStr">
        <is>
          <t>Its-Rulu-Half-Zip-Updated</t>
        </is>
      </c>
      <c r="O243" s="7" t="inlineStr">
        <is>
          <t>Half Zip Sweatshirts, Base Layers</t>
        </is>
      </c>
    </row>
    <row r="244" ht="80" customHeight="1">
      <c r="A244" s="4">
        <f>IMAGE("https://images.lululemon.com/is/image/lululemon/LW3IMNS_0002_1?wid=320&amp;op_usm=0.8",1)</f>
        <v/>
      </c>
      <c r="B244" s="4" t="inlineStr">
        <is>
          <t>It's Rulu Half-Zip *Updated</t>
        </is>
      </c>
      <c r="C244" s="4" t="inlineStr">
        <is>
          <t>154881882</t>
        </is>
      </c>
      <c r="D244" s="4" t="inlineStr">
        <is>
          <t>154881882-black</t>
        </is>
      </c>
      <c r="E244" s="4" t="inlineStr">
        <is>
          <t>It's Rulu Half Zip BLK XXS</t>
        </is>
      </c>
      <c r="F244" s="4" t="inlineStr">
        <is>
          <t>$98.00</t>
        </is>
      </c>
      <c r="G244" s="4" t="inlineStr">
        <is>
          <t>$49.00</t>
        </is>
      </c>
      <c r="H244" s="4" t="inlineStr">
        <is>
          <t>Black</t>
        </is>
      </c>
      <c r="I244" s="4">
        <f>IMAGE("https://images.lululemon.com/is/image/lululemon/0001",1)</f>
        <v/>
      </c>
      <c r="J244" s="4" t="inlineStr">
        <is>
          <t>M</t>
        </is>
      </c>
      <c r="K244" s="4" t="inlineStr">
        <is>
          <t>185/950</t>
        </is>
      </c>
      <c r="L244" s="4" t="inlineStr">
        <is>
          <t>Yes</t>
        </is>
      </c>
      <c r="M244" s="4" t="inlineStr">
        <is>
          <t>Warm up to cold-weather workouts. This soft half zip wicks away sweat so you can stay comfortable when the temperature drops.</t>
        </is>
      </c>
      <c r="N244" s="4" t="inlineStr">
        <is>
          <t>Its-Rulu-Half-Zip-Updated</t>
        </is>
      </c>
      <c r="O244" s="4" t="inlineStr">
        <is>
          <t>Half Zip Sweatshirts, Base Layers</t>
        </is>
      </c>
    </row>
    <row r="245" ht="80" customHeight="1">
      <c r="A245" s="7">
        <f>IMAGE("https://images.lululemon.com/is/image/lululemon/LW3IMNS_0002_1?wid=320&amp;op_usm=0.8",1)</f>
        <v/>
      </c>
      <c r="B245" s="7" t="inlineStr">
        <is>
          <t>It's Rulu Half-Zip *Updated</t>
        </is>
      </c>
      <c r="C245" s="7" t="inlineStr">
        <is>
          <t>154881880</t>
        </is>
      </c>
      <c r="D245" s="7" t="inlineStr">
        <is>
          <t>154881880-black</t>
        </is>
      </c>
      <c r="E245" s="7" t="inlineStr">
        <is>
          <t>It's Rulu Half Zip BLK XXS</t>
        </is>
      </c>
      <c r="F245" s="7" t="inlineStr">
        <is>
          <t>$98.00</t>
        </is>
      </c>
      <c r="G245" s="7" t="inlineStr">
        <is>
          <t>$49.00</t>
        </is>
      </c>
      <c r="H245" s="7" t="inlineStr">
        <is>
          <t>Black</t>
        </is>
      </c>
      <c r="I245" s="7">
        <f>IMAGE("https://images.lululemon.com/is/image/lululemon/0001",1)</f>
        <v/>
      </c>
      <c r="J245" s="7" t="inlineStr">
        <is>
          <t>L</t>
        </is>
      </c>
      <c r="K245" s="7" t="inlineStr">
        <is>
          <t>167/950</t>
        </is>
      </c>
      <c r="L245" s="7" t="inlineStr">
        <is>
          <t>Yes</t>
        </is>
      </c>
      <c r="M245" s="7" t="inlineStr">
        <is>
          <t>Warm up to cold-weather workouts. This soft half zip wicks away sweat so you can stay comfortable when the temperature drops.</t>
        </is>
      </c>
      <c r="N245" s="7" t="inlineStr">
        <is>
          <t>Its-Rulu-Half-Zip-Updated</t>
        </is>
      </c>
      <c r="O245" s="7" t="inlineStr">
        <is>
          <t>Half Zip Sweatshirts, Base Layers</t>
        </is>
      </c>
    </row>
    <row r="246" ht="80" customHeight="1">
      <c r="A246" s="4">
        <f>IMAGE("https://images.lululemon.com/is/image/lululemon/LW3IMNS_0002_1?wid=320&amp;op_usm=0.8",1)</f>
        <v/>
      </c>
      <c r="B246" s="4" t="inlineStr">
        <is>
          <t>It's Rulu Half-Zip *Updated</t>
        </is>
      </c>
      <c r="C246" s="4" t="inlineStr">
        <is>
          <t>154881885</t>
        </is>
      </c>
      <c r="D246" s="4" t="inlineStr">
        <is>
          <t>154881885-black</t>
        </is>
      </c>
      <c r="E246" s="4" t="inlineStr">
        <is>
          <t>It's Rulu Half Zip BLK XXS</t>
        </is>
      </c>
      <c r="F246" s="4" t="inlineStr">
        <is>
          <t>$98.00</t>
        </is>
      </c>
      <c r="G246" s="4" t="inlineStr">
        <is>
          <t>$49.00</t>
        </is>
      </c>
      <c r="H246" s="4" t="inlineStr">
        <is>
          <t>Black</t>
        </is>
      </c>
      <c r="I246" s="4">
        <f>IMAGE("https://images.lululemon.com/is/image/lululemon/0001",1)</f>
        <v/>
      </c>
      <c r="J246" s="4" t="inlineStr">
        <is>
          <t>XL</t>
        </is>
      </c>
      <c r="K246" s="4" t="inlineStr">
        <is>
          <t>182/950</t>
        </is>
      </c>
      <c r="L246" s="4" t="inlineStr">
        <is>
          <t>Yes</t>
        </is>
      </c>
      <c r="M246" s="4" t="inlineStr">
        <is>
          <t>Warm up to cold-weather workouts. This soft half zip wicks away sweat so you can stay comfortable when the temperature drops.</t>
        </is>
      </c>
      <c r="N246" s="4" t="inlineStr">
        <is>
          <t>Its-Rulu-Half-Zip-Updated</t>
        </is>
      </c>
      <c r="O246" s="4" t="inlineStr">
        <is>
          <t>Half Zip Sweatshirts, Base Layers</t>
        </is>
      </c>
    </row>
    <row r="247" ht="80" customHeight="1">
      <c r="A247" s="7">
        <f>IMAGE("https://images.lululemon.com/is/image/lululemon/LW3IMNS_0002_1?wid=320&amp;op_usm=0.8",1)</f>
        <v/>
      </c>
      <c r="B247" s="7" t="inlineStr">
        <is>
          <t>It's Rulu Half-Zip *Updated</t>
        </is>
      </c>
      <c r="C247" s="7" t="inlineStr">
        <is>
          <t>157707900</t>
        </is>
      </c>
      <c r="D247" s="7" t="inlineStr">
        <is>
          <t>157707900-white</t>
        </is>
      </c>
      <c r="E247" s="7" t="inlineStr">
        <is>
          <t>It's Rulu Half Zip BLK XXS</t>
        </is>
      </c>
      <c r="F247" s="7" t="inlineStr">
        <is>
          <t>$98.00</t>
        </is>
      </c>
      <c r="G247" s="7" t="inlineStr">
        <is>
          <t>$49.00</t>
        </is>
      </c>
      <c r="H247" s="7" t="inlineStr">
        <is>
          <t>White</t>
        </is>
      </c>
      <c r="I247" s="7">
        <f>IMAGE("https://images.lululemon.com/is/image/lululemon/0002",1)</f>
        <v/>
      </c>
      <c r="J247" s="7" t="inlineStr">
        <is>
          <t>XS</t>
        </is>
      </c>
      <c r="K247" s="7" t="inlineStr">
        <is>
          <t>14/950</t>
        </is>
      </c>
      <c r="L247" s="7" t="inlineStr">
        <is>
          <t>Yes</t>
        </is>
      </c>
      <c r="M247" s="7" t="inlineStr">
        <is>
          <t>Warm up to cold-weather workouts. This soft half zip wicks away sweat so you can stay comfortable when the temperature drops.</t>
        </is>
      </c>
      <c r="N247" s="7" t="inlineStr">
        <is>
          <t>Its-Rulu-Half-Zip-Updated</t>
        </is>
      </c>
      <c r="O247" s="7" t="inlineStr">
        <is>
          <t>Half Zip Sweatshirts, Base Layers</t>
        </is>
      </c>
    </row>
    <row r="248" ht="80" customHeight="1">
      <c r="A248" s="4">
        <f>IMAGE("https://images.lululemon.com/is/image/lululemon/LW3IMNS_0002_1?wid=320&amp;op_usm=0.8",1)</f>
        <v/>
      </c>
      <c r="B248" s="4" t="inlineStr">
        <is>
          <t>It's Rulu Half-Zip *Updated</t>
        </is>
      </c>
      <c r="C248" s="4" t="inlineStr">
        <is>
          <t>157707869</t>
        </is>
      </c>
      <c r="D248" s="4" t="inlineStr">
        <is>
          <t>157707869-white</t>
        </is>
      </c>
      <c r="E248" s="4" t="inlineStr">
        <is>
          <t>It's Rulu Half Zip BLK XXS</t>
        </is>
      </c>
      <c r="F248" s="4" t="inlineStr">
        <is>
          <t>$98.00</t>
        </is>
      </c>
      <c r="G248" s="4" t="inlineStr">
        <is>
          <t>$49.00</t>
        </is>
      </c>
      <c r="H248" s="4" t="inlineStr">
        <is>
          <t>White</t>
        </is>
      </c>
      <c r="I248" s="4">
        <f>IMAGE("https://images.lululemon.com/is/image/lululemon/0002",1)</f>
        <v/>
      </c>
      <c r="J248" s="4" t="inlineStr">
        <is>
          <t>S</t>
        </is>
      </c>
      <c r="K248" s="4" t="inlineStr">
        <is>
          <t>38/950</t>
        </is>
      </c>
      <c r="L248" s="4" t="inlineStr">
        <is>
          <t>Yes</t>
        </is>
      </c>
      <c r="M248" s="4" t="inlineStr">
        <is>
          <t>Warm up to cold-weather workouts. This soft half zip wicks away sweat so you can stay comfortable when the temperature drops.</t>
        </is>
      </c>
      <c r="N248" s="4" t="inlineStr">
        <is>
          <t>Its-Rulu-Half-Zip-Updated</t>
        </is>
      </c>
      <c r="O248" s="4" t="inlineStr">
        <is>
          <t>Half Zip Sweatshirts, Base Layers</t>
        </is>
      </c>
    </row>
    <row r="249" ht="80" customHeight="1">
      <c r="A249" s="7">
        <f>IMAGE("https://images.lululemon.com/is/image/lululemon/LW3IMNS_0002_1?wid=320&amp;op_usm=0.8",1)</f>
        <v/>
      </c>
      <c r="B249" s="7" t="inlineStr">
        <is>
          <t>It's Rulu Half-Zip *Updated</t>
        </is>
      </c>
      <c r="C249" s="7" t="inlineStr">
        <is>
          <t>157707851</t>
        </is>
      </c>
      <c r="D249" s="7" t="inlineStr">
        <is>
          <t>157707851-white</t>
        </is>
      </c>
      <c r="E249" s="7" t="inlineStr">
        <is>
          <t>It's Rulu Half Zip BLK XXS</t>
        </is>
      </c>
      <c r="F249" s="7" t="inlineStr">
        <is>
          <t>$98.00</t>
        </is>
      </c>
      <c r="G249" s="7" t="inlineStr">
        <is>
          <t>$49.00</t>
        </is>
      </c>
      <c r="H249" s="7" t="inlineStr">
        <is>
          <t>White</t>
        </is>
      </c>
      <c r="I249" s="7">
        <f>IMAGE("https://images.lululemon.com/is/image/lululemon/0002",1)</f>
        <v/>
      </c>
      <c r="J249" s="7" t="inlineStr">
        <is>
          <t>M</t>
        </is>
      </c>
      <c r="K249" s="7" t="inlineStr">
        <is>
          <t>55/950</t>
        </is>
      </c>
      <c r="L249" s="7" t="inlineStr">
        <is>
          <t>Yes</t>
        </is>
      </c>
      <c r="M249" s="7" t="inlineStr">
        <is>
          <t>Warm up to cold-weather workouts. This soft half zip wicks away sweat so you can stay comfortable when the temperature drops.</t>
        </is>
      </c>
      <c r="N249" s="7" t="inlineStr">
        <is>
          <t>Its-Rulu-Half-Zip-Updated</t>
        </is>
      </c>
      <c r="O249" s="7" t="inlineStr">
        <is>
          <t>Half Zip Sweatshirts, Base Layers</t>
        </is>
      </c>
    </row>
    <row r="250" ht="80" customHeight="1">
      <c r="A250" s="4">
        <f>IMAGE("https://images.lululemon.com/is/image/lululemon/LW3IMNS_0002_1?wid=320&amp;op_usm=0.8",1)</f>
        <v/>
      </c>
      <c r="B250" s="4" t="inlineStr">
        <is>
          <t>It's Rulu Half-Zip *Updated</t>
        </is>
      </c>
      <c r="C250" s="4" t="inlineStr">
        <is>
          <t>157707833</t>
        </is>
      </c>
      <c r="D250" s="4" t="inlineStr">
        <is>
          <t>157707833-white</t>
        </is>
      </c>
      <c r="E250" s="4" t="inlineStr">
        <is>
          <t>It's Rulu Half Zip BLK XXS</t>
        </is>
      </c>
      <c r="F250" s="4" t="inlineStr">
        <is>
          <t>$98.00</t>
        </is>
      </c>
      <c r="G250" s="4" t="inlineStr">
        <is>
          <t>$49.00</t>
        </is>
      </c>
      <c r="H250" s="4" t="inlineStr">
        <is>
          <t>White</t>
        </is>
      </c>
      <c r="I250" s="4">
        <f>IMAGE("https://images.lululemon.com/is/image/lululemon/0002",1)</f>
        <v/>
      </c>
      <c r="J250" s="4" t="inlineStr">
        <is>
          <t>L</t>
        </is>
      </c>
      <c r="K250" s="4" t="inlineStr">
        <is>
          <t>50/950</t>
        </is>
      </c>
      <c r="L250" s="4" t="inlineStr">
        <is>
          <t>Yes</t>
        </is>
      </c>
      <c r="M250" s="4" t="inlineStr">
        <is>
          <t>Warm up to cold-weather workouts. This soft half zip wicks away sweat so you can stay comfortable when the temperature drops.</t>
        </is>
      </c>
      <c r="N250" s="4" t="inlineStr">
        <is>
          <t>Its-Rulu-Half-Zip-Updated</t>
        </is>
      </c>
      <c r="O250" s="4" t="inlineStr">
        <is>
          <t>Half Zip Sweatshirts, Base Layers</t>
        </is>
      </c>
    </row>
    <row r="251" ht="80" customHeight="1">
      <c r="A251" s="5">
        <f>IMAGE("https://images.lululemon.com/is/image/lululemon/LW3IMNS_0002_1?wid=320&amp;op_usm=0.8",1)</f>
        <v/>
      </c>
      <c r="B251" s="5" t="inlineStr">
        <is>
          <t>It's Rulu Half-Zip *Updated</t>
        </is>
      </c>
      <c r="C251" s="5" t="inlineStr">
        <is>
          <t>157707884</t>
        </is>
      </c>
      <c r="D251" s="5" t="inlineStr">
        <is>
          <t>157707884-white</t>
        </is>
      </c>
      <c r="E251" s="5" t="inlineStr">
        <is>
          <t>It's Rulu Half Zip BLK XXS</t>
        </is>
      </c>
      <c r="F251" s="5" t="inlineStr">
        <is>
          <t>$98.00</t>
        </is>
      </c>
      <c r="G251" s="5" t="inlineStr">
        <is>
          <t>$49.00</t>
        </is>
      </c>
      <c r="H251" s="5" t="inlineStr">
        <is>
          <t>White</t>
        </is>
      </c>
      <c r="I251" s="5">
        <f>IMAGE("https://images.lululemon.com/is/image/lululemon/0002",1)</f>
        <v/>
      </c>
      <c r="J251" s="5" t="inlineStr">
        <is>
          <t>XL</t>
        </is>
      </c>
      <c r="K251" s="5" t="inlineStr">
        <is>
          <t>40/950</t>
        </is>
      </c>
      <c r="L251" s="5" t="inlineStr">
        <is>
          <t>Yes</t>
        </is>
      </c>
      <c r="M251" s="5" t="inlineStr">
        <is>
          <t>Warm up to cold-weather workouts. This soft half zip wicks away sweat so you can stay comfortable when the temperature drops.</t>
        </is>
      </c>
      <c r="N251" s="5" t="inlineStr">
        <is>
          <t>Its-Rulu-Half-Zip-Updated</t>
        </is>
      </c>
      <c r="O251" s="5" t="inlineStr">
        <is>
          <t>Half Zip Sweatshirts, Base Layers</t>
        </is>
      </c>
    </row>
    <row r="252" ht="80" customHeight="1">
      <c r="A252" s="4">
        <f>IMAGE("https://images.lululemon.com/is/image/lululemon/LW3JMAS_4780_1?wid=320&amp;op_usm=0.8",1)</f>
        <v/>
      </c>
      <c r="B252" s="4" t="inlineStr">
        <is>
          <t>Softy Suedey Relaxed Short-Sleeve Shirt</t>
        </is>
      </c>
      <c r="C252" s="4" t="inlineStr">
        <is>
          <t>158032147</t>
        </is>
      </c>
      <c r="D252" s="4" t="inlineStr">
        <is>
          <t>158032147-black/black</t>
        </is>
      </c>
      <c r="E252" s="4" t="inlineStr">
        <is>
          <t>Softy Suedey Relaxed Short Sleeve BLK/BLK XS</t>
        </is>
      </c>
      <c r="F252" s="4" t="inlineStr">
        <is>
          <t>$58.00</t>
        </is>
      </c>
      <c r="G252" s="4" t="inlineStr">
        <is>
          <t>$29.00</t>
        </is>
      </c>
      <c r="H252" s="4" t="inlineStr">
        <is>
          <t>Black/Black</t>
        </is>
      </c>
      <c r="I252" s="4">
        <f>IMAGE("https://images.lululemon.com/is/image/lululemon/4780",1)</f>
        <v/>
      </c>
      <c r="J252" s="4" t="inlineStr">
        <is>
          <t>XS</t>
        </is>
      </c>
      <c r="K252" s="4" t="inlineStr">
        <is>
          <t>8/132</t>
        </is>
      </c>
      <c r="L252" s="4" t="inlineStr">
        <is>
          <t>Yes</t>
        </is>
      </c>
      <c r="M252" s="4" t="inlineStr">
        <is>
          <t>Calling in cozy. This relaxed t-shirt is made from sueded performance fabric to deliver an incredibly soft texture.</t>
        </is>
      </c>
      <c r="N252" s="4" t="inlineStr">
        <is>
          <t>Softy-Suedey-Relaxed-Short-Sleeve-Shirt</t>
        </is>
      </c>
      <c r="O252" s="4" t="inlineStr"/>
    </row>
    <row r="253" ht="80" customHeight="1">
      <c r="A253" s="7">
        <f>IMAGE("https://images.lululemon.com/is/image/lululemon/LW3JMAS_4780_1?wid=320&amp;op_usm=0.8",1)</f>
        <v/>
      </c>
      <c r="B253" s="7" t="inlineStr">
        <is>
          <t>Softy Suedey Relaxed Short-Sleeve Shirt</t>
        </is>
      </c>
      <c r="C253" s="7" t="inlineStr">
        <is>
          <t>158032120</t>
        </is>
      </c>
      <c r="D253" s="7" t="inlineStr">
        <is>
          <t>158032120-black/black</t>
        </is>
      </c>
      <c r="E253" s="7" t="inlineStr">
        <is>
          <t>Softy Suedey Relaxed Short Sleeve BLK/BLK XS</t>
        </is>
      </c>
      <c r="F253" s="7" t="inlineStr">
        <is>
          <t>$58.00</t>
        </is>
      </c>
      <c r="G253" s="7" t="inlineStr">
        <is>
          <t>$29.00</t>
        </is>
      </c>
      <c r="H253" s="7" t="inlineStr">
        <is>
          <t>Black/Black</t>
        </is>
      </c>
      <c r="I253" s="7">
        <f>IMAGE("https://images.lululemon.com/is/image/lululemon/4780",1)</f>
        <v/>
      </c>
      <c r="J253" s="7" t="inlineStr">
        <is>
          <t>S</t>
        </is>
      </c>
      <c r="K253" s="7" t="inlineStr">
        <is>
          <t>30/132</t>
        </is>
      </c>
      <c r="L253" s="7" t="inlineStr">
        <is>
          <t>Yes</t>
        </is>
      </c>
      <c r="M253" s="7" t="inlineStr">
        <is>
          <t>Calling in cozy. This relaxed t-shirt is made from sueded performance fabric to deliver an incredibly soft texture.</t>
        </is>
      </c>
      <c r="N253" s="7" t="inlineStr">
        <is>
          <t>Softy-Suedey-Relaxed-Short-Sleeve-Shirt</t>
        </is>
      </c>
      <c r="O253" s="7" t="inlineStr"/>
    </row>
    <row r="254" ht="80" customHeight="1">
      <c r="A254" s="4">
        <f>IMAGE("https://images.lululemon.com/is/image/lululemon/LW3JMAS_4780_1?wid=320&amp;op_usm=0.8",1)</f>
        <v/>
      </c>
      <c r="B254" s="4" t="inlineStr">
        <is>
          <t>Softy Suedey Relaxed Short-Sleeve Shirt</t>
        </is>
      </c>
      <c r="C254" s="4" t="inlineStr">
        <is>
          <t>158032107</t>
        </is>
      </c>
      <c r="D254" s="4" t="inlineStr">
        <is>
          <t>158032107-black/black</t>
        </is>
      </c>
      <c r="E254" s="4" t="inlineStr">
        <is>
          <t>Softy Suedey Relaxed Short Sleeve BLK/BLK XS</t>
        </is>
      </c>
      <c r="F254" s="4" t="inlineStr">
        <is>
          <t>$58.00</t>
        </is>
      </c>
      <c r="G254" s="4" t="inlineStr">
        <is>
          <t>$29.00</t>
        </is>
      </c>
      <c r="H254" s="4" t="inlineStr">
        <is>
          <t>Black/Black</t>
        </is>
      </c>
      <c r="I254" s="4">
        <f>IMAGE("https://images.lululemon.com/is/image/lululemon/4780",1)</f>
        <v/>
      </c>
      <c r="J254" s="4" t="inlineStr">
        <is>
          <t>M</t>
        </is>
      </c>
      <c r="K254" s="4" t="inlineStr">
        <is>
          <t>38/132</t>
        </is>
      </c>
      <c r="L254" s="4" t="inlineStr">
        <is>
          <t>Yes</t>
        </is>
      </c>
      <c r="M254" s="4" t="inlineStr">
        <is>
          <t>Calling in cozy. This relaxed t-shirt is made from sueded performance fabric to deliver an incredibly soft texture.</t>
        </is>
      </c>
      <c r="N254" s="4" t="inlineStr">
        <is>
          <t>Softy-Suedey-Relaxed-Short-Sleeve-Shirt</t>
        </is>
      </c>
      <c r="O254" s="4" t="inlineStr"/>
    </row>
    <row r="255" ht="80" customHeight="1">
      <c r="A255" s="7">
        <f>IMAGE("https://images.lululemon.com/is/image/lululemon/LW3JMAS_4780_1?wid=320&amp;op_usm=0.8",1)</f>
        <v/>
      </c>
      <c r="B255" s="7" t="inlineStr">
        <is>
          <t>Softy Suedey Relaxed Short-Sleeve Shirt</t>
        </is>
      </c>
      <c r="C255" s="7" t="inlineStr">
        <is>
          <t>158032095</t>
        </is>
      </c>
      <c r="D255" s="7" t="inlineStr">
        <is>
          <t>158032095-black/black</t>
        </is>
      </c>
      <c r="E255" s="7" t="inlineStr">
        <is>
          <t>Softy Suedey Relaxed Short Sleeve BLK/BLK XS</t>
        </is>
      </c>
      <c r="F255" s="7" t="inlineStr">
        <is>
          <t>$58.00</t>
        </is>
      </c>
      <c r="G255" s="7" t="inlineStr">
        <is>
          <t>$29.00</t>
        </is>
      </c>
      <c r="H255" s="7" t="inlineStr">
        <is>
          <t>Black/Black</t>
        </is>
      </c>
      <c r="I255" s="7">
        <f>IMAGE("https://images.lululemon.com/is/image/lululemon/4780",1)</f>
        <v/>
      </c>
      <c r="J255" s="7" t="inlineStr">
        <is>
          <t>L</t>
        </is>
      </c>
      <c r="K255" s="7" t="inlineStr">
        <is>
          <t>34/132</t>
        </is>
      </c>
      <c r="L255" s="7" t="inlineStr">
        <is>
          <t>Yes</t>
        </is>
      </c>
      <c r="M255" s="7" t="inlineStr">
        <is>
          <t>Calling in cozy. This relaxed t-shirt is made from sueded performance fabric to deliver an incredibly soft texture.</t>
        </is>
      </c>
      <c r="N255" s="7" t="inlineStr">
        <is>
          <t>Softy-Suedey-Relaxed-Short-Sleeve-Shirt</t>
        </is>
      </c>
      <c r="O255" s="7" t="inlineStr"/>
    </row>
    <row r="256" ht="80" customHeight="1">
      <c r="A256" s="6">
        <f>IMAGE("https://images.lululemon.com/is/image/lululemon/LW3JMAS_4780_1?wid=320&amp;op_usm=0.8",1)</f>
        <v/>
      </c>
      <c r="B256" s="6" t="inlineStr">
        <is>
          <t>Softy Suedey Relaxed Short-Sleeve Shirt</t>
        </is>
      </c>
      <c r="C256" s="6" t="inlineStr">
        <is>
          <t>158032132</t>
        </is>
      </c>
      <c r="D256" s="6" t="inlineStr">
        <is>
          <t>158032132-black/black</t>
        </is>
      </c>
      <c r="E256" s="6" t="inlineStr">
        <is>
          <t>Softy Suedey Relaxed Short Sleeve BLK/BLK XS</t>
        </is>
      </c>
      <c r="F256" s="6" t="inlineStr">
        <is>
          <t>$58.00</t>
        </is>
      </c>
      <c r="G256" s="6" t="inlineStr">
        <is>
          <t>$29.00</t>
        </is>
      </c>
      <c r="H256" s="6" t="inlineStr">
        <is>
          <t>Black/Black</t>
        </is>
      </c>
      <c r="I256" s="6">
        <f>IMAGE("https://images.lululemon.com/is/image/lululemon/4780",1)</f>
        <v/>
      </c>
      <c r="J256" s="6" t="inlineStr">
        <is>
          <t>XL</t>
        </is>
      </c>
      <c r="K256" s="6" t="inlineStr">
        <is>
          <t>22/132</t>
        </is>
      </c>
      <c r="L256" s="6" t="inlineStr">
        <is>
          <t>Yes</t>
        </is>
      </c>
      <c r="M256" s="6" t="inlineStr">
        <is>
          <t>Calling in cozy. This relaxed t-shirt is made from sueded performance fabric to deliver an incredibly soft texture.</t>
        </is>
      </c>
      <c r="N256" s="6" t="inlineStr">
        <is>
          <t>Softy-Suedey-Relaxed-Short-Sleeve-Shirt</t>
        </is>
      </c>
      <c r="O256" s="6" t="inlineStr"/>
    </row>
    <row r="257" ht="80" customHeight="1">
      <c r="A257" s="7">
        <f>IMAGE("https://images.lululemon.com/is/image/lululemon/LW1EM6S_4780_1?wid=320&amp;op_usm=0.8",1)</f>
        <v/>
      </c>
      <c r="B257" s="7" t="inlineStr">
        <is>
          <t>Swiftly Tech Racerback Tank Top 2.0 *Waist Length</t>
        </is>
      </c>
      <c r="C257" s="7" t="inlineStr">
        <is>
          <t>124975232</t>
        </is>
      </c>
      <c r="D257" s="7" t="inlineStr">
        <is>
          <t>124975232-black/black</t>
        </is>
      </c>
      <c r="E257" s="7" t="inlineStr">
        <is>
          <t>Swiftly Tech Scoopneck Tank 2.0 *Race BLK/BLK 2</t>
        </is>
      </c>
      <c r="F257" s="7" t="inlineStr">
        <is>
          <t>$58.00</t>
        </is>
      </c>
      <c r="G257" s="7" t="inlineStr">
        <is>
          <t>$29.00</t>
        </is>
      </c>
      <c r="H257" s="7" t="inlineStr">
        <is>
          <t>Black/Black</t>
        </is>
      </c>
      <c r="I257" s="7">
        <f>IMAGE("https://images.lululemon.com/is/image/lululemon/4780",1)</f>
        <v/>
      </c>
      <c r="J257" s="7" t="inlineStr">
        <is>
          <t>2</t>
        </is>
      </c>
      <c r="K257" s="7" t="inlineStr">
        <is>
          <t>34/5004</t>
        </is>
      </c>
      <c r="L257" s="7" t="inlineStr">
        <is>
          <t>Yes</t>
        </is>
      </c>
      <c r="M257" s="7" t="inlineStr">
        <is>
          <t>Go ahead, get sweaty. The Swiftly collection is all about high-performing fabric that seamlessly adapts to you and your workout.</t>
        </is>
      </c>
      <c r="N257" s="7" t="inlineStr">
        <is>
          <t>Swiftly-Tech-RB-2-Race</t>
        </is>
      </c>
      <c r="O257" s="7" t="inlineStr"/>
    </row>
    <row r="258" ht="80" customHeight="1">
      <c r="A258" s="4">
        <f>IMAGE("https://images.lululemon.com/is/image/lululemon/LW1EM6S_4780_1?wid=320&amp;op_usm=0.8",1)</f>
        <v/>
      </c>
      <c r="B258" s="4" t="inlineStr">
        <is>
          <t>Swiftly Tech Racerback Tank Top 2.0 *Waist Length</t>
        </is>
      </c>
      <c r="C258" s="4" t="inlineStr">
        <is>
          <t>124975250</t>
        </is>
      </c>
      <c r="D258" s="4" t="inlineStr">
        <is>
          <t>124975250-black/black</t>
        </is>
      </c>
      <c r="E258" s="4" t="inlineStr">
        <is>
          <t>Swiftly Tech Scoopneck Tank 2.0 *Race BLK/BLK 2</t>
        </is>
      </c>
      <c r="F258" s="4" t="inlineStr">
        <is>
          <t>$58.00</t>
        </is>
      </c>
      <c r="G258" s="4" t="inlineStr">
        <is>
          <t>$29.00</t>
        </is>
      </c>
      <c r="H258" s="4" t="inlineStr">
        <is>
          <t>Black/Black</t>
        </is>
      </c>
      <c r="I258" s="4">
        <f>IMAGE("https://images.lululemon.com/is/image/lululemon/4780",1)</f>
        <v/>
      </c>
      <c r="J258" s="4" t="inlineStr">
        <is>
          <t>4</t>
        </is>
      </c>
      <c r="K258" s="4" t="inlineStr">
        <is>
          <t>391/5004</t>
        </is>
      </c>
      <c r="L258" s="4" t="inlineStr">
        <is>
          <t>Yes</t>
        </is>
      </c>
      <c r="M258" s="4" t="inlineStr">
        <is>
          <t>Go ahead, get sweaty. The Swiftly collection is all about high-performing fabric that seamlessly adapts to you and your workout.</t>
        </is>
      </c>
      <c r="N258" s="4" t="inlineStr">
        <is>
          <t>Swiftly-Tech-RB-2-Race</t>
        </is>
      </c>
      <c r="O258" s="4" t="inlineStr"/>
    </row>
    <row r="259" ht="80" customHeight="1">
      <c r="A259" s="7">
        <f>IMAGE("https://images.lululemon.com/is/image/lululemon/LW1EM6S_4780_1?wid=320&amp;op_usm=0.8",1)</f>
        <v/>
      </c>
      <c r="B259" s="7" t="inlineStr">
        <is>
          <t>Swiftly Tech Racerback Tank Top 2.0 *Waist Length</t>
        </is>
      </c>
      <c r="C259" s="7" t="inlineStr">
        <is>
          <t>124975254</t>
        </is>
      </c>
      <c r="D259" s="7" t="inlineStr">
        <is>
          <t>124975254-black/black</t>
        </is>
      </c>
      <c r="E259" s="7" t="inlineStr">
        <is>
          <t>Swiftly Tech Scoopneck Tank 2.0 *Race BLK/BLK 2</t>
        </is>
      </c>
      <c r="F259" s="7" t="inlineStr">
        <is>
          <t>$58.00</t>
        </is>
      </c>
      <c r="G259" s="7" t="inlineStr">
        <is>
          <t>$29.00</t>
        </is>
      </c>
      <c r="H259" s="7" t="inlineStr">
        <is>
          <t>Black/Black</t>
        </is>
      </c>
      <c r="I259" s="7">
        <f>IMAGE("https://images.lululemon.com/is/image/lululemon/4780",1)</f>
        <v/>
      </c>
      <c r="J259" s="7" t="inlineStr">
        <is>
          <t>6</t>
        </is>
      </c>
      <c r="K259" s="7" t="inlineStr">
        <is>
          <t>1061/5004</t>
        </is>
      </c>
      <c r="L259" s="7" t="inlineStr">
        <is>
          <t>Yes</t>
        </is>
      </c>
      <c r="M259" s="7" t="inlineStr">
        <is>
          <t>Go ahead, get sweaty. The Swiftly collection is all about high-performing fabric that seamlessly adapts to you and your workout.</t>
        </is>
      </c>
      <c r="N259" s="7" t="inlineStr">
        <is>
          <t>Swiftly-Tech-RB-2-Race</t>
        </is>
      </c>
      <c r="O259" s="7" t="inlineStr"/>
    </row>
    <row r="260" ht="80" customHeight="1">
      <c r="A260" s="4">
        <f>IMAGE("https://images.lululemon.com/is/image/lululemon/LW1EM6S_4780_1?wid=320&amp;op_usm=0.8",1)</f>
        <v/>
      </c>
      <c r="B260" s="4" t="inlineStr">
        <is>
          <t>Swiftly Tech Racerback Tank Top 2.0 *Waist Length</t>
        </is>
      </c>
      <c r="C260" s="4" t="inlineStr">
        <is>
          <t>124975258</t>
        </is>
      </c>
      <c r="D260" s="4" t="inlineStr">
        <is>
          <t>124975258-black/black</t>
        </is>
      </c>
      <c r="E260" s="4" t="inlineStr">
        <is>
          <t>Swiftly Tech Scoopneck Tank 2.0 *Race BLK/BLK 2</t>
        </is>
      </c>
      <c r="F260" s="4" t="inlineStr">
        <is>
          <t>$58.00</t>
        </is>
      </c>
      <c r="G260" s="4" t="inlineStr">
        <is>
          <t>$29.00</t>
        </is>
      </c>
      <c r="H260" s="4" t="inlineStr">
        <is>
          <t>Black/Black</t>
        </is>
      </c>
      <c r="I260" s="4">
        <f>IMAGE("https://images.lululemon.com/is/image/lululemon/4780",1)</f>
        <v/>
      </c>
      <c r="J260" s="4" t="inlineStr">
        <is>
          <t>8</t>
        </is>
      </c>
      <c r="K260" s="4" t="inlineStr">
        <is>
          <t>919/5004</t>
        </is>
      </c>
      <c r="L260" s="4" t="inlineStr">
        <is>
          <t>Yes</t>
        </is>
      </c>
      <c r="M260" s="4" t="inlineStr">
        <is>
          <t>Go ahead, get sweaty. The Swiftly collection is all about high-performing fabric that seamlessly adapts to you and your workout.</t>
        </is>
      </c>
      <c r="N260" s="4" t="inlineStr">
        <is>
          <t>Swiftly-Tech-RB-2-Race</t>
        </is>
      </c>
      <c r="O260" s="4" t="inlineStr"/>
    </row>
    <row r="261" ht="80" customHeight="1">
      <c r="A261" s="7">
        <f>IMAGE("https://images.lululemon.com/is/image/lululemon/LW1EM6S_4780_1?wid=320&amp;op_usm=0.8",1)</f>
        <v/>
      </c>
      <c r="B261" s="7" t="inlineStr">
        <is>
          <t>Swiftly Tech Racerback Tank Top 2.0 *Waist Length</t>
        </is>
      </c>
      <c r="C261" s="7" t="inlineStr">
        <is>
          <t>124975203</t>
        </is>
      </c>
      <c r="D261" s="7" t="inlineStr">
        <is>
          <t>124975203-black/black</t>
        </is>
      </c>
      <c r="E261" s="7" t="inlineStr">
        <is>
          <t>Swiftly Tech Scoopneck Tank 2.0 *Race BLK/BLK 2</t>
        </is>
      </c>
      <c r="F261" s="7" t="inlineStr">
        <is>
          <t>$58.00</t>
        </is>
      </c>
      <c r="G261" s="7" t="inlineStr">
        <is>
          <t>$29.00</t>
        </is>
      </c>
      <c r="H261" s="7" t="inlineStr">
        <is>
          <t>Black/Black</t>
        </is>
      </c>
      <c r="I261" s="7">
        <f>IMAGE("https://images.lululemon.com/is/image/lululemon/4780",1)</f>
        <v/>
      </c>
      <c r="J261" s="7" t="inlineStr">
        <is>
          <t>10</t>
        </is>
      </c>
      <c r="K261" s="7" t="inlineStr">
        <is>
          <t>528/5004</t>
        </is>
      </c>
      <c r="L261" s="7" t="inlineStr">
        <is>
          <t>Yes</t>
        </is>
      </c>
      <c r="M261" s="7" t="inlineStr">
        <is>
          <t>Go ahead, get sweaty. The Swiftly collection is all about high-performing fabric that seamlessly adapts to you and your workout.</t>
        </is>
      </c>
      <c r="N261" s="7" t="inlineStr">
        <is>
          <t>Swiftly-Tech-RB-2-Race</t>
        </is>
      </c>
      <c r="O261" s="7" t="inlineStr"/>
    </row>
    <row r="262" ht="80" customHeight="1">
      <c r="A262" s="4">
        <f>IMAGE("https://images.lululemon.com/is/image/lululemon/LW1EM6S_4780_1?wid=320&amp;op_usm=0.8",1)</f>
        <v/>
      </c>
      <c r="B262" s="4" t="inlineStr">
        <is>
          <t>Swiftly Tech Racerback Tank Top 2.0 *Waist Length</t>
        </is>
      </c>
      <c r="C262" s="4" t="inlineStr">
        <is>
          <t>124975208</t>
        </is>
      </c>
      <c r="D262" s="4" t="inlineStr">
        <is>
          <t>124975208-black/black</t>
        </is>
      </c>
      <c r="E262" s="4" t="inlineStr">
        <is>
          <t>Swiftly Tech Scoopneck Tank 2.0 *Race BLK/BLK 2</t>
        </is>
      </c>
      <c r="F262" s="4" t="inlineStr">
        <is>
          <t>$58.00</t>
        </is>
      </c>
      <c r="G262" s="4" t="inlineStr">
        <is>
          <t>$29.00</t>
        </is>
      </c>
      <c r="H262" s="4" t="inlineStr">
        <is>
          <t>Black/Black</t>
        </is>
      </c>
      <c r="I262" s="4">
        <f>IMAGE("https://images.lululemon.com/is/image/lululemon/4780",1)</f>
        <v/>
      </c>
      <c r="J262" s="4" t="inlineStr">
        <is>
          <t>12</t>
        </is>
      </c>
      <c r="K262" s="4" t="inlineStr">
        <is>
          <t>239/5004</t>
        </is>
      </c>
      <c r="L262" s="4" t="inlineStr">
        <is>
          <t>Yes</t>
        </is>
      </c>
      <c r="M262" s="4" t="inlineStr">
        <is>
          <t>Go ahead, get sweaty. The Swiftly collection is all about high-performing fabric that seamlessly adapts to you and your workout.</t>
        </is>
      </c>
      <c r="N262" s="4" t="inlineStr">
        <is>
          <t>Swiftly-Tech-RB-2-Race</t>
        </is>
      </c>
      <c r="O262" s="4" t="inlineStr"/>
    </row>
    <row r="263" ht="80" customHeight="1">
      <c r="A263" s="7">
        <f>IMAGE("https://images.lululemon.com/is/image/lululemon/LW1EM6S_4780_1?wid=320&amp;op_usm=0.8",1)</f>
        <v/>
      </c>
      <c r="B263" s="7" t="inlineStr">
        <is>
          <t>Swiftly Tech Racerback Tank Top 2.0 *Waist Length</t>
        </is>
      </c>
      <c r="C263" s="7" t="inlineStr">
        <is>
          <t>156751658</t>
        </is>
      </c>
      <c r="D263" s="7" t="inlineStr">
        <is>
          <t>156751658-calypsopink/calypsopink</t>
        </is>
      </c>
      <c r="E263" s="7" t="inlineStr">
        <is>
          <t>Swiftly Tech Scoopneck Tank 2.0 *Race BLK/BLK 2</t>
        </is>
      </c>
      <c r="F263" s="7" t="inlineStr">
        <is>
          <t>$58.00</t>
        </is>
      </c>
      <c r="G263" s="7" t="inlineStr">
        <is>
          <t>$29.00</t>
        </is>
      </c>
      <c r="H263" s="7" t="inlineStr">
        <is>
          <t>Calypso Pink/Calypso Pink</t>
        </is>
      </c>
      <c r="I263" s="7">
        <f>IMAGE("https://images.lululemon.com/is/image/lululemon/39159",1)</f>
        <v/>
      </c>
      <c r="J263" s="7" t="inlineStr">
        <is>
          <t>2</t>
        </is>
      </c>
      <c r="K263" s="7" t="inlineStr">
        <is>
          <t>58/5004</t>
        </is>
      </c>
      <c r="L263" s="7" t="inlineStr">
        <is>
          <t>Yes</t>
        </is>
      </c>
      <c r="M263" s="7" t="inlineStr">
        <is>
          <t>Go ahead, get sweaty. The Swiftly collection is all about high-performing fabric that seamlessly adapts to you and your workout.</t>
        </is>
      </c>
      <c r="N263" s="7" t="inlineStr">
        <is>
          <t>Swiftly-Tech-RB-2-Race</t>
        </is>
      </c>
      <c r="O263" s="7" t="inlineStr"/>
    </row>
    <row r="264" ht="80" customHeight="1">
      <c r="A264" s="4">
        <f>IMAGE("https://images.lululemon.com/is/image/lululemon/LW1EM6S_4780_1?wid=320&amp;op_usm=0.8",1)</f>
        <v/>
      </c>
      <c r="B264" s="4" t="inlineStr">
        <is>
          <t>Swiftly Tech Racerback Tank Top 2.0 *Waist Length</t>
        </is>
      </c>
      <c r="C264" s="4" t="inlineStr">
        <is>
          <t>156751662</t>
        </is>
      </c>
      <c r="D264" s="4" t="inlineStr">
        <is>
          <t>156751662-calypsopink/calypsopink</t>
        </is>
      </c>
      <c r="E264" s="4" t="inlineStr">
        <is>
          <t>Swiftly Tech Scoopneck Tank 2.0 *Race BLK/BLK 2</t>
        </is>
      </c>
      <c r="F264" s="4" t="inlineStr">
        <is>
          <t>$58.00</t>
        </is>
      </c>
      <c r="G264" s="4" t="inlineStr">
        <is>
          <t>$29.00</t>
        </is>
      </c>
      <c r="H264" s="4" t="inlineStr">
        <is>
          <t>Calypso Pink/Calypso Pink</t>
        </is>
      </c>
      <c r="I264" s="4">
        <f>IMAGE("https://images.lululemon.com/is/image/lululemon/39159",1)</f>
        <v/>
      </c>
      <c r="J264" s="4" t="inlineStr">
        <is>
          <t>4</t>
        </is>
      </c>
      <c r="K264" s="4" t="inlineStr">
        <is>
          <t>163/5004</t>
        </is>
      </c>
      <c r="L264" s="4" t="inlineStr">
        <is>
          <t>Yes</t>
        </is>
      </c>
      <c r="M264" s="4" t="inlineStr">
        <is>
          <t>Go ahead, get sweaty. The Swiftly collection is all about high-performing fabric that seamlessly adapts to you and your workout.</t>
        </is>
      </c>
      <c r="N264" s="4" t="inlineStr">
        <is>
          <t>Swiftly-Tech-RB-2-Race</t>
        </is>
      </c>
      <c r="O264" s="4" t="inlineStr"/>
    </row>
    <row r="265" ht="80" customHeight="1">
      <c r="A265" s="7">
        <f>IMAGE("https://images.lululemon.com/is/image/lululemon/LW1EM6S_4780_1?wid=320&amp;op_usm=0.8",1)</f>
        <v/>
      </c>
      <c r="B265" s="7" t="inlineStr">
        <is>
          <t>Swiftly Tech Racerback Tank Top 2.0 *Waist Length</t>
        </is>
      </c>
      <c r="C265" s="7" t="inlineStr">
        <is>
          <t>156751664</t>
        </is>
      </c>
      <c r="D265" s="7" t="inlineStr">
        <is>
          <t>156751664-calypsopink/calypsopink</t>
        </is>
      </c>
      <c r="E265" s="7" t="inlineStr">
        <is>
          <t>Swiftly Tech Scoopneck Tank 2.0 *Race BLK/BLK 2</t>
        </is>
      </c>
      <c r="F265" s="7" t="inlineStr">
        <is>
          <t>$58.00</t>
        </is>
      </c>
      <c r="G265" s="7" t="inlineStr">
        <is>
          <t>$29.00</t>
        </is>
      </c>
      <c r="H265" s="7" t="inlineStr">
        <is>
          <t>Calypso Pink/Calypso Pink</t>
        </is>
      </c>
      <c r="I265" s="7">
        <f>IMAGE("https://images.lululemon.com/is/image/lululemon/39159",1)</f>
        <v/>
      </c>
      <c r="J265" s="7" t="inlineStr">
        <is>
          <t>6</t>
        </is>
      </c>
      <c r="K265" s="7" t="inlineStr">
        <is>
          <t>198/5004</t>
        </is>
      </c>
      <c r="L265" s="7" t="inlineStr">
        <is>
          <t>Yes</t>
        </is>
      </c>
      <c r="M265" s="7" t="inlineStr">
        <is>
          <t>Go ahead, get sweaty. The Swiftly collection is all about high-performing fabric that seamlessly adapts to you and your workout.</t>
        </is>
      </c>
      <c r="N265" s="7" t="inlineStr">
        <is>
          <t>Swiftly-Tech-RB-2-Race</t>
        </is>
      </c>
      <c r="O265" s="7" t="inlineStr"/>
    </row>
    <row r="266" ht="80" customHeight="1">
      <c r="A266" s="4">
        <f>IMAGE("https://images.lululemon.com/is/image/lululemon/LW1EM6S_4780_1?wid=320&amp;op_usm=0.8",1)</f>
        <v/>
      </c>
      <c r="B266" s="4" t="inlineStr">
        <is>
          <t>Swiftly Tech Racerback Tank Top 2.0 *Waist Length</t>
        </is>
      </c>
      <c r="C266" s="4" t="inlineStr">
        <is>
          <t>156751665</t>
        </is>
      </c>
      <c r="D266" s="4" t="inlineStr">
        <is>
          <t>156751665-calypsopink/calypsopink</t>
        </is>
      </c>
      <c r="E266" s="4" t="inlineStr">
        <is>
          <t>Swiftly Tech Scoopneck Tank 2.0 *Race BLK/BLK 2</t>
        </is>
      </c>
      <c r="F266" s="4" t="inlineStr">
        <is>
          <t>$58.00</t>
        </is>
      </c>
      <c r="G266" s="4" t="inlineStr">
        <is>
          <t>$29.00</t>
        </is>
      </c>
      <c r="H266" s="4" t="inlineStr">
        <is>
          <t>Calypso Pink/Calypso Pink</t>
        </is>
      </c>
      <c r="I266" s="4">
        <f>IMAGE("https://images.lululemon.com/is/image/lululemon/39159",1)</f>
        <v/>
      </c>
      <c r="J266" s="4" t="inlineStr">
        <is>
          <t>8</t>
        </is>
      </c>
      <c r="K266" s="4" t="inlineStr">
        <is>
          <t>152/5004</t>
        </is>
      </c>
      <c r="L266" s="4" t="inlineStr">
        <is>
          <t>Yes</t>
        </is>
      </c>
      <c r="M266" s="4" t="inlineStr">
        <is>
          <t>Go ahead, get sweaty. The Swiftly collection is all about high-performing fabric that seamlessly adapts to you and your workout.</t>
        </is>
      </c>
      <c r="N266" s="4" t="inlineStr">
        <is>
          <t>Swiftly-Tech-RB-2-Race</t>
        </is>
      </c>
      <c r="O266" s="4" t="inlineStr"/>
    </row>
    <row r="267" ht="80" customHeight="1">
      <c r="A267" s="7">
        <f>IMAGE("https://images.lululemon.com/is/image/lululemon/LW1EM6S_4780_1?wid=320&amp;op_usm=0.8",1)</f>
        <v/>
      </c>
      <c r="B267" s="7" t="inlineStr">
        <is>
          <t>Swiftly Tech Racerback Tank Top 2.0 *Waist Length</t>
        </is>
      </c>
      <c r="C267" s="7" t="inlineStr">
        <is>
          <t>156751653</t>
        </is>
      </c>
      <c r="D267" s="7" t="inlineStr">
        <is>
          <t>156751653-calypsopink/calypsopink</t>
        </is>
      </c>
      <c r="E267" s="7" t="inlineStr">
        <is>
          <t>Swiftly Tech Scoopneck Tank 2.0 *Race BLK/BLK 2</t>
        </is>
      </c>
      <c r="F267" s="7" t="inlineStr">
        <is>
          <t>$58.00</t>
        </is>
      </c>
      <c r="G267" s="7" t="inlineStr">
        <is>
          <t>$29.00</t>
        </is>
      </c>
      <c r="H267" s="7" t="inlineStr">
        <is>
          <t>Calypso Pink/Calypso Pink</t>
        </is>
      </c>
      <c r="I267" s="7">
        <f>IMAGE("https://images.lululemon.com/is/image/lululemon/39159",1)</f>
        <v/>
      </c>
      <c r="J267" s="7" t="inlineStr">
        <is>
          <t>10</t>
        </is>
      </c>
      <c r="K267" s="7" t="inlineStr">
        <is>
          <t>88/5004</t>
        </is>
      </c>
      <c r="L267" s="7" t="inlineStr">
        <is>
          <t>Yes</t>
        </is>
      </c>
      <c r="M267" s="7" t="inlineStr">
        <is>
          <t>Go ahead, get sweaty. The Swiftly collection is all about high-performing fabric that seamlessly adapts to you and your workout.</t>
        </is>
      </c>
      <c r="N267" s="7" t="inlineStr">
        <is>
          <t>Swiftly-Tech-RB-2-Race</t>
        </is>
      </c>
      <c r="O267" s="7" t="inlineStr"/>
    </row>
    <row r="268" ht="80" customHeight="1">
      <c r="A268" s="4">
        <f>IMAGE("https://images.lululemon.com/is/image/lululemon/LW1EM6S_4780_1?wid=320&amp;op_usm=0.8",1)</f>
        <v/>
      </c>
      <c r="B268" s="4" t="inlineStr">
        <is>
          <t>Swiftly Tech Racerback Tank Top 2.0 *Waist Length</t>
        </is>
      </c>
      <c r="C268" s="4" t="inlineStr">
        <is>
          <t>156751656</t>
        </is>
      </c>
      <c r="D268" s="4" t="inlineStr">
        <is>
          <t>156751656-calypsopink/calypsopink</t>
        </is>
      </c>
      <c r="E268" s="4" t="inlineStr">
        <is>
          <t>Swiftly Tech Scoopneck Tank 2.0 *Race BLK/BLK 2</t>
        </is>
      </c>
      <c r="F268" s="4" t="inlineStr">
        <is>
          <t>$58.00</t>
        </is>
      </c>
      <c r="G268" s="4" t="inlineStr">
        <is>
          <t>$29.00</t>
        </is>
      </c>
      <c r="H268" s="4" t="inlineStr">
        <is>
          <t>Calypso Pink/Calypso Pink</t>
        </is>
      </c>
      <c r="I268" s="4">
        <f>IMAGE("https://images.lululemon.com/is/image/lululemon/39159",1)</f>
        <v/>
      </c>
      <c r="J268" s="4" t="inlineStr">
        <is>
          <t>12</t>
        </is>
      </c>
      <c r="K268" s="4" t="inlineStr">
        <is>
          <t>54/5004</t>
        </is>
      </c>
      <c r="L268" s="4" t="inlineStr">
        <is>
          <t>Yes</t>
        </is>
      </c>
      <c r="M268" s="4" t="inlineStr">
        <is>
          <t>Go ahead, get sweaty. The Swiftly collection is all about high-performing fabric that seamlessly adapts to you and your workout.</t>
        </is>
      </c>
      <c r="N268" s="4" t="inlineStr">
        <is>
          <t>Swiftly-Tech-RB-2-Race</t>
        </is>
      </c>
      <c r="O268" s="4" t="inlineStr"/>
    </row>
    <row r="269" ht="80" customHeight="1">
      <c r="A269" s="7">
        <f>IMAGE("https://images.lululemon.com/is/image/lululemon/LW1EM6S_4780_1?wid=320&amp;op_usm=0.8",1)</f>
        <v/>
      </c>
      <c r="B269" s="7" t="inlineStr">
        <is>
          <t>Swiftly Tech Racerback Tank Top 2.0 *Waist Length</t>
        </is>
      </c>
      <c r="C269" s="7" t="inlineStr">
        <is>
          <t>158097792</t>
        </is>
      </c>
      <c r="D269" s="7" t="inlineStr">
        <is>
          <t>158097792-berryrumble/berryrumble</t>
        </is>
      </c>
      <c r="E269" s="7" t="inlineStr">
        <is>
          <t>Swiftly Tech Scoopneck Tank 2.0 *Race BLK/BLK 2</t>
        </is>
      </c>
      <c r="F269" s="7" t="inlineStr">
        <is>
          <t>$58.00</t>
        </is>
      </c>
      <c r="G269" s="7" t="inlineStr">
        <is>
          <t>$29.00</t>
        </is>
      </c>
      <c r="H269" s="7" t="inlineStr">
        <is>
          <t>Berry Rumble/Berry Rumble</t>
        </is>
      </c>
      <c r="I269" s="7">
        <f>IMAGE("https://images.lululemon.com/is/image/lululemon/21861",1)</f>
        <v/>
      </c>
      <c r="J269" s="7" t="inlineStr">
        <is>
          <t>2</t>
        </is>
      </c>
      <c r="K269" s="7" t="inlineStr">
        <is>
          <t>10/5004</t>
        </is>
      </c>
      <c r="L269" s="7" t="inlineStr">
        <is>
          <t>Yes</t>
        </is>
      </c>
      <c r="M269" s="7" t="inlineStr">
        <is>
          <t>Go ahead, get sweaty. The Swiftly collection is all about high-performing fabric that seamlessly adapts to you and your workout.</t>
        </is>
      </c>
      <c r="N269" s="7" t="inlineStr">
        <is>
          <t>Swiftly-Tech-RB-2-Race</t>
        </is>
      </c>
      <c r="O269" s="7" t="inlineStr"/>
    </row>
    <row r="270" ht="80" customHeight="1">
      <c r="A270" s="4">
        <f>IMAGE("https://images.lululemon.com/is/image/lululemon/LW1EM6S_4780_1?wid=320&amp;op_usm=0.8",1)</f>
        <v/>
      </c>
      <c r="B270" s="4" t="inlineStr">
        <is>
          <t>Swiftly Tech Racerback Tank Top 2.0 *Waist Length</t>
        </is>
      </c>
      <c r="C270" s="4" t="inlineStr">
        <is>
          <t>158097839</t>
        </is>
      </c>
      <c r="D270" s="4" t="inlineStr">
        <is>
          <t>158097839-berryrumble/berryrumble</t>
        </is>
      </c>
      <c r="E270" s="4" t="inlineStr">
        <is>
          <t>Swiftly Tech Scoopneck Tank 2.0 *Race BLK/BLK 2</t>
        </is>
      </c>
      <c r="F270" s="4" t="inlineStr">
        <is>
          <t>$58.00</t>
        </is>
      </c>
      <c r="G270" s="4" t="inlineStr">
        <is>
          <t>$29.00</t>
        </is>
      </c>
      <c r="H270" s="4" t="inlineStr">
        <is>
          <t>Berry Rumble/Berry Rumble</t>
        </is>
      </c>
      <c r="I270" s="4">
        <f>IMAGE("https://images.lululemon.com/is/image/lululemon/21861",1)</f>
        <v/>
      </c>
      <c r="J270" s="4" t="inlineStr">
        <is>
          <t>4</t>
        </is>
      </c>
      <c r="K270" s="4" t="inlineStr">
        <is>
          <t>19/5004</t>
        </is>
      </c>
      <c r="L270" s="4" t="inlineStr">
        <is>
          <t>Yes</t>
        </is>
      </c>
      <c r="M270" s="4" t="inlineStr">
        <is>
          <t>Go ahead, get sweaty. The Swiftly collection is all about high-performing fabric that seamlessly adapts to you and your workout.</t>
        </is>
      </c>
      <c r="N270" s="4" t="inlineStr">
        <is>
          <t>Swiftly-Tech-RB-2-Race</t>
        </is>
      </c>
      <c r="O270" s="4" t="inlineStr"/>
    </row>
    <row r="271" ht="80" customHeight="1">
      <c r="A271" s="7">
        <f>IMAGE("https://images.lululemon.com/is/image/lululemon/LW1EM6S_4780_1?wid=320&amp;op_usm=0.8",1)</f>
        <v/>
      </c>
      <c r="B271" s="7" t="inlineStr">
        <is>
          <t>Swiftly Tech Racerback Tank Top 2.0 *Waist Length</t>
        </is>
      </c>
      <c r="C271" s="7" t="inlineStr">
        <is>
          <t>158097867</t>
        </is>
      </c>
      <c r="D271" s="7" t="inlineStr">
        <is>
          <t>158097867-berryrumble/berryrumble</t>
        </is>
      </c>
      <c r="E271" s="7" t="inlineStr">
        <is>
          <t>Swiftly Tech Scoopneck Tank 2.0 *Race BLK/BLK 2</t>
        </is>
      </c>
      <c r="F271" s="7" t="inlineStr">
        <is>
          <t>$58.00</t>
        </is>
      </c>
      <c r="G271" s="7" t="inlineStr">
        <is>
          <t>$29.00</t>
        </is>
      </c>
      <c r="H271" s="7" t="inlineStr">
        <is>
          <t>Berry Rumble/Berry Rumble</t>
        </is>
      </c>
      <c r="I271" s="7">
        <f>IMAGE("https://images.lululemon.com/is/image/lululemon/21861",1)</f>
        <v/>
      </c>
      <c r="J271" s="7" t="inlineStr">
        <is>
          <t>6</t>
        </is>
      </c>
      <c r="K271" s="7" t="inlineStr">
        <is>
          <t>23/5004</t>
        </is>
      </c>
      <c r="L271" s="7" t="inlineStr">
        <is>
          <t>Yes</t>
        </is>
      </c>
      <c r="M271" s="7" t="inlineStr">
        <is>
          <t>Go ahead, get sweaty. The Swiftly collection is all about high-performing fabric that seamlessly adapts to you and your workout.</t>
        </is>
      </c>
      <c r="N271" s="7" t="inlineStr">
        <is>
          <t>Swiftly-Tech-RB-2-Race</t>
        </is>
      </c>
      <c r="O271" s="7" t="inlineStr"/>
    </row>
    <row r="272" ht="80" customHeight="1">
      <c r="A272" s="4">
        <f>IMAGE("https://images.lululemon.com/is/image/lululemon/LW1EM6S_4780_1?wid=320&amp;op_usm=0.8",1)</f>
        <v/>
      </c>
      <c r="B272" s="4" t="inlineStr">
        <is>
          <t>Swiftly Tech Racerback Tank Top 2.0 *Waist Length</t>
        </is>
      </c>
      <c r="C272" s="4" t="inlineStr">
        <is>
          <t>158097891</t>
        </is>
      </c>
      <c r="D272" s="4" t="inlineStr">
        <is>
          <t>158097891-berryrumble/berryrumble</t>
        </is>
      </c>
      <c r="E272" s="4" t="inlineStr">
        <is>
          <t>Swiftly Tech Scoopneck Tank 2.0 *Race BLK/BLK 2</t>
        </is>
      </c>
      <c r="F272" s="4" t="inlineStr">
        <is>
          <t>$58.00</t>
        </is>
      </c>
      <c r="G272" s="4" t="inlineStr">
        <is>
          <t>$29.00</t>
        </is>
      </c>
      <c r="H272" s="4" t="inlineStr">
        <is>
          <t>Berry Rumble/Berry Rumble</t>
        </is>
      </c>
      <c r="I272" s="4">
        <f>IMAGE("https://images.lululemon.com/is/image/lululemon/21861",1)</f>
        <v/>
      </c>
      <c r="J272" s="4" t="inlineStr">
        <is>
          <t>8</t>
        </is>
      </c>
      <c r="K272" s="4" t="inlineStr">
        <is>
          <t>16/5004</t>
        </is>
      </c>
      <c r="L272" s="4" t="inlineStr">
        <is>
          <t>Yes</t>
        </is>
      </c>
      <c r="M272" s="4" t="inlineStr">
        <is>
          <t>Go ahead, get sweaty. The Swiftly collection is all about high-performing fabric that seamlessly adapts to you and your workout.</t>
        </is>
      </c>
      <c r="N272" s="4" t="inlineStr">
        <is>
          <t>Swiftly-Tech-RB-2-Race</t>
        </is>
      </c>
      <c r="O272" s="4" t="inlineStr"/>
    </row>
    <row r="273" ht="80" customHeight="1">
      <c r="A273" s="7">
        <f>IMAGE("https://images.lululemon.com/is/image/lululemon/LW1EM6S_4780_1?wid=320&amp;op_usm=0.8",1)</f>
        <v/>
      </c>
      <c r="B273" s="7" t="inlineStr">
        <is>
          <t>Swiftly Tech Racerback Tank Top 2.0 *Waist Length</t>
        </is>
      </c>
      <c r="C273" s="7" t="inlineStr">
        <is>
          <t>158097673</t>
        </is>
      </c>
      <c r="D273" s="7" t="inlineStr">
        <is>
          <t>158097673-berryrumble/berryrumble</t>
        </is>
      </c>
      <c r="E273" s="7" t="inlineStr">
        <is>
          <t>Swiftly Tech Scoopneck Tank 2.0 *Race BLK/BLK 2</t>
        </is>
      </c>
      <c r="F273" s="7" t="inlineStr">
        <is>
          <t>$58.00</t>
        </is>
      </c>
      <c r="G273" s="7" t="inlineStr">
        <is>
          <t>$29.00</t>
        </is>
      </c>
      <c r="H273" s="7" t="inlineStr">
        <is>
          <t>Berry Rumble/Berry Rumble</t>
        </is>
      </c>
      <c r="I273" s="7">
        <f>IMAGE("https://images.lululemon.com/is/image/lululemon/21861",1)</f>
        <v/>
      </c>
      <c r="J273" s="7" t="inlineStr">
        <is>
          <t>10</t>
        </is>
      </c>
      <c r="K273" s="7" t="inlineStr">
        <is>
          <t>12/5004</t>
        </is>
      </c>
      <c r="L273" s="7" t="inlineStr">
        <is>
          <t>Yes</t>
        </is>
      </c>
      <c r="M273" s="7" t="inlineStr">
        <is>
          <t>Go ahead, get sweaty. The Swiftly collection is all about high-performing fabric that seamlessly adapts to you and your workout.</t>
        </is>
      </c>
      <c r="N273" s="7" t="inlineStr">
        <is>
          <t>Swiftly-Tech-RB-2-Race</t>
        </is>
      </c>
      <c r="O273" s="7" t="inlineStr"/>
    </row>
    <row r="274" ht="80" customHeight="1">
      <c r="A274" s="4">
        <f>IMAGE("https://images.lululemon.com/is/image/lululemon/LW1EM6S_4780_1?wid=320&amp;op_usm=0.8",1)</f>
        <v/>
      </c>
      <c r="B274" s="4" t="inlineStr">
        <is>
          <t>Swiftly Tech Racerback Tank Top 2.0 *Waist Length</t>
        </is>
      </c>
      <c r="C274" s="4" t="inlineStr">
        <is>
          <t>158097702</t>
        </is>
      </c>
      <c r="D274" s="4" t="inlineStr">
        <is>
          <t>158097702-berryrumble/berryrumble</t>
        </is>
      </c>
      <c r="E274" s="4" t="inlineStr">
        <is>
          <t>Swiftly Tech Scoopneck Tank 2.0 *Race BLK/BLK 2</t>
        </is>
      </c>
      <c r="F274" s="4" t="inlineStr">
        <is>
          <t>$58.00</t>
        </is>
      </c>
      <c r="G274" s="4" t="inlineStr">
        <is>
          <t>$29.00</t>
        </is>
      </c>
      <c r="H274" s="4" t="inlineStr">
        <is>
          <t>Berry Rumble/Berry Rumble</t>
        </is>
      </c>
      <c r="I274" s="4">
        <f>IMAGE("https://images.lululemon.com/is/image/lululemon/21861",1)</f>
        <v/>
      </c>
      <c r="J274" s="4" t="inlineStr">
        <is>
          <t>12</t>
        </is>
      </c>
      <c r="K274" s="4" t="inlineStr">
        <is>
          <t>7/5004</t>
        </is>
      </c>
      <c r="L274" s="4" t="inlineStr">
        <is>
          <t>Yes</t>
        </is>
      </c>
      <c r="M274" s="4" t="inlineStr">
        <is>
          <t>Go ahead, get sweaty. The Swiftly collection is all about high-performing fabric that seamlessly adapts to you and your workout.</t>
        </is>
      </c>
      <c r="N274" s="4" t="inlineStr">
        <is>
          <t>Swiftly-Tech-RB-2-Race</t>
        </is>
      </c>
      <c r="O274" s="4" t="inlineStr"/>
    </row>
    <row r="275" ht="80" customHeight="1">
      <c r="A275" s="7">
        <f>IMAGE("https://images.lululemon.com/is/image/lululemon/LW1EM6S_4780_1?wid=320&amp;op_usm=0.8",1)</f>
        <v/>
      </c>
      <c r="B275" s="7" t="inlineStr">
        <is>
          <t>Swiftly Tech Racerback Tank Top 2.0 *Waist Length</t>
        </is>
      </c>
      <c r="C275" s="7" t="inlineStr">
        <is>
          <t>157689664</t>
        </is>
      </c>
      <c r="D275" s="7" t="inlineStr">
        <is>
          <t>157689664-brilliantblue/brilliantblue</t>
        </is>
      </c>
      <c r="E275" s="7" t="inlineStr">
        <is>
          <t>Swiftly Tech Scoopneck Tank 2.0 *Race BLK/BLK 2</t>
        </is>
      </c>
      <c r="F275" s="7" t="inlineStr">
        <is>
          <t>$58.00</t>
        </is>
      </c>
      <c r="G275" s="7" t="inlineStr">
        <is>
          <t>$29.00</t>
        </is>
      </c>
      <c r="H275" s="7" t="inlineStr">
        <is>
          <t>Brilliant Blue/Brilliant Blue</t>
        </is>
      </c>
      <c r="I275" s="7">
        <f>IMAGE("https://images.lululemon.com/is/image/lululemon/33547",1)</f>
        <v/>
      </c>
      <c r="J275" s="7" t="inlineStr">
        <is>
          <t>2</t>
        </is>
      </c>
      <c r="K275" s="7" t="inlineStr">
        <is>
          <t>49/5004</t>
        </is>
      </c>
      <c r="L275" s="7" t="inlineStr">
        <is>
          <t>Yes</t>
        </is>
      </c>
      <c r="M275" s="7" t="inlineStr">
        <is>
          <t>Go ahead, get sweaty. The Swiftly collection is all about high-performing fabric that seamlessly adapts to you and your workout.</t>
        </is>
      </c>
      <c r="N275" s="7" t="inlineStr">
        <is>
          <t>Swiftly-Tech-RB-2-Race</t>
        </is>
      </c>
      <c r="O275" s="7" t="inlineStr"/>
    </row>
    <row r="276" ht="80" customHeight="1">
      <c r="A276" s="4">
        <f>IMAGE("https://images.lululemon.com/is/image/lululemon/LW1EM6S_4780_1?wid=320&amp;op_usm=0.8",1)</f>
        <v/>
      </c>
      <c r="B276" s="4" t="inlineStr">
        <is>
          <t>Swiftly Tech Racerback Tank Top 2.0 *Waist Length</t>
        </is>
      </c>
      <c r="C276" s="4" t="inlineStr">
        <is>
          <t>157689669</t>
        </is>
      </c>
      <c r="D276" s="4" t="inlineStr">
        <is>
          <t>157689669-brilliantblue/brilliantblue</t>
        </is>
      </c>
      <c r="E276" s="4" t="inlineStr">
        <is>
          <t>Swiftly Tech Scoopneck Tank 2.0 *Race BLK/BLK 2</t>
        </is>
      </c>
      <c r="F276" s="4" t="inlineStr">
        <is>
          <t>$58.00</t>
        </is>
      </c>
      <c r="G276" s="4" t="inlineStr">
        <is>
          <t>$29.00</t>
        </is>
      </c>
      <c r="H276" s="4" t="inlineStr">
        <is>
          <t>Brilliant Blue/Brilliant Blue</t>
        </is>
      </c>
      <c r="I276" s="4">
        <f>IMAGE("https://images.lululemon.com/is/image/lululemon/33547",1)</f>
        <v/>
      </c>
      <c r="J276" s="4" t="inlineStr">
        <is>
          <t>4</t>
        </is>
      </c>
      <c r="K276" s="4" t="inlineStr">
        <is>
          <t>133/5004</t>
        </is>
      </c>
      <c r="L276" s="4" t="inlineStr">
        <is>
          <t>Yes</t>
        </is>
      </c>
      <c r="M276" s="4" t="inlineStr">
        <is>
          <t>Go ahead, get sweaty. The Swiftly collection is all about high-performing fabric that seamlessly adapts to you and your workout.</t>
        </is>
      </c>
      <c r="N276" s="4" t="inlineStr">
        <is>
          <t>Swiftly-Tech-RB-2-Race</t>
        </is>
      </c>
      <c r="O276" s="4" t="inlineStr"/>
    </row>
    <row r="277" ht="80" customHeight="1">
      <c r="A277" s="7">
        <f>IMAGE("https://images.lululemon.com/is/image/lululemon/LW1EM6S_4780_1?wid=320&amp;op_usm=0.8",1)</f>
        <v/>
      </c>
      <c r="B277" s="7" t="inlineStr">
        <is>
          <t>Swiftly Tech Racerback Tank Top 2.0 *Waist Length</t>
        </is>
      </c>
      <c r="C277" s="7" t="inlineStr">
        <is>
          <t>157689672</t>
        </is>
      </c>
      <c r="D277" s="7" t="inlineStr">
        <is>
          <t>157689672-brilliantblue/brilliantblue</t>
        </is>
      </c>
      <c r="E277" s="7" t="inlineStr">
        <is>
          <t>Swiftly Tech Scoopneck Tank 2.0 *Race BLK/BLK 2</t>
        </is>
      </c>
      <c r="F277" s="7" t="inlineStr">
        <is>
          <t>$58.00</t>
        </is>
      </c>
      <c r="G277" s="7" t="inlineStr">
        <is>
          <t>$29.00</t>
        </is>
      </c>
      <c r="H277" s="7" t="inlineStr">
        <is>
          <t>Brilliant Blue/Brilliant Blue</t>
        </is>
      </c>
      <c r="I277" s="7">
        <f>IMAGE("https://images.lululemon.com/is/image/lululemon/33547",1)</f>
        <v/>
      </c>
      <c r="J277" s="7" t="inlineStr">
        <is>
          <t>6</t>
        </is>
      </c>
      <c r="K277" s="7" t="inlineStr">
        <is>
          <t>159/5004</t>
        </is>
      </c>
      <c r="L277" s="7" t="inlineStr">
        <is>
          <t>Yes</t>
        </is>
      </c>
      <c r="M277" s="7" t="inlineStr">
        <is>
          <t>Go ahead, get sweaty. The Swiftly collection is all about high-performing fabric that seamlessly adapts to you and your workout.</t>
        </is>
      </c>
      <c r="N277" s="7" t="inlineStr">
        <is>
          <t>Swiftly-Tech-RB-2-Race</t>
        </is>
      </c>
      <c r="O277" s="7" t="inlineStr"/>
    </row>
    <row r="278" ht="80" customHeight="1">
      <c r="A278" s="4">
        <f>IMAGE("https://images.lululemon.com/is/image/lululemon/LW1EM6S_4780_1?wid=320&amp;op_usm=0.8",1)</f>
        <v/>
      </c>
      <c r="B278" s="4" t="inlineStr">
        <is>
          <t>Swiftly Tech Racerback Tank Top 2.0 *Waist Length</t>
        </is>
      </c>
      <c r="C278" s="4" t="inlineStr">
        <is>
          <t>157689675</t>
        </is>
      </c>
      <c r="D278" s="4" t="inlineStr">
        <is>
          <t>157689675-brilliantblue/brilliantblue</t>
        </is>
      </c>
      <c r="E278" s="4" t="inlineStr">
        <is>
          <t>Swiftly Tech Scoopneck Tank 2.0 *Race BLK/BLK 2</t>
        </is>
      </c>
      <c r="F278" s="4" t="inlineStr">
        <is>
          <t>$58.00</t>
        </is>
      </c>
      <c r="G278" s="4" t="inlineStr">
        <is>
          <t>$29.00</t>
        </is>
      </c>
      <c r="H278" s="4" t="inlineStr">
        <is>
          <t>Brilliant Blue/Brilliant Blue</t>
        </is>
      </c>
      <c r="I278" s="4">
        <f>IMAGE("https://images.lululemon.com/is/image/lululemon/33547",1)</f>
        <v/>
      </c>
      <c r="J278" s="4" t="inlineStr">
        <is>
          <t>8</t>
        </is>
      </c>
      <c r="K278" s="4" t="inlineStr">
        <is>
          <t>121/5004</t>
        </is>
      </c>
      <c r="L278" s="4" t="inlineStr">
        <is>
          <t>Yes</t>
        </is>
      </c>
      <c r="M278" s="4" t="inlineStr">
        <is>
          <t>Go ahead, get sweaty. The Swiftly collection is all about high-performing fabric that seamlessly adapts to you and your workout.</t>
        </is>
      </c>
      <c r="N278" s="4" t="inlineStr">
        <is>
          <t>Swiftly-Tech-RB-2-Race</t>
        </is>
      </c>
      <c r="O278" s="4" t="inlineStr"/>
    </row>
    <row r="279" ht="80" customHeight="1">
      <c r="A279" s="7">
        <f>IMAGE("https://images.lululemon.com/is/image/lululemon/LW1EM6S_4780_1?wid=320&amp;op_usm=0.8",1)</f>
        <v/>
      </c>
      <c r="B279" s="7" t="inlineStr">
        <is>
          <t>Swiftly Tech Racerback Tank Top 2.0 *Waist Length</t>
        </is>
      </c>
      <c r="C279" s="7" t="inlineStr">
        <is>
          <t>157689643</t>
        </is>
      </c>
      <c r="D279" s="7" t="inlineStr">
        <is>
          <t>157689643-brilliantblue/brilliantblue</t>
        </is>
      </c>
      <c r="E279" s="7" t="inlineStr">
        <is>
          <t>Swiftly Tech Scoopneck Tank 2.0 *Race BLK/BLK 2</t>
        </is>
      </c>
      <c r="F279" s="7" t="inlineStr">
        <is>
          <t>$58.00</t>
        </is>
      </c>
      <c r="G279" s="7" t="inlineStr">
        <is>
          <t>$29.00</t>
        </is>
      </c>
      <c r="H279" s="7" t="inlineStr">
        <is>
          <t>Brilliant Blue/Brilliant Blue</t>
        </is>
      </c>
      <c r="I279" s="7">
        <f>IMAGE("https://images.lululemon.com/is/image/lululemon/33547",1)</f>
        <v/>
      </c>
      <c r="J279" s="7" t="inlineStr">
        <is>
          <t>10</t>
        </is>
      </c>
      <c r="K279" s="7" t="inlineStr">
        <is>
          <t>66/5004</t>
        </is>
      </c>
      <c r="L279" s="7" t="inlineStr">
        <is>
          <t>Yes</t>
        </is>
      </c>
      <c r="M279" s="7" t="inlineStr">
        <is>
          <t>Go ahead, get sweaty. The Swiftly collection is all about high-performing fabric that seamlessly adapts to you and your workout.</t>
        </is>
      </c>
      <c r="N279" s="7" t="inlineStr">
        <is>
          <t>Swiftly-Tech-RB-2-Race</t>
        </is>
      </c>
      <c r="O279" s="7" t="inlineStr"/>
    </row>
    <row r="280" ht="80" customHeight="1">
      <c r="A280" s="4">
        <f>IMAGE("https://images.lululemon.com/is/image/lululemon/LW1EM6S_4780_1?wid=320&amp;op_usm=0.8",1)</f>
        <v/>
      </c>
      <c r="B280" s="4" t="inlineStr">
        <is>
          <t>Swiftly Tech Racerback Tank Top 2.0 *Waist Length</t>
        </is>
      </c>
      <c r="C280" s="4" t="inlineStr">
        <is>
          <t>157689649</t>
        </is>
      </c>
      <c r="D280" s="4" t="inlineStr">
        <is>
          <t>157689649-brilliantblue/brilliantblue</t>
        </is>
      </c>
      <c r="E280" s="4" t="inlineStr">
        <is>
          <t>Swiftly Tech Scoopneck Tank 2.0 *Race BLK/BLK 2</t>
        </is>
      </c>
      <c r="F280" s="4" t="inlineStr">
        <is>
          <t>$58.00</t>
        </is>
      </c>
      <c r="G280" s="4" t="inlineStr">
        <is>
          <t>$29.00</t>
        </is>
      </c>
      <c r="H280" s="4" t="inlineStr">
        <is>
          <t>Brilliant Blue/Brilliant Blue</t>
        </is>
      </c>
      <c r="I280" s="4">
        <f>IMAGE("https://images.lululemon.com/is/image/lululemon/33547",1)</f>
        <v/>
      </c>
      <c r="J280" s="4" t="inlineStr">
        <is>
          <t>12</t>
        </is>
      </c>
      <c r="K280" s="4" t="inlineStr">
        <is>
          <t>39/5004</t>
        </is>
      </c>
      <c r="L280" s="4" t="inlineStr">
        <is>
          <t>Yes</t>
        </is>
      </c>
      <c r="M280" s="4" t="inlineStr">
        <is>
          <t>Go ahead, get sweaty. The Swiftly collection is all about high-performing fabric that seamlessly adapts to you and your workout.</t>
        </is>
      </c>
      <c r="N280" s="4" t="inlineStr">
        <is>
          <t>Swiftly-Tech-RB-2-Race</t>
        </is>
      </c>
      <c r="O280" s="4" t="inlineStr"/>
    </row>
    <row r="281" ht="80" customHeight="1">
      <c r="A281" s="7">
        <f>IMAGE("https://images.lululemon.com/is/image/lululemon/LW1EM6S_4780_1?wid=320&amp;op_usm=0.8",1)</f>
        <v/>
      </c>
      <c r="B281" s="7" t="inlineStr">
        <is>
          <t>Swiftly Tech Racerback Tank Top 2.0 *Waist Length</t>
        </is>
      </c>
      <c r="C281" s="7" t="inlineStr">
        <is>
          <t>157689724</t>
        </is>
      </c>
      <c r="D281" s="7" t="inlineStr">
        <is>
          <t>157689724-riverside/riverside</t>
        </is>
      </c>
      <c r="E281" s="7" t="inlineStr">
        <is>
          <t>Swiftly Tech Scoopneck Tank 2.0 *Race BLK/BLK 2</t>
        </is>
      </c>
      <c r="F281" s="7" t="inlineStr">
        <is>
          <t>$58.00</t>
        </is>
      </c>
      <c r="G281" s="7" t="inlineStr">
        <is>
          <t>$29.00</t>
        </is>
      </c>
      <c r="H281" s="7" t="inlineStr">
        <is>
          <t>Riverside/Riverside</t>
        </is>
      </c>
      <c r="I281" s="7">
        <f>IMAGE("https://images.lululemon.com/is/image/lululemon/73074",1)</f>
        <v/>
      </c>
      <c r="J281" s="7" t="inlineStr">
        <is>
          <t>2</t>
        </is>
      </c>
      <c r="K281" s="7" t="inlineStr">
        <is>
          <t>34/5004</t>
        </is>
      </c>
      <c r="L281" s="7" t="inlineStr">
        <is>
          <t>Yes</t>
        </is>
      </c>
      <c r="M281" s="7" t="inlineStr">
        <is>
          <t>Go ahead, get sweaty. The Swiftly collection is all about high-performing fabric that seamlessly adapts to you and your workout.</t>
        </is>
      </c>
      <c r="N281" s="7" t="inlineStr">
        <is>
          <t>Swiftly-Tech-RB-2-Race</t>
        </is>
      </c>
      <c r="O281" s="7" t="inlineStr"/>
    </row>
    <row r="282" ht="80" customHeight="1">
      <c r="A282" s="4">
        <f>IMAGE("https://images.lululemon.com/is/image/lululemon/LW1EM6S_4780_1?wid=320&amp;op_usm=0.8",1)</f>
        <v/>
      </c>
      <c r="B282" s="4" t="inlineStr">
        <is>
          <t>Swiftly Tech Racerback Tank Top 2.0 *Waist Length</t>
        </is>
      </c>
      <c r="C282" s="4" t="inlineStr">
        <is>
          <t>157689729</t>
        </is>
      </c>
      <c r="D282" s="4" t="inlineStr">
        <is>
          <t>157689729-riverside/riverside</t>
        </is>
      </c>
      <c r="E282" s="4" t="inlineStr">
        <is>
          <t>Swiftly Tech Scoopneck Tank 2.0 *Race BLK/BLK 2</t>
        </is>
      </c>
      <c r="F282" s="4" t="inlineStr">
        <is>
          <t>$58.00</t>
        </is>
      </c>
      <c r="G282" s="4" t="inlineStr">
        <is>
          <t>$29.00</t>
        </is>
      </c>
      <c r="H282" s="4" t="inlineStr">
        <is>
          <t>Riverside/Riverside</t>
        </is>
      </c>
      <c r="I282" s="4">
        <f>IMAGE("https://images.lululemon.com/is/image/lululemon/73074",1)</f>
        <v/>
      </c>
      <c r="J282" s="4" t="inlineStr">
        <is>
          <t>4</t>
        </is>
      </c>
      <c r="K282" s="4" t="inlineStr">
        <is>
          <t>92/5004</t>
        </is>
      </c>
      <c r="L282" s="4" t="inlineStr">
        <is>
          <t>Yes</t>
        </is>
      </c>
      <c r="M282" s="4" t="inlineStr">
        <is>
          <t>Go ahead, get sweaty. The Swiftly collection is all about high-performing fabric that seamlessly adapts to you and your workout.</t>
        </is>
      </c>
      <c r="N282" s="4" t="inlineStr">
        <is>
          <t>Swiftly-Tech-RB-2-Race</t>
        </is>
      </c>
      <c r="O282" s="4" t="inlineStr"/>
    </row>
    <row r="283" ht="80" customHeight="1">
      <c r="A283" s="7">
        <f>IMAGE("https://images.lululemon.com/is/image/lululemon/LW1EM6S_4780_1?wid=320&amp;op_usm=0.8",1)</f>
        <v/>
      </c>
      <c r="B283" s="7" t="inlineStr">
        <is>
          <t>Swiftly Tech Racerback Tank Top 2.0 *Waist Length</t>
        </is>
      </c>
      <c r="C283" s="7" t="inlineStr">
        <is>
          <t>157689731</t>
        </is>
      </c>
      <c r="D283" s="7" t="inlineStr">
        <is>
          <t>157689731-riverside/riverside</t>
        </is>
      </c>
      <c r="E283" s="7" t="inlineStr">
        <is>
          <t>Swiftly Tech Scoopneck Tank 2.0 *Race BLK/BLK 2</t>
        </is>
      </c>
      <c r="F283" s="7" t="inlineStr">
        <is>
          <t>$58.00</t>
        </is>
      </c>
      <c r="G283" s="7" t="inlineStr">
        <is>
          <t>$29.00</t>
        </is>
      </c>
      <c r="H283" s="7" t="inlineStr">
        <is>
          <t>Riverside/Riverside</t>
        </is>
      </c>
      <c r="I283" s="7">
        <f>IMAGE("https://images.lululemon.com/is/image/lululemon/73074",1)</f>
        <v/>
      </c>
      <c r="J283" s="7" t="inlineStr">
        <is>
          <t>6</t>
        </is>
      </c>
      <c r="K283" s="7" t="inlineStr">
        <is>
          <t>110/5004</t>
        </is>
      </c>
      <c r="L283" s="7" t="inlineStr">
        <is>
          <t>Yes</t>
        </is>
      </c>
      <c r="M283" s="7" t="inlineStr">
        <is>
          <t>Go ahead, get sweaty. The Swiftly collection is all about high-performing fabric that seamlessly adapts to you and your workout.</t>
        </is>
      </c>
      <c r="N283" s="7" t="inlineStr">
        <is>
          <t>Swiftly-Tech-RB-2-Race</t>
        </is>
      </c>
      <c r="O283" s="7" t="inlineStr"/>
    </row>
    <row r="284" ht="80" customHeight="1">
      <c r="A284" s="4">
        <f>IMAGE("https://images.lululemon.com/is/image/lululemon/LW1EM6S_4780_1?wid=320&amp;op_usm=0.8",1)</f>
        <v/>
      </c>
      <c r="B284" s="4" t="inlineStr">
        <is>
          <t>Swiftly Tech Racerback Tank Top 2.0 *Waist Length</t>
        </is>
      </c>
      <c r="C284" s="4" t="inlineStr">
        <is>
          <t>157689734</t>
        </is>
      </c>
      <c r="D284" s="4" t="inlineStr">
        <is>
          <t>157689734-riverside/riverside</t>
        </is>
      </c>
      <c r="E284" s="4" t="inlineStr">
        <is>
          <t>Swiftly Tech Scoopneck Tank 2.0 *Race BLK/BLK 2</t>
        </is>
      </c>
      <c r="F284" s="4" t="inlineStr">
        <is>
          <t>$58.00</t>
        </is>
      </c>
      <c r="G284" s="4" t="inlineStr">
        <is>
          <t>$29.00</t>
        </is>
      </c>
      <c r="H284" s="4" t="inlineStr">
        <is>
          <t>Riverside/Riverside</t>
        </is>
      </c>
      <c r="I284" s="4">
        <f>IMAGE("https://images.lululemon.com/is/image/lululemon/73074",1)</f>
        <v/>
      </c>
      <c r="J284" s="4" t="inlineStr">
        <is>
          <t>8</t>
        </is>
      </c>
      <c r="K284" s="4" t="inlineStr">
        <is>
          <t>82/5004</t>
        </is>
      </c>
      <c r="L284" s="4" t="inlineStr">
        <is>
          <t>Yes</t>
        </is>
      </c>
      <c r="M284" s="4" t="inlineStr">
        <is>
          <t>Go ahead, get sweaty. The Swiftly collection is all about high-performing fabric that seamlessly adapts to you and your workout.</t>
        </is>
      </c>
      <c r="N284" s="4" t="inlineStr">
        <is>
          <t>Swiftly-Tech-RB-2-Race</t>
        </is>
      </c>
      <c r="O284" s="4" t="inlineStr"/>
    </row>
    <row r="285" ht="80" customHeight="1">
      <c r="A285" s="7">
        <f>IMAGE("https://images.lululemon.com/is/image/lululemon/LW1EM6S_4780_1?wid=320&amp;op_usm=0.8",1)</f>
        <v/>
      </c>
      <c r="B285" s="7" t="inlineStr">
        <is>
          <t>Swiftly Tech Racerback Tank Top 2.0 *Waist Length</t>
        </is>
      </c>
      <c r="C285" s="7" t="inlineStr">
        <is>
          <t>157689711</t>
        </is>
      </c>
      <c r="D285" s="7" t="inlineStr">
        <is>
          <t>157689711-riverside/riverside</t>
        </is>
      </c>
      <c r="E285" s="7" t="inlineStr">
        <is>
          <t>Swiftly Tech Scoopneck Tank 2.0 *Race BLK/BLK 2</t>
        </is>
      </c>
      <c r="F285" s="7" t="inlineStr">
        <is>
          <t>$58.00</t>
        </is>
      </c>
      <c r="G285" s="7" t="inlineStr">
        <is>
          <t>$29.00</t>
        </is>
      </c>
      <c r="H285" s="7" t="inlineStr">
        <is>
          <t>Riverside/Riverside</t>
        </is>
      </c>
      <c r="I285" s="7">
        <f>IMAGE("https://images.lululemon.com/is/image/lululemon/73074",1)</f>
        <v/>
      </c>
      <c r="J285" s="7" t="inlineStr">
        <is>
          <t>10</t>
        </is>
      </c>
      <c r="K285" s="7" t="inlineStr">
        <is>
          <t>45/5004</t>
        </is>
      </c>
      <c r="L285" s="7" t="inlineStr">
        <is>
          <t>Yes</t>
        </is>
      </c>
      <c r="M285" s="7" t="inlineStr">
        <is>
          <t>Go ahead, get sweaty. The Swiftly collection is all about high-performing fabric that seamlessly adapts to you and your workout.</t>
        </is>
      </c>
      <c r="N285" s="7" t="inlineStr">
        <is>
          <t>Swiftly-Tech-RB-2-Race</t>
        </is>
      </c>
      <c r="O285" s="7" t="inlineStr"/>
    </row>
    <row r="286" ht="80" customHeight="1">
      <c r="A286" s="4">
        <f>IMAGE("https://images.lululemon.com/is/image/lululemon/LW1EM6S_4780_1?wid=320&amp;op_usm=0.8",1)</f>
        <v/>
      </c>
      <c r="B286" s="4" t="inlineStr">
        <is>
          <t>Swiftly Tech Racerback Tank Top 2.0 *Waist Length</t>
        </is>
      </c>
      <c r="C286" s="4" t="inlineStr">
        <is>
          <t>157689712</t>
        </is>
      </c>
      <c r="D286" s="4" t="inlineStr">
        <is>
          <t>157689712-riverside/riverside</t>
        </is>
      </c>
      <c r="E286" s="4" t="inlineStr">
        <is>
          <t>Swiftly Tech Scoopneck Tank 2.0 *Race BLK/BLK 2</t>
        </is>
      </c>
      <c r="F286" s="4" t="inlineStr">
        <is>
          <t>$58.00</t>
        </is>
      </c>
      <c r="G286" s="4" t="inlineStr">
        <is>
          <t>$29.00</t>
        </is>
      </c>
      <c r="H286" s="4" t="inlineStr">
        <is>
          <t>Riverside/Riverside</t>
        </is>
      </c>
      <c r="I286" s="4">
        <f>IMAGE("https://images.lululemon.com/is/image/lululemon/73074",1)</f>
        <v/>
      </c>
      <c r="J286" s="4" t="inlineStr">
        <is>
          <t>12</t>
        </is>
      </c>
      <c r="K286" s="4" t="inlineStr">
        <is>
          <t>26/5004</t>
        </is>
      </c>
      <c r="L286" s="4" t="inlineStr">
        <is>
          <t>Yes</t>
        </is>
      </c>
      <c r="M286" s="4" t="inlineStr">
        <is>
          <t>Go ahead, get sweaty. The Swiftly collection is all about high-performing fabric that seamlessly adapts to you and your workout.</t>
        </is>
      </c>
      <c r="N286" s="4" t="inlineStr">
        <is>
          <t>Swiftly-Tech-RB-2-Race</t>
        </is>
      </c>
      <c r="O286" s="4" t="inlineStr"/>
    </row>
    <row r="287" ht="80" customHeight="1">
      <c r="A287" s="7">
        <f>IMAGE("https://images.lululemon.com/is/image/lululemon/LW1EM6S_4780_1?wid=320&amp;op_usm=0.8",1)</f>
        <v/>
      </c>
      <c r="B287" s="7" t="inlineStr">
        <is>
          <t>Swiftly Tech Racerback Tank Top 2.0 *Waist Length</t>
        </is>
      </c>
      <c r="C287" s="7" t="inlineStr">
        <is>
          <t>144075062</t>
        </is>
      </c>
      <c r="D287" s="7" t="inlineStr">
        <is>
          <t>144075062-white/white</t>
        </is>
      </c>
      <c r="E287" s="7" t="inlineStr">
        <is>
          <t>Swiftly Tech Scoopneck Tank 2.0 *Race BLK/BLK 2</t>
        </is>
      </c>
      <c r="F287" s="7" t="inlineStr">
        <is>
          <t>$58.00</t>
        </is>
      </c>
      <c r="G287" s="7" t="inlineStr">
        <is>
          <t>$29.00</t>
        </is>
      </c>
      <c r="H287" s="7" t="inlineStr">
        <is>
          <t>White/White</t>
        </is>
      </c>
      <c r="I287" s="7">
        <f>IMAGE("https://images.lululemon.com/is/image/lululemon/12826",1)</f>
        <v/>
      </c>
      <c r="J287" s="7" t="inlineStr">
        <is>
          <t>10</t>
        </is>
      </c>
      <c r="K287" s="7" t="inlineStr">
        <is>
          <t>28/5004</t>
        </is>
      </c>
      <c r="L287" s="7" t="inlineStr">
        <is>
          <t>Yes</t>
        </is>
      </c>
      <c r="M287" s="7" t="inlineStr">
        <is>
          <t>Go ahead, get sweaty. The Swiftly collection is all about high-performing fabric that seamlessly adapts to you and your workout.</t>
        </is>
      </c>
      <c r="N287" s="7" t="inlineStr">
        <is>
          <t>Swiftly-Tech-RB-2-Race</t>
        </is>
      </c>
      <c r="O287" s="7" t="inlineStr"/>
    </row>
    <row r="288" ht="80" customHeight="1">
      <c r="A288" s="4">
        <f>IMAGE("https://images.lululemon.com/is/image/lululemon/LW1EM6S_4780_1?wid=320&amp;op_usm=0.8",1)</f>
        <v/>
      </c>
      <c r="B288" s="4" t="inlineStr">
        <is>
          <t>Swiftly Tech Racerback Tank Top 2.0 *Waist Length</t>
        </is>
      </c>
      <c r="C288" s="4" t="inlineStr">
        <is>
          <t>144075065</t>
        </is>
      </c>
      <c r="D288" s="4" t="inlineStr">
        <is>
          <t>144075065-white/white</t>
        </is>
      </c>
      <c r="E288" s="4" t="inlineStr">
        <is>
          <t>Swiftly Tech Scoopneck Tank 2.0 *Race BLK/BLK 2</t>
        </is>
      </c>
      <c r="F288" s="4" t="inlineStr">
        <is>
          <t>$58.00</t>
        </is>
      </c>
      <c r="G288" s="4" t="inlineStr">
        <is>
          <t>$29.00</t>
        </is>
      </c>
      <c r="H288" s="4" t="inlineStr">
        <is>
          <t>White/White</t>
        </is>
      </c>
      <c r="I288" s="4">
        <f>IMAGE("https://images.lululemon.com/is/image/lululemon/12826",1)</f>
        <v/>
      </c>
      <c r="J288" s="4" t="inlineStr">
        <is>
          <t>12</t>
        </is>
      </c>
      <c r="K288" s="4" t="inlineStr">
        <is>
          <t>39/5004</t>
        </is>
      </c>
      <c r="L288" s="4" t="inlineStr">
        <is>
          <t>Yes</t>
        </is>
      </c>
      <c r="M288" s="4" t="inlineStr">
        <is>
          <t>Go ahead, get sweaty. The Swiftly collection is all about high-performing fabric that seamlessly adapts to you and your workout.</t>
        </is>
      </c>
      <c r="N288" s="4" t="inlineStr">
        <is>
          <t>Swiftly-Tech-RB-2-Race</t>
        </is>
      </c>
      <c r="O288" s="4" t="inlineStr"/>
    </row>
    <row r="289" ht="80" customHeight="1">
      <c r="A289" s="7">
        <f>IMAGE("https://images.lululemon.com/is/image/lululemon/LW1EM6S_4780_1?wid=320&amp;op_usm=0.8",1)</f>
        <v/>
      </c>
      <c r="B289" s="7" t="inlineStr">
        <is>
          <t>Swiftly Tech Racerback Tank Top 2.0 *Waist Length</t>
        </is>
      </c>
      <c r="C289" s="7" t="inlineStr">
        <is>
          <t>144075066</t>
        </is>
      </c>
      <c r="D289" s="7" t="inlineStr">
        <is>
          <t>144075066-white/white</t>
        </is>
      </c>
      <c r="E289" s="7" t="inlineStr">
        <is>
          <t>Swiftly Tech Scoopneck Tank 2.0 *Race BLK/BLK 2</t>
        </is>
      </c>
      <c r="F289" s="7" t="inlineStr">
        <is>
          <t>$58.00</t>
        </is>
      </c>
      <c r="G289" s="7" t="inlineStr">
        <is>
          <t>$29.00</t>
        </is>
      </c>
      <c r="H289" s="7" t="inlineStr">
        <is>
          <t>White/White</t>
        </is>
      </c>
      <c r="I289" s="7">
        <f>IMAGE("https://images.lululemon.com/is/image/lululemon/12826",1)</f>
        <v/>
      </c>
      <c r="J289" s="7" t="inlineStr">
        <is>
          <t>14</t>
        </is>
      </c>
      <c r="K289" s="7" t="inlineStr">
        <is>
          <t>6/5004</t>
        </is>
      </c>
      <c r="L289" s="7" t="inlineStr">
        <is>
          <t>Yes</t>
        </is>
      </c>
      <c r="M289" s="7" t="inlineStr">
        <is>
          <t>Go ahead, get sweaty. The Swiftly collection is all about high-performing fabric that seamlessly adapts to you and your workout.</t>
        </is>
      </c>
      <c r="N289" s="7" t="inlineStr">
        <is>
          <t>Swiftly-Tech-RB-2-Race</t>
        </is>
      </c>
      <c r="O289" s="7" t="inlineStr"/>
    </row>
    <row r="290" ht="80" customHeight="1">
      <c r="A290" s="6">
        <f>IMAGE("https://images.lululemon.com/is/image/lululemon/LW1EM6S_4780_1?wid=320&amp;op_usm=0.8",1)</f>
        <v/>
      </c>
      <c r="B290" s="6" t="inlineStr">
        <is>
          <t>Swiftly Tech Racerback Tank Top 2.0 *Waist Length</t>
        </is>
      </c>
      <c r="C290" s="6" t="inlineStr">
        <is>
          <t>144075068</t>
        </is>
      </c>
      <c r="D290" s="6" t="inlineStr">
        <is>
          <t>144075068-white/white</t>
        </is>
      </c>
      <c r="E290" s="6" t="inlineStr">
        <is>
          <t>Swiftly Tech Scoopneck Tank 2.0 *Race BLK/BLK 2</t>
        </is>
      </c>
      <c r="F290" s="6" t="inlineStr">
        <is>
          <t>$58.00</t>
        </is>
      </c>
      <c r="G290" s="6" t="inlineStr">
        <is>
          <t>$29.00</t>
        </is>
      </c>
      <c r="H290" s="6" t="inlineStr">
        <is>
          <t>White/White</t>
        </is>
      </c>
      <c r="I290" s="6">
        <f>IMAGE("https://images.lululemon.com/is/image/lululemon/12826",1)</f>
        <v/>
      </c>
      <c r="J290" s="6" t="inlineStr">
        <is>
          <t>16</t>
        </is>
      </c>
      <c r="K290" s="6" t="inlineStr">
        <is>
          <t>3/5004</t>
        </is>
      </c>
      <c r="L290" s="6" t="inlineStr">
        <is>
          <t>Yes</t>
        </is>
      </c>
      <c r="M290" s="6" t="inlineStr">
        <is>
          <t>Go ahead, get sweaty. The Swiftly collection is all about high-performing fabric that seamlessly adapts to you and your workout.</t>
        </is>
      </c>
      <c r="N290" s="6" t="inlineStr">
        <is>
          <t>Swiftly-Tech-RB-2-Race</t>
        </is>
      </c>
      <c r="O290" s="6" t="inlineStr"/>
    </row>
    <row r="291">
      <c r="A291" s="5" t="n"/>
      <c r="B291" s="5" t="inlineStr">
        <is>
          <t>Adapted State Thermal High-Rise Jogger</t>
        </is>
      </c>
      <c r="C291" s="5" t="inlineStr">
        <is>
          <t>158118940</t>
        </is>
      </c>
      <c r="D291" s="5" t="inlineStr"/>
      <c r="E291" s="5" t="inlineStr">
        <is>
          <t>Adapted State Thermal HR Jogger BLK 2</t>
        </is>
      </c>
      <c r="F291" s="5" t="inlineStr">
        <is>
          <t>$148.00</t>
        </is>
      </c>
      <c r="G291" s="5" t="inlineStr">
        <is>
          <t>$74.00</t>
        </is>
      </c>
      <c r="H291" s="5" t="inlineStr">
        <is>
          <t>BLK</t>
        </is>
      </c>
      <c r="I291" s="5" t="n"/>
      <c r="J291" s="5" t="inlineStr"/>
      <c r="K291" s="5" t="inlineStr">
        <is>
          <t>0/0</t>
        </is>
      </c>
      <c r="L291" s="5" t="inlineStr">
        <is>
          <t>No</t>
        </is>
      </c>
      <c r="M291" s="5" t="inlineStr">
        <is>
          <t>Think fast, stay warm. Made from technical thermal fabric, this version of our Adapted State jogger makes quick transitions cozier in cold weather.</t>
        </is>
      </c>
      <c r="N291" s="5" t="inlineStr">
        <is>
          <t>Adapted-State-Thermal-High-Rise-Jogger</t>
        </is>
      </c>
      <c r="O291" s="5" t="inlineStr">
        <is>
          <t>Athletic Pants</t>
        </is>
      </c>
    </row>
    <row r="292" ht="80" customHeight="1">
      <c r="A292" s="4">
        <f>IMAGE("https://images.lululemon.com/is/image/lululemon/LW4CA7S_0001_1?wid=320&amp;op_usm=0.8",1)</f>
        <v/>
      </c>
      <c r="B292" s="4" t="inlineStr">
        <is>
          <t>Women's Down for It All Jacket</t>
        </is>
      </c>
      <c r="C292" s="4" t="inlineStr">
        <is>
          <t>147175856</t>
        </is>
      </c>
      <c r="D292" s="4" t="inlineStr">
        <is>
          <t>147175856-black</t>
        </is>
      </c>
      <c r="E292" s="4" t="inlineStr">
        <is>
          <t>Down for It All Jacket BLK 2</t>
        </is>
      </c>
      <c r="F292" s="4" t="inlineStr">
        <is>
          <t>$228.00</t>
        </is>
      </c>
      <c r="G292" s="4" t="inlineStr">
        <is>
          <t>$114.00</t>
        </is>
      </c>
      <c r="H292" s="4" t="inlineStr">
        <is>
          <t>Black</t>
        </is>
      </c>
      <c r="I292" s="4">
        <f>IMAGE("https://images.lululemon.com/is/image/lululemon/0001",1)</f>
        <v/>
      </c>
      <c r="J292" s="4" t="inlineStr">
        <is>
          <t>2</t>
        </is>
      </c>
      <c r="K292" s="4" t="inlineStr">
        <is>
          <t>32/682</t>
        </is>
      </c>
      <c r="L292" s="4" t="inlineStr">
        <is>
          <t>Yes</t>
        </is>
      </c>
      <c r="M292" s="4" t="inlineStr">
        <is>
          <t>This jacket is fully loaded for running in cold weather. Zoned insulation holds warmth where you need it and stretchy fleece keeps you moving freely.</t>
        </is>
      </c>
      <c r="N292" s="4" t="inlineStr">
        <is>
          <t>Down-For-It-All-Hooded-Jacket</t>
        </is>
      </c>
      <c r="O292" s="4" t="inlineStr">
        <is>
          <t>Athletic Jackets, Puffer Jackets</t>
        </is>
      </c>
    </row>
    <row r="293" ht="80" customHeight="1">
      <c r="A293" s="7">
        <f>IMAGE("https://images.lululemon.com/is/image/lululemon/LW4CA7S_0001_1?wid=320&amp;op_usm=0.8",1)</f>
        <v/>
      </c>
      <c r="B293" s="7" t="inlineStr">
        <is>
          <t>Women's Down for It All Jacket</t>
        </is>
      </c>
      <c r="C293" s="7" t="inlineStr">
        <is>
          <t>147175867</t>
        </is>
      </c>
      <c r="D293" s="7" t="inlineStr">
        <is>
          <t>147175867-black</t>
        </is>
      </c>
      <c r="E293" s="7" t="inlineStr">
        <is>
          <t>Down for It All Jacket BLK 2</t>
        </is>
      </c>
      <c r="F293" s="7" t="inlineStr">
        <is>
          <t>$228.00</t>
        </is>
      </c>
      <c r="G293" s="7" t="inlineStr">
        <is>
          <t>$114.00</t>
        </is>
      </c>
      <c r="H293" s="7" t="inlineStr">
        <is>
          <t>Black</t>
        </is>
      </c>
      <c r="I293" s="7">
        <f>IMAGE("https://images.lululemon.com/is/image/lululemon/0001",1)</f>
        <v/>
      </c>
      <c r="J293" s="7" t="inlineStr">
        <is>
          <t>4</t>
        </is>
      </c>
      <c r="K293" s="7" t="inlineStr">
        <is>
          <t>72/682</t>
        </is>
      </c>
      <c r="L293" s="7" t="inlineStr">
        <is>
          <t>Yes</t>
        </is>
      </c>
      <c r="M293" s="7" t="inlineStr">
        <is>
          <t>This jacket is fully loaded for running in cold weather. Zoned insulation holds warmth where you need it and stretchy fleece keeps you moving freely.</t>
        </is>
      </c>
      <c r="N293" s="7" t="inlineStr">
        <is>
          <t>Down-For-It-All-Hooded-Jacket</t>
        </is>
      </c>
      <c r="O293" s="7" t="inlineStr">
        <is>
          <t>Athletic Jackets, Puffer Jackets</t>
        </is>
      </c>
    </row>
    <row r="294" ht="80" customHeight="1">
      <c r="A294" s="4">
        <f>IMAGE("https://images.lululemon.com/is/image/lululemon/LW4CA7S_0001_1?wid=320&amp;op_usm=0.8",1)</f>
        <v/>
      </c>
      <c r="B294" s="4" t="inlineStr">
        <is>
          <t>Women's Down for It All Jacket</t>
        </is>
      </c>
      <c r="C294" s="4" t="inlineStr">
        <is>
          <t>147175869</t>
        </is>
      </c>
      <c r="D294" s="4" t="inlineStr">
        <is>
          <t>147175869-black</t>
        </is>
      </c>
      <c r="E294" s="4" t="inlineStr">
        <is>
          <t>Down for It All Jacket BLK 2</t>
        </is>
      </c>
      <c r="F294" s="4" t="inlineStr">
        <is>
          <t>$228.00</t>
        </is>
      </c>
      <c r="G294" s="4" t="inlineStr">
        <is>
          <t>$114.00</t>
        </is>
      </c>
      <c r="H294" s="4" t="inlineStr">
        <is>
          <t>Black</t>
        </is>
      </c>
      <c r="I294" s="4">
        <f>IMAGE("https://images.lululemon.com/is/image/lululemon/0001",1)</f>
        <v/>
      </c>
      <c r="J294" s="4" t="inlineStr">
        <is>
          <t>6</t>
        </is>
      </c>
      <c r="K294" s="4" t="inlineStr">
        <is>
          <t>100/682</t>
        </is>
      </c>
      <c r="L294" s="4" t="inlineStr">
        <is>
          <t>Yes</t>
        </is>
      </c>
      <c r="M294" s="4" t="inlineStr">
        <is>
          <t>This jacket is fully loaded for running in cold weather. Zoned insulation holds warmth where you need it and stretchy fleece keeps you moving freely.</t>
        </is>
      </c>
      <c r="N294" s="4" t="inlineStr">
        <is>
          <t>Down-For-It-All-Hooded-Jacket</t>
        </is>
      </c>
      <c r="O294" s="4" t="inlineStr">
        <is>
          <t>Athletic Jackets, Puffer Jackets</t>
        </is>
      </c>
    </row>
    <row r="295" ht="80" customHeight="1">
      <c r="A295" s="7">
        <f>IMAGE("https://images.lululemon.com/is/image/lululemon/LW4CA7S_0001_1?wid=320&amp;op_usm=0.8",1)</f>
        <v/>
      </c>
      <c r="B295" s="7" t="inlineStr">
        <is>
          <t>Women's Down for It All Jacket</t>
        </is>
      </c>
      <c r="C295" s="7" t="inlineStr">
        <is>
          <t>147175872</t>
        </is>
      </c>
      <c r="D295" s="7" t="inlineStr">
        <is>
          <t>147175872-black</t>
        </is>
      </c>
      <c r="E295" s="7" t="inlineStr">
        <is>
          <t>Down for It All Jacket BLK 2</t>
        </is>
      </c>
      <c r="F295" s="7" t="inlineStr">
        <is>
          <t>$228.00</t>
        </is>
      </c>
      <c r="G295" s="7" t="inlineStr">
        <is>
          <t>$114.00</t>
        </is>
      </c>
      <c r="H295" s="7" t="inlineStr">
        <is>
          <t>Black</t>
        </is>
      </c>
      <c r="I295" s="7">
        <f>IMAGE("https://images.lululemon.com/is/image/lululemon/0001",1)</f>
        <v/>
      </c>
      <c r="J295" s="7" t="inlineStr">
        <is>
          <t>8</t>
        </is>
      </c>
      <c r="K295" s="7" t="inlineStr">
        <is>
          <t>94/682</t>
        </is>
      </c>
      <c r="L295" s="7" t="inlineStr">
        <is>
          <t>Yes</t>
        </is>
      </c>
      <c r="M295" s="7" t="inlineStr">
        <is>
          <t>This jacket is fully loaded for running in cold weather. Zoned insulation holds warmth where you need it and stretchy fleece keeps you moving freely.</t>
        </is>
      </c>
      <c r="N295" s="7" t="inlineStr">
        <is>
          <t>Down-For-It-All-Hooded-Jacket</t>
        </is>
      </c>
      <c r="O295" s="7" t="inlineStr">
        <is>
          <t>Athletic Jackets, Puffer Jackets</t>
        </is>
      </c>
    </row>
    <row r="296" ht="80" customHeight="1">
      <c r="A296" s="4">
        <f>IMAGE("https://images.lululemon.com/is/image/lululemon/LW4CA7S_0001_1?wid=320&amp;op_usm=0.8",1)</f>
        <v/>
      </c>
      <c r="B296" s="4" t="inlineStr">
        <is>
          <t>Women's Down for It All Jacket</t>
        </is>
      </c>
      <c r="C296" s="4" t="inlineStr">
        <is>
          <t>147175846</t>
        </is>
      </c>
      <c r="D296" s="4" t="inlineStr">
        <is>
          <t>147175846-black</t>
        </is>
      </c>
      <c r="E296" s="4" t="inlineStr">
        <is>
          <t>Down for It All Jacket BLK 2</t>
        </is>
      </c>
      <c r="F296" s="4" t="inlineStr">
        <is>
          <t>$228.00</t>
        </is>
      </c>
      <c r="G296" s="4" t="inlineStr">
        <is>
          <t>$114.00</t>
        </is>
      </c>
      <c r="H296" s="4" t="inlineStr">
        <is>
          <t>Black</t>
        </is>
      </c>
      <c r="I296" s="4">
        <f>IMAGE("https://images.lululemon.com/is/image/lululemon/0001",1)</f>
        <v/>
      </c>
      <c r="J296" s="4" t="inlineStr">
        <is>
          <t>10</t>
        </is>
      </c>
      <c r="K296" s="4" t="inlineStr">
        <is>
          <t>80/682</t>
        </is>
      </c>
      <c r="L296" s="4" t="inlineStr">
        <is>
          <t>Yes</t>
        </is>
      </c>
      <c r="M296" s="4" t="inlineStr">
        <is>
          <t>This jacket is fully loaded for running in cold weather. Zoned insulation holds warmth where you need it and stretchy fleece keeps you moving freely.</t>
        </is>
      </c>
      <c r="N296" s="4" t="inlineStr">
        <is>
          <t>Down-For-It-All-Hooded-Jacket</t>
        </is>
      </c>
      <c r="O296" s="4" t="inlineStr">
        <is>
          <t>Athletic Jackets, Puffer Jackets</t>
        </is>
      </c>
    </row>
    <row r="297" ht="80" customHeight="1">
      <c r="A297" s="7">
        <f>IMAGE("https://images.lululemon.com/is/image/lululemon/LW4CA7S_0001_1?wid=320&amp;op_usm=0.8",1)</f>
        <v/>
      </c>
      <c r="B297" s="7" t="inlineStr">
        <is>
          <t>Women's Down for It All Jacket</t>
        </is>
      </c>
      <c r="C297" s="7" t="inlineStr">
        <is>
          <t>147175849</t>
        </is>
      </c>
      <c r="D297" s="7" t="inlineStr">
        <is>
          <t>147175849-black</t>
        </is>
      </c>
      <c r="E297" s="7" t="inlineStr">
        <is>
          <t>Down for It All Jacket BLK 2</t>
        </is>
      </c>
      <c r="F297" s="7" t="inlineStr">
        <is>
          <t>$228.00</t>
        </is>
      </c>
      <c r="G297" s="7" t="inlineStr">
        <is>
          <t>$114.00</t>
        </is>
      </c>
      <c r="H297" s="7" t="inlineStr">
        <is>
          <t>Black</t>
        </is>
      </c>
      <c r="I297" s="7">
        <f>IMAGE("https://images.lululemon.com/is/image/lululemon/0001",1)</f>
        <v/>
      </c>
      <c r="J297" s="7" t="inlineStr">
        <is>
          <t>12</t>
        </is>
      </c>
      <c r="K297" s="7" t="inlineStr">
        <is>
          <t>41/682</t>
        </is>
      </c>
      <c r="L297" s="7" t="inlineStr">
        <is>
          <t>Yes</t>
        </is>
      </c>
      <c r="M297" s="7" t="inlineStr">
        <is>
          <t>This jacket is fully loaded for running in cold weather. Zoned insulation holds warmth where you need it and stretchy fleece keeps you moving freely.</t>
        </is>
      </c>
      <c r="N297" s="7" t="inlineStr">
        <is>
          <t>Down-For-It-All-Hooded-Jacket</t>
        </is>
      </c>
      <c r="O297" s="7" t="inlineStr">
        <is>
          <t>Athletic Jackets, Puffer Jackets</t>
        </is>
      </c>
    </row>
    <row r="298" ht="80" customHeight="1">
      <c r="A298" s="4">
        <f>IMAGE("https://images.lululemon.com/is/image/lululemon/LW4CA7S_0001_1?wid=320&amp;op_usm=0.8",1)</f>
        <v/>
      </c>
      <c r="B298" s="4" t="inlineStr">
        <is>
          <t>Women's Down for It All Jacket</t>
        </is>
      </c>
      <c r="C298" s="4" t="inlineStr">
        <is>
          <t>147175851</t>
        </is>
      </c>
      <c r="D298" s="4" t="inlineStr">
        <is>
          <t>147175851-black</t>
        </is>
      </c>
      <c r="E298" s="4" t="inlineStr">
        <is>
          <t>Down for It All Jacket BLK 2</t>
        </is>
      </c>
      <c r="F298" s="4" t="inlineStr">
        <is>
          <t>$228.00</t>
        </is>
      </c>
      <c r="G298" s="4" t="inlineStr">
        <is>
          <t>$114.00</t>
        </is>
      </c>
      <c r="H298" s="4" t="inlineStr">
        <is>
          <t>Black</t>
        </is>
      </c>
      <c r="I298" s="4">
        <f>IMAGE("https://images.lululemon.com/is/image/lululemon/0001",1)</f>
        <v/>
      </c>
      <c r="J298" s="4" t="inlineStr">
        <is>
          <t>14</t>
        </is>
      </c>
      <c r="K298" s="4" t="inlineStr">
        <is>
          <t>15/682</t>
        </is>
      </c>
      <c r="L298" s="4" t="inlineStr">
        <is>
          <t>Yes</t>
        </is>
      </c>
      <c r="M298" s="4" t="inlineStr">
        <is>
          <t>This jacket is fully loaded for running in cold weather. Zoned insulation holds warmth where you need it and stretchy fleece keeps you moving freely.</t>
        </is>
      </c>
      <c r="N298" s="4" t="inlineStr">
        <is>
          <t>Down-For-It-All-Hooded-Jacket</t>
        </is>
      </c>
      <c r="O298" s="4" t="inlineStr">
        <is>
          <t>Athletic Jackets, Puffer Jackets</t>
        </is>
      </c>
    </row>
    <row r="299" ht="80" customHeight="1">
      <c r="A299" s="7">
        <f>IMAGE("https://images.lululemon.com/is/image/lululemon/LW4CA7S_0001_1?wid=320&amp;op_usm=0.8",1)</f>
        <v/>
      </c>
      <c r="B299" s="7" t="inlineStr">
        <is>
          <t>Women's Down for It All Jacket</t>
        </is>
      </c>
      <c r="C299" s="7" t="inlineStr">
        <is>
          <t>147175852</t>
        </is>
      </c>
      <c r="D299" s="7" t="inlineStr">
        <is>
          <t>147175852-black</t>
        </is>
      </c>
      <c r="E299" s="7" t="inlineStr">
        <is>
          <t>Down for It All Jacket BLK 2</t>
        </is>
      </c>
      <c r="F299" s="7" t="inlineStr">
        <is>
          <t>$228.00</t>
        </is>
      </c>
      <c r="G299" s="7" t="inlineStr">
        <is>
          <t>$114.00</t>
        </is>
      </c>
      <c r="H299" s="7" t="inlineStr">
        <is>
          <t>Black</t>
        </is>
      </c>
      <c r="I299" s="7">
        <f>IMAGE("https://images.lululemon.com/is/image/lululemon/0001",1)</f>
        <v/>
      </c>
      <c r="J299" s="7" t="inlineStr">
        <is>
          <t>16</t>
        </is>
      </c>
      <c r="K299" s="7" t="inlineStr">
        <is>
          <t>10/682</t>
        </is>
      </c>
      <c r="L299" s="7" t="inlineStr">
        <is>
          <t>Yes</t>
        </is>
      </c>
      <c r="M299" s="7" t="inlineStr">
        <is>
          <t>This jacket is fully loaded for running in cold weather. Zoned insulation holds warmth where you need it and stretchy fleece keeps you moving freely.</t>
        </is>
      </c>
      <c r="N299" s="7" t="inlineStr">
        <is>
          <t>Down-For-It-All-Hooded-Jacket</t>
        </is>
      </c>
      <c r="O299" s="7" t="inlineStr">
        <is>
          <t>Athletic Jackets, Puffer Jackets</t>
        </is>
      </c>
    </row>
    <row r="300" ht="80" customHeight="1">
      <c r="A300" s="4">
        <f>IMAGE("https://images.lululemon.com/is/image/lululemon/LW4CA7S_0001_1?wid=320&amp;op_usm=0.8",1)</f>
        <v/>
      </c>
      <c r="B300" s="4" t="inlineStr">
        <is>
          <t>Women's Down for It All Jacket</t>
        </is>
      </c>
      <c r="C300" s="4" t="inlineStr">
        <is>
          <t>147175854</t>
        </is>
      </c>
      <c r="D300" s="4" t="inlineStr">
        <is>
          <t>147175854-black</t>
        </is>
      </c>
      <c r="E300" s="4" t="inlineStr">
        <is>
          <t>Down for It All Jacket BLK 2</t>
        </is>
      </c>
      <c r="F300" s="4" t="inlineStr">
        <is>
          <t>$228.00</t>
        </is>
      </c>
      <c r="G300" s="4" t="inlineStr">
        <is>
          <t>$114.00</t>
        </is>
      </c>
      <c r="H300" s="4" t="inlineStr">
        <is>
          <t>Black</t>
        </is>
      </c>
      <c r="I300" s="4">
        <f>IMAGE("https://images.lululemon.com/is/image/lululemon/0001",1)</f>
        <v/>
      </c>
      <c r="J300" s="4" t="inlineStr">
        <is>
          <t>18</t>
        </is>
      </c>
      <c r="K300" s="4" t="inlineStr">
        <is>
          <t>10/682</t>
        </is>
      </c>
      <c r="L300" s="4" t="inlineStr">
        <is>
          <t>Yes</t>
        </is>
      </c>
      <c r="M300" s="4" t="inlineStr">
        <is>
          <t>This jacket is fully loaded for running in cold weather. Zoned insulation holds warmth where you need it and stretchy fleece keeps you moving freely.</t>
        </is>
      </c>
      <c r="N300" s="4" t="inlineStr">
        <is>
          <t>Down-For-It-All-Hooded-Jacket</t>
        </is>
      </c>
      <c r="O300" s="4" t="inlineStr">
        <is>
          <t>Athletic Jackets, Puffer Jackets</t>
        </is>
      </c>
    </row>
    <row r="301" ht="80" customHeight="1">
      <c r="A301" s="7">
        <f>IMAGE("https://images.lululemon.com/is/image/lululemon/LW4CA7S_0001_1?wid=320&amp;op_usm=0.8",1)</f>
        <v/>
      </c>
      <c r="B301" s="7" t="inlineStr">
        <is>
          <t>Women's Down for It All Jacket</t>
        </is>
      </c>
      <c r="C301" s="7" t="inlineStr">
        <is>
          <t>147175858</t>
        </is>
      </c>
      <c r="D301" s="7" t="inlineStr">
        <is>
          <t>147175858-black</t>
        </is>
      </c>
      <c r="E301" s="7" t="inlineStr">
        <is>
          <t>Down for It All Jacket BLK 2</t>
        </is>
      </c>
      <c r="F301" s="7" t="inlineStr">
        <is>
          <t>$228.00</t>
        </is>
      </c>
      <c r="G301" s="7" t="inlineStr">
        <is>
          <t>$114.00</t>
        </is>
      </c>
      <c r="H301" s="7" t="inlineStr">
        <is>
          <t>Black</t>
        </is>
      </c>
      <c r="I301" s="7">
        <f>IMAGE("https://images.lululemon.com/is/image/lululemon/0001",1)</f>
        <v/>
      </c>
      <c r="J301" s="7" t="inlineStr">
        <is>
          <t>20</t>
        </is>
      </c>
      <c r="K301" s="7" t="inlineStr">
        <is>
          <t>6/682</t>
        </is>
      </c>
      <c r="L301" s="7" t="inlineStr">
        <is>
          <t>Yes</t>
        </is>
      </c>
      <c r="M301" s="7" t="inlineStr">
        <is>
          <t>This jacket is fully loaded for running in cold weather. Zoned insulation holds warmth where you need it and stretchy fleece keeps you moving freely.</t>
        </is>
      </c>
      <c r="N301" s="7" t="inlineStr">
        <is>
          <t>Down-For-It-All-Hooded-Jacket</t>
        </is>
      </c>
      <c r="O301" s="7" t="inlineStr">
        <is>
          <t>Athletic Jackets, Puffer Jackets</t>
        </is>
      </c>
    </row>
    <row r="302" ht="80" customHeight="1">
      <c r="A302" s="4">
        <f>IMAGE("https://images.lululemon.com/is/image/lululemon/LW4CA7S_0001_1?wid=320&amp;op_usm=0.8",1)</f>
        <v/>
      </c>
      <c r="B302" s="4" t="inlineStr">
        <is>
          <t>Women's Down for It All Jacket</t>
        </is>
      </c>
      <c r="C302" s="4" t="inlineStr">
        <is>
          <t>154837347</t>
        </is>
      </c>
      <c r="D302" s="4" t="inlineStr">
        <is>
          <t>154837347-jadegrey</t>
        </is>
      </c>
      <c r="E302" s="4" t="inlineStr">
        <is>
          <t>Down for It All Jacket BLK 2</t>
        </is>
      </c>
      <c r="F302" s="4" t="inlineStr">
        <is>
          <t>$228.00</t>
        </is>
      </c>
      <c r="G302" s="4" t="inlineStr">
        <is>
          <t>$114.00</t>
        </is>
      </c>
      <c r="H302" s="4" t="inlineStr">
        <is>
          <t>Jade Grey</t>
        </is>
      </c>
      <c r="I302" s="4">
        <f>IMAGE("https://images.lululemon.com/is/image/lululemon/36303",1)</f>
        <v/>
      </c>
      <c r="J302" s="4" t="inlineStr">
        <is>
          <t>2</t>
        </is>
      </c>
      <c r="K302" s="4" t="inlineStr">
        <is>
          <t>34/682</t>
        </is>
      </c>
      <c r="L302" s="4" t="inlineStr">
        <is>
          <t>Yes</t>
        </is>
      </c>
      <c r="M302" s="4" t="inlineStr">
        <is>
          <t>This jacket is fully loaded for running in cold weather. Zoned insulation holds warmth where you need it and stretchy fleece keeps you moving freely.</t>
        </is>
      </c>
      <c r="N302" s="4" t="inlineStr">
        <is>
          <t>Down-For-It-All-Hooded-Jacket</t>
        </is>
      </c>
      <c r="O302" s="4" t="inlineStr">
        <is>
          <t>Athletic Jackets, Puffer Jackets</t>
        </is>
      </c>
    </row>
    <row r="303" ht="80" customHeight="1">
      <c r="A303" s="7">
        <f>IMAGE("https://images.lululemon.com/is/image/lululemon/LW4CA7S_0001_1?wid=320&amp;op_usm=0.8",1)</f>
        <v/>
      </c>
      <c r="B303" s="7" t="inlineStr">
        <is>
          <t>Women's Down for It All Jacket</t>
        </is>
      </c>
      <c r="C303" s="7" t="inlineStr">
        <is>
          <t>154837447</t>
        </is>
      </c>
      <c r="D303" s="7" t="inlineStr">
        <is>
          <t>154837447-jadegrey</t>
        </is>
      </c>
      <c r="E303" s="7" t="inlineStr">
        <is>
          <t>Down for It All Jacket BLK 2</t>
        </is>
      </c>
      <c r="F303" s="7" t="inlineStr">
        <is>
          <t>$228.00</t>
        </is>
      </c>
      <c r="G303" s="7" t="inlineStr">
        <is>
          <t>$114.00</t>
        </is>
      </c>
      <c r="H303" s="7" t="inlineStr">
        <is>
          <t>Jade Grey</t>
        </is>
      </c>
      <c r="I303" s="7">
        <f>IMAGE("https://images.lululemon.com/is/image/lululemon/36303",1)</f>
        <v/>
      </c>
      <c r="J303" s="7" t="inlineStr">
        <is>
          <t>4</t>
        </is>
      </c>
      <c r="K303" s="7" t="inlineStr">
        <is>
          <t>78/682</t>
        </is>
      </c>
      <c r="L303" s="7" t="inlineStr">
        <is>
          <t>Yes</t>
        </is>
      </c>
      <c r="M303" s="7" t="inlineStr">
        <is>
          <t>This jacket is fully loaded for running in cold weather. Zoned insulation holds warmth where you need it and stretchy fleece keeps you moving freely.</t>
        </is>
      </c>
      <c r="N303" s="7" t="inlineStr">
        <is>
          <t>Down-For-It-All-Hooded-Jacket</t>
        </is>
      </c>
      <c r="O303" s="7" t="inlineStr">
        <is>
          <t>Athletic Jackets, Puffer Jackets</t>
        </is>
      </c>
    </row>
    <row r="304" ht="80" customHeight="1">
      <c r="A304" s="4">
        <f>IMAGE("https://images.lululemon.com/is/image/lululemon/LW4CA7S_0001_1?wid=320&amp;op_usm=0.8",1)</f>
        <v/>
      </c>
      <c r="B304" s="4" t="inlineStr">
        <is>
          <t>Women's Down for It All Jacket</t>
        </is>
      </c>
      <c r="C304" s="4" t="inlineStr">
        <is>
          <t>154837466</t>
        </is>
      </c>
      <c r="D304" s="4" t="inlineStr">
        <is>
          <t>154837466-jadegrey</t>
        </is>
      </c>
      <c r="E304" s="4" t="inlineStr">
        <is>
          <t>Down for It All Jacket BLK 2</t>
        </is>
      </c>
      <c r="F304" s="4" t="inlineStr">
        <is>
          <t>$228.00</t>
        </is>
      </c>
      <c r="G304" s="4" t="inlineStr">
        <is>
          <t>$114.00</t>
        </is>
      </c>
      <c r="H304" s="4" t="inlineStr">
        <is>
          <t>Jade Grey</t>
        </is>
      </c>
      <c r="I304" s="4">
        <f>IMAGE("https://images.lululemon.com/is/image/lululemon/36303",1)</f>
        <v/>
      </c>
      <c r="J304" s="4" t="inlineStr">
        <is>
          <t>6</t>
        </is>
      </c>
      <c r="K304" s="4" t="inlineStr">
        <is>
          <t>79/682</t>
        </is>
      </c>
      <c r="L304" s="4" t="inlineStr">
        <is>
          <t>Yes</t>
        </is>
      </c>
      <c r="M304" s="4" t="inlineStr">
        <is>
          <t>This jacket is fully loaded for running in cold weather. Zoned insulation holds warmth where you need it and stretchy fleece keeps you moving freely.</t>
        </is>
      </c>
      <c r="N304" s="4" t="inlineStr">
        <is>
          <t>Down-For-It-All-Hooded-Jacket</t>
        </is>
      </c>
      <c r="O304" s="4" t="inlineStr">
        <is>
          <t>Athletic Jackets, Puffer Jackets</t>
        </is>
      </c>
    </row>
    <row r="305" ht="80" customHeight="1">
      <c r="A305" s="5">
        <f>IMAGE("https://images.lululemon.com/is/image/lululemon/LW4CA7S_0001_1?wid=320&amp;op_usm=0.8",1)</f>
        <v/>
      </c>
      <c r="B305" s="5" t="inlineStr">
        <is>
          <t>Women's Down for It All Jacket</t>
        </is>
      </c>
      <c r="C305" s="5" t="inlineStr">
        <is>
          <t>154837483</t>
        </is>
      </c>
      <c r="D305" s="5" t="inlineStr">
        <is>
          <t>154837483-jadegrey</t>
        </is>
      </c>
      <c r="E305" s="5" t="inlineStr">
        <is>
          <t>Down for It All Jacket BLK 2</t>
        </is>
      </c>
      <c r="F305" s="5" t="inlineStr">
        <is>
          <t>$228.00</t>
        </is>
      </c>
      <c r="G305" s="5" t="inlineStr">
        <is>
          <t>$114.00</t>
        </is>
      </c>
      <c r="H305" s="5" t="inlineStr">
        <is>
          <t>Jade Grey</t>
        </is>
      </c>
      <c r="I305" s="5">
        <f>IMAGE("https://images.lululemon.com/is/image/lululemon/36303",1)</f>
        <v/>
      </c>
      <c r="J305" s="5" t="inlineStr">
        <is>
          <t>8</t>
        </is>
      </c>
      <c r="K305" s="5" t="inlineStr">
        <is>
          <t>31/682</t>
        </is>
      </c>
      <c r="L305" s="5" t="inlineStr">
        <is>
          <t>Yes</t>
        </is>
      </c>
      <c r="M305" s="5" t="inlineStr">
        <is>
          <t>This jacket is fully loaded for running in cold weather. Zoned insulation holds warmth where you need it and stretchy fleece keeps you moving freely.</t>
        </is>
      </c>
      <c r="N305" s="5" t="inlineStr">
        <is>
          <t>Down-For-It-All-Hooded-Jacket</t>
        </is>
      </c>
      <c r="O305" s="5" t="inlineStr">
        <is>
          <t>Athletic Jackets, Puffer Jackets</t>
        </is>
      </c>
    </row>
    <row r="306" ht="80" customHeight="1">
      <c r="A306" s="4">
        <f>IMAGE("https://images.lululemon.com/is/image/lululemon/LW3HM8S_033454_1?wid=320&amp;op_usm=0.8",1)</f>
        <v/>
      </c>
      <c r="B306" s="4" t="inlineStr">
        <is>
          <t>Softstreme Full-Zip Hoodie</t>
        </is>
      </c>
      <c r="C306" s="4" t="inlineStr">
        <is>
          <t>155853723</t>
        </is>
      </c>
      <c r="D306" s="4" t="inlineStr">
        <is>
          <t>155853723-lightivory</t>
        </is>
      </c>
      <c r="E306" s="4" t="inlineStr">
        <is>
          <t>Softstreme™ Full-Zip Hoodie LTIV 2</t>
        </is>
      </c>
      <c r="F306" s="4" t="inlineStr">
        <is>
          <t>$148.00</t>
        </is>
      </c>
      <c r="G306" s="4" t="inlineStr">
        <is>
          <t>$74.00</t>
        </is>
      </c>
      <c r="H306" s="4" t="inlineStr">
        <is>
          <t>Light Ivory</t>
        </is>
      </c>
      <c r="I306" s="4">
        <f>IMAGE("https://images.lululemon.com/is/image/lululemon/33454",1)</f>
        <v/>
      </c>
      <c r="J306" s="4" t="inlineStr">
        <is>
          <t>2</t>
        </is>
      </c>
      <c r="K306" s="4" t="inlineStr">
        <is>
          <t>82/5135</t>
        </is>
      </c>
      <c r="L306" s="4" t="inlineStr">
        <is>
          <t>Yes</t>
        </is>
      </c>
      <c r="M306" s="4" t="inlineStr">
        <is>
          <t>Lend some luxe to your weekend look. Feel-it-to-believe it Softstreme™ fabric brings slinky softness to this hoodie while the gathered bubble hem adds a playful pop of volume.</t>
        </is>
      </c>
      <c r="N306" s="4" t="inlineStr">
        <is>
          <t>Softstreme-Full-Zip-Hoodie</t>
        </is>
      </c>
      <c r="O306" s="4" t="inlineStr">
        <is>
          <t>Hoodies, Zip Up Sweatshirts</t>
        </is>
      </c>
    </row>
    <row r="307" ht="80" customHeight="1">
      <c r="A307" s="7">
        <f>IMAGE("https://images.lululemon.com/is/image/lululemon/LW3HM8S_033454_1?wid=320&amp;op_usm=0.8",1)</f>
        <v/>
      </c>
      <c r="B307" s="7" t="inlineStr">
        <is>
          <t>Softstreme Full-Zip Hoodie</t>
        </is>
      </c>
      <c r="C307" s="7" t="inlineStr">
        <is>
          <t>155853794</t>
        </is>
      </c>
      <c r="D307" s="7" t="inlineStr">
        <is>
          <t>155853794-lightivory</t>
        </is>
      </c>
      <c r="E307" s="7" t="inlineStr">
        <is>
          <t>Softstreme™ Full-Zip Hoodie LTIV 2</t>
        </is>
      </c>
      <c r="F307" s="7" t="inlineStr">
        <is>
          <t>$148.00</t>
        </is>
      </c>
      <c r="G307" s="7" t="inlineStr">
        <is>
          <t>$74.00</t>
        </is>
      </c>
      <c r="H307" s="7" t="inlineStr">
        <is>
          <t>Light Ivory</t>
        </is>
      </c>
      <c r="I307" s="7">
        <f>IMAGE("https://images.lululemon.com/is/image/lululemon/33454",1)</f>
        <v/>
      </c>
      <c r="J307" s="7" t="inlineStr">
        <is>
          <t>4</t>
        </is>
      </c>
      <c r="K307" s="7" t="inlineStr">
        <is>
          <t>206/5135</t>
        </is>
      </c>
      <c r="L307" s="7" t="inlineStr">
        <is>
          <t>Yes</t>
        </is>
      </c>
      <c r="M307" s="7" t="inlineStr">
        <is>
          <t>Lend some luxe to your weekend look. Feel-it-to-believe it Softstreme™ fabric brings slinky softness to this hoodie while the gathered bubble hem adds a playful pop of volume.</t>
        </is>
      </c>
      <c r="N307" s="7" t="inlineStr">
        <is>
          <t>Softstreme-Full-Zip-Hoodie</t>
        </is>
      </c>
      <c r="O307" s="7" t="inlineStr">
        <is>
          <t>Hoodies, Zip Up Sweatshirts</t>
        </is>
      </c>
    </row>
    <row r="308" ht="80" customHeight="1">
      <c r="A308" s="4">
        <f>IMAGE("https://images.lululemon.com/is/image/lululemon/LW3HM8S_033454_1?wid=320&amp;op_usm=0.8",1)</f>
        <v/>
      </c>
      <c r="B308" s="4" t="inlineStr">
        <is>
          <t>Softstreme Full-Zip Hoodie</t>
        </is>
      </c>
      <c r="C308" s="4" t="inlineStr">
        <is>
          <t>155853804</t>
        </is>
      </c>
      <c r="D308" s="4" t="inlineStr">
        <is>
          <t>155853804-lightivory</t>
        </is>
      </c>
      <c r="E308" s="4" t="inlineStr">
        <is>
          <t>Softstreme™ Full-Zip Hoodie LTIV 2</t>
        </is>
      </c>
      <c r="F308" s="4" t="inlineStr">
        <is>
          <t>$148.00</t>
        </is>
      </c>
      <c r="G308" s="4" t="inlineStr">
        <is>
          <t>$74.00</t>
        </is>
      </c>
      <c r="H308" s="4" t="inlineStr">
        <is>
          <t>Light Ivory</t>
        </is>
      </c>
      <c r="I308" s="4">
        <f>IMAGE("https://images.lululemon.com/is/image/lululemon/33454",1)</f>
        <v/>
      </c>
      <c r="J308" s="4" t="inlineStr">
        <is>
          <t>6</t>
        </is>
      </c>
      <c r="K308" s="4" t="inlineStr">
        <is>
          <t>334/5135</t>
        </is>
      </c>
      <c r="L308" s="4" t="inlineStr">
        <is>
          <t>Yes</t>
        </is>
      </c>
      <c r="M308" s="4" t="inlineStr">
        <is>
          <t>Lend some luxe to your weekend look. Feel-it-to-believe it Softstreme™ fabric brings slinky softness to this hoodie while the gathered bubble hem adds a playful pop of volume.</t>
        </is>
      </c>
      <c r="N308" s="4" t="inlineStr">
        <is>
          <t>Softstreme-Full-Zip-Hoodie</t>
        </is>
      </c>
      <c r="O308" s="4" t="inlineStr">
        <is>
          <t>Hoodies, Zip Up Sweatshirts</t>
        </is>
      </c>
    </row>
    <row r="309" ht="80" customHeight="1">
      <c r="A309" s="7">
        <f>IMAGE("https://images.lululemon.com/is/image/lululemon/LW3HM8S_033454_1?wid=320&amp;op_usm=0.8",1)</f>
        <v/>
      </c>
      <c r="B309" s="7" t="inlineStr">
        <is>
          <t>Softstreme Full-Zip Hoodie</t>
        </is>
      </c>
      <c r="C309" s="7" t="inlineStr">
        <is>
          <t>155853814</t>
        </is>
      </c>
      <c r="D309" s="7" t="inlineStr">
        <is>
          <t>155853814-lightivory</t>
        </is>
      </c>
      <c r="E309" s="7" t="inlineStr">
        <is>
          <t>Softstreme™ Full-Zip Hoodie LTIV 2</t>
        </is>
      </c>
      <c r="F309" s="7" t="inlineStr">
        <is>
          <t>$148.00</t>
        </is>
      </c>
      <c r="G309" s="7" t="inlineStr">
        <is>
          <t>$74.00</t>
        </is>
      </c>
      <c r="H309" s="7" t="inlineStr">
        <is>
          <t>Light Ivory</t>
        </is>
      </c>
      <c r="I309" s="7">
        <f>IMAGE("https://images.lululemon.com/is/image/lululemon/33454",1)</f>
        <v/>
      </c>
      <c r="J309" s="7" t="inlineStr">
        <is>
          <t>8</t>
        </is>
      </c>
      <c r="K309" s="7" t="inlineStr">
        <is>
          <t>300/5135</t>
        </is>
      </c>
      <c r="L309" s="7" t="inlineStr">
        <is>
          <t>Yes</t>
        </is>
      </c>
      <c r="M309" s="7" t="inlineStr">
        <is>
          <t>Lend some luxe to your weekend look. Feel-it-to-believe it Softstreme™ fabric brings slinky softness to this hoodie while the gathered bubble hem adds a playful pop of volume.</t>
        </is>
      </c>
      <c r="N309" s="7" t="inlineStr">
        <is>
          <t>Softstreme-Full-Zip-Hoodie</t>
        </is>
      </c>
      <c r="O309" s="7" t="inlineStr">
        <is>
          <t>Hoodies, Zip Up Sweatshirts</t>
        </is>
      </c>
    </row>
    <row r="310" ht="80" customHeight="1">
      <c r="A310" s="4">
        <f>IMAGE("https://images.lululemon.com/is/image/lululemon/LW3HM8S_033454_1?wid=320&amp;op_usm=0.8",1)</f>
        <v/>
      </c>
      <c r="B310" s="4" t="inlineStr">
        <is>
          <t>Softstreme Full-Zip Hoodie</t>
        </is>
      </c>
      <c r="C310" s="4" t="inlineStr">
        <is>
          <t>155853646</t>
        </is>
      </c>
      <c r="D310" s="4" t="inlineStr">
        <is>
          <t>155853646-lightivory</t>
        </is>
      </c>
      <c r="E310" s="4" t="inlineStr">
        <is>
          <t>Softstreme™ Full-Zip Hoodie LTIV 2</t>
        </is>
      </c>
      <c r="F310" s="4" t="inlineStr">
        <is>
          <t>$148.00</t>
        </is>
      </c>
      <c r="G310" s="4" t="inlineStr">
        <is>
          <t>$74.00</t>
        </is>
      </c>
      <c r="H310" s="4" t="inlineStr">
        <is>
          <t>Light Ivory</t>
        </is>
      </c>
      <c r="I310" s="4">
        <f>IMAGE("https://images.lululemon.com/is/image/lululemon/33454",1)</f>
        <v/>
      </c>
      <c r="J310" s="4" t="inlineStr">
        <is>
          <t>10</t>
        </is>
      </c>
      <c r="K310" s="4" t="inlineStr">
        <is>
          <t>233/5135</t>
        </is>
      </c>
      <c r="L310" s="4" t="inlineStr">
        <is>
          <t>Yes</t>
        </is>
      </c>
      <c r="M310" s="4" t="inlineStr">
        <is>
          <t>Lend some luxe to your weekend look. Feel-it-to-believe it Softstreme™ fabric brings slinky softness to this hoodie while the gathered bubble hem adds a playful pop of volume.</t>
        </is>
      </c>
      <c r="N310" s="4" t="inlineStr">
        <is>
          <t>Softstreme-Full-Zip-Hoodie</t>
        </is>
      </c>
      <c r="O310" s="4" t="inlineStr">
        <is>
          <t>Hoodies, Zip Up Sweatshirts</t>
        </is>
      </c>
    </row>
    <row r="311" ht="80" customHeight="1">
      <c r="A311" s="7">
        <f>IMAGE("https://images.lululemon.com/is/image/lululemon/LW3HM8S_033454_1?wid=320&amp;op_usm=0.8",1)</f>
        <v/>
      </c>
      <c r="B311" s="7" t="inlineStr">
        <is>
          <t>Softstreme Full-Zip Hoodie</t>
        </is>
      </c>
      <c r="C311" s="7" t="inlineStr">
        <is>
          <t>155853658</t>
        </is>
      </c>
      <c r="D311" s="7" t="inlineStr">
        <is>
          <t>155853658-lightivory</t>
        </is>
      </c>
      <c r="E311" s="7" t="inlineStr">
        <is>
          <t>Softstreme™ Full-Zip Hoodie LTIV 2</t>
        </is>
      </c>
      <c r="F311" s="7" t="inlineStr">
        <is>
          <t>$148.00</t>
        </is>
      </c>
      <c r="G311" s="7" t="inlineStr">
        <is>
          <t>$74.00</t>
        </is>
      </c>
      <c r="H311" s="7" t="inlineStr">
        <is>
          <t>Light Ivory</t>
        </is>
      </c>
      <c r="I311" s="7">
        <f>IMAGE("https://images.lululemon.com/is/image/lululemon/33454",1)</f>
        <v/>
      </c>
      <c r="J311" s="7" t="inlineStr">
        <is>
          <t>12</t>
        </is>
      </c>
      <c r="K311" s="7" t="inlineStr">
        <is>
          <t>91/5135</t>
        </is>
      </c>
      <c r="L311" s="7" t="inlineStr">
        <is>
          <t>Yes</t>
        </is>
      </c>
      <c r="M311" s="7" t="inlineStr">
        <is>
          <t>Lend some luxe to your weekend look. Feel-it-to-believe it Softstreme™ fabric brings slinky softness to this hoodie while the gathered bubble hem adds a playful pop of volume.</t>
        </is>
      </c>
      <c r="N311" s="7" t="inlineStr">
        <is>
          <t>Softstreme-Full-Zip-Hoodie</t>
        </is>
      </c>
      <c r="O311" s="7" t="inlineStr">
        <is>
          <t>Hoodies, Zip Up Sweatshirts</t>
        </is>
      </c>
    </row>
    <row r="312" ht="80" customHeight="1">
      <c r="A312" s="4">
        <f>IMAGE("https://images.lululemon.com/is/image/lululemon/LW3HM8S_033454_1?wid=320&amp;op_usm=0.8",1)</f>
        <v/>
      </c>
      <c r="B312" s="4" t="inlineStr">
        <is>
          <t>Softstreme Full-Zip Hoodie</t>
        </is>
      </c>
      <c r="C312" s="4" t="inlineStr">
        <is>
          <t>157700992</t>
        </is>
      </c>
      <c r="D312" s="4" t="inlineStr">
        <is>
          <t>157700992-minkberry</t>
        </is>
      </c>
      <c r="E312" s="4" t="inlineStr">
        <is>
          <t>Softstreme™ Full-Zip Hoodie LTIV 2</t>
        </is>
      </c>
      <c r="F312" s="4" t="inlineStr">
        <is>
          <t>$148.00</t>
        </is>
      </c>
      <c r="G312" s="4" t="inlineStr">
        <is>
          <t>$74.00</t>
        </is>
      </c>
      <c r="H312" s="4" t="inlineStr">
        <is>
          <t>Mink Berry</t>
        </is>
      </c>
      <c r="I312" s="4">
        <f>IMAGE("https://images.lululemon.com/is/image/lululemon/20392",1)</f>
        <v/>
      </c>
      <c r="J312" s="4" t="inlineStr">
        <is>
          <t>2</t>
        </is>
      </c>
      <c r="K312" s="4" t="inlineStr">
        <is>
          <t>275/5135</t>
        </is>
      </c>
      <c r="L312" s="4" t="inlineStr">
        <is>
          <t>Yes</t>
        </is>
      </c>
      <c r="M312" s="4" t="inlineStr">
        <is>
          <t>Lend some luxe to your weekend look. Feel-it-to-believe it Softstreme™ fabric brings slinky softness to this hoodie while the gathered bubble hem adds a playful pop of volume.</t>
        </is>
      </c>
      <c r="N312" s="4" t="inlineStr">
        <is>
          <t>Softstreme-Full-Zip-Hoodie</t>
        </is>
      </c>
      <c r="O312" s="4" t="inlineStr">
        <is>
          <t>Hoodies, Zip Up Sweatshirts</t>
        </is>
      </c>
    </row>
    <row r="313" ht="80" customHeight="1">
      <c r="A313" s="7">
        <f>IMAGE("https://images.lululemon.com/is/image/lululemon/LW3HM8S_033454_1?wid=320&amp;op_usm=0.8",1)</f>
        <v/>
      </c>
      <c r="B313" s="7" t="inlineStr">
        <is>
          <t>Softstreme Full-Zip Hoodie</t>
        </is>
      </c>
      <c r="C313" s="7" t="inlineStr">
        <is>
          <t>157700997</t>
        </is>
      </c>
      <c r="D313" s="7" t="inlineStr">
        <is>
          <t>157700997-minkberry</t>
        </is>
      </c>
      <c r="E313" s="7" t="inlineStr">
        <is>
          <t>Softstreme™ Full-Zip Hoodie LTIV 2</t>
        </is>
      </c>
      <c r="F313" s="7" t="inlineStr">
        <is>
          <t>$148.00</t>
        </is>
      </c>
      <c r="G313" s="7" t="inlineStr">
        <is>
          <t>$74.00</t>
        </is>
      </c>
      <c r="H313" s="7" t="inlineStr">
        <is>
          <t>Mink Berry</t>
        </is>
      </c>
      <c r="I313" s="7">
        <f>IMAGE("https://images.lululemon.com/is/image/lululemon/20392",1)</f>
        <v/>
      </c>
      <c r="J313" s="7" t="inlineStr">
        <is>
          <t>4</t>
        </is>
      </c>
      <c r="K313" s="7" t="inlineStr">
        <is>
          <t>512/5135</t>
        </is>
      </c>
      <c r="L313" s="7" t="inlineStr">
        <is>
          <t>Yes</t>
        </is>
      </c>
      <c r="M313" s="7" t="inlineStr">
        <is>
          <t>Lend some luxe to your weekend look. Feel-it-to-believe it Softstreme™ fabric brings slinky softness to this hoodie while the gathered bubble hem adds a playful pop of volume.</t>
        </is>
      </c>
      <c r="N313" s="7" t="inlineStr">
        <is>
          <t>Softstreme-Full-Zip-Hoodie</t>
        </is>
      </c>
      <c r="O313" s="7" t="inlineStr">
        <is>
          <t>Hoodies, Zip Up Sweatshirts</t>
        </is>
      </c>
    </row>
    <row r="314" ht="80" customHeight="1">
      <c r="A314" s="4">
        <f>IMAGE("https://images.lululemon.com/is/image/lululemon/LW3HM8S_033454_1?wid=320&amp;op_usm=0.8",1)</f>
        <v/>
      </c>
      <c r="B314" s="4" t="inlineStr">
        <is>
          <t>Softstreme Full-Zip Hoodie</t>
        </is>
      </c>
      <c r="C314" s="4" t="inlineStr">
        <is>
          <t>157701001</t>
        </is>
      </c>
      <c r="D314" s="4" t="inlineStr">
        <is>
          <t>157701001-minkberry</t>
        </is>
      </c>
      <c r="E314" s="4" t="inlineStr">
        <is>
          <t>Softstreme™ Full-Zip Hoodie LTIV 2</t>
        </is>
      </c>
      <c r="F314" s="4" t="inlineStr">
        <is>
          <t>$148.00</t>
        </is>
      </c>
      <c r="G314" s="4" t="inlineStr">
        <is>
          <t>$74.00</t>
        </is>
      </c>
      <c r="H314" s="4" t="inlineStr">
        <is>
          <t>Mink Berry</t>
        </is>
      </c>
      <c r="I314" s="4">
        <f>IMAGE("https://images.lululemon.com/is/image/lululemon/20392",1)</f>
        <v/>
      </c>
      <c r="J314" s="4" t="inlineStr">
        <is>
          <t>6</t>
        </is>
      </c>
      <c r="K314" s="4" t="inlineStr">
        <is>
          <t>717/5135</t>
        </is>
      </c>
      <c r="L314" s="4" t="inlineStr">
        <is>
          <t>Yes</t>
        </is>
      </c>
      <c r="M314" s="4" t="inlineStr">
        <is>
          <t>Lend some luxe to your weekend look. Feel-it-to-believe it Softstreme™ fabric brings slinky softness to this hoodie while the gathered bubble hem adds a playful pop of volume.</t>
        </is>
      </c>
      <c r="N314" s="4" t="inlineStr">
        <is>
          <t>Softstreme-Full-Zip-Hoodie</t>
        </is>
      </c>
      <c r="O314" s="4" t="inlineStr">
        <is>
          <t>Hoodies, Zip Up Sweatshirts</t>
        </is>
      </c>
    </row>
    <row r="315" ht="80" customHeight="1">
      <c r="A315" s="7">
        <f>IMAGE("https://images.lululemon.com/is/image/lululemon/LW3HM8S_033454_1?wid=320&amp;op_usm=0.8",1)</f>
        <v/>
      </c>
      <c r="B315" s="7" t="inlineStr">
        <is>
          <t>Softstreme Full-Zip Hoodie</t>
        </is>
      </c>
      <c r="C315" s="7" t="inlineStr">
        <is>
          <t>157701005</t>
        </is>
      </c>
      <c r="D315" s="7" t="inlineStr">
        <is>
          <t>157701005-minkberry</t>
        </is>
      </c>
      <c r="E315" s="7" t="inlineStr">
        <is>
          <t>Softstreme™ Full-Zip Hoodie LTIV 2</t>
        </is>
      </c>
      <c r="F315" s="7" t="inlineStr">
        <is>
          <t>$148.00</t>
        </is>
      </c>
      <c r="G315" s="7" t="inlineStr">
        <is>
          <t>$74.00</t>
        </is>
      </c>
      <c r="H315" s="7" t="inlineStr">
        <is>
          <t>Mink Berry</t>
        </is>
      </c>
      <c r="I315" s="7">
        <f>IMAGE("https://images.lululemon.com/is/image/lululemon/20392",1)</f>
        <v/>
      </c>
      <c r="J315" s="7" t="inlineStr">
        <is>
          <t>8</t>
        </is>
      </c>
      <c r="K315" s="7" t="inlineStr">
        <is>
          <t>653/5135</t>
        </is>
      </c>
      <c r="L315" s="7" t="inlineStr">
        <is>
          <t>Yes</t>
        </is>
      </c>
      <c r="M315" s="7" t="inlineStr">
        <is>
          <t>Lend some luxe to your weekend look. Feel-it-to-believe it Softstreme™ fabric brings slinky softness to this hoodie while the gathered bubble hem adds a playful pop of volume.</t>
        </is>
      </c>
      <c r="N315" s="7" t="inlineStr">
        <is>
          <t>Softstreme-Full-Zip-Hoodie</t>
        </is>
      </c>
      <c r="O315" s="7" t="inlineStr">
        <is>
          <t>Hoodies, Zip Up Sweatshirts</t>
        </is>
      </c>
    </row>
    <row r="316" ht="80" customHeight="1">
      <c r="A316" s="4">
        <f>IMAGE("https://images.lululemon.com/is/image/lululemon/LW3HM8S_033454_1?wid=320&amp;op_usm=0.8",1)</f>
        <v/>
      </c>
      <c r="B316" s="4" t="inlineStr">
        <is>
          <t>Softstreme Full-Zip Hoodie</t>
        </is>
      </c>
      <c r="C316" s="4" t="inlineStr">
        <is>
          <t>157700972</t>
        </is>
      </c>
      <c r="D316" s="4" t="inlineStr">
        <is>
          <t>157700972-minkberry</t>
        </is>
      </c>
      <c r="E316" s="4" t="inlineStr">
        <is>
          <t>Softstreme™ Full-Zip Hoodie LTIV 2</t>
        </is>
      </c>
      <c r="F316" s="4" t="inlineStr">
        <is>
          <t>$148.00</t>
        </is>
      </c>
      <c r="G316" s="4" t="inlineStr">
        <is>
          <t>$74.00</t>
        </is>
      </c>
      <c r="H316" s="4" t="inlineStr">
        <is>
          <t>Mink Berry</t>
        </is>
      </c>
      <c r="I316" s="4">
        <f>IMAGE("https://images.lululemon.com/is/image/lululemon/20392",1)</f>
        <v/>
      </c>
      <c r="J316" s="4" t="inlineStr">
        <is>
          <t>10</t>
        </is>
      </c>
      <c r="K316" s="4" t="inlineStr">
        <is>
          <t>438/5135</t>
        </is>
      </c>
      <c r="L316" s="4" t="inlineStr">
        <is>
          <t>Yes</t>
        </is>
      </c>
      <c r="M316" s="4" t="inlineStr">
        <is>
          <t>Lend some luxe to your weekend look. Feel-it-to-believe it Softstreme™ fabric brings slinky softness to this hoodie while the gathered bubble hem adds a playful pop of volume.</t>
        </is>
      </c>
      <c r="N316" s="4" t="inlineStr">
        <is>
          <t>Softstreme-Full-Zip-Hoodie</t>
        </is>
      </c>
      <c r="O316" s="4" t="inlineStr">
        <is>
          <t>Hoodies, Zip Up Sweatshirts</t>
        </is>
      </c>
    </row>
    <row r="317" ht="80" customHeight="1">
      <c r="A317" s="7">
        <f>IMAGE("https://images.lululemon.com/is/image/lululemon/LW3HM8S_033454_1?wid=320&amp;op_usm=0.8",1)</f>
        <v/>
      </c>
      <c r="B317" s="7" t="inlineStr">
        <is>
          <t>Softstreme Full-Zip Hoodie</t>
        </is>
      </c>
      <c r="C317" s="7" t="inlineStr">
        <is>
          <t>157700978</t>
        </is>
      </c>
      <c r="D317" s="7" t="inlineStr">
        <is>
          <t>157700978-minkberry</t>
        </is>
      </c>
      <c r="E317" s="7" t="inlineStr">
        <is>
          <t>Softstreme™ Full-Zip Hoodie LTIV 2</t>
        </is>
      </c>
      <c r="F317" s="7" t="inlineStr">
        <is>
          <t>$148.00</t>
        </is>
      </c>
      <c r="G317" s="7" t="inlineStr">
        <is>
          <t>$74.00</t>
        </is>
      </c>
      <c r="H317" s="7" t="inlineStr">
        <is>
          <t>Mink Berry</t>
        </is>
      </c>
      <c r="I317" s="7">
        <f>IMAGE("https://images.lululemon.com/is/image/lululemon/20392",1)</f>
        <v/>
      </c>
      <c r="J317" s="7" t="inlineStr">
        <is>
          <t>12</t>
        </is>
      </c>
      <c r="K317" s="7" t="inlineStr">
        <is>
          <t>200/5135</t>
        </is>
      </c>
      <c r="L317" s="7" t="inlineStr">
        <is>
          <t>Yes</t>
        </is>
      </c>
      <c r="M317" s="7" t="inlineStr">
        <is>
          <t>Lend some luxe to your weekend look. Feel-it-to-believe it Softstreme™ fabric brings slinky softness to this hoodie while the gathered bubble hem adds a playful pop of volume.</t>
        </is>
      </c>
      <c r="N317" s="7" t="inlineStr">
        <is>
          <t>Softstreme-Full-Zip-Hoodie</t>
        </is>
      </c>
      <c r="O317" s="7" t="inlineStr">
        <is>
          <t>Hoodies, Zip Up Sweatshirts</t>
        </is>
      </c>
    </row>
    <row r="318" ht="80" customHeight="1">
      <c r="A318" s="4">
        <f>IMAGE("https://images.lululemon.com/is/image/lululemon/LW3HM8S_033454_1?wid=320&amp;op_usm=0.8",1)</f>
        <v/>
      </c>
      <c r="B318" s="4" t="inlineStr">
        <is>
          <t>Softstreme Full-Zip Hoodie</t>
        </is>
      </c>
      <c r="C318" s="4" t="inlineStr">
        <is>
          <t>157700985</t>
        </is>
      </c>
      <c r="D318" s="4" t="inlineStr">
        <is>
          <t>157700985-minkberry</t>
        </is>
      </c>
      <c r="E318" s="4" t="inlineStr">
        <is>
          <t>Softstreme™ Full-Zip Hoodie LTIV 2</t>
        </is>
      </c>
      <c r="F318" s="4" t="inlineStr">
        <is>
          <t>$148.00</t>
        </is>
      </c>
      <c r="G318" s="4" t="inlineStr">
        <is>
          <t>$74.00</t>
        </is>
      </c>
      <c r="H318" s="4" t="inlineStr">
        <is>
          <t>Mink Berry</t>
        </is>
      </c>
      <c r="I318" s="4">
        <f>IMAGE("https://images.lululemon.com/is/image/lululemon/20392",1)</f>
        <v/>
      </c>
      <c r="J318" s="4" t="inlineStr">
        <is>
          <t>14</t>
        </is>
      </c>
      <c r="K318" s="4" t="inlineStr">
        <is>
          <t>4/5135</t>
        </is>
      </c>
      <c r="L318" s="4" t="inlineStr">
        <is>
          <t>Yes</t>
        </is>
      </c>
      <c r="M318" s="4" t="inlineStr">
        <is>
          <t>Lend some luxe to your weekend look. Feel-it-to-believe it Softstreme™ fabric brings slinky softness to this hoodie while the gathered bubble hem adds a playful pop of volume.</t>
        </is>
      </c>
      <c r="N318" s="4" t="inlineStr">
        <is>
          <t>Softstreme-Full-Zip-Hoodie</t>
        </is>
      </c>
      <c r="O318" s="4" t="inlineStr">
        <is>
          <t>Hoodies, Zip Up Sweatshirts</t>
        </is>
      </c>
    </row>
    <row r="319" ht="80" customHeight="1">
      <c r="A319" s="7">
        <f>IMAGE("https://images.lululemon.com/is/image/lululemon/LW3HM8S_033454_1?wid=320&amp;op_usm=0.8",1)</f>
        <v/>
      </c>
      <c r="B319" s="7" t="inlineStr">
        <is>
          <t>Softstreme Full-Zip Hoodie</t>
        </is>
      </c>
      <c r="C319" s="7" t="inlineStr">
        <is>
          <t>157708881</t>
        </is>
      </c>
      <c r="D319" s="7" t="inlineStr">
        <is>
          <t>157708881-palmdeco</t>
        </is>
      </c>
      <c r="E319" s="7" t="inlineStr">
        <is>
          <t>Softstreme™ Full-Zip Hoodie LTIV 2</t>
        </is>
      </c>
      <c r="F319" s="7" t="inlineStr">
        <is>
          <t>$148.00</t>
        </is>
      </c>
      <c r="G319" s="7" t="inlineStr">
        <is>
          <t>$74.00</t>
        </is>
      </c>
      <c r="H319" s="7" t="inlineStr">
        <is>
          <t>Palm Deco</t>
        </is>
      </c>
      <c r="I319" s="7">
        <f>IMAGE("https://images.lululemon.com/is/image/lululemon/35487",1)</f>
        <v/>
      </c>
      <c r="J319" s="7" t="inlineStr">
        <is>
          <t>2</t>
        </is>
      </c>
      <c r="K319" s="7" t="inlineStr">
        <is>
          <t>71/5135</t>
        </is>
      </c>
      <c r="L319" s="7" t="inlineStr">
        <is>
          <t>Yes</t>
        </is>
      </c>
      <c r="M319" s="7" t="inlineStr">
        <is>
          <t>Lend some luxe to your weekend look. Feel-it-to-believe it Softstreme™ fabric brings slinky softness to this hoodie while the gathered bubble hem adds a playful pop of volume.</t>
        </is>
      </c>
      <c r="N319" s="7" t="inlineStr">
        <is>
          <t>Softstreme-Full-Zip-Hoodie</t>
        </is>
      </c>
      <c r="O319" s="7" t="inlineStr">
        <is>
          <t>Hoodies, Zip Up Sweatshirts</t>
        </is>
      </c>
    </row>
    <row r="320" ht="80" customHeight="1">
      <c r="A320" s="4">
        <f>IMAGE("https://images.lululemon.com/is/image/lululemon/LW3HM8S_033454_1?wid=320&amp;op_usm=0.8",1)</f>
        <v/>
      </c>
      <c r="B320" s="4" t="inlineStr">
        <is>
          <t>Softstreme Full-Zip Hoodie</t>
        </is>
      </c>
      <c r="C320" s="4" t="inlineStr">
        <is>
          <t>157708889</t>
        </is>
      </c>
      <c r="D320" s="4" t="inlineStr">
        <is>
          <t>157708889-palmdeco</t>
        </is>
      </c>
      <c r="E320" s="4" t="inlineStr">
        <is>
          <t>Softstreme™ Full-Zip Hoodie LTIV 2</t>
        </is>
      </c>
      <c r="F320" s="4" t="inlineStr">
        <is>
          <t>$148.00</t>
        </is>
      </c>
      <c r="G320" s="4" t="inlineStr">
        <is>
          <t>$74.00</t>
        </is>
      </c>
      <c r="H320" s="4" t="inlineStr">
        <is>
          <t>Palm Deco</t>
        </is>
      </c>
      <c r="I320" s="4">
        <f>IMAGE("https://images.lululemon.com/is/image/lululemon/35487",1)</f>
        <v/>
      </c>
      <c r="J320" s="4" t="inlineStr">
        <is>
          <t>4</t>
        </is>
      </c>
      <c r="K320" s="4" t="inlineStr">
        <is>
          <t>112/5135</t>
        </is>
      </c>
      <c r="L320" s="4" t="inlineStr">
        <is>
          <t>Yes</t>
        </is>
      </c>
      <c r="M320" s="4" t="inlineStr">
        <is>
          <t>Lend some luxe to your weekend look. Feel-it-to-believe it Softstreme™ fabric brings slinky softness to this hoodie while the gathered bubble hem adds a playful pop of volume.</t>
        </is>
      </c>
      <c r="N320" s="4" t="inlineStr">
        <is>
          <t>Softstreme-Full-Zip-Hoodie</t>
        </is>
      </c>
      <c r="O320" s="4" t="inlineStr">
        <is>
          <t>Hoodies, Zip Up Sweatshirts</t>
        </is>
      </c>
    </row>
    <row r="321" ht="80" customHeight="1">
      <c r="A321" s="7">
        <f>IMAGE("https://images.lululemon.com/is/image/lululemon/LW3HM8S_033454_1?wid=320&amp;op_usm=0.8",1)</f>
        <v/>
      </c>
      <c r="B321" s="7" t="inlineStr">
        <is>
          <t>Softstreme Full-Zip Hoodie</t>
        </is>
      </c>
      <c r="C321" s="7" t="inlineStr">
        <is>
          <t>157708898</t>
        </is>
      </c>
      <c r="D321" s="7" t="inlineStr">
        <is>
          <t>157708898-palmdeco</t>
        </is>
      </c>
      <c r="E321" s="7" t="inlineStr">
        <is>
          <t>Softstreme™ Full-Zip Hoodie LTIV 2</t>
        </is>
      </c>
      <c r="F321" s="7" t="inlineStr">
        <is>
          <t>$148.00</t>
        </is>
      </c>
      <c r="G321" s="7" t="inlineStr">
        <is>
          <t>$74.00</t>
        </is>
      </c>
      <c r="H321" s="7" t="inlineStr">
        <is>
          <t>Palm Deco</t>
        </is>
      </c>
      <c r="I321" s="7">
        <f>IMAGE("https://images.lululemon.com/is/image/lululemon/35487",1)</f>
        <v/>
      </c>
      <c r="J321" s="7" t="inlineStr">
        <is>
          <t>6</t>
        </is>
      </c>
      <c r="K321" s="7" t="inlineStr">
        <is>
          <t>157/5135</t>
        </is>
      </c>
      <c r="L321" s="7" t="inlineStr">
        <is>
          <t>Yes</t>
        </is>
      </c>
      <c r="M321" s="7" t="inlineStr">
        <is>
          <t>Lend some luxe to your weekend look. Feel-it-to-believe it Softstreme™ fabric brings slinky softness to this hoodie while the gathered bubble hem adds a playful pop of volume.</t>
        </is>
      </c>
      <c r="N321" s="7" t="inlineStr">
        <is>
          <t>Softstreme-Full-Zip-Hoodie</t>
        </is>
      </c>
      <c r="O321" s="7" t="inlineStr">
        <is>
          <t>Hoodies, Zip Up Sweatshirts</t>
        </is>
      </c>
    </row>
    <row r="322" ht="80" customHeight="1">
      <c r="A322" s="4">
        <f>IMAGE("https://images.lululemon.com/is/image/lululemon/LW3HM8S_033454_1?wid=320&amp;op_usm=0.8",1)</f>
        <v/>
      </c>
      <c r="B322" s="4" t="inlineStr">
        <is>
          <t>Softstreme Full-Zip Hoodie</t>
        </is>
      </c>
      <c r="C322" s="4" t="inlineStr">
        <is>
          <t>157708907</t>
        </is>
      </c>
      <c r="D322" s="4" t="inlineStr">
        <is>
          <t>157708907-palmdeco</t>
        </is>
      </c>
      <c r="E322" s="4" t="inlineStr">
        <is>
          <t>Softstreme™ Full-Zip Hoodie LTIV 2</t>
        </is>
      </c>
      <c r="F322" s="4" t="inlineStr">
        <is>
          <t>$148.00</t>
        </is>
      </c>
      <c r="G322" s="4" t="inlineStr">
        <is>
          <t>$74.00</t>
        </is>
      </c>
      <c r="H322" s="4" t="inlineStr">
        <is>
          <t>Palm Deco</t>
        </is>
      </c>
      <c r="I322" s="4">
        <f>IMAGE("https://images.lululemon.com/is/image/lululemon/35487",1)</f>
        <v/>
      </c>
      <c r="J322" s="4" t="inlineStr">
        <is>
          <t>8</t>
        </is>
      </c>
      <c r="K322" s="4" t="inlineStr">
        <is>
          <t>148/5135</t>
        </is>
      </c>
      <c r="L322" s="4" t="inlineStr">
        <is>
          <t>Yes</t>
        </is>
      </c>
      <c r="M322" s="4" t="inlineStr">
        <is>
          <t>Lend some luxe to your weekend look. Feel-it-to-believe it Softstreme™ fabric brings slinky softness to this hoodie while the gathered bubble hem adds a playful pop of volume.</t>
        </is>
      </c>
      <c r="N322" s="4" t="inlineStr">
        <is>
          <t>Softstreme-Full-Zip-Hoodie</t>
        </is>
      </c>
      <c r="O322" s="4" t="inlineStr">
        <is>
          <t>Hoodies, Zip Up Sweatshirts</t>
        </is>
      </c>
    </row>
    <row r="323" ht="80" customHeight="1">
      <c r="A323" s="7">
        <f>IMAGE("https://images.lululemon.com/is/image/lululemon/LW3HM8S_033454_1?wid=320&amp;op_usm=0.8",1)</f>
        <v/>
      </c>
      <c r="B323" s="7" t="inlineStr">
        <is>
          <t>Softstreme Full-Zip Hoodie</t>
        </is>
      </c>
      <c r="C323" s="7" t="inlineStr">
        <is>
          <t>157708857</t>
        </is>
      </c>
      <c r="D323" s="7" t="inlineStr">
        <is>
          <t>157708857-palmdeco</t>
        </is>
      </c>
      <c r="E323" s="7" t="inlineStr">
        <is>
          <t>Softstreme™ Full-Zip Hoodie LTIV 2</t>
        </is>
      </c>
      <c r="F323" s="7" t="inlineStr">
        <is>
          <t>$148.00</t>
        </is>
      </c>
      <c r="G323" s="7" t="inlineStr">
        <is>
          <t>$74.00</t>
        </is>
      </c>
      <c r="H323" s="7" t="inlineStr">
        <is>
          <t>Palm Deco</t>
        </is>
      </c>
      <c r="I323" s="7">
        <f>IMAGE("https://images.lululemon.com/is/image/lululemon/35487",1)</f>
        <v/>
      </c>
      <c r="J323" s="7" t="inlineStr">
        <is>
          <t>10</t>
        </is>
      </c>
      <c r="K323" s="7" t="inlineStr">
        <is>
          <t>113/5135</t>
        </is>
      </c>
      <c r="L323" s="7" t="inlineStr">
        <is>
          <t>Yes</t>
        </is>
      </c>
      <c r="M323" s="7" t="inlineStr">
        <is>
          <t>Lend some luxe to your weekend look. Feel-it-to-believe it Softstreme™ fabric brings slinky softness to this hoodie while the gathered bubble hem adds a playful pop of volume.</t>
        </is>
      </c>
      <c r="N323" s="7" t="inlineStr">
        <is>
          <t>Softstreme-Full-Zip-Hoodie</t>
        </is>
      </c>
      <c r="O323" s="7" t="inlineStr">
        <is>
          <t>Hoodies, Zip Up Sweatshirts</t>
        </is>
      </c>
    </row>
    <row r="324" ht="80" customHeight="1">
      <c r="A324" s="4">
        <f>IMAGE("https://images.lululemon.com/is/image/lululemon/LW3HM8S_033454_1?wid=320&amp;op_usm=0.8",1)</f>
        <v/>
      </c>
      <c r="B324" s="4" t="inlineStr">
        <is>
          <t>Softstreme Full-Zip Hoodie</t>
        </is>
      </c>
      <c r="C324" s="4" t="inlineStr">
        <is>
          <t>157708865</t>
        </is>
      </c>
      <c r="D324" s="4" t="inlineStr">
        <is>
          <t>157708865-palmdeco</t>
        </is>
      </c>
      <c r="E324" s="4" t="inlineStr">
        <is>
          <t>Softstreme™ Full-Zip Hoodie LTIV 2</t>
        </is>
      </c>
      <c r="F324" s="4" t="inlineStr">
        <is>
          <t>$148.00</t>
        </is>
      </c>
      <c r="G324" s="4" t="inlineStr">
        <is>
          <t>$74.00</t>
        </is>
      </c>
      <c r="H324" s="4" t="inlineStr">
        <is>
          <t>Palm Deco</t>
        </is>
      </c>
      <c r="I324" s="4">
        <f>IMAGE("https://images.lululemon.com/is/image/lululemon/35487",1)</f>
        <v/>
      </c>
      <c r="J324" s="4" t="inlineStr">
        <is>
          <t>12</t>
        </is>
      </c>
      <c r="K324" s="4" t="inlineStr">
        <is>
          <t>61/5135</t>
        </is>
      </c>
      <c r="L324" s="4" t="inlineStr">
        <is>
          <t>Yes</t>
        </is>
      </c>
      <c r="M324" s="4" t="inlineStr">
        <is>
          <t>Lend some luxe to your weekend look. Feel-it-to-believe it Softstreme™ fabric brings slinky softness to this hoodie while the gathered bubble hem adds a playful pop of volume.</t>
        </is>
      </c>
      <c r="N324" s="4" t="inlineStr">
        <is>
          <t>Softstreme-Full-Zip-Hoodie</t>
        </is>
      </c>
      <c r="O324" s="4" t="inlineStr">
        <is>
          <t>Hoodies, Zip Up Sweatshirts</t>
        </is>
      </c>
    </row>
    <row r="325" ht="80" customHeight="1">
      <c r="A325" s="7">
        <f>IMAGE("https://images.lululemon.com/is/image/lululemon/LW3HM8S_033454_1?wid=320&amp;op_usm=0.8",1)</f>
        <v/>
      </c>
      <c r="B325" s="7" t="inlineStr">
        <is>
          <t>Softstreme Full-Zip Hoodie</t>
        </is>
      </c>
      <c r="C325" s="7" t="inlineStr">
        <is>
          <t>158022882</t>
        </is>
      </c>
      <c r="D325" s="7" t="inlineStr">
        <is>
          <t>158022882-redclay</t>
        </is>
      </c>
      <c r="E325" s="7" t="inlineStr">
        <is>
          <t>Softstreme™ Full-Zip Hoodie LTIV 2</t>
        </is>
      </c>
      <c r="F325" s="7" t="inlineStr">
        <is>
          <t>$148.00</t>
        </is>
      </c>
      <c r="G325" s="7" t="inlineStr">
        <is>
          <t>$74.00</t>
        </is>
      </c>
      <c r="H325" s="7" t="inlineStr">
        <is>
          <t>Red Clay</t>
        </is>
      </c>
      <c r="I325" s="7">
        <f>IMAGE("https://images.lululemon.com/is/image/lululemon/71169",1)</f>
        <v/>
      </c>
      <c r="J325" s="7" t="inlineStr">
        <is>
          <t>2</t>
        </is>
      </c>
      <c r="K325" s="7" t="inlineStr">
        <is>
          <t>33/5135</t>
        </is>
      </c>
      <c r="L325" s="7" t="inlineStr">
        <is>
          <t>Yes</t>
        </is>
      </c>
      <c r="M325" s="7" t="inlineStr">
        <is>
          <t>Lend some luxe to your weekend look. Feel-it-to-believe it Softstreme™ fabric brings slinky softness to this hoodie while the gathered bubble hem adds a playful pop of volume.</t>
        </is>
      </c>
      <c r="N325" s="7" t="inlineStr">
        <is>
          <t>Softstreme-Full-Zip-Hoodie</t>
        </is>
      </c>
      <c r="O325" s="7" t="inlineStr">
        <is>
          <t>Hoodies, Zip Up Sweatshirts</t>
        </is>
      </c>
    </row>
    <row r="326" ht="80" customHeight="1">
      <c r="A326" s="4">
        <f>IMAGE("https://images.lululemon.com/is/image/lululemon/LW3HM8S_033454_1?wid=320&amp;op_usm=0.8",1)</f>
        <v/>
      </c>
      <c r="B326" s="4" t="inlineStr">
        <is>
          <t>Softstreme Full-Zip Hoodie</t>
        </is>
      </c>
      <c r="C326" s="4" t="inlineStr">
        <is>
          <t>158022898</t>
        </is>
      </c>
      <c r="D326" s="4" t="inlineStr">
        <is>
          <t>158022898-redclay</t>
        </is>
      </c>
      <c r="E326" s="4" t="inlineStr">
        <is>
          <t>Softstreme™ Full-Zip Hoodie LTIV 2</t>
        </is>
      </c>
      <c r="F326" s="4" t="inlineStr">
        <is>
          <t>$148.00</t>
        </is>
      </c>
      <c r="G326" s="4" t="inlineStr">
        <is>
          <t>$74.00</t>
        </is>
      </c>
      <c r="H326" s="4" t="inlineStr">
        <is>
          <t>Red Clay</t>
        </is>
      </c>
      <c r="I326" s="4">
        <f>IMAGE("https://images.lululemon.com/is/image/lululemon/71169",1)</f>
        <v/>
      </c>
      <c r="J326" s="4" t="inlineStr">
        <is>
          <t>4</t>
        </is>
      </c>
      <c r="K326" s="4" t="inlineStr">
        <is>
          <t>81/5135</t>
        </is>
      </c>
      <c r="L326" s="4" t="inlineStr">
        <is>
          <t>Yes</t>
        </is>
      </c>
      <c r="M326" s="4" t="inlineStr">
        <is>
          <t>Lend some luxe to your weekend look. Feel-it-to-believe it Softstreme™ fabric brings slinky softness to this hoodie while the gathered bubble hem adds a playful pop of volume.</t>
        </is>
      </c>
      <c r="N326" s="4" t="inlineStr">
        <is>
          <t>Softstreme-Full-Zip-Hoodie</t>
        </is>
      </c>
      <c r="O326" s="4" t="inlineStr">
        <is>
          <t>Hoodies, Zip Up Sweatshirts</t>
        </is>
      </c>
    </row>
    <row r="327" ht="80" customHeight="1">
      <c r="A327" s="7">
        <f>IMAGE("https://images.lululemon.com/is/image/lululemon/LW3HM8S_033454_1?wid=320&amp;op_usm=0.8",1)</f>
        <v/>
      </c>
      <c r="B327" s="7" t="inlineStr">
        <is>
          <t>Softstreme Full-Zip Hoodie</t>
        </is>
      </c>
      <c r="C327" s="7" t="inlineStr">
        <is>
          <t>158022914</t>
        </is>
      </c>
      <c r="D327" s="7" t="inlineStr">
        <is>
          <t>158022914-redclay</t>
        </is>
      </c>
      <c r="E327" s="7" t="inlineStr">
        <is>
          <t>Softstreme™ Full-Zip Hoodie LTIV 2</t>
        </is>
      </c>
      <c r="F327" s="7" t="inlineStr">
        <is>
          <t>$148.00</t>
        </is>
      </c>
      <c r="G327" s="7" t="inlineStr">
        <is>
          <t>$74.00</t>
        </is>
      </c>
      <c r="H327" s="7" t="inlineStr">
        <is>
          <t>Red Clay</t>
        </is>
      </c>
      <c r="I327" s="7">
        <f>IMAGE("https://images.lululemon.com/is/image/lululemon/71169",1)</f>
        <v/>
      </c>
      <c r="J327" s="7" t="inlineStr">
        <is>
          <t>6</t>
        </is>
      </c>
      <c r="K327" s="7" t="inlineStr">
        <is>
          <t>111/5135</t>
        </is>
      </c>
      <c r="L327" s="7" t="inlineStr">
        <is>
          <t>Yes</t>
        </is>
      </c>
      <c r="M327" s="7" t="inlineStr">
        <is>
          <t>Lend some luxe to your weekend look. Feel-it-to-believe it Softstreme™ fabric brings slinky softness to this hoodie while the gathered bubble hem adds a playful pop of volume.</t>
        </is>
      </c>
      <c r="N327" s="7" t="inlineStr">
        <is>
          <t>Softstreme-Full-Zip-Hoodie</t>
        </is>
      </c>
      <c r="O327" s="7" t="inlineStr">
        <is>
          <t>Hoodies, Zip Up Sweatshirts</t>
        </is>
      </c>
    </row>
    <row r="328" ht="80" customHeight="1">
      <c r="A328" s="4">
        <f>IMAGE("https://images.lululemon.com/is/image/lululemon/LW3HM8S_033454_1?wid=320&amp;op_usm=0.8",1)</f>
        <v/>
      </c>
      <c r="B328" s="4" t="inlineStr">
        <is>
          <t>Softstreme Full-Zip Hoodie</t>
        </is>
      </c>
      <c r="C328" s="4" t="inlineStr">
        <is>
          <t>158022934</t>
        </is>
      </c>
      <c r="D328" s="4" t="inlineStr">
        <is>
          <t>158022934-redclay</t>
        </is>
      </c>
      <c r="E328" s="4" t="inlineStr">
        <is>
          <t>Softstreme™ Full-Zip Hoodie LTIV 2</t>
        </is>
      </c>
      <c r="F328" s="4" t="inlineStr">
        <is>
          <t>$148.00</t>
        </is>
      </c>
      <c r="G328" s="4" t="inlineStr">
        <is>
          <t>$74.00</t>
        </is>
      </c>
      <c r="H328" s="4" t="inlineStr">
        <is>
          <t>Red Clay</t>
        </is>
      </c>
      <c r="I328" s="4">
        <f>IMAGE("https://images.lululemon.com/is/image/lululemon/71169",1)</f>
        <v/>
      </c>
      <c r="J328" s="4" t="inlineStr">
        <is>
          <t>8</t>
        </is>
      </c>
      <c r="K328" s="4" t="inlineStr">
        <is>
          <t>105/5135</t>
        </is>
      </c>
      <c r="L328" s="4" t="inlineStr">
        <is>
          <t>Yes</t>
        </is>
      </c>
      <c r="M328" s="4" t="inlineStr">
        <is>
          <t>Lend some luxe to your weekend look. Feel-it-to-believe it Softstreme™ fabric brings slinky softness to this hoodie while the gathered bubble hem adds a playful pop of volume.</t>
        </is>
      </c>
      <c r="N328" s="4" t="inlineStr">
        <is>
          <t>Softstreme-Full-Zip-Hoodie</t>
        </is>
      </c>
      <c r="O328" s="4" t="inlineStr">
        <is>
          <t>Hoodies, Zip Up Sweatshirts</t>
        </is>
      </c>
    </row>
    <row r="329" ht="80" customHeight="1">
      <c r="A329" s="7">
        <f>IMAGE("https://images.lululemon.com/is/image/lululemon/LW3HM8S_033454_1?wid=320&amp;op_usm=0.8",1)</f>
        <v/>
      </c>
      <c r="B329" s="7" t="inlineStr">
        <is>
          <t>Softstreme Full-Zip Hoodie</t>
        </is>
      </c>
      <c r="C329" s="7" t="inlineStr">
        <is>
          <t>158022844</t>
        </is>
      </c>
      <c r="D329" s="7" t="inlineStr">
        <is>
          <t>158022844-redclay</t>
        </is>
      </c>
      <c r="E329" s="7" t="inlineStr">
        <is>
          <t>Softstreme™ Full-Zip Hoodie LTIV 2</t>
        </is>
      </c>
      <c r="F329" s="7" t="inlineStr">
        <is>
          <t>$148.00</t>
        </is>
      </c>
      <c r="G329" s="7" t="inlineStr">
        <is>
          <t>$74.00</t>
        </is>
      </c>
      <c r="H329" s="7" t="inlineStr">
        <is>
          <t>Red Clay</t>
        </is>
      </c>
      <c r="I329" s="7">
        <f>IMAGE("https://images.lululemon.com/is/image/lululemon/71169",1)</f>
        <v/>
      </c>
      <c r="J329" s="7" t="inlineStr">
        <is>
          <t>10</t>
        </is>
      </c>
      <c r="K329" s="7" t="inlineStr">
        <is>
          <t>70/5135</t>
        </is>
      </c>
      <c r="L329" s="7" t="inlineStr">
        <is>
          <t>Yes</t>
        </is>
      </c>
      <c r="M329" s="7" t="inlineStr">
        <is>
          <t>Lend some luxe to your weekend look. Feel-it-to-believe it Softstreme™ fabric brings slinky softness to this hoodie while the gathered bubble hem adds a playful pop of volume.</t>
        </is>
      </c>
      <c r="N329" s="7" t="inlineStr">
        <is>
          <t>Softstreme-Full-Zip-Hoodie</t>
        </is>
      </c>
      <c r="O329" s="7" t="inlineStr">
        <is>
          <t>Hoodies, Zip Up Sweatshirts</t>
        </is>
      </c>
    </row>
    <row r="330" ht="80" customHeight="1">
      <c r="A330" s="6">
        <f>IMAGE("https://images.lululemon.com/is/image/lululemon/LW3HM8S_033454_1?wid=320&amp;op_usm=0.8",1)</f>
        <v/>
      </c>
      <c r="B330" s="6" t="inlineStr">
        <is>
          <t>Softstreme Full-Zip Hoodie</t>
        </is>
      </c>
      <c r="C330" s="6" t="inlineStr">
        <is>
          <t>158022862</t>
        </is>
      </c>
      <c r="D330" s="6" t="inlineStr">
        <is>
          <t>158022862-redclay</t>
        </is>
      </c>
      <c r="E330" s="6" t="inlineStr">
        <is>
          <t>Softstreme™ Full-Zip Hoodie LTIV 2</t>
        </is>
      </c>
      <c r="F330" s="6" t="inlineStr">
        <is>
          <t>$148.00</t>
        </is>
      </c>
      <c r="G330" s="6" t="inlineStr">
        <is>
          <t>$74.00</t>
        </is>
      </c>
      <c r="H330" s="6" t="inlineStr">
        <is>
          <t>Red Clay</t>
        </is>
      </c>
      <c r="I330" s="6">
        <f>IMAGE("https://images.lululemon.com/is/image/lululemon/71169",1)</f>
        <v/>
      </c>
      <c r="J330" s="6" t="inlineStr">
        <is>
          <t>12</t>
        </is>
      </c>
      <c r="K330" s="6" t="inlineStr">
        <is>
          <t>28/5135</t>
        </is>
      </c>
      <c r="L330" s="6" t="inlineStr">
        <is>
          <t>Yes</t>
        </is>
      </c>
      <c r="M330" s="6" t="inlineStr">
        <is>
          <t>Lend some luxe to your weekend look. Feel-it-to-believe it Softstreme™ fabric brings slinky softness to this hoodie while the gathered bubble hem adds a playful pop of volume.</t>
        </is>
      </c>
      <c r="N330" s="6" t="inlineStr">
        <is>
          <t>Softstreme-Full-Zip-Hoodie</t>
        </is>
      </c>
      <c r="O330" s="6" t="inlineStr">
        <is>
          <t>Hoodies, Zip Up Sweatshirts</t>
        </is>
      </c>
    </row>
    <row r="331" ht="80" customHeight="1">
      <c r="A331" s="7">
        <f>IMAGE("https://images.lululemon.com/is/image/lululemon/LW1FGVS_0001_1?wid=320&amp;op_usm=0.8",1)</f>
        <v/>
      </c>
      <c r="B331" s="7" t="inlineStr">
        <is>
          <t>Sculpt Cropped Cross-Vent Tank Top</t>
        </is>
      </c>
      <c r="C331" s="7" t="inlineStr">
        <is>
          <t>157706868</t>
        </is>
      </c>
      <c r="D331" s="7" t="inlineStr">
        <is>
          <t>157706868-black</t>
        </is>
      </c>
      <c r="E331" s="7" t="inlineStr">
        <is>
          <t>Sculpt Cropped Cross-Vent Tank BLK 2</t>
        </is>
      </c>
      <c r="F331" s="7" t="inlineStr">
        <is>
          <t>$58.00</t>
        </is>
      </c>
      <c r="G331" s="7" t="inlineStr">
        <is>
          <t>$29.00</t>
        </is>
      </c>
      <c r="H331" s="7" t="inlineStr">
        <is>
          <t>Black</t>
        </is>
      </c>
      <c r="I331" s="7">
        <f>IMAGE("https://images.lululemon.com/is/image/lululemon/0001",1)</f>
        <v/>
      </c>
      <c r="J331" s="7" t="inlineStr">
        <is>
          <t>2</t>
        </is>
      </c>
      <c r="K331" s="7" t="inlineStr">
        <is>
          <t>30/864</t>
        </is>
      </c>
      <c r="L331" s="7" t="inlineStr">
        <is>
          <t>Yes</t>
        </is>
      </c>
      <c r="M331" s="7" t="inlineStr">
        <is>
          <t>Sprints anyone? This version of our Sculpt tank has mesh overlays and back cutouts for enhanced breathability in sweaty situations.</t>
        </is>
      </c>
      <c r="N331" s="7" t="inlineStr">
        <is>
          <t>Sculpt-Cropped-Cross-Vent-Tank-Top</t>
        </is>
      </c>
      <c r="O331" s="7" t="inlineStr"/>
    </row>
    <row r="332" ht="80" customHeight="1">
      <c r="A332" s="4">
        <f>IMAGE("https://images.lululemon.com/is/image/lululemon/LW1FGVS_0001_1?wid=320&amp;op_usm=0.8",1)</f>
        <v/>
      </c>
      <c r="B332" s="4" t="inlineStr">
        <is>
          <t>Sculpt Cropped Cross-Vent Tank Top</t>
        </is>
      </c>
      <c r="C332" s="4" t="inlineStr">
        <is>
          <t>157706880</t>
        </is>
      </c>
      <c r="D332" s="4" t="inlineStr">
        <is>
          <t>157706880-black</t>
        </is>
      </c>
      <c r="E332" s="4" t="inlineStr">
        <is>
          <t>Sculpt Cropped Cross-Vent Tank BLK 2</t>
        </is>
      </c>
      <c r="F332" s="4" t="inlineStr">
        <is>
          <t>$58.00</t>
        </is>
      </c>
      <c r="G332" s="4" t="inlineStr">
        <is>
          <t>$29.00</t>
        </is>
      </c>
      <c r="H332" s="4" t="inlineStr">
        <is>
          <t>Black</t>
        </is>
      </c>
      <c r="I332" s="4">
        <f>IMAGE("https://images.lululemon.com/is/image/lululemon/0001",1)</f>
        <v/>
      </c>
      <c r="J332" s="4" t="inlineStr">
        <is>
          <t>4</t>
        </is>
      </c>
      <c r="K332" s="4" t="inlineStr">
        <is>
          <t>90/864</t>
        </is>
      </c>
      <c r="L332" s="4" t="inlineStr">
        <is>
          <t>Yes</t>
        </is>
      </c>
      <c r="M332" s="4" t="inlineStr">
        <is>
          <t>Sprints anyone? This version of our Sculpt tank has mesh overlays and back cutouts for enhanced breathability in sweaty situations.</t>
        </is>
      </c>
      <c r="N332" s="4" t="inlineStr">
        <is>
          <t>Sculpt-Cropped-Cross-Vent-Tank-Top</t>
        </is>
      </c>
      <c r="O332" s="4" t="inlineStr"/>
    </row>
    <row r="333" ht="80" customHeight="1">
      <c r="A333" s="7">
        <f>IMAGE("https://images.lululemon.com/is/image/lululemon/LW1FGVS_0001_1?wid=320&amp;op_usm=0.8",1)</f>
        <v/>
      </c>
      <c r="B333" s="7" t="inlineStr">
        <is>
          <t>Sculpt Cropped Cross-Vent Tank Top</t>
        </is>
      </c>
      <c r="C333" s="7" t="inlineStr">
        <is>
          <t>157706894</t>
        </is>
      </c>
      <c r="D333" s="7" t="inlineStr">
        <is>
          <t>157706894-black</t>
        </is>
      </c>
      <c r="E333" s="7" t="inlineStr">
        <is>
          <t>Sculpt Cropped Cross-Vent Tank BLK 2</t>
        </is>
      </c>
      <c r="F333" s="7" t="inlineStr">
        <is>
          <t>$58.00</t>
        </is>
      </c>
      <c r="G333" s="7" t="inlineStr">
        <is>
          <t>$29.00</t>
        </is>
      </c>
      <c r="H333" s="7" t="inlineStr">
        <is>
          <t>Black</t>
        </is>
      </c>
      <c r="I333" s="7">
        <f>IMAGE("https://images.lululemon.com/is/image/lululemon/0001",1)</f>
        <v/>
      </c>
      <c r="J333" s="7" t="inlineStr">
        <is>
          <t>6</t>
        </is>
      </c>
      <c r="K333" s="7" t="inlineStr">
        <is>
          <t>97/864</t>
        </is>
      </c>
      <c r="L333" s="7" t="inlineStr">
        <is>
          <t>Yes</t>
        </is>
      </c>
      <c r="M333" s="7" t="inlineStr">
        <is>
          <t>Sprints anyone? This version of our Sculpt tank has mesh overlays and back cutouts for enhanced breathability in sweaty situations.</t>
        </is>
      </c>
      <c r="N333" s="7" t="inlineStr">
        <is>
          <t>Sculpt-Cropped-Cross-Vent-Tank-Top</t>
        </is>
      </c>
      <c r="O333" s="7" t="inlineStr"/>
    </row>
    <row r="334" ht="80" customHeight="1">
      <c r="A334" s="4">
        <f>IMAGE("https://images.lululemon.com/is/image/lululemon/LW1FGVS_0001_1?wid=320&amp;op_usm=0.8",1)</f>
        <v/>
      </c>
      <c r="B334" s="4" t="inlineStr">
        <is>
          <t>Sculpt Cropped Cross-Vent Tank Top</t>
        </is>
      </c>
      <c r="C334" s="4" t="inlineStr">
        <is>
          <t>157706904</t>
        </is>
      </c>
      <c r="D334" s="4" t="inlineStr">
        <is>
          <t>157706904-black</t>
        </is>
      </c>
      <c r="E334" s="4" t="inlineStr">
        <is>
          <t>Sculpt Cropped Cross-Vent Tank BLK 2</t>
        </is>
      </c>
      <c r="F334" s="4" t="inlineStr">
        <is>
          <t>$58.00</t>
        </is>
      </c>
      <c r="G334" s="4" t="inlineStr">
        <is>
          <t>$29.00</t>
        </is>
      </c>
      <c r="H334" s="4" t="inlineStr">
        <is>
          <t>Black</t>
        </is>
      </c>
      <c r="I334" s="4">
        <f>IMAGE("https://images.lululemon.com/is/image/lululemon/0001",1)</f>
        <v/>
      </c>
      <c r="J334" s="4" t="inlineStr">
        <is>
          <t>8</t>
        </is>
      </c>
      <c r="K334" s="4" t="inlineStr">
        <is>
          <t>84/864</t>
        </is>
      </c>
      <c r="L334" s="4" t="inlineStr">
        <is>
          <t>Yes</t>
        </is>
      </c>
      <c r="M334" s="4" t="inlineStr">
        <is>
          <t>Sprints anyone? This version of our Sculpt tank has mesh overlays and back cutouts for enhanced breathability in sweaty situations.</t>
        </is>
      </c>
      <c r="N334" s="4" t="inlineStr">
        <is>
          <t>Sculpt-Cropped-Cross-Vent-Tank-Top</t>
        </is>
      </c>
      <c r="O334" s="4" t="inlineStr"/>
    </row>
    <row r="335" ht="80" customHeight="1">
      <c r="A335" s="7">
        <f>IMAGE("https://images.lululemon.com/is/image/lululemon/LW1FGVS_0001_1?wid=320&amp;op_usm=0.8",1)</f>
        <v/>
      </c>
      <c r="B335" s="7" t="inlineStr">
        <is>
          <t>Sculpt Cropped Cross-Vent Tank Top</t>
        </is>
      </c>
      <c r="C335" s="7" t="inlineStr">
        <is>
          <t>157706843</t>
        </is>
      </c>
      <c r="D335" s="7" t="inlineStr">
        <is>
          <t>157706843-black</t>
        </is>
      </c>
      <c r="E335" s="7" t="inlineStr">
        <is>
          <t>Sculpt Cropped Cross-Vent Tank BLK 2</t>
        </is>
      </c>
      <c r="F335" s="7" t="inlineStr">
        <is>
          <t>$58.00</t>
        </is>
      </c>
      <c r="G335" s="7" t="inlineStr">
        <is>
          <t>$29.00</t>
        </is>
      </c>
      <c r="H335" s="7" t="inlineStr">
        <is>
          <t>Black</t>
        </is>
      </c>
      <c r="I335" s="7">
        <f>IMAGE("https://images.lululemon.com/is/image/lululemon/0001",1)</f>
        <v/>
      </c>
      <c r="J335" s="7" t="inlineStr">
        <is>
          <t>10</t>
        </is>
      </c>
      <c r="K335" s="7" t="inlineStr">
        <is>
          <t>41/864</t>
        </is>
      </c>
      <c r="L335" s="7" t="inlineStr">
        <is>
          <t>Yes</t>
        </is>
      </c>
      <c r="M335" s="7" t="inlineStr">
        <is>
          <t>Sprints anyone? This version of our Sculpt tank has mesh overlays and back cutouts for enhanced breathability in sweaty situations.</t>
        </is>
      </c>
      <c r="N335" s="7" t="inlineStr">
        <is>
          <t>Sculpt-Cropped-Cross-Vent-Tank-Top</t>
        </is>
      </c>
      <c r="O335" s="7" t="inlineStr"/>
    </row>
    <row r="336" ht="80" customHeight="1">
      <c r="A336" s="4">
        <f>IMAGE("https://images.lululemon.com/is/image/lululemon/LW1FGVS_0001_1?wid=320&amp;op_usm=0.8",1)</f>
        <v/>
      </c>
      <c r="B336" s="4" t="inlineStr">
        <is>
          <t>Sculpt Cropped Cross-Vent Tank Top</t>
        </is>
      </c>
      <c r="C336" s="4" t="inlineStr">
        <is>
          <t>157706858</t>
        </is>
      </c>
      <c r="D336" s="4" t="inlineStr">
        <is>
          <t>157706858-black</t>
        </is>
      </c>
      <c r="E336" s="4" t="inlineStr">
        <is>
          <t>Sculpt Cropped Cross-Vent Tank BLK 2</t>
        </is>
      </c>
      <c r="F336" s="4" t="inlineStr">
        <is>
          <t>$58.00</t>
        </is>
      </c>
      <c r="G336" s="4" t="inlineStr">
        <is>
          <t>$29.00</t>
        </is>
      </c>
      <c r="H336" s="4" t="inlineStr">
        <is>
          <t>Black</t>
        </is>
      </c>
      <c r="I336" s="4">
        <f>IMAGE("https://images.lululemon.com/is/image/lululemon/0001",1)</f>
        <v/>
      </c>
      <c r="J336" s="4" t="inlineStr">
        <is>
          <t>12</t>
        </is>
      </c>
      <c r="K336" s="4" t="inlineStr">
        <is>
          <t>40/864</t>
        </is>
      </c>
      <c r="L336" s="4" t="inlineStr">
        <is>
          <t>Yes</t>
        </is>
      </c>
      <c r="M336" s="4" t="inlineStr">
        <is>
          <t>Sprints anyone? This version of our Sculpt tank has mesh overlays and back cutouts for enhanced breathability in sweaty situations.</t>
        </is>
      </c>
      <c r="N336" s="4" t="inlineStr">
        <is>
          <t>Sculpt-Cropped-Cross-Vent-Tank-Top</t>
        </is>
      </c>
      <c r="O336" s="4" t="inlineStr"/>
    </row>
    <row r="337" ht="80" customHeight="1">
      <c r="A337" s="7">
        <f>IMAGE("https://images.lululemon.com/is/image/lululemon/LW1FGVS_0001_1?wid=320&amp;op_usm=0.8",1)</f>
        <v/>
      </c>
      <c r="B337" s="7" t="inlineStr">
        <is>
          <t>Sculpt Cropped Cross-Vent Tank Top</t>
        </is>
      </c>
      <c r="C337" s="7" t="inlineStr">
        <is>
          <t>157707008</t>
        </is>
      </c>
      <c r="D337" s="7" t="inlineStr">
        <is>
          <t>157707008-blissfulpink</t>
        </is>
      </c>
      <c r="E337" s="7" t="inlineStr">
        <is>
          <t>Sculpt Cropped Cross-Vent Tank BLK 2</t>
        </is>
      </c>
      <c r="F337" s="7" t="inlineStr">
        <is>
          <t>$58.00</t>
        </is>
      </c>
      <c r="G337" s="7" t="inlineStr">
        <is>
          <t>$29.00</t>
        </is>
      </c>
      <c r="H337" s="7" t="inlineStr">
        <is>
          <t>Blissful Pink</t>
        </is>
      </c>
      <c r="I337" s="7">
        <f>IMAGE("https://images.lululemon.com/is/image/lululemon/35486",1)</f>
        <v/>
      </c>
      <c r="J337" s="7" t="inlineStr">
        <is>
          <t>2</t>
        </is>
      </c>
      <c r="K337" s="7" t="inlineStr">
        <is>
          <t>21/864</t>
        </is>
      </c>
      <c r="L337" s="7" t="inlineStr">
        <is>
          <t>Yes</t>
        </is>
      </c>
      <c r="M337" s="7" t="inlineStr">
        <is>
          <t>Sprints anyone? This version of our Sculpt tank has mesh overlays and back cutouts for enhanced breathability in sweaty situations.</t>
        </is>
      </c>
      <c r="N337" s="7" t="inlineStr">
        <is>
          <t>Sculpt-Cropped-Cross-Vent-Tank-Top</t>
        </is>
      </c>
      <c r="O337" s="7" t="inlineStr"/>
    </row>
    <row r="338" ht="80" customHeight="1">
      <c r="A338" s="4">
        <f>IMAGE("https://images.lululemon.com/is/image/lululemon/LW1FGVS_0001_1?wid=320&amp;op_usm=0.8",1)</f>
        <v/>
      </c>
      <c r="B338" s="4" t="inlineStr">
        <is>
          <t>Sculpt Cropped Cross-Vent Tank Top</t>
        </is>
      </c>
      <c r="C338" s="4" t="inlineStr">
        <is>
          <t>157707019</t>
        </is>
      </c>
      <c r="D338" s="4" t="inlineStr">
        <is>
          <t>157707019-blissfulpink</t>
        </is>
      </c>
      <c r="E338" s="4" t="inlineStr">
        <is>
          <t>Sculpt Cropped Cross-Vent Tank BLK 2</t>
        </is>
      </c>
      <c r="F338" s="4" t="inlineStr">
        <is>
          <t>$58.00</t>
        </is>
      </c>
      <c r="G338" s="4" t="inlineStr">
        <is>
          <t>$29.00</t>
        </is>
      </c>
      <c r="H338" s="4" t="inlineStr">
        <is>
          <t>Blissful Pink</t>
        </is>
      </c>
      <c r="I338" s="4">
        <f>IMAGE("https://images.lululemon.com/is/image/lululemon/35486",1)</f>
        <v/>
      </c>
      <c r="J338" s="4" t="inlineStr">
        <is>
          <t>4</t>
        </is>
      </c>
      <c r="K338" s="4" t="inlineStr">
        <is>
          <t>57/864</t>
        </is>
      </c>
      <c r="L338" s="4" t="inlineStr">
        <is>
          <t>Yes</t>
        </is>
      </c>
      <c r="M338" s="4" t="inlineStr">
        <is>
          <t>Sprints anyone? This version of our Sculpt tank has mesh overlays and back cutouts for enhanced breathability in sweaty situations.</t>
        </is>
      </c>
      <c r="N338" s="4" t="inlineStr">
        <is>
          <t>Sculpt-Cropped-Cross-Vent-Tank-Top</t>
        </is>
      </c>
      <c r="O338" s="4" t="inlineStr"/>
    </row>
    <row r="339" ht="80" customHeight="1">
      <c r="A339" s="7">
        <f>IMAGE("https://images.lululemon.com/is/image/lululemon/LW1FGVS_0001_1?wid=320&amp;op_usm=0.8",1)</f>
        <v/>
      </c>
      <c r="B339" s="7" t="inlineStr">
        <is>
          <t>Sculpt Cropped Cross-Vent Tank Top</t>
        </is>
      </c>
      <c r="C339" s="7" t="inlineStr">
        <is>
          <t>157707031</t>
        </is>
      </c>
      <c r="D339" s="7" t="inlineStr">
        <is>
          <t>157707031-blissfulpink</t>
        </is>
      </c>
      <c r="E339" s="7" t="inlineStr">
        <is>
          <t>Sculpt Cropped Cross-Vent Tank BLK 2</t>
        </is>
      </c>
      <c r="F339" s="7" t="inlineStr">
        <is>
          <t>$58.00</t>
        </is>
      </c>
      <c r="G339" s="7" t="inlineStr">
        <is>
          <t>$29.00</t>
        </is>
      </c>
      <c r="H339" s="7" t="inlineStr">
        <is>
          <t>Blissful Pink</t>
        </is>
      </c>
      <c r="I339" s="7">
        <f>IMAGE("https://images.lululemon.com/is/image/lululemon/35486",1)</f>
        <v/>
      </c>
      <c r="J339" s="7" t="inlineStr">
        <is>
          <t>6</t>
        </is>
      </c>
      <c r="K339" s="7" t="inlineStr">
        <is>
          <t>67/864</t>
        </is>
      </c>
      <c r="L339" s="7" t="inlineStr">
        <is>
          <t>Yes</t>
        </is>
      </c>
      <c r="M339" s="7" t="inlineStr">
        <is>
          <t>Sprints anyone? This version of our Sculpt tank has mesh overlays and back cutouts for enhanced breathability in sweaty situations.</t>
        </is>
      </c>
      <c r="N339" s="7" t="inlineStr">
        <is>
          <t>Sculpt-Cropped-Cross-Vent-Tank-Top</t>
        </is>
      </c>
      <c r="O339" s="7" t="inlineStr"/>
    </row>
    <row r="340" ht="80" customHeight="1">
      <c r="A340" s="4">
        <f>IMAGE("https://images.lululemon.com/is/image/lululemon/LW1FGVS_0001_1?wid=320&amp;op_usm=0.8",1)</f>
        <v/>
      </c>
      <c r="B340" s="4" t="inlineStr">
        <is>
          <t>Sculpt Cropped Cross-Vent Tank Top</t>
        </is>
      </c>
      <c r="C340" s="4" t="inlineStr">
        <is>
          <t>157707040</t>
        </is>
      </c>
      <c r="D340" s="4" t="inlineStr">
        <is>
          <t>157707040-blissfulpink</t>
        </is>
      </c>
      <c r="E340" s="4" t="inlineStr">
        <is>
          <t>Sculpt Cropped Cross-Vent Tank BLK 2</t>
        </is>
      </c>
      <c r="F340" s="4" t="inlineStr">
        <is>
          <t>$58.00</t>
        </is>
      </c>
      <c r="G340" s="4" t="inlineStr">
        <is>
          <t>$29.00</t>
        </is>
      </c>
      <c r="H340" s="4" t="inlineStr">
        <is>
          <t>Blissful Pink</t>
        </is>
      </c>
      <c r="I340" s="4">
        <f>IMAGE("https://images.lululemon.com/is/image/lululemon/35486",1)</f>
        <v/>
      </c>
      <c r="J340" s="4" t="inlineStr">
        <is>
          <t>8</t>
        </is>
      </c>
      <c r="K340" s="4" t="inlineStr">
        <is>
          <t>50/864</t>
        </is>
      </c>
      <c r="L340" s="4" t="inlineStr">
        <is>
          <t>Yes</t>
        </is>
      </c>
      <c r="M340" s="4" t="inlineStr">
        <is>
          <t>Sprints anyone? This version of our Sculpt tank has mesh overlays and back cutouts for enhanced breathability in sweaty situations.</t>
        </is>
      </c>
      <c r="N340" s="4" t="inlineStr">
        <is>
          <t>Sculpt-Cropped-Cross-Vent-Tank-Top</t>
        </is>
      </c>
      <c r="O340" s="4" t="inlineStr"/>
    </row>
    <row r="341" ht="80" customHeight="1">
      <c r="A341" s="7">
        <f>IMAGE("https://images.lululemon.com/is/image/lululemon/LW1FGVS_0001_1?wid=320&amp;op_usm=0.8",1)</f>
        <v/>
      </c>
      <c r="B341" s="7" t="inlineStr">
        <is>
          <t>Sculpt Cropped Cross-Vent Tank Top</t>
        </is>
      </c>
      <c r="C341" s="7" t="inlineStr">
        <is>
          <t>157706985</t>
        </is>
      </c>
      <c r="D341" s="7" t="inlineStr">
        <is>
          <t>157706985-blissfulpink</t>
        </is>
      </c>
      <c r="E341" s="7" t="inlineStr">
        <is>
          <t>Sculpt Cropped Cross-Vent Tank BLK 2</t>
        </is>
      </c>
      <c r="F341" s="7" t="inlineStr">
        <is>
          <t>$58.00</t>
        </is>
      </c>
      <c r="G341" s="7" t="inlineStr">
        <is>
          <t>$29.00</t>
        </is>
      </c>
      <c r="H341" s="7" t="inlineStr">
        <is>
          <t>Blissful Pink</t>
        </is>
      </c>
      <c r="I341" s="7">
        <f>IMAGE("https://images.lululemon.com/is/image/lululemon/35486",1)</f>
        <v/>
      </c>
      <c r="J341" s="7" t="inlineStr">
        <is>
          <t>10</t>
        </is>
      </c>
      <c r="K341" s="7" t="inlineStr">
        <is>
          <t>30/864</t>
        </is>
      </c>
      <c r="L341" s="7" t="inlineStr">
        <is>
          <t>Yes</t>
        </is>
      </c>
      <c r="M341" s="7" t="inlineStr">
        <is>
          <t>Sprints anyone? This version of our Sculpt tank has mesh overlays and back cutouts for enhanced breathability in sweaty situations.</t>
        </is>
      </c>
      <c r="N341" s="7" t="inlineStr">
        <is>
          <t>Sculpt-Cropped-Cross-Vent-Tank-Top</t>
        </is>
      </c>
      <c r="O341" s="7" t="inlineStr"/>
    </row>
    <row r="342" ht="80" customHeight="1">
      <c r="A342" s="4">
        <f>IMAGE("https://images.lululemon.com/is/image/lululemon/LW1FGVS_0001_1?wid=320&amp;op_usm=0.8",1)</f>
        <v/>
      </c>
      <c r="B342" s="4" t="inlineStr">
        <is>
          <t>Sculpt Cropped Cross-Vent Tank Top</t>
        </is>
      </c>
      <c r="C342" s="4" t="inlineStr">
        <is>
          <t>157706998</t>
        </is>
      </c>
      <c r="D342" s="4" t="inlineStr">
        <is>
          <t>157706998-blissfulpink</t>
        </is>
      </c>
      <c r="E342" s="4" t="inlineStr">
        <is>
          <t>Sculpt Cropped Cross-Vent Tank BLK 2</t>
        </is>
      </c>
      <c r="F342" s="4" t="inlineStr">
        <is>
          <t>$58.00</t>
        </is>
      </c>
      <c r="G342" s="4" t="inlineStr">
        <is>
          <t>$29.00</t>
        </is>
      </c>
      <c r="H342" s="4" t="inlineStr">
        <is>
          <t>Blissful Pink</t>
        </is>
      </c>
      <c r="I342" s="4">
        <f>IMAGE("https://images.lululemon.com/is/image/lululemon/35486",1)</f>
        <v/>
      </c>
      <c r="J342" s="4" t="inlineStr">
        <is>
          <t>12</t>
        </is>
      </c>
      <c r="K342" s="4" t="inlineStr">
        <is>
          <t>25/864</t>
        </is>
      </c>
      <c r="L342" s="4" t="inlineStr">
        <is>
          <t>Yes</t>
        </is>
      </c>
      <c r="M342" s="4" t="inlineStr">
        <is>
          <t>Sprints anyone? This version of our Sculpt tank has mesh overlays and back cutouts for enhanced breathability in sweaty situations.</t>
        </is>
      </c>
      <c r="N342" s="4" t="inlineStr">
        <is>
          <t>Sculpt-Cropped-Cross-Vent-Tank-Top</t>
        </is>
      </c>
      <c r="O342" s="4" t="inlineStr"/>
    </row>
    <row r="343" ht="80" customHeight="1">
      <c r="A343" s="7">
        <f>IMAGE("https://images.lululemon.com/is/image/lululemon/LW1FGVS_0001_1?wid=320&amp;op_usm=0.8",1)</f>
        <v/>
      </c>
      <c r="B343" s="7" t="inlineStr">
        <is>
          <t>Sculpt Cropped Cross-Vent Tank Top</t>
        </is>
      </c>
      <c r="C343" s="7" t="inlineStr">
        <is>
          <t>157707079</t>
        </is>
      </c>
      <c r="D343" s="7" t="inlineStr">
        <is>
          <t>157707079-palmdeco</t>
        </is>
      </c>
      <c r="E343" s="7" t="inlineStr">
        <is>
          <t>Sculpt Cropped Cross-Vent Tank BLK 2</t>
        </is>
      </c>
      <c r="F343" s="7" t="inlineStr">
        <is>
          <t>$58.00</t>
        </is>
      </c>
      <c r="G343" s="7" t="inlineStr">
        <is>
          <t>$29.00</t>
        </is>
      </c>
      <c r="H343" s="7" t="inlineStr">
        <is>
          <t>Palm Deco</t>
        </is>
      </c>
      <c r="I343" s="7">
        <f>IMAGE("https://images.lululemon.com/is/image/lululemon/35487",1)</f>
        <v/>
      </c>
      <c r="J343" s="7" t="inlineStr">
        <is>
          <t>2</t>
        </is>
      </c>
      <c r="K343" s="7" t="inlineStr">
        <is>
          <t>19/864</t>
        </is>
      </c>
      <c r="L343" s="7" t="inlineStr">
        <is>
          <t>Yes</t>
        </is>
      </c>
      <c r="M343" s="7" t="inlineStr">
        <is>
          <t>Sprints anyone? This version of our Sculpt tank has mesh overlays and back cutouts for enhanced breathability in sweaty situations.</t>
        </is>
      </c>
      <c r="N343" s="7" t="inlineStr">
        <is>
          <t>Sculpt-Cropped-Cross-Vent-Tank-Top</t>
        </is>
      </c>
      <c r="O343" s="7" t="inlineStr"/>
    </row>
    <row r="344" ht="80" customHeight="1">
      <c r="A344" s="4">
        <f>IMAGE("https://images.lululemon.com/is/image/lululemon/LW1FGVS_0001_1?wid=320&amp;op_usm=0.8",1)</f>
        <v/>
      </c>
      <c r="B344" s="4" t="inlineStr">
        <is>
          <t>Sculpt Cropped Cross-Vent Tank Top</t>
        </is>
      </c>
      <c r="C344" s="4" t="inlineStr">
        <is>
          <t>157707092</t>
        </is>
      </c>
      <c r="D344" s="4" t="inlineStr">
        <is>
          <t>157707092-palmdeco</t>
        </is>
      </c>
      <c r="E344" s="4" t="inlineStr">
        <is>
          <t>Sculpt Cropped Cross-Vent Tank BLK 2</t>
        </is>
      </c>
      <c r="F344" s="4" t="inlineStr">
        <is>
          <t>$58.00</t>
        </is>
      </c>
      <c r="G344" s="4" t="inlineStr">
        <is>
          <t>$29.00</t>
        </is>
      </c>
      <c r="H344" s="4" t="inlineStr">
        <is>
          <t>Palm Deco</t>
        </is>
      </c>
      <c r="I344" s="4">
        <f>IMAGE("https://images.lululemon.com/is/image/lululemon/35487",1)</f>
        <v/>
      </c>
      <c r="J344" s="4" t="inlineStr">
        <is>
          <t>4</t>
        </is>
      </c>
      <c r="K344" s="4" t="inlineStr">
        <is>
          <t>51/864</t>
        </is>
      </c>
      <c r="L344" s="4" t="inlineStr">
        <is>
          <t>Yes</t>
        </is>
      </c>
      <c r="M344" s="4" t="inlineStr">
        <is>
          <t>Sprints anyone? This version of our Sculpt tank has mesh overlays and back cutouts for enhanced breathability in sweaty situations.</t>
        </is>
      </c>
      <c r="N344" s="4" t="inlineStr">
        <is>
          <t>Sculpt-Cropped-Cross-Vent-Tank-Top</t>
        </is>
      </c>
      <c r="O344" s="4" t="inlineStr"/>
    </row>
    <row r="345" ht="80" customHeight="1">
      <c r="A345" s="7">
        <f>IMAGE("https://images.lululemon.com/is/image/lululemon/LW1FGVS_0001_1?wid=320&amp;op_usm=0.8",1)</f>
        <v/>
      </c>
      <c r="B345" s="7" t="inlineStr">
        <is>
          <t>Sculpt Cropped Cross-Vent Tank Top</t>
        </is>
      </c>
      <c r="C345" s="7" t="inlineStr">
        <is>
          <t>157707098</t>
        </is>
      </c>
      <c r="D345" s="7" t="inlineStr">
        <is>
          <t>157707098-palmdeco</t>
        </is>
      </c>
      <c r="E345" s="7" t="inlineStr">
        <is>
          <t>Sculpt Cropped Cross-Vent Tank BLK 2</t>
        </is>
      </c>
      <c r="F345" s="7" t="inlineStr">
        <is>
          <t>$58.00</t>
        </is>
      </c>
      <c r="G345" s="7" t="inlineStr">
        <is>
          <t>$29.00</t>
        </is>
      </c>
      <c r="H345" s="7" t="inlineStr">
        <is>
          <t>Palm Deco</t>
        </is>
      </c>
      <c r="I345" s="7">
        <f>IMAGE("https://images.lululemon.com/is/image/lululemon/35487",1)</f>
        <v/>
      </c>
      <c r="J345" s="7" t="inlineStr">
        <is>
          <t>6</t>
        </is>
      </c>
      <c r="K345" s="7" t="inlineStr">
        <is>
          <t>62/864</t>
        </is>
      </c>
      <c r="L345" s="7" t="inlineStr">
        <is>
          <t>Yes</t>
        </is>
      </c>
      <c r="M345" s="7" t="inlineStr">
        <is>
          <t>Sprints anyone? This version of our Sculpt tank has mesh overlays and back cutouts for enhanced breathability in sweaty situations.</t>
        </is>
      </c>
      <c r="N345" s="7" t="inlineStr">
        <is>
          <t>Sculpt-Cropped-Cross-Vent-Tank-Top</t>
        </is>
      </c>
      <c r="O345" s="7" t="inlineStr"/>
    </row>
    <row r="346" ht="80" customHeight="1">
      <c r="A346" s="4">
        <f>IMAGE("https://images.lululemon.com/is/image/lululemon/LW1FGVS_0001_1?wid=320&amp;op_usm=0.8",1)</f>
        <v/>
      </c>
      <c r="B346" s="4" t="inlineStr">
        <is>
          <t>Sculpt Cropped Cross-Vent Tank Top</t>
        </is>
      </c>
      <c r="C346" s="4" t="inlineStr">
        <is>
          <t>157707112</t>
        </is>
      </c>
      <c r="D346" s="4" t="inlineStr">
        <is>
          <t>157707112-palmdeco</t>
        </is>
      </c>
      <c r="E346" s="4" t="inlineStr">
        <is>
          <t>Sculpt Cropped Cross-Vent Tank BLK 2</t>
        </is>
      </c>
      <c r="F346" s="4" t="inlineStr">
        <is>
          <t>$58.00</t>
        </is>
      </c>
      <c r="G346" s="4" t="inlineStr">
        <is>
          <t>$29.00</t>
        </is>
      </c>
      <c r="H346" s="4" t="inlineStr">
        <is>
          <t>Palm Deco</t>
        </is>
      </c>
      <c r="I346" s="4">
        <f>IMAGE("https://images.lululemon.com/is/image/lululemon/35487",1)</f>
        <v/>
      </c>
      <c r="J346" s="4" t="inlineStr">
        <is>
          <t>8</t>
        </is>
      </c>
      <c r="K346" s="4" t="inlineStr">
        <is>
          <t>51/864</t>
        </is>
      </c>
      <c r="L346" s="4" t="inlineStr">
        <is>
          <t>Yes</t>
        </is>
      </c>
      <c r="M346" s="4" t="inlineStr">
        <is>
          <t>Sprints anyone? This version of our Sculpt tank has mesh overlays and back cutouts for enhanced breathability in sweaty situations.</t>
        </is>
      </c>
      <c r="N346" s="4" t="inlineStr">
        <is>
          <t>Sculpt-Cropped-Cross-Vent-Tank-Top</t>
        </is>
      </c>
      <c r="O346" s="4" t="inlineStr"/>
    </row>
    <row r="347" ht="80" customHeight="1">
      <c r="A347" s="7">
        <f>IMAGE("https://images.lululemon.com/is/image/lululemon/LW1FGVS_0001_1?wid=320&amp;op_usm=0.8",1)</f>
        <v/>
      </c>
      <c r="B347" s="7" t="inlineStr">
        <is>
          <t>Sculpt Cropped Cross-Vent Tank Top</t>
        </is>
      </c>
      <c r="C347" s="7" t="inlineStr">
        <is>
          <t>157707051</t>
        </is>
      </c>
      <c r="D347" s="7" t="inlineStr">
        <is>
          <t>157707051-palmdeco</t>
        </is>
      </c>
      <c r="E347" s="7" t="inlineStr">
        <is>
          <t>Sculpt Cropped Cross-Vent Tank BLK 2</t>
        </is>
      </c>
      <c r="F347" s="7" t="inlineStr">
        <is>
          <t>$58.00</t>
        </is>
      </c>
      <c r="G347" s="7" t="inlineStr">
        <is>
          <t>$29.00</t>
        </is>
      </c>
      <c r="H347" s="7" t="inlineStr">
        <is>
          <t>Palm Deco</t>
        </is>
      </c>
      <c r="I347" s="7">
        <f>IMAGE("https://images.lululemon.com/is/image/lululemon/35487",1)</f>
        <v/>
      </c>
      <c r="J347" s="7" t="inlineStr">
        <is>
          <t>10</t>
        </is>
      </c>
      <c r="K347" s="7" t="inlineStr">
        <is>
          <t>30/864</t>
        </is>
      </c>
      <c r="L347" s="7" t="inlineStr">
        <is>
          <t>Yes</t>
        </is>
      </c>
      <c r="M347" s="7" t="inlineStr">
        <is>
          <t>Sprints anyone? This version of our Sculpt tank has mesh overlays and back cutouts for enhanced breathability in sweaty situations.</t>
        </is>
      </c>
      <c r="N347" s="7" t="inlineStr">
        <is>
          <t>Sculpt-Cropped-Cross-Vent-Tank-Top</t>
        </is>
      </c>
      <c r="O347" s="7" t="inlineStr"/>
    </row>
    <row r="348" ht="80" customHeight="1">
      <c r="A348" s="6">
        <f>IMAGE("https://images.lululemon.com/is/image/lululemon/LW1FGVS_0001_1?wid=320&amp;op_usm=0.8",1)</f>
        <v/>
      </c>
      <c r="B348" s="6" t="inlineStr">
        <is>
          <t>Sculpt Cropped Cross-Vent Tank Top</t>
        </is>
      </c>
      <c r="C348" s="6" t="inlineStr">
        <is>
          <t>157707061</t>
        </is>
      </c>
      <c r="D348" s="6" t="inlineStr">
        <is>
          <t>157707061-palmdeco</t>
        </is>
      </c>
      <c r="E348" s="6" t="inlineStr">
        <is>
          <t>Sculpt Cropped Cross-Vent Tank BLK 2</t>
        </is>
      </c>
      <c r="F348" s="6" t="inlineStr">
        <is>
          <t>$58.00</t>
        </is>
      </c>
      <c r="G348" s="6" t="inlineStr">
        <is>
          <t>$29.00</t>
        </is>
      </c>
      <c r="H348" s="6" t="inlineStr">
        <is>
          <t>Palm Deco</t>
        </is>
      </c>
      <c r="I348" s="6">
        <f>IMAGE("https://images.lululemon.com/is/image/lululemon/35487",1)</f>
        <v/>
      </c>
      <c r="J348" s="6" t="inlineStr">
        <is>
          <t>12</t>
        </is>
      </c>
      <c r="K348" s="6" t="inlineStr">
        <is>
          <t>19/864</t>
        </is>
      </c>
      <c r="L348" s="6" t="inlineStr">
        <is>
          <t>Yes</t>
        </is>
      </c>
      <c r="M348" s="6" t="inlineStr">
        <is>
          <t>Sprints anyone? This version of our Sculpt tank has mesh overlays and back cutouts for enhanced breathability in sweaty situations.</t>
        </is>
      </c>
      <c r="N348" s="6" t="inlineStr">
        <is>
          <t>Sculpt-Cropped-Cross-Vent-Tank-Top</t>
        </is>
      </c>
      <c r="O348" s="6" t="inlineStr"/>
    </row>
    <row r="349" ht="80" customHeight="1">
      <c r="A349" s="7">
        <f>IMAGE("https://images.lululemon.com/is/image/lululemon/LW7AYYR_031382_1?wid=320&amp;op_usm=0.8",1)</f>
        <v/>
      </c>
      <c r="B349" s="7" t="inlineStr">
        <is>
          <t>Hotty Hot High-Rise Lined Short 2.5"</t>
        </is>
      </c>
      <c r="C349" s="7" t="inlineStr">
        <is>
          <t>132275364</t>
        </is>
      </c>
      <c r="D349" s="7" t="inlineStr">
        <is>
          <t>132275364-truenavy</t>
        </is>
      </c>
      <c r="E349" s="7" t="inlineStr">
        <is>
          <t>Hotty Hot HR Short 2.5" *Lined TRNV 2</t>
        </is>
      </c>
      <c r="F349" s="7" t="inlineStr">
        <is>
          <t>$68.00</t>
        </is>
      </c>
      <c r="G349" s="7" t="inlineStr">
        <is>
          <t>$34.00</t>
        </is>
      </c>
      <c r="H349" s="7" t="inlineStr">
        <is>
          <t>True Navy</t>
        </is>
      </c>
      <c r="I349" s="7">
        <f>IMAGE("https://images.lululemon.com/is/image/lululemon/31382",1)</f>
        <v/>
      </c>
      <c r="J349" s="7" t="inlineStr">
        <is>
          <t>2</t>
        </is>
      </c>
      <c r="K349" s="7" t="inlineStr">
        <is>
          <t>44/6964</t>
        </is>
      </c>
      <c r="L349" s="7" t="inlineStr">
        <is>
          <t>Yes</t>
        </is>
      </c>
      <c r="M349" s="7" t="inlineStr">
        <is>
          <t>Max out that stride. We designed these run shorts with a little extra room so you can move freely.</t>
        </is>
      </c>
      <c r="N349" s="7" t="inlineStr">
        <is>
          <t>Hotty-Hot-Short-HR</t>
        </is>
      </c>
      <c r="O349" s="7" t="inlineStr">
        <is>
          <t>Athletic Shorts, Liner Shorts, Track Shorts</t>
        </is>
      </c>
    </row>
    <row r="350" ht="80" customHeight="1">
      <c r="A350" s="4">
        <f>IMAGE("https://images.lululemon.com/is/image/lululemon/LW7AYYR_031382_1?wid=320&amp;op_usm=0.8",1)</f>
        <v/>
      </c>
      <c r="B350" s="4" t="inlineStr">
        <is>
          <t>Hotty Hot High-Rise Lined Short 2.5"</t>
        </is>
      </c>
      <c r="C350" s="4" t="inlineStr">
        <is>
          <t>132275376</t>
        </is>
      </c>
      <c r="D350" s="4" t="inlineStr">
        <is>
          <t>132275376-truenavy</t>
        </is>
      </c>
      <c r="E350" s="4" t="inlineStr">
        <is>
          <t>Hotty Hot HR Short 2.5" *Lined TRNV 2</t>
        </is>
      </c>
      <c r="F350" s="4" t="inlineStr">
        <is>
          <t>$68.00</t>
        </is>
      </c>
      <c r="G350" s="4" t="inlineStr">
        <is>
          <t>$34.00</t>
        </is>
      </c>
      <c r="H350" s="4" t="inlineStr">
        <is>
          <t>True Navy</t>
        </is>
      </c>
      <c r="I350" s="4">
        <f>IMAGE("https://images.lululemon.com/is/image/lululemon/31382",1)</f>
        <v/>
      </c>
      <c r="J350" s="4" t="inlineStr">
        <is>
          <t>4</t>
        </is>
      </c>
      <c r="K350" s="4" t="inlineStr">
        <is>
          <t>77/6964</t>
        </is>
      </c>
      <c r="L350" s="4" t="inlineStr">
        <is>
          <t>Yes</t>
        </is>
      </c>
      <c r="M350" s="4" t="inlineStr">
        <is>
          <t>Max out that stride. We designed these run shorts with a little extra room so you can move freely.</t>
        </is>
      </c>
      <c r="N350" s="4" t="inlineStr">
        <is>
          <t>Hotty-Hot-Short-HR</t>
        </is>
      </c>
      <c r="O350" s="4" t="inlineStr">
        <is>
          <t>Athletic Shorts, Liner Shorts, Track Shorts</t>
        </is>
      </c>
    </row>
    <row r="351" ht="80" customHeight="1">
      <c r="A351" s="7">
        <f>IMAGE("https://images.lululemon.com/is/image/lululemon/LW7AYYR_031382_1?wid=320&amp;op_usm=0.8",1)</f>
        <v/>
      </c>
      <c r="B351" s="7" t="inlineStr">
        <is>
          <t>Hotty Hot High-Rise Lined Short 2.5"</t>
        </is>
      </c>
      <c r="C351" s="7" t="inlineStr">
        <is>
          <t>132275379</t>
        </is>
      </c>
      <c r="D351" s="7" t="inlineStr">
        <is>
          <t>132275379-truenavy</t>
        </is>
      </c>
      <c r="E351" s="7" t="inlineStr">
        <is>
          <t>Hotty Hot HR Short 2.5" *Lined TRNV 2</t>
        </is>
      </c>
      <c r="F351" s="7" t="inlineStr">
        <is>
          <t>$68.00</t>
        </is>
      </c>
      <c r="G351" s="7" t="inlineStr">
        <is>
          <t>$34.00</t>
        </is>
      </c>
      <c r="H351" s="7" t="inlineStr">
        <is>
          <t>True Navy</t>
        </is>
      </c>
      <c r="I351" s="7">
        <f>IMAGE("https://images.lululemon.com/is/image/lululemon/31382",1)</f>
        <v/>
      </c>
      <c r="J351" s="7" t="inlineStr">
        <is>
          <t>6</t>
        </is>
      </c>
      <c r="K351" s="7" t="inlineStr">
        <is>
          <t>223/6964</t>
        </is>
      </c>
      <c r="L351" s="7" t="inlineStr">
        <is>
          <t>Yes</t>
        </is>
      </c>
      <c r="M351" s="7" t="inlineStr">
        <is>
          <t>Max out that stride. We designed these run shorts with a little extra room so you can move freely.</t>
        </is>
      </c>
      <c r="N351" s="7" t="inlineStr">
        <is>
          <t>Hotty-Hot-Short-HR</t>
        </is>
      </c>
      <c r="O351" s="7" t="inlineStr">
        <is>
          <t>Athletic Shorts, Liner Shorts, Track Shorts</t>
        </is>
      </c>
    </row>
    <row r="352" ht="80" customHeight="1">
      <c r="A352" s="4">
        <f>IMAGE("https://images.lululemon.com/is/image/lululemon/LW7AYYR_031382_1?wid=320&amp;op_usm=0.8",1)</f>
        <v/>
      </c>
      <c r="B352" s="4" t="inlineStr">
        <is>
          <t>Hotty Hot High-Rise Lined Short 2.5"</t>
        </is>
      </c>
      <c r="C352" s="4" t="inlineStr">
        <is>
          <t>132275381</t>
        </is>
      </c>
      <c r="D352" s="4" t="inlineStr">
        <is>
          <t>132275381-truenavy</t>
        </is>
      </c>
      <c r="E352" s="4" t="inlineStr">
        <is>
          <t>Hotty Hot HR Short 2.5" *Lined TRNV 2</t>
        </is>
      </c>
      <c r="F352" s="4" t="inlineStr">
        <is>
          <t>$68.00</t>
        </is>
      </c>
      <c r="G352" s="4" t="inlineStr">
        <is>
          <t>$34.00</t>
        </is>
      </c>
      <c r="H352" s="4" t="inlineStr">
        <is>
          <t>True Navy</t>
        </is>
      </c>
      <c r="I352" s="4">
        <f>IMAGE("https://images.lululemon.com/is/image/lululemon/31382",1)</f>
        <v/>
      </c>
      <c r="J352" s="4" t="inlineStr">
        <is>
          <t>8</t>
        </is>
      </c>
      <c r="K352" s="4" t="inlineStr">
        <is>
          <t>203/6964</t>
        </is>
      </c>
      <c r="L352" s="4" t="inlineStr">
        <is>
          <t>Yes</t>
        </is>
      </c>
      <c r="M352" s="4" t="inlineStr">
        <is>
          <t>Max out that stride. We designed these run shorts with a little extra room so you can move freely.</t>
        </is>
      </c>
      <c r="N352" s="4" t="inlineStr">
        <is>
          <t>Hotty-Hot-Short-HR</t>
        </is>
      </c>
      <c r="O352" s="4" t="inlineStr">
        <is>
          <t>Athletic Shorts, Liner Shorts, Track Shorts</t>
        </is>
      </c>
    </row>
    <row r="353" ht="80" customHeight="1">
      <c r="A353" s="7">
        <f>IMAGE("https://images.lululemon.com/is/image/lululemon/LW7AYYR_031382_1?wid=320&amp;op_usm=0.8",1)</f>
        <v/>
      </c>
      <c r="B353" s="7" t="inlineStr">
        <is>
          <t>Hotty Hot High-Rise Lined Short 2.5"</t>
        </is>
      </c>
      <c r="C353" s="7" t="inlineStr">
        <is>
          <t>132275346</t>
        </is>
      </c>
      <c r="D353" s="7" t="inlineStr">
        <is>
          <t>132275346-truenavy</t>
        </is>
      </c>
      <c r="E353" s="7" t="inlineStr">
        <is>
          <t>Hotty Hot HR Short 2.5" *Lined TRNV 2</t>
        </is>
      </c>
      <c r="F353" s="7" t="inlineStr">
        <is>
          <t>$68.00</t>
        </is>
      </c>
      <c r="G353" s="7" t="inlineStr">
        <is>
          <t>$34.00</t>
        </is>
      </c>
      <c r="H353" s="7" t="inlineStr">
        <is>
          <t>True Navy</t>
        </is>
      </c>
      <c r="I353" s="7">
        <f>IMAGE("https://images.lululemon.com/is/image/lululemon/31382",1)</f>
        <v/>
      </c>
      <c r="J353" s="7" t="inlineStr">
        <is>
          <t>10</t>
        </is>
      </c>
      <c r="K353" s="7" t="inlineStr">
        <is>
          <t>225/6964</t>
        </is>
      </c>
      <c r="L353" s="7" t="inlineStr">
        <is>
          <t>Yes</t>
        </is>
      </c>
      <c r="M353" s="7" t="inlineStr">
        <is>
          <t>Max out that stride. We designed these run shorts with a little extra room so you can move freely.</t>
        </is>
      </c>
      <c r="N353" s="7" t="inlineStr">
        <is>
          <t>Hotty-Hot-Short-HR</t>
        </is>
      </c>
      <c r="O353" s="7" t="inlineStr">
        <is>
          <t>Athletic Shorts, Liner Shorts, Track Shorts</t>
        </is>
      </c>
    </row>
    <row r="354" ht="80" customHeight="1">
      <c r="A354" s="4">
        <f>IMAGE("https://images.lululemon.com/is/image/lululemon/LW7AYYR_031382_1?wid=320&amp;op_usm=0.8",1)</f>
        <v/>
      </c>
      <c r="B354" s="4" t="inlineStr">
        <is>
          <t>Hotty Hot High-Rise Lined Short 2.5"</t>
        </is>
      </c>
      <c r="C354" s="4" t="inlineStr">
        <is>
          <t>132275351</t>
        </is>
      </c>
      <c r="D354" s="4" t="inlineStr">
        <is>
          <t>132275351-truenavy</t>
        </is>
      </c>
      <c r="E354" s="4" t="inlineStr">
        <is>
          <t>Hotty Hot HR Short 2.5" *Lined TRNV 2</t>
        </is>
      </c>
      <c r="F354" s="4" t="inlineStr">
        <is>
          <t>$68.00</t>
        </is>
      </c>
      <c r="G354" s="4" t="inlineStr">
        <is>
          <t>$34.00</t>
        </is>
      </c>
      <c r="H354" s="4" t="inlineStr">
        <is>
          <t>True Navy</t>
        </is>
      </c>
      <c r="I354" s="4">
        <f>IMAGE("https://images.lululemon.com/is/image/lululemon/31382",1)</f>
        <v/>
      </c>
      <c r="J354" s="4" t="inlineStr">
        <is>
          <t>12</t>
        </is>
      </c>
      <c r="K354" s="4" t="inlineStr">
        <is>
          <t>198/6964</t>
        </is>
      </c>
      <c r="L354" s="4" t="inlineStr">
        <is>
          <t>Yes</t>
        </is>
      </c>
      <c r="M354" s="4" t="inlineStr">
        <is>
          <t>Max out that stride. We designed these run shorts with a little extra room so you can move freely.</t>
        </is>
      </c>
      <c r="N354" s="4" t="inlineStr">
        <is>
          <t>Hotty-Hot-Short-HR</t>
        </is>
      </c>
      <c r="O354" s="4" t="inlineStr">
        <is>
          <t>Athletic Shorts, Liner Shorts, Track Shorts</t>
        </is>
      </c>
    </row>
    <row r="355" ht="80" customHeight="1">
      <c r="A355" s="7">
        <f>IMAGE("https://images.lululemon.com/is/image/lululemon/LW7AYYR_031382_1?wid=320&amp;op_usm=0.8",1)</f>
        <v/>
      </c>
      <c r="B355" s="7" t="inlineStr">
        <is>
          <t>Hotty Hot High-Rise Lined Short 2.5"</t>
        </is>
      </c>
      <c r="C355" s="7" t="inlineStr">
        <is>
          <t>132275355</t>
        </is>
      </c>
      <c r="D355" s="7" t="inlineStr">
        <is>
          <t>132275355-truenavy</t>
        </is>
      </c>
      <c r="E355" s="7" t="inlineStr">
        <is>
          <t>Hotty Hot HR Short 2.5" *Lined TRNV 2</t>
        </is>
      </c>
      <c r="F355" s="7" t="inlineStr">
        <is>
          <t>$68.00</t>
        </is>
      </c>
      <c r="G355" s="7" t="inlineStr">
        <is>
          <t>$34.00</t>
        </is>
      </c>
      <c r="H355" s="7" t="inlineStr">
        <is>
          <t>True Navy</t>
        </is>
      </c>
      <c r="I355" s="7">
        <f>IMAGE("https://images.lululemon.com/is/image/lululemon/31382",1)</f>
        <v/>
      </c>
      <c r="J355" s="7" t="inlineStr">
        <is>
          <t>14</t>
        </is>
      </c>
      <c r="K355" s="7" t="inlineStr">
        <is>
          <t>101/6964</t>
        </is>
      </c>
      <c r="L355" s="7" t="inlineStr">
        <is>
          <t>Yes</t>
        </is>
      </c>
      <c r="M355" s="7" t="inlineStr">
        <is>
          <t>Max out that stride. We designed these run shorts with a little extra room so you can move freely.</t>
        </is>
      </c>
      <c r="N355" s="7" t="inlineStr">
        <is>
          <t>Hotty-Hot-Short-HR</t>
        </is>
      </c>
      <c r="O355" s="7" t="inlineStr">
        <is>
          <t>Athletic Shorts, Liner Shorts, Track Shorts</t>
        </is>
      </c>
    </row>
    <row r="356" ht="80" customHeight="1">
      <c r="A356" s="4">
        <f>IMAGE("https://images.lululemon.com/is/image/lululemon/LW7AYYR_031382_1?wid=320&amp;op_usm=0.8",1)</f>
        <v/>
      </c>
      <c r="B356" s="4" t="inlineStr">
        <is>
          <t>Hotty Hot High-Rise Lined Short 2.5"</t>
        </is>
      </c>
      <c r="C356" s="4" t="inlineStr">
        <is>
          <t>132275358</t>
        </is>
      </c>
      <c r="D356" s="4" t="inlineStr">
        <is>
          <t>132275358-truenavy</t>
        </is>
      </c>
      <c r="E356" s="4" t="inlineStr">
        <is>
          <t>Hotty Hot HR Short 2.5" *Lined TRNV 2</t>
        </is>
      </c>
      <c r="F356" s="4" t="inlineStr">
        <is>
          <t>$68.00</t>
        </is>
      </c>
      <c r="G356" s="4" t="inlineStr">
        <is>
          <t>$34.00</t>
        </is>
      </c>
      <c r="H356" s="4" t="inlineStr">
        <is>
          <t>True Navy</t>
        </is>
      </c>
      <c r="I356" s="4">
        <f>IMAGE("https://images.lululemon.com/is/image/lululemon/31382",1)</f>
        <v/>
      </c>
      <c r="J356" s="4" t="inlineStr">
        <is>
          <t>16</t>
        </is>
      </c>
      <c r="K356" s="4" t="inlineStr">
        <is>
          <t>46/6964</t>
        </is>
      </c>
      <c r="L356" s="4" t="inlineStr">
        <is>
          <t>Yes</t>
        </is>
      </c>
      <c r="M356" s="4" t="inlineStr">
        <is>
          <t>Max out that stride. We designed these run shorts with a little extra room so you can move freely.</t>
        </is>
      </c>
      <c r="N356" s="4" t="inlineStr">
        <is>
          <t>Hotty-Hot-Short-HR</t>
        </is>
      </c>
      <c r="O356" s="4" t="inlineStr">
        <is>
          <t>Athletic Shorts, Liner Shorts, Track Shorts</t>
        </is>
      </c>
    </row>
    <row r="357" ht="80" customHeight="1">
      <c r="A357" s="7">
        <f>IMAGE("https://images.lululemon.com/is/image/lululemon/LW7AYYR_031382_1?wid=320&amp;op_usm=0.8",1)</f>
        <v/>
      </c>
      <c r="B357" s="7" t="inlineStr">
        <is>
          <t>Hotty Hot High-Rise Lined Short 2.5"</t>
        </is>
      </c>
      <c r="C357" s="7" t="inlineStr">
        <is>
          <t>132275362</t>
        </is>
      </c>
      <c r="D357" s="7" t="inlineStr">
        <is>
          <t>132275362-truenavy</t>
        </is>
      </c>
      <c r="E357" s="7" t="inlineStr">
        <is>
          <t>Hotty Hot HR Short 2.5" *Lined TRNV 2</t>
        </is>
      </c>
      <c r="F357" s="7" t="inlineStr">
        <is>
          <t>$68.00</t>
        </is>
      </c>
      <c r="G357" s="7" t="inlineStr">
        <is>
          <t>$34.00</t>
        </is>
      </c>
      <c r="H357" s="7" t="inlineStr">
        <is>
          <t>True Navy</t>
        </is>
      </c>
      <c r="I357" s="7">
        <f>IMAGE("https://images.lululemon.com/is/image/lululemon/31382",1)</f>
        <v/>
      </c>
      <c r="J357" s="7" t="inlineStr">
        <is>
          <t>18</t>
        </is>
      </c>
      <c r="K357" s="7" t="inlineStr">
        <is>
          <t>32/6964</t>
        </is>
      </c>
      <c r="L357" s="7" t="inlineStr">
        <is>
          <t>Yes</t>
        </is>
      </c>
      <c r="M357" s="7" t="inlineStr">
        <is>
          <t>Max out that stride. We designed these run shorts with a little extra room so you can move freely.</t>
        </is>
      </c>
      <c r="N357" s="7" t="inlineStr">
        <is>
          <t>Hotty-Hot-Short-HR</t>
        </is>
      </c>
      <c r="O357" s="7" t="inlineStr">
        <is>
          <t>Athletic Shorts, Liner Shorts, Track Shorts</t>
        </is>
      </c>
    </row>
    <row r="358" ht="80" customHeight="1">
      <c r="A358" s="4">
        <f>IMAGE("https://images.lululemon.com/is/image/lululemon/LW7AYYR_031382_1?wid=320&amp;op_usm=0.8",1)</f>
        <v/>
      </c>
      <c r="B358" s="4" t="inlineStr">
        <is>
          <t>Hotty Hot High-Rise Lined Short 2.5"</t>
        </is>
      </c>
      <c r="C358" s="4" t="inlineStr">
        <is>
          <t>132275368</t>
        </is>
      </c>
      <c r="D358" s="4" t="inlineStr">
        <is>
          <t>132275368-truenavy</t>
        </is>
      </c>
      <c r="E358" s="4" t="inlineStr">
        <is>
          <t>Hotty Hot HR Short 2.5" *Lined TRNV 2</t>
        </is>
      </c>
      <c r="F358" s="4" t="inlineStr">
        <is>
          <t>$68.00</t>
        </is>
      </c>
      <c r="G358" s="4" t="inlineStr">
        <is>
          <t>$34.00</t>
        </is>
      </c>
      <c r="H358" s="4" t="inlineStr">
        <is>
          <t>True Navy</t>
        </is>
      </c>
      <c r="I358" s="4">
        <f>IMAGE("https://images.lululemon.com/is/image/lululemon/31382",1)</f>
        <v/>
      </c>
      <c r="J358" s="4" t="inlineStr">
        <is>
          <t>20</t>
        </is>
      </c>
      <c r="K358" s="4" t="inlineStr">
        <is>
          <t>16/6964</t>
        </is>
      </c>
      <c r="L358" s="4" t="inlineStr">
        <is>
          <t>Yes</t>
        </is>
      </c>
      <c r="M358" s="4" t="inlineStr">
        <is>
          <t>Max out that stride. We designed these run shorts with a little extra room so you can move freely.</t>
        </is>
      </c>
      <c r="N358" s="4" t="inlineStr">
        <is>
          <t>Hotty-Hot-Short-HR</t>
        </is>
      </c>
      <c r="O358" s="4" t="inlineStr">
        <is>
          <t>Athletic Shorts, Liner Shorts, Track Shorts</t>
        </is>
      </c>
    </row>
    <row r="359" ht="80" customHeight="1">
      <c r="A359" s="7">
        <f>IMAGE("https://images.lululemon.com/is/image/lululemon/LW7AYYR_031382_1?wid=320&amp;op_usm=0.8",1)</f>
        <v/>
      </c>
      <c r="B359" s="7" t="inlineStr">
        <is>
          <t>Hotty Hot High-Rise Lined Short 2.5"</t>
        </is>
      </c>
      <c r="C359" s="7" t="inlineStr">
        <is>
          <t>155700246</t>
        </is>
      </c>
      <c r="D359" s="7" t="inlineStr">
        <is>
          <t>155700246-black</t>
        </is>
      </c>
      <c r="E359" s="7" t="inlineStr">
        <is>
          <t>Hotty Hot HR Short 2.5" *Lined TRNV 2</t>
        </is>
      </c>
      <c r="F359" s="7" t="inlineStr">
        <is>
          <t>$68.00</t>
        </is>
      </c>
      <c r="G359" s="7" t="inlineStr">
        <is>
          <t>$34.00</t>
        </is>
      </c>
      <c r="H359" s="7" t="inlineStr">
        <is>
          <t>Black</t>
        </is>
      </c>
      <c r="I359" s="7">
        <f>IMAGE("https://images.lululemon.com/is/image/lululemon/0001",1)</f>
        <v/>
      </c>
      <c r="J359" s="7" t="inlineStr">
        <is>
          <t>2</t>
        </is>
      </c>
      <c r="K359" s="7" t="inlineStr">
        <is>
          <t>63/6964</t>
        </is>
      </c>
      <c r="L359" s="7" t="inlineStr">
        <is>
          <t>Yes</t>
        </is>
      </c>
      <c r="M359" s="7" t="inlineStr">
        <is>
          <t>Max out that stride. We designed these run shorts with a little extra room so you can move freely.</t>
        </is>
      </c>
      <c r="N359" s="7" t="inlineStr">
        <is>
          <t>Hotty-Hot-Short-HR</t>
        </is>
      </c>
      <c r="O359" s="7" t="inlineStr">
        <is>
          <t>Athletic Shorts, Liner Shorts, Track Shorts</t>
        </is>
      </c>
    </row>
    <row r="360" ht="80" customHeight="1">
      <c r="A360" s="4">
        <f>IMAGE("https://images.lululemon.com/is/image/lululemon/LW7AYYR_031382_1?wid=320&amp;op_usm=0.8",1)</f>
        <v/>
      </c>
      <c r="B360" s="4" t="inlineStr">
        <is>
          <t>Hotty Hot High-Rise Lined Short 2.5"</t>
        </is>
      </c>
      <c r="C360" s="4" t="inlineStr">
        <is>
          <t>127500225</t>
        </is>
      </c>
      <c r="D360" s="4" t="inlineStr">
        <is>
          <t>127500225-black</t>
        </is>
      </c>
      <c r="E360" s="4" t="inlineStr">
        <is>
          <t>Hotty Hot HR Short 2.5" *Lined TRNV 2</t>
        </is>
      </c>
      <c r="F360" s="4" t="inlineStr">
        <is>
          <t>$68.00</t>
        </is>
      </c>
      <c r="G360" s="4" t="inlineStr">
        <is>
          <t>$34.00</t>
        </is>
      </c>
      <c r="H360" s="4" t="inlineStr">
        <is>
          <t>Black</t>
        </is>
      </c>
      <c r="I360" s="4">
        <f>IMAGE("https://images.lululemon.com/is/image/lululemon/0001",1)</f>
        <v/>
      </c>
      <c r="J360" s="4" t="inlineStr">
        <is>
          <t>4</t>
        </is>
      </c>
      <c r="K360" s="4" t="inlineStr">
        <is>
          <t>306/6964</t>
        </is>
      </c>
      <c r="L360" s="4" t="inlineStr">
        <is>
          <t>Yes</t>
        </is>
      </c>
      <c r="M360" s="4" t="inlineStr">
        <is>
          <t>Max out that stride. We designed these run shorts with a little extra room so you can move freely.</t>
        </is>
      </c>
      <c r="N360" s="4" t="inlineStr">
        <is>
          <t>Hotty-Hot-Short-HR</t>
        </is>
      </c>
      <c r="O360" s="4" t="inlineStr">
        <is>
          <t>Athletic Shorts, Liner Shorts, Track Shorts</t>
        </is>
      </c>
    </row>
    <row r="361" ht="80" customHeight="1">
      <c r="A361" s="7">
        <f>IMAGE("https://images.lululemon.com/is/image/lululemon/LW7AYYR_031382_1?wid=320&amp;op_usm=0.8",1)</f>
        <v/>
      </c>
      <c r="B361" s="7" t="inlineStr">
        <is>
          <t>Hotty Hot High-Rise Lined Short 2.5"</t>
        </is>
      </c>
      <c r="C361" s="7" t="inlineStr">
        <is>
          <t>127500233</t>
        </is>
      </c>
      <c r="D361" s="7" t="inlineStr">
        <is>
          <t>127500233-black</t>
        </is>
      </c>
      <c r="E361" s="7" t="inlineStr">
        <is>
          <t>Hotty Hot HR Short 2.5" *Lined TRNV 2</t>
        </is>
      </c>
      <c r="F361" s="7" t="inlineStr">
        <is>
          <t>$68.00</t>
        </is>
      </c>
      <c r="G361" s="7" t="inlineStr">
        <is>
          <t>$34.00</t>
        </is>
      </c>
      <c r="H361" s="7" t="inlineStr">
        <is>
          <t>Black</t>
        </is>
      </c>
      <c r="I361" s="7">
        <f>IMAGE("https://images.lululemon.com/is/image/lululemon/0001",1)</f>
        <v/>
      </c>
      <c r="J361" s="7" t="inlineStr">
        <is>
          <t>6</t>
        </is>
      </c>
      <c r="K361" s="7" t="inlineStr">
        <is>
          <t>1403/6964</t>
        </is>
      </c>
      <c r="L361" s="7" t="inlineStr">
        <is>
          <t>Yes</t>
        </is>
      </c>
      <c r="M361" s="7" t="inlineStr">
        <is>
          <t>Max out that stride. We designed these run shorts with a little extra room so you can move freely.</t>
        </is>
      </c>
      <c r="N361" s="7" t="inlineStr">
        <is>
          <t>Hotty-Hot-Short-HR</t>
        </is>
      </c>
      <c r="O361" s="7" t="inlineStr">
        <is>
          <t>Athletic Shorts, Liner Shorts, Track Shorts</t>
        </is>
      </c>
    </row>
    <row r="362" ht="80" customHeight="1">
      <c r="A362" s="4">
        <f>IMAGE("https://images.lululemon.com/is/image/lululemon/LW7AYYR_031382_1?wid=320&amp;op_usm=0.8",1)</f>
        <v/>
      </c>
      <c r="B362" s="4" t="inlineStr">
        <is>
          <t>Hotty Hot High-Rise Lined Short 2.5"</t>
        </is>
      </c>
      <c r="C362" s="4" t="inlineStr">
        <is>
          <t>127500243</t>
        </is>
      </c>
      <c r="D362" s="4" t="inlineStr">
        <is>
          <t>127500243-black</t>
        </is>
      </c>
      <c r="E362" s="4" t="inlineStr">
        <is>
          <t>Hotty Hot HR Short 2.5" *Lined TRNV 2</t>
        </is>
      </c>
      <c r="F362" s="4" t="inlineStr">
        <is>
          <t>$68.00</t>
        </is>
      </c>
      <c r="G362" s="4" t="inlineStr">
        <is>
          <t>$34.00</t>
        </is>
      </c>
      <c r="H362" s="4" t="inlineStr">
        <is>
          <t>Black</t>
        </is>
      </c>
      <c r="I362" s="4">
        <f>IMAGE("https://images.lululemon.com/is/image/lululemon/0001",1)</f>
        <v/>
      </c>
      <c r="J362" s="4" t="inlineStr">
        <is>
          <t>8</t>
        </is>
      </c>
      <c r="K362" s="4" t="inlineStr">
        <is>
          <t>1267/6964</t>
        </is>
      </c>
      <c r="L362" s="4" t="inlineStr">
        <is>
          <t>Yes</t>
        </is>
      </c>
      <c r="M362" s="4" t="inlineStr">
        <is>
          <t>Max out that stride. We designed these run shorts with a little extra room so you can move freely.</t>
        </is>
      </c>
      <c r="N362" s="4" t="inlineStr">
        <is>
          <t>Hotty-Hot-Short-HR</t>
        </is>
      </c>
      <c r="O362" s="4" t="inlineStr">
        <is>
          <t>Athletic Shorts, Liner Shorts, Track Shorts</t>
        </is>
      </c>
    </row>
    <row r="363" ht="80" customHeight="1">
      <c r="A363" s="7">
        <f>IMAGE("https://images.lululemon.com/is/image/lululemon/LW7AYYR_031382_1?wid=320&amp;op_usm=0.8",1)</f>
        <v/>
      </c>
      <c r="B363" s="7" t="inlineStr">
        <is>
          <t>Hotty Hot High-Rise Lined Short 2.5"</t>
        </is>
      </c>
      <c r="C363" s="7" t="inlineStr">
        <is>
          <t>155700212</t>
        </is>
      </c>
      <c r="D363" s="7" t="inlineStr">
        <is>
          <t>155700212-black</t>
        </is>
      </c>
      <c r="E363" s="7" t="inlineStr">
        <is>
          <t>Hotty Hot HR Short 2.5" *Lined TRNV 2</t>
        </is>
      </c>
      <c r="F363" s="7" t="inlineStr">
        <is>
          <t>$68.00</t>
        </is>
      </c>
      <c r="G363" s="7" t="inlineStr">
        <is>
          <t>$34.00</t>
        </is>
      </c>
      <c r="H363" s="7" t="inlineStr">
        <is>
          <t>Black</t>
        </is>
      </c>
      <c r="I363" s="7">
        <f>IMAGE("https://images.lululemon.com/is/image/lululemon/0001",1)</f>
        <v/>
      </c>
      <c r="J363" s="7" t="inlineStr">
        <is>
          <t>10</t>
        </is>
      </c>
      <c r="K363" s="7" t="inlineStr">
        <is>
          <t>221/6964</t>
        </is>
      </c>
      <c r="L363" s="7" t="inlineStr">
        <is>
          <t>Yes</t>
        </is>
      </c>
      <c r="M363" s="7" t="inlineStr">
        <is>
          <t>Max out that stride. We designed these run shorts with a little extra room so you can move freely.</t>
        </is>
      </c>
      <c r="N363" s="7" t="inlineStr">
        <is>
          <t>Hotty-Hot-Short-HR</t>
        </is>
      </c>
      <c r="O363" s="7" t="inlineStr">
        <is>
          <t>Athletic Shorts, Liner Shorts, Track Shorts</t>
        </is>
      </c>
    </row>
    <row r="364" ht="80" customHeight="1">
      <c r="A364" s="4">
        <f>IMAGE("https://images.lululemon.com/is/image/lululemon/LW7AYYR_031382_1?wid=320&amp;op_usm=0.8",1)</f>
        <v/>
      </c>
      <c r="B364" s="4" t="inlineStr">
        <is>
          <t>Hotty Hot High-Rise Lined Short 2.5"</t>
        </is>
      </c>
      <c r="C364" s="4" t="inlineStr">
        <is>
          <t>127500150</t>
        </is>
      </c>
      <c r="D364" s="4" t="inlineStr">
        <is>
          <t>127500150-black</t>
        </is>
      </c>
      <c r="E364" s="4" t="inlineStr">
        <is>
          <t>Hotty Hot HR Short 2.5" *Lined TRNV 2</t>
        </is>
      </c>
      <c r="F364" s="4" t="inlineStr">
        <is>
          <t>$68.00</t>
        </is>
      </c>
      <c r="G364" s="4" t="inlineStr">
        <is>
          <t>$34.00</t>
        </is>
      </c>
      <c r="H364" s="4" t="inlineStr">
        <is>
          <t>Black</t>
        </is>
      </c>
      <c r="I364" s="4">
        <f>IMAGE("https://images.lululemon.com/is/image/lululemon/0001",1)</f>
        <v/>
      </c>
      <c r="J364" s="4" t="inlineStr">
        <is>
          <t>12</t>
        </is>
      </c>
      <c r="K364" s="4" t="inlineStr">
        <is>
          <t>579/6964</t>
        </is>
      </c>
      <c r="L364" s="4" t="inlineStr">
        <is>
          <t>Yes</t>
        </is>
      </c>
      <c r="M364" s="4" t="inlineStr">
        <is>
          <t>Max out that stride. We designed these run shorts with a little extra room so you can move freely.</t>
        </is>
      </c>
      <c r="N364" s="4" t="inlineStr">
        <is>
          <t>Hotty-Hot-Short-HR</t>
        </is>
      </c>
      <c r="O364" s="4" t="inlineStr">
        <is>
          <t>Athletic Shorts, Liner Shorts, Track Shorts</t>
        </is>
      </c>
    </row>
    <row r="365" ht="80" customHeight="1">
      <c r="A365" s="7">
        <f>IMAGE("https://images.lululemon.com/is/image/lululemon/LW7AYYR_031382_1?wid=320&amp;op_usm=0.8",1)</f>
        <v/>
      </c>
      <c r="B365" s="7" t="inlineStr">
        <is>
          <t>Hotty Hot High-Rise Lined Short 2.5"</t>
        </is>
      </c>
      <c r="C365" s="7" t="inlineStr">
        <is>
          <t>127500154</t>
        </is>
      </c>
      <c r="D365" s="7" t="inlineStr">
        <is>
          <t>127500154-black</t>
        </is>
      </c>
      <c r="E365" s="7" t="inlineStr">
        <is>
          <t>Hotty Hot HR Short 2.5" *Lined TRNV 2</t>
        </is>
      </c>
      <c r="F365" s="7" t="inlineStr">
        <is>
          <t>$68.00</t>
        </is>
      </c>
      <c r="G365" s="7" t="inlineStr">
        <is>
          <t>$34.00</t>
        </is>
      </c>
      <c r="H365" s="7" t="inlineStr">
        <is>
          <t>Black</t>
        </is>
      </c>
      <c r="I365" s="7">
        <f>IMAGE("https://images.lululemon.com/is/image/lululemon/0001",1)</f>
        <v/>
      </c>
      <c r="J365" s="7" t="inlineStr">
        <is>
          <t>14</t>
        </is>
      </c>
      <c r="K365" s="7" t="inlineStr">
        <is>
          <t>122/6964</t>
        </is>
      </c>
      <c r="L365" s="7" t="inlineStr">
        <is>
          <t>Yes</t>
        </is>
      </c>
      <c r="M365" s="7" t="inlineStr">
        <is>
          <t>Max out that stride. We designed these run shorts with a little extra room so you can move freely.</t>
        </is>
      </c>
      <c r="N365" s="7" t="inlineStr">
        <is>
          <t>Hotty-Hot-Short-HR</t>
        </is>
      </c>
      <c r="O365" s="7" t="inlineStr">
        <is>
          <t>Athletic Shorts, Liner Shorts, Track Shorts</t>
        </is>
      </c>
    </row>
    <row r="366" ht="80" customHeight="1">
      <c r="A366" s="4">
        <f>IMAGE("https://images.lululemon.com/is/image/lululemon/LW7AYYR_031382_1?wid=320&amp;op_usm=0.8",1)</f>
        <v/>
      </c>
      <c r="B366" s="4" t="inlineStr">
        <is>
          <t>Hotty Hot High-Rise Lined Short 2.5"</t>
        </is>
      </c>
      <c r="C366" s="4" t="inlineStr">
        <is>
          <t>127500161</t>
        </is>
      </c>
      <c r="D366" s="4" t="inlineStr">
        <is>
          <t>127500161-black</t>
        </is>
      </c>
      <c r="E366" s="4" t="inlineStr">
        <is>
          <t>Hotty Hot HR Short 2.5" *Lined TRNV 2</t>
        </is>
      </c>
      <c r="F366" s="4" t="inlineStr">
        <is>
          <t>$68.00</t>
        </is>
      </c>
      <c r="G366" s="4" t="inlineStr">
        <is>
          <t>$34.00</t>
        </is>
      </c>
      <c r="H366" s="4" t="inlineStr">
        <is>
          <t>Black</t>
        </is>
      </c>
      <c r="I366" s="4">
        <f>IMAGE("https://images.lululemon.com/is/image/lululemon/0001",1)</f>
        <v/>
      </c>
      <c r="J366" s="4" t="inlineStr">
        <is>
          <t>16</t>
        </is>
      </c>
      <c r="K366" s="4" t="inlineStr">
        <is>
          <t>51/6964</t>
        </is>
      </c>
      <c r="L366" s="4" t="inlineStr">
        <is>
          <t>Yes</t>
        </is>
      </c>
      <c r="M366" s="4" t="inlineStr">
        <is>
          <t>Max out that stride. We designed these run shorts with a little extra room so you can move freely.</t>
        </is>
      </c>
      <c r="N366" s="4" t="inlineStr">
        <is>
          <t>Hotty-Hot-Short-HR</t>
        </is>
      </c>
      <c r="O366" s="4" t="inlineStr">
        <is>
          <t>Athletic Shorts, Liner Shorts, Track Shorts</t>
        </is>
      </c>
    </row>
    <row r="367" ht="80" customHeight="1">
      <c r="A367" s="7">
        <f>IMAGE("https://images.lululemon.com/is/image/lululemon/LW7AYYR_031382_1?wid=320&amp;op_usm=0.8",1)</f>
        <v/>
      </c>
      <c r="B367" s="7" t="inlineStr">
        <is>
          <t>Hotty Hot High-Rise Lined Short 2.5"</t>
        </is>
      </c>
      <c r="C367" s="7" t="inlineStr">
        <is>
          <t>127500171</t>
        </is>
      </c>
      <c r="D367" s="7" t="inlineStr">
        <is>
          <t>127500171-black</t>
        </is>
      </c>
      <c r="E367" s="7" t="inlineStr">
        <is>
          <t>Hotty Hot HR Short 2.5" *Lined TRNV 2</t>
        </is>
      </c>
      <c r="F367" s="7" t="inlineStr">
        <is>
          <t>$68.00</t>
        </is>
      </c>
      <c r="G367" s="7" t="inlineStr">
        <is>
          <t>$34.00</t>
        </is>
      </c>
      <c r="H367" s="7" t="inlineStr">
        <is>
          <t>Black</t>
        </is>
      </c>
      <c r="I367" s="7">
        <f>IMAGE("https://images.lululemon.com/is/image/lululemon/0001",1)</f>
        <v/>
      </c>
      <c r="J367" s="7" t="inlineStr">
        <is>
          <t>18</t>
        </is>
      </c>
      <c r="K367" s="7" t="inlineStr">
        <is>
          <t>20/6964</t>
        </is>
      </c>
      <c r="L367" s="7" t="inlineStr">
        <is>
          <t>Yes</t>
        </is>
      </c>
      <c r="M367" s="7" t="inlineStr">
        <is>
          <t>Max out that stride. We designed these run shorts with a little extra room so you can move freely.</t>
        </is>
      </c>
      <c r="N367" s="7" t="inlineStr">
        <is>
          <t>Hotty-Hot-Short-HR</t>
        </is>
      </c>
      <c r="O367" s="7" t="inlineStr">
        <is>
          <t>Athletic Shorts, Liner Shorts, Track Shorts</t>
        </is>
      </c>
    </row>
    <row r="368" ht="80" customHeight="1">
      <c r="A368" s="4">
        <f>IMAGE("https://images.lululemon.com/is/image/lululemon/LW7AYYR_031382_1?wid=320&amp;op_usm=0.8",1)</f>
        <v/>
      </c>
      <c r="B368" s="4" t="inlineStr">
        <is>
          <t>Hotty Hot High-Rise Lined Short 2.5"</t>
        </is>
      </c>
      <c r="C368" s="4" t="inlineStr">
        <is>
          <t>127500194</t>
        </is>
      </c>
      <c r="D368" s="4" t="inlineStr">
        <is>
          <t>127500194-black</t>
        </is>
      </c>
      <c r="E368" s="4" t="inlineStr">
        <is>
          <t>Hotty Hot HR Short 2.5" *Lined TRNV 2</t>
        </is>
      </c>
      <c r="F368" s="4" t="inlineStr">
        <is>
          <t>$68.00</t>
        </is>
      </c>
      <c r="G368" s="4" t="inlineStr">
        <is>
          <t>$34.00</t>
        </is>
      </c>
      <c r="H368" s="4" t="inlineStr">
        <is>
          <t>Black</t>
        </is>
      </c>
      <c r="I368" s="4">
        <f>IMAGE("https://images.lululemon.com/is/image/lululemon/0001",1)</f>
        <v/>
      </c>
      <c r="J368" s="4" t="inlineStr">
        <is>
          <t>20</t>
        </is>
      </c>
      <c r="K368" s="4" t="inlineStr">
        <is>
          <t>4/6964</t>
        </is>
      </c>
      <c r="L368" s="4" t="inlineStr">
        <is>
          <t>Yes</t>
        </is>
      </c>
      <c r="M368" s="4" t="inlineStr">
        <is>
          <t>Max out that stride. We designed these run shorts with a little extra room so you can move freely.</t>
        </is>
      </c>
      <c r="N368" s="4" t="inlineStr">
        <is>
          <t>Hotty-Hot-Short-HR</t>
        </is>
      </c>
      <c r="O368" s="4" t="inlineStr">
        <is>
          <t>Athletic Shorts, Liner Shorts, Track Shorts</t>
        </is>
      </c>
    </row>
    <row r="369" ht="80" customHeight="1">
      <c r="A369" s="7">
        <f>IMAGE("https://images.lululemon.com/is/image/lululemon/LW7AYYR_031382_1?wid=320&amp;op_usm=0.8",1)</f>
        <v/>
      </c>
      <c r="B369" s="7" t="inlineStr">
        <is>
          <t>Hotty Hot High-Rise Lined Short 2.5"</t>
        </is>
      </c>
      <c r="C369" s="7" t="inlineStr">
        <is>
          <t>155700497</t>
        </is>
      </c>
      <c r="D369" s="7" t="inlineStr">
        <is>
          <t>155700497-white</t>
        </is>
      </c>
      <c r="E369" s="7" t="inlineStr">
        <is>
          <t>Hotty Hot HR Short 2.5" *Lined TRNV 2</t>
        </is>
      </c>
      <c r="F369" s="7" t="inlineStr">
        <is>
          <t>$68.00</t>
        </is>
      </c>
      <c r="G369" s="7" t="inlineStr">
        <is>
          <t>$34.00</t>
        </is>
      </c>
      <c r="H369" s="7" t="inlineStr">
        <is>
          <t>White</t>
        </is>
      </c>
      <c r="I369" s="7">
        <f>IMAGE("https://images.lululemon.com/is/image/lululemon/0002",1)</f>
        <v/>
      </c>
      <c r="J369" s="7" t="inlineStr">
        <is>
          <t>2</t>
        </is>
      </c>
      <c r="K369" s="7" t="inlineStr">
        <is>
          <t>79/6964</t>
        </is>
      </c>
      <c r="L369" s="7" t="inlineStr">
        <is>
          <t>Yes</t>
        </is>
      </c>
      <c r="M369" s="7" t="inlineStr">
        <is>
          <t>Max out that stride. We designed these run shorts with a little extra room so you can move freely.</t>
        </is>
      </c>
      <c r="N369" s="7" t="inlineStr">
        <is>
          <t>Hotty-Hot-Short-HR</t>
        </is>
      </c>
      <c r="O369" s="7" t="inlineStr">
        <is>
          <t>Athletic Shorts, Liner Shorts, Track Shorts</t>
        </is>
      </c>
    </row>
    <row r="370" ht="80" customHeight="1">
      <c r="A370" s="4">
        <f>IMAGE("https://images.lululemon.com/is/image/lululemon/LW7AYYR_031382_1?wid=320&amp;op_usm=0.8",1)</f>
        <v/>
      </c>
      <c r="B370" s="4" t="inlineStr">
        <is>
          <t>Hotty Hot High-Rise Lined Short 2.5"</t>
        </is>
      </c>
      <c r="C370" s="4" t="inlineStr">
        <is>
          <t>155700517</t>
        </is>
      </c>
      <c r="D370" s="4" t="inlineStr">
        <is>
          <t>155700517-white</t>
        </is>
      </c>
      <c r="E370" s="4" t="inlineStr">
        <is>
          <t>Hotty Hot HR Short 2.5" *Lined TRNV 2</t>
        </is>
      </c>
      <c r="F370" s="4" t="inlineStr">
        <is>
          <t>$68.00</t>
        </is>
      </c>
      <c r="G370" s="4" t="inlineStr">
        <is>
          <t>$34.00</t>
        </is>
      </c>
      <c r="H370" s="4" t="inlineStr">
        <is>
          <t>White</t>
        </is>
      </c>
      <c r="I370" s="4">
        <f>IMAGE("https://images.lululemon.com/is/image/lululemon/0002",1)</f>
        <v/>
      </c>
      <c r="J370" s="4" t="inlineStr">
        <is>
          <t>4</t>
        </is>
      </c>
      <c r="K370" s="4" t="inlineStr">
        <is>
          <t>14/6964</t>
        </is>
      </c>
      <c r="L370" s="4" t="inlineStr">
        <is>
          <t>Yes</t>
        </is>
      </c>
      <c r="M370" s="4" t="inlineStr">
        <is>
          <t>Max out that stride. We designed these run shorts with a little extra room so you can move freely.</t>
        </is>
      </c>
      <c r="N370" s="4" t="inlineStr">
        <is>
          <t>Hotty-Hot-Short-HR</t>
        </is>
      </c>
      <c r="O370" s="4" t="inlineStr">
        <is>
          <t>Athletic Shorts, Liner Shorts, Track Shorts</t>
        </is>
      </c>
    </row>
    <row r="371" ht="80" customHeight="1">
      <c r="A371" s="7">
        <f>IMAGE("https://images.lululemon.com/is/image/lululemon/LW7AYYR_031382_1?wid=320&amp;op_usm=0.8",1)</f>
        <v/>
      </c>
      <c r="B371" s="7" t="inlineStr">
        <is>
          <t>Hotty Hot High-Rise Lined Short 2.5"</t>
        </is>
      </c>
      <c r="C371" s="7" t="inlineStr">
        <is>
          <t>155700521</t>
        </is>
      </c>
      <c r="D371" s="7" t="inlineStr">
        <is>
          <t>155700521-white</t>
        </is>
      </c>
      <c r="E371" s="7" t="inlineStr">
        <is>
          <t>Hotty Hot HR Short 2.5" *Lined TRNV 2</t>
        </is>
      </c>
      <c r="F371" s="7" t="inlineStr">
        <is>
          <t>$68.00</t>
        </is>
      </c>
      <c r="G371" s="7" t="inlineStr">
        <is>
          <t>$34.00</t>
        </is>
      </c>
      <c r="H371" s="7" t="inlineStr">
        <is>
          <t>White</t>
        </is>
      </c>
      <c r="I371" s="7">
        <f>IMAGE("https://images.lululemon.com/is/image/lululemon/0002",1)</f>
        <v/>
      </c>
      <c r="J371" s="7" t="inlineStr">
        <is>
          <t>6</t>
        </is>
      </c>
      <c r="K371" s="7" t="inlineStr">
        <is>
          <t>27/6964</t>
        </is>
      </c>
      <c r="L371" s="7" t="inlineStr">
        <is>
          <t>Yes</t>
        </is>
      </c>
      <c r="M371" s="7" t="inlineStr">
        <is>
          <t>Max out that stride. We designed these run shorts with a little extra room so you can move freely.</t>
        </is>
      </c>
      <c r="N371" s="7" t="inlineStr">
        <is>
          <t>Hotty-Hot-Short-HR</t>
        </is>
      </c>
      <c r="O371" s="7" t="inlineStr">
        <is>
          <t>Athletic Shorts, Liner Shorts, Track Shorts</t>
        </is>
      </c>
    </row>
    <row r="372" ht="80" customHeight="1">
      <c r="A372" s="4">
        <f>IMAGE("https://images.lululemon.com/is/image/lululemon/LW7AYYR_031382_1?wid=320&amp;op_usm=0.8",1)</f>
        <v/>
      </c>
      <c r="B372" s="4" t="inlineStr">
        <is>
          <t>Hotty Hot High-Rise Lined Short 2.5"</t>
        </is>
      </c>
      <c r="C372" s="4" t="inlineStr">
        <is>
          <t>155700524</t>
        </is>
      </c>
      <c r="D372" s="4" t="inlineStr">
        <is>
          <t>155700524-white</t>
        </is>
      </c>
      <c r="E372" s="4" t="inlineStr">
        <is>
          <t>Hotty Hot HR Short 2.5" *Lined TRNV 2</t>
        </is>
      </c>
      <c r="F372" s="4" t="inlineStr">
        <is>
          <t>$68.00</t>
        </is>
      </c>
      <c r="G372" s="4" t="inlineStr">
        <is>
          <t>$34.00</t>
        </is>
      </c>
      <c r="H372" s="4" t="inlineStr">
        <is>
          <t>White</t>
        </is>
      </c>
      <c r="I372" s="4">
        <f>IMAGE("https://images.lululemon.com/is/image/lululemon/0002",1)</f>
        <v/>
      </c>
      <c r="J372" s="4" t="inlineStr">
        <is>
          <t>8</t>
        </is>
      </c>
      <c r="K372" s="4" t="inlineStr">
        <is>
          <t>54/6964</t>
        </is>
      </c>
      <c r="L372" s="4" t="inlineStr">
        <is>
          <t>Yes</t>
        </is>
      </c>
      <c r="M372" s="4" t="inlineStr">
        <is>
          <t>Max out that stride. We designed these run shorts with a little extra room so you can move freely.</t>
        </is>
      </c>
      <c r="N372" s="4" t="inlineStr">
        <is>
          <t>Hotty-Hot-Short-HR</t>
        </is>
      </c>
      <c r="O372" s="4" t="inlineStr">
        <is>
          <t>Athletic Shorts, Liner Shorts, Track Shorts</t>
        </is>
      </c>
    </row>
    <row r="373" ht="80" customHeight="1">
      <c r="A373" s="7">
        <f>IMAGE("https://images.lululemon.com/is/image/lululemon/LW7AYYR_031382_1?wid=320&amp;op_usm=0.8",1)</f>
        <v/>
      </c>
      <c r="B373" s="7" t="inlineStr">
        <is>
          <t>Hotty Hot High-Rise Lined Short 2.5"</t>
        </is>
      </c>
      <c r="C373" s="7" t="inlineStr">
        <is>
          <t>155700477</t>
        </is>
      </c>
      <c r="D373" s="7" t="inlineStr">
        <is>
          <t>155700477-white</t>
        </is>
      </c>
      <c r="E373" s="7" t="inlineStr">
        <is>
          <t>Hotty Hot HR Short 2.5" *Lined TRNV 2</t>
        </is>
      </c>
      <c r="F373" s="7" t="inlineStr">
        <is>
          <t>$68.00</t>
        </is>
      </c>
      <c r="G373" s="7" t="inlineStr">
        <is>
          <t>$34.00</t>
        </is>
      </c>
      <c r="H373" s="7" t="inlineStr">
        <is>
          <t>White</t>
        </is>
      </c>
      <c r="I373" s="7">
        <f>IMAGE("https://images.lululemon.com/is/image/lululemon/0002",1)</f>
        <v/>
      </c>
      <c r="J373" s="7" t="inlineStr">
        <is>
          <t>10</t>
        </is>
      </c>
      <c r="K373" s="7" t="inlineStr">
        <is>
          <t>25/6964</t>
        </is>
      </c>
      <c r="L373" s="7" t="inlineStr">
        <is>
          <t>Yes</t>
        </is>
      </c>
      <c r="M373" s="7" t="inlineStr">
        <is>
          <t>Max out that stride. We designed these run shorts with a little extra room so you can move freely.</t>
        </is>
      </c>
      <c r="N373" s="7" t="inlineStr">
        <is>
          <t>Hotty-Hot-Short-HR</t>
        </is>
      </c>
      <c r="O373" s="7" t="inlineStr">
        <is>
          <t>Athletic Shorts, Liner Shorts, Track Shorts</t>
        </is>
      </c>
    </row>
    <row r="374" ht="80" customHeight="1">
      <c r="A374" s="4">
        <f>IMAGE("https://images.lululemon.com/is/image/lululemon/LW7AYYR_031382_1?wid=320&amp;op_usm=0.8",1)</f>
        <v/>
      </c>
      <c r="B374" s="4" t="inlineStr">
        <is>
          <t>Hotty Hot High-Rise Lined Short 2.5"</t>
        </is>
      </c>
      <c r="C374" s="4" t="inlineStr">
        <is>
          <t>155700482</t>
        </is>
      </c>
      <c r="D374" s="4" t="inlineStr">
        <is>
          <t>155700482-white</t>
        </is>
      </c>
      <c r="E374" s="4" t="inlineStr">
        <is>
          <t>Hotty Hot HR Short 2.5" *Lined TRNV 2</t>
        </is>
      </c>
      <c r="F374" s="4" t="inlineStr">
        <is>
          <t>$68.00</t>
        </is>
      </c>
      <c r="G374" s="4" t="inlineStr">
        <is>
          <t>$34.00</t>
        </is>
      </c>
      <c r="H374" s="4" t="inlineStr">
        <is>
          <t>White</t>
        </is>
      </c>
      <c r="I374" s="4">
        <f>IMAGE("https://images.lululemon.com/is/image/lululemon/0002",1)</f>
        <v/>
      </c>
      <c r="J374" s="4" t="inlineStr">
        <is>
          <t>12</t>
        </is>
      </c>
      <c r="K374" s="4" t="inlineStr">
        <is>
          <t>66/6964</t>
        </is>
      </c>
      <c r="L374" s="4" t="inlineStr">
        <is>
          <t>Yes</t>
        </is>
      </c>
      <c r="M374" s="4" t="inlineStr">
        <is>
          <t>Max out that stride. We designed these run shorts with a little extra room so you can move freely.</t>
        </is>
      </c>
      <c r="N374" s="4" t="inlineStr">
        <is>
          <t>Hotty-Hot-Short-HR</t>
        </is>
      </c>
      <c r="O374" s="4" t="inlineStr">
        <is>
          <t>Athletic Shorts, Liner Shorts, Track Shorts</t>
        </is>
      </c>
    </row>
    <row r="375" ht="80" customHeight="1">
      <c r="A375" s="7">
        <f>IMAGE("https://images.lululemon.com/is/image/lululemon/LW7AYYR_031382_1?wid=320&amp;op_usm=0.8",1)</f>
        <v/>
      </c>
      <c r="B375" s="7" t="inlineStr">
        <is>
          <t>Hotty Hot High-Rise Lined Short 2.5"</t>
        </is>
      </c>
      <c r="C375" s="7" t="inlineStr">
        <is>
          <t>155700486</t>
        </is>
      </c>
      <c r="D375" s="7" t="inlineStr">
        <is>
          <t>155700486-white</t>
        </is>
      </c>
      <c r="E375" s="7" t="inlineStr">
        <is>
          <t>Hotty Hot HR Short 2.5" *Lined TRNV 2</t>
        </is>
      </c>
      <c r="F375" s="7" t="inlineStr">
        <is>
          <t>$68.00</t>
        </is>
      </c>
      <c r="G375" s="7" t="inlineStr">
        <is>
          <t>$34.00</t>
        </is>
      </c>
      <c r="H375" s="7" t="inlineStr">
        <is>
          <t>White</t>
        </is>
      </c>
      <c r="I375" s="7">
        <f>IMAGE("https://images.lululemon.com/is/image/lululemon/0002",1)</f>
        <v/>
      </c>
      <c r="J375" s="7" t="inlineStr">
        <is>
          <t>14</t>
        </is>
      </c>
      <c r="K375" s="7" t="inlineStr">
        <is>
          <t>24/6964</t>
        </is>
      </c>
      <c r="L375" s="7" t="inlineStr">
        <is>
          <t>Yes</t>
        </is>
      </c>
      <c r="M375" s="7" t="inlineStr">
        <is>
          <t>Max out that stride. We designed these run shorts with a little extra room so you can move freely.</t>
        </is>
      </c>
      <c r="N375" s="7" t="inlineStr">
        <is>
          <t>Hotty-Hot-Short-HR</t>
        </is>
      </c>
      <c r="O375" s="7" t="inlineStr">
        <is>
          <t>Athletic Shorts, Liner Shorts, Track Shorts</t>
        </is>
      </c>
    </row>
    <row r="376" ht="80" customHeight="1">
      <c r="A376" s="4">
        <f>IMAGE("https://images.lululemon.com/is/image/lululemon/LW7AYYR_031382_1?wid=320&amp;op_usm=0.8",1)</f>
        <v/>
      </c>
      <c r="B376" s="4" t="inlineStr">
        <is>
          <t>Hotty Hot High-Rise Lined Short 2.5"</t>
        </is>
      </c>
      <c r="C376" s="4" t="inlineStr">
        <is>
          <t>158095813</t>
        </is>
      </c>
      <c r="D376" s="4" t="inlineStr">
        <is>
          <t>158095813-cornflower</t>
        </is>
      </c>
      <c r="E376" s="4" t="inlineStr">
        <is>
          <t>Hotty Hot HR Short 2.5" *Lined TRNV 2</t>
        </is>
      </c>
      <c r="F376" s="4" t="inlineStr">
        <is>
          <t>$68.00</t>
        </is>
      </c>
      <c r="G376" s="4" t="inlineStr">
        <is>
          <t>$34.00</t>
        </is>
      </c>
      <c r="H376" s="4" t="inlineStr">
        <is>
          <t>Cornflower</t>
        </is>
      </c>
      <c r="I376" s="4">
        <f>IMAGE("https://images.lululemon.com/is/image/lululemon/11297",1)</f>
        <v/>
      </c>
      <c r="J376" s="4" t="inlineStr">
        <is>
          <t>2</t>
        </is>
      </c>
      <c r="K376" s="4" t="inlineStr">
        <is>
          <t>188/6964</t>
        </is>
      </c>
      <c r="L376" s="4" t="inlineStr">
        <is>
          <t>Yes</t>
        </is>
      </c>
      <c r="M376" s="4" t="inlineStr">
        <is>
          <t>Max out that stride. We designed these run shorts with a little extra room so you can move freely.</t>
        </is>
      </c>
      <c r="N376" s="4" t="inlineStr">
        <is>
          <t>Hotty-Hot-Short-HR</t>
        </is>
      </c>
      <c r="O376" s="4" t="inlineStr">
        <is>
          <t>Athletic Shorts, Liner Shorts, Track Shorts</t>
        </is>
      </c>
    </row>
    <row r="377" ht="80" customHeight="1">
      <c r="A377" s="7">
        <f>IMAGE("https://images.lululemon.com/is/image/lululemon/LW7AYYR_031382_1?wid=320&amp;op_usm=0.8",1)</f>
        <v/>
      </c>
      <c r="B377" s="7" t="inlineStr">
        <is>
          <t>Hotty Hot High-Rise Lined Short 2.5"</t>
        </is>
      </c>
      <c r="C377" s="7" t="inlineStr">
        <is>
          <t>158095818</t>
        </is>
      </c>
      <c r="D377" s="7" t="inlineStr">
        <is>
          <t>158095818-cornflower</t>
        </is>
      </c>
      <c r="E377" s="7" t="inlineStr">
        <is>
          <t>Hotty Hot HR Short 2.5" *Lined TRNV 2</t>
        </is>
      </c>
      <c r="F377" s="7" t="inlineStr">
        <is>
          <t>$68.00</t>
        </is>
      </c>
      <c r="G377" s="7" t="inlineStr">
        <is>
          <t>$34.00</t>
        </is>
      </c>
      <c r="H377" s="7" t="inlineStr">
        <is>
          <t>Cornflower</t>
        </is>
      </c>
      <c r="I377" s="7">
        <f>IMAGE("https://images.lululemon.com/is/image/lululemon/11297",1)</f>
        <v/>
      </c>
      <c r="J377" s="7" t="inlineStr">
        <is>
          <t>4</t>
        </is>
      </c>
      <c r="K377" s="7" t="inlineStr">
        <is>
          <t>357/6964</t>
        </is>
      </c>
      <c r="L377" s="7" t="inlineStr">
        <is>
          <t>Yes</t>
        </is>
      </c>
      <c r="M377" s="7" t="inlineStr">
        <is>
          <t>Max out that stride. We designed these run shorts with a little extra room so you can move freely.</t>
        </is>
      </c>
      <c r="N377" s="7" t="inlineStr">
        <is>
          <t>Hotty-Hot-Short-HR</t>
        </is>
      </c>
      <c r="O377" s="7" t="inlineStr">
        <is>
          <t>Athletic Shorts, Liner Shorts, Track Shorts</t>
        </is>
      </c>
    </row>
    <row r="378" ht="80" customHeight="1">
      <c r="A378" s="4">
        <f>IMAGE("https://images.lululemon.com/is/image/lululemon/LW7AYYR_031382_1?wid=320&amp;op_usm=0.8",1)</f>
        <v/>
      </c>
      <c r="B378" s="4" t="inlineStr">
        <is>
          <t>Hotty Hot High-Rise Lined Short 2.5"</t>
        </is>
      </c>
      <c r="C378" s="4" t="inlineStr">
        <is>
          <t>158095822</t>
        </is>
      </c>
      <c r="D378" s="4" t="inlineStr">
        <is>
          <t>158095822-cornflower</t>
        </is>
      </c>
      <c r="E378" s="4" t="inlineStr">
        <is>
          <t>Hotty Hot HR Short 2.5" *Lined TRNV 2</t>
        </is>
      </c>
      <c r="F378" s="4" t="inlineStr">
        <is>
          <t>$68.00</t>
        </is>
      </c>
      <c r="G378" s="4" t="inlineStr">
        <is>
          <t>$34.00</t>
        </is>
      </c>
      <c r="H378" s="4" t="inlineStr">
        <is>
          <t>Cornflower</t>
        </is>
      </c>
      <c r="I378" s="4">
        <f>IMAGE("https://images.lululemon.com/is/image/lululemon/11297",1)</f>
        <v/>
      </c>
      <c r="J378" s="4" t="inlineStr">
        <is>
          <t>6</t>
        </is>
      </c>
      <c r="K378" s="4" t="inlineStr">
        <is>
          <t>400/6964</t>
        </is>
      </c>
      <c r="L378" s="4" t="inlineStr">
        <is>
          <t>Yes</t>
        </is>
      </c>
      <c r="M378" s="4" t="inlineStr">
        <is>
          <t>Max out that stride. We designed these run shorts with a little extra room so you can move freely.</t>
        </is>
      </c>
      <c r="N378" s="4" t="inlineStr">
        <is>
          <t>Hotty-Hot-Short-HR</t>
        </is>
      </c>
      <c r="O378" s="4" t="inlineStr">
        <is>
          <t>Athletic Shorts, Liner Shorts, Track Shorts</t>
        </is>
      </c>
    </row>
    <row r="379" ht="80" customHeight="1">
      <c r="A379" s="7">
        <f>IMAGE("https://images.lululemon.com/is/image/lululemon/LW7AYYR_031382_1?wid=320&amp;op_usm=0.8",1)</f>
        <v/>
      </c>
      <c r="B379" s="7" t="inlineStr">
        <is>
          <t>Hotty Hot High-Rise Lined Short 2.5"</t>
        </is>
      </c>
      <c r="C379" s="7" t="inlineStr">
        <is>
          <t>158095825</t>
        </is>
      </c>
      <c r="D379" s="7" t="inlineStr">
        <is>
          <t>158095825-cornflower</t>
        </is>
      </c>
      <c r="E379" s="7" t="inlineStr">
        <is>
          <t>Hotty Hot HR Short 2.5" *Lined TRNV 2</t>
        </is>
      </c>
      <c r="F379" s="7" t="inlineStr">
        <is>
          <t>$68.00</t>
        </is>
      </c>
      <c r="G379" s="7" t="inlineStr">
        <is>
          <t>$34.00</t>
        </is>
      </c>
      <c r="H379" s="7" t="inlineStr">
        <is>
          <t>Cornflower</t>
        </is>
      </c>
      <c r="I379" s="7">
        <f>IMAGE("https://images.lululemon.com/is/image/lululemon/11297",1)</f>
        <v/>
      </c>
      <c r="J379" s="7" t="inlineStr">
        <is>
          <t>8</t>
        </is>
      </c>
      <c r="K379" s="7" t="inlineStr">
        <is>
          <t>313/6964</t>
        </is>
      </c>
      <c r="L379" s="7" t="inlineStr">
        <is>
          <t>Yes</t>
        </is>
      </c>
      <c r="M379" s="7" t="inlineStr">
        <is>
          <t>Max out that stride. We designed these run shorts with a little extra room so you can move freely.</t>
        </is>
      </c>
      <c r="N379" s="7" t="inlineStr">
        <is>
          <t>Hotty-Hot-Short-HR</t>
        </is>
      </c>
      <c r="O379" s="7" t="inlineStr">
        <is>
          <t>Athletic Shorts, Liner Shorts, Track Shorts</t>
        </is>
      </c>
    </row>
    <row r="380" ht="80" customHeight="1">
      <c r="A380" s="4">
        <f>IMAGE("https://images.lululemon.com/is/image/lululemon/LW7AYYR_031382_1?wid=320&amp;op_usm=0.8",1)</f>
        <v/>
      </c>
      <c r="B380" s="4" t="inlineStr">
        <is>
          <t>Hotty Hot High-Rise Lined Short 2.5"</t>
        </is>
      </c>
      <c r="C380" s="4" t="inlineStr">
        <is>
          <t>158095797</t>
        </is>
      </c>
      <c r="D380" s="4" t="inlineStr">
        <is>
          <t>158095797-cornflower</t>
        </is>
      </c>
      <c r="E380" s="4" t="inlineStr">
        <is>
          <t>Hotty Hot HR Short 2.5" *Lined TRNV 2</t>
        </is>
      </c>
      <c r="F380" s="4" t="inlineStr">
        <is>
          <t>$68.00</t>
        </is>
      </c>
      <c r="G380" s="4" t="inlineStr">
        <is>
          <t>$34.00</t>
        </is>
      </c>
      <c r="H380" s="4" t="inlineStr">
        <is>
          <t>Cornflower</t>
        </is>
      </c>
      <c r="I380" s="4">
        <f>IMAGE("https://images.lululemon.com/is/image/lululemon/11297",1)</f>
        <v/>
      </c>
      <c r="J380" s="4" t="inlineStr">
        <is>
          <t>10</t>
        </is>
      </c>
      <c r="K380" s="4" t="inlineStr">
        <is>
          <t>161/6964</t>
        </is>
      </c>
      <c r="L380" s="4" t="inlineStr">
        <is>
          <t>Yes</t>
        </is>
      </c>
      <c r="M380" s="4" t="inlineStr">
        <is>
          <t>Max out that stride. We designed these run shorts with a little extra room so you can move freely.</t>
        </is>
      </c>
      <c r="N380" s="4" t="inlineStr">
        <is>
          <t>Hotty-Hot-Short-HR</t>
        </is>
      </c>
      <c r="O380" s="4" t="inlineStr">
        <is>
          <t>Athletic Shorts, Liner Shorts, Track Shorts</t>
        </is>
      </c>
    </row>
    <row r="381" ht="80" customHeight="1">
      <c r="A381" s="5">
        <f>IMAGE("https://images.lululemon.com/is/image/lululemon/LW7AYYR_031382_1?wid=320&amp;op_usm=0.8",1)</f>
        <v/>
      </c>
      <c r="B381" s="5" t="inlineStr">
        <is>
          <t>Hotty Hot High-Rise Lined Short 2.5"</t>
        </is>
      </c>
      <c r="C381" s="5" t="inlineStr">
        <is>
          <t>158095803</t>
        </is>
      </c>
      <c r="D381" s="5" t="inlineStr">
        <is>
          <t>158095803-cornflower</t>
        </is>
      </c>
      <c r="E381" s="5" t="inlineStr">
        <is>
          <t>Hotty Hot HR Short 2.5" *Lined TRNV 2</t>
        </is>
      </c>
      <c r="F381" s="5" t="inlineStr">
        <is>
          <t>$68.00</t>
        </is>
      </c>
      <c r="G381" s="5" t="inlineStr">
        <is>
          <t>$34.00</t>
        </is>
      </c>
      <c r="H381" s="5" t="inlineStr">
        <is>
          <t>Cornflower</t>
        </is>
      </c>
      <c r="I381" s="5">
        <f>IMAGE("https://images.lululemon.com/is/image/lululemon/11297",1)</f>
        <v/>
      </c>
      <c r="J381" s="5" t="inlineStr">
        <is>
          <t>12</t>
        </is>
      </c>
      <c r="K381" s="5" t="inlineStr">
        <is>
          <t>55/6964</t>
        </is>
      </c>
      <c r="L381" s="5" t="inlineStr">
        <is>
          <t>Yes</t>
        </is>
      </c>
      <c r="M381" s="5" t="inlineStr">
        <is>
          <t>Max out that stride. We designed these run shorts with a little extra room so you can move freely.</t>
        </is>
      </c>
      <c r="N381" s="5" t="inlineStr">
        <is>
          <t>Hotty-Hot-Short-HR</t>
        </is>
      </c>
      <c r="O381" s="5" t="inlineStr">
        <is>
          <t>Athletic Shorts, Liner Shorts, Track Shorts</t>
        </is>
      </c>
    </row>
    <row r="382" ht="80" customHeight="1">
      <c r="A382" s="4">
        <f>IMAGE("https://images.lululemon.com/is/image/lululemon/LW5HAOR_0001_1?wid=320&amp;op_usm=0.8",1)</f>
        <v/>
      </c>
      <c r="B382" s="4" t="inlineStr">
        <is>
          <t>Groove Nulu High-Rise Flared Pant *Regular</t>
        </is>
      </c>
      <c r="C382" s="4" t="inlineStr">
        <is>
          <t>155700541</t>
        </is>
      </c>
      <c r="D382" s="4" t="inlineStr">
        <is>
          <t>155700541-black</t>
        </is>
      </c>
      <c r="E382" s="4" t="inlineStr">
        <is>
          <t>Groove Nulu™ HR Flared Pant *Regular BLK 2</t>
        </is>
      </c>
      <c r="F382" s="4" t="inlineStr">
        <is>
          <t>$118.00</t>
        </is>
      </c>
      <c r="G382" s="4" t="inlineStr">
        <is>
          <t>$59.00</t>
        </is>
      </c>
      <c r="H382" s="4" t="inlineStr">
        <is>
          <t>Black</t>
        </is>
      </c>
      <c r="I382" s="4">
        <f>IMAGE("https://images.lululemon.com/is/image/lululemon/0001",1)</f>
        <v/>
      </c>
      <c r="J382" s="4" t="inlineStr">
        <is>
          <t>2</t>
        </is>
      </c>
      <c r="K382" s="4" t="inlineStr">
        <is>
          <t>13/246</t>
        </is>
      </c>
      <c r="L382" s="4" t="inlineStr">
        <is>
          <t>Yes</t>
        </is>
      </c>
      <c r="M382" s="4" t="inlineStr">
        <is>
          <t>Flowin' and groovin'. This version of our versatile buttery-soft yoga flares has a super-lightweight waistband inspired by our iconic Groove pant.</t>
        </is>
      </c>
      <c r="N382" s="4" t="inlineStr">
        <is>
          <t>Groove-Nulu-High-Rise-Flared-Pant-Regular</t>
        </is>
      </c>
      <c r="O382" s="4" t="inlineStr"/>
    </row>
    <row r="383" ht="80" customHeight="1">
      <c r="A383" s="7">
        <f>IMAGE("https://images.lululemon.com/is/image/lululemon/LW5HAOR_0001_1?wid=320&amp;op_usm=0.8",1)</f>
        <v/>
      </c>
      <c r="B383" s="7" t="inlineStr">
        <is>
          <t>Groove Nulu High-Rise Flared Pant *Regular</t>
        </is>
      </c>
      <c r="C383" s="7" t="inlineStr">
        <is>
          <t>155700560</t>
        </is>
      </c>
      <c r="D383" s="7" t="inlineStr">
        <is>
          <t>155700560-black</t>
        </is>
      </c>
      <c r="E383" s="7" t="inlineStr">
        <is>
          <t>Groove Nulu™ HR Flared Pant *Regular BLK 2</t>
        </is>
      </c>
      <c r="F383" s="7" t="inlineStr">
        <is>
          <t>$118.00</t>
        </is>
      </c>
      <c r="G383" s="7" t="inlineStr">
        <is>
          <t>$59.00</t>
        </is>
      </c>
      <c r="H383" s="7" t="inlineStr">
        <is>
          <t>Black</t>
        </is>
      </c>
      <c r="I383" s="7">
        <f>IMAGE("https://images.lululemon.com/is/image/lululemon/0001",1)</f>
        <v/>
      </c>
      <c r="J383" s="7" t="inlineStr">
        <is>
          <t>4</t>
        </is>
      </c>
      <c r="K383" s="7" t="inlineStr">
        <is>
          <t>11/246</t>
        </is>
      </c>
      <c r="L383" s="7" t="inlineStr">
        <is>
          <t>Yes</t>
        </is>
      </c>
      <c r="M383" s="7" t="inlineStr">
        <is>
          <t>Flowin' and groovin'. This version of our versatile buttery-soft yoga flares has a super-lightweight waistband inspired by our iconic Groove pant.</t>
        </is>
      </c>
      <c r="N383" s="7" t="inlineStr">
        <is>
          <t>Groove-Nulu-High-Rise-Flared-Pant-Regular</t>
        </is>
      </c>
      <c r="O383" s="7" t="inlineStr"/>
    </row>
    <row r="384" ht="80" customHeight="1">
      <c r="A384" s="4">
        <f>IMAGE("https://images.lululemon.com/is/image/lululemon/LW5HAOR_0001_1?wid=320&amp;op_usm=0.8",1)</f>
        <v/>
      </c>
      <c r="B384" s="4" t="inlineStr">
        <is>
          <t>Groove Nulu High-Rise Flared Pant *Regular</t>
        </is>
      </c>
      <c r="C384" s="4" t="inlineStr">
        <is>
          <t>155700564</t>
        </is>
      </c>
      <c r="D384" s="4" t="inlineStr">
        <is>
          <t>155700564-black</t>
        </is>
      </c>
      <c r="E384" s="4" t="inlineStr">
        <is>
          <t>Groove Nulu™ HR Flared Pant *Regular BLK 2</t>
        </is>
      </c>
      <c r="F384" s="4" t="inlineStr">
        <is>
          <t>$118.00</t>
        </is>
      </c>
      <c r="G384" s="4" t="inlineStr">
        <is>
          <t>$59.00</t>
        </is>
      </c>
      <c r="H384" s="4" t="inlineStr">
        <is>
          <t>Black</t>
        </is>
      </c>
      <c r="I384" s="4">
        <f>IMAGE("https://images.lululemon.com/is/image/lululemon/0001",1)</f>
        <v/>
      </c>
      <c r="J384" s="4" t="inlineStr">
        <is>
          <t>6</t>
        </is>
      </c>
      <c r="K384" s="4" t="inlineStr">
        <is>
          <t>60/246</t>
        </is>
      </c>
      <c r="L384" s="4" t="inlineStr">
        <is>
          <t>Yes</t>
        </is>
      </c>
      <c r="M384" s="4" t="inlineStr">
        <is>
          <t>Flowin' and groovin'. This version of our versatile buttery-soft yoga flares has a super-lightweight waistband inspired by our iconic Groove pant.</t>
        </is>
      </c>
      <c r="N384" s="4" t="inlineStr">
        <is>
          <t>Groove-Nulu-High-Rise-Flared-Pant-Regular</t>
        </is>
      </c>
      <c r="O384" s="4" t="inlineStr"/>
    </row>
    <row r="385" ht="80" customHeight="1">
      <c r="A385" s="7">
        <f>IMAGE("https://images.lululemon.com/is/image/lululemon/LW5HAOR_0001_1?wid=320&amp;op_usm=0.8",1)</f>
        <v/>
      </c>
      <c r="B385" s="7" t="inlineStr">
        <is>
          <t>Groove Nulu High-Rise Flared Pant *Regular</t>
        </is>
      </c>
      <c r="C385" s="7" t="inlineStr">
        <is>
          <t>155700567</t>
        </is>
      </c>
      <c r="D385" s="7" t="inlineStr">
        <is>
          <t>155700567-black</t>
        </is>
      </c>
      <c r="E385" s="7" t="inlineStr">
        <is>
          <t>Groove Nulu™ HR Flared Pant *Regular BLK 2</t>
        </is>
      </c>
      <c r="F385" s="7" t="inlineStr">
        <is>
          <t>$118.00</t>
        </is>
      </c>
      <c r="G385" s="7" t="inlineStr">
        <is>
          <t>$59.00</t>
        </is>
      </c>
      <c r="H385" s="7" t="inlineStr">
        <is>
          <t>Black</t>
        </is>
      </c>
      <c r="I385" s="7">
        <f>IMAGE("https://images.lululemon.com/is/image/lululemon/0001",1)</f>
        <v/>
      </c>
      <c r="J385" s="7" t="inlineStr">
        <is>
          <t>8</t>
        </is>
      </c>
      <c r="K385" s="7" t="inlineStr">
        <is>
          <t>80/246</t>
        </is>
      </c>
      <c r="L385" s="7" t="inlineStr">
        <is>
          <t>Yes</t>
        </is>
      </c>
      <c r="M385" s="7" t="inlineStr">
        <is>
          <t>Flowin' and groovin'. This version of our versatile buttery-soft yoga flares has a super-lightweight waistband inspired by our iconic Groove pant.</t>
        </is>
      </c>
      <c r="N385" s="7" t="inlineStr">
        <is>
          <t>Groove-Nulu-High-Rise-Flared-Pant-Regular</t>
        </is>
      </c>
      <c r="O385" s="7" t="inlineStr"/>
    </row>
    <row r="386" ht="80" customHeight="1">
      <c r="A386" s="4">
        <f>IMAGE("https://images.lululemon.com/is/image/lululemon/LW5HAOR_0001_1?wid=320&amp;op_usm=0.8",1)</f>
        <v/>
      </c>
      <c r="B386" s="4" t="inlineStr">
        <is>
          <t>Groove Nulu High-Rise Flared Pant *Regular</t>
        </is>
      </c>
      <c r="C386" s="4" t="inlineStr">
        <is>
          <t>155700523</t>
        </is>
      </c>
      <c r="D386" s="4" t="inlineStr">
        <is>
          <t>155700523-black</t>
        </is>
      </c>
      <c r="E386" s="4" t="inlineStr">
        <is>
          <t>Groove Nulu™ HR Flared Pant *Regular BLK 2</t>
        </is>
      </c>
      <c r="F386" s="4" t="inlineStr">
        <is>
          <t>$118.00</t>
        </is>
      </c>
      <c r="G386" s="4" t="inlineStr">
        <is>
          <t>$59.00</t>
        </is>
      </c>
      <c r="H386" s="4" t="inlineStr">
        <is>
          <t>Black</t>
        </is>
      </c>
      <c r="I386" s="4">
        <f>IMAGE("https://images.lululemon.com/is/image/lululemon/0001",1)</f>
        <v/>
      </c>
      <c r="J386" s="4" t="inlineStr">
        <is>
          <t>10</t>
        </is>
      </c>
      <c r="K386" s="4" t="inlineStr">
        <is>
          <t>25/246</t>
        </is>
      </c>
      <c r="L386" s="4" t="inlineStr">
        <is>
          <t>Yes</t>
        </is>
      </c>
      <c r="M386" s="4" t="inlineStr">
        <is>
          <t>Flowin' and groovin'. This version of our versatile buttery-soft yoga flares has a super-lightweight waistband inspired by our iconic Groove pant.</t>
        </is>
      </c>
      <c r="N386" s="4" t="inlineStr">
        <is>
          <t>Groove-Nulu-High-Rise-Flared-Pant-Regular</t>
        </is>
      </c>
      <c r="O386" s="4" t="inlineStr"/>
    </row>
    <row r="387" ht="80" customHeight="1">
      <c r="A387" s="7">
        <f>IMAGE("https://images.lululemon.com/is/image/lululemon/LW5HAOR_0001_1?wid=320&amp;op_usm=0.8",1)</f>
        <v/>
      </c>
      <c r="B387" s="7" t="inlineStr">
        <is>
          <t>Groove Nulu High-Rise Flared Pant *Regular</t>
        </is>
      </c>
      <c r="C387" s="7" t="inlineStr">
        <is>
          <t>155700526</t>
        </is>
      </c>
      <c r="D387" s="7" t="inlineStr">
        <is>
          <t>155700526-black</t>
        </is>
      </c>
      <c r="E387" s="7" t="inlineStr">
        <is>
          <t>Groove Nulu™ HR Flared Pant *Regular BLK 2</t>
        </is>
      </c>
      <c r="F387" s="7" t="inlineStr">
        <is>
          <t>$118.00</t>
        </is>
      </c>
      <c r="G387" s="7" t="inlineStr">
        <is>
          <t>$59.00</t>
        </is>
      </c>
      <c r="H387" s="7" t="inlineStr">
        <is>
          <t>Black</t>
        </is>
      </c>
      <c r="I387" s="7">
        <f>IMAGE("https://images.lululemon.com/is/image/lululemon/0001",1)</f>
        <v/>
      </c>
      <c r="J387" s="7" t="inlineStr">
        <is>
          <t>12</t>
        </is>
      </c>
      <c r="K387" s="7" t="inlineStr">
        <is>
          <t>25/246</t>
        </is>
      </c>
      <c r="L387" s="7" t="inlineStr">
        <is>
          <t>Yes</t>
        </is>
      </c>
      <c r="M387" s="7" t="inlineStr">
        <is>
          <t>Flowin' and groovin'. This version of our versatile buttery-soft yoga flares has a super-lightweight waistband inspired by our iconic Groove pant.</t>
        </is>
      </c>
      <c r="N387" s="7" t="inlineStr">
        <is>
          <t>Groove-Nulu-High-Rise-Flared-Pant-Regular</t>
        </is>
      </c>
      <c r="O387" s="7" t="inlineStr"/>
    </row>
    <row r="388" ht="80" customHeight="1">
      <c r="A388" s="4">
        <f>IMAGE("https://images.lululemon.com/is/image/lululemon/LW5HAOR_0001_1?wid=320&amp;op_usm=0.8",1)</f>
        <v/>
      </c>
      <c r="B388" s="4" t="inlineStr">
        <is>
          <t>Groove Nulu High-Rise Flared Pant *Regular</t>
        </is>
      </c>
      <c r="C388" s="4" t="inlineStr">
        <is>
          <t>158093913</t>
        </is>
      </c>
      <c r="D388" s="4" t="inlineStr">
        <is>
          <t>158093913-blackplum</t>
        </is>
      </c>
      <c r="E388" s="4" t="inlineStr">
        <is>
          <t>Groove Nulu™ HR Flared Pant *Regular BLK 2</t>
        </is>
      </c>
      <c r="F388" s="4" t="inlineStr">
        <is>
          <t>$118.00</t>
        </is>
      </c>
      <c r="G388" s="4" t="inlineStr">
        <is>
          <t>$59.00</t>
        </is>
      </c>
      <c r="H388" s="4" t="inlineStr">
        <is>
          <t>Black Plum</t>
        </is>
      </c>
      <c r="I388" s="4">
        <f>IMAGE("https://images.lululemon.com/is/image/lululemon/34697",1)</f>
        <v/>
      </c>
      <c r="J388" s="4" t="inlineStr">
        <is>
          <t>2</t>
        </is>
      </c>
      <c r="K388" s="4" t="inlineStr">
        <is>
          <t>8/246</t>
        </is>
      </c>
      <c r="L388" s="4" t="inlineStr">
        <is>
          <t>Yes</t>
        </is>
      </c>
      <c r="M388" s="4" t="inlineStr">
        <is>
          <t>Flowin' and groovin'. This version of our versatile buttery-soft yoga flares has a super-lightweight waistband inspired by our iconic Groove pant.</t>
        </is>
      </c>
      <c r="N388" s="4" t="inlineStr">
        <is>
          <t>Groove-Nulu-High-Rise-Flared-Pant-Regular</t>
        </is>
      </c>
      <c r="O388" s="4" t="inlineStr"/>
    </row>
    <row r="389" ht="80" customHeight="1">
      <c r="A389" s="7">
        <f>IMAGE("https://images.lululemon.com/is/image/lululemon/LW5HAOR_0001_1?wid=320&amp;op_usm=0.8",1)</f>
        <v/>
      </c>
      <c r="B389" s="7" t="inlineStr">
        <is>
          <t>Groove Nulu High-Rise Flared Pant *Regular</t>
        </is>
      </c>
      <c r="C389" s="7" t="inlineStr">
        <is>
          <t>158093918</t>
        </is>
      </c>
      <c r="D389" s="7" t="inlineStr">
        <is>
          <t>158093918-blackplum</t>
        </is>
      </c>
      <c r="E389" s="7" t="inlineStr">
        <is>
          <t>Groove Nulu™ HR Flared Pant *Regular BLK 2</t>
        </is>
      </c>
      <c r="F389" s="7" t="inlineStr">
        <is>
          <t>$118.00</t>
        </is>
      </c>
      <c r="G389" s="7" t="inlineStr">
        <is>
          <t>$59.00</t>
        </is>
      </c>
      <c r="H389" s="7" t="inlineStr">
        <is>
          <t>Black Plum</t>
        </is>
      </c>
      <c r="I389" s="7">
        <f>IMAGE("https://images.lululemon.com/is/image/lululemon/34697",1)</f>
        <v/>
      </c>
      <c r="J389" s="7" t="inlineStr">
        <is>
          <t>4</t>
        </is>
      </c>
      <c r="K389" s="7" t="inlineStr">
        <is>
          <t>8/246</t>
        </is>
      </c>
      <c r="L389" s="7" t="inlineStr">
        <is>
          <t>Yes</t>
        </is>
      </c>
      <c r="M389" s="7" t="inlineStr">
        <is>
          <t>Flowin' and groovin'. This version of our versatile buttery-soft yoga flares has a super-lightweight waistband inspired by our iconic Groove pant.</t>
        </is>
      </c>
      <c r="N389" s="7" t="inlineStr">
        <is>
          <t>Groove-Nulu-High-Rise-Flared-Pant-Regular</t>
        </is>
      </c>
      <c r="O389" s="7" t="inlineStr"/>
    </row>
    <row r="390" ht="80" customHeight="1">
      <c r="A390" s="4">
        <f>IMAGE("https://images.lululemon.com/is/image/lululemon/LW5HAOR_0001_1?wid=320&amp;op_usm=0.8",1)</f>
        <v/>
      </c>
      <c r="B390" s="4" t="inlineStr">
        <is>
          <t>Groove Nulu High-Rise Flared Pant *Regular</t>
        </is>
      </c>
      <c r="C390" s="4" t="inlineStr">
        <is>
          <t>158093925</t>
        </is>
      </c>
      <c r="D390" s="4" t="inlineStr">
        <is>
          <t>158093925-blackplum</t>
        </is>
      </c>
      <c r="E390" s="4" t="inlineStr">
        <is>
          <t>Groove Nulu™ HR Flared Pant *Regular BLK 2</t>
        </is>
      </c>
      <c r="F390" s="4" t="inlineStr">
        <is>
          <t>$118.00</t>
        </is>
      </c>
      <c r="G390" s="4" t="inlineStr">
        <is>
          <t>$59.00</t>
        </is>
      </c>
      <c r="H390" s="4" t="inlineStr">
        <is>
          <t>Black Plum</t>
        </is>
      </c>
      <c r="I390" s="4">
        <f>IMAGE("https://images.lululemon.com/is/image/lululemon/34697",1)</f>
        <v/>
      </c>
      <c r="J390" s="4" t="inlineStr">
        <is>
          <t>6</t>
        </is>
      </c>
      <c r="K390" s="4" t="inlineStr">
        <is>
          <t>6/246</t>
        </is>
      </c>
      <c r="L390" s="4" t="inlineStr">
        <is>
          <t>Yes</t>
        </is>
      </c>
      <c r="M390" s="4" t="inlineStr">
        <is>
          <t>Flowin' and groovin'. This version of our versatile buttery-soft yoga flares has a super-lightweight waistband inspired by our iconic Groove pant.</t>
        </is>
      </c>
      <c r="N390" s="4" t="inlineStr">
        <is>
          <t>Groove-Nulu-High-Rise-Flared-Pant-Regular</t>
        </is>
      </c>
      <c r="O390" s="4" t="inlineStr"/>
    </row>
    <row r="391" ht="80" customHeight="1">
      <c r="A391" s="7">
        <f>IMAGE("https://images.lululemon.com/is/image/lululemon/LW5HAOR_0001_1?wid=320&amp;op_usm=0.8",1)</f>
        <v/>
      </c>
      <c r="B391" s="7" t="inlineStr">
        <is>
          <t>Groove Nulu High-Rise Flared Pant *Regular</t>
        </is>
      </c>
      <c r="C391" s="7" t="inlineStr">
        <is>
          <t>158093928</t>
        </is>
      </c>
      <c r="D391" s="7" t="inlineStr">
        <is>
          <t>158093928-blackplum</t>
        </is>
      </c>
      <c r="E391" s="7" t="inlineStr">
        <is>
          <t>Groove Nulu™ HR Flared Pant *Regular BLK 2</t>
        </is>
      </c>
      <c r="F391" s="7" t="inlineStr">
        <is>
          <t>$118.00</t>
        </is>
      </c>
      <c r="G391" s="7" t="inlineStr">
        <is>
          <t>$59.00</t>
        </is>
      </c>
      <c r="H391" s="7" t="inlineStr">
        <is>
          <t>Black Plum</t>
        </is>
      </c>
      <c r="I391" s="7">
        <f>IMAGE("https://images.lululemon.com/is/image/lululemon/34697",1)</f>
        <v/>
      </c>
      <c r="J391" s="7" t="inlineStr">
        <is>
          <t>8</t>
        </is>
      </c>
      <c r="K391" s="7" t="inlineStr">
        <is>
          <t>9/246</t>
        </is>
      </c>
      <c r="L391" s="7" t="inlineStr">
        <is>
          <t>Yes</t>
        </is>
      </c>
      <c r="M391" s="7" t="inlineStr">
        <is>
          <t>Flowin' and groovin'. This version of our versatile buttery-soft yoga flares has a super-lightweight waistband inspired by our iconic Groove pant.</t>
        </is>
      </c>
      <c r="N391" s="7" t="inlineStr">
        <is>
          <t>Groove-Nulu-High-Rise-Flared-Pant-Regular</t>
        </is>
      </c>
      <c r="O391" s="7" t="inlineStr"/>
    </row>
    <row r="392" ht="80" customHeight="1">
      <c r="A392" s="6">
        <f>IMAGE("https://images.lululemon.com/is/image/lululemon/LW5HAOR_0001_1?wid=320&amp;op_usm=0.8",1)</f>
        <v/>
      </c>
      <c r="B392" s="6" t="inlineStr">
        <is>
          <t>Groove Nulu High-Rise Flared Pant *Regular</t>
        </is>
      </c>
      <c r="C392" s="6" t="inlineStr">
        <is>
          <t>158093900</t>
        </is>
      </c>
      <c r="D392" s="6" t="inlineStr">
        <is>
          <t>158093900-blackplum</t>
        </is>
      </c>
      <c r="E392" s="6" t="inlineStr">
        <is>
          <t>Groove Nulu™ HR Flared Pant *Regular BLK 2</t>
        </is>
      </c>
      <c r="F392" s="6" t="inlineStr">
        <is>
          <t>$118.00</t>
        </is>
      </c>
      <c r="G392" s="6" t="inlineStr">
        <is>
          <t>$59.00</t>
        </is>
      </c>
      <c r="H392" s="6" t="inlineStr">
        <is>
          <t>Black Plum</t>
        </is>
      </c>
      <c r="I392" s="6">
        <f>IMAGE("https://images.lululemon.com/is/image/lululemon/34697",1)</f>
        <v/>
      </c>
      <c r="J392" s="6" t="inlineStr">
        <is>
          <t>10</t>
        </is>
      </c>
      <c r="K392" s="6" t="inlineStr">
        <is>
          <t>1/246</t>
        </is>
      </c>
      <c r="L392" s="6" t="inlineStr">
        <is>
          <t>Yes</t>
        </is>
      </c>
      <c r="M392" s="6" t="inlineStr">
        <is>
          <t>Flowin' and groovin'. This version of our versatile buttery-soft yoga flares has a super-lightweight waistband inspired by our iconic Groove pant.</t>
        </is>
      </c>
      <c r="N392" s="6" t="inlineStr">
        <is>
          <t>Groove-Nulu-High-Rise-Flared-Pant-Regular</t>
        </is>
      </c>
      <c r="O392" s="6" t="inlineStr"/>
    </row>
    <row r="393" ht="80" customHeight="1">
      <c r="A393" s="5">
        <f>IMAGE("https://images.lululemon.com/is/image/lululemon/LU9AI6S_0001_1?wid=320&amp;op_usm=0.8",1)</f>
        <v/>
      </c>
      <c r="B393" s="5" t="inlineStr">
        <is>
          <t>Loop It Up Mat Strap</t>
        </is>
      </c>
      <c r="C393" s="5" t="inlineStr">
        <is>
          <t>123000131</t>
        </is>
      </c>
      <c r="D393" s="5" t="inlineStr">
        <is>
          <t>123000131-black</t>
        </is>
      </c>
      <c r="E393" s="5" t="inlineStr">
        <is>
          <t>Loop It Up Mat Strap BLK ONE SIZE</t>
        </is>
      </c>
      <c r="F393" s="5" t="inlineStr">
        <is>
          <t>$24.00</t>
        </is>
      </c>
      <c r="G393" s="5" t="inlineStr">
        <is>
          <t>$12.00</t>
        </is>
      </c>
      <c r="H393" s="5" t="inlineStr">
        <is>
          <t>Black</t>
        </is>
      </c>
      <c r="I393" s="5">
        <f>IMAGE("https://images.lululemon.com/is/image/lululemon/0001",1)</f>
        <v/>
      </c>
      <c r="J393" s="5" t="inlineStr">
        <is>
          <t>O/S</t>
        </is>
      </c>
      <c r="K393" s="5" t="inlineStr">
        <is>
          <t>526/526</t>
        </is>
      </c>
      <c r="L393" s="5" t="inlineStr">
        <is>
          <t>Yes</t>
        </is>
      </c>
      <c r="M393" s="5" t="inlineStr">
        <is>
          <t>A no-fuss mat strap perfect for carrying, well, your mat. It doubles as a strap to help you stretch. How about that?</t>
        </is>
      </c>
      <c r="N393" s="5" t="inlineStr">
        <is>
          <t>Loop-It-Up-Mat-Strap-Cotton</t>
        </is>
      </c>
      <c r="O393" s="5" t="inlineStr">
        <is>
          <t>Mat Straps</t>
        </is>
      </c>
    </row>
    <row r="394" ht="80" customHeight="1">
      <c r="A394" s="4">
        <f>IMAGE("https://images.lululemon.com/is/image/lululemon/LW3HYAS_0001_1?wid=320&amp;op_usm=0.8",1)</f>
        <v/>
      </c>
      <c r="B394" s="4" t="inlineStr">
        <is>
          <t>It's Rulu Cropped Half Zip *Updated</t>
        </is>
      </c>
      <c r="C394" s="4" t="inlineStr">
        <is>
          <t>154831994</t>
        </is>
      </c>
      <c r="D394" s="4" t="inlineStr">
        <is>
          <t>154831994-black</t>
        </is>
      </c>
      <c r="E394" s="4" t="inlineStr">
        <is>
          <t>It's Rulu Cropped Half Zip BLK XXS</t>
        </is>
      </c>
      <c r="F394" s="4" t="inlineStr">
        <is>
          <t>$98.00</t>
        </is>
      </c>
      <c r="G394" s="4" t="inlineStr">
        <is>
          <t>$49.00</t>
        </is>
      </c>
      <c r="H394" s="4" t="inlineStr">
        <is>
          <t>Black</t>
        </is>
      </c>
      <c r="I394" s="4">
        <f>IMAGE("https://images.lululemon.com/is/image/lululemon/0001",1)</f>
        <v/>
      </c>
      <c r="J394" s="4" t="inlineStr">
        <is>
          <t>XXS</t>
        </is>
      </c>
      <c r="K394" s="4" t="inlineStr">
        <is>
          <t>2/1289</t>
        </is>
      </c>
      <c r="L394" s="4" t="inlineStr">
        <is>
          <t>Yes</t>
        </is>
      </c>
      <c r="M394" s="4" t="inlineStr">
        <is>
          <t>Warm up to cold-weather workouts. This soft half zip wicks away sweat so you can stay comfortable when the temperature drops.</t>
        </is>
      </c>
      <c r="N394" s="4" t="inlineStr">
        <is>
          <t>Its-Rulu-Cropped-Half-Zip-Updated</t>
        </is>
      </c>
      <c r="O394" s="4" t="inlineStr">
        <is>
          <t>Half Zip Sweatshirts, Base Layers, Quarter Zip Sweatshirts</t>
        </is>
      </c>
    </row>
    <row r="395" ht="80" customHeight="1">
      <c r="A395" s="7">
        <f>IMAGE("https://images.lululemon.com/is/image/lululemon/LW3HYAS_0001_1?wid=320&amp;op_usm=0.8",1)</f>
        <v/>
      </c>
      <c r="B395" s="7" t="inlineStr">
        <is>
          <t>It's Rulu Cropped Half Zip *Updated</t>
        </is>
      </c>
      <c r="C395" s="7" t="inlineStr">
        <is>
          <t>154831985</t>
        </is>
      </c>
      <c r="D395" s="7" t="inlineStr">
        <is>
          <t>154831985-black</t>
        </is>
      </c>
      <c r="E395" s="7" t="inlineStr">
        <is>
          <t>It's Rulu Cropped Half Zip BLK XXS</t>
        </is>
      </c>
      <c r="F395" s="7" t="inlineStr">
        <is>
          <t>$98.00</t>
        </is>
      </c>
      <c r="G395" s="7" t="inlineStr">
        <is>
          <t>$49.00</t>
        </is>
      </c>
      <c r="H395" s="7" t="inlineStr">
        <is>
          <t>Black</t>
        </is>
      </c>
      <c r="I395" s="7">
        <f>IMAGE("https://images.lululemon.com/is/image/lululemon/0001",1)</f>
        <v/>
      </c>
      <c r="J395" s="7" t="inlineStr">
        <is>
          <t>XS</t>
        </is>
      </c>
      <c r="K395" s="7" t="inlineStr">
        <is>
          <t>39/1289</t>
        </is>
      </c>
      <c r="L395" s="7" t="inlineStr">
        <is>
          <t>Yes</t>
        </is>
      </c>
      <c r="M395" s="7" t="inlineStr">
        <is>
          <t>Warm up to cold-weather workouts. This soft half zip wicks away sweat so you can stay comfortable when the temperature drops.</t>
        </is>
      </c>
      <c r="N395" s="7" t="inlineStr">
        <is>
          <t>Its-Rulu-Cropped-Half-Zip-Updated</t>
        </is>
      </c>
      <c r="O395" s="7" t="inlineStr">
        <is>
          <t>Half Zip Sweatshirts, Base Layers, Quarter Zip Sweatshirts</t>
        </is>
      </c>
    </row>
    <row r="396" ht="80" customHeight="1">
      <c r="A396" s="4">
        <f>IMAGE("https://images.lululemon.com/is/image/lululemon/LW3HYAS_0001_1?wid=320&amp;op_usm=0.8",1)</f>
        <v/>
      </c>
      <c r="B396" s="4" t="inlineStr">
        <is>
          <t>It's Rulu Cropped Half Zip *Updated</t>
        </is>
      </c>
      <c r="C396" s="4" t="inlineStr">
        <is>
          <t>154831971</t>
        </is>
      </c>
      <c r="D396" s="4" t="inlineStr">
        <is>
          <t>154831971-black</t>
        </is>
      </c>
      <c r="E396" s="4" t="inlineStr">
        <is>
          <t>It's Rulu Cropped Half Zip BLK XXS</t>
        </is>
      </c>
      <c r="F396" s="4" t="inlineStr">
        <is>
          <t>$98.00</t>
        </is>
      </c>
      <c r="G396" s="4" t="inlineStr">
        <is>
          <t>$49.00</t>
        </is>
      </c>
      <c r="H396" s="4" t="inlineStr">
        <is>
          <t>Black</t>
        </is>
      </c>
      <c r="I396" s="4">
        <f>IMAGE("https://images.lululemon.com/is/image/lululemon/0001",1)</f>
        <v/>
      </c>
      <c r="J396" s="4" t="inlineStr">
        <is>
          <t>S</t>
        </is>
      </c>
      <c r="K396" s="4" t="inlineStr">
        <is>
          <t>92/1289</t>
        </is>
      </c>
      <c r="L396" s="4" t="inlineStr">
        <is>
          <t>Yes</t>
        </is>
      </c>
      <c r="M396" s="4" t="inlineStr">
        <is>
          <t>Warm up to cold-weather workouts. This soft half zip wicks away sweat so you can stay comfortable when the temperature drops.</t>
        </is>
      </c>
      <c r="N396" s="4" t="inlineStr">
        <is>
          <t>Its-Rulu-Cropped-Half-Zip-Updated</t>
        </is>
      </c>
      <c r="O396" s="4" t="inlineStr">
        <is>
          <t>Half Zip Sweatshirts, Base Layers, Quarter Zip Sweatshirts</t>
        </is>
      </c>
    </row>
    <row r="397" ht="80" customHeight="1">
      <c r="A397" s="7">
        <f>IMAGE("https://images.lululemon.com/is/image/lululemon/LW3HYAS_0001_1?wid=320&amp;op_usm=0.8",1)</f>
        <v/>
      </c>
      <c r="B397" s="7" t="inlineStr">
        <is>
          <t>It's Rulu Cropped Half Zip *Updated</t>
        </is>
      </c>
      <c r="C397" s="7" t="inlineStr">
        <is>
          <t>154831962</t>
        </is>
      </c>
      <c r="D397" s="7" t="inlineStr">
        <is>
          <t>154831962-black</t>
        </is>
      </c>
      <c r="E397" s="7" t="inlineStr">
        <is>
          <t>It's Rulu Cropped Half Zip BLK XXS</t>
        </is>
      </c>
      <c r="F397" s="7" t="inlineStr">
        <is>
          <t>$98.00</t>
        </is>
      </c>
      <c r="G397" s="7" t="inlineStr">
        <is>
          <t>$49.00</t>
        </is>
      </c>
      <c r="H397" s="7" t="inlineStr">
        <is>
          <t>Black</t>
        </is>
      </c>
      <c r="I397" s="7">
        <f>IMAGE("https://images.lululemon.com/is/image/lululemon/0001",1)</f>
        <v/>
      </c>
      <c r="J397" s="7" t="inlineStr">
        <is>
          <t>M</t>
        </is>
      </c>
      <c r="K397" s="7" t="inlineStr">
        <is>
          <t>110/1289</t>
        </is>
      </c>
      <c r="L397" s="7" t="inlineStr">
        <is>
          <t>Yes</t>
        </is>
      </c>
      <c r="M397" s="7" t="inlineStr">
        <is>
          <t>Warm up to cold-weather workouts. This soft half zip wicks away sweat so you can stay comfortable when the temperature drops.</t>
        </is>
      </c>
      <c r="N397" s="7" t="inlineStr">
        <is>
          <t>Its-Rulu-Cropped-Half-Zip-Updated</t>
        </is>
      </c>
      <c r="O397" s="7" t="inlineStr">
        <is>
          <t>Half Zip Sweatshirts, Base Layers, Quarter Zip Sweatshirts</t>
        </is>
      </c>
    </row>
    <row r="398" ht="80" customHeight="1">
      <c r="A398" s="4">
        <f>IMAGE("https://images.lululemon.com/is/image/lululemon/LW3HYAS_0001_1?wid=320&amp;op_usm=0.8",1)</f>
        <v/>
      </c>
      <c r="B398" s="4" t="inlineStr">
        <is>
          <t>It's Rulu Cropped Half Zip *Updated</t>
        </is>
      </c>
      <c r="C398" s="4" t="inlineStr">
        <is>
          <t>154831955</t>
        </is>
      </c>
      <c r="D398" s="4" t="inlineStr">
        <is>
          <t>154831955-black</t>
        </is>
      </c>
      <c r="E398" s="4" t="inlineStr">
        <is>
          <t>It's Rulu Cropped Half Zip BLK XXS</t>
        </is>
      </c>
      <c r="F398" s="4" t="inlineStr">
        <is>
          <t>$98.00</t>
        </is>
      </c>
      <c r="G398" s="4" t="inlineStr">
        <is>
          <t>$49.00</t>
        </is>
      </c>
      <c r="H398" s="4" t="inlineStr">
        <is>
          <t>Black</t>
        </is>
      </c>
      <c r="I398" s="4">
        <f>IMAGE("https://images.lululemon.com/is/image/lululemon/0001",1)</f>
        <v/>
      </c>
      <c r="J398" s="4" t="inlineStr">
        <is>
          <t>L</t>
        </is>
      </c>
      <c r="K398" s="4" t="inlineStr">
        <is>
          <t>134/1289</t>
        </is>
      </c>
      <c r="L398" s="4" t="inlineStr">
        <is>
          <t>Yes</t>
        </is>
      </c>
      <c r="M398" s="4" t="inlineStr">
        <is>
          <t>Warm up to cold-weather workouts. This soft half zip wicks away sweat so you can stay comfortable when the temperature drops.</t>
        </is>
      </c>
      <c r="N398" s="4" t="inlineStr">
        <is>
          <t>Its-Rulu-Cropped-Half-Zip-Updated</t>
        </is>
      </c>
      <c r="O398" s="4" t="inlineStr">
        <is>
          <t>Half Zip Sweatshirts, Base Layers, Quarter Zip Sweatshirts</t>
        </is>
      </c>
    </row>
    <row r="399" ht="80" customHeight="1">
      <c r="A399" s="7">
        <f>IMAGE("https://images.lululemon.com/is/image/lululemon/LW3HYAS_0001_1?wid=320&amp;op_usm=0.8",1)</f>
        <v/>
      </c>
      <c r="B399" s="7" t="inlineStr">
        <is>
          <t>It's Rulu Cropped Half Zip *Updated</t>
        </is>
      </c>
      <c r="C399" s="7" t="inlineStr">
        <is>
          <t>154831978</t>
        </is>
      </c>
      <c r="D399" s="7" t="inlineStr">
        <is>
          <t>154831978-black</t>
        </is>
      </c>
      <c r="E399" s="7" t="inlineStr">
        <is>
          <t>It's Rulu Cropped Half Zip BLK XXS</t>
        </is>
      </c>
      <c r="F399" s="7" t="inlineStr">
        <is>
          <t>$98.00</t>
        </is>
      </c>
      <c r="G399" s="7" t="inlineStr">
        <is>
          <t>$49.00</t>
        </is>
      </c>
      <c r="H399" s="7" t="inlineStr">
        <is>
          <t>Black</t>
        </is>
      </c>
      <c r="I399" s="7">
        <f>IMAGE("https://images.lululemon.com/is/image/lululemon/0001",1)</f>
        <v/>
      </c>
      <c r="J399" s="7" t="inlineStr">
        <is>
          <t>XL</t>
        </is>
      </c>
      <c r="K399" s="7" t="inlineStr">
        <is>
          <t>130/1289</t>
        </is>
      </c>
      <c r="L399" s="7" t="inlineStr">
        <is>
          <t>Yes</t>
        </is>
      </c>
      <c r="M399" s="7" t="inlineStr">
        <is>
          <t>Warm up to cold-weather workouts. This soft half zip wicks away sweat so you can stay comfortable when the temperature drops.</t>
        </is>
      </c>
      <c r="N399" s="7" t="inlineStr">
        <is>
          <t>Its-Rulu-Cropped-Half-Zip-Updated</t>
        </is>
      </c>
      <c r="O399" s="7" t="inlineStr">
        <is>
          <t>Half Zip Sweatshirts, Base Layers, Quarter Zip Sweatshirts</t>
        </is>
      </c>
    </row>
    <row r="400" ht="80" customHeight="1">
      <c r="A400" s="4">
        <f>IMAGE("https://images.lululemon.com/is/image/lululemon/LW3HYAS_0001_1?wid=320&amp;op_usm=0.8",1)</f>
        <v/>
      </c>
      <c r="B400" s="4" t="inlineStr">
        <is>
          <t>It's Rulu Cropped Half Zip *Updated</t>
        </is>
      </c>
      <c r="C400" s="4" t="inlineStr">
        <is>
          <t>154832081</t>
        </is>
      </c>
      <c r="D400" s="4" t="inlineStr">
        <is>
          <t>154832081-white</t>
        </is>
      </c>
      <c r="E400" s="4" t="inlineStr">
        <is>
          <t>It's Rulu Cropped Half Zip BLK XXS</t>
        </is>
      </c>
      <c r="F400" s="4" t="inlineStr">
        <is>
          <t>$98.00</t>
        </is>
      </c>
      <c r="G400" s="4" t="inlineStr">
        <is>
          <t>$49.00</t>
        </is>
      </c>
      <c r="H400" s="4" t="inlineStr">
        <is>
          <t>White</t>
        </is>
      </c>
      <c r="I400" s="4">
        <f>IMAGE("https://images.lululemon.com/is/image/lululemon/0002",1)</f>
        <v/>
      </c>
      <c r="J400" s="4" t="inlineStr">
        <is>
          <t>XS</t>
        </is>
      </c>
      <c r="K400" s="4" t="inlineStr">
        <is>
          <t>30/1289</t>
        </is>
      </c>
      <c r="L400" s="4" t="inlineStr">
        <is>
          <t>Yes</t>
        </is>
      </c>
      <c r="M400" s="4" t="inlineStr">
        <is>
          <t>Warm up to cold-weather workouts. This soft half zip wicks away sweat so you can stay comfortable when the temperature drops.</t>
        </is>
      </c>
      <c r="N400" s="4" t="inlineStr">
        <is>
          <t>Its-Rulu-Cropped-Half-Zip-Updated</t>
        </is>
      </c>
      <c r="O400" s="4" t="inlineStr">
        <is>
          <t>Half Zip Sweatshirts, Base Layers, Quarter Zip Sweatshirts</t>
        </is>
      </c>
    </row>
    <row r="401" ht="80" customHeight="1">
      <c r="A401" s="7">
        <f>IMAGE("https://images.lululemon.com/is/image/lululemon/LW3HYAS_0001_1?wid=320&amp;op_usm=0.8",1)</f>
        <v/>
      </c>
      <c r="B401" s="7" t="inlineStr">
        <is>
          <t>It's Rulu Cropped Half Zip *Updated</t>
        </is>
      </c>
      <c r="C401" s="7" t="inlineStr">
        <is>
          <t>154832068</t>
        </is>
      </c>
      <c r="D401" s="7" t="inlineStr">
        <is>
          <t>154832068-white</t>
        </is>
      </c>
      <c r="E401" s="7" t="inlineStr">
        <is>
          <t>It's Rulu Cropped Half Zip BLK XXS</t>
        </is>
      </c>
      <c r="F401" s="7" t="inlineStr">
        <is>
          <t>$98.00</t>
        </is>
      </c>
      <c r="G401" s="7" t="inlineStr">
        <is>
          <t>$49.00</t>
        </is>
      </c>
      <c r="H401" s="7" t="inlineStr">
        <is>
          <t>White</t>
        </is>
      </c>
      <c r="I401" s="7">
        <f>IMAGE("https://images.lululemon.com/is/image/lululemon/0002",1)</f>
        <v/>
      </c>
      <c r="J401" s="7" t="inlineStr">
        <is>
          <t>S</t>
        </is>
      </c>
      <c r="K401" s="7" t="inlineStr">
        <is>
          <t>86/1289</t>
        </is>
      </c>
      <c r="L401" s="7" t="inlineStr">
        <is>
          <t>Yes</t>
        </is>
      </c>
      <c r="M401" s="7" t="inlineStr">
        <is>
          <t>Warm up to cold-weather workouts. This soft half zip wicks away sweat so you can stay comfortable when the temperature drops.</t>
        </is>
      </c>
      <c r="N401" s="7" t="inlineStr">
        <is>
          <t>Its-Rulu-Cropped-Half-Zip-Updated</t>
        </is>
      </c>
      <c r="O401" s="7" t="inlineStr">
        <is>
          <t>Half Zip Sweatshirts, Base Layers, Quarter Zip Sweatshirts</t>
        </is>
      </c>
    </row>
    <row r="402" ht="80" customHeight="1">
      <c r="A402" s="4">
        <f>IMAGE("https://images.lululemon.com/is/image/lululemon/LW3HYAS_0001_1?wid=320&amp;op_usm=0.8",1)</f>
        <v/>
      </c>
      <c r="B402" s="4" t="inlineStr">
        <is>
          <t>It's Rulu Cropped Half Zip *Updated</t>
        </is>
      </c>
      <c r="C402" s="4" t="inlineStr">
        <is>
          <t>154832062</t>
        </is>
      </c>
      <c r="D402" s="4" t="inlineStr">
        <is>
          <t>154832062-white</t>
        </is>
      </c>
      <c r="E402" s="4" t="inlineStr">
        <is>
          <t>It's Rulu Cropped Half Zip BLK XXS</t>
        </is>
      </c>
      <c r="F402" s="4" t="inlineStr">
        <is>
          <t>$98.00</t>
        </is>
      </c>
      <c r="G402" s="4" t="inlineStr">
        <is>
          <t>$49.00</t>
        </is>
      </c>
      <c r="H402" s="4" t="inlineStr">
        <is>
          <t>White</t>
        </is>
      </c>
      <c r="I402" s="4">
        <f>IMAGE("https://images.lululemon.com/is/image/lululemon/0002",1)</f>
        <v/>
      </c>
      <c r="J402" s="4" t="inlineStr">
        <is>
          <t>M</t>
        </is>
      </c>
      <c r="K402" s="4" t="inlineStr">
        <is>
          <t>123/1289</t>
        </is>
      </c>
      <c r="L402" s="4" t="inlineStr">
        <is>
          <t>Yes</t>
        </is>
      </c>
      <c r="M402" s="4" t="inlineStr">
        <is>
          <t>Warm up to cold-weather workouts. This soft half zip wicks away sweat so you can stay comfortable when the temperature drops.</t>
        </is>
      </c>
      <c r="N402" s="4" t="inlineStr">
        <is>
          <t>Its-Rulu-Cropped-Half-Zip-Updated</t>
        </is>
      </c>
      <c r="O402" s="4" t="inlineStr">
        <is>
          <t>Half Zip Sweatshirts, Base Layers, Quarter Zip Sweatshirts</t>
        </is>
      </c>
    </row>
    <row r="403" ht="80" customHeight="1">
      <c r="A403" s="7">
        <f>IMAGE("https://images.lululemon.com/is/image/lululemon/LW3HYAS_0001_1?wid=320&amp;op_usm=0.8",1)</f>
        <v/>
      </c>
      <c r="B403" s="7" t="inlineStr">
        <is>
          <t>It's Rulu Cropped Half Zip *Updated</t>
        </is>
      </c>
      <c r="C403" s="7" t="inlineStr">
        <is>
          <t>154832054</t>
        </is>
      </c>
      <c r="D403" s="7" t="inlineStr">
        <is>
          <t>154832054-white</t>
        </is>
      </c>
      <c r="E403" s="7" t="inlineStr">
        <is>
          <t>It's Rulu Cropped Half Zip BLK XXS</t>
        </is>
      </c>
      <c r="F403" s="7" t="inlineStr">
        <is>
          <t>$98.00</t>
        </is>
      </c>
      <c r="G403" s="7" t="inlineStr">
        <is>
          <t>$49.00</t>
        </is>
      </c>
      <c r="H403" s="7" t="inlineStr">
        <is>
          <t>White</t>
        </is>
      </c>
      <c r="I403" s="7">
        <f>IMAGE("https://images.lululemon.com/is/image/lululemon/0002",1)</f>
        <v/>
      </c>
      <c r="J403" s="7" t="inlineStr">
        <is>
          <t>L</t>
        </is>
      </c>
      <c r="K403" s="7" t="inlineStr">
        <is>
          <t>135/1289</t>
        </is>
      </c>
      <c r="L403" s="7" t="inlineStr">
        <is>
          <t>Yes</t>
        </is>
      </c>
      <c r="M403" s="7" t="inlineStr">
        <is>
          <t>Warm up to cold-weather workouts. This soft half zip wicks away sweat so you can stay comfortable when the temperature drops.</t>
        </is>
      </c>
      <c r="N403" s="7" t="inlineStr">
        <is>
          <t>Its-Rulu-Cropped-Half-Zip-Updated</t>
        </is>
      </c>
      <c r="O403" s="7" t="inlineStr">
        <is>
          <t>Half Zip Sweatshirts, Base Layers, Quarter Zip Sweatshirts</t>
        </is>
      </c>
    </row>
    <row r="404" ht="80" customHeight="1">
      <c r="A404" s="4">
        <f>IMAGE("https://images.lululemon.com/is/image/lululemon/LW3HYAS_0001_1?wid=320&amp;op_usm=0.8",1)</f>
        <v/>
      </c>
      <c r="B404" s="4" t="inlineStr">
        <is>
          <t>It's Rulu Cropped Half Zip *Updated</t>
        </is>
      </c>
      <c r="C404" s="4" t="inlineStr">
        <is>
          <t>154832073</t>
        </is>
      </c>
      <c r="D404" s="4" t="inlineStr">
        <is>
          <t>154832073-white</t>
        </is>
      </c>
      <c r="E404" s="4" t="inlineStr">
        <is>
          <t>It's Rulu Cropped Half Zip BLK XXS</t>
        </is>
      </c>
      <c r="F404" s="4" t="inlineStr">
        <is>
          <t>$98.00</t>
        </is>
      </c>
      <c r="G404" s="4" t="inlineStr">
        <is>
          <t>$49.00</t>
        </is>
      </c>
      <c r="H404" s="4" t="inlineStr">
        <is>
          <t>White</t>
        </is>
      </c>
      <c r="I404" s="4">
        <f>IMAGE("https://images.lululemon.com/is/image/lululemon/0002",1)</f>
        <v/>
      </c>
      <c r="J404" s="4" t="inlineStr">
        <is>
          <t>XL</t>
        </is>
      </c>
      <c r="K404" s="4" t="inlineStr">
        <is>
          <t>123/1289</t>
        </is>
      </c>
      <c r="L404" s="4" t="inlineStr">
        <is>
          <t>Yes</t>
        </is>
      </c>
      <c r="M404" s="4" t="inlineStr">
        <is>
          <t>Warm up to cold-weather workouts. This soft half zip wicks away sweat so you can stay comfortable when the temperature drops.</t>
        </is>
      </c>
      <c r="N404" s="4" t="inlineStr">
        <is>
          <t>Its-Rulu-Cropped-Half-Zip-Updated</t>
        </is>
      </c>
      <c r="O404" s="4" t="inlineStr">
        <is>
          <t>Half Zip Sweatshirts, Base Layers, Quarter Zip Sweatshirts</t>
        </is>
      </c>
    </row>
    <row r="405" ht="80" customHeight="1">
      <c r="A405" s="7">
        <f>IMAGE("https://images.lululemon.com/is/image/lululemon/LW3HYAS_0001_1?wid=320&amp;op_usm=0.8",1)</f>
        <v/>
      </c>
      <c r="B405" s="7" t="inlineStr">
        <is>
          <t>It's Rulu Cropped Half Zip *Updated</t>
        </is>
      </c>
      <c r="C405" s="7" t="inlineStr">
        <is>
          <t>158023328</t>
        </is>
      </c>
      <c r="D405" s="7" t="inlineStr">
        <is>
          <t>158023328-indochineblue</t>
        </is>
      </c>
      <c r="E405" s="7" t="inlineStr">
        <is>
          <t>It's Rulu Cropped Half Zip BLK XXS</t>
        </is>
      </c>
      <c r="F405" s="7" t="inlineStr">
        <is>
          <t>$98.00</t>
        </is>
      </c>
      <c r="G405" s="7" t="inlineStr">
        <is>
          <t>$49.00</t>
        </is>
      </c>
      <c r="H405" s="7" t="inlineStr">
        <is>
          <t>Indochine Blue</t>
        </is>
      </c>
      <c r="I405" s="7">
        <f>IMAGE("https://images.lululemon.com/is/image/lululemon/28022",1)</f>
        <v/>
      </c>
      <c r="J405" s="7" t="inlineStr">
        <is>
          <t>XS</t>
        </is>
      </c>
      <c r="K405" s="7" t="inlineStr">
        <is>
          <t>8/1289</t>
        </is>
      </c>
      <c r="L405" s="7" t="inlineStr">
        <is>
          <t>Yes</t>
        </is>
      </c>
      <c r="M405" s="7" t="inlineStr">
        <is>
          <t>Warm up to cold-weather workouts. This soft half zip wicks away sweat so you can stay comfortable when the temperature drops.</t>
        </is>
      </c>
      <c r="N405" s="7" t="inlineStr">
        <is>
          <t>Its-Rulu-Cropped-Half-Zip-Updated</t>
        </is>
      </c>
      <c r="O405" s="7" t="inlineStr">
        <is>
          <t>Half Zip Sweatshirts, Base Layers, Quarter Zip Sweatshirts</t>
        </is>
      </c>
    </row>
    <row r="406" ht="80" customHeight="1">
      <c r="A406" s="4">
        <f>IMAGE("https://images.lululemon.com/is/image/lululemon/LW3HYAS_0001_1?wid=320&amp;op_usm=0.8",1)</f>
        <v/>
      </c>
      <c r="B406" s="4" t="inlineStr">
        <is>
          <t>It's Rulu Cropped Half Zip *Updated</t>
        </is>
      </c>
      <c r="C406" s="4" t="inlineStr">
        <is>
          <t>158023290</t>
        </is>
      </c>
      <c r="D406" s="4" t="inlineStr">
        <is>
          <t>158023290-indochineblue</t>
        </is>
      </c>
      <c r="E406" s="4" t="inlineStr">
        <is>
          <t>It's Rulu Cropped Half Zip BLK XXS</t>
        </is>
      </c>
      <c r="F406" s="4" t="inlineStr">
        <is>
          <t>$98.00</t>
        </is>
      </c>
      <c r="G406" s="4" t="inlineStr">
        <is>
          <t>$49.00</t>
        </is>
      </c>
      <c r="H406" s="4" t="inlineStr">
        <is>
          <t>Indochine Blue</t>
        </is>
      </c>
      <c r="I406" s="4">
        <f>IMAGE("https://images.lululemon.com/is/image/lululemon/28022",1)</f>
        <v/>
      </c>
      <c r="J406" s="4" t="inlineStr">
        <is>
          <t>S</t>
        </is>
      </c>
      <c r="K406" s="4" t="inlineStr">
        <is>
          <t>41/1289</t>
        </is>
      </c>
      <c r="L406" s="4" t="inlineStr">
        <is>
          <t>Yes</t>
        </is>
      </c>
      <c r="M406" s="4" t="inlineStr">
        <is>
          <t>Warm up to cold-weather workouts. This soft half zip wicks away sweat so you can stay comfortable when the temperature drops.</t>
        </is>
      </c>
      <c r="N406" s="4" t="inlineStr">
        <is>
          <t>Its-Rulu-Cropped-Half-Zip-Updated</t>
        </is>
      </c>
      <c r="O406" s="4" t="inlineStr">
        <is>
          <t>Half Zip Sweatshirts, Base Layers, Quarter Zip Sweatshirts</t>
        </is>
      </c>
    </row>
    <row r="407" ht="80" customHeight="1">
      <c r="A407" s="7">
        <f>IMAGE("https://images.lululemon.com/is/image/lululemon/LW3HYAS_0001_1?wid=320&amp;op_usm=0.8",1)</f>
        <v/>
      </c>
      <c r="B407" s="7" t="inlineStr">
        <is>
          <t>It's Rulu Cropped Half Zip *Updated</t>
        </is>
      </c>
      <c r="C407" s="7" t="inlineStr">
        <is>
          <t>158023270</t>
        </is>
      </c>
      <c r="D407" s="7" t="inlineStr">
        <is>
          <t>158023270-indochineblue</t>
        </is>
      </c>
      <c r="E407" s="7" t="inlineStr">
        <is>
          <t>It's Rulu Cropped Half Zip BLK XXS</t>
        </is>
      </c>
      <c r="F407" s="7" t="inlineStr">
        <is>
          <t>$98.00</t>
        </is>
      </c>
      <c r="G407" s="7" t="inlineStr">
        <is>
          <t>$49.00</t>
        </is>
      </c>
      <c r="H407" s="7" t="inlineStr">
        <is>
          <t>Indochine Blue</t>
        </is>
      </c>
      <c r="I407" s="7">
        <f>IMAGE("https://images.lululemon.com/is/image/lululemon/28022",1)</f>
        <v/>
      </c>
      <c r="J407" s="7" t="inlineStr">
        <is>
          <t>M</t>
        </is>
      </c>
      <c r="K407" s="7" t="inlineStr">
        <is>
          <t>49/1289</t>
        </is>
      </c>
      <c r="L407" s="7" t="inlineStr">
        <is>
          <t>Yes</t>
        </is>
      </c>
      <c r="M407" s="7" t="inlineStr">
        <is>
          <t>Warm up to cold-weather workouts. This soft half zip wicks away sweat so you can stay comfortable when the temperature drops.</t>
        </is>
      </c>
      <c r="N407" s="7" t="inlineStr">
        <is>
          <t>Its-Rulu-Cropped-Half-Zip-Updated</t>
        </is>
      </c>
      <c r="O407" s="7" t="inlineStr">
        <is>
          <t>Half Zip Sweatshirts, Base Layers, Quarter Zip Sweatshirts</t>
        </is>
      </c>
    </row>
    <row r="408" ht="80" customHeight="1">
      <c r="A408" s="4">
        <f>IMAGE("https://images.lululemon.com/is/image/lululemon/LW3HYAS_0001_1?wid=320&amp;op_usm=0.8",1)</f>
        <v/>
      </c>
      <c r="B408" s="4" t="inlineStr">
        <is>
          <t>It's Rulu Cropped Half Zip *Updated</t>
        </is>
      </c>
      <c r="C408" s="4" t="inlineStr">
        <is>
          <t>158023247</t>
        </is>
      </c>
      <c r="D408" s="4" t="inlineStr">
        <is>
          <t>158023247-indochineblue</t>
        </is>
      </c>
      <c r="E408" s="4" t="inlineStr">
        <is>
          <t>It's Rulu Cropped Half Zip BLK XXS</t>
        </is>
      </c>
      <c r="F408" s="4" t="inlineStr">
        <is>
          <t>$98.00</t>
        </is>
      </c>
      <c r="G408" s="4" t="inlineStr">
        <is>
          <t>$49.00</t>
        </is>
      </c>
      <c r="H408" s="4" t="inlineStr">
        <is>
          <t>Indochine Blue</t>
        </is>
      </c>
      <c r="I408" s="4">
        <f>IMAGE("https://images.lululemon.com/is/image/lululemon/28022",1)</f>
        <v/>
      </c>
      <c r="J408" s="4" t="inlineStr">
        <is>
          <t>L</t>
        </is>
      </c>
      <c r="K408" s="4" t="inlineStr">
        <is>
          <t>52/1289</t>
        </is>
      </c>
      <c r="L408" s="4" t="inlineStr">
        <is>
          <t>Yes</t>
        </is>
      </c>
      <c r="M408" s="4" t="inlineStr">
        <is>
          <t>Warm up to cold-weather workouts. This soft half zip wicks away sweat so you can stay comfortable when the temperature drops.</t>
        </is>
      </c>
      <c r="N408" s="4" t="inlineStr">
        <is>
          <t>Its-Rulu-Cropped-Half-Zip-Updated</t>
        </is>
      </c>
      <c r="O408" s="4" t="inlineStr">
        <is>
          <t>Half Zip Sweatshirts, Base Layers, Quarter Zip Sweatshirts</t>
        </is>
      </c>
    </row>
    <row r="409" ht="80" customHeight="1">
      <c r="A409" s="7">
        <f>IMAGE("https://images.lululemon.com/is/image/lululemon/LW3HYAS_0001_1?wid=320&amp;op_usm=0.8",1)</f>
        <v/>
      </c>
      <c r="B409" s="7" t="inlineStr">
        <is>
          <t>It's Rulu Cropped Half Zip *Updated</t>
        </is>
      </c>
      <c r="C409" s="7" t="inlineStr">
        <is>
          <t>158023307</t>
        </is>
      </c>
      <c r="D409" s="7" t="inlineStr">
        <is>
          <t>158023307-indochineblue</t>
        </is>
      </c>
      <c r="E409" s="7" t="inlineStr">
        <is>
          <t>It's Rulu Cropped Half Zip BLK XXS</t>
        </is>
      </c>
      <c r="F409" s="7" t="inlineStr">
        <is>
          <t>$98.00</t>
        </is>
      </c>
      <c r="G409" s="7" t="inlineStr">
        <is>
          <t>$49.00</t>
        </is>
      </c>
      <c r="H409" s="7" t="inlineStr">
        <is>
          <t>Indochine Blue</t>
        </is>
      </c>
      <c r="I409" s="7">
        <f>IMAGE("https://images.lululemon.com/is/image/lululemon/28022",1)</f>
        <v/>
      </c>
      <c r="J409" s="7" t="inlineStr">
        <is>
          <t>XL</t>
        </is>
      </c>
      <c r="K409" s="7" t="inlineStr">
        <is>
          <t>40/1289</t>
        </is>
      </c>
      <c r="L409" s="7" t="inlineStr">
        <is>
          <t>Yes</t>
        </is>
      </c>
      <c r="M409" s="7" t="inlineStr">
        <is>
          <t>Warm up to cold-weather workouts. This soft half zip wicks away sweat so you can stay comfortable when the temperature drops.</t>
        </is>
      </c>
      <c r="N409" s="7" t="inlineStr">
        <is>
          <t>Its-Rulu-Cropped-Half-Zip-Updated</t>
        </is>
      </c>
      <c r="O409" s="7" t="inlineStr">
        <is>
          <t>Half Zip Sweatshirts, Base Layers, Quarter Zip Sweatshirts</t>
        </is>
      </c>
    </row>
    <row r="410" ht="80" customHeight="1">
      <c r="A410" s="4">
        <f>IMAGE("https://images.lululemon.com/is/image/lululemon/LW3HYAS_0001_1?wid=320&amp;op_usm=0.8",1)</f>
        <v/>
      </c>
      <c r="B410" s="4" t="inlineStr">
        <is>
          <t>It's Rulu Cropped Half Zip *Updated</t>
        </is>
      </c>
      <c r="C410" s="4" t="inlineStr">
        <is>
          <t>157709141</t>
        </is>
      </c>
      <c r="D410" s="4" t="inlineStr">
        <is>
          <t>157709141-warmashgrey</t>
        </is>
      </c>
      <c r="E410" s="4" t="inlineStr">
        <is>
          <t>It's Rulu Cropped Half Zip BLK XXS</t>
        </is>
      </c>
      <c r="F410" s="4" t="inlineStr">
        <is>
          <t>$98.00</t>
        </is>
      </c>
      <c r="G410" s="4" t="inlineStr">
        <is>
          <t>$49.00</t>
        </is>
      </c>
      <c r="H410" s="4" t="inlineStr">
        <is>
          <t>Warm Ash Grey</t>
        </is>
      </c>
      <c r="I410" s="4">
        <f>IMAGE("https://images.lululemon.com/is/image/lululemon/70108",1)</f>
        <v/>
      </c>
      <c r="J410" s="4" t="inlineStr">
        <is>
          <t>S</t>
        </is>
      </c>
      <c r="K410" s="4" t="inlineStr">
        <is>
          <t>2/1289</t>
        </is>
      </c>
      <c r="L410" s="4" t="inlineStr">
        <is>
          <t>Yes</t>
        </is>
      </c>
      <c r="M410" s="4" t="inlineStr">
        <is>
          <t>Warm up to cold-weather workouts. This soft half zip wicks away sweat so you can stay comfortable when the temperature drops.</t>
        </is>
      </c>
      <c r="N410" s="4" t="inlineStr">
        <is>
          <t>Its-Rulu-Cropped-Half-Zip-Updated</t>
        </is>
      </c>
      <c r="O410" s="4" t="inlineStr">
        <is>
          <t>Half Zip Sweatshirts, Base Layers, Quarter Zip Sweatshirts</t>
        </is>
      </c>
    </row>
    <row r="411" ht="80" customHeight="1">
      <c r="A411" s="7">
        <f>IMAGE("https://images.lululemon.com/is/image/lululemon/LW3HYAS_0001_1?wid=320&amp;op_usm=0.8",1)</f>
        <v/>
      </c>
      <c r="B411" s="7" t="inlineStr">
        <is>
          <t>It's Rulu Cropped Half Zip *Updated</t>
        </is>
      </c>
      <c r="C411" s="7" t="inlineStr">
        <is>
          <t>157709134</t>
        </is>
      </c>
      <c r="D411" s="7" t="inlineStr">
        <is>
          <t>157709134-warmashgrey</t>
        </is>
      </c>
      <c r="E411" s="7" t="inlineStr">
        <is>
          <t>It's Rulu Cropped Half Zip BLK XXS</t>
        </is>
      </c>
      <c r="F411" s="7" t="inlineStr">
        <is>
          <t>$98.00</t>
        </is>
      </c>
      <c r="G411" s="7" t="inlineStr">
        <is>
          <t>$49.00</t>
        </is>
      </c>
      <c r="H411" s="7" t="inlineStr">
        <is>
          <t>Warm Ash Grey</t>
        </is>
      </c>
      <c r="I411" s="7">
        <f>IMAGE("https://images.lululemon.com/is/image/lululemon/70108",1)</f>
        <v/>
      </c>
      <c r="J411" s="7" t="inlineStr">
        <is>
          <t>M</t>
        </is>
      </c>
      <c r="K411" s="7" t="inlineStr">
        <is>
          <t>18/1289</t>
        </is>
      </c>
      <c r="L411" s="7" t="inlineStr">
        <is>
          <t>Yes</t>
        </is>
      </c>
      <c r="M411" s="7" t="inlineStr">
        <is>
          <t>Warm up to cold-weather workouts. This soft half zip wicks away sweat so you can stay comfortable when the temperature drops.</t>
        </is>
      </c>
      <c r="N411" s="7" t="inlineStr">
        <is>
          <t>Its-Rulu-Cropped-Half-Zip-Updated</t>
        </is>
      </c>
      <c r="O411" s="7" t="inlineStr">
        <is>
          <t>Half Zip Sweatshirts, Base Layers, Quarter Zip Sweatshirts</t>
        </is>
      </c>
    </row>
    <row r="412" ht="80" customHeight="1">
      <c r="A412" s="4">
        <f>IMAGE("https://images.lululemon.com/is/image/lululemon/LW3HYAS_0001_1?wid=320&amp;op_usm=0.8",1)</f>
        <v/>
      </c>
      <c r="B412" s="4" t="inlineStr">
        <is>
          <t>It's Rulu Cropped Half Zip *Updated</t>
        </is>
      </c>
      <c r="C412" s="4" t="inlineStr">
        <is>
          <t>157709124</t>
        </is>
      </c>
      <c r="D412" s="4" t="inlineStr">
        <is>
          <t>157709124-warmashgrey</t>
        </is>
      </c>
      <c r="E412" s="4" t="inlineStr">
        <is>
          <t>It's Rulu Cropped Half Zip BLK XXS</t>
        </is>
      </c>
      <c r="F412" s="4" t="inlineStr">
        <is>
          <t>$98.00</t>
        </is>
      </c>
      <c r="G412" s="4" t="inlineStr">
        <is>
          <t>$49.00</t>
        </is>
      </c>
      <c r="H412" s="4" t="inlineStr">
        <is>
          <t>Warm Ash Grey</t>
        </is>
      </c>
      <c r="I412" s="4">
        <f>IMAGE("https://images.lululemon.com/is/image/lululemon/70108",1)</f>
        <v/>
      </c>
      <c r="J412" s="4" t="inlineStr">
        <is>
          <t>L</t>
        </is>
      </c>
      <c r="K412" s="4" t="inlineStr">
        <is>
          <t>33/1289</t>
        </is>
      </c>
      <c r="L412" s="4" t="inlineStr">
        <is>
          <t>Yes</t>
        </is>
      </c>
      <c r="M412" s="4" t="inlineStr">
        <is>
          <t>Warm up to cold-weather workouts. This soft half zip wicks away sweat so you can stay comfortable when the temperature drops.</t>
        </is>
      </c>
      <c r="N412" s="4" t="inlineStr">
        <is>
          <t>Its-Rulu-Cropped-Half-Zip-Updated</t>
        </is>
      </c>
      <c r="O412" s="4" t="inlineStr">
        <is>
          <t>Half Zip Sweatshirts, Base Layers, Quarter Zip Sweatshirts</t>
        </is>
      </c>
    </row>
    <row r="413" ht="80" customHeight="1">
      <c r="A413" s="5">
        <f>IMAGE("https://images.lululemon.com/is/image/lululemon/LW3HYAS_0001_1?wid=320&amp;op_usm=0.8",1)</f>
        <v/>
      </c>
      <c r="B413" s="5" t="inlineStr">
        <is>
          <t>It's Rulu Cropped Half Zip *Updated</t>
        </is>
      </c>
      <c r="C413" s="5" t="inlineStr">
        <is>
          <t>157709149</t>
        </is>
      </c>
      <c r="D413" s="5" t="inlineStr">
        <is>
          <t>157709149-warmashgrey</t>
        </is>
      </c>
      <c r="E413" s="5" t="inlineStr">
        <is>
          <t>It's Rulu Cropped Half Zip BLK XXS</t>
        </is>
      </c>
      <c r="F413" s="5" t="inlineStr">
        <is>
          <t>$98.00</t>
        </is>
      </c>
      <c r="G413" s="5" t="inlineStr">
        <is>
          <t>$49.00</t>
        </is>
      </c>
      <c r="H413" s="5" t="inlineStr">
        <is>
          <t>Warm Ash Grey</t>
        </is>
      </c>
      <c r="I413" s="5">
        <f>IMAGE("https://images.lululemon.com/is/image/lululemon/70108",1)</f>
        <v/>
      </c>
      <c r="J413" s="5" t="inlineStr">
        <is>
          <t>XL</t>
        </is>
      </c>
      <c r="K413" s="5" t="inlineStr">
        <is>
          <t>42/1289</t>
        </is>
      </c>
      <c r="L413" s="5" t="inlineStr">
        <is>
          <t>Yes</t>
        </is>
      </c>
      <c r="M413" s="5" t="inlineStr">
        <is>
          <t>Warm up to cold-weather workouts. This soft half zip wicks away sweat so you can stay comfortable when the temperature drops.</t>
        </is>
      </c>
      <c r="N413" s="5" t="inlineStr">
        <is>
          <t>Its-Rulu-Cropped-Half-Zip-Updated</t>
        </is>
      </c>
      <c r="O413" s="5" t="inlineStr">
        <is>
          <t>Half Zip Sweatshirts, Base Layers, Quarter Zip Sweatshirts</t>
        </is>
      </c>
    </row>
    <row r="414" ht="80" customHeight="1">
      <c r="A414" s="4">
        <f>IMAGE("https://images.lululemon.com/is/image/lululemon/LU9AZ3S_0002_1?wid=320&amp;op_usm=0.8",1)</f>
        <v/>
      </c>
      <c r="B414" s="4" t="inlineStr">
        <is>
          <t>Everywhere Belt Bag 1L</t>
        </is>
      </c>
      <c r="C414" s="4" t="inlineStr">
        <is>
          <t>143483266</t>
        </is>
      </c>
      <c r="D414" s="4" t="inlineStr">
        <is>
          <t>143483266-white</t>
        </is>
      </c>
      <c r="E414" s="4" t="inlineStr">
        <is>
          <t>Everywhere Belt Bag WHT ONE SIZE</t>
        </is>
      </c>
      <c r="F414" s="4" t="inlineStr">
        <is>
          <t>$38.00</t>
        </is>
      </c>
      <c r="G414" s="4" t="inlineStr">
        <is>
          <t>$19.00</t>
        </is>
      </c>
      <c r="H414" s="4" t="inlineStr">
        <is>
          <t>White</t>
        </is>
      </c>
      <c r="I414" s="4">
        <f>IMAGE("https://images.lululemon.com/is/image/lululemon/0002",1)</f>
        <v/>
      </c>
      <c r="J414" s="4" t="inlineStr">
        <is>
          <t>O/S</t>
        </is>
      </c>
      <c r="K414" s="4" t="inlineStr">
        <is>
          <t>4220/17813</t>
        </is>
      </c>
      <c r="L414" s="4" t="inlineStr">
        <is>
          <t>Yes</t>
        </is>
      </c>
      <c r="M414" s="4" t="inlineStr">
        <is>
          <t>Phone, keys, wallet. Keep them close in this versatile belt bag that helps you get out the door and on to your next adventure.</t>
        </is>
      </c>
      <c r="N414" s="4" t="inlineStr">
        <is>
          <t>Everywhere-Belt-Bag</t>
        </is>
      </c>
      <c r="O414" s="4" t="inlineStr">
        <is>
          <t>Belt Bags, Crossbody Bags</t>
        </is>
      </c>
    </row>
    <row r="415" ht="80" customHeight="1">
      <c r="A415" s="7">
        <f>IMAGE("https://images.lululemon.com/is/image/lululemon/LU9AZ3S_0002_1?wid=320&amp;op_usm=0.8",1)</f>
        <v/>
      </c>
      <c r="B415" s="7" t="inlineStr">
        <is>
          <t>Everywhere Belt Bag 1L</t>
        </is>
      </c>
      <c r="C415" s="7" t="inlineStr">
        <is>
          <t>143483264</t>
        </is>
      </c>
      <c r="D415" s="7" t="inlineStr">
        <is>
          <t>143483264-truenavy</t>
        </is>
      </c>
      <c r="E415" s="7" t="inlineStr">
        <is>
          <t>Everywhere Belt Bag WHT ONE SIZE</t>
        </is>
      </c>
      <c r="F415" s="7" t="inlineStr">
        <is>
          <t>$38.00</t>
        </is>
      </c>
      <c r="G415" s="7" t="inlineStr">
        <is>
          <t>$19.00</t>
        </is>
      </c>
      <c r="H415" s="7" t="inlineStr">
        <is>
          <t>True Navy</t>
        </is>
      </c>
      <c r="I415" s="7">
        <f>IMAGE("https://images.lululemon.com/is/image/lululemon/31382",1)</f>
        <v/>
      </c>
      <c r="J415" s="7" t="inlineStr">
        <is>
          <t>O/S</t>
        </is>
      </c>
      <c r="K415" s="7" t="inlineStr">
        <is>
          <t>484/17813</t>
        </is>
      </c>
      <c r="L415" s="7" t="inlineStr">
        <is>
          <t>Yes</t>
        </is>
      </c>
      <c r="M415" s="7" t="inlineStr">
        <is>
          <t>Phone, keys, wallet. Keep them close in this versatile belt bag that helps you get out the door and on to your next adventure.</t>
        </is>
      </c>
      <c r="N415" s="7" t="inlineStr">
        <is>
          <t>Everywhere-Belt-Bag</t>
        </is>
      </c>
      <c r="O415" s="7" t="inlineStr">
        <is>
          <t>Belt Bags, Crossbody Bags</t>
        </is>
      </c>
    </row>
    <row r="416" ht="80" customHeight="1">
      <c r="A416" s="4">
        <f>IMAGE("https://images.lululemon.com/is/image/lululemon/LU9AZ3S_0002_1?wid=320&amp;op_usm=0.8",1)</f>
        <v/>
      </c>
      <c r="B416" s="4" t="inlineStr">
        <is>
          <t>Everywhere Belt Bag 1L</t>
        </is>
      </c>
      <c r="C416" s="4" t="inlineStr">
        <is>
          <t>149400162</t>
        </is>
      </c>
      <c r="D416" s="4" t="inlineStr">
        <is>
          <t>149400162-black/black</t>
        </is>
      </c>
      <c r="E416" s="4" t="inlineStr">
        <is>
          <t>Everywhere Belt Bag WHT ONE SIZE</t>
        </is>
      </c>
      <c r="F416" s="4" t="inlineStr">
        <is>
          <t>$38.00</t>
        </is>
      </c>
      <c r="G416" s="4" t="inlineStr">
        <is>
          <t>$19.00</t>
        </is>
      </c>
      <c r="H416" s="4" t="inlineStr">
        <is>
          <t>Black/Black</t>
        </is>
      </c>
      <c r="I416" s="4">
        <f>IMAGE("https://images.lululemon.com/is/image/lululemon/4780",1)</f>
        <v/>
      </c>
      <c r="J416" s="4" t="inlineStr">
        <is>
          <t>O/S</t>
        </is>
      </c>
      <c r="K416" s="4" t="inlineStr">
        <is>
          <t>826/17813</t>
        </is>
      </c>
      <c r="L416" s="4" t="inlineStr">
        <is>
          <t>Yes</t>
        </is>
      </c>
      <c r="M416" s="4" t="inlineStr">
        <is>
          <t>Phone, keys, wallet. Keep them close in this versatile belt bag that helps you get out the door and on to your next adventure.</t>
        </is>
      </c>
      <c r="N416" s="4" t="inlineStr">
        <is>
          <t>Everywhere-Belt-Bag</t>
        </is>
      </c>
      <c r="O416" s="4" t="inlineStr">
        <is>
          <t>Belt Bags, Crossbody Bags</t>
        </is>
      </c>
    </row>
    <row r="417" ht="80" customHeight="1">
      <c r="A417" s="7">
        <f>IMAGE("https://images.lululemon.com/is/image/lululemon/LU9AZ3S_0002_1?wid=320&amp;op_usm=0.8",1)</f>
        <v/>
      </c>
      <c r="B417" s="7" t="inlineStr">
        <is>
          <t>Everywhere Belt Bag 1L</t>
        </is>
      </c>
      <c r="C417" s="7" t="inlineStr">
        <is>
          <t>156527215</t>
        </is>
      </c>
      <c r="D417" s="7" t="inlineStr">
        <is>
          <t>156527215-raspberrycoulis</t>
        </is>
      </c>
      <c r="E417" s="7" t="inlineStr">
        <is>
          <t>Everywhere Belt Bag WHT ONE SIZE</t>
        </is>
      </c>
      <c r="F417" s="7" t="inlineStr">
        <is>
          <t>$38.00</t>
        </is>
      </c>
      <c r="G417" s="7" t="inlineStr">
        <is>
          <t>$19.00</t>
        </is>
      </c>
      <c r="H417" s="7" t="inlineStr">
        <is>
          <t>Raspberry coulis</t>
        </is>
      </c>
      <c r="I417" s="7">
        <f>IMAGE("https://images.lululemon.com/is/image/lululemon/62220",1)</f>
        <v/>
      </c>
      <c r="J417" s="7" t="inlineStr">
        <is>
          <t>O/S</t>
        </is>
      </c>
      <c r="K417" s="7" t="inlineStr">
        <is>
          <t>1008/17813</t>
        </is>
      </c>
      <c r="L417" s="7" t="inlineStr">
        <is>
          <t>Yes</t>
        </is>
      </c>
      <c r="M417" s="7" t="inlineStr">
        <is>
          <t>Phone, keys, wallet. Keep them close in this versatile belt bag that helps you get out the door and on to your next adventure.</t>
        </is>
      </c>
      <c r="N417" s="7" t="inlineStr">
        <is>
          <t>Everywhere-Belt-Bag</t>
        </is>
      </c>
      <c r="O417" s="7" t="inlineStr">
        <is>
          <t>Belt Bags, Crossbody Bags</t>
        </is>
      </c>
    </row>
    <row r="418" ht="80" customHeight="1">
      <c r="A418" s="4">
        <f>IMAGE("https://images.lululemon.com/is/image/lululemon/LU9AZ3S_0002_1?wid=320&amp;op_usm=0.8",1)</f>
        <v/>
      </c>
      <c r="B418" s="4" t="inlineStr">
        <is>
          <t>Everywhere Belt Bag 1L</t>
        </is>
      </c>
      <c r="C418" s="4" t="inlineStr">
        <is>
          <t>156375657</t>
        </is>
      </c>
      <c r="D418" s="4" t="inlineStr">
        <is>
          <t>156375657-poolparty</t>
        </is>
      </c>
      <c r="E418" s="4" t="inlineStr">
        <is>
          <t>Everywhere Belt Bag WHT ONE SIZE</t>
        </is>
      </c>
      <c r="F418" s="4" t="inlineStr">
        <is>
          <t>$38.00</t>
        </is>
      </c>
      <c r="G418" s="4" t="inlineStr">
        <is>
          <t>$19.00</t>
        </is>
      </c>
      <c r="H418" s="4" t="inlineStr">
        <is>
          <t>Pool Party</t>
        </is>
      </c>
      <c r="I418" s="4">
        <f>IMAGE("https://images.lululemon.com/is/image/lululemon/25461",1)</f>
        <v/>
      </c>
      <c r="J418" s="4" t="inlineStr">
        <is>
          <t>O/S</t>
        </is>
      </c>
      <c r="K418" s="4" t="inlineStr">
        <is>
          <t>3783/17813</t>
        </is>
      </c>
      <c r="L418" s="4" t="inlineStr">
        <is>
          <t>Yes</t>
        </is>
      </c>
      <c r="M418" s="4" t="inlineStr">
        <is>
          <t>Phone, keys, wallet. Keep them close in this versatile belt bag that helps you get out the door and on to your next adventure.</t>
        </is>
      </c>
      <c r="N418" s="4" t="inlineStr">
        <is>
          <t>Everywhere-Belt-Bag</t>
        </is>
      </c>
      <c r="O418" s="4" t="inlineStr">
        <is>
          <t>Belt Bags, Crossbody Bags</t>
        </is>
      </c>
    </row>
    <row r="419" ht="80" customHeight="1">
      <c r="A419" s="7">
        <f>IMAGE("https://images.lululemon.com/is/image/lululemon/LU9AZ3S_0002_1?wid=320&amp;op_usm=0.8",1)</f>
        <v/>
      </c>
      <c r="B419" s="7" t="inlineStr">
        <is>
          <t>Everywhere Belt Bag 1L</t>
        </is>
      </c>
      <c r="C419" s="7" t="inlineStr">
        <is>
          <t>156425981</t>
        </is>
      </c>
      <c r="D419" s="7" t="inlineStr">
        <is>
          <t>156425981-racewaygreen</t>
        </is>
      </c>
      <c r="E419" s="7" t="inlineStr">
        <is>
          <t>Everywhere Belt Bag WHT ONE SIZE</t>
        </is>
      </c>
      <c r="F419" s="7" t="inlineStr">
        <is>
          <t>$38.00</t>
        </is>
      </c>
      <c r="G419" s="7" t="inlineStr">
        <is>
          <t>$19.00</t>
        </is>
      </c>
      <c r="H419" s="7" t="inlineStr">
        <is>
          <t>Raceway Green</t>
        </is>
      </c>
      <c r="I419" s="7">
        <f>IMAGE("https://images.lululemon.com/is/image/lululemon/62468",1)</f>
        <v/>
      </c>
      <c r="J419" s="7" t="inlineStr">
        <is>
          <t>O/S</t>
        </is>
      </c>
      <c r="K419" s="7" t="inlineStr">
        <is>
          <t>3500/17813</t>
        </is>
      </c>
      <c r="L419" s="7" t="inlineStr">
        <is>
          <t>Yes</t>
        </is>
      </c>
      <c r="M419" s="7" t="inlineStr">
        <is>
          <t>Phone, keys, wallet. Keep them close in this versatile belt bag that helps you get out the door and on to your next adventure.</t>
        </is>
      </c>
      <c r="N419" s="7" t="inlineStr">
        <is>
          <t>Everywhere-Belt-Bag</t>
        </is>
      </c>
      <c r="O419" s="7" t="inlineStr">
        <is>
          <t>Belt Bags, Crossbody Bags</t>
        </is>
      </c>
    </row>
    <row r="420" ht="80" customHeight="1">
      <c r="A420" s="4">
        <f>IMAGE("https://images.lululemon.com/is/image/lululemon/LU9AZ3S_0002_1?wid=320&amp;op_usm=0.8",1)</f>
        <v/>
      </c>
      <c r="B420" s="4" t="inlineStr">
        <is>
          <t>Everywhere Belt Bag 1L</t>
        </is>
      </c>
      <c r="C420" s="4" t="inlineStr">
        <is>
          <t>156950705</t>
        </is>
      </c>
      <c r="D420" s="4" t="inlineStr">
        <is>
          <t>156950705-lightivory</t>
        </is>
      </c>
      <c r="E420" s="4" t="inlineStr">
        <is>
          <t>Everywhere Belt Bag WHT ONE SIZE</t>
        </is>
      </c>
      <c r="F420" s="4" t="inlineStr">
        <is>
          <t>$38.00</t>
        </is>
      </c>
      <c r="G420" s="4" t="inlineStr">
        <is>
          <t>$19.00</t>
        </is>
      </c>
      <c r="H420" s="4" t="inlineStr">
        <is>
          <t>Light Ivory</t>
        </is>
      </c>
      <c r="I420" s="4">
        <f>IMAGE("https://images.lululemon.com/is/image/lululemon/33454",1)</f>
        <v/>
      </c>
      <c r="J420" s="4" t="inlineStr">
        <is>
          <t>O/S</t>
        </is>
      </c>
      <c r="K420" s="4" t="inlineStr">
        <is>
          <t>339/17813</t>
        </is>
      </c>
      <c r="L420" s="4" t="inlineStr">
        <is>
          <t>Yes</t>
        </is>
      </c>
      <c r="M420" s="4" t="inlineStr">
        <is>
          <t>Phone, keys, wallet. Keep them close in this versatile belt bag that helps you get out the door and on to your next adventure.</t>
        </is>
      </c>
      <c r="N420" s="4" t="inlineStr">
        <is>
          <t>Everywhere-Belt-Bag</t>
        </is>
      </c>
      <c r="O420" s="4" t="inlineStr">
        <is>
          <t>Belt Bags, Crossbody Bags</t>
        </is>
      </c>
    </row>
    <row r="421" ht="80" customHeight="1">
      <c r="A421" s="7">
        <f>IMAGE("https://images.lululemon.com/is/image/lululemon/LU9AZ3S_0002_1?wid=320&amp;op_usm=0.8",1)</f>
        <v/>
      </c>
      <c r="B421" s="7" t="inlineStr">
        <is>
          <t>Everywhere Belt Bag 1L</t>
        </is>
      </c>
      <c r="C421" s="7" t="inlineStr">
        <is>
          <t>157550691</t>
        </is>
      </c>
      <c r="D421" s="7" t="inlineStr">
        <is>
          <t>157550691-sereneblue</t>
        </is>
      </c>
      <c r="E421" s="7" t="inlineStr">
        <is>
          <t>Everywhere Belt Bag WHT ONE SIZE</t>
        </is>
      </c>
      <c r="F421" s="7" t="inlineStr">
        <is>
          <t>$38.00</t>
        </is>
      </c>
      <c r="G421" s="7" t="inlineStr">
        <is>
          <t>$19.00</t>
        </is>
      </c>
      <c r="H421" s="7" t="inlineStr">
        <is>
          <t>Serene Blue</t>
        </is>
      </c>
      <c r="I421" s="7">
        <f>IMAGE("https://images.lululemon.com/is/image/lululemon/32507",1)</f>
        <v/>
      </c>
      <c r="J421" s="7" t="inlineStr">
        <is>
          <t>O/S</t>
        </is>
      </c>
      <c r="K421" s="7" t="inlineStr">
        <is>
          <t>251/17813</t>
        </is>
      </c>
      <c r="L421" s="7" t="inlineStr">
        <is>
          <t>Yes</t>
        </is>
      </c>
      <c r="M421" s="7" t="inlineStr">
        <is>
          <t>Phone, keys, wallet. Keep them close in this versatile belt bag that helps you get out the door and on to your next adventure.</t>
        </is>
      </c>
      <c r="N421" s="7" t="inlineStr">
        <is>
          <t>Everywhere-Belt-Bag</t>
        </is>
      </c>
      <c r="O421" s="7" t="inlineStr">
        <is>
          <t>Belt Bags, Crossbody Bags</t>
        </is>
      </c>
    </row>
    <row r="422" ht="80" customHeight="1">
      <c r="A422" s="4">
        <f>IMAGE("https://images.lululemon.com/is/image/lululemon/LU9AZ3S_0002_1?wid=320&amp;op_usm=0.8",1)</f>
        <v/>
      </c>
      <c r="B422" s="4" t="inlineStr">
        <is>
          <t>Everywhere Belt Bag 1L</t>
        </is>
      </c>
      <c r="C422" s="4" t="inlineStr">
        <is>
          <t>157550692</t>
        </is>
      </c>
      <c r="D422" s="4" t="inlineStr">
        <is>
          <t>157550692-bayleaf</t>
        </is>
      </c>
      <c r="E422" s="4" t="inlineStr">
        <is>
          <t>Everywhere Belt Bag WHT ONE SIZE</t>
        </is>
      </c>
      <c r="F422" s="4" t="inlineStr">
        <is>
          <t>$38.00</t>
        </is>
      </c>
      <c r="G422" s="4" t="inlineStr">
        <is>
          <t>$19.00</t>
        </is>
      </c>
      <c r="H422" s="4" t="inlineStr">
        <is>
          <t>Bay Leaf</t>
        </is>
      </c>
      <c r="I422" s="4">
        <f>IMAGE("https://images.lululemon.com/is/image/lululemon/62214",1)</f>
        <v/>
      </c>
      <c r="J422" s="4" t="inlineStr">
        <is>
          <t>O/S</t>
        </is>
      </c>
      <c r="K422" s="4" t="inlineStr">
        <is>
          <t>409/17813</t>
        </is>
      </c>
      <c r="L422" s="4" t="inlineStr">
        <is>
          <t>Yes</t>
        </is>
      </c>
      <c r="M422" s="4" t="inlineStr">
        <is>
          <t>Phone, keys, wallet. Keep them close in this versatile belt bag that helps you get out the door and on to your next adventure.</t>
        </is>
      </c>
      <c r="N422" s="4" t="inlineStr">
        <is>
          <t>Everywhere-Belt-Bag</t>
        </is>
      </c>
      <c r="O422" s="4" t="inlineStr">
        <is>
          <t>Belt Bags, Crossbody Bags</t>
        </is>
      </c>
    </row>
    <row r="423" ht="80" customHeight="1">
      <c r="A423" s="7">
        <f>IMAGE("https://images.lululemon.com/is/image/lululemon/LU9AZ3S_0002_1?wid=320&amp;op_usm=0.8",1)</f>
        <v/>
      </c>
      <c r="B423" s="7" t="inlineStr">
        <is>
          <t>Everywhere Belt Bag 1L</t>
        </is>
      </c>
      <c r="C423" s="7" t="inlineStr">
        <is>
          <t>157680324</t>
        </is>
      </c>
      <c r="D423" s="7" t="inlineStr">
        <is>
          <t>157680324-lululemonred</t>
        </is>
      </c>
      <c r="E423" s="7" t="inlineStr">
        <is>
          <t>Everywhere Belt Bag WHT ONE SIZE</t>
        </is>
      </c>
      <c r="F423" s="7" t="inlineStr">
        <is>
          <t>$38.00</t>
        </is>
      </c>
      <c r="G423" s="7" t="inlineStr">
        <is>
          <t>$19.00</t>
        </is>
      </c>
      <c r="H423" s="7" t="inlineStr">
        <is>
          <t>Lululemon Red</t>
        </is>
      </c>
      <c r="I423" s="7">
        <f>IMAGE("https://images.lululemon.com/is/image/lululemon/19295",1)</f>
        <v/>
      </c>
      <c r="J423" s="7" t="inlineStr">
        <is>
          <t>O/S</t>
        </is>
      </c>
      <c r="K423" s="7" t="inlineStr">
        <is>
          <t>953/17813</t>
        </is>
      </c>
      <c r="L423" s="7" t="inlineStr">
        <is>
          <t>Yes</t>
        </is>
      </c>
      <c r="M423" s="7" t="inlineStr">
        <is>
          <t>Phone, keys, wallet. Keep them close in this versatile belt bag that helps you get out the door and on to your next adventure.</t>
        </is>
      </c>
      <c r="N423" s="7" t="inlineStr">
        <is>
          <t>Everywhere-Belt-Bag</t>
        </is>
      </c>
      <c r="O423" s="7" t="inlineStr">
        <is>
          <t>Belt Bags, Crossbody Bags</t>
        </is>
      </c>
    </row>
    <row r="424" ht="80" customHeight="1">
      <c r="A424" s="4">
        <f>IMAGE("https://images.lululemon.com/is/image/lululemon/LU9AZ3S_0002_1?wid=320&amp;op_usm=0.8",1)</f>
        <v/>
      </c>
      <c r="B424" s="4" t="inlineStr">
        <is>
          <t>Everywhere Belt Bag 1L</t>
        </is>
      </c>
      <c r="C424" s="4" t="inlineStr">
        <is>
          <t>157704605</t>
        </is>
      </c>
      <c r="D424" s="4" t="inlineStr">
        <is>
          <t>157704605-rainforestgreen</t>
        </is>
      </c>
      <c r="E424" s="4" t="inlineStr">
        <is>
          <t>Everywhere Belt Bag WHT ONE SIZE</t>
        </is>
      </c>
      <c r="F424" s="4" t="inlineStr">
        <is>
          <t>$38.00</t>
        </is>
      </c>
      <c r="G424" s="4" t="inlineStr">
        <is>
          <t>$19.00</t>
        </is>
      </c>
      <c r="H424" s="4" t="inlineStr">
        <is>
          <t>Rainforest Green</t>
        </is>
      </c>
      <c r="I424" s="4">
        <f>IMAGE("https://images.lululemon.com/is/image/lululemon/49106",1)</f>
        <v/>
      </c>
      <c r="J424" s="4" t="inlineStr">
        <is>
          <t>O/S</t>
        </is>
      </c>
      <c r="K424" s="4" t="inlineStr">
        <is>
          <t>938/17813</t>
        </is>
      </c>
      <c r="L424" s="4" t="inlineStr">
        <is>
          <t>Yes</t>
        </is>
      </c>
      <c r="M424" s="4" t="inlineStr">
        <is>
          <t>Phone, keys, wallet. Keep them close in this versatile belt bag that helps you get out the door and on to your next adventure.</t>
        </is>
      </c>
      <c r="N424" s="4" t="inlineStr">
        <is>
          <t>Everywhere-Belt-Bag</t>
        </is>
      </c>
      <c r="O424" s="4" t="inlineStr">
        <is>
          <t>Belt Bags, Crossbody Bags</t>
        </is>
      </c>
    </row>
    <row r="425" ht="80" customHeight="1">
      <c r="A425" s="7">
        <f>IMAGE("https://images.lululemon.com/is/image/lululemon/LU9AZ3S_0002_1?wid=320&amp;op_usm=0.8",1)</f>
        <v/>
      </c>
      <c r="B425" s="7" t="inlineStr">
        <is>
          <t>Everywhere Belt Bag 1L</t>
        </is>
      </c>
      <c r="C425" s="7" t="inlineStr">
        <is>
          <t>158020309</t>
        </is>
      </c>
      <c r="D425" s="7" t="inlineStr">
        <is>
          <t>158020309-berryrumble</t>
        </is>
      </c>
      <c r="E425" s="7" t="inlineStr">
        <is>
          <t>Everywhere Belt Bag WHT ONE SIZE</t>
        </is>
      </c>
      <c r="F425" s="7" t="inlineStr">
        <is>
          <t>$38.00</t>
        </is>
      </c>
      <c r="G425" s="7" t="inlineStr">
        <is>
          <t>$19.00</t>
        </is>
      </c>
      <c r="H425" s="7" t="inlineStr">
        <is>
          <t>Berry Rumble</t>
        </is>
      </c>
      <c r="I425" s="7">
        <f>IMAGE("https://images.lululemon.com/is/image/lululemon/21363",1)</f>
        <v/>
      </c>
      <c r="J425" s="7" t="inlineStr">
        <is>
          <t>O/S</t>
        </is>
      </c>
      <c r="K425" s="7" t="inlineStr">
        <is>
          <t>760/17813</t>
        </is>
      </c>
      <c r="L425" s="7" t="inlineStr">
        <is>
          <t>Yes</t>
        </is>
      </c>
      <c r="M425" s="7" t="inlineStr">
        <is>
          <t>Phone, keys, wallet. Keep them close in this versatile belt bag that helps you get out the door and on to your next adventure.</t>
        </is>
      </c>
      <c r="N425" s="7" t="inlineStr">
        <is>
          <t>Everywhere-Belt-Bag</t>
        </is>
      </c>
      <c r="O425" s="7" t="inlineStr">
        <is>
          <t>Belt Bags, Crossbody Bags</t>
        </is>
      </c>
    </row>
    <row r="426" ht="80" customHeight="1">
      <c r="A426" s="6">
        <f>IMAGE("https://images.lululemon.com/is/image/lululemon/LU9AZ3S_0002_1?wid=320&amp;op_usm=0.8",1)</f>
        <v/>
      </c>
      <c r="B426" s="6" t="inlineStr">
        <is>
          <t>Everywhere Belt Bag 1L</t>
        </is>
      </c>
      <c r="C426" s="6" t="inlineStr">
        <is>
          <t>157677959</t>
        </is>
      </c>
      <c r="D426" s="6" t="inlineStr">
        <is>
          <t>157677959-warmashgrey</t>
        </is>
      </c>
      <c r="E426" s="6" t="inlineStr">
        <is>
          <t>Everywhere Belt Bag WHT ONE SIZE</t>
        </is>
      </c>
      <c r="F426" s="6" t="inlineStr">
        <is>
          <t>$38.00</t>
        </is>
      </c>
      <c r="G426" s="6" t="inlineStr">
        <is>
          <t>$19.00</t>
        </is>
      </c>
      <c r="H426" s="6" t="inlineStr">
        <is>
          <t>Warm Ash Grey</t>
        </is>
      </c>
      <c r="I426" s="6">
        <f>IMAGE("https://images.lululemon.com/is/image/lululemon/70108",1)</f>
        <v/>
      </c>
      <c r="J426" s="6" t="inlineStr">
        <is>
          <t>O/S</t>
        </is>
      </c>
      <c r="K426" s="6" t="inlineStr">
        <is>
          <t>342/17813</t>
        </is>
      </c>
      <c r="L426" s="6" t="inlineStr">
        <is>
          <t>Yes</t>
        </is>
      </c>
      <c r="M426" s="6" t="inlineStr">
        <is>
          <t>Phone, keys, wallet. Keep them close in this versatile belt bag that helps you get out the door and on to your next adventure.</t>
        </is>
      </c>
      <c r="N426" s="6" t="inlineStr">
        <is>
          <t>Everywhere-Belt-Bag</t>
        </is>
      </c>
      <c r="O426" s="6" t="inlineStr">
        <is>
          <t>Belt Bags, Crossbody Bags</t>
        </is>
      </c>
    </row>
    <row r="427" ht="80" customHeight="1">
      <c r="A427" s="7">
        <f>IMAGE("https://images.lululemon.com/is/image/lululemon/LW3JCKS_0001_1?wid=320&amp;op_usm=0.8",1)</f>
        <v/>
      </c>
      <c r="B427" s="7" t="inlineStr">
        <is>
          <t>Define Track Jacket *Luon</t>
        </is>
      </c>
      <c r="C427" s="7" t="inlineStr">
        <is>
          <t>157678568</t>
        </is>
      </c>
      <c r="D427" s="7" t="inlineStr">
        <is>
          <t>157678568-black</t>
        </is>
      </c>
      <c r="E427" s="7" t="inlineStr">
        <is>
          <t>Define Track Jacket *Luon™ BLK 0</t>
        </is>
      </c>
      <c r="F427" s="7" t="inlineStr">
        <is>
          <t>$138.00</t>
        </is>
      </c>
      <c r="G427" s="7" t="inlineStr">
        <is>
          <t>$69.00</t>
        </is>
      </c>
      <c r="H427" s="7" t="inlineStr">
        <is>
          <t>Black</t>
        </is>
      </c>
      <c r="I427" s="7">
        <f>IMAGE("https://images.lululemon.com/is/image/lululemon/0001",1)</f>
        <v/>
      </c>
      <c r="J427" s="7" t="inlineStr">
        <is>
          <t>0</t>
        </is>
      </c>
      <c r="K427" s="7" t="inlineStr">
        <is>
          <t>2/302</t>
        </is>
      </c>
      <c r="L427" s="7" t="inlineStr">
        <is>
          <t>Yes</t>
        </is>
      </c>
      <c r="M427" s="7" t="inlineStr">
        <is>
          <t>Track suiting, redefined. Iconic seam lines and a classic fit make this jacket a natural extension of our Define Collection.</t>
        </is>
      </c>
      <c r="N427" s="7" t="inlineStr">
        <is>
          <t>Define-Track-Jacket-Luon</t>
        </is>
      </c>
      <c r="O427" s="7" t="inlineStr">
        <is>
          <t>Athletic Jackets, Zip Up Sweatshirts, Track Jackets</t>
        </is>
      </c>
    </row>
    <row r="428" ht="80" customHeight="1">
      <c r="A428" s="4">
        <f>IMAGE("https://images.lululemon.com/is/image/lululemon/LW3JCKS_0001_1?wid=320&amp;op_usm=0.8",1)</f>
        <v/>
      </c>
      <c r="B428" s="4" t="inlineStr">
        <is>
          <t>Define Track Jacket *Luon</t>
        </is>
      </c>
      <c r="C428" s="4" t="inlineStr">
        <is>
          <t>157678606</t>
        </is>
      </c>
      <c r="D428" s="4" t="inlineStr">
        <is>
          <t>157678606-black</t>
        </is>
      </c>
      <c r="E428" s="4" t="inlineStr">
        <is>
          <t>Define Track Jacket *Luon™ BLK 0</t>
        </is>
      </c>
      <c r="F428" s="4" t="inlineStr">
        <is>
          <t>$138.00</t>
        </is>
      </c>
      <c r="G428" s="4" t="inlineStr">
        <is>
          <t>$69.00</t>
        </is>
      </c>
      <c r="H428" s="4" t="inlineStr">
        <is>
          <t>Black</t>
        </is>
      </c>
      <c r="I428" s="4">
        <f>IMAGE("https://images.lululemon.com/is/image/lululemon/0001",1)</f>
        <v/>
      </c>
      <c r="J428" s="4" t="inlineStr">
        <is>
          <t>2</t>
        </is>
      </c>
      <c r="K428" s="4" t="inlineStr">
        <is>
          <t>33/302</t>
        </is>
      </c>
      <c r="L428" s="4" t="inlineStr">
        <is>
          <t>Yes</t>
        </is>
      </c>
      <c r="M428" s="4" t="inlineStr">
        <is>
          <t>Track suiting, redefined. Iconic seam lines and a classic fit make this jacket a natural extension of our Define Collection.</t>
        </is>
      </c>
      <c r="N428" s="4" t="inlineStr">
        <is>
          <t>Define-Track-Jacket-Luon</t>
        </is>
      </c>
      <c r="O428" s="4" t="inlineStr">
        <is>
          <t>Athletic Jackets, Zip Up Sweatshirts, Track Jackets</t>
        </is>
      </c>
    </row>
    <row r="429" ht="80" customHeight="1">
      <c r="A429" s="7">
        <f>IMAGE("https://images.lululemon.com/is/image/lululemon/LW3JCKS_0001_1?wid=320&amp;op_usm=0.8",1)</f>
        <v/>
      </c>
      <c r="B429" s="7" t="inlineStr">
        <is>
          <t>Define Track Jacket *Luon</t>
        </is>
      </c>
      <c r="C429" s="7" t="inlineStr">
        <is>
          <t>157678615</t>
        </is>
      </c>
      <c r="D429" s="7" t="inlineStr">
        <is>
          <t>157678615-black</t>
        </is>
      </c>
      <c r="E429" s="7" t="inlineStr">
        <is>
          <t>Define Track Jacket *Luon™ BLK 0</t>
        </is>
      </c>
      <c r="F429" s="7" t="inlineStr">
        <is>
          <t>$138.00</t>
        </is>
      </c>
      <c r="G429" s="7" t="inlineStr">
        <is>
          <t>$69.00</t>
        </is>
      </c>
      <c r="H429" s="7" t="inlineStr">
        <is>
          <t>Black</t>
        </is>
      </c>
      <c r="I429" s="7">
        <f>IMAGE("https://images.lululemon.com/is/image/lululemon/0001",1)</f>
        <v/>
      </c>
      <c r="J429" s="7" t="inlineStr">
        <is>
          <t>4</t>
        </is>
      </c>
      <c r="K429" s="7" t="inlineStr">
        <is>
          <t>74/302</t>
        </is>
      </c>
      <c r="L429" s="7" t="inlineStr">
        <is>
          <t>Yes</t>
        </is>
      </c>
      <c r="M429" s="7" t="inlineStr">
        <is>
          <t>Track suiting, redefined. Iconic seam lines and a classic fit make this jacket a natural extension of our Define Collection.</t>
        </is>
      </c>
      <c r="N429" s="7" t="inlineStr">
        <is>
          <t>Define-Track-Jacket-Luon</t>
        </is>
      </c>
      <c r="O429" s="7" t="inlineStr">
        <is>
          <t>Athletic Jackets, Zip Up Sweatshirts, Track Jackets</t>
        </is>
      </c>
    </row>
    <row r="430" ht="80" customHeight="1">
      <c r="A430" s="4">
        <f>IMAGE("https://images.lululemon.com/is/image/lululemon/LW3JCKS_0001_1?wid=320&amp;op_usm=0.8",1)</f>
        <v/>
      </c>
      <c r="B430" s="4" t="inlineStr">
        <is>
          <t>Define Track Jacket *Luon</t>
        </is>
      </c>
      <c r="C430" s="4" t="inlineStr">
        <is>
          <t>157678626</t>
        </is>
      </c>
      <c r="D430" s="4" t="inlineStr">
        <is>
          <t>157678626-black</t>
        </is>
      </c>
      <c r="E430" s="4" t="inlineStr">
        <is>
          <t>Define Track Jacket *Luon™ BLK 0</t>
        </is>
      </c>
      <c r="F430" s="4" t="inlineStr">
        <is>
          <t>$138.00</t>
        </is>
      </c>
      <c r="G430" s="4" t="inlineStr">
        <is>
          <t>$69.00</t>
        </is>
      </c>
      <c r="H430" s="4" t="inlineStr">
        <is>
          <t>Black</t>
        </is>
      </c>
      <c r="I430" s="4">
        <f>IMAGE("https://images.lululemon.com/is/image/lululemon/0001",1)</f>
        <v/>
      </c>
      <c r="J430" s="4" t="inlineStr">
        <is>
          <t>6</t>
        </is>
      </c>
      <c r="K430" s="4" t="inlineStr">
        <is>
          <t>82/302</t>
        </is>
      </c>
      <c r="L430" s="4" t="inlineStr">
        <is>
          <t>Yes</t>
        </is>
      </c>
      <c r="M430" s="4" t="inlineStr">
        <is>
          <t>Track suiting, redefined. Iconic seam lines and a classic fit make this jacket a natural extension of our Define Collection.</t>
        </is>
      </c>
      <c r="N430" s="4" t="inlineStr">
        <is>
          <t>Define-Track-Jacket-Luon</t>
        </is>
      </c>
      <c r="O430" s="4" t="inlineStr">
        <is>
          <t>Athletic Jackets, Zip Up Sweatshirts, Track Jackets</t>
        </is>
      </c>
    </row>
    <row r="431" ht="80" customHeight="1">
      <c r="A431" s="7">
        <f>IMAGE("https://images.lululemon.com/is/image/lululemon/LW3JCKS_0001_1?wid=320&amp;op_usm=0.8",1)</f>
        <v/>
      </c>
      <c r="B431" s="7" t="inlineStr">
        <is>
          <t>Define Track Jacket *Luon</t>
        </is>
      </c>
      <c r="C431" s="7" t="inlineStr">
        <is>
          <t>157678635</t>
        </is>
      </c>
      <c r="D431" s="7" t="inlineStr">
        <is>
          <t>157678635-black</t>
        </is>
      </c>
      <c r="E431" s="7" t="inlineStr">
        <is>
          <t>Define Track Jacket *Luon™ BLK 0</t>
        </is>
      </c>
      <c r="F431" s="7" t="inlineStr">
        <is>
          <t>$138.00</t>
        </is>
      </c>
      <c r="G431" s="7" t="inlineStr">
        <is>
          <t>$69.00</t>
        </is>
      </c>
      <c r="H431" s="7" t="inlineStr">
        <is>
          <t>Black</t>
        </is>
      </c>
      <c r="I431" s="7">
        <f>IMAGE("https://images.lululemon.com/is/image/lululemon/0001",1)</f>
        <v/>
      </c>
      <c r="J431" s="7" t="inlineStr">
        <is>
          <t>8</t>
        </is>
      </c>
      <c r="K431" s="7" t="inlineStr">
        <is>
          <t>64/302</t>
        </is>
      </c>
      <c r="L431" s="7" t="inlineStr">
        <is>
          <t>Yes</t>
        </is>
      </c>
      <c r="M431" s="7" t="inlineStr">
        <is>
          <t>Track suiting, redefined. Iconic seam lines and a classic fit make this jacket a natural extension of our Define Collection.</t>
        </is>
      </c>
      <c r="N431" s="7" t="inlineStr">
        <is>
          <t>Define-Track-Jacket-Luon</t>
        </is>
      </c>
      <c r="O431" s="7" t="inlineStr">
        <is>
          <t>Athletic Jackets, Zip Up Sweatshirts, Track Jackets</t>
        </is>
      </c>
    </row>
    <row r="432" ht="80" customHeight="1">
      <c r="A432" s="6">
        <f>IMAGE("https://images.lululemon.com/is/image/lululemon/LW3JCKS_0001_1?wid=320&amp;op_usm=0.8",1)</f>
        <v/>
      </c>
      <c r="B432" s="6" t="inlineStr">
        <is>
          <t>Define Track Jacket *Luon</t>
        </is>
      </c>
      <c r="C432" s="6" t="inlineStr">
        <is>
          <t>157678577</t>
        </is>
      </c>
      <c r="D432" s="6" t="inlineStr">
        <is>
          <t>157678577-black</t>
        </is>
      </c>
      <c r="E432" s="6" t="inlineStr">
        <is>
          <t>Define Track Jacket *Luon™ BLK 0</t>
        </is>
      </c>
      <c r="F432" s="6" t="inlineStr">
        <is>
          <t>$138.00</t>
        </is>
      </c>
      <c r="G432" s="6" t="inlineStr">
        <is>
          <t>$69.00</t>
        </is>
      </c>
      <c r="H432" s="6" t="inlineStr">
        <is>
          <t>Black</t>
        </is>
      </c>
      <c r="I432" s="6">
        <f>IMAGE("https://images.lululemon.com/is/image/lululemon/0001",1)</f>
        <v/>
      </c>
      <c r="J432" s="6" t="inlineStr">
        <is>
          <t>10</t>
        </is>
      </c>
      <c r="K432" s="6" t="inlineStr">
        <is>
          <t>47/302</t>
        </is>
      </c>
      <c r="L432" s="6" t="inlineStr">
        <is>
          <t>Yes</t>
        </is>
      </c>
      <c r="M432" s="6" t="inlineStr">
        <is>
          <t>Track suiting, redefined. Iconic seam lines and a classic fit make this jacket a natural extension of our Define Collection.</t>
        </is>
      </c>
      <c r="N432" s="6" t="inlineStr">
        <is>
          <t>Define-Track-Jacket-Luon</t>
        </is>
      </c>
      <c r="O432" s="6" t="inlineStr">
        <is>
          <t>Athletic Jackets, Zip Up Sweatshirts, Track Jackets</t>
        </is>
      </c>
    </row>
    <row r="433" ht="80" customHeight="1">
      <c r="A433" s="7">
        <f>IMAGE("https://images.lululemon.com/is/image/lululemon/LW1ETYS_032664_1?wid=320&amp;op_usm=0.8",1)</f>
        <v/>
      </c>
      <c r="B433" s="7" t="inlineStr">
        <is>
          <t>Swiftly Tech Racerback Tank Top 2.0 *Hip Length</t>
        </is>
      </c>
      <c r="C433" s="7" t="inlineStr">
        <is>
          <t>117225913</t>
        </is>
      </c>
      <c r="D433" s="7" t="inlineStr">
        <is>
          <t>117225913-slate/white</t>
        </is>
      </c>
      <c r="E433" s="7" t="inlineStr">
        <is>
          <t>Swiftly Tech Scoopneck Tank 2.0 SLTE/WHT 0</t>
        </is>
      </c>
      <c r="F433" s="7" t="inlineStr">
        <is>
          <t>$39.00</t>
        </is>
      </c>
      <c r="G433" s="7" t="inlineStr">
        <is>
          <t>$19.50</t>
        </is>
      </c>
      <c r="H433" s="7" t="inlineStr">
        <is>
          <t>Slate/White</t>
        </is>
      </c>
      <c r="I433" s="7">
        <f>IMAGE("https://images.lululemon.com/is/image/lululemon/0572",1)</f>
        <v/>
      </c>
      <c r="J433" s="7" t="inlineStr">
        <is>
          <t>0</t>
        </is>
      </c>
      <c r="K433" s="7" t="inlineStr">
        <is>
          <t>1/8715</t>
        </is>
      </c>
      <c r="L433" s="7" t="inlineStr">
        <is>
          <t>Yes</t>
        </is>
      </c>
      <c r="M433" s="7" t="inlineStr">
        <is>
          <t>Go ahead, get sweaty. The Swiftly collection is all about high-performing fabric that seamlessly adapts to you and your workout.</t>
        </is>
      </c>
      <c r="N433" s="7" t="inlineStr">
        <is>
          <t>Swiftly-Tech-Racerback-2</t>
        </is>
      </c>
      <c r="O433" s="7" t="inlineStr"/>
    </row>
    <row r="434" ht="80" customHeight="1">
      <c r="A434" s="4">
        <f>IMAGE("https://images.lululemon.com/is/image/lululemon/LW1ETYS_032664_1?wid=320&amp;op_usm=0.8",1)</f>
        <v/>
      </c>
      <c r="B434" s="4" t="inlineStr">
        <is>
          <t>Swiftly Tech Racerback Tank Top 2.0 *Hip Length</t>
        </is>
      </c>
      <c r="C434" s="4" t="inlineStr">
        <is>
          <t>117225930</t>
        </is>
      </c>
      <c r="D434" s="4" t="inlineStr">
        <is>
          <t>117225930-slate/white</t>
        </is>
      </c>
      <c r="E434" s="4" t="inlineStr">
        <is>
          <t>Swiftly Tech Scoopneck Tank 2.0 SLTE/WHT 0</t>
        </is>
      </c>
      <c r="F434" s="4" t="inlineStr">
        <is>
          <t>$39.00</t>
        </is>
      </c>
      <c r="G434" s="4" t="inlineStr">
        <is>
          <t>$19.50</t>
        </is>
      </c>
      <c r="H434" s="4" t="inlineStr">
        <is>
          <t>Slate/White</t>
        </is>
      </c>
      <c r="I434" s="4">
        <f>IMAGE("https://images.lululemon.com/is/image/lululemon/0572",1)</f>
        <v/>
      </c>
      <c r="J434" s="4" t="inlineStr">
        <is>
          <t>2</t>
        </is>
      </c>
      <c r="K434" s="4" t="inlineStr">
        <is>
          <t>76/8715</t>
        </is>
      </c>
      <c r="L434" s="4" t="inlineStr">
        <is>
          <t>Yes</t>
        </is>
      </c>
      <c r="M434" s="4" t="inlineStr">
        <is>
          <t>Go ahead, get sweaty. The Swiftly collection is all about high-performing fabric that seamlessly adapts to you and your workout.</t>
        </is>
      </c>
      <c r="N434" s="4" t="inlineStr">
        <is>
          <t>Swiftly-Tech-Racerback-2</t>
        </is>
      </c>
      <c r="O434" s="4" t="inlineStr"/>
    </row>
    <row r="435" ht="80" customHeight="1">
      <c r="A435" s="7">
        <f>IMAGE("https://images.lululemon.com/is/image/lululemon/LW1ETYS_032664_1?wid=320&amp;op_usm=0.8",1)</f>
        <v/>
      </c>
      <c r="B435" s="7" t="inlineStr">
        <is>
          <t>Swiftly Tech Racerback Tank Top 2.0 *Hip Length</t>
        </is>
      </c>
      <c r="C435" s="7" t="inlineStr">
        <is>
          <t>117225933</t>
        </is>
      </c>
      <c r="D435" s="7" t="inlineStr">
        <is>
          <t>117225933-slate/white</t>
        </is>
      </c>
      <c r="E435" s="7" t="inlineStr">
        <is>
          <t>Swiftly Tech Scoopneck Tank 2.0 SLTE/WHT 0</t>
        </is>
      </c>
      <c r="F435" s="7" t="inlineStr">
        <is>
          <t>$39.00</t>
        </is>
      </c>
      <c r="G435" s="7" t="inlineStr">
        <is>
          <t>$19.50</t>
        </is>
      </c>
      <c r="H435" s="7" t="inlineStr">
        <is>
          <t>Slate/White</t>
        </is>
      </c>
      <c r="I435" s="7">
        <f>IMAGE("https://images.lululemon.com/is/image/lululemon/0572",1)</f>
        <v/>
      </c>
      <c r="J435" s="7" t="inlineStr">
        <is>
          <t>4</t>
        </is>
      </c>
      <c r="K435" s="7" t="inlineStr">
        <is>
          <t>127/8715</t>
        </is>
      </c>
      <c r="L435" s="7" t="inlineStr">
        <is>
          <t>Yes</t>
        </is>
      </c>
      <c r="M435" s="7" t="inlineStr">
        <is>
          <t>Go ahead, get sweaty. The Swiftly collection is all about high-performing fabric that seamlessly adapts to you and your workout.</t>
        </is>
      </c>
      <c r="N435" s="7" t="inlineStr">
        <is>
          <t>Swiftly-Tech-Racerback-2</t>
        </is>
      </c>
      <c r="O435" s="7" t="inlineStr"/>
    </row>
    <row r="436" ht="80" customHeight="1">
      <c r="A436" s="4">
        <f>IMAGE("https://images.lululemon.com/is/image/lululemon/LW1ETYS_032664_1?wid=320&amp;op_usm=0.8",1)</f>
        <v/>
      </c>
      <c r="B436" s="4" t="inlineStr">
        <is>
          <t>Swiftly Tech Racerback Tank Top 2.0 *Hip Length</t>
        </is>
      </c>
      <c r="C436" s="4" t="inlineStr">
        <is>
          <t>117225935</t>
        </is>
      </c>
      <c r="D436" s="4" t="inlineStr">
        <is>
          <t>117225935-slate/white</t>
        </is>
      </c>
      <c r="E436" s="4" t="inlineStr">
        <is>
          <t>Swiftly Tech Scoopneck Tank 2.0 SLTE/WHT 0</t>
        </is>
      </c>
      <c r="F436" s="4" t="inlineStr">
        <is>
          <t>$39.00</t>
        </is>
      </c>
      <c r="G436" s="4" t="inlineStr">
        <is>
          <t>$19.50</t>
        </is>
      </c>
      <c r="H436" s="4" t="inlineStr">
        <is>
          <t>Slate/White</t>
        </is>
      </c>
      <c r="I436" s="4">
        <f>IMAGE("https://images.lululemon.com/is/image/lululemon/0572",1)</f>
        <v/>
      </c>
      <c r="J436" s="4" t="inlineStr">
        <is>
          <t>6</t>
        </is>
      </c>
      <c r="K436" s="4" t="inlineStr">
        <is>
          <t>1135/8715</t>
        </is>
      </c>
      <c r="L436" s="4" t="inlineStr">
        <is>
          <t>Yes</t>
        </is>
      </c>
      <c r="M436" s="4" t="inlineStr">
        <is>
          <t>Go ahead, get sweaty. The Swiftly collection is all about high-performing fabric that seamlessly adapts to you and your workout.</t>
        </is>
      </c>
      <c r="N436" s="4" t="inlineStr">
        <is>
          <t>Swiftly-Tech-Racerback-2</t>
        </is>
      </c>
      <c r="O436" s="4" t="inlineStr"/>
    </row>
    <row r="437" ht="80" customHeight="1">
      <c r="A437" s="7">
        <f>IMAGE("https://images.lululemon.com/is/image/lululemon/LW1ETYS_032664_1?wid=320&amp;op_usm=0.8",1)</f>
        <v/>
      </c>
      <c r="B437" s="7" t="inlineStr">
        <is>
          <t>Swiftly Tech Racerback Tank Top 2.0 *Hip Length</t>
        </is>
      </c>
      <c r="C437" s="7" t="inlineStr">
        <is>
          <t>117225940</t>
        </is>
      </c>
      <c r="D437" s="7" t="inlineStr">
        <is>
          <t>117225940-slate/white</t>
        </is>
      </c>
      <c r="E437" s="7" t="inlineStr">
        <is>
          <t>Swiftly Tech Scoopneck Tank 2.0 SLTE/WHT 0</t>
        </is>
      </c>
      <c r="F437" s="7" t="inlineStr">
        <is>
          <t>$39.00</t>
        </is>
      </c>
      <c r="G437" s="7" t="inlineStr">
        <is>
          <t>$19.50</t>
        </is>
      </c>
      <c r="H437" s="7" t="inlineStr">
        <is>
          <t>Slate/White</t>
        </is>
      </c>
      <c r="I437" s="7">
        <f>IMAGE("https://images.lululemon.com/is/image/lululemon/0572",1)</f>
        <v/>
      </c>
      <c r="J437" s="7" t="inlineStr">
        <is>
          <t>8</t>
        </is>
      </c>
      <c r="K437" s="7" t="inlineStr">
        <is>
          <t>996/8715</t>
        </is>
      </c>
      <c r="L437" s="7" t="inlineStr">
        <is>
          <t>Yes</t>
        </is>
      </c>
      <c r="M437" s="7" t="inlineStr">
        <is>
          <t>Go ahead, get sweaty. The Swiftly collection is all about high-performing fabric that seamlessly adapts to you and your workout.</t>
        </is>
      </c>
      <c r="N437" s="7" t="inlineStr">
        <is>
          <t>Swiftly-Tech-Racerback-2</t>
        </is>
      </c>
      <c r="O437" s="7" t="inlineStr"/>
    </row>
    <row r="438" ht="80" customHeight="1">
      <c r="A438" s="4">
        <f>IMAGE("https://images.lululemon.com/is/image/lululemon/LW1ETYS_032664_1?wid=320&amp;op_usm=0.8",1)</f>
        <v/>
      </c>
      <c r="B438" s="4" t="inlineStr">
        <is>
          <t>Swiftly Tech Racerback Tank Top 2.0 *Hip Length</t>
        </is>
      </c>
      <c r="C438" s="4" t="inlineStr">
        <is>
          <t>117225916</t>
        </is>
      </c>
      <c r="D438" s="4" t="inlineStr">
        <is>
          <t>117225916-slate/white</t>
        </is>
      </c>
      <c r="E438" s="4" t="inlineStr">
        <is>
          <t>Swiftly Tech Scoopneck Tank 2.0 SLTE/WHT 0</t>
        </is>
      </c>
      <c r="F438" s="4" t="inlineStr">
        <is>
          <t>$39.00</t>
        </is>
      </c>
      <c r="G438" s="4" t="inlineStr">
        <is>
          <t>$19.50</t>
        </is>
      </c>
      <c r="H438" s="4" t="inlineStr">
        <is>
          <t>Slate/White</t>
        </is>
      </c>
      <c r="I438" s="4">
        <f>IMAGE("https://images.lululemon.com/is/image/lululemon/0572",1)</f>
        <v/>
      </c>
      <c r="J438" s="4" t="inlineStr">
        <is>
          <t>10</t>
        </is>
      </c>
      <c r="K438" s="4" t="inlineStr">
        <is>
          <t>74/8715</t>
        </is>
      </c>
      <c r="L438" s="4" t="inlineStr">
        <is>
          <t>Yes</t>
        </is>
      </c>
      <c r="M438" s="4" t="inlineStr">
        <is>
          <t>Go ahead, get sweaty. The Swiftly collection is all about high-performing fabric that seamlessly adapts to you and your workout.</t>
        </is>
      </c>
      <c r="N438" s="4" t="inlineStr">
        <is>
          <t>Swiftly-Tech-Racerback-2</t>
        </is>
      </c>
      <c r="O438" s="4" t="inlineStr"/>
    </row>
    <row r="439" ht="80" customHeight="1">
      <c r="A439" s="7">
        <f>IMAGE("https://images.lululemon.com/is/image/lululemon/LW1ETYS_032664_1?wid=320&amp;op_usm=0.8",1)</f>
        <v/>
      </c>
      <c r="B439" s="7" t="inlineStr">
        <is>
          <t>Swiftly Tech Racerback Tank Top 2.0 *Hip Length</t>
        </is>
      </c>
      <c r="C439" s="7" t="inlineStr">
        <is>
          <t>117225919</t>
        </is>
      </c>
      <c r="D439" s="7" t="inlineStr">
        <is>
          <t>117225919-slate/white</t>
        </is>
      </c>
      <c r="E439" s="7" t="inlineStr">
        <is>
          <t>Swiftly Tech Scoopneck Tank 2.0 SLTE/WHT 0</t>
        </is>
      </c>
      <c r="F439" s="7" t="inlineStr">
        <is>
          <t>$39.00</t>
        </is>
      </c>
      <c r="G439" s="7" t="inlineStr">
        <is>
          <t>$19.50</t>
        </is>
      </c>
      <c r="H439" s="7" t="inlineStr">
        <is>
          <t>Slate/White</t>
        </is>
      </c>
      <c r="I439" s="7">
        <f>IMAGE("https://images.lululemon.com/is/image/lululemon/0572",1)</f>
        <v/>
      </c>
      <c r="J439" s="7" t="inlineStr">
        <is>
          <t>12</t>
        </is>
      </c>
      <c r="K439" s="7" t="inlineStr">
        <is>
          <t>176/8715</t>
        </is>
      </c>
      <c r="L439" s="7" t="inlineStr">
        <is>
          <t>Yes</t>
        </is>
      </c>
      <c r="M439" s="7" t="inlineStr">
        <is>
          <t>Go ahead, get sweaty. The Swiftly collection is all about high-performing fabric that seamlessly adapts to you and your workout.</t>
        </is>
      </c>
      <c r="N439" s="7" t="inlineStr">
        <is>
          <t>Swiftly-Tech-Racerback-2</t>
        </is>
      </c>
      <c r="O439" s="7" t="inlineStr"/>
    </row>
    <row r="440" ht="80" customHeight="1">
      <c r="A440" s="4">
        <f>IMAGE("https://images.lululemon.com/is/image/lululemon/LW1ETYS_032664_1?wid=320&amp;op_usm=0.8",1)</f>
        <v/>
      </c>
      <c r="B440" s="4" t="inlineStr">
        <is>
          <t>Swiftly Tech Racerback Tank Top 2.0 *Hip Length</t>
        </is>
      </c>
      <c r="C440" s="4" t="inlineStr">
        <is>
          <t>117225922</t>
        </is>
      </c>
      <c r="D440" s="4" t="inlineStr">
        <is>
          <t>117225922-slate/white</t>
        </is>
      </c>
      <c r="E440" s="4" t="inlineStr">
        <is>
          <t>Swiftly Tech Scoopneck Tank 2.0 SLTE/WHT 0</t>
        </is>
      </c>
      <c r="F440" s="4" t="inlineStr">
        <is>
          <t>$39.00</t>
        </is>
      </c>
      <c r="G440" s="4" t="inlineStr">
        <is>
          <t>$19.50</t>
        </is>
      </c>
      <c r="H440" s="4" t="inlineStr">
        <is>
          <t>Slate/White</t>
        </is>
      </c>
      <c r="I440" s="4">
        <f>IMAGE("https://images.lululemon.com/is/image/lululemon/0572",1)</f>
        <v/>
      </c>
      <c r="J440" s="4" t="inlineStr">
        <is>
          <t>14</t>
        </is>
      </c>
      <c r="K440" s="4" t="inlineStr">
        <is>
          <t>24/8715</t>
        </is>
      </c>
      <c r="L440" s="4" t="inlineStr">
        <is>
          <t>Yes</t>
        </is>
      </c>
      <c r="M440" s="4" t="inlineStr">
        <is>
          <t>Go ahead, get sweaty. The Swiftly collection is all about high-performing fabric that seamlessly adapts to you and your workout.</t>
        </is>
      </c>
      <c r="N440" s="4" t="inlineStr">
        <is>
          <t>Swiftly-Tech-Racerback-2</t>
        </is>
      </c>
      <c r="O440" s="4" t="inlineStr"/>
    </row>
    <row r="441" ht="80" customHeight="1">
      <c r="A441" s="7">
        <f>IMAGE("https://images.lululemon.com/is/image/lululemon/LW1ETYS_032664_1?wid=320&amp;op_usm=0.8",1)</f>
        <v/>
      </c>
      <c r="B441" s="7" t="inlineStr">
        <is>
          <t>Swiftly Tech Racerback Tank Top 2.0 *Hip Length</t>
        </is>
      </c>
      <c r="C441" s="7" t="inlineStr">
        <is>
          <t>117225925</t>
        </is>
      </c>
      <c r="D441" s="7" t="inlineStr">
        <is>
          <t>117225925-slate/white</t>
        </is>
      </c>
      <c r="E441" s="7" t="inlineStr">
        <is>
          <t>Swiftly Tech Scoopneck Tank 2.0 SLTE/WHT 0</t>
        </is>
      </c>
      <c r="F441" s="7" t="inlineStr">
        <is>
          <t>$39.00</t>
        </is>
      </c>
      <c r="G441" s="7" t="inlineStr">
        <is>
          <t>$19.50</t>
        </is>
      </c>
      <c r="H441" s="7" t="inlineStr">
        <is>
          <t>Slate/White</t>
        </is>
      </c>
      <c r="I441" s="7">
        <f>IMAGE("https://images.lululemon.com/is/image/lululemon/0572",1)</f>
        <v/>
      </c>
      <c r="J441" s="7" t="inlineStr">
        <is>
          <t>16</t>
        </is>
      </c>
      <c r="K441" s="7" t="inlineStr">
        <is>
          <t>21/8715</t>
        </is>
      </c>
      <c r="L441" s="7" t="inlineStr">
        <is>
          <t>Yes</t>
        </is>
      </c>
      <c r="M441" s="7" t="inlineStr">
        <is>
          <t>Go ahead, get sweaty. The Swiftly collection is all about high-performing fabric that seamlessly adapts to you and your workout.</t>
        </is>
      </c>
      <c r="N441" s="7" t="inlineStr">
        <is>
          <t>Swiftly-Tech-Racerback-2</t>
        </is>
      </c>
      <c r="O441" s="7" t="inlineStr"/>
    </row>
    <row r="442" ht="80" customHeight="1">
      <c r="A442" s="4">
        <f>IMAGE("https://images.lululemon.com/is/image/lululemon/LW1ETYS_032664_1?wid=320&amp;op_usm=0.8",1)</f>
        <v/>
      </c>
      <c r="B442" s="4" t="inlineStr">
        <is>
          <t>Swiftly Tech Racerback Tank Top 2.0 *Hip Length</t>
        </is>
      </c>
      <c r="C442" s="4" t="inlineStr">
        <is>
          <t>117225927</t>
        </is>
      </c>
      <c r="D442" s="4" t="inlineStr">
        <is>
          <t>117225927-slate/white</t>
        </is>
      </c>
      <c r="E442" s="4" t="inlineStr">
        <is>
          <t>Swiftly Tech Scoopneck Tank 2.0 SLTE/WHT 0</t>
        </is>
      </c>
      <c r="F442" s="4" t="inlineStr">
        <is>
          <t>$39.00</t>
        </is>
      </c>
      <c r="G442" s="4" t="inlineStr">
        <is>
          <t>$19.50</t>
        </is>
      </c>
      <c r="H442" s="4" t="inlineStr">
        <is>
          <t>Slate/White</t>
        </is>
      </c>
      <c r="I442" s="4">
        <f>IMAGE("https://images.lululemon.com/is/image/lululemon/0572",1)</f>
        <v/>
      </c>
      <c r="J442" s="4" t="inlineStr">
        <is>
          <t>18</t>
        </is>
      </c>
      <c r="K442" s="4" t="inlineStr">
        <is>
          <t>10/8715</t>
        </is>
      </c>
      <c r="L442" s="4" t="inlineStr">
        <is>
          <t>Yes</t>
        </is>
      </c>
      <c r="M442" s="4" t="inlineStr">
        <is>
          <t>Go ahead, get sweaty. The Swiftly collection is all about high-performing fabric that seamlessly adapts to you and your workout.</t>
        </is>
      </c>
      <c r="N442" s="4" t="inlineStr">
        <is>
          <t>Swiftly-Tech-Racerback-2</t>
        </is>
      </c>
      <c r="O442" s="4" t="inlineStr"/>
    </row>
    <row r="443" ht="80" customHeight="1">
      <c r="A443" s="7">
        <f>IMAGE("https://images.lululemon.com/is/image/lululemon/LW1ETYS_032664_1?wid=320&amp;op_usm=0.8",1)</f>
        <v/>
      </c>
      <c r="B443" s="7" t="inlineStr">
        <is>
          <t>Swiftly Tech Racerback Tank Top 2.0 *Hip Length</t>
        </is>
      </c>
      <c r="C443" s="7" t="inlineStr">
        <is>
          <t>123176021</t>
        </is>
      </c>
      <c r="D443" s="7" t="inlineStr">
        <is>
          <t>123176021-slate/white</t>
        </is>
      </c>
      <c r="E443" s="7" t="inlineStr">
        <is>
          <t>Swiftly Tech Scoopneck Tank 2.0 SLTE/WHT 0</t>
        </is>
      </c>
      <c r="F443" s="7" t="inlineStr">
        <is>
          <t>$39.00</t>
        </is>
      </c>
      <c r="G443" s="7" t="inlineStr">
        <is>
          <t>$19.50</t>
        </is>
      </c>
      <c r="H443" s="7" t="inlineStr">
        <is>
          <t>Slate/White</t>
        </is>
      </c>
      <c r="I443" s="7">
        <f>IMAGE("https://images.lululemon.com/is/image/lululemon/0572",1)</f>
        <v/>
      </c>
      <c r="J443" s="7" t="inlineStr">
        <is>
          <t>20</t>
        </is>
      </c>
      <c r="K443" s="7" t="inlineStr">
        <is>
          <t>10/8715</t>
        </is>
      </c>
      <c r="L443" s="7" t="inlineStr">
        <is>
          <t>Yes</t>
        </is>
      </c>
      <c r="M443" s="7" t="inlineStr">
        <is>
          <t>Go ahead, get sweaty. The Swiftly collection is all about high-performing fabric that seamlessly adapts to you and your workout.</t>
        </is>
      </c>
      <c r="N443" s="7" t="inlineStr">
        <is>
          <t>Swiftly-Tech-Racerback-2</t>
        </is>
      </c>
      <c r="O443" s="7" t="inlineStr"/>
    </row>
    <row r="444" ht="80" customHeight="1">
      <c r="A444" s="4">
        <f>IMAGE("https://images.lululemon.com/is/image/lululemon/LW1ETYS_032664_1?wid=320&amp;op_usm=0.8",1)</f>
        <v/>
      </c>
      <c r="B444" s="4" t="inlineStr">
        <is>
          <t>Swiftly Tech Racerback Tank Top 2.0 *Hip Length</t>
        </is>
      </c>
      <c r="C444" s="4" t="inlineStr">
        <is>
          <t>154831674</t>
        </is>
      </c>
      <c r="D444" s="4" t="inlineStr">
        <is>
          <t>154831674-black/black</t>
        </is>
      </c>
      <c r="E444" s="4" t="inlineStr">
        <is>
          <t>Swiftly Tech Scoopneck Tank 2.0 SLTE/WHT 0</t>
        </is>
      </c>
      <c r="F444" s="4" t="inlineStr">
        <is>
          <t>$39.00</t>
        </is>
      </c>
      <c r="G444" s="4" t="inlineStr">
        <is>
          <t>$19.50</t>
        </is>
      </c>
      <c r="H444" s="4" t="inlineStr">
        <is>
          <t>Black/Black</t>
        </is>
      </c>
      <c r="I444" s="4">
        <f>IMAGE("https://images.lululemon.com/is/image/lululemon/4780",1)</f>
        <v/>
      </c>
      <c r="J444" s="4" t="inlineStr">
        <is>
          <t>0</t>
        </is>
      </c>
      <c r="K444" s="4" t="inlineStr">
        <is>
          <t>36/8715</t>
        </is>
      </c>
      <c r="L444" s="4" t="inlineStr">
        <is>
          <t>Yes</t>
        </is>
      </c>
      <c r="M444" s="4" t="inlineStr">
        <is>
          <t>Go ahead, get sweaty. The Swiftly collection is all about high-performing fabric that seamlessly adapts to you and your workout.</t>
        </is>
      </c>
      <c r="N444" s="4" t="inlineStr">
        <is>
          <t>Swiftly-Tech-Racerback-2</t>
        </is>
      </c>
      <c r="O444" s="4" t="inlineStr"/>
    </row>
    <row r="445" ht="80" customHeight="1">
      <c r="A445" s="7">
        <f>IMAGE("https://images.lululemon.com/is/image/lululemon/LW1ETYS_032664_1?wid=320&amp;op_usm=0.8",1)</f>
        <v/>
      </c>
      <c r="B445" s="7" t="inlineStr">
        <is>
          <t>Swiftly Tech Racerback Tank Top 2.0 *Hip Length</t>
        </is>
      </c>
      <c r="C445" s="7" t="inlineStr">
        <is>
          <t>154831694</t>
        </is>
      </c>
      <c r="D445" s="7" t="inlineStr">
        <is>
          <t>154831694-black/black</t>
        </is>
      </c>
      <c r="E445" s="7" t="inlineStr">
        <is>
          <t>Swiftly Tech Scoopneck Tank 2.0 SLTE/WHT 0</t>
        </is>
      </c>
      <c r="F445" s="7" t="inlineStr">
        <is>
          <t>$39.00</t>
        </is>
      </c>
      <c r="G445" s="7" t="inlineStr">
        <is>
          <t>$19.50</t>
        </is>
      </c>
      <c r="H445" s="7" t="inlineStr">
        <is>
          <t>Black/Black</t>
        </is>
      </c>
      <c r="I445" s="7">
        <f>IMAGE("https://images.lululemon.com/is/image/lululemon/4780",1)</f>
        <v/>
      </c>
      <c r="J445" s="7" t="inlineStr">
        <is>
          <t>2</t>
        </is>
      </c>
      <c r="K445" s="7" t="inlineStr">
        <is>
          <t>39/8715</t>
        </is>
      </c>
      <c r="L445" s="7" t="inlineStr">
        <is>
          <t>Yes</t>
        </is>
      </c>
      <c r="M445" s="7" t="inlineStr">
        <is>
          <t>Go ahead, get sweaty. The Swiftly collection is all about high-performing fabric that seamlessly adapts to you and your workout.</t>
        </is>
      </c>
      <c r="N445" s="7" t="inlineStr">
        <is>
          <t>Swiftly-Tech-Racerback-2</t>
        </is>
      </c>
      <c r="O445" s="7" t="inlineStr"/>
    </row>
    <row r="446" ht="80" customHeight="1">
      <c r="A446" s="4">
        <f>IMAGE("https://images.lululemon.com/is/image/lululemon/LW1ETYS_032664_1?wid=320&amp;op_usm=0.8",1)</f>
        <v/>
      </c>
      <c r="B446" s="4" t="inlineStr">
        <is>
          <t>Swiftly Tech Racerback Tank Top 2.0 *Hip Length</t>
        </is>
      </c>
      <c r="C446" s="4" t="inlineStr">
        <is>
          <t>154831703</t>
        </is>
      </c>
      <c r="D446" s="4" t="inlineStr">
        <is>
          <t>154831703-black/black</t>
        </is>
      </c>
      <c r="E446" s="4" t="inlineStr">
        <is>
          <t>Swiftly Tech Scoopneck Tank 2.0 SLTE/WHT 0</t>
        </is>
      </c>
      <c r="F446" s="4" t="inlineStr">
        <is>
          <t>$39.00</t>
        </is>
      </c>
      <c r="G446" s="4" t="inlineStr">
        <is>
          <t>$19.50</t>
        </is>
      </c>
      <c r="H446" s="4" t="inlineStr">
        <is>
          <t>Black/Black</t>
        </is>
      </c>
      <c r="I446" s="4">
        <f>IMAGE("https://images.lululemon.com/is/image/lululemon/4780",1)</f>
        <v/>
      </c>
      <c r="J446" s="4" t="inlineStr">
        <is>
          <t>4</t>
        </is>
      </c>
      <c r="K446" s="4" t="inlineStr">
        <is>
          <t>641/8715</t>
        </is>
      </c>
      <c r="L446" s="4" t="inlineStr">
        <is>
          <t>Yes</t>
        </is>
      </c>
      <c r="M446" s="4" t="inlineStr">
        <is>
          <t>Go ahead, get sweaty. The Swiftly collection is all about high-performing fabric that seamlessly adapts to you and your workout.</t>
        </is>
      </c>
      <c r="N446" s="4" t="inlineStr">
        <is>
          <t>Swiftly-Tech-Racerback-2</t>
        </is>
      </c>
      <c r="O446" s="4" t="inlineStr"/>
    </row>
    <row r="447" ht="80" customHeight="1">
      <c r="A447" s="7">
        <f>IMAGE("https://images.lululemon.com/is/image/lululemon/LW1ETYS_032664_1?wid=320&amp;op_usm=0.8",1)</f>
        <v/>
      </c>
      <c r="B447" s="7" t="inlineStr">
        <is>
          <t>Swiftly Tech Racerback Tank Top 2.0 *Hip Length</t>
        </is>
      </c>
      <c r="C447" s="7" t="inlineStr">
        <is>
          <t>154831705</t>
        </is>
      </c>
      <c r="D447" s="7" t="inlineStr">
        <is>
          <t>154831705-black/black</t>
        </is>
      </c>
      <c r="E447" s="7" t="inlineStr">
        <is>
          <t>Swiftly Tech Scoopneck Tank 2.0 SLTE/WHT 0</t>
        </is>
      </c>
      <c r="F447" s="7" t="inlineStr">
        <is>
          <t>$39.00</t>
        </is>
      </c>
      <c r="G447" s="7" t="inlineStr">
        <is>
          <t>$19.50</t>
        </is>
      </c>
      <c r="H447" s="7" t="inlineStr">
        <is>
          <t>Black/Black</t>
        </is>
      </c>
      <c r="I447" s="7">
        <f>IMAGE("https://images.lululemon.com/is/image/lululemon/4780",1)</f>
        <v/>
      </c>
      <c r="J447" s="7" t="inlineStr">
        <is>
          <t>6</t>
        </is>
      </c>
      <c r="K447" s="7" t="inlineStr">
        <is>
          <t>593/8715</t>
        </is>
      </c>
      <c r="L447" s="7" t="inlineStr">
        <is>
          <t>Yes</t>
        </is>
      </c>
      <c r="M447" s="7" t="inlineStr">
        <is>
          <t>Go ahead, get sweaty. The Swiftly collection is all about high-performing fabric that seamlessly adapts to you and your workout.</t>
        </is>
      </c>
      <c r="N447" s="7" t="inlineStr">
        <is>
          <t>Swiftly-Tech-Racerback-2</t>
        </is>
      </c>
      <c r="O447" s="7" t="inlineStr"/>
    </row>
    <row r="448" ht="80" customHeight="1">
      <c r="A448" s="4">
        <f>IMAGE("https://images.lululemon.com/is/image/lululemon/LW1ETYS_032664_1?wid=320&amp;op_usm=0.8",1)</f>
        <v/>
      </c>
      <c r="B448" s="4" t="inlineStr">
        <is>
          <t>Swiftly Tech Racerback Tank Top 2.0 *Hip Length</t>
        </is>
      </c>
      <c r="C448" s="4" t="inlineStr">
        <is>
          <t>117225829</t>
        </is>
      </c>
      <c r="D448" s="4" t="inlineStr">
        <is>
          <t>117225829-black/black</t>
        </is>
      </c>
      <c r="E448" s="4" t="inlineStr">
        <is>
          <t>Swiftly Tech Scoopneck Tank 2.0 SLTE/WHT 0</t>
        </is>
      </c>
      <c r="F448" s="4" t="inlineStr">
        <is>
          <t>$39.00</t>
        </is>
      </c>
      <c r="G448" s="4" t="inlineStr">
        <is>
          <t>$19.50</t>
        </is>
      </c>
      <c r="H448" s="4" t="inlineStr">
        <is>
          <t>Black/Black</t>
        </is>
      </c>
      <c r="I448" s="4">
        <f>IMAGE("https://images.lululemon.com/is/image/lululemon/4780",1)</f>
        <v/>
      </c>
      <c r="J448" s="4" t="inlineStr">
        <is>
          <t>8</t>
        </is>
      </c>
      <c r="K448" s="4" t="inlineStr">
        <is>
          <t>318/8715</t>
        </is>
      </c>
      <c r="L448" s="4" t="inlineStr">
        <is>
          <t>Yes</t>
        </is>
      </c>
      <c r="M448" s="4" t="inlineStr">
        <is>
          <t>Go ahead, get sweaty. The Swiftly collection is all about high-performing fabric that seamlessly adapts to you and your workout.</t>
        </is>
      </c>
      <c r="N448" s="4" t="inlineStr">
        <is>
          <t>Swiftly-Tech-Racerback-2</t>
        </is>
      </c>
      <c r="O448" s="4" t="inlineStr"/>
    </row>
    <row r="449" ht="80" customHeight="1">
      <c r="A449" s="7">
        <f>IMAGE("https://images.lululemon.com/is/image/lululemon/LW1ETYS_032664_1?wid=320&amp;op_usm=0.8",1)</f>
        <v/>
      </c>
      <c r="B449" s="7" t="inlineStr">
        <is>
          <t>Swiftly Tech Racerback Tank Top 2.0 *Hip Length</t>
        </is>
      </c>
      <c r="C449" s="7" t="inlineStr">
        <is>
          <t>117225803</t>
        </is>
      </c>
      <c r="D449" s="7" t="inlineStr">
        <is>
          <t>117225803-black/black</t>
        </is>
      </c>
      <c r="E449" s="7" t="inlineStr">
        <is>
          <t>Swiftly Tech Scoopneck Tank 2.0 SLTE/WHT 0</t>
        </is>
      </c>
      <c r="F449" s="7" t="inlineStr">
        <is>
          <t>$39.00</t>
        </is>
      </c>
      <c r="G449" s="7" t="inlineStr">
        <is>
          <t>$19.50</t>
        </is>
      </c>
      <c r="H449" s="7" t="inlineStr">
        <is>
          <t>Black/Black</t>
        </is>
      </c>
      <c r="I449" s="7">
        <f>IMAGE("https://images.lululemon.com/is/image/lululemon/4780",1)</f>
        <v/>
      </c>
      <c r="J449" s="7" t="inlineStr">
        <is>
          <t>10</t>
        </is>
      </c>
      <c r="K449" s="7" t="inlineStr">
        <is>
          <t>197/8715</t>
        </is>
      </c>
      <c r="L449" s="7" t="inlineStr">
        <is>
          <t>Yes</t>
        </is>
      </c>
      <c r="M449" s="7" t="inlineStr">
        <is>
          <t>Go ahead, get sweaty. The Swiftly collection is all about high-performing fabric that seamlessly adapts to you and your workout.</t>
        </is>
      </c>
      <c r="N449" s="7" t="inlineStr">
        <is>
          <t>Swiftly-Tech-Racerback-2</t>
        </is>
      </c>
      <c r="O449" s="7" t="inlineStr"/>
    </row>
    <row r="450" ht="80" customHeight="1">
      <c r="A450" s="4">
        <f>IMAGE("https://images.lululemon.com/is/image/lululemon/LW1ETYS_032664_1?wid=320&amp;op_usm=0.8",1)</f>
        <v/>
      </c>
      <c r="B450" s="4" t="inlineStr">
        <is>
          <t>Swiftly Tech Racerback Tank Top 2.0 *Hip Length</t>
        </is>
      </c>
      <c r="C450" s="4" t="inlineStr">
        <is>
          <t>117225806</t>
        </is>
      </c>
      <c r="D450" s="4" t="inlineStr">
        <is>
          <t>117225806-black/black</t>
        </is>
      </c>
      <c r="E450" s="4" t="inlineStr">
        <is>
          <t>Swiftly Tech Scoopneck Tank 2.0 SLTE/WHT 0</t>
        </is>
      </c>
      <c r="F450" s="4" t="inlineStr">
        <is>
          <t>$39.00</t>
        </is>
      </c>
      <c r="G450" s="4" t="inlineStr">
        <is>
          <t>$19.50</t>
        </is>
      </c>
      <c r="H450" s="4" t="inlineStr">
        <is>
          <t>Black/Black</t>
        </is>
      </c>
      <c r="I450" s="4">
        <f>IMAGE("https://images.lululemon.com/is/image/lululemon/4780",1)</f>
        <v/>
      </c>
      <c r="J450" s="4" t="inlineStr">
        <is>
          <t>12</t>
        </is>
      </c>
      <c r="K450" s="4" t="inlineStr">
        <is>
          <t>134/8715</t>
        </is>
      </c>
      <c r="L450" s="4" t="inlineStr">
        <is>
          <t>Yes</t>
        </is>
      </c>
      <c r="M450" s="4" t="inlineStr">
        <is>
          <t>Go ahead, get sweaty. The Swiftly collection is all about high-performing fabric that seamlessly adapts to you and your workout.</t>
        </is>
      </c>
      <c r="N450" s="4" t="inlineStr">
        <is>
          <t>Swiftly-Tech-Racerback-2</t>
        </is>
      </c>
      <c r="O450" s="4" t="inlineStr"/>
    </row>
    <row r="451" ht="80" customHeight="1">
      <c r="A451" s="7">
        <f>IMAGE("https://images.lululemon.com/is/image/lululemon/LW1ETYS_032664_1?wid=320&amp;op_usm=0.8",1)</f>
        <v/>
      </c>
      <c r="B451" s="7" t="inlineStr">
        <is>
          <t>Swiftly Tech Racerback Tank Top 2.0 *Hip Length</t>
        </is>
      </c>
      <c r="C451" s="7" t="inlineStr">
        <is>
          <t>117225810</t>
        </is>
      </c>
      <c r="D451" s="7" t="inlineStr">
        <is>
          <t>117225810-black/black</t>
        </is>
      </c>
      <c r="E451" s="7" t="inlineStr">
        <is>
          <t>Swiftly Tech Scoopneck Tank 2.0 SLTE/WHT 0</t>
        </is>
      </c>
      <c r="F451" s="7" t="inlineStr">
        <is>
          <t>$39.00</t>
        </is>
      </c>
      <c r="G451" s="7" t="inlineStr">
        <is>
          <t>$19.50</t>
        </is>
      </c>
      <c r="H451" s="7" t="inlineStr">
        <is>
          <t>Black/Black</t>
        </is>
      </c>
      <c r="I451" s="7">
        <f>IMAGE("https://images.lululemon.com/is/image/lululemon/4780",1)</f>
        <v/>
      </c>
      <c r="J451" s="7" t="inlineStr">
        <is>
          <t>14</t>
        </is>
      </c>
      <c r="K451" s="7" t="inlineStr">
        <is>
          <t>54/8715</t>
        </is>
      </c>
      <c r="L451" s="7" t="inlineStr">
        <is>
          <t>Yes</t>
        </is>
      </c>
      <c r="M451" s="7" t="inlineStr">
        <is>
          <t>Go ahead, get sweaty. The Swiftly collection is all about high-performing fabric that seamlessly adapts to you and your workout.</t>
        </is>
      </c>
      <c r="N451" s="7" t="inlineStr">
        <is>
          <t>Swiftly-Tech-Racerback-2</t>
        </is>
      </c>
      <c r="O451" s="7" t="inlineStr"/>
    </row>
    <row r="452" ht="80" customHeight="1">
      <c r="A452" s="4">
        <f>IMAGE("https://images.lululemon.com/is/image/lululemon/LW1ETYS_032664_1?wid=320&amp;op_usm=0.8",1)</f>
        <v/>
      </c>
      <c r="B452" s="4" t="inlineStr">
        <is>
          <t>Swiftly Tech Racerback Tank Top 2.0 *Hip Length</t>
        </is>
      </c>
      <c r="C452" s="4" t="inlineStr">
        <is>
          <t>117225814</t>
        </is>
      </c>
      <c r="D452" s="4" t="inlineStr">
        <is>
          <t>117225814-black/black</t>
        </is>
      </c>
      <c r="E452" s="4" t="inlineStr">
        <is>
          <t>Swiftly Tech Scoopneck Tank 2.0 SLTE/WHT 0</t>
        </is>
      </c>
      <c r="F452" s="4" t="inlineStr">
        <is>
          <t>$39.00</t>
        </is>
      </c>
      <c r="G452" s="4" t="inlineStr">
        <is>
          <t>$19.50</t>
        </is>
      </c>
      <c r="H452" s="4" t="inlineStr">
        <is>
          <t>Black/Black</t>
        </is>
      </c>
      <c r="I452" s="4">
        <f>IMAGE("https://images.lululemon.com/is/image/lululemon/4780",1)</f>
        <v/>
      </c>
      <c r="J452" s="4" t="inlineStr">
        <is>
          <t>16</t>
        </is>
      </c>
      <c r="K452" s="4" t="inlineStr">
        <is>
          <t>40/8715</t>
        </is>
      </c>
      <c r="L452" s="4" t="inlineStr">
        <is>
          <t>Yes</t>
        </is>
      </c>
      <c r="M452" s="4" t="inlineStr">
        <is>
          <t>Go ahead, get sweaty. The Swiftly collection is all about high-performing fabric that seamlessly adapts to you and your workout.</t>
        </is>
      </c>
      <c r="N452" s="4" t="inlineStr">
        <is>
          <t>Swiftly-Tech-Racerback-2</t>
        </is>
      </c>
      <c r="O452" s="4" t="inlineStr"/>
    </row>
    <row r="453" ht="80" customHeight="1">
      <c r="A453" s="7">
        <f>IMAGE("https://images.lululemon.com/is/image/lululemon/LW1ETYS_032664_1?wid=320&amp;op_usm=0.8",1)</f>
        <v/>
      </c>
      <c r="B453" s="7" t="inlineStr">
        <is>
          <t>Swiftly Tech Racerback Tank Top 2.0 *Hip Length</t>
        </is>
      </c>
      <c r="C453" s="7" t="inlineStr">
        <is>
          <t>117225819</t>
        </is>
      </c>
      <c r="D453" s="7" t="inlineStr">
        <is>
          <t>117225819-black/black</t>
        </is>
      </c>
      <c r="E453" s="7" t="inlineStr">
        <is>
          <t>Swiftly Tech Scoopneck Tank 2.0 SLTE/WHT 0</t>
        </is>
      </c>
      <c r="F453" s="7" t="inlineStr">
        <is>
          <t>$39.00</t>
        </is>
      </c>
      <c r="G453" s="7" t="inlineStr">
        <is>
          <t>$19.50</t>
        </is>
      </c>
      <c r="H453" s="7" t="inlineStr">
        <is>
          <t>Black/Black</t>
        </is>
      </c>
      <c r="I453" s="7">
        <f>IMAGE("https://images.lululemon.com/is/image/lululemon/4780",1)</f>
        <v/>
      </c>
      <c r="J453" s="7" t="inlineStr">
        <is>
          <t>18</t>
        </is>
      </c>
      <c r="K453" s="7" t="inlineStr">
        <is>
          <t>26/8715</t>
        </is>
      </c>
      <c r="L453" s="7" t="inlineStr">
        <is>
          <t>Yes</t>
        </is>
      </c>
      <c r="M453" s="7" t="inlineStr">
        <is>
          <t>Go ahead, get sweaty. The Swiftly collection is all about high-performing fabric that seamlessly adapts to you and your workout.</t>
        </is>
      </c>
      <c r="N453" s="7" t="inlineStr">
        <is>
          <t>Swiftly-Tech-Racerback-2</t>
        </is>
      </c>
      <c r="O453" s="7" t="inlineStr"/>
    </row>
    <row r="454" ht="80" customHeight="1">
      <c r="A454" s="4">
        <f>IMAGE("https://images.lululemon.com/is/image/lululemon/LW1ETYS_032664_1?wid=320&amp;op_usm=0.8",1)</f>
        <v/>
      </c>
      <c r="B454" s="4" t="inlineStr">
        <is>
          <t>Swiftly Tech Racerback Tank Top 2.0 *Hip Length</t>
        </is>
      </c>
      <c r="C454" s="4" t="inlineStr">
        <is>
          <t>123176512</t>
        </is>
      </c>
      <c r="D454" s="4" t="inlineStr">
        <is>
          <t>123176512-black/black</t>
        </is>
      </c>
      <c r="E454" s="4" t="inlineStr">
        <is>
          <t>Swiftly Tech Scoopneck Tank 2.0 SLTE/WHT 0</t>
        </is>
      </c>
      <c r="F454" s="4" t="inlineStr">
        <is>
          <t>$39.00</t>
        </is>
      </c>
      <c r="G454" s="4" t="inlineStr">
        <is>
          <t>$19.50</t>
        </is>
      </c>
      <c r="H454" s="4" t="inlineStr">
        <is>
          <t>Black/Black</t>
        </is>
      </c>
      <c r="I454" s="4">
        <f>IMAGE("https://images.lululemon.com/is/image/lululemon/4780",1)</f>
        <v/>
      </c>
      <c r="J454" s="4" t="inlineStr">
        <is>
          <t>20</t>
        </is>
      </c>
      <c r="K454" s="4" t="inlineStr">
        <is>
          <t>15/8715</t>
        </is>
      </c>
      <c r="L454" s="4" t="inlineStr">
        <is>
          <t>Yes</t>
        </is>
      </c>
      <c r="M454" s="4" t="inlineStr">
        <is>
          <t>Go ahead, get sweaty. The Swiftly collection is all about high-performing fabric that seamlessly adapts to you and your workout.</t>
        </is>
      </c>
      <c r="N454" s="4" t="inlineStr">
        <is>
          <t>Swiftly-Tech-Racerback-2</t>
        </is>
      </c>
      <c r="O454" s="4" t="inlineStr"/>
    </row>
    <row r="455" ht="80" customHeight="1">
      <c r="A455" s="7">
        <f>IMAGE("https://images.lululemon.com/is/image/lululemon/LW1ETYS_032664_1?wid=320&amp;op_usm=0.8",1)</f>
        <v/>
      </c>
      <c r="B455" s="7" t="inlineStr">
        <is>
          <t>Swiftly Tech Racerback Tank Top 2.0 *Hip Length</t>
        </is>
      </c>
      <c r="C455" s="7" t="inlineStr">
        <is>
          <t>117225835</t>
        </is>
      </c>
      <c r="D455" s="7" t="inlineStr">
        <is>
          <t>117225835-white/white</t>
        </is>
      </c>
      <c r="E455" s="7" t="inlineStr">
        <is>
          <t>Swiftly Tech Scoopneck Tank 2.0 SLTE/WHT 0</t>
        </is>
      </c>
      <c r="F455" s="7" t="inlineStr">
        <is>
          <t>$39.00</t>
        </is>
      </c>
      <c r="G455" s="7" t="inlineStr">
        <is>
          <t>$19.50</t>
        </is>
      </c>
      <c r="H455" s="7" t="inlineStr">
        <is>
          <t>White/White</t>
        </is>
      </c>
      <c r="I455" s="7">
        <f>IMAGE("https://images.lululemon.com/is/image/lululemon/12826",1)</f>
        <v/>
      </c>
      <c r="J455" s="7" t="inlineStr">
        <is>
          <t>0</t>
        </is>
      </c>
      <c r="K455" s="7" t="inlineStr">
        <is>
          <t>25/8715</t>
        </is>
      </c>
      <c r="L455" s="7" t="inlineStr">
        <is>
          <t>Yes</t>
        </is>
      </c>
      <c r="M455" s="7" t="inlineStr">
        <is>
          <t>Go ahead, get sweaty. The Swiftly collection is all about high-performing fabric that seamlessly adapts to you and your workout.</t>
        </is>
      </c>
      <c r="N455" s="7" t="inlineStr">
        <is>
          <t>Swiftly-Tech-Racerback-2</t>
        </is>
      </c>
      <c r="O455" s="7" t="inlineStr"/>
    </row>
    <row r="456" ht="80" customHeight="1">
      <c r="A456" s="4">
        <f>IMAGE("https://images.lululemon.com/is/image/lululemon/LW1ETYS_032664_1?wid=320&amp;op_usm=0.8",1)</f>
        <v/>
      </c>
      <c r="B456" s="4" t="inlineStr">
        <is>
          <t>Swiftly Tech Racerback Tank Top 2.0 *Hip Length</t>
        </is>
      </c>
      <c r="C456" s="4" t="inlineStr">
        <is>
          <t>117225857</t>
        </is>
      </c>
      <c r="D456" s="4" t="inlineStr">
        <is>
          <t>117225857-white/white</t>
        </is>
      </c>
      <c r="E456" s="4" t="inlineStr">
        <is>
          <t>Swiftly Tech Scoopneck Tank 2.0 SLTE/WHT 0</t>
        </is>
      </c>
      <c r="F456" s="4" t="inlineStr">
        <is>
          <t>$39.00</t>
        </is>
      </c>
      <c r="G456" s="4" t="inlineStr">
        <is>
          <t>$19.50</t>
        </is>
      </c>
      <c r="H456" s="4" t="inlineStr">
        <is>
          <t>White/White</t>
        </is>
      </c>
      <c r="I456" s="4">
        <f>IMAGE("https://images.lululemon.com/is/image/lululemon/12826",1)</f>
        <v/>
      </c>
      <c r="J456" s="4" t="inlineStr">
        <is>
          <t>2</t>
        </is>
      </c>
      <c r="K456" s="4" t="inlineStr">
        <is>
          <t>30/8715</t>
        </is>
      </c>
      <c r="L456" s="4" t="inlineStr">
        <is>
          <t>Yes</t>
        </is>
      </c>
      <c r="M456" s="4" t="inlineStr">
        <is>
          <t>Go ahead, get sweaty. The Swiftly collection is all about high-performing fabric that seamlessly adapts to you and your workout.</t>
        </is>
      </c>
      <c r="N456" s="4" t="inlineStr">
        <is>
          <t>Swiftly-Tech-Racerback-2</t>
        </is>
      </c>
      <c r="O456" s="4" t="inlineStr"/>
    </row>
    <row r="457" ht="80" customHeight="1">
      <c r="A457" s="7">
        <f>IMAGE("https://images.lululemon.com/is/image/lululemon/LW1ETYS_032664_1?wid=320&amp;op_usm=0.8",1)</f>
        <v/>
      </c>
      <c r="B457" s="7" t="inlineStr">
        <is>
          <t>Swiftly Tech Racerback Tank Top 2.0 *Hip Length</t>
        </is>
      </c>
      <c r="C457" s="7" t="inlineStr">
        <is>
          <t>117225861</t>
        </is>
      </c>
      <c r="D457" s="7" t="inlineStr">
        <is>
          <t>117225861-white/white</t>
        </is>
      </c>
      <c r="E457" s="7" t="inlineStr">
        <is>
          <t>Swiftly Tech Scoopneck Tank 2.0 SLTE/WHT 0</t>
        </is>
      </c>
      <c r="F457" s="7" t="inlineStr">
        <is>
          <t>$39.00</t>
        </is>
      </c>
      <c r="G457" s="7" t="inlineStr">
        <is>
          <t>$19.50</t>
        </is>
      </c>
      <c r="H457" s="7" t="inlineStr">
        <is>
          <t>White/White</t>
        </is>
      </c>
      <c r="I457" s="7">
        <f>IMAGE("https://images.lululemon.com/is/image/lululemon/12826",1)</f>
        <v/>
      </c>
      <c r="J457" s="7" t="inlineStr">
        <is>
          <t>4</t>
        </is>
      </c>
      <c r="K457" s="7" t="inlineStr">
        <is>
          <t>48/8715</t>
        </is>
      </c>
      <c r="L457" s="7" t="inlineStr">
        <is>
          <t>Yes</t>
        </is>
      </c>
      <c r="M457" s="7" t="inlineStr">
        <is>
          <t>Go ahead, get sweaty. The Swiftly collection is all about high-performing fabric that seamlessly adapts to you and your workout.</t>
        </is>
      </c>
      <c r="N457" s="7" t="inlineStr">
        <is>
          <t>Swiftly-Tech-Racerback-2</t>
        </is>
      </c>
      <c r="O457" s="7" t="inlineStr"/>
    </row>
    <row r="458" ht="80" customHeight="1">
      <c r="A458" s="4">
        <f>IMAGE("https://images.lululemon.com/is/image/lululemon/LW1ETYS_032664_1?wid=320&amp;op_usm=0.8",1)</f>
        <v/>
      </c>
      <c r="B458" s="4" t="inlineStr">
        <is>
          <t>Swiftly Tech Racerback Tank Top 2.0 *Hip Length</t>
        </is>
      </c>
      <c r="C458" s="4" t="inlineStr">
        <is>
          <t>117225865</t>
        </is>
      </c>
      <c r="D458" s="4" t="inlineStr">
        <is>
          <t>117225865-white/white</t>
        </is>
      </c>
      <c r="E458" s="4" t="inlineStr">
        <is>
          <t>Swiftly Tech Scoopneck Tank 2.0 SLTE/WHT 0</t>
        </is>
      </c>
      <c r="F458" s="4" t="inlineStr">
        <is>
          <t>$39.00</t>
        </is>
      </c>
      <c r="G458" s="4" t="inlineStr">
        <is>
          <t>$19.50</t>
        </is>
      </c>
      <c r="H458" s="4" t="inlineStr">
        <is>
          <t>White/White</t>
        </is>
      </c>
      <c r="I458" s="4">
        <f>IMAGE("https://images.lululemon.com/is/image/lululemon/12826",1)</f>
        <v/>
      </c>
      <c r="J458" s="4" t="inlineStr">
        <is>
          <t>6</t>
        </is>
      </c>
      <c r="K458" s="4" t="inlineStr">
        <is>
          <t>673/8715</t>
        </is>
      </c>
      <c r="L458" s="4" t="inlineStr">
        <is>
          <t>Yes</t>
        </is>
      </c>
      <c r="M458" s="4" t="inlineStr">
        <is>
          <t>Go ahead, get sweaty. The Swiftly collection is all about high-performing fabric that seamlessly adapts to you and your workout.</t>
        </is>
      </c>
      <c r="N458" s="4" t="inlineStr">
        <is>
          <t>Swiftly-Tech-Racerback-2</t>
        </is>
      </c>
      <c r="O458" s="4" t="inlineStr"/>
    </row>
    <row r="459" ht="80" customHeight="1">
      <c r="A459" s="7">
        <f>IMAGE("https://images.lululemon.com/is/image/lululemon/LW1ETYS_032664_1?wid=320&amp;op_usm=0.8",1)</f>
        <v/>
      </c>
      <c r="B459" s="7" t="inlineStr">
        <is>
          <t>Swiftly Tech Racerback Tank Top 2.0 *Hip Length</t>
        </is>
      </c>
      <c r="C459" s="7" t="inlineStr">
        <is>
          <t>117225869</t>
        </is>
      </c>
      <c r="D459" s="7" t="inlineStr">
        <is>
          <t>117225869-white/white</t>
        </is>
      </c>
      <c r="E459" s="7" t="inlineStr">
        <is>
          <t>Swiftly Tech Scoopneck Tank 2.0 SLTE/WHT 0</t>
        </is>
      </c>
      <c r="F459" s="7" t="inlineStr">
        <is>
          <t>$39.00</t>
        </is>
      </c>
      <c r="G459" s="7" t="inlineStr">
        <is>
          <t>$19.50</t>
        </is>
      </c>
      <c r="H459" s="7" t="inlineStr">
        <is>
          <t>White/White</t>
        </is>
      </c>
      <c r="I459" s="7">
        <f>IMAGE("https://images.lululemon.com/is/image/lululemon/12826",1)</f>
        <v/>
      </c>
      <c r="J459" s="7" t="inlineStr">
        <is>
          <t>8</t>
        </is>
      </c>
      <c r="K459" s="7" t="inlineStr">
        <is>
          <t>794/8715</t>
        </is>
      </c>
      <c r="L459" s="7" t="inlineStr">
        <is>
          <t>Yes</t>
        </is>
      </c>
      <c r="M459" s="7" t="inlineStr">
        <is>
          <t>Go ahead, get sweaty. The Swiftly collection is all about high-performing fabric that seamlessly adapts to you and your workout.</t>
        </is>
      </c>
      <c r="N459" s="7" t="inlineStr">
        <is>
          <t>Swiftly-Tech-Racerback-2</t>
        </is>
      </c>
      <c r="O459" s="7" t="inlineStr"/>
    </row>
    <row r="460" ht="80" customHeight="1">
      <c r="A460" s="4">
        <f>IMAGE("https://images.lululemon.com/is/image/lululemon/LW1ETYS_032664_1?wid=320&amp;op_usm=0.8",1)</f>
        <v/>
      </c>
      <c r="B460" s="4" t="inlineStr">
        <is>
          <t>Swiftly Tech Racerback Tank Top 2.0 *Hip Length</t>
        </is>
      </c>
      <c r="C460" s="4" t="inlineStr">
        <is>
          <t>117225837</t>
        </is>
      </c>
      <c r="D460" s="4" t="inlineStr">
        <is>
          <t>117225837-white/white</t>
        </is>
      </c>
      <c r="E460" s="4" t="inlineStr">
        <is>
          <t>Swiftly Tech Scoopneck Tank 2.0 SLTE/WHT 0</t>
        </is>
      </c>
      <c r="F460" s="4" t="inlineStr">
        <is>
          <t>$39.00</t>
        </is>
      </c>
      <c r="G460" s="4" t="inlineStr">
        <is>
          <t>$19.50</t>
        </is>
      </c>
      <c r="H460" s="4" t="inlineStr">
        <is>
          <t>White/White</t>
        </is>
      </c>
      <c r="I460" s="4">
        <f>IMAGE("https://images.lululemon.com/is/image/lululemon/12826",1)</f>
        <v/>
      </c>
      <c r="J460" s="4" t="inlineStr">
        <is>
          <t>10</t>
        </is>
      </c>
      <c r="K460" s="4" t="inlineStr">
        <is>
          <t>141/8715</t>
        </is>
      </c>
      <c r="L460" s="4" t="inlineStr">
        <is>
          <t>Yes</t>
        </is>
      </c>
      <c r="M460" s="4" t="inlineStr">
        <is>
          <t>Go ahead, get sweaty. The Swiftly collection is all about high-performing fabric that seamlessly adapts to you and your workout.</t>
        </is>
      </c>
      <c r="N460" s="4" t="inlineStr">
        <is>
          <t>Swiftly-Tech-Racerback-2</t>
        </is>
      </c>
      <c r="O460" s="4" t="inlineStr"/>
    </row>
    <row r="461" ht="80" customHeight="1">
      <c r="A461" s="7">
        <f>IMAGE("https://images.lululemon.com/is/image/lululemon/LW1ETYS_032664_1?wid=320&amp;op_usm=0.8",1)</f>
        <v/>
      </c>
      <c r="B461" s="7" t="inlineStr">
        <is>
          <t>Swiftly Tech Racerback Tank Top 2.0 *Hip Length</t>
        </is>
      </c>
      <c r="C461" s="7" t="inlineStr">
        <is>
          <t>117225841</t>
        </is>
      </c>
      <c r="D461" s="7" t="inlineStr">
        <is>
          <t>117225841-white/white</t>
        </is>
      </c>
      <c r="E461" s="7" t="inlineStr">
        <is>
          <t>Swiftly Tech Scoopneck Tank 2.0 SLTE/WHT 0</t>
        </is>
      </c>
      <c r="F461" s="7" t="inlineStr">
        <is>
          <t>$39.00</t>
        </is>
      </c>
      <c r="G461" s="7" t="inlineStr">
        <is>
          <t>$19.50</t>
        </is>
      </c>
      <c r="H461" s="7" t="inlineStr">
        <is>
          <t>White/White</t>
        </is>
      </c>
      <c r="I461" s="7">
        <f>IMAGE("https://images.lululemon.com/is/image/lululemon/12826",1)</f>
        <v/>
      </c>
      <c r="J461" s="7" t="inlineStr">
        <is>
          <t>12</t>
        </is>
      </c>
      <c r="K461" s="7" t="inlineStr">
        <is>
          <t>333/8715</t>
        </is>
      </c>
      <c r="L461" s="7" t="inlineStr">
        <is>
          <t>Yes</t>
        </is>
      </c>
      <c r="M461" s="7" t="inlineStr">
        <is>
          <t>Go ahead, get sweaty. The Swiftly collection is all about high-performing fabric that seamlessly adapts to you and your workout.</t>
        </is>
      </c>
      <c r="N461" s="7" t="inlineStr">
        <is>
          <t>Swiftly-Tech-Racerback-2</t>
        </is>
      </c>
      <c r="O461" s="7" t="inlineStr"/>
    </row>
    <row r="462" ht="80" customHeight="1">
      <c r="A462" s="4">
        <f>IMAGE("https://images.lululemon.com/is/image/lululemon/LW1ETYS_032664_1?wid=320&amp;op_usm=0.8",1)</f>
        <v/>
      </c>
      <c r="B462" s="4" t="inlineStr">
        <is>
          <t>Swiftly Tech Racerback Tank Top 2.0 *Hip Length</t>
        </is>
      </c>
      <c r="C462" s="4" t="inlineStr">
        <is>
          <t>117225845</t>
        </is>
      </c>
      <c r="D462" s="4" t="inlineStr">
        <is>
          <t>117225845-white/white</t>
        </is>
      </c>
      <c r="E462" s="4" t="inlineStr">
        <is>
          <t>Swiftly Tech Scoopneck Tank 2.0 SLTE/WHT 0</t>
        </is>
      </c>
      <c r="F462" s="4" t="inlineStr">
        <is>
          <t>$39.00</t>
        </is>
      </c>
      <c r="G462" s="4" t="inlineStr">
        <is>
          <t>$19.50</t>
        </is>
      </c>
      <c r="H462" s="4" t="inlineStr">
        <is>
          <t>White/White</t>
        </is>
      </c>
      <c r="I462" s="4">
        <f>IMAGE("https://images.lululemon.com/is/image/lululemon/12826",1)</f>
        <v/>
      </c>
      <c r="J462" s="4" t="inlineStr">
        <is>
          <t>14</t>
        </is>
      </c>
      <c r="K462" s="4" t="inlineStr">
        <is>
          <t>32/8715</t>
        </is>
      </c>
      <c r="L462" s="4" t="inlineStr">
        <is>
          <t>Yes</t>
        </is>
      </c>
      <c r="M462" s="4" t="inlineStr">
        <is>
          <t>Go ahead, get sweaty. The Swiftly collection is all about high-performing fabric that seamlessly adapts to you and your workout.</t>
        </is>
      </c>
      <c r="N462" s="4" t="inlineStr">
        <is>
          <t>Swiftly-Tech-Racerback-2</t>
        </is>
      </c>
      <c r="O462" s="4" t="inlineStr"/>
    </row>
    <row r="463" ht="80" customHeight="1">
      <c r="A463" s="7">
        <f>IMAGE("https://images.lululemon.com/is/image/lululemon/LW1ETYS_032664_1?wid=320&amp;op_usm=0.8",1)</f>
        <v/>
      </c>
      <c r="B463" s="7" t="inlineStr">
        <is>
          <t>Swiftly Tech Racerback Tank Top 2.0 *Hip Length</t>
        </is>
      </c>
      <c r="C463" s="7" t="inlineStr">
        <is>
          <t>117225849</t>
        </is>
      </c>
      <c r="D463" s="7" t="inlineStr">
        <is>
          <t>117225849-white/white</t>
        </is>
      </c>
      <c r="E463" s="7" t="inlineStr">
        <is>
          <t>Swiftly Tech Scoopneck Tank 2.0 SLTE/WHT 0</t>
        </is>
      </c>
      <c r="F463" s="7" t="inlineStr">
        <is>
          <t>$39.00</t>
        </is>
      </c>
      <c r="G463" s="7" t="inlineStr">
        <is>
          <t>$19.50</t>
        </is>
      </c>
      <c r="H463" s="7" t="inlineStr">
        <is>
          <t>White/White</t>
        </is>
      </c>
      <c r="I463" s="7">
        <f>IMAGE("https://images.lululemon.com/is/image/lululemon/12826",1)</f>
        <v/>
      </c>
      <c r="J463" s="7" t="inlineStr">
        <is>
          <t>16</t>
        </is>
      </c>
      <c r="K463" s="7" t="inlineStr">
        <is>
          <t>41/8715</t>
        </is>
      </c>
      <c r="L463" s="7" t="inlineStr">
        <is>
          <t>Yes</t>
        </is>
      </c>
      <c r="M463" s="7" t="inlineStr">
        <is>
          <t>Go ahead, get sweaty. The Swiftly collection is all about high-performing fabric that seamlessly adapts to you and your workout.</t>
        </is>
      </c>
      <c r="N463" s="7" t="inlineStr">
        <is>
          <t>Swiftly-Tech-Racerback-2</t>
        </is>
      </c>
      <c r="O463" s="7" t="inlineStr"/>
    </row>
    <row r="464" ht="80" customHeight="1">
      <c r="A464" s="4">
        <f>IMAGE("https://images.lululemon.com/is/image/lululemon/LW1ETYS_032664_1?wid=320&amp;op_usm=0.8",1)</f>
        <v/>
      </c>
      <c r="B464" s="4" t="inlineStr">
        <is>
          <t>Swiftly Tech Racerback Tank Top 2.0 *Hip Length</t>
        </is>
      </c>
      <c r="C464" s="4" t="inlineStr">
        <is>
          <t>117225853</t>
        </is>
      </c>
      <c r="D464" s="4" t="inlineStr">
        <is>
          <t>117225853-white/white</t>
        </is>
      </c>
      <c r="E464" s="4" t="inlineStr">
        <is>
          <t>Swiftly Tech Scoopneck Tank 2.0 SLTE/WHT 0</t>
        </is>
      </c>
      <c r="F464" s="4" t="inlineStr">
        <is>
          <t>$39.00</t>
        </is>
      </c>
      <c r="G464" s="4" t="inlineStr">
        <is>
          <t>$19.50</t>
        </is>
      </c>
      <c r="H464" s="4" t="inlineStr">
        <is>
          <t>White/White</t>
        </is>
      </c>
      <c r="I464" s="4">
        <f>IMAGE("https://images.lululemon.com/is/image/lululemon/12826",1)</f>
        <v/>
      </c>
      <c r="J464" s="4" t="inlineStr">
        <is>
          <t>18</t>
        </is>
      </c>
      <c r="K464" s="4" t="inlineStr">
        <is>
          <t>25/8715</t>
        </is>
      </c>
      <c r="L464" s="4" t="inlineStr">
        <is>
          <t>Yes</t>
        </is>
      </c>
      <c r="M464" s="4" t="inlineStr">
        <is>
          <t>Go ahead, get sweaty. The Swiftly collection is all about high-performing fabric that seamlessly adapts to you and your workout.</t>
        </is>
      </c>
      <c r="N464" s="4" t="inlineStr">
        <is>
          <t>Swiftly-Tech-Racerback-2</t>
        </is>
      </c>
      <c r="O464" s="4" t="inlineStr"/>
    </row>
    <row r="465" ht="80" customHeight="1">
      <c r="A465" s="7">
        <f>IMAGE("https://images.lululemon.com/is/image/lululemon/LW1ETYS_032664_1?wid=320&amp;op_usm=0.8",1)</f>
        <v/>
      </c>
      <c r="B465" s="7" t="inlineStr">
        <is>
          <t>Swiftly Tech Racerback Tank Top 2.0 *Hip Length</t>
        </is>
      </c>
      <c r="C465" s="7" t="inlineStr">
        <is>
          <t>123175982</t>
        </is>
      </c>
      <c r="D465" s="7" t="inlineStr">
        <is>
          <t>123175982-white/white</t>
        </is>
      </c>
      <c r="E465" s="7" t="inlineStr">
        <is>
          <t>Swiftly Tech Scoopneck Tank 2.0 SLTE/WHT 0</t>
        </is>
      </c>
      <c r="F465" s="7" t="inlineStr">
        <is>
          <t>$39.00</t>
        </is>
      </c>
      <c r="G465" s="7" t="inlineStr">
        <is>
          <t>$19.50</t>
        </is>
      </c>
      <c r="H465" s="7" t="inlineStr">
        <is>
          <t>White/White</t>
        </is>
      </c>
      <c r="I465" s="7">
        <f>IMAGE("https://images.lululemon.com/is/image/lululemon/12826",1)</f>
        <v/>
      </c>
      <c r="J465" s="7" t="inlineStr">
        <is>
          <t>20</t>
        </is>
      </c>
      <c r="K465" s="7" t="inlineStr">
        <is>
          <t>15/8715</t>
        </is>
      </c>
      <c r="L465" s="7" t="inlineStr">
        <is>
          <t>Yes</t>
        </is>
      </c>
      <c r="M465" s="7" t="inlineStr">
        <is>
          <t>Go ahead, get sweaty. The Swiftly collection is all about high-performing fabric that seamlessly adapts to you and your workout.</t>
        </is>
      </c>
      <c r="N465" s="7" t="inlineStr">
        <is>
          <t>Swiftly-Tech-Racerback-2</t>
        </is>
      </c>
      <c r="O465" s="7" t="inlineStr"/>
    </row>
    <row r="466" ht="80" customHeight="1">
      <c r="A466" s="4">
        <f>IMAGE("https://images.lululemon.com/is/image/lululemon/LW1ETYS_032664_1?wid=320&amp;op_usm=0.8",1)</f>
        <v/>
      </c>
      <c r="B466" s="4" t="inlineStr">
        <is>
          <t>Swiftly Tech Racerback Tank Top 2.0 *Hip Length</t>
        </is>
      </c>
      <c r="C466" s="4" t="inlineStr">
        <is>
          <t>153800157</t>
        </is>
      </c>
      <c r="D466" s="4" t="inlineStr">
        <is>
          <t>153800157-truenavy/truenavy</t>
        </is>
      </c>
      <c r="E466" s="4" t="inlineStr">
        <is>
          <t>Swiftly Tech Scoopneck Tank 2.0 SLTE/WHT 0</t>
        </is>
      </c>
      <c r="F466" s="4" t="inlineStr">
        <is>
          <t>$39.00</t>
        </is>
      </c>
      <c r="G466" s="4" t="inlineStr">
        <is>
          <t>$19.50</t>
        </is>
      </c>
      <c r="H466" s="4" t="inlineStr">
        <is>
          <t>True Navy/True Navy</t>
        </is>
      </c>
      <c r="I466" s="4">
        <f>IMAGE("https://images.lululemon.com/is/image/lululemon/32664",1)</f>
        <v/>
      </c>
      <c r="J466" s="4" t="inlineStr">
        <is>
          <t>2</t>
        </is>
      </c>
      <c r="K466" s="4" t="inlineStr">
        <is>
          <t>6/8715</t>
        </is>
      </c>
      <c r="L466" s="4" t="inlineStr">
        <is>
          <t>Yes</t>
        </is>
      </c>
      <c r="M466" s="4" t="inlineStr">
        <is>
          <t>Go ahead, get sweaty. The Swiftly collection is all about high-performing fabric that seamlessly adapts to you and your workout.</t>
        </is>
      </c>
      <c r="N466" s="4" t="inlineStr">
        <is>
          <t>Swiftly-Tech-Racerback-2</t>
        </is>
      </c>
      <c r="O466" s="4" t="inlineStr"/>
    </row>
    <row r="467" ht="80" customHeight="1">
      <c r="A467" s="7">
        <f>IMAGE("https://images.lululemon.com/is/image/lululemon/LW1ETYS_032664_1?wid=320&amp;op_usm=0.8",1)</f>
        <v/>
      </c>
      <c r="B467" s="7" t="inlineStr">
        <is>
          <t>Swiftly Tech Racerback Tank Top 2.0 *Hip Length</t>
        </is>
      </c>
      <c r="C467" s="7" t="inlineStr">
        <is>
          <t>122851506</t>
        </is>
      </c>
      <c r="D467" s="7" t="inlineStr">
        <is>
          <t>122851506-truenavy/truenavy</t>
        </is>
      </c>
      <c r="E467" s="7" t="inlineStr">
        <is>
          <t>Swiftly Tech Scoopneck Tank 2.0 SLTE/WHT 0</t>
        </is>
      </c>
      <c r="F467" s="7" t="inlineStr">
        <is>
          <t>$39.00</t>
        </is>
      </c>
      <c r="G467" s="7" t="inlineStr">
        <is>
          <t>$19.50</t>
        </is>
      </c>
      <c r="H467" s="7" t="inlineStr">
        <is>
          <t>True Navy/True Navy</t>
        </is>
      </c>
      <c r="I467" s="7">
        <f>IMAGE("https://images.lululemon.com/is/image/lululemon/32664",1)</f>
        <v/>
      </c>
      <c r="J467" s="7" t="inlineStr">
        <is>
          <t>4</t>
        </is>
      </c>
      <c r="K467" s="7" t="inlineStr">
        <is>
          <t>117/8715</t>
        </is>
      </c>
      <c r="L467" s="7" t="inlineStr">
        <is>
          <t>Yes</t>
        </is>
      </c>
      <c r="M467" s="7" t="inlineStr">
        <is>
          <t>Go ahead, get sweaty. The Swiftly collection is all about high-performing fabric that seamlessly adapts to you and your workout.</t>
        </is>
      </c>
      <c r="N467" s="7" t="inlineStr">
        <is>
          <t>Swiftly-Tech-Racerback-2</t>
        </is>
      </c>
      <c r="O467" s="7" t="inlineStr"/>
    </row>
    <row r="468" ht="80" customHeight="1">
      <c r="A468" s="4">
        <f>IMAGE("https://images.lululemon.com/is/image/lululemon/LW1ETYS_032664_1?wid=320&amp;op_usm=0.8",1)</f>
        <v/>
      </c>
      <c r="B468" s="4" t="inlineStr">
        <is>
          <t>Swiftly Tech Racerback Tank Top 2.0 *Hip Length</t>
        </is>
      </c>
      <c r="C468" s="4" t="inlineStr">
        <is>
          <t>122851510</t>
        </is>
      </c>
      <c r="D468" s="4" t="inlineStr">
        <is>
          <t>122851510-truenavy/truenavy</t>
        </is>
      </c>
      <c r="E468" s="4" t="inlineStr">
        <is>
          <t>Swiftly Tech Scoopneck Tank 2.0 SLTE/WHT 0</t>
        </is>
      </c>
      <c r="F468" s="4" t="inlineStr">
        <is>
          <t>$39.00</t>
        </is>
      </c>
      <c r="G468" s="4" t="inlineStr">
        <is>
          <t>$19.50</t>
        </is>
      </c>
      <c r="H468" s="4" t="inlineStr">
        <is>
          <t>True Navy/True Navy</t>
        </is>
      </c>
      <c r="I468" s="4">
        <f>IMAGE("https://images.lululemon.com/is/image/lululemon/32664",1)</f>
        <v/>
      </c>
      <c r="J468" s="4" t="inlineStr">
        <is>
          <t>6</t>
        </is>
      </c>
      <c r="K468" s="4" t="inlineStr">
        <is>
          <t>353/8715</t>
        </is>
      </c>
      <c r="L468" s="4" t="inlineStr">
        <is>
          <t>Yes</t>
        </is>
      </c>
      <c r="M468" s="4" t="inlineStr">
        <is>
          <t>Go ahead, get sweaty. The Swiftly collection is all about high-performing fabric that seamlessly adapts to you and your workout.</t>
        </is>
      </c>
      <c r="N468" s="4" t="inlineStr">
        <is>
          <t>Swiftly-Tech-Racerback-2</t>
        </is>
      </c>
      <c r="O468" s="4" t="inlineStr"/>
    </row>
    <row r="469" ht="80" customHeight="1">
      <c r="A469" s="7">
        <f>IMAGE("https://images.lululemon.com/is/image/lululemon/LW1ETYS_032664_1?wid=320&amp;op_usm=0.8",1)</f>
        <v/>
      </c>
      <c r="B469" s="7" t="inlineStr">
        <is>
          <t>Swiftly Tech Racerback Tank Top 2.0 *Hip Length</t>
        </is>
      </c>
      <c r="C469" s="7" t="inlineStr">
        <is>
          <t>122851513</t>
        </is>
      </c>
      <c r="D469" s="7" t="inlineStr">
        <is>
          <t>122851513-truenavy/truenavy</t>
        </is>
      </c>
      <c r="E469" s="7" t="inlineStr">
        <is>
          <t>Swiftly Tech Scoopneck Tank 2.0 SLTE/WHT 0</t>
        </is>
      </c>
      <c r="F469" s="7" t="inlineStr">
        <is>
          <t>$39.00</t>
        </is>
      </c>
      <c r="G469" s="7" t="inlineStr">
        <is>
          <t>$19.50</t>
        </is>
      </c>
      <c r="H469" s="7" t="inlineStr">
        <is>
          <t>True Navy/True Navy</t>
        </is>
      </c>
      <c r="I469" s="7">
        <f>IMAGE("https://images.lululemon.com/is/image/lululemon/32664",1)</f>
        <v/>
      </c>
      <c r="J469" s="7" t="inlineStr">
        <is>
          <t>8</t>
        </is>
      </c>
      <c r="K469" s="7" t="inlineStr">
        <is>
          <t>492/8715</t>
        </is>
      </c>
      <c r="L469" s="7" t="inlineStr">
        <is>
          <t>Yes</t>
        </is>
      </c>
      <c r="M469" s="7" t="inlineStr">
        <is>
          <t>Go ahead, get sweaty. The Swiftly collection is all about high-performing fabric that seamlessly adapts to you and your workout.</t>
        </is>
      </c>
      <c r="N469" s="7" t="inlineStr">
        <is>
          <t>Swiftly-Tech-Racerback-2</t>
        </is>
      </c>
      <c r="O469" s="7" t="inlineStr"/>
    </row>
    <row r="470" ht="80" customHeight="1">
      <c r="A470" s="4">
        <f>IMAGE("https://images.lululemon.com/is/image/lululemon/LW1ETYS_032664_1?wid=320&amp;op_usm=0.8",1)</f>
        <v/>
      </c>
      <c r="B470" s="4" t="inlineStr">
        <is>
          <t>Swiftly Tech Racerback Tank Top 2.0 *Hip Length</t>
        </is>
      </c>
      <c r="C470" s="4" t="inlineStr">
        <is>
          <t>122851433</t>
        </is>
      </c>
      <c r="D470" s="4" t="inlineStr">
        <is>
          <t>122851433-truenavy/truenavy</t>
        </is>
      </c>
      <c r="E470" s="4" t="inlineStr">
        <is>
          <t>Swiftly Tech Scoopneck Tank 2.0 SLTE/WHT 0</t>
        </is>
      </c>
      <c r="F470" s="4" t="inlineStr">
        <is>
          <t>$39.00</t>
        </is>
      </c>
      <c r="G470" s="4" t="inlineStr">
        <is>
          <t>$19.50</t>
        </is>
      </c>
      <c r="H470" s="4" t="inlineStr">
        <is>
          <t>True Navy/True Navy</t>
        </is>
      </c>
      <c r="I470" s="4">
        <f>IMAGE("https://images.lululemon.com/is/image/lululemon/32664",1)</f>
        <v/>
      </c>
      <c r="J470" s="4" t="inlineStr">
        <is>
          <t>10</t>
        </is>
      </c>
      <c r="K470" s="4" t="inlineStr">
        <is>
          <t>341/8715</t>
        </is>
      </c>
      <c r="L470" s="4" t="inlineStr">
        <is>
          <t>Yes</t>
        </is>
      </c>
      <c r="M470" s="4" t="inlineStr">
        <is>
          <t>Go ahead, get sweaty. The Swiftly collection is all about high-performing fabric that seamlessly adapts to you and your workout.</t>
        </is>
      </c>
      <c r="N470" s="4" t="inlineStr">
        <is>
          <t>Swiftly-Tech-Racerback-2</t>
        </is>
      </c>
      <c r="O470" s="4" t="inlineStr"/>
    </row>
    <row r="471" ht="80" customHeight="1">
      <c r="A471" s="7">
        <f>IMAGE("https://images.lululemon.com/is/image/lululemon/LW1ETYS_032664_1?wid=320&amp;op_usm=0.8",1)</f>
        <v/>
      </c>
      <c r="B471" s="7" t="inlineStr">
        <is>
          <t>Swiftly Tech Racerback Tank Top 2.0 *Hip Length</t>
        </is>
      </c>
      <c r="C471" s="7" t="inlineStr">
        <is>
          <t>153800153</t>
        </is>
      </c>
      <c r="D471" s="7" t="inlineStr">
        <is>
          <t>153800153-truenavy/truenavy</t>
        </is>
      </c>
      <c r="E471" s="7" t="inlineStr">
        <is>
          <t>Swiftly Tech Scoopneck Tank 2.0 SLTE/WHT 0</t>
        </is>
      </c>
      <c r="F471" s="7" t="inlineStr">
        <is>
          <t>$39.00</t>
        </is>
      </c>
      <c r="G471" s="7" t="inlineStr">
        <is>
          <t>$19.50</t>
        </is>
      </c>
      <c r="H471" s="7" t="inlineStr">
        <is>
          <t>True Navy/True Navy</t>
        </is>
      </c>
      <c r="I471" s="7">
        <f>IMAGE("https://images.lululemon.com/is/image/lululemon/32664",1)</f>
        <v/>
      </c>
      <c r="J471" s="7" t="inlineStr">
        <is>
          <t>12</t>
        </is>
      </c>
      <c r="K471" s="7" t="inlineStr">
        <is>
          <t>204/8715</t>
        </is>
      </c>
      <c r="L471" s="7" t="inlineStr">
        <is>
          <t>Yes</t>
        </is>
      </c>
      <c r="M471" s="7" t="inlineStr">
        <is>
          <t>Go ahead, get sweaty. The Swiftly collection is all about high-performing fabric that seamlessly adapts to you and your workout.</t>
        </is>
      </c>
      <c r="N471" s="7" t="inlineStr">
        <is>
          <t>Swiftly-Tech-Racerback-2</t>
        </is>
      </c>
      <c r="O471" s="7" t="inlineStr"/>
    </row>
    <row r="472" ht="80" customHeight="1">
      <c r="A472" s="4">
        <f>IMAGE("https://images.lululemon.com/is/image/lululemon/LW1ETYS_032664_1?wid=320&amp;op_usm=0.8",1)</f>
        <v/>
      </c>
      <c r="B472" s="4" t="inlineStr">
        <is>
          <t>Swiftly Tech Racerback Tank Top 2.0 *Hip Length</t>
        </is>
      </c>
      <c r="C472" s="4" t="inlineStr">
        <is>
          <t>153800154</t>
        </is>
      </c>
      <c r="D472" s="4" t="inlineStr">
        <is>
          <t>153800154-truenavy/truenavy</t>
        </is>
      </c>
      <c r="E472" s="4" t="inlineStr">
        <is>
          <t>Swiftly Tech Scoopneck Tank 2.0 SLTE/WHT 0</t>
        </is>
      </c>
      <c r="F472" s="4" t="inlineStr">
        <is>
          <t>$39.00</t>
        </is>
      </c>
      <c r="G472" s="4" t="inlineStr">
        <is>
          <t>$19.50</t>
        </is>
      </c>
      <c r="H472" s="4" t="inlineStr">
        <is>
          <t>True Navy/True Navy</t>
        </is>
      </c>
      <c r="I472" s="4">
        <f>IMAGE("https://images.lululemon.com/is/image/lululemon/32664",1)</f>
        <v/>
      </c>
      <c r="J472" s="4" t="inlineStr">
        <is>
          <t>14</t>
        </is>
      </c>
      <c r="K472" s="4" t="inlineStr">
        <is>
          <t>110/8715</t>
        </is>
      </c>
      <c r="L472" s="4" t="inlineStr">
        <is>
          <t>Yes</t>
        </is>
      </c>
      <c r="M472" s="4" t="inlineStr">
        <is>
          <t>Go ahead, get sweaty. The Swiftly collection is all about high-performing fabric that seamlessly adapts to you and your workout.</t>
        </is>
      </c>
      <c r="N472" s="4" t="inlineStr">
        <is>
          <t>Swiftly-Tech-Racerback-2</t>
        </is>
      </c>
      <c r="O472" s="4" t="inlineStr"/>
    </row>
    <row r="473" ht="80" customHeight="1">
      <c r="A473" s="7">
        <f>IMAGE("https://images.lululemon.com/is/image/lululemon/LW1ETYS_032664_1?wid=320&amp;op_usm=0.8",1)</f>
        <v/>
      </c>
      <c r="B473" s="7" t="inlineStr">
        <is>
          <t>Swiftly Tech Racerback Tank Top 2.0 *Hip Length</t>
        </is>
      </c>
      <c r="C473" s="7" t="inlineStr">
        <is>
          <t>153800155</t>
        </is>
      </c>
      <c r="D473" s="7" t="inlineStr">
        <is>
          <t>153800155-truenavy/truenavy</t>
        </is>
      </c>
      <c r="E473" s="7" t="inlineStr">
        <is>
          <t>Swiftly Tech Scoopneck Tank 2.0 SLTE/WHT 0</t>
        </is>
      </c>
      <c r="F473" s="7" t="inlineStr">
        <is>
          <t>$39.00</t>
        </is>
      </c>
      <c r="G473" s="7" t="inlineStr">
        <is>
          <t>$19.50</t>
        </is>
      </c>
      <c r="H473" s="7" t="inlineStr">
        <is>
          <t>True Navy/True Navy</t>
        </is>
      </c>
      <c r="I473" s="7">
        <f>IMAGE("https://images.lululemon.com/is/image/lululemon/32664",1)</f>
        <v/>
      </c>
      <c r="J473" s="7" t="inlineStr">
        <is>
          <t>16</t>
        </is>
      </c>
      <c r="K473" s="7" t="inlineStr">
        <is>
          <t>70/8715</t>
        </is>
      </c>
      <c r="L473" s="7" t="inlineStr">
        <is>
          <t>Yes</t>
        </is>
      </c>
      <c r="M473" s="7" t="inlineStr">
        <is>
          <t>Go ahead, get sweaty. The Swiftly collection is all about high-performing fabric that seamlessly adapts to you and your workout.</t>
        </is>
      </c>
      <c r="N473" s="7" t="inlineStr">
        <is>
          <t>Swiftly-Tech-Racerback-2</t>
        </is>
      </c>
      <c r="O473" s="7" t="inlineStr"/>
    </row>
    <row r="474" ht="80" customHeight="1">
      <c r="A474" s="4">
        <f>IMAGE("https://images.lululemon.com/is/image/lululemon/LW1ETYS_032664_1?wid=320&amp;op_usm=0.8",1)</f>
        <v/>
      </c>
      <c r="B474" s="4" t="inlineStr">
        <is>
          <t>Swiftly Tech Racerback Tank Top 2.0 *Hip Length</t>
        </is>
      </c>
      <c r="C474" s="4" t="inlineStr">
        <is>
          <t>153800156</t>
        </is>
      </c>
      <c r="D474" s="4" t="inlineStr">
        <is>
          <t>153800156-truenavy/truenavy</t>
        </is>
      </c>
      <c r="E474" s="4" t="inlineStr">
        <is>
          <t>Swiftly Tech Scoopneck Tank 2.0 SLTE/WHT 0</t>
        </is>
      </c>
      <c r="F474" s="4" t="inlineStr">
        <is>
          <t>$39.00</t>
        </is>
      </c>
      <c r="G474" s="4" t="inlineStr">
        <is>
          <t>$19.50</t>
        </is>
      </c>
      <c r="H474" s="4" t="inlineStr">
        <is>
          <t>True Navy/True Navy</t>
        </is>
      </c>
      <c r="I474" s="4">
        <f>IMAGE("https://images.lululemon.com/is/image/lululemon/32664",1)</f>
        <v/>
      </c>
      <c r="J474" s="4" t="inlineStr">
        <is>
          <t>18</t>
        </is>
      </c>
      <c r="K474" s="4" t="inlineStr">
        <is>
          <t>55/8715</t>
        </is>
      </c>
      <c r="L474" s="4" t="inlineStr">
        <is>
          <t>Yes</t>
        </is>
      </c>
      <c r="M474" s="4" t="inlineStr">
        <is>
          <t>Go ahead, get sweaty. The Swiftly collection is all about high-performing fabric that seamlessly adapts to you and your workout.</t>
        </is>
      </c>
      <c r="N474" s="4" t="inlineStr">
        <is>
          <t>Swiftly-Tech-Racerback-2</t>
        </is>
      </c>
      <c r="O474" s="4" t="inlineStr"/>
    </row>
    <row r="475" ht="80" customHeight="1">
      <c r="A475" s="7">
        <f>IMAGE("https://images.lululemon.com/is/image/lululemon/LW1ETYS_032664_1?wid=320&amp;op_usm=0.8",1)</f>
        <v/>
      </c>
      <c r="B475" s="7" t="inlineStr">
        <is>
          <t>Swiftly Tech Racerback Tank Top 2.0 *Hip Length</t>
        </is>
      </c>
      <c r="C475" s="7" t="inlineStr">
        <is>
          <t>153800158</t>
        </is>
      </c>
      <c r="D475" s="7" t="inlineStr">
        <is>
          <t>153800158-truenavy/truenavy</t>
        </is>
      </c>
      <c r="E475" s="7" t="inlineStr">
        <is>
          <t>Swiftly Tech Scoopneck Tank 2.0 SLTE/WHT 0</t>
        </is>
      </c>
      <c r="F475" s="7" t="inlineStr">
        <is>
          <t>$39.00</t>
        </is>
      </c>
      <c r="G475" s="7" t="inlineStr">
        <is>
          <t>$19.50</t>
        </is>
      </c>
      <c r="H475" s="7" t="inlineStr">
        <is>
          <t>True Navy/True Navy</t>
        </is>
      </c>
      <c r="I475" s="7">
        <f>IMAGE("https://images.lululemon.com/is/image/lululemon/32664",1)</f>
        <v/>
      </c>
      <c r="J475" s="7" t="inlineStr">
        <is>
          <t>20</t>
        </is>
      </c>
      <c r="K475" s="7" t="inlineStr">
        <is>
          <t>29/8715</t>
        </is>
      </c>
      <c r="L475" s="7" t="inlineStr">
        <is>
          <t>Yes</t>
        </is>
      </c>
      <c r="M475" s="7" t="inlineStr">
        <is>
          <t>Go ahead, get sweaty. The Swiftly collection is all about high-performing fabric that seamlessly adapts to you and your workout.</t>
        </is>
      </c>
      <c r="N475" s="7" t="inlineStr">
        <is>
          <t>Swiftly-Tech-Racerback-2</t>
        </is>
      </c>
      <c r="O475" s="7" t="inlineStr"/>
    </row>
    <row r="476" ht="80" customHeight="1">
      <c r="A476" s="6">
        <f>IMAGE("https://images.lululemon.com/is/image/lululemon/LW1ETYS_032664_1?wid=320&amp;op_usm=0.8",1)</f>
        <v/>
      </c>
      <c r="B476" s="6" t="inlineStr">
        <is>
          <t>Swiftly Tech Racerback Tank Top 2.0 *Hip Length</t>
        </is>
      </c>
      <c r="C476" s="6" t="inlineStr">
        <is>
          <t>156751551</t>
        </is>
      </c>
      <c r="D476" s="6" t="inlineStr">
        <is>
          <t>156751551-pinkfrosting/pinkfrosting</t>
        </is>
      </c>
      <c r="E476" s="6" t="inlineStr">
        <is>
          <t>Swiftly Tech Scoopneck Tank 2.0 SLTE/WHT 0</t>
        </is>
      </c>
      <c r="F476" s="6" t="inlineStr">
        <is>
          <t>$39.00</t>
        </is>
      </c>
      <c r="G476" s="6" t="inlineStr">
        <is>
          <t>$19.50</t>
        </is>
      </c>
      <c r="H476" s="6" t="inlineStr">
        <is>
          <t>Pink Frosting/Pink Frosting</t>
        </is>
      </c>
      <c r="I476" s="6">
        <f>IMAGE("https://images.lululemon.com/is/image/lululemon/71174",1)</f>
        <v/>
      </c>
      <c r="J476" s="6" t="inlineStr">
        <is>
          <t>8</t>
        </is>
      </c>
      <c r="K476" s="6" t="inlineStr">
        <is>
          <t>38/8715</t>
        </is>
      </c>
      <c r="L476" s="6" t="inlineStr">
        <is>
          <t>Yes</t>
        </is>
      </c>
      <c r="M476" s="6" t="inlineStr">
        <is>
          <t>Go ahead, get sweaty. The Swiftly collection is all about high-performing fabric that seamlessly adapts to you and your workout.</t>
        </is>
      </c>
      <c r="N476" s="6" t="inlineStr">
        <is>
          <t>Swiftly-Tech-Racerback-2</t>
        </is>
      </c>
      <c r="O476" s="6" t="inlineStr"/>
    </row>
    <row r="477" ht="80" customHeight="1">
      <c r="A477" s="7">
        <f>IMAGE("https://images.lululemon.com/is/image/lululemon/LW2AUYS_0001_1?wid=320&amp;op_usm=0.8",1)</f>
        <v/>
      </c>
      <c r="B477" s="7" t="inlineStr">
        <is>
          <t>lululemon Energy Longline Bra *Medium Support, B–D Cups</t>
        </is>
      </c>
      <c r="C477" s="7" t="inlineStr">
        <is>
          <t>153026996</t>
        </is>
      </c>
      <c r="D477" s="7" t="inlineStr">
        <is>
          <t>153026996-black</t>
        </is>
      </c>
      <c r="E477" s="7" t="inlineStr">
        <is>
          <t>lululemon Energy Longline Bra BLK 2</t>
        </is>
      </c>
      <c r="F477" s="7" t="inlineStr">
        <is>
          <t>$68.00</t>
        </is>
      </c>
      <c r="G477" s="7" t="inlineStr">
        <is>
          <t>$34.00</t>
        </is>
      </c>
      <c r="H477" s="7" t="inlineStr">
        <is>
          <t>Black</t>
        </is>
      </c>
      <c r="I477" s="7">
        <f>IMAGE("https://images.lululemon.com/is/image/lululemon/0001",1)</f>
        <v/>
      </c>
      <c r="J477" s="7" t="inlineStr">
        <is>
          <t>2</t>
        </is>
      </c>
      <c r="K477" s="7" t="inlineStr">
        <is>
          <t>13/1596</t>
        </is>
      </c>
      <c r="L477" s="7" t="inlineStr">
        <is>
          <t>Yes</t>
        </is>
      </c>
      <c r="M477" s="7" t="inlineStr">
        <is>
          <t>Voted most likely to be worn multiple times a week. This all-sport bra is a favourite for comfort and versatility.</t>
        </is>
      </c>
      <c r="N477" s="7" t="inlineStr">
        <is>
          <t>Energy-Bra-Long-Line</t>
        </is>
      </c>
      <c r="O477" s="7" t="inlineStr">
        <is>
          <t>Strappy Bras, Longline Bras, Racerback Bras</t>
        </is>
      </c>
    </row>
    <row r="478" ht="80" customHeight="1">
      <c r="A478" s="4">
        <f>IMAGE("https://images.lululemon.com/is/image/lululemon/LW2AUYS_0001_1?wid=320&amp;op_usm=0.8",1)</f>
        <v/>
      </c>
      <c r="B478" s="4" t="inlineStr">
        <is>
          <t>lululemon Energy Longline Bra *Medium Support, B–D Cups</t>
        </is>
      </c>
      <c r="C478" s="4" t="inlineStr">
        <is>
          <t>3802275</t>
        </is>
      </c>
      <c r="D478" s="4" t="inlineStr">
        <is>
          <t>3802275-black</t>
        </is>
      </c>
      <c r="E478" s="4" t="inlineStr">
        <is>
          <t>lululemon Energy Longline Bra BLK 2</t>
        </is>
      </c>
      <c r="F478" s="4" t="inlineStr">
        <is>
          <t>$68.00</t>
        </is>
      </c>
      <c r="G478" s="4" t="inlineStr">
        <is>
          <t>$34.00</t>
        </is>
      </c>
      <c r="H478" s="4" t="inlineStr">
        <is>
          <t>Black</t>
        </is>
      </c>
      <c r="I478" s="4">
        <f>IMAGE("https://images.lululemon.com/is/image/lululemon/0001",1)</f>
        <v/>
      </c>
      <c r="J478" s="4" t="inlineStr">
        <is>
          <t>4</t>
        </is>
      </c>
      <c r="K478" s="4" t="inlineStr">
        <is>
          <t>595/1596</t>
        </is>
      </c>
      <c r="L478" s="4" t="inlineStr">
        <is>
          <t>Yes</t>
        </is>
      </c>
      <c r="M478" s="4" t="inlineStr">
        <is>
          <t>Voted most likely to be worn multiple times a week. This all-sport bra is a favourite for comfort and versatility.</t>
        </is>
      </c>
      <c r="N478" s="4" t="inlineStr">
        <is>
          <t>Energy-Bra-Long-Line</t>
        </is>
      </c>
      <c r="O478" s="4" t="inlineStr">
        <is>
          <t>Strappy Bras, Longline Bras, Racerback Bras</t>
        </is>
      </c>
    </row>
    <row r="479" ht="80" customHeight="1">
      <c r="A479" s="7">
        <f>IMAGE("https://images.lululemon.com/is/image/lululemon/LW2AUYS_0001_1?wid=320&amp;op_usm=0.8",1)</f>
        <v/>
      </c>
      <c r="B479" s="7" t="inlineStr">
        <is>
          <t>lululemon Energy Longline Bra *Medium Support, B–D Cups</t>
        </is>
      </c>
      <c r="C479" s="7" t="inlineStr">
        <is>
          <t>3802276</t>
        </is>
      </c>
      <c r="D479" s="7" t="inlineStr">
        <is>
          <t>3802276-black</t>
        </is>
      </c>
      <c r="E479" s="7" t="inlineStr">
        <is>
          <t>lululemon Energy Longline Bra BLK 2</t>
        </is>
      </c>
      <c r="F479" s="7" t="inlineStr">
        <is>
          <t>$68.00</t>
        </is>
      </c>
      <c r="G479" s="7" t="inlineStr">
        <is>
          <t>$34.00</t>
        </is>
      </c>
      <c r="H479" s="7" t="inlineStr">
        <is>
          <t>Black</t>
        </is>
      </c>
      <c r="I479" s="7">
        <f>IMAGE("https://images.lululemon.com/is/image/lululemon/0001",1)</f>
        <v/>
      </c>
      <c r="J479" s="7" t="inlineStr">
        <is>
          <t>6</t>
        </is>
      </c>
      <c r="K479" s="7" t="inlineStr">
        <is>
          <t>621/1596</t>
        </is>
      </c>
      <c r="L479" s="7" t="inlineStr">
        <is>
          <t>Yes</t>
        </is>
      </c>
      <c r="M479" s="7" t="inlineStr">
        <is>
          <t>Voted most likely to be worn multiple times a week. This all-sport bra is a favourite for comfort and versatility.</t>
        </is>
      </c>
      <c r="N479" s="7" t="inlineStr">
        <is>
          <t>Energy-Bra-Long-Line</t>
        </is>
      </c>
      <c r="O479" s="7" t="inlineStr">
        <is>
          <t>Strappy Bras, Longline Bras, Racerback Bras</t>
        </is>
      </c>
    </row>
    <row r="480" ht="80" customHeight="1">
      <c r="A480" s="6">
        <f>IMAGE("https://images.lululemon.com/is/image/lululemon/LW2AUYS_0001_1?wid=320&amp;op_usm=0.8",1)</f>
        <v/>
      </c>
      <c r="B480" s="6" t="inlineStr">
        <is>
          <t>lululemon Energy Longline Bra *Medium Support, B–D Cups</t>
        </is>
      </c>
      <c r="C480" s="6" t="inlineStr">
        <is>
          <t>3802277</t>
        </is>
      </c>
      <c r="D480" s="6" t="inlineStr">
        <is>
          <t>3802277-black</t>
        </is>
      </c>
      <c r="E480" s="6" t="inlineStr">
        <is>
          <t>lululemon Energy Longline Bra BLK 2</t>
        </is>
      </c>
      <c r="F480" s="6" t="inlineStr">
        <is>
          <t>$68.00</t>
        </is>
      </c>
      <c r="G480" s="6" t="inlineStr">
        <is>
          <t>$34.00</t>
        </is>
      </c>
      <c r="H480" s="6" t="inlineStr">
        <is>
          <t>Black</t>
        </is>
      </c>
      <c r="I480" s="6">
        <f>IMAGE("https://images.lululemon.com/is/image/lululemon/0001",1)</f>
        <v/>
      </c>
      <c r="J480" s="6" t="inlineStr">
        <is>
          <t>8</t>
        </is>
      </c>
      <c r="K480" s="6" t="inlineStr">
        <is>
          <t>367/1596</t>
        </is>
      </c>
      <c r="L480" s="6" t="inlineStr">
        <is>
          <t>Yes</t>
        </is>
      </c>
      <c r="M480" s="6" t="inlineStr">
        <is>
          <t>Voted most likely to be worn multiple times a week. This all-sport bra is a favourite for comfort and versatility.</t>
        </is>
      </c>
      <c r="N480" s="6" t="inlineStr">
        <is>
          <t>Energy-Bra-Long-Line</t>
        </is>
      </c>
      <c r="O480" s="6" t="inlineStr">
        <is>
          <t>Strappy Bras, Longline Bras, Racerback Bras</t>
        </is>
      </c>
    </row>
    <row r="481" ht="80" customHeight="1">
      <c r="A481" s="7">
        <f>IMAGE("https://images.lululemon.com/is/image/lululemon/LW1EWXS_041850_1?wid=320&amp;op_usm=0.8",1)</f>
        <v/>
      </c>
      <c r="B481" s="7" t="inlineStr">
        <is>
          <t>Softy Suedey Crewneck Cropped Tank Top</t>
        </is>
      </c>
      <c r="C481" s="7" t="inlineStr">
        <is>
          <t>157717663</t>
        </is>
      </c>
      <c r="D481" s="7" t="inlineStr">
        <is>
          <t>157717663-palmdeco/palmdeco</t>
        </is>
      </c>
      <c r="E481" s="7" t="inlineStr">
        <is>
          <t>Softy Suedey Crewneck Cropped Tank 12GI 2</t>
        </is>
      </c>
      <c r="F481" s="7" t="inlineStr">
        <is>
          <t>$58.00</t>
        </is>
      </c>
      <c r="G481" s="7" t="inlineStr">
        <is>
          <t>$29.00</t>
        </is>
      </c>
      <c r="H481" s="7" t="inlineStr">
        <is>
          <t>Palm Deco/Palm Deco</t>
        </is>
      </c>
      <c r="I481" s="7">
        <f>IMAGE("https://images.lululemon.com/is/image/lululemon/41850",1)</f>
        <v/>
      </c>
      <c r="J481" s="7" t="inlineStr">
        <is>
          <t>2</t>
        </is>
      </c>
      <c r="K481" s="7" t="inlineStr">
        <is>
          <t>7/266</t>
        </is>
      </c>
      <c r="L481" s="7" t="inlineStr">
        <is>
          <t>Yes</t>
        </is>
      </c>
      <c r="M481" s="7" t="inlineStr">
        <is>
          <t>Calling in cozy. This tank top is made from a sueded performance fabric that's warm and comforting when it's chilly out.</t>
        </is>
      </c>
      <c r="N481" s="7" t="inlineStr">
        <is>
          <t>Softy-Suedey-Crewneck-Cropped-Tank-Top</t>
        </is>
      </c>
      <c r="O481" s="7" t="inlineStr"/>
    </row>
    <row r="482" ht="80" customHeight="1">
      <c r="A482" s="4">
        <f>IMAGE("https://images.lululemon.com/is/image/lululemon/LW1EWXS_041850_1?wid=320&amp;op_usm=0.8",1)</f>
        <v/>
      </c>
      <c r="B482" s="4" t="inlineStr">
        <is>
          <t>Softy Suedey Crewneck Cropped Tank Top</t>
        </is>
      </c>
      <c r="C482" s="4" t="inlineStr">
        <is>
          <t>157717668</t>
        </is>
      </c>
      <c r="D482" s="4" t="inlineStr">
        <is>
          <t>157717668-palmdeco/palmdeco</t>
        </is>
      </c>
      <c r="E482" s="4" t="inlineStr">
        <is>
          <t>Softy Suedey Crewneck Cropped Tank 12GI 2</t>
        </is>
      </c>
      <c r="F482" s="4" t="inlineStr">
        <is>
          <t>$58.00</t>
        </is>
      </c>
      <c r="G482" s="4" t="inlineStr">
        <is>
          <t>$29.00</t>
        </is>
      </c>
      <c r="H482" s="4" t="inlineStr">
        <is>
          <t>Palm Deco/Palm Deco</t>
        </is>
      </c>
      <c r="I482" s="4">
        <f>IMAGE("https://images.lululemon.com/is/image/lululemon/41850",1)</f>
        <v/>
      </c>
      <c r="J482" s="4" t="inlineStr">
        <is>
          <t>4</t>
        </is>
      </c>
      <c r="K482" s="4" t="inlineStr">
        <is>
          <t>28/266</t>
        </is>
      </c>
      <c r="L482" s="4" t="inlineStr">
        <is>
          <t>Yes</t>
        </is>
      </c>
      <c r="M482" s="4" t="inlineStr">
        <is>
          <t>Calling in cozy. This tank top is made from a sueded performance fabric that's warm and comforting when it's chilly out.</t>
        </is>
      </c>
      <c r="N482" s="4" t="inlineStr">
        <is>
          <t>Softy-Suedey-Crewneck-Cropped-Tank-Top</t>
        </is>
      </c>
      <c r="O482" s="4" t="inlineStr"/>
    </row>
    <row r="483" ht="80" customHeight="1">
      <c r="A483" s="7">
        <f>IMAGE("https://images.lululemon.com/is/image/lululemon/LW1EWXS_041850_1?wid=320&amp;op_usm=0.8",1)</f>
        <v/>
      </c>
      <c r="B483" s="7" t="inlineStr">
        <is>
          <t>Softy Suedey Crewneck Cropped Tank Top</t>
        </is>
      </c>
      <c r="C483" s="7" t="inlineStr">
        <is>
          <t>157717672</t>
        </is>
      </c>
      <c r="D483" s="7" t="inlineStr">
        <is>
          <t>157717672-palmdeco/palmdeco</t>
        </is>
      </c>
      <c r="E483" s="7" t="inlineStr">
        <is>
          <t>Softy Suedey Crewneck Cropped Tank 12GI 2</t>
        </is>
      </c>
      <c r="F483" s="7" t="inlineStr">
        <is>
          <t>$58.00</t>
        </is>
      </c>
      <c r="G483" s="7" t="inlineStr">
        <is>
          <t>$29.00</t>
        </is>
      </c>
      <c r="H483" s="7" t="inlineStr">
        <is>
          <t>Palm Deco/Palm Deco</t>
        </is>
      </c>
      <c r="I483" s="7">
        <f>IMAGE("https://images.lululemon.com/is/image/lululemon/41850",1)</f>
        <v/>
      </c>
      <c r="J483" s="7" t="inlineStr">
        <is>
          <t>6</t>
        </is>
      </c>
      <c r="K483" s="7" t="inlineStr">
        <is>
          <t>40/266</t>
        </is>
      </c>
      <c r="L483" s="7" t="inlineStr">
        <is>
          <t>Yes</t>
        </is>
      </c>
      <c r="M483" s="7" t="inlineStr">
        <is>
          <t>Calling in cozy. This tank top is made from a sueded performance fabric that's warm and comforting when it's chilly out.</t>
        </is>
      </c>
      <c r="N483" s="7" t="inlineStr">
        <is>
          <t>Softy-Suedey-Crewneck-Cropped-Tank-Top</t>
        </is>
      </c>
      <c r="O483" s="7" t="inlineStr"/>
    </row>
    <row r="484" ht="80" customHeight="1">
      <c r="A484" s="4">
        <f>IMAGE("https://images.lululemon.com/is/image/lululemon/LW1EWXS_041850_1?wid=320&amp;op_usm=0.8",1)</f>
        <v/>
      </c>
      <c r="B484" s="4" t="inlineStr">
        <is>
          <t>Softy Suedey Crewneck Cropped Tank Top</t>
        </is>
      </c>
      <c r="C484" s="4" t="inlineStr">
        <is>
          <t>157717675</t>
        </is>
      </c>
      <c r="D484" s="4" t="inlineStr">
        <is>
          <t>157717675-palmdeco/palmdeco</t>
        </is>
      </c>
      <c r="E484" s="4" t="inlineStr">
        <is>
          <t>Softy Suedey Crewneck Cropped Tank 12GI 2</t>
        </is>
      </c>
      <c r="F484" s="4" t="inlineStr">
        <is>
          <t>$58.00</t>
        </is>
      </c>
      <c r="G484" s="4" t="inlineStr">
        <is>
          <t>$29.00</t>
        </is>
      </c>
      <c r="H484" s="4" t="inlineStr">
        <is>
          <t>Palm Deco/Palm Deco</t>
        </is>
      </c>
      <c r="I484" s="4">
        <f>IMAGE("https://images.lululemon.com/is/image/lululemon/41850",1)</f>
        <v/>
      </c>
      <c r="J484" s="4" t="inlineStr">
        <is>
          <t>8</t>
        </is>
      </c>
      <c r="K484" s="4" t="inlineStr">
        <is>
          <t>36/266</t>
        </is>
      </c>
      <c r="L484" s="4" t="inlineStr">
        <is>
          <t>Yes</t>
        </is>
      </c>
      <c r="M484" s="4" t="inlineStr">
        <is>
          <t>Calling in cozy. This tank top is made from a sueded performance fabric that's warm and comforting when it's chilly out.</t>
        </is>
      </c>
      <c r="N484" s="4" t="inlineStr">
        <is>
          <t>Softy-Suedey-Crewneck-Cropped-Tank-Top</t>
        </is>
      </c>
      <c r="O484" s="4" t="inlineStr"/>
    </row>
    <row r="485" ht="80" customHeight="1">
      <c r="A485" s="7">
        <f>IMAGE("https://images.lululemon.com/is/image/lululemon/LW1EWXS_041850_1?wid=320&amp;op_usm=0.8",1)</f>
        <v/>
      </c>
      <c r="B485" s="7" t="inlineStr">
        <is>
          <t>Softy Suedey Crewneck Cropped Tank Top</t>
        </is>
      </c>
      <c r="C485" s="7" t="inlineStr">
        <is>
          <t>157717646</t>
        </is>
      </c>
      <c r="D485" s="7" t="inlineStr">
        <is>
          <t>157717646-palmdeco/palmdeco</t>
        </is>
      </c>
      <c r="E485" s="7" t="inlineStr">
        <is>
          <t>Softy Suedey Crewneck Cropped Tank 12GI 2</t>
        </is>
      </c>
      <c r="F485" s="7" t="inlineStr">
        <is>
          <t>$58.00</t>
        </is>
      </c>
      <c r="G485" s="7" t="inlineStr">
        <is>
          <t>$29.00</t>
        </is>
      </c>
      <c r="H485" s="7" t="inlineStr">
        <is>
          <t>Palm Deco/Palm Deco</t>
        </is>
      </c>
      <c r="I485" s="7">
        <f>IMAGE("https://images.lululemon.com/is/image/lululemon/41850",1)</f>
        <v/>
      </c>
      <c r="J485" s="7" t="inlineStr">
        <is>
          <t>10</t>
        </is>
      </c>
      <c r="K485" s="7" t="inlineStr">
        <is>
          <t>17/266</t>
        </is>
      </c>
      <c r="L485" s="7" t="inlineStr">
        <is>
          <t>Yes</t>
        </is>
      </c>
      <c r="M485" s="7" t="inlineStr">
        <is>
          <t>Calling in cozy. This tank top is made from a sueded performance fabric that's warm and comforting when it's chilly out.</t>
        </is>
      </c>
      <c r="N485" s="7" t="inlineStr">
        <is>
          <t>Softy-Suedey-Crewneck-Cropped-Tank-Top</t>
        </is>
      </c>
      <c r="O485" s="7" t="inlineStr"/>
    </row>
    <row r="486" ht="80" customHeight="1">
      <c r="A486" s="4">
        <f>IMAGE("https://images.lululemon.com/is/image/lululemon/LW1EWXS_041850_1?wid=320&amp;op_usm=0.8",1)</f>
        <v/>
      </c>
      <c r="B486" s="4" t="inlineStr">
        <is>
          <t>Softy Suedey Crewneck Cropped Tank Top</t>
        </is>
      </c>
      <c r="C486" s="4" t="inlineStr">
        <is>
          <t>157717652</t>
        </is>
      </c>
      <c r="D486" s="4" t="inlineStr">
        <is>
          <t>157717652-palmdeco/palmdeco</t>
        </is>
      </c>
      <c r="E486" s="4" t="inlineStr">
        <is>
          <t>Softy Suedey Crewneck Cropped Tank 12GI 2</t>
        </is>
      </c>
      <c r="F486" s="4" t="inlineStr">
        <is>
          <t>$58.00</t>
        </is>
      </c>
      <c r="G486" s="4" t="inlineStr">
        <is>
          <t>$29.00</t>
        </is>
      </c>
      <c r="H486" s="4" t="inlineStr">
        <is>
          <t>Palm Deco/Palm Deco</t>
        </is>
      </c>
      <c r="I486" s="4">
        <f>IMAGE("https://images.lululemon.com/is/image/lululemon/41850",1)</f>
        <v/>
      </c>
      <c r="J486" s="4" t="inlineStr">
        <is>
          <t>12</t>
        </is>
      </c>
      <c r="K486" s="4" t="inlineStr">
        <is>
          <t>7/266</t>
        </is>
      </c>
      <c r="L486" s="4" t="inlineStr">
        <is>
          <t>Yes</t>
        </is>
      </c>
      <c r="M486" s="4" t="inlineStr">
        <is>
          <t>Calling in cozy. This tank top is made from a sueded performance fabric that's warm and comforting when it's chilly out.</t>
        </is>
      </c>
      <c r="N486" s="4" t="inlineStr">
        <is>
          <t>Softy-Suedey-Crewneck-Cropped-Tank-Top</t>
        </is>
      </c>
      <c r="O486" s="4" t="inlineStr"/>
    </row>
    <row r="487" ht="80" customHeight="1">
      <c r="A487" s="7">
        <f>IMAGE("https://images.lululemon.com/is/image/lululemon/LW1EWXS_041850_1?wid=320&amp;op_usm=0.8",1)</f>
        <v/>
      </c>
      <c r="B487" s="7" t="inlineStr">
        <is>
          <t>Softy Suedey Crewneck Cropped Tank Top</t>
        </is>
      </c>
      <c r="C487" s="7" t="inlineStr">
        <is>
          <t>154840479</t>
        </is>
      </c>
      <c r="D487" s="7" t="inlineStr">
        <is>
          <t>154840479-black/black</t>
        </is>
      </c>
      <c r="E487" s="7" t="inlineStr">
        <is>
          <t>Softy Suedey Crewneck Cropped Tank 12GI 2</t>
        </is>
      </c>
      <c r="F487" s="7" t="inlineStr">
        <is>
          <t>$58.00</t>
        </is>
      </c>
      <c r="G487" s="7" t="inlineStr">
        <is>
          <t>$29.00</t>
        </is>
      </c>
      <c r="H487" s="7" t="inlineStr">
        <is>
          <t>Black/Black</t>
        </is>
      </c>
      <c r="I487" s="7">
        <f>IMAGE("https://images.lululemon.com/is/image/lululemon/4780",1)</f>
        <v/>
      </c>
      <c r="J487" s="7" t="inlineStr">
        <is>
          <t>2</t>
        </is>
      </c>
      <c r="K487" s="7" t="inlineStr">
        <is>
          <t>7/266</t>
        </is>
      </c>
      <c r="L487" s="7" t="inlineStr">
        <is>
          <t>Yes</t>
        </is>
      </c>
      <c r="M487" s="7" t="inlineStr">
        <is>
          <t>Calling in cozy. This tank top is made from a sueded performance fabric that's warm and comforting when it's chilly out.</t>
        </is>
      </c>
      <c r="N487" s="7" t="inlineStr">
        <is>
          <t>Softy-Suedey-Crewneck-Cropped-Tank-Top</t>
        </is>
      </c>
      <c r="O487" s="7" t="inlineStr"/>
    </row>
    <row r="488" ht="80" customHeight="1">
      <c r="A488" s="4">
        <f>IMAGE("https://images.lululemon.com/is/image/lululemon/LW1EWXS_041850_1?wid=320&amp;op_usm=0.8",1)</f>
        <v/>
      </c>
      <c r="B488" s="4" t="inlineStr">
        <is>
          <t>Softy Suedey Crewneck Cropped Tank Top</t>
        </is>
      </c>
      <c r="C488" s="4" t="inlineStr">
        <is>
          <t>154840495</t>
        </is>
      </c>
      <c r="D488" s="4" t="inlineStr">
        <is>
          <t>154840495-black/black</t>
        </is>
      </c>
      <c r="E488" s="4" t="inlineStr">
        <is>
          <t>Softy Suedey Crewneck Cropped Tank 12GI 2</t>
        </is>
      </c>
      <c r="F488" s="4" t="inlineStr">
        <is>
          <t>$58.00</t>
        </is>
      </c>
      <c r="G488" s="4" t="inlineStr">
        <is>
          <t>$29.00</t>
        </is>
      </c>
      <c r="H488" s="4" t="inlineStr">
        <is>
          <t>Black/Black</t>
        </is>
      </c>
      <c r="I488" s="4">
        <f>IMAGE("https://images.lululemon.com/is/image/lululemon/4780",1)</f>
        <v/>
      </c>
      <c r="J488" s="4" t="inlineStr">
        <is>
          <t>4</t>
        </is>
      </c>
      <c r="K488" s="4" t="inlineStr">
        <is>
          <t>32/266</t>
        </is>
      </c>
      <c r="L488" s="4" t="inlineStr">
        <is>
          <t>Yes</t>
        </is>
      </c>
      <c r="M488" s="4" t="inlineStr">
        <is>
          <t>Calling in cozy. This tank top is made from a sueded performance fabric that's warm and comforting when it's chilly out.</t>
        </is>
      </c>
      <c r="N488" s="4" t="inlineStr">
        <is>
          <t>Softy-Suedey-Crewneck-Cropped-Tank-Top</t>
        </is>
      </c>
      <c r="O488" s="4" t="inlineStr"/>
    </row>
    <row r="489" ht="80" customHeight="1">
      <c r="A489" s="7">
        <f>IMAGE("https://images.lululemon.com/is/image/lululemon/LW1EWXS_041850_1?wid=320&amp;op_usm=0.8",1)</f>
        <v/>
      </c>
      <c r="B489" s="7" t="inlineStr">
        <is>
          <t>Softy Suedey Crewneck Cropped Tank Top</t>
        </is>
      </c>
      <c r="C489" s="7" t="inlineStr">
        <is>
          <t>154840499</t>
        </is>
      </c>
      <c r="D489" s="7" t="inlineStr">
        <is>
          <t>154840499-black/black</t>
        </is>
      </c>
      <c r="E489" s="7" t="inlineStr">
        <is>
          <t>Softy Suedey Crewneck Cropped Tank 12GI 2</t>
        </is>
      </c>
      <c r="F489" s="7" t="inlineStr">
        <is>
          <t>$58.00</t>
        </is>
      </c>
      <c r="G489" s="7" t="inlineStr">
        <is>
          <t>$29.00</t>
        </is>
      </c>
      <c r="H489" s="7" t="inlineStr">
        <is>
          <t>Black/Black</t>
        </is>
      </c>
      <c r="I489" s="7">
        <f>IMAGE("https://images.lululemon.com/is/image/lululemon/4780",1)</f>
        <v/>
      </c>
      <c r="J489" s="7" t="inlineStr">
        <is>
          <t>6</t>
        </is>
      </c>
      <c r="K489" s="7" t="inlineStr">
        <is>
          <t>36/266</t>
        </is>
      </c>
      <c r="L489" s="7" t="inlineStr">
        <is>
          <t>Yes</t>
        </is>
      </c>
      <c r="M489" s="7" t="inlineStr">
        <is>
          <t>Calling in cozy. This tank top is made from a sueded performance fabric that's warm and comforting when it's chilly out.</t>
        </is>
      </c>
      <c r="N489" s="7" t="inlineStr">
        <is>
          <t>Softy-Suedey-Crewneck-Cropped-Tank-Top</t>
        </is>
      </c>
      <c r="O489" s="7" t="inlineStr"/>
    </row>
    <row r="490" ht="80" customHeight="1">
      <c r="A490" s="4">
        <f>IMAGE("https://images.lululemon.com/is/image/lululemon/LW1EWXS_041850_1?wid=320&amp;op_usm=0.8",1)</f>
        <v/>
      </c>
      <c r="B490" s="4" t="inlineStr">
        <is>
          <t>Softy Suedey Crewneck Cropped Tank Top</t>
        </is>
      </c>
      <c r="C490" s="4" t="inlineStr">
        <is>
          <t>154840502</t>
        </is>
      </c>
      <c r="D490" s="4" t="inlineStr">
        <is>
          <t>154840502-black/black</t>
        </is>
      </c>
      <c r="E490" s="4" t="inlineStr">
        <is>
          <t>Softy Suedey Crewneck Cropped Tank 12GI 2</t>
        </is>
      </c>
      <c r="F490" s="4" t="inlineStr">
        <is>
          <t>$58.00</t>
        </is>
      </c>
      <c r="G490" s="4" t="inlineStr">
        <is>
          <t>$29.00</t>
        </is>
      </c>
      <c r="H490" s="4" t="inlineStr">
        <is>
          <t>Black/Black</t>
        </is>
      </c>
      <c r="I490" s="4">
        <f>IMAGE("https://images.lululemon.com/is/image/lululemon/4780",1)</f>
        <v/>
      </c>
      <c r="J490" s="4" t="inlineStr">
        <is>
          <t>8</t>
        </is>
      </c>
      <c r="K490" s="4" t="inlineStr">
        <is>
          <t>29/266</t>
        </is>
      </c>
      <c r="L490" s="4" t="inlineStr">
        <is>
          <t>Yes</t>
        </is>
      </c>
      <c r="M490" s="4" t="inlineStr">
        <is>
          <t>Calling in cozy. This tank top is made from a sueded performance fabric that's warm and comforting when it's chilly out.</t>
        </is>
      </c>
      <c r="N490" s="4" t="inlineStr">
        <is>
          <t>Softy-Suedey-Crewneck-Cropped-Tank-Top</t>
        </is>
      </c>
      <c r="O490" s="4" t="inlineStr"/>
    </row>
    <row r="491" ht="80" customHeight="1">
      <c r="A491" s="7">
        <f>IMAGE("https://images.lululemon.com/is/image/lululemon/LW1EWXS_041850_1?wid=320&amp;op_usm=0.8",1)</f>
        <v/>
      </c>
      <c r="B491" s="7" t="inlineStr">
        <is>
          <t>Softy Suedey Crewneck Cropped Tank Top</t>
        </is>
      </c>
      <c r="C491" s="7" t="inlineStr">
        <is>
          <t>154840462</t>
        </is>
      </c>
      <c r="D491" s="7" t="inlineStr">
        <is>
          <t>154840462-black/black</t>
        </is>
      </c>
      <c r="E491" s="7" t="inlineStr">
        <is>
          <t>Softy Suedey Crewneck Cropped Tank 12GI 2</t>
        </is>
      </c>
      <c r="F491" s="7" t="inlineStr">
        <is>
          <t>$58.00</t>
        </is>
      </c>
      <c r="G491" s="7" t="inlineStr">
        <is>
          <t>$29.00</t>
        </is>
      </c>
      <c r="H491" s="7" t="inlineStr">
        <is>
          <t>Black/Black</t>
        </is>
      </c>
      <c r="I491" s="7">
        <f>IMAGE("https://images.lululemon.com/is/image/lululemon/4780",1)</f>
        <v/>
      </c>
      <c r="J491" s="7" t="inlineStr">
        <is>
          <t>10</t>
        </is>
      </c>
      <c r="K491" s="7" t="inlineStr">
        <is>
          <t>16/266</t>
        </is>
      </c>
      <c r="L491" s="7" t="inlineStr">
        <is>
          <t>Yes</t>
        </is>
      </c>
      <c r="M491" s="7" t="inlineStr">
        <is>
          <t>Calling in cozy. This tank top is made from a sueded performance fabric that's warm and comforting when it's chilly out.</t>
        </is>
      </c>
      <c r="N491" s="7" t="inlineStr">
        <is>
          <t>Softy-Suedey-Crewneck-Cropped-Tank-Top</t>
        </is>
      </c>
      <c r="O491" s="7" t="inlineStr"/>
    </row>
    <row r="492" ht="80" customHeight="1">
      <c r="A492" s="6">
        <f>IMAGE("https://images.lululemon.com/is/image/lululemon/LW1EWXS_041850_1?wid=320&amp;op_usm=0.8",1)</f>
        <v/>
      </c>
      <c r="B492" s="6" t="inlineStr">
        <is>
          <t>Softy Suedey Crewneck Cropped Tank Top</t>
        </is>
      </c>
      <c r="C492" s="6" t="inlineStr">
        <is>
          <t>154840466</t>
        </is>
      </c>
      <c r="D492" s="6" t="inlineStr">
        <is>
          <t>154840466-black/black</t>
        </is>
      </c>
      <c r="E492" s="6" t="inlineStr">
        <is>
          <t>Softy Suedey Crewneck Cropped Tank 12GI 2</t>
        </is>
      </c>
      <c r="F492" s="6" t="inlineStr">
        <is>
          <t>$58.00</t>
        </is>
      </c>
      <c r="G492" s="6" t="inlineStr">
        <is>
          <t>$29.00</t>
        </is>
      </c>
      <c r="H492" s="6" t="inlineStr">
        <is>
          <t>Black/Black</t>
        </is>
      </c>
      <c r="I492" s="6">
        <f>IMAGE("https://images.lululemon.com/is/image/lululemon/4780",1)</f>
        <v/>
      </c>
      <c r="J492" s="6" t="inlineStr">
        <is>
          <t>12</t>
        </is>
      </c>
      <c r="K492" s="6" t="inlineStr">
        <is>
          <t>11/266</t>
        </is>
      </c>
      <c r="L492" s="6" t="inlineStr">
        <is>
          <t>Yes</t>
        </is>
      </c>
      <c r="M492" s="6" t="inlineStr">
        <is>
          <t>Calling in cozy. This tank top is made from a sueded performance fabric that's warm and comforting when it's chilly out.</t>
        </is>
      </c>
      <c r="N492" s="6" t="inlineStr">
        <is>
          <t>Softy-Suedey-Crewneck-Cropped-Tank-Top</t>
        </is>
      </c>
      <c r="O492" s="6" t="inlineStr"/>
    </row>
    <row r="493" ht="80" customHeight="1">
      <c r="A493" s="7">
        <f>IMAGE("https://images.lululemon.com/is/image/lululemon/LU9CRIS_0001_1?wid=320&amp;op_usm=0.8",1)</f>
        <v/>
      </c>
      <c r="B493" s="7" t="inlineStr">
        <is>
          <t>Warm Revelation Beanie</t>
        </is>
      </c>
      <c r="C493" s="7" t="inlineStr">
        <is>
          <t>157702454</t>
        </is>
      </c>
      <c r="D493" s="7" t="inlineStr">
        <is>
          <t>157702454-black</t>
        </is>
      </c>
      <c r="E493" s="7" t="inlineStr">
        <is>
          <t>Warm Revelation Beanie BLK ONE SIZE</t>
        </is>
      </c>
      <c r="F493" s="7" t="inlineStr">
        <is>
          <t>$48.00</t>
        </is>
      </c>
      <c r="G493" s="7" t="inlineStr">
        <is>
          <t>$24.00</t>
        </is>
      </c>
      <c r="H493" s="7" t="inlineStr">
        <is>
          <t>Black</t>
        </is>
      </c>
      <c r="I493" s="7">
        <f>IMAGE("https://images.lululemon.com/is/image/lululemon/0001",1)</f>
        <v/>
      </c>
      <c r="J493" s="7" t="inlineStr">
        <is>
          <t>O/S</t>
        </is>
      </c>
      <c r="K493" s="7" t="inlineStr">
        <is>
          <t>76/993</t>
        </is>
      </c>
      <c r="L493" s="7" t="inlineStr">
        <is>
          <t>Yes</t>
        </is>
      </c>
      <c r="M493" s="7" t="inlineStr">
        <is>
          <t>Pop on this merino wool-blend beanie when the temperature drops to help keep you cozy on chilly days.</t>
        </is>
      </c>
      <c r="N493" s="7" t="inlineStr">
        <is>
          <t>Warm-Revelation-Beanie</t>
        </is>
      </c>
      <c r="O493" s="7" t="inlineStr">
        <is>
          <t>Beanies</t>
        </is>
      </c>
    </row>
    <row r="494" ht="80" customHeight="1">
      <c r="A494" s="4">
        <f>IMAGE("https://images.lululemon.com/is/image/lululemon/LU9CRIS_0001_1?wid=320&amp;op_usm=0.8",1)</f>
        <v/>
      </c>
      <c r="B494" s="4" t="inlineStr">
        <is>
          <t>Warm Revelation Beanie</t>
        </is>
      </c>
      <c r="C494" s="4" t="inlineStr">
        <is>
          <t>158019207</t>
        </is>
      </c>
      <c r="D494" s="4" t="inlineStr">
        <is>
          <t>158019207-indochineblue</t>
        </is>
      </c>
      <c r="E494" s="4" t="inlineStr">
        <is>
          <t>Warm Revelation Beanie BLK ONE SIZE</t>
        </is>
      </c>
      <c r="F494" s="4" t="inlineStr">
        <is>
          <t>$48.00</t>
        </is>
      </c>
      <c r="G494" s="4" t="inlineStr">
        <is>
          <t>$24.00</t>
        </is>
      </c>
      <c r="H494" s="4" t="inlineStr">
        <is>
          <t>Indochine Blue</t>
        </is>
      </c>
      <c r="I494" s="4">
        <f>IMAGE("https://images.lululemon.com/is/image/lululemon/28022",1)</f>
        <v/>
      </c>
      <c r="J494" s="4" t="inlineStr">
        <is>
          <t>O/S</t>
        </is>
      </c>
      <c r="K494" s="4" t="inlineStr">
        <is>
          <t>462/993</t>
        </is>
      </c>
      <c r="L494" s="4" t="inlineStr">
        <is>
          <t>Yes</t>
        </is>
      </c>
      <c r="M494" s="4" t="inlineStr">
        <is>
          <t>Pop on this merino wool-blend beanie when the temperature drops to help keep you cozy on chilly days.</t>
        </is>
      </c>
      <c r="N494" s="4" t="inlineStr">
        <is>
          <t>Warm-Revelation-Beanie</t>
        </is>
      </c>
      <c r="O494" s="4" t="inlineStr">
        <is>
          <t>Beanies</t>
        </is>
      </c>
    </row>
    <row r="495" ht="80" customHeight="1">
      <c r="A495" s="5">
        <f>IMAGE("https://images.lululemon.com/is/image/lululemon/LU9CRIS_0001_1?wid=320&amp;op_usm=0.8",1)</f>
        <v/>
      </c>
      <c r="B495" s="5" t="inlineStr">
        <is>
          <t>Warm Revelation Beanie</t>
        </is>
      </c>
      <c r="C495" s="5" t="inlineStr">
        <is>
          <t>158019229</t>
        </is>
      </c>
      <c r="D495" s="5" t="inlineStr">
        <is>
          <t>158019229-foggreen</t>
        </is>
      </c>
      <c r="E495" s="5" t="inlineStr">
        <is>
          <t>Warm Revelation Beanie BLK ONE SIZE</t>
        </is>
      </c>
      <c r="F495" s="5" t="inlineStr">
        <is>
          <t>$48.00</t>
        </is>
      </c>
      <c r="G495" s="5" t="inlineStr">
        <is>
          <t>$24.00</t>
        </is>
      </c>
      <c r="H495" s="5" t="inlineStr">
        <is>
          <t>Fog Green</t>
        </is>
      </c>
      <c r="I495" s="5">
        <f>IMAGE("https://images.lululemon.com/is/image/lululemon/70144",1)</f>
        <v/>
      </c>
      <c r="J495" s="5" t="inlineStr">
        <is>
          <t>O/S</t>
        </is>
      </c>
      <c r="K495" s="5" t="inlineStr">
        <is>
          <t>455/993</t>
        </is>
      </c>
      <c r="L495" s="5" t="inlineStr">
        <is>
          <t>Yes</t>
        </is>
      </c>
      <c r="M495" s="5" t="inlineStr">
        <is>
          <t>Pop on this merino wool-blend beanie when the temperature drops to help keep you cozy on chilly days.</t>
        </is>
      </c>
      <c r="N495" s="5" t="inlineStr">
        <is>
          <t>Warm-Revelation-Beanie</t>
        </is>
      </c>
      <c r="O495" s="5" t="inlineStr">
        <is>
          <t>Beanies</t>
        </is>
      </c>
    </row>
    <row r="496" ht="80" customHeight="1">
      <c r="A496" s="4">
        <f>IMAGE("https://images.lululemon.com/is/image/lululemon/LW1FSCS_069502_1?wid=320&amp;op_usm=0.8",1)</f>
        <v/>
      </c>
      <c r="B496" s="4" t="inlineStr">
        <is>
          <t>Scoop-Neck Cutout Tennis Tank Top *Medium Support, B/C Cup</t>
        </is>
      </c>
      <c r="C496" s="4" t="inlineStr">
        <is>
          <t>157706905</t>
        </is>
      </c>
      <c r="D496" s="4" t="inlineStr">
        <is>
          <t>157706905-white/clubblue</t>
        </is>
      </c>
      <c r="E496" s="4" t="inlineStr">
        <is>
          <t>Scoop-Neck Cutout Tennis Tank WHT/CLBL XS</t>
        </is>
      </c>
      <c r="F496" s="4" t="inlineStr">
        <is>
          <t>$68.00</t>
        </is>
      </c>
      <c r="G496" s="4" t="inlineStr">
        <is>
          <t>$34.00</t>
        </is>
      </c>
      <c r="H496" s="4" t="inlineStr">
        <is>
          <t>White/Club Blue</t>
        </is>
      </c>
      <c r="I496" s="4">
        <f>IMAGE("https://images.lululemon.com/is/image/lululemon/69502",1)</f>
        <v/>
      </c>
      <c r="J496" s="4" t="inlineStr">
        <is>
          <t>XS</t>
        </is>
      </c>
      <c r="K496" s="4" t="inlineStr">
        <is>
          <t>31/216</t>
        </is>
      </c>
      <c r="L496" s="4" t="inlineStr">
        <is>
          <t>Yes</t>
        </is>
      </c>
      <c r="M496" s="4" t="inlineStr">
        <is>
          <t>Advantage: this supportive tennis tank. It's made from stretchy, sweat-wicking fabric and features an open back that encourages airflow and extra style points.</t>
        </is>
      </c>
      <c r="N496" s="4" t="inlineStr">
        <is>
          <t>Scoop-Neck-Cutout-Tennis-Tank-Top-Medium-Supp-BC</t>
        </is>
      </c>
      <c r="O496" s="4" t="inlineStr"/>
    </row>
    <row r="497" ht="80" customHeight="1">
      <c r="A497" s="7">
        <f>IMAGE("https://images.lululemon.com/is/image/lululemon/LW1FSCS_069502_1?wid=320&amp;op_usm=0.8",1)</f>
        <v/>
      </c>
      <c r="B497" s="7" t="inlineStr">
        <is>
          <t>Scoop-Neck Cutout Tennis Tank Top *Medium Support, B/C Cup</t>
        </is>
      </c>
      <c r="C497" s="7" t="inlineStr">
        <is>
          <t>157706882</t>
        </is>
      </c>
      <c r="D497" s="7" t="inlineStr">
        <is>
          <t>157706882-white/clubblue</t>
        </is>
      </c>
      <c r="E497" s="7" t="inlineStr">
        <is>
          <t>Scoop-Neck Cutout Tennis Tank WHT/CLBL XS</t>
        </is>
      </c>
      <c r="F497" s="7" t="inlineStr">
        <is>
          <t>$68.00</t>
        </is>
      </c>
      <c r="G497" s="7" t="inlineStr">
        <is>
          <t>$34.00</t>
        </is>
      </c>
      <c r="H497" s="7" t="inlineStr">
        <is>
          <t>White/Club Blue</t>
        </is>
      </c>
      <c r="I497" s="7">
        <f>IMAGE("https://images.lululemon.com/is/image/lululemon/69502",1)</f>
        <v/>
      </c>
      <c r="J497" s="7" t="inlineStr">
        <is>
          <t>S</t>
        </is>
      </c>
      <c r="K497" s="7" t="inlineStr">
        <is>
          <t>42/216</t>
        </is>
      </c>
      <c r="L497" s="7" t="inlineStr">
        <is>
          <t>Yes</t>
        </is>
      </c>
      <c r="M497" s="7" t="inlineStr">
        <is>
          <t>Advantage: this supportive tennis tank. It's made from stretchy, sweat-wicking fabric and features an open back that encourages airflow and extra style points.</t>
        </is>
      </c>
      <c r="N497" s="7" t="inlineStr">
        <is>
          <t>Scoop-Neck-Cutout-Tennis-Tank-Top-Medium-Supp-BC</t>
        </is>
      </c>
      <c r="O497" s="7" t="inlineStr"/>
    </row>
    <row r="498" ht="80" customHeight="1">
      <c r="A498" s="4">
        <f>IMAGE("https://images.lululemon.com/is/image/lululemon/LW1FSCS_069502_1?wid=320&amp;op_usm=0.8",1)</f>
        <v/>
      </c>
      <c r="B498" s="4" t="inlineStr">
        <is>
          <t>Scoop-Neck Cutout Tennis Tank Top *Medium Support, B/C Cup</t>
        </is>
      </c>
      <c r="C498" s="4" t="inlineStr">
        <is>
          <t>157706867</t>
        </is>
      </c>
      <c r="D498" s="4" t="inlineStr">
        <is>
          <t>157706867-white/clubblue</t>
        </is>
      </c>
      <c r="E498" s="4" t="inlineStr">
        <is>
          <t>Scoop-Neck Cutout Tennis Tank WHT/CLBL XS</t>
        </is>
      </c>
      <c r="F498" s="4" t="inlineStr">
        <is>
          <t>$68.00</t>
        </is>
      </c>
      <c r="G498" s="4" t="inlineStr">
        <is>
          <t>$34.00</t>
        </is>
      </c>
      <c r="H498" s="4" t="inlineStr">
        <is>
          <t>White/Club Blue</t>
        </is>
      </c>
      <c r="I498" s="4">
        <f>IMAGE("https://images.lululemon.com/is/image/lululemon/69502",1)</f>
        <v/>
      </c>
      <c r="J498" s="4" t="inlineStr">
        <is>
          <t>M</t>
        </is>
      </c>
      <c r="K498" s="4" t="inlineStr">
        <is>
          <t>56/216</t>
        </is>
      </c>
      <c r="L498" s="4" t="inlineStr">
        <is>
          <t>Yes</t>
        </is>
      </c>
      <c r="M498" s="4" t="inlineStr">
        <is>
          <t>Advantage: this supportive tennis tank. It's made from stretchy, sweat-wicking fabric and features an open back that encourages airflow and extra style points.</t>
        </is>
      </c>
      <c r="N498" s="4" t="inlineStr">
        <is>
          <t>Scoop-Neck-Cutout-Tennis-Tank-Top-Medium-Supp-BC</t>
        </is>
      </c>
      <c r="O498" s="4" t="inlineStr"/>
    </row>
    <row r="499" ht="80" customHeight="1">
      <c r="A499" s="7">
        <f>IMAGE("https://images.lululemon.com/is/image/lululemon/LW1FSCS_069502_1?wid=320&amp;op_usm=0.8",1)</f>
        <v/>
      </c>
      <c r="B499" s="7" t="inlineStr">
        <is>
          <t>Scoop-Neck Cutout Tennis Tank Top *Medium Support, B/C Cup</t>
        </is>
      </c>
      <c r="C499" s="7" t="inlineStr">
        <is>
          <t>157706857</t>
        </is>
      </c>
      <c r="D499" s="7" t="inlineStr">
        <is>
          <t>157706857-white/clubblue</t>
        </is>
      </c>
      <c r="E499" s="7" t="inlineStr">
        <is>
          <t>Scoop-Neck Cutout Tennis Tank WHT/CLBL XS</t>
        </is>
      </c>
      <c r="F499" s="7" t="inlineStr">
        <is>
          <t>$68.00</t>
        </is>
      </c>
      <c r="G499" s="7" t="inlineStr">
        <is>
          <t>$34.00</t>
        </is>
      </c>
      <c r="H499" s="7" t="inlineStr">
        <is>
          <t>White/Club Blue</t>
        </is>
      </c>
      <c r="I499" s="7">
        <f>IMAGE("https://images.lululemon.com/is/image/lululemon/69502",1)</f>
        <v/>
      </c>
      <c r="J499" s="7" t="inlineStr">
        <is>
          <t>L</t>
        </is>
      </c>
      <c r="K499" s="7" t="inlineStr">
        <is>
          <t>50/216</t>
        </is>
      </c>
      <c r="L499" s="7" t="inlineStr">
        <is>
          <t>Yes</t>
        </is>
      </c>
      <c r="M499" s="7" t="inlineStr">
        <is>
          <t>Advantage: this supportive tennis tank. It's made from stretchy, sweat-wicking fabric and features an open back that encourages airflow and extra style points.</t>
        </is>
      </c>
      <c r="N499" s="7" t="inlineStr">
        <is>
          <t>Scoop-Neck-Cutout-Tennis-Tank-Top-Medium-Supp-BC</t>
        </is>
      </c>
      <c r="O499" s="7" t="inlineStr"/>
    </row>
    <row r="500" ht="80" customHeight="1">
      <c r="A500" s="6">
        <f>IMAGE("https://images.lululemon.com/is/image/lululemon/LW1FSCS_069502_1?wid=320&amp;op_usm=0.8",1)</f>
        <v/>
      </c>
      <c r="B500" s="6" t="inlineStr">
        <is>
          <t>Scoop-Neck Cutout Tennis Tank Top *Medium Support, B/C Cup</t>
        </is>
      </c>
      <c r="C500" s="6" t="inlineStr">
        <is>
          <t>157706896</t>
        </is>
      </c>
      <c r="D500" s="6" t="inlineStr">
        <is>
          <t>157706896-white/clubblue</t>
        </is>
      </c>
      <c r="E500" s="6" t="inlineStr">
        <is>
          <t>Scoop-Neck Cutout Tennis Tank WHT/CLBL XS</t>
        </is>
      </c>
      <c r="F500" s="6" t="inlineStr">
        <is>
          <t>$68.00</t>
        </is>
      </c>
      <c r="G500" s="6" t="inlineStr">
        <is>
          <t>$34.00</t>
        </is>
      </c>
      <c r="H500" s="6" t="inlineStr">
        <is>
          <t>White/Club Blue</t>
        </is>
      </c>
      <c r="I500" s="6">
        <f>IMAGE("https://images.lululemon.com/is/image/lululemon/69502",1)</f>
        <v/>
      </c>
      <c r="J500" s="6" t="inlineStr">
        <is>
          <t>XL</t>
        </is>
      </c>
      <c r="K500" s="6" t="inlineStr">
        <is>
          <t>37/216</t>
        </is>
      </c>
      <c r="L500" s="6" t="inlineStr">
        <is>
          <t>Yes</t>
        </is>
      </c>
      <c r="M500" s="6" t="inlineStr">
        <is>
          <t>Advantage: this supportive tennis tank. It's made from stretchy, sweat-wicking fabric and features an open back that encourages airflow and extra style points.</t>
        </is>
      </c>
      <c r="N500" s="6" t="inlineStr">
        <is>
          <t>Scoop-Neck-Cutout-Tennis-Tank-Top-Medium-Supp-BC</t>
        </is>
      </c>
      <c r="O500" s="6" t="inlineStr"/>
    </row>
    <row r="501" ht="80" customHeight="1">
      <c r="A501" s="7">
        <f>IMAGE("https://images.lululemon.com/is/image/lululemon/LW3JA7S_0001_1?wid=320&amp;op_usm=0.8",1)</f>
        <v/>
      </c>
      <c r="B501" s="7" t="inlineStr">
        <is>
          <t>Hold Tight Straight Hem Cropped T-Shirt</t>
        </is>
      </c>
      <c r="C501" s="7" t="inlineStr">
        <is>
          <t>157688004</t>
        </is>
      </c>
      <c r="D501" s="7" t="inlineStr">
        <is>
          <t>157688004-black</t>
        </is>
      </c>
      <c r="E501" s="7" t="inlineStr">
        <is>
          <t>Hold Tight Straight-Hem Cropped T-Shirt BLK 2</t>
        </is>
      </c>
      <c r="F501" s="7" t="inlineStr">
        <is>
          <t>$58.00</t>
        </is>
      </c>
      <c r="G501" s="7" t="inlineStr">
        <is>
          <t>$29.00</t>
        </is>
      </c>
      <c r="H501" s="7" t="inlineStr">
        <is>
          <t>Black</t>
        </is>
      </c>
      <c r="I501" s="7">
        <f>IMAGE("https://images.lululemon.com/is/image/lululemon/0001",1)</f>
        <v/>
      </c>
      <c r="J501" s="7" t="inlineStr">
        <is>
          <t>2</t>
        </is>
      </c>
      <c r="K501" s="7" t="inlineStr">
        <is>
          <t>28/247</t>
        </is>
      </c>
      <c r="L501" s="7" t="inlineStr">
        <is>
          <t>Yes</t>
        </is>
      </c>
      <c r="M501" s="7" t="inlineStr">
        <is>
          <t>This lightweight everyday top has just the right softness, just the right stretch, and a snug fit that feels like a second skin.</t>
        </is>
      </c>
      <c r="N501" s="7" t="inlineStr">
        <is>
          <t>Hold-Tight-Straight-Hem-Cropped-T-Shirt</t>
        </is>
      </c>
      <c r="O501" s="7" t="inlineStr"/>
    </row>
    <row r="502" ht="80" customHeight="1">
      <c r="A502" s="4">
        <f>IMAGE("https://images.lululemon.com/is/image/lululemon/LW3JA7S_0001_1?wid=320&amp;op_usm=0.8",1)</f>
        <v/>
      </c>
      <c r="B502" s="4" t="inlineStr">
        <is>
          <t>Hold Tight Straight Hem Cropped T-Shirt</t>
        </is>
      </c>
      <c r="C502" s="4" t="inlineStr">
        <is>
          <t>157688011</t>
        </is>
      </c>
      <c r="D502" s="4" t="inlineStr">
        <is>
          <t>157688011-black</t>
        </is>
      </c>
      <c r="E502" s="4" t="inlineStr">
        <is>
          <t>Hold Tight Straight-Hem Cropped T-Shirt BLK 2</t>
        </is>
      </c>
      <c r="F502" s="4" t="inlineStr">
        <is>
          <t>$58.00</t>
        </is>
      </c>
      <c r="G502" s="4" t="inlineStr">
        <is>
          <t>$29.00</t>
        </is>
      </c>
      <c r="H502" s="4" t="inlineStr">
        <is>
          <t>Black</t>
        </is>
      </c>
      <c r="I502" s="4">
        <f>IMAGE("https://images.lululemon.com/is/image/lululemon/0001",1)</f>
        <v/>
      </c>
      <c r="J502" s="4" t="inlineStr">
        <is>
          <t>4</t>
        </is>
      </c>
      <c r="K502" s="4" t="inlineStr">
        <is>
          <t>41/247</t>
        </is>
      </c>
      <c r="L502" s="4" t="inlineStr">
        <is>
          <t>Yes</t>
        </is>
      </c>
      <c r="M502" s="4" t="inlineStr">
        <is>
          <t>This lightweight everyday top has just the right softness, just the right stretch, and a snug fit that feels like a second skin.</t>
        </is>
      </c>
      <c r="N502" s="4" t="inlineStr">
        <is>
          <t>Hold-Tight-Straight-Hem-Cropped-T-Shirt</t>
        </is>
      </c>
      <c r="O502" s="4" t="inlineStr"/>
    </row>
    <row r="503" ht="80" customHeight="1">
      <c r="A503" s="7">
        <f>IMAGE("https://images.lululemon.com/is/image/lululemon/LW3JA7S_0001_1?wid=320&amp;op_usm=0.8",1)</f>
        <v/>
      </c>
      <c r="B503" s="7" t="inlineStr">
        <is>
          <t>Hold Tight Straight Hem Cropped T-Shirt</t>
        </is>
      </c>
      <c r="C503" s="7" t="inlineStr">
        <is>
          <t>157688013</t>
        </is>
      </c>
      <c r="D503" s="7" t="inlineStr">
        <is>
          <t>157688013-black</t>
        </is>
      </c>
      <c r="E503" s="7" t="inlineStr">
        <is>
          <t>Hold Tight Straight-Hem Cropped T-Shirt BLK 2</t>
        </is>
      </c>
      <c r="F503" s="7" t="inlineStr">
        <is>
          <t>$58.00</t>
        </is>
      </c>
      <c r="G503" s="7" t="inlineStr">
        <is>
          <t>$29.00</t>
        </is>
      </c>
      <c r="H503" s="7" t="inlineStr">
        <is>
          <t>Black</t>
        </is>
      </c>
      <c r="I503" s="7">
        <f>IMAGE("https://images.lululemon.com/is/image/lululemon/0001",1)</f>
        <v/>
      </c>
      <c r="J503" s="7" t="inlineStr">
        <is>
          <t>6</t>
        </is>
      </c>
      <c r="K503" s="7" t="inlineStr">
        <is>
          <t>49/247</t>
        </is>
      </c>
      <c r="L503" s="7" t="inlineStr">
        <is>
          <t>Yes</t>
        </is>
      </c>
      <c r="M503" s="7" t="inlineStr">
        <is>
          <t>This lightweight everyday top has just the right softness, just the right stretch, and a snug fit that feels like a second skin.</t>
        </is>
      </c>
      <c r="N503" s="7" t="inlineStr">
        <is>
          <t>Hold-Tight-Straight-Hem-Cropped-T-Shirt</t>
        </is>
      </c>
      <c r="O503" s="7" t="inlineStr"/>
    </row>
    <row r="504" ht="80" customHeight="1">
      <c r="A504" s="4">
        <f>IMAGE("https://images.lululemon.com/is/image/lululemon/LW3JA7S_0001_1?wid=320&amp;op_usm=0.8",1)</f>
        <v/>
      </c>
      <c r="B504" s="4" t="inlineStr">
        <is>
          <t>Hold Tight Straight Hem Cropped T-Shirt</t>
        </is>
      </c>
      <c r="C504" s="4" t="inlineStr">
        <is>
          <t>157688019</t>
        </is>
      </c>
      <c r="D504" s="4" t="inlineStr">
        <is>
          <t>157688019-black</t>
        </is>
      </c>
      <c r="E504" s="4" t="inlineStr">
        <is>
          <t>Hold Tight Straight-Hem Cropped T-Shirt BLK 2</t>
        </is>
      </c>
      <c r="F504" s="4" t="inlineStr">
        <is>
          <t>$58.00</t>
        </is>
      </c>
      <c r="G504" s="4" t="inlineStr">
        <is>
          <t>$29.00</t>
        </is>
      </c>
      <c r="H504" s="4" t="inlineStr">
        <is>
          <t>Black</t>
        </is>
      </c>
      <c r="I504" s="4">
        <f>IMAGE("https://images.lululemon.com/is/image/lululemon/0001",1)</f>
        <v/>
      </c>
      <c r="J504" s="4" t="inlineStr">
        <is>
          <t>8</t>
        </is>
      </c>
      <c r="K504" s="4" t="inlineStr">
        <is>
          <t>56/247</t>
        </is>
      </c>
      <c r="L504" s="4" t="inlineStr">
        <is>
          <t>Yes</t>
        </is>
      </c>
      <c r="M504" s="4" t="inlineStr">
        <is>
          <t>This lightweight everyday top has just the right softness, just the right stretch, and a snug fit that feels like a second skin.</t>
        </is>
      </c>
      <c r="N504" s="4" t="inlineStr">
        <is>
          <t>Hold-Tight-Straight-Hem-Cropped-T-Shirt</t>
        </is>
      </c>
      <c r="O504" s="4" t="inlineStr"/>
    </row>
    <row r="505" ht="80" customHeight="1">
      <c r="A505" s="7">
        <f>IMAGE("https://images.lululemon.com/is/image/lululemon/LW3JA7S_0001_1?wid=320&amp;op_usm=0.8",1)</f>
        <v/>
      </c>
      <c r="B505" s="7" t="inlineStr">
        <is>
          <t>Hold Tight Straight Hem Cropped T-Shirt</t>
        </is>
      </c>
      <c r="C505" s="7" t="inlineStr">
        <is>
          <t>157687992</t>
        </is>
      </c>
      <c r="D505" s="7" t="inlineStr">
        <is>
          <t>157687992-black</t>
        </is>
      </c>
      <c r="E505" s="7" t="inlineStr">
        <is>
          <t>Hold Tight Straight-Hem Cropped T-Shirt BLK 2</t>
        </is>
      </c>
      <c r="F505" s="7" t="inlineStr">
        <is>
          <t>$58.00</t>
        </is>
      </c>
      <c r="G505" s="7" t="inlineStr">
        <is>
          <t>$29.00</t>
        </is>
      </c>
      <c r="H505" s="7" t="inlineStr">
        <is>
          <t>Black</t>
        </is>
      </c>
      <c r="I505" s="7">
        <f>IMAGE("https://images.lululemon.com/is/image/lululemon/0001",1)</f>
        <v/>
      </c>
      <c r="J505" s="7" t="inlineStr">
        <is>
          <t>10</t>
        </is>
      </c>
      <c r="K505" s="7" t="inlineStr">
        <is>
          <t>49/247</t>
        </is>
      </c>
      <c r="L505" s="7" t="inlineStr">
        <is>
          <t>Yes</t>
        </is>
      </c>
      <c r="M505" s="7" t="inlineStr">
        <is>
          <t>This lightweight everyday top has just the right softness, just the right stretch, and a snug fit that feels like a second skin.</t>
        </is>
      </c>
      <c r="N505" s="7" t="inlineStr">
        <is>
          <t>Hold-Tight-Straight-Hem-Cropped-T-Shirt</t>
        </is>
      </c>
      <c r="O505" s="7" t="inlineStr"/>
    </row>
    <row r="506" ht="80" customHeight="1">
      <c r="A506" s="6">
        <f>IMAGE("https://images.lululemon.com/is/image/lululemon/LW3JA7S_0001_1?wid=320&amp;op_usm=0.8",1)</f>
        <v/>
      </c>
      <c r="B506" s="6" t="inlineStr">
        <is>
          <t>Hold Tight Straight Hem Cropped T-Shirt</t>
        </is>
      </c>
      <c r="C506" s="6" t="inlineStr">
        <is>
          <t>157687995</t>
        </is>
      </c>
      <c r="D506" s="6" t="inlineStr">
        <is>
          <t>157687995-black</t>
        </is>
      </c>
      <c r="E506" s="6" t="inlineStr">
        <is>
          <t>Hold Tight Straight-Hem Cropped T-Shirt BLK 2</t>
        </is>
      </c>
      <c r="F506" s="6" t="inlineStr">
        <is>
          <t>$58.00</t>
        </is>
      </c>
      <c r="G506" s="6" t="inlineStr">
        <is>
          <t>$29.00</t>
        </is>
      </c>
      <c r="H506" s="6" t="inlineStr">
        <is>
          <t>Black</t>
        </is>
      </c>
      <c r="I506" s="6">
        <f>IMAGE("https://images.lululemon.com/is/image/lululemon/0001",1)</f>
        <v/>
      </c>
      <c r="J506" s="6" t="inlineStr">
        <is>
          <t>12</t>
        </is>
      </c>
      <c r="K506" s="6" t="inlineStr">
        <is>
          <t>24/247</t>
        </is>
      </c>
      <c r="L506" s="6" t="inlineStr">
        <is>
          <t>Yes</t>
        </is>
      </c>
      <c r="M506" s="6" t="inlineStr">
        <is>
          <t>This lightweight everyday top has just the right softness, just the right stretch, and a snug fit that feels like a second skin.</t>
        </is>
      </c>
      <c r="N506" s="6" t="inlineStr">
        <is>
          <t>Hold-Tight-Straight-Hem-Cropped-T-Shirt</t>
        </is>
      </c>
      <c r="O506" s="6" t="inlineStr"/>
    </row>
    <row r="507" ht="80" customHeight="1">
      <c r="A507" s="7">
        <f>IMAGE("https://images.lululemon.com/is/image/lululemon/LW3JO3S_031382_1?wid=320&amp;op_usm=0.8",1)</f>
        <v/>
      </c>
      <c r="B507" s="7" t="inlineStr">
        <is>
          <t>Softstreme Half-Zip *Long</t>
        </is>
      </c>
      <c r="C507" s="7" t="inlineStr">
        <is>
          <t>158095450</t>
        </is>
      </c>
      <c r="D507" s="7" t="inlineStr">
        <is>
          <t>158095450-truenavy</t>
        </is>
      </c>
      <c r="E507" s="7" t="inlineStr">
        <is>
          <t>Softstreme™ Long Half Zip TRNV XS</t>
        </is>
      </c>
      <c r="F507" s="7" t="inlineStr">
        <is>
          <t>$138.00</t>
        </is>
      </c>
      <c r="G507" s="7" t="inlineStr">
        <is>
          <t>$69.00</t>
        </is>
      </c>
      <c r="H507" s="7" t="inlineStr">
        <is>
          <t>True Navy</t>
        </is>
      </c>
      <c r="I507" s="7">
        <f>IMAGE("https://images.lululemon.com/is/image/lululemon/31382",1)</f>
        <v/>
      </c>
      <c r="J507" s="7" t="inlineStr">
        <is>
          <t>XS</t>
        </is>
      </c>
      <c r="K507" s="7" t="inlineStr">
        <is>
          <t>232/571</t>
        </is>
      </c>
      <c r="L507" s="7" t="inlineStr">
        <is>
          <t>Yes</t>
        </is>
      </c>
      <c r="M507" s="7" t="inlineStr">
        <is>
          <t>Transition from workout class to coffee shop in comfort. This oversized half zip is a little longer in the back for coverage and has a cinchable hem to adjust the look and length.</t>
        </is>
      </c>
      <c r="N507" s="7" t="inlineStr">
        <is>
          <t>Softstreme-Half-Zip-Hoodie</t>
        </is>
      </c>
      <c r="O507" s="7" t="inlineStr">
        <is>
          <t>Half Zip Sweatshirts, Quarter Zip Sweatshirts</t>
        </is>
      </c>
    </row>
    <row r="508" ht="80" customHeight="1">
      <c r="A508" s="4">
        <f>IMAGE("https://images.lululemon.com/is/image/lululemon/LW3JO3S_031382_1?wid=320&amp;op_usm=0.8",1)</f>
        <v/>
      </c>
      <c r="B508" s="4" t="inlineStr">
        <is>
          <t>Softstreme Half-Zip *Long</t>
        </is>
      </c>
      <c r="C508" s="4" t="inlineStr">
        <is>
          <t>158095434</t>
        </is>
      </c>
      <c r="D508" s="4" t="inlineStr">
        <is>
          <t>158095434-truenavy</t>
        </is>
      </c>
      <c r="E508" s="4" t="inlineStr">
        <is>
          <t>Softstreme™ Long Half Zip TRNV XS</t>
        </is>
      </c>
      <c r="F508" s="4" t="inlineStr">
        <is>
          <t>$138.00</t>
        </is>
      </c>
      <c r="G508" s="4" t="inlineStr">
        <is>
          <t>$69.00</t>
        </is>
      </c>
      <c r="H508" s="4" t="inlineStr">
        <is>
          <t>True Navy</t>
        </is>
      </c>
      <c r="I508" s="4">
        <f>IMAGE("https://images.lululemon.com/is/image/lululemon/31382",1)</f>
        <v/>
      </c>
      <c r="J508" s="4" t="inlineStr">
        <is>
          <t>S</t>
        </is>
      </c>
      <c r="K508" s="4" t="inlineStr">
        <is>
          <t>164/571</t>
        </is>
      </c>
      <c r="L508" s="4" t="inlineStr">
        <is>
          <t>Yes</t>
        </is>
      </c>
      <c r="M508" s="4" t="inlineStr">
        <is>
          <t>Transition from workout class to coffee shop in comfort. This oversized half zip is a little longer in the back for coverage and has a cinchable hem to adjust the look and length.</t>
        </is>
      </c>
      <c r="N508" s="4" t="inlineStr">
        <is>
          <t>Softstreme-Half-Zip-Hoodie</t>
        </is>
      </c>
      <c r="O508" s="4" t="inlineStr">
        <is>
          <t>Half Zip Sweatshirts, Quarter Zip Sweatshirts</t>
        </is>
      </c>
    </row>
    <row r="509" ht="80" customHeight="1">
      <c r="A509" s="7">
        <f>IMAGE("https://images.lululemon.com/is/image/lululemon/LW3JO3S_031382_1?wid=320&amp;op_usm=0.8",1)</f>
        <v/>
      </c>
      <c r="B509" s="7" t="inlineStr">
        <is>
          <t>Softstreme Half-Zip *Long</t>
        </is>
      </c>
      <c r="C509" s="7" t="inlineStr">
        <is>
          <t>158095425</t>
        </is>
      </c>
      <c r="D509" s="7" t="inlineStr">
        <is>
          <t>158095425-truenavy</t>
        </is>
      </c>
      <c r="E509" s="7" t="inlineStr">
        <is>
          <t>Softstreme™ Long Half Zip TRNV XS</t>
        </is>
      </c>
      <c r="F509" s="7" t="inlineStr">
        <is>
          <t>$138.00</t>
        </is>
      </c>
      <c r="G509" s="7" t="inlineStr">
        <is>
          <t>$69.00</t>
        </is>
      </c>
      <c r="H509" s="7" t="inlineStr">
        <is>
          <t>True Navy</t>
        </is>
      </c>
      <c r="I509" s="7">
        <f>IMAGE("https://images.lululemon.com/is/image/lululemon/31382",1)</f>
        <v/>
      </c>
      <c r="J509" s="7" t="inlineStr">
        <is>
          <t>M</t>
        </is>
      </c>
      <c r="K509" s="7" t="inlineStr">
        <is>
          <t>76/571</t>
        </is>
      </c>
      <c r="L509" s="7" t="inlineStr">
        <is>
          <t>Yes</t>
        </is>
      </c>
      <c r="M509" s="7" t="inlineStr">
        <is>
          <t>Transition from workout class to coffee shop in comfort. This oversized half zip is a little longer in the back for coverage and has a cinchable hem to adjust the look and length.</t>
        </is>
      </c>
      <c r="N509" s="7" t="inlineStr">
        <is>
          <t>Softstreme-Half-Zip-Hoodie</t>
        </is>
      </c>
      <c r="O509" s="7" t="inlineStr">
        <is>
          <t>Half Zip Sweatshirts, Quarter Zip Sweatshirts</t>
        </is>
      </c>
    </row>
    <row r="510" ht="80" customHeight="1">
      <c r="A510" s="4">
        <f>IMAGE("https://images.lululemon.com/is/image/lululemon/LW3JO3S_031382_1?wid=320&amp;op_usm=0.8",1)</f>
        <v/>
      </c>
      <c r="B510" s="4" t="inlineStr">
        <is>
          <t>Softstreme Half-Zip *Long</t>
        </is>
      </c>
      <c r="C510" s="4" t="inlineStr">
        <is>
          <t>158095419</t>
        </is>
      </c>
      <c r="D510" s="4" t="inlineStr">
        <is>
          <t>158095419-truenavy</t>
        </is>
      </c>
      <c r="E510" s="4" t="inlineStr">
        <is>
          <t>Softstreme™ Long Half Zip TRNV XS</t>
        </is>
      </c>
      <c r="F510" s="4" t="inlineStr">
        <is>
          <t>$138.00</t>
        </is>
      </c>
      <c r="G510" s="4" t="inlineStr">
        <is>
          <t>$69.00</t>
        </is>
      </c>
      <c r="H510" s="4" t="inlineStr">
        <is>
          <t>True Navy</t>
        </is>
      </c>
      <c r="I510" s="4">
        <f>IMAGE("https://images.lululemon.com/is/image/lululemon/31382",1)</f>
        <v/>
      </c>
      <c r="J510" s="4" t="inlineStr">
        <is>
          <t>L</t>
        </is>
      </c>
      <c r="K510" s="4" t="inlineStr">
        <is>
          <t>52/571</t>
        </is>
      </c>
      <c r="L510" s="4" t="inlineStr">
        <is>
          <t>Yes</t>
        </is>
      </c>
      <c r="M510" s="4" t="inlineStr">
        <is>
          <t>Transition from workout class to coffee shop in comfort. This oversized half zip is a little longer in the back for coverage and has a cinchable hem to adjust the look and length.</t>
        </is>
      </c>
      <c r="N510" s="4" t="inlineStr">
        <is>
          <t>Softstreme-Half-Zip-Hoodie</t>
        </is>
      </c>
      <c r="O510" s="4" t="inlineStr">
        <is>
          <t>Half Zip Sweatshirts, Quarter Zip Sweatshirts</t>
        </is>
      </c>
    </row>
    <row r="511" ht="80" customHeight="1">
      <c r="A511" s="5">
        <f>IMAGE("https://images.lululemon.com/is/image/lululemon/LW3JO3S_031382_1?wid=320&amp;op_usm=0.8",1)</f>
        <v/>
      </c>
      <c r="B511" s="5" t="inlineStr">
        <is>
          <t>Softstreme Half-Zip *Long</t>
        </is>
      </c>
      <c r="C511" s="5" t="inlineStr">
        <is>
          <t>158095441</t>
        </is>
      </c>
      <c r="D511" s="5" t="inlineStr">
        <is>
          <t>158095441-truenavy</t>
        </is>
      </c>
      <c r="E511" s="5" t="inlineStr">
        <is>
          <t>Softstreme™ Long Half Zip TRNV XS</t>
        </is>
      </c>
      <c r="F511" s="5" t="inlineStr">
        <is>
          <t>$138.00</t>
        </is>
      </c>
      <c r="G511" s="5" t="inlineStr">
        <is>
          <t>$69.00</t>
        </is>
      </c>
      <c r="H511" s="5" t="inlineStr">
        <is>
          <t>True Navy</t>
        </is>
      </c>
      <c r="I511" s="5">
        <f>IMAGE("https://images.lululemon.com/is/image/lululemon/31382",1)</f>
        <v/>
      </c>
      <c r="J511" s="5" t="inlineStr">
        <is>
          <t>XL</t>
        </is>
      </c>
      <c r="K511" s="5" t="inlineStr">
        <is>
          <t>47/571</t>
        </is>
      </c>
      <c r="L511" s="5" t="inlineStr">
        <is>
          <t>Yes</t>
        </is>
      </c>
      <c r="M511" s="5" t="inlineStr">
        <is>
          <t>Transition from workout class to coffee shop in comfort. This oversized half zip is a little longer in the back for coverage and has a cinchable hem to adjust the look and length.</t>
        </is>
      </c>
      <c r="N511" s="5" t="inlineStr">
        <is>
          <t>Softstreme-Half-Zip-Hoodie</t>
        </is>
      </c>
      <c r="O511" s="5" t="inlineStr">
        <is>
          <t>Half Zip Sweatshirts, Quarter Zip Sweatshirts</t>
        </is>
      </c>
    </row>
    <row r="512" ht="80" customHeight="1">
      <c r="A512" s="6">
        <f>IMAGE("https://images.lululemon.com/is/image/lululemon/LW2EJ3S_019295_1?wid=320&amp;op_usm=0.8",1)</f>
        <v/>
      </c>
      <c r="B512" s="6" t="inlineStr">
        <is>
          <t>Flow Y Mid-Support Bra Logo *B/C Cup</t>
        </is>
      </c>
      <c r="C512" s="6" t="inlineStr">
        <is>
          <t>157680995</t>
        </is>
      </c>
      <c r="D512" s="6" t="inlineStr">
        <is>
          <t>157680995-lululemonred</t>
        </is>
      </c>
      <c r="E512" s="6" t="inlineStr">
        <is>
          <t>Flow Y Mid-Support Bra *Logo LURD 2</t>
        </is>
      </c>
      <c r="F512" s="6" t="inlineStr">
        <is>
          <t>$58.00</t>
        </is>
      </c>
      <c r="G512" s="6" t="inlineStr">
        <is>
          <t>$29.00</t>
        </is>
      </c>
      <c r="H512" s="6" t="inlineStr">
        <is>
          <t>Lululemon Red</t>
        </is>
      </c>
      <c r="I512" s="6">
        <f>IMAGE("https://images.lululemon.com/is/image/lululemon/19295",1)</f>
        <v/>
      </c>
      <c r="J512" s="6" t="inlineStr">
        <is>
          <t>2</t>
        </is>
      </c>
      <c r="K512" s="6" t="inlineStr">
        <is>
          <t>4/4</t>
        </is>
      </c>
      <c r="L512" s="6" t="inlineStr">
        <is>
          <t>Yes</t>
        </is>
      </c>
      <c r="M512" s="6" t="inlineStr">
        <is>
          <t>Delicate details, powerful performance. Inspired by the look of our fan-favourite Flow Y bra, we designed this sports bra with supportive construction for dynamic movement.</t>
        </is>
      </c>
      <c r="N512" s="6" t="inlineStr">
        <is>
          <t>Flow-Y-Mid-Support-Bra-Logo-BC-Cup</t>
        </is>
      </c>
      <c r="O512" s="6" t="inlineStr">
        <is>
          <t>Racerback Bras</t>
        </is>
      </c>
    </row>
    <row r="513" ht="80" customHeight="1">
      <c r="A513" s="7">
        <f>IMAGE("https://images.lululemon.com/is/image/lululemon/LW6CP2S_031382_1?wid=320&amp;op_usm=0.8",1)</f>
        <v/>
      </c>
      <c r="B513" s="7" t="inlineStr">
        <is>
          <t>Fast and Free High-Rise Crop 19" *5 Pocket</t>
        </is>
      </c>
      <c r="C513" s="7" t="inlineStr">
        <is>
          <t>151675289</t>
        </is>
      </c>
      <c r="D513" s="7" t="inlineStr">
        <is>
          <t>151675289-truenavy</t>
        </is>
      </c>
      <c r="E513" s="7" t="inlineStr">
        <is>
          <t>Fast and Free HR Crop 19" *Pockets TRNV 2</t>
        </is>
      </c>
      <c r="F513" s="7" t="inlineStr">
        <is>
          <t>$118.00</t>
        </is>
      </c>
      <c r="G513" s="7" t="inlineStr">
        <is>
          <t>$59.00</t>
        </is>
      </c>
      <c r="H513" s="7" t="inlineStr">
        <is>
          <t>True Navy</t>
        </is>
      </c>
      <c r="I513" s="7">
        <f>IMAGE("https://images.lululemon.com/is/image/lululemon/31382",1)</f>
        <v/>
      </c>
      <c r="J513" s="7" t="inlineStr">
        <is>
          <t>2</t>
        </is>
      </c>
      <c r="K513" s="7" t="inlineStr">
        <is>
          <t>40/970</t>
        </is>
      </c>
      <c r="L513" s="7" t="inlineStr">
        <is>
          <t>Yes</t>
        </is>
      </c>
      <c r="M513" s="7" t="inlineStr">
        <is>
          <t>Set your run free. This five-pocket version of our Fast and Free crop has seam-free inner thighs and a streamlined waistband to maximize that smooth, weightless feeling.</t>
        </is>
      </c>
      <c r="N513" s="7" t="inlineStr">
        <is>
          <t>Nulux-5-Pckt-Reflective-HR-Run-Crop-19</t>
        </is>
      </c>
      <c r="O513" s="7" t="inlineStr"/>
    </row>
    <row r="514" ht="80" customHeight="1">
      <c r="A514" s="4">
        <f>IMAGE("https://images.lululemon.com/is/image/lululemon/LW6CP2S_031382_1?wid=320&amp;op_usm=0.8",1)</f>
        <v/>
      </c>
      <c r="B514" s="4" t="inlineStr">
        <is>
          <t>Fast and Free High-Rise Crop 19" *5 Pocket</t>
        </is>
      </c>
      <c r="C514" s="4" t="inlineStr">
        <is>
          <t>151675321</t>
        </is>
      </c>
      <c r="D514" s="4" t="inlineStr">
        <is>
          <t>151675321-truenavy</t>
        </is>
      </c>
      <c r="E514" s="4" t="inlineStr">
        <is>
          <t>Fast and Free HR Crop 19" *Pockets TRNV 2</t>
        </is>
      </c>
      <c r="F514" s="4" t="inlineStr">
        <is>
          <t>$118.00</t>
        </is>
      </c>
      <c r="G514" s="4" t="inlineStr">
        <is>
          <t>$59.00</t>
        </is>
      </c>
      <c r="H514" s="4" t="inlineStr">
        <is>
          <t>True Navy</t>
        </is>
      </c>
      <c r="I514" s="4">
        <f>IMAGE("https://images.lululemon.com/is/image/lululemon/31382",1)</f>
        <v/>
      </c>
      <c r="J514" s="4" t="inlineStr">
        <is>
          <t>4</t>
        </is>
      </c>
      <c r="K514" s="4" t="inlineStr">
        <is>
          <t>91/970</t>
        </is>
      </c>
      <c r="L514" s="4" t="inlineStr">
        <is>
          <t>Yes</t>
        </is>
      </c>
      <c r="M514" s="4" t="inlineStr">
        <is>
          <t>Set your run free. This five-pocket version of our Fast and Free crop has seam-free inner thighs and a streamlined waistband to maximize that smooth, weightless feeling.</t>
        </is>
      </c>
      <c r="N514" s="4" t="inlineStr">
        <is>
          <t>Nulux-5-Pckt-Reflective-HR-Run-Crop-19</t>
        </is>
      </c>
      <c r="O514" s="4" t="inlineStr"/>
    </row>
    <row r="515" ht="80" customHeight="1">
      <c r="A515" s="7">
        <f>IMAGE("https://images.lululemon.com/is/image/lululemon/LW6CP2S_031382_1?wid=320&amp;op_usm=0.8",1)</f>
        <v/>
      </c>
      <c r="B515" s="7" t="inlineStr">
        <is>
          <t>Fast and Free High-Rise Crop 19" *5 Pocket</t>
        </is>
      </c>
      <c r="C515" s="7" t="inlineStr">
        <is>
          <t>151675327</t>
        </is>
      </c>
      <c r="D515" s="7" t="inlineStr">
        <is>
          <t>151675327-truenavy</t>
        </is>
      </c>
      <c r="E515" s="7" t="inlineStr">
        <is>
          <t>Fast and Free HR Crop 19" *Pockets TRNV 2</t>
        </is>
      </c>
      <c r="F515" s="7" t="inlineStr">
        <is>
          <t>$118.00</t>
        </is>
      </c>
      <c r="G515" s="7" t="inlineStr">
        <is>
          <t>$59.00</t>
        </is>
      </c>
      <c r="H515" s="7" t="inlineStr">
        <is>
          <t>True Navy</t>
        </is>
      </c>
      <c r="I515" s="7">
        <f>IMAGE("https://images.lululemon.com/is/image/lululemon/31382",1)</f>
        <v/>
      </c>
      <c r="J515" s="7" t="inlineStr">
        <is>
          <t>6</t>
        </is>
      </c>
      <c r="K515" s="7" t="inlineStr">
        <is>
          <t>106/970</t>
        </is>
      </c>
      <c r="L515" s="7" t="inlineStr">
        <is>
          <t>Yes</t>
        </is>
      </c>
      <c r="M515" s="7" t="inlineStr">
        <is>
          <t>Set your run free. This five-pocket version of our Fast and Free crop has seam-free inner thighs and a streamlined waistband to maximize that smooth, weightless feeling.</t>
        </is>
      </c>
      <c r="N515" s="7" t="inlineStr">
        <is>
          <t>Nulux-5-Pckt-Reflective-HR-Run-Crop-19</t>
        </is>
      </c>
      <c r="O515" s="7" t="inlineStr"/>
    </row>
    <row r="516" ht="80" customHeight="1">
      <c r="A516" s="4">
        <f>IMAGE("https://images.lululemon.com/is/image/lululemon/LW6CP2S_031382_1?wid=320&amp;op_usm=0.8",1)</f>
        <v/>
      </c>
      <c r="B516" s="4" t="inlineStr">
        <is>
          <t>Fast and Free High-Rise Crop 19" *5 Pocket</t>
        </is>
      </c>
      <c r="C516" s="4" t="inlineStr">
        <is>
          <t>151675333</t>
        </is>
      </c>
      <c r="D516" s="4" t="inlineStr">
        <is>
          <t>151675333-truenavy</t>
        </is>
      </c>
      <c r="E516" s="4" t="inlineStr">
        <is>
          <t>Fast and Free HR Crop 19" *Pockets TRNV 2</t>
        </is>
      </c>
      <c r="F516" s="4" t="inlineStr">
        <is>
          <t>$118.00</t>
        </is>
      </c>
      <c r="G516" s="4" t="inlineStr">
        <is>
          <t>$59.00</t>
        </is>
      </c>
      <c r="H516" s="4" t="inlineStr">
        <is>
          <t>True Navy</t>
        </is>
      </c>
      <c r="I516" s="4">
        <f>IMAGE("https://images.lululemon.com/is/image/lululemon/31382",1)</f>
        <v/>
      </c>
      <c r="J516" s="4" t="inlineStr">
        <is>
          <t>8</t>
        </is>
      </c>
      <c r="K516" s="4" t="inlineStr">
        <is>
          <t>83/970</t>
        </is>
      </c>
      <c r="L516" s="4" t="inlineStr">
        <is>
          <t>Yes</t>
        </is>
      </c>
      <c r="M516" s="4" t="inlineStr">
        <is>
          <t>Set your run free. This five-pocket version of our Fast and Free crop has seam-free inner thighs and a streamlined waistband to maximize that smooth, weightless feeling.</t>
        </is>
      </c>
      <c r="N516" s="4" t="inlineStr">
        <is>
          <t>Nulux-5-Pckt-Reflective-HR-Run-Crop-19</t>
        </is>
      </c>
      <c r="O516" s="4" t="inlineStr"/>
    </row>
    <row r="517" ht="80" customHeight="1">
      <c r="A517" s="7">
        <f>IMAGE("https://images.lululemon.com/is/image/lululemon/LW6CP2S_031382_1?wid=320&amp;op_usm=0.8",1)</f>
        <v/>
      </c>
      <c r="B517" s="7" t="inlineStr">
        <is>
          <t>Fast and Free High-Rise Crop 19" *5 Pocket</t>
        </is>
      </c>
      <c r="C517" s="7" t="inlineStr">
        <is>
          <t>151675254</t>
        </is>
      </c>
      <c r="D517" s="7" t="inlineStr">
        <is>
          <t>151675254-truenavy</t>
        </is>
      </c>
      <c r="E517" s="7" t="inlineStr">
        <is>
          <t>Fast and Free HR Crop 19" *Pockets TRNV 2</t>
        </is>
      </c>
      <c r="F517" s="7" t="inlineStr">
        <is>
          <t>$118.00</t>
        </is>
      </c>
      <c r="G517" s="7" t="inlineStr">
        <is>
          <t>$59.00</t>
        </is>
      </c>
      <c r="H517" s="7" t="inlineStr">
        <is>
          <t>True Navy</t>
        </is>
      </c>
      <c r="I517" s="7">
        <f>IMAGE("https://images.lululemon.com/is/image/lululemon/31382",1)</f>
        <v/>
      </c>
      <c r="J517" s="7" t="inlineStr">
        <is>
          <t>10</t>
        </is>
      </c>
      <c r="K517" s="7" t="inlineStr">
        <is>
          <t>48/970</t>
        </is>
      </c>
      <c r="L517" s="7" t="inlineStr">
        <is>
          <t>Yes</t>
        </is>
      </c>
      <c r="M517" s="7" t="inlineStr">
        <is>
          <t>Set your run free. This five-pocket version of our Fast and Free crop has seam-free inner thighs and a streamlined waistband to maximize that smooth, weightless feeling.</t>
        </is>
      </c>
      <c r="N517" s="7" t="inlineStr">
        <is>
          <t>Nulux-5-Pckt-Reflective-HR-Run-Crop-19</t>
        </is>
      </c>
      <c r="O517" s="7" t="inlineStr"/>
    </row>
    <row r="518" ht="80" customHeight="1">
      <c r="A518" s="4">
        <f>IMAGE("https://images.lululemon.com/is/image/lululemon/LW6CP2S_031382_1?wid=320&amp;op_usm=0.8",1)</f>
        <v/>
      </c>
      <c r="B518" s="4" t="inlineStr">
        <is>
          <t>Fast and Free High-Rise Crop 19" *5 Pocket</t>
        </is>
      </c>
      <c r="C518" s="4" t="inlineStr">
        <is>
          <t>151675261</t>
        </is>
      </c>
      <c r="D518" s="4" t="inlineStr">
        <is>
          <t>151675261-truenavy</t>
        </is>
      </c>
      <c r="E518" s="4" t="inlineStr">
        <is>
          <t>Fast and Free HR Crop 19" *Pockets TRNV 2</t>
        </is>
      </c>
      <c r="F518" s="4" t="inlineStr">
        <is>
          <t>$118.00</t>
        </is>
      </c>
      <c r="G518" s="4" t="inlineStr">
        <is>
          <t>$59.00</t>
        </is>
      </c>
      <c r="H518" s="4" t="inlineStr">
        <is>
          <t>True Navy</t>
        </is>
      </c>
      <c r="I518" s="4">
        <f>IMAGE("https://images.lululemon.com/is/image/lululemon/31382",1)</f>
        <v/>
      </c>
      <c r="J518" s="4" t="inlineStr">
        <is>
          <t>12</t>
        </is>
      </c>
      <c r="K518" s="4" t="inlineStr">
        <is>
          <t>20/970</t>
        </is>
      </c>
      <c r="L518" s="4" t="inlineStr">
        <is>
          <t>Yes</t>
        </is>
      </c>
      <c r="M518" s="4" t="inlineStr">
        <is>
          <t>Set your run free. This five-pocket version of our Fast and Free crop has seam-free inner thighs and a streamlined waistband to maximize that smooth, weightless feeling.</t>
        </is>
      </c>
      <c r="N518" s="4" t="inlineStr">
        <is>
          <t>Nulux-5-Pckt-Reflective-HR-Run-Crop-19</t>
        </is>
      </c>
      <c r="O518" s="4" t="inlineStr"/>
    </row>
    <row r="519" ht="80" customHeight="1">
      <c r="A519" s="7">
        <f>IMAGE("https://images.lululemon.com/is/image/lululemon/LW6CP2S_031382_1?wid=320&amp;op_usm=0.8",1)</f>
        <v/>
      </c>
      <c r="B519" s="7" t="inlineStr">
        <is>
          <t>Fast and Free High-Rise Crop 19" *5 Pocket</t>
        </is>
      </c>
      <c r="C519" s="7" t="inlineStr">
        <is>
          <t>151675192</t>
        </is>
      </c>
      <c r="D519" s="7" t="inlineStr">
        <is>
          <t>151675192-black</t>
        </is>
      </c>
      <c r="E519" s="7" t="inlineStr">
        <is>
          <t>Fast and Free HR Crop 19" *Pockets TRNV 2</t>
        </is>
      </c>
      <c r="F519" s="7" t="inlineStr">
        <is>
          <t>$118.00</t>
        </is>
      </c>
      <c r="G519" s="7" t="inlineStr">
        <is>
          <t>$59.00</t>
        </is>
      </c>
      <c r="H519" s="7" t="inlineStr">
        <is>
          <t>Black</t>
        </is>
      </c>
      <c r="I519" s="7">
        <f>IMAGE("https://images.lululemon.com/is/image/lululemon/0001",1)</f>
        <v/>
      </c>
      <c r="J519" s="7" t="inlineStr">
        <is>
          <t>2</t>
        </is>
      </c>
      <c r="K519" s="7" t="inlineStr">
        <is>
          <t>62/970</t>
        </is>
      </c>
      <c r="L519" s="7" t="inlineStr">
        <is>
          <t>Yes</t>
        </is>
      </c>
      <c r="M519" s="7" t="inlineStr">
        <is>
          <t>Set your run free. This five-pocket version of our Fast and Free crop has seam-free inner thighs and a streamlined waistband to maximize that smooth, weightless feeling.</t>
        </is>
      </c>
      <c r="N519" s="7" t="inlineStr">
        <is>
          <t>Nulux-5-Pckt-Reflective-HR-Run-Crop-19</t>
        </is>
      </c>
      <c r="O519" s="7" t="inlineStr"/>
    </row>
    <row r="520" ht="80" customHeight="1">
      <c r="A520" s="4">
        <f>IMAGE("https://images.lululemon.com/is/image/lululemon/LW6CP2S_031382_1?wid=320&amp;op_usm=0.8",1)</f>
        <v/>
      </c>
      <c r="B520" s="4" t="inlineStr">
        <is>
          <t>Fast and Free High-Rise Crop 19" *5 Pocket</t>
        </is>
      </c>
      <c r="C520" s="4" t="inlineStr">
        <is>
          <t>151675227</t>
        </is>
      </c>
      <c r="D520" s="4" t="inlineStr">
        <is>
          <t>151675227-black</t>
        </is>
      </c>
      <c r="E520" s="4" t="inlineStr">
        <is>
          <t>Fast and Free HR Crop 19" *Pockets TRNV 2</t>
        </is>
      </c>
      <c r="F520" s="4" t="inlineStr">
        <is>
          <t>$118.00</t>
        </is>
      </c>
      <c r="G520" s="4" t="inlineStr">
        <is>
          <t>$59.00</t>
        </is>
      </c>
      <c r="H520" s="4" t="inlineStr">
        <is>
          <t>Black</t>
        </is>
      </c>
      <c r="I520" s="4">
        <f>IMAGE("https://images.lululemon.com/is/image/lululemon/0001",1)</f>
        <v/>
      </c>
      <c r="J520" s="4" t="inlineStr">
        <is>
          <t>4</t>
        </is>
      </c>
      <c r="K520" s="4" t="inlineStr">
        <is>
          <t>141/970</t>
        </is>
      </c>
      <c r="L520" s="4" t="inlineStr">
        <is>
          <t>Yes</t>
        </is>
      </c>
      <c r="M520" s="4" t="inlineStr">
        <is>
          <t>Set your run free. This five-pocket version of our Fast and Free crop has seam-free inner thighs and a streamlined waistband to maximize that smooth, weightless feeling.</t>
        </is>
      </c>
      <c r="N520" s="4" t="inlineStr">
        <is>
          <t>Nulux-5-Pckt-Reflective-HR-Run-Crop-19</t>
        </is>
      </c>
      <c r="O520" s="4" t="inlineStr"/>
    </row>
    <row r="521" ht="80" customHeight="1">
      <c r="A521" s="7">
        <f>IMAGE("https://images.lululemon.com/is/image/lululemon/LW6CP2S_031382_1?wid=320&amp;op_usm=0.8",1)</f>
        <v/>
      </c>
      <c r="B521" s="7" t="inlineStr">
        <is>
          <t>Fast and Free High-Rise Crop 19" *5 Pocket</t>
        </is>
      </c>
      <c r="C521" s="7" t="inlineStr">
        <is>
          <t>151675234</t>
        </is>
      </c>
      <c r="D521" s="7" t="inlineStr">
        <is>
          <t>151675234-black</t>
        </is>
      </c>
      <c r="E521" s="7" t="inlineStr">
        <is>
          <t>Fast and Free HR Crop 19" *Pockets TRNV 2</t>
        </is>
      </c>
      <c r="F521" s="7" t="inlineStr">
        <is>
          <t>$118.00</t>
        </is>
      </c>
      <c r="G521" s="7" t="inlineStr">
        <is>
          <t>$59.00</t>
        </is>
      </c>
      <c r="H521" s="7" t="inlineStr">
        <is>
          <t>Black</t>
        </is>
      </c>
      <c r="I521" s="7">
        <f>IMAGE("https://images.lululemon.com/is/image/lululemon/0001",1)</f>
        <v/>
      </c>
      <c r="J521" s="7" t="inlineStr">
        <is>
          <t>6</t>
        </is>
      </c>
      <c r="K521" s="7" t="inlineStr">
        <is>
          <t>155/970</t>
        </is>
      </c>
      <c r="L521" s="7" t="inlineStr">
        <is>
          <t>Yes</t>
        </is>
      </c>
      <c r="M521" s="7" t="inlineStr">
        <is>
          <t>Set your run free. This five-pocket version of our Fast and Free crop has seam-free inner thighs and a streamlined waistband to maximize that smooth, weightless feeling.</t>
        </is>
      </c>
      <c r="N521" s="7" t="inlineStr">
        <is>
          <t>Nulux-5-Pckt-Reflective-HR-Run-Crop-19</t>
        </is>
      </c>
      <c r="O521" s="7" t="inlineStr"/>
    </row>
    <row r="522" ht="80" customHeight="1">
      <c r="A522" s="4">
        <f>IMAGE("https://images.lululemon.com/is/image/lululemon/LW6CP2S_031382_1?wid=320&amp;op_usm=0.8",1)</f>
        <v/>
      </c>
      <c r="B522" s="4" t="inlineStr">
        <is>
          <t>Fast and Free High-Rise Crop 19" *5 Pocket</t>
        </is>
      </c>
      <c r="C522" s="4" t="inlineStr">
        <is>
          <t>151675241</t>
        </is>
      </c>
      <c r="D522" s="4" t="inlineStr">
        <is>
          <t>151675241-black</t>
        </is>
      </c>
      <c r="E522" s="4" t="inlineStr">
        <is>
          <t>Fast and Free HR Crop 19" *Pockets TRNV 2</t>
        </is>
      </c>
      <c r="F522" s="4" t="inlineStr">
        <is>
          <t>$118.00</t>
        </is>
      </c>
      <c r="G522" s="4" t="inlineStr">
        <is>
          <t>$59.00</t>
        </is>
      </c>
      <c r="H522" s="4" t="inlineStr">
        <is>
          <t>Black</t>
        </is>
      </c>
      <c r="I522" s="4">
        <f>IMAGE("https://images.lululemon.com/is/image/lululemon/0001",1)</f>
        <v/>
      </c>
      <c r="J522" s="4" t="inlineStr">
        <is>
          <t>8</t>
        </is>
      </c>
      <c r="K522" s="4" t="inlineStr">
        <is>
          <t>125/970</t>
        </is>
      </c>
      <c r="L522" s="4" t="inlineStr">
        <is>
          <t>Yes</t>
        </is>
      </c>
      <c r="M522" s="4" t="inlineStr">
        <is>
          <t>Set your run free. This five-pocket version of our Fast and Free crop has seam-free inner thighs and a streamlined waistband to maximize that smooth, weightless feeling.</t>
        </is>
      </c>
      <c r="N522" s="4" t="inlineStr">
        <is>
          <t>Nulux-5-Pckt-Reflective-HR-Run-Crop-19</t>
        </is>
      </c>
      <c r="O522" s="4" t="inlineStr"/>
    </row>
    <row r="523" ht="80" customHeight="1">
      <c r="A523" s="7">
        <f>IMAGE("https://images.lululemon.com/is/image/lululemon/LW6CP2S_031382_1?wid=320&amp;op_usm=0.8",1)</f>
        <v/>
      </c>
      <c r="B523" s="7" t="inlineStr">
        <is>
          <t>Fast and Free High-Rise Crop 19" *5 Pocket</t>
        </is>
      </c>
      <c r="C523" s="7" t="inlineStr">
        <is>
          <t>151675157</t>
        </is>
      </c>
      <c r="D523" s="7" t="inlineStr">
        <is>
          <t>151675157-black</t>
        </is>
      </c>
      <c r="E523" s="7" t="inlineStr">
        <is>
          <t>Fast and Free HR Crop 19" *Pockets TRNV 2</t>
        </is>
      </c>
      <c r="F523" s="7" t="inlineStr">
        <is>
          <t>$118.00</t>
        </is>
      </c>
      <c r="G523" s="7" t="inlineStr">
        <is>
          <t>$59.00</t>
        </is>
      </c>
      <c r="H523" s="7" t="inlineStr">
        <is>
          <t>Black</t>
        </is>
      </c>
      <c r="I523" s="7">
        <f>IMAGE("https://images.lululemon.com/is/image/lululemon/0001",1)</f>
        <v/>
      </c>
      <c r="J523" s="7" t="inlineStr">
        <is>
          <t>10</t>
        </is>
      </c>
      <c r="K523" s="7" t="inlineStr">
        <is>
          <t>71/970</t>
        </is>
      </c>
      <c r="L523" s="7" t="inlineStr">
        <is>
          <t>Yes</t>
        </is>
      </c>
      <c r="M523" s="7" t="inlineStr">
        <is>
          <t>Set your run free. This five-pocket version of our Fast and Free crop has seam-free inner thighs and a streamlined waistband to maximize that smooth, weightless feeling.</t>
        </is>
      </c>
      <c r="N523" s="7" t="inlineStr">
        <is>
          <t>Nulux-5-Pckt-Reflective-HR-Run-Crop-19</t>
        </is>
      </c>
      <c r="O523" s="7" t="inlineStr"/>
    </row>
    <row r="524" ht="80" customHeight="1">
      <c r="A524" s="6">
        <f>IMAGE("https://images.lululemon.com/is/image/lululemon/LW6CP2S_031382_1?wid=320&amp;op_usm=0.8",1)</f>
        <v/>
      </c>
      <c r="B524" s="6" t="inlineStr">
        <is>
          <t>Fast and Free High-Rise Crop 19" *5 Pocket</t>
        </is>
      </c>
      <c r="C524" s="6" t="inlineStr">
        <is>
          <t>151675165</t>
        </is>
      </c>
      <c r="D524" s="6" t="inlineStr">
        <is>
          <t>151675165-black</t>
        </is>
      </c>
      <c r="E524" s="6" t="inlineStr">
        <is>
          <t>Fast and Free HR Crop 19" *Pockets TRNV 2</t>
        </is>
      </c>
      <c r="F524" s="6" t="inlineStr">
        <is>
          <t>$118.00</t>
        </is>
      </c>
      <c r="G524" s="6" t="inlineStr">
        <is>
          <t>$59.00</t>
        </is>
      </c>
      <c r="H524" s="6" t="inlineStr">
        <is>
          <t>Black</t>
        </is>
      </c>
      <c r="I524" s="6">
        <f>IMAGE("https://images.lululemon.com/is/image/lululemon/0001",1)</f>
        <v/>
      </c>
      <c r="J524" s="6" t="inlineStr">
        <is>
          <t>12</t>
        </is>
      </c>
      <c r="K524" s="6" t="inlineStr">
        <is>
          <t>28/970</t>
        </is>
      </c>
      <c r="L524" s="6" t="inlineStr">
        <is>
          <t>Yes</t>
        </is>
      </c>
      <c r="M524" s="6" t="inlineStr">
        <is>
          <t>Set your run free. This five-pocket version of our Fast and Free crop has seam-free inner thighs and a streamlined waistband to maximize that smooth, weightless feeling.</t>
        </is>
      </c>
      <c r="N524" s="6" t="inlineStr">
        <is>
          <t>Nulux-5-Pckt-Reflective-HR-Run-Crop-19</t>
        </is>
      </c>
      <c r="O524" s="6" t="inlineStr"/>
    </row>
    <row r="525" ht="80" customHeight="1">
      <c r="A525" s="7">
        <f>IMAGE("https://images.lululemon.com/is/image/lululemon/LW5HVSS_033454_1?wid=320&amp;op_usm=0.8",1)</f>
        <v/>
      </c>
      <c r="B525" s="7" t="inlineStr">
        <is>
          <t>Softstreme Classic-Fit High-Rise Jogger</t>
        </is>
      </c>
      <c r="C525" s="7" t="inlineStr">
        <is>
          <t>157684123</t>
        </is>
      </c>
      <c r="D525" s="7" t="inlineStr">
        <is>
          <t>157684123-lightivory</t>
        </is>
      </c>
      <c r="E525" s="7" t="inlineStr">
        <is>
          <t>Softstreme™ Classic-Fit High-Rise Jogger LTIV XS</t>
        </is>
      </c>
      <c r="F525" s="7" t="inlineStr">
        <is>
          <t>$128.00</t>
        </is>
      </c>
      <c r="G525" s="7" t="inlineStr">
        <is>
          <t>$64.00</t>
        </is>
      </c>
      <c r="H525" s="7" t="inlineStr">
        <is>
          <t>Light Ivory</t>
        </is>
      </c>
      <c r="I525" s="7">
        <f>IMAGE("https://images.lululemon.com/is/image/lululemon/33454",1)</f>
        <v/>
      </c>
      <c r="J525" s="7" t="inlineStr">
        <is>
          <t>XS</t>
        </is>
      </c>
      <c r="K525" s="7" t="inlineStr">
        <is>
          <t>86/728</t>
        </is>
      </c>
      <c r="L525" s="7" t="inlineStr">
        <is>
          <t>Yes</t>
        </is>
      </c>
      <c r="M525" s="7" t="inlineStr">
        <is>
          <t>Tailored look, lounge feel. These peach-fuzz soft joggers bring pajama-level comfort while front and back pintucks make them easy to dress up.</t>
        </is>
      </c>
      <c r="N525" s="7" t="inlineStr">
        <is>
          <t>Softstreme-Classic-Fit-High-Rise-Jogger</t>
        </is>
      </c>
      <c r="O525" s="7" t="inlineStr"/>
    </row>
    <row r="526" ht="80" customHeight="1">
      <c r="A526" s="4">
        <f>IMAGE("https://images.lululemon.com/is/image/lululemon/LW5HVSS_033454_1?wid=320&amp;op_usm=0.8",1)</f>
        <v/>
      </c>
      <c r="B526" s="4" t="inlineStr">
        <is>
          <t>Softstreme Classic-Fit High-Rise Jogger</t>
        </is>
      </c>
      <c r="C526" s="4" t="inlineStr">
        <is>
          <t>157684119</t>
        </is>
      </c>
      <c r="D526" s="4" t="inlineStr">
        <is>
          <t>157684119-lightivory</t>
        </is>
      </c>
      <c r="E526" s="4" t="inlineStr">
        <is>
          <t>Softstreme™ Classic-Fit High-Rise Jogger LTIV XS</t>
        </is>
      </c>
      <c r="F526" s="4" t="inlineStr">
        <is>
          <t>$128.00</t>
        </is>
      </c>
      <c r="G526" s="4" t="inlineStr">
        <is>
          <t>$64.00</t>
        </is>
      </c>
      <c r="H526" s="4" t="inlineStr">
        <is>
          <t>Light Ivory</t>
        </is>
      </c>
      <c r="I526" s="4">
        <f>IMAGE("https://images.lululemon.com/is/image/lululemon/33454",1)</f>
        <v/>
      </c>
      <c r="J526" s="4" t="inlineStr">
        <is>
          <t>S</t>
        </is>
      </c>
      <c r="K526" s="4" t="inlineStr">
        <is>
          <t>135/728</t>
        </is>
      </c>
      <c r="L526" s="4" t="inlineStr">
        <is>
          <t>Yes</t>
        </is>
      </c>
      <c r="M526" s="4" t="inlineStr">
        <is>
          <t>Tailored look, lounge feel. These peach-fuzz soft joggers bring pajama-level comfort while front and back pintucks make them easy to dress up.</t>
        </is>
      </c>
      <c r="N526" s="4" t="inlineStr">
        <is>
          <t>Softstreme-Classic-Fit-High-Rise-Jogger</t>
        </is>
      </c>
      <c r="O526" s="4" t="inlineStr"/>
    </row>
    <row r="527" ht="80" customHeight="1">
      <c r="A527" s="7">
        <f>IMAGE("https://images.lululemon.com/is/image/lululemon/LW5HVSS_033454_1?wid=320&amp;op_usm=0.8",1)</f>
        <v/>
      </c>
      <c r="B527" s="7" t="inlineStr">
        <is>
          <t>Softstreme Classic-Fit High-Rise Jogger</t>
        </is>
      </c>
      <c r="C527" s="7" t="inlineStr">
        <is>
          <t>157684117</t>
        </is>
      </c>
      <c r="D527" s="7" t="inlineStr">
        <is>
          <t>157684117-lightivory</t>
        </is>
      </c>
      <c r="E527" s="7" t="inlineStr">
        <is>
          <t>Softstreme™ Classic-Fit High-Rise Jogger LTIV XS</t>
        </is>
      </c>
      <c r="F527" s="7" t="inlineStr">
        <is>
          <t>$128.00</t>
        </is>
      </c>
      <c r="G527" s="7" t="inlineStr">
        <is>
          <t>$64.00</t>
        </is>
      </c>
      <c r="H527" s="7" t="inlineStr">
        <is>
          <t>Light Ivory</t>
        </is>
      </c>
      <c r="I527" s="7">
        <f>IMAGE("https://images.lululemon.com/is/image/lululemon/33454",1)</f>
        <v/>
      </c>
      <c r="J527" s="7" t="inlineStr">
        <is>
          <t>M</t>
        </is>
      </c>
      <c r="K527" s="7" t="inlineStr">
        <is>
          <t>132/728</t>
        </is>
      </c>
      <c r="L527" s="7" t="inlineStr">
        <is>
          <t>Yes</t>
        </is>
      </c>
      <c r="M527" s="7" t="inlineStr">
        <is>
          <t>Tailored look, lounge feel. These peach-fuzz soft joggers bring pajama-level comfort while front and back pintucks make them easy to dress up.</t>
        </is>
      </c>
      <c r="N527" s="7" t="inlineStr">
        <is>
          <t>Softstreme-Classic-Fit-High-Rise-Jogger</t>
        </is>
      </c>
      <c r="O527" s="7" t="inlineStr"/>
    </row>
    <row r="528" ht="80" customHeight="1">
      <c r="A528" s="4">
        <f>IMAGE("https://images.lululemon.com/is/image/lululemon/LW5HVSS_033454_1?wid=320&amp;op_usm=0.8",1)</f>
        <v/>
      </c>
      <c r="B528" s="4" t="inlineStr">
        <is>
          <t>Softstreme Classic-Fit High-Rise Jogger</t>
        </is>
      </c>
      <c r="C528" s="4" t="inlineStr">
        <is>
          <t>157684115</t>
        </is>
      </c>
      <c r="D528" s="4" t="inlineStr">
        <is>
          <t>157684115-lightivory</t>
        </is>
      </c>
      <c r="E528" s="4" t="inlineStr">
        <is>
          <t>Softstreme™ Classic-Fit High-Rise Jogger LTIV XS</t>
        </is>
      </c>
      <c r="F528" s="4" t="inlineStr">
        <is>
          <t>$128.00</t>
        </is>
      </c>
      <c r="G528" s="4" t="inlineStr">
        <is>
          <t>$64.00</t>
        </is>
      </c>
      <c r="H528" s="4" t="inlineStr">
        <is>
          <t>Light Ivory</t>
        </is>
      </c>
      <c r="I528" s="4">
        <f>IMAGE("https://images.lululemon.com/is/image/lululemon/33454",1)</f>
        <v/>
      </c>
      <c r="J528" s="4" t="inlineStr">
        <is>
          <t>L</t>
        </is>
      </c>
      <c r="K528" s="4" t="inlineStr">
        <is>
          <t>84/728</t>
        </is>
      </c>
      <c r="L528" s="4" t="inlineStr">
        <is>
          <t>Yes</t>
        </is>
      </c>
      <c r="M528" s="4" t="inlineStr">
        <is>
          <t>Tailored look, lounge feel. These peach-fuzz soft joggers bring pajama-level comfort while front and back pintucks make them easy to dress up.</t>
        </is>
      </c>
      <c r="N528" s="4" t="inlineStr">
        <is>
          <t>Softstreme-Classic-Fit-High-Rise-Jogger</t>
        </is>
      </c>
      <c r="O528" s="4" t="inlineStr"/>
    </row>
    <row r="529" ht="80" customHeight="1">
      <c r="A529" s="7">
        <f>IMAGE("https://images.lululemon.com/is/image/lululemon/LW5HVSS_033454_1?wid=320&amp;op_usm=0.8",1)</f>
        <v/>
      </c>
      <c r="B529" s="7" t="inlineStr">
        <is>
          <t>Softstreme Classic-Fit High-Rise Jogger</t>
        </is>
      </c>
      <c r="C529" s="7" t="inlineStr">
        <is>
          <t>157684121</t>
        </is>
      </c>
      <c r="D529" s="7" t="inlineStr">
        <is>
          <t>157684121-lightivory</t>
        </is>
      </c>
      <c r="E529" s="7" t="inlineStr">
        <is>
          <t>Softstreme™ Classic-Fit High-Rise Jogger LTIV XS</t>
        </is>
      </c>
      <c r="F529" s="7" t="inlineStr">
        <is>
          <t>$128.00</t>
        </is>
      </c>
      <c r="G529" s="7" t="inlineStr">
        <is>
          <t>$64.00</t>
        </is>
      </c>
      <c r="H529" s="7" t="inlineStr">
        <is>
          <t>Light Ivory</t>
        </is>
      </c>
      <c r="I529" s="7">
        <f>IMAGE("https://images.lululemon.com/is/image/lululemon/33454",1)</f>
        <v/>
      </c>
      <c r="J529" s="7" t="inlineStr">
        <is>
          <t>XL</t>
        </is>
      </c>
      <c r="K529" s="7" t="inlineStr">
        <is>
          <t>37/728</t>
        </is>
      </c>
      <c r="L529" s="7" t="inlineStr">
        <is>
          <t>Yes</t>
        </is>
      </c>
      <c r="M529" s="7" t="inlineStr">
        <is>
          <t>Tailored look, lounge feel. These peach-fuzz soft joggers bring pajama-level comfort while front and back pintucks make them easy to dress up.</t>
        </is>
      </c>
      <c r="N529" s="7" t="inlineStr">
        <is>
          <t>Softstreme-Classic-Fit-High-Rise-Jogger</t>
        </is>
      </c>
      <c r="O529" s="7" t="inlineStr"/>
    </row>
    <row r="530" ht="80" customHeight="1">
      <c r="A530" s="4">
        <f>IMAGE("https://images.lululemon.com/is/image/lululemon/LW5HVSS_033454_1?wid=320&amp;op_usm=0.8",1)</f>
        <v/>
      </c>
      <c r="B530" s="4" t="inlineStr">
        <is>
          <t>Softstreme Classic-Fit High-Rise Jogger</t>
        </is>
      </c>
      <c r="C530" s="4" t="inlineStr">
        <is>
          <t>157684109</t>
        </is>
      </c>
      <c r="D530" s="4" t="inlineStr">
        <is>
          <t>157684109-black</t>
        </is>
      </c>
      <c r="E530" s="4" t="inlineStr">
        <is>
          <t>Softstreme™ Classic-Fit High-Rise Jogger LTIV XS</t>
        </is>
      </c>
      <c r="F530" s="4" t="inlineStr">
        <is>
          <t>$128.00</t>
        </is>
      </c>
      <c r="G530" s="4" t="inlineStr">
        <is>
          <t>$64.00</t>
        </is>
      </c>
      <c r="H530" s="4" t="inlineStr">
        <is>
          <t>Black</t>
        </is>
      </c>
      <c r="I530" s="4">
        <f>IMAGE("https://images.lululemon.com/is/image/lululemon/0001",1)</f>
        <v/>
      </c>
      <c r="J530" s="4" t="inlineStr">
        <is>
          <t>XS</t>
        </is>
      </c>
      <c r="K530" s="4" t="inlineStr">
        <is>
          <t>40/728</t>
        </is>
      </c>
      <c r="L530" s="4" t="inlineStr">
        <is>
          <t>Yes</t>
        </is>
      </c>
      <c r="M530" s="4" t="inlineStr">
        <is>
          <t>Tailored look, lounge feel. These peach-fuzz soft joggers bring pajama-level comfort while front and back pintucks make them easy to dress up.</t>
        </is>
      </c>
      <c r="N530" s="4" t="inlineStr">
        <is>
          <t>Softstreme-Classic-Fit-High-Rise-Jogger</t>
        </is>
      </c>
      <c r="O530" s="4" t="inlineStr"/>
    </row>
    <row r="531" ht="80" customHeight="1">
      <c r="A531" s="7">
        <f>IMAGE("https://images.lululemon.com/is/image/lululemon/LW5HVSS_033454_1?wid=320&amp;op_usm=0.8",1)</f>
        <v/>
      </c>
      <c r="B531" s="7" t="inlineStr">
        <is>
          <t>Softstreme Classic-Fit High-Rise Jogger</t>
        </is>
      </c>
      <c r="C531" s="7" t="inlineStr">
        <is>
          <t>157684105</t>
        </is>
      </c>
      <c r="D531" s="7" t="inlineStr">
        <is>
          <t>157684105-black</t>
        </is>
      </c>
      <c r="E531" s="7" t="inlineStr">
        <is>
          <t>Softstreme™ Classic-Fit High-Rise Jogger LTIV XS</t>
        </is>
      </c>
      <c r="F531" s="7" t="inlineStr">
        <is>
          <t>$128.00</t>
        </is>
      </c>
      <c r="G531" s="7" t="inlineStr">
        <is>
          <t>$64.00</t>
        </is>
      </c>
      <c r="H531" s="7" t="inlineStr">
        <is>
          <t>Black</t>
        </is>
      </c>
      <c r="I531" s="7">
        <f>IMAGE("https://images.lululemon.com/is/image/lululemon/0001",1)</f>
        <v/>
      </c>
      <c r="J531" s="7" t="inlineStr">
        <is>
          <t>S</t>
        </is>
      </c>
      <c r="K531" s="7" t="inlineStr">
        <is>
          <t>73/728</t>
        </is>
      </c>
      <c r="L531" s="7" t="inlineStr">
        <is>
          <t>Yes</t>
        </is>
      </c>
      <c r="M531" s="7" t="inlineStr">
        <is>
          <t>Tailored look, lounge feel. These peach-fuzz soft joggers bring pajama-level comfort while front and back pintucks make them easy to dress up.</t>
        </is>
      </c>
      <c r="N531" s="7" t="inlineStr">
        <is>
          <t>Softstreme-Classic-Fit-High-Rise-Jogger</t>
        </is>
      </c>
      <c r="O531" s="7" t="inlineStr"/>
    </row>
    <row r="532" ht="80" customHeight="1">
      <c r="A532" s="4">
        <f>IMAGE("https://images.lululemon.com/is/image/lululemon/LW5HVSS_033454_1?wid=320&amp;op_usm=0.8",1)</f>
        <v/>
      </c>
      <c r="B532" s="4" t="inlineStr">
        <is>
          <t>Softstreme Classic-Fit High-Rise Jogger</t>
        </is>
      </c>
      <c r="C532" s="4" t="inlineStr">
        <is>
          <t>157684103</t>
        </is>
      </c>
      <c r="D532" s="4" t="inlineStr">
        <is>
          <t>157684103-black</t>
        </is>
      </c>
      <c r="E532" s="4" t="inlineStr">
        <is>
          <t>Softstreme™ Classic-Fit High-Rise Jogger LTIV XS</t>
        </is>
      </c>
      <c r="F532" s="4" t="inlineStr">
        <is>
          <t>$128.00</t>
        </is>
      </c>
      <c r="G532" s="4" t="inlineStr">
        <is>
          <t>$64.00</t>
        </is>
      </c>
      <c r="H532" s="4" t="inlineStr">
        <is>
          <t>Black</t>
        </is>
      </c>
      <c r="I532" s="4">
        <f>IMAGE("https://images.lululemon.com/is/image/lululemon/0001",1)</f>
        <v/>
      </c>
      <c r="J532" s="4" t="inlineStr">
        <is>
          <t>M</t>
        </is>
      </c>
      <c r="K532" s="4" t="inlineStr">
        <is>
          <t>74/728</t>
        </is>
      </c>
      <c r="L532" s="4" t="inlineStr">
        <is>
          <t>Yes</t>
        </is>
      </c>
      <c r="M532" s="4" t="inlineStr">
        <is>
          <t>Tailored look, lounge feel. These peach-fuzz soft joggers bring pajama-level comfort while front and back pintucks make them easy to dress up.</t>
        </is>
      </c>
      <c r="N532" s="4" t="inlineStr">
        <is>
          <t>Softstreme-Classic-Fit-High-Rise-Jogger</t>
        </is>
      </c>
      <c r="O532" s="4" t="inlineStr"/>
    </row>
    <row r="533" ht="80" customHeight="1">
      <c r="A533" s="7">
        <f>IMAGE("https://images.lululemon.com/is/image/lululemon/LW5HVSS_033454_1?wid=320&amp;op_usm=0.8",1)</f>
        <v/>
      </c>
      <c r="B533" s="7" t="inlineStr">
        <is>
          <t>Softstreme Classic-Fit High-Rise Jogger</t>
        </is>
      </c>
      <c r="C533" s="7" t="inlineStr">
        <is>
          <t>157684101</t>
        </is>
      </c>
      <c r="D533" s="7" t="inlineStr">
        <is>
          <t>157684101-black</t>
        </is>
      </c>
      <c r="E533" s="7" t="inlineStr">
        <is>
          <t>Softstreme™ Classic-Fit High-Rise Jogger LTIV XS</t>
        </is>
      </c>
      <c r="F533" s="7" t="inlineStr">
        <is>
          <t>$128.00</t>
        </is>
      </c>
      <c r="G533" s="7" t="inlineStr">
        <is>
          <t>$64.00</t>
        </is>
      </c>
      <c r="H533" s="7" t="inlineStr">
        <is>
          <t>Black</t>
        </is>
      </c>
      <c r="I533" s="7">
        <f>IMAGE("https://images.lululemon.com/is/image/lululemon/0001",1)</f>
        <v/>
      </c>
      <c r="J533" s="7" t="inlineStr">
        <is>
          <t>L</t>
        </is>
      </c>
      <c r="K533" s="7" t="inlineStr">
        <is>
          <t>48/728</t>
        </is>
      </c>
      <c r="L533" s="7" t="inlineStr">
        <is>
          <t>Yes</t>
        </is>
      </c>
      <c r="M533" s="7" t="inlineStr">
        <is>
          <t>Tailored look, lounge feel. These peach-fuzz soft joggers bring pajama-level comfort while front and back pintucks make them easy to dress up.</t>
        </is>
      </c>
      <c r="N533" s="7" t="inlineStr">
        <is>
          <t>Softstreme-Classic-Fit-High-Rise-Jogger</t>
        </is>
      </c>
      <c r="O533" s="7" t="inlineStr"/>
    </row>
    <row r="534" ht="80" customHeight="1">
      <c r="A534" s="6">
        <f>IMAGE("https://images.lululemon.com/is/image/lululemon/LW5HVSS_033454_1?wid=320&amp;op_usm=0.8",1)</f>
        <v/>
      </c>
      <c r="B534" s="6" t="inlineStr">
        <is>
          <t>Softstreme Classic-Fit High-Rise Jogger</t>
        </is>
      </c>
      <c r="C534" s="6" t="inlineStr">
        <is>
          <t>157684107</t>
        </is>
      </c>
      <c r="D534" s="6" t="inlineStr">
        <is>
          <t>157684107-black</t>
        </is>
      </c>
      <c r="E534" s="6" t="inlineStr">
        <is>
          <t>Softstreme™ Classic-Fit High-Rise Jogger LTIV XS</t>
        </is>
      </c>
      <c r="F534" s="6" t="inlineStr">
        <is>
          <t>$128.00</t>
        </is>
      </c>
      <c r="G534" s="6" t="inlineStr">
        <is>
          <t>$64.00</t>
        </is>
      </c>
      <c r="H534" s="6" t="inlineStr">
        <is>
          <t>Black</t>
        </is>
      </c>
      <c r="I534" s="6">
        <f>IMAGE("https://images.lululemon.com/is/image/lululemon/0001",1)</f>
        <v/>
      </c>
      <c r="J534" s="6" t="inlineStr">
        <is>
          <t>XL</t>
        </is>
      </c>
      <c r="K534" s="6" t="inlineStr">
        <is>
          <t>19/728</t>
        </is>
      </c>
      <c r="L534" s="6" t="inlineStr">
        <is>
          <t>Yes</t>
        </is>
      </c>
      <c r="M534" s="6" t="inlineStr">
        <is>
          <t>Tailored look, lounge feel. These peach-fuzz soft joggers bring pajama-level comfort while front and back pintucks make them easy to dress up.</t>
        </is>
      </c>
      <c r="N534" s="6" t="inlineStr">
        <is>
          <t>Softstreme-Classic-Fit-High-Rise-Jogger</t>
        </is>
      </c>
      <c r="O534" s="6" t="inlineStr"/>
    </row>
    <row r="535" ht="80" customHeight="1">
      <c r="A535" s="7">
        <f>IMAGE("https://images.lululemon.com/is/image/lululemon/LW3JCVS_043639_1?wid=320&amp;op_usm=0.8",1)</f>
        <v/>
      </c>
      <c r="B535" s="7" t="inlineStr">
        <is>
          <t>Scuba Oversized Full-Zip Hoodie *Waffle</t>
        </is>
      </c>
      <c r="C535" s="7" t="inlineStr">
        <is>
          <t>157689027</t>
        </is>
      </c>
      <c r="D535" s="7" t="inlineStr">
        <is>
          <t>157689027-heatheredgraphitegrey</t>
        </is>
      </c>
      <c r="E535" s="7" t="inlineStr">
        <is>
          <t>Scuba Oversized Full-Zip Hoodie *Waffle HTGR XS/S</t>
        </is>
      </c>
      <c r="F535" s="7" t="inlineStr">
        <is>
          <t>$148.00</t>
        </is>
      </c>
      <c r="G535" s="7" t="inlineStr">
        <is>
          <t>$74.00</t>
        </is>
      </c>
      <c r="H535" s="7" t="inlineStr">
        <is>
          <t>Heathered Graphite Grey</t>
        </is>
      </c>
      <c r="I535" s="7">
        <f>IMAGE("https://images.lululemon.com/is/image/lululemon/43639",1)</f>
        <v/>
      </c>
      <c r="J535" s="7" t="inlineStr">
        <is>
          <t>XS/S</t>
        </is>
      </c>
      <c r="K535" s="7" t="inlineStr">
        <is>
          <t>1/1676</t>
        </is>
      </c>
      <c r="L535" s="7" t="inlineStr">
        <is>
          <t>Yes</t>
        </is>
      </c>
      <c r="M535" s="7" t="inlineStr">
        <is>
          <t>Our signature hoodie with a textured twist. A rich, waffle-knit fabric adds depth and softness to your downtime.</t>
        </is>
      </c>
      <c r="N535" s="7" t="inlineStr">
        <is>
          <t>Scuba-Oversized-Full-Zip-Hoodie-Waffle</t>
        </is>
      </c>
      <c r="O535" s="7" t="inlineStr">
        <is>
          <t>Hoodies, Zip Up Sweatshirts</t>
        </is>
      </c>
    </row>
    <row r="536" ht="80" customHeight="1">
      <c r="A536" s="4">
        <f>IMAGE("https://images.lululemon.com/is/image/lululemon/LW3JCVS_043639_1?wid=320&amp;op_usm=0.8",1)</f>
        <v/>
      </c>
      <c r="B536" s="4" t="inlineStr">
        <is>
          <t>Scuba Oversized Full-Zip Hoodie *Waffle</t>
        </is>
      </c>
      <c r="C536" s="4" t="inlineStr">
        <is>
          <t>157689022</t>
        </is>
      </c>
      <c r="D536" s="4" t="inlineStr">
        <is>
          <t>157689022-heatheredgraphitegrey</t>
        </is>
      </c>
      <c r="E536" s="4" t="inlineStr">
        <is>
          <t>Scuba Oversized Full-Zip Hoodie *Waffle HTGR XS/S</t>
        </is>
      </c>
      <c r="F536" s="4" t="inlineStr">
        <is>
          <t>$148.00</t>
        </is>
      </c>
      <c r="G536" s="4" t="inlineStr">
        <is>
          <t>$74.00</t>
        </is>
      </c>
      <c r="H536" s="4" t="inlineStr">
        <is>
          <t>Heathered Graphite Grey</t>
        </is>
      </c>
      <c r="I536" s="4">
        <f>IMAGE("https://images.lululemon.com/is/image/lululemon/43639",1)</f>
        <v/>
      </c>
      <c r="J536" s="4" t="inlineStr">
        <is>
          <t>M/L</t>
        </is>
      </c>
      <c r="K536" s="4" t="inlineStr">
        <is>
          <t>50/1676</t>
        </is>
      </c>
      <c r="L536" s="4" t="inlineStr">
        <is>
          <t>Yes</t>
        </is>
      </c>
      <c r="M536" s="4" t="inlineStr">
        <is>
          <t>Our signature hoodie with a textured twist. A rich, waffle-knit fabric adds depth and softness to your downtime.</t>
        </is>
      </c>
      <c r="N536" s="4" t="inlineStr">
        <is>
          <t>Scuba-Oversized-Full-Zip-Hoodie-Waffle</t>
        </is>
      </c>
      <c r="O536" s="4" t="inlineStr">
        <is>
          <t>Hoodies, Zip Up Sweatshirts</t>
        </is>
      </c>
    </row>
    <row r="537" ht="80" customHeight="1">
      <c r="A537" s="7">
        <f>IMAGE("https://images.lululemon.com/is/image/lululemon/LW3JCVS_043639_1?wid=320&amp;op_usm=0.8",1)</f>
        <v/>
      </c>
      <c r="B537" s="7" t="inlineStr">
        <is>
          <t>Scuba Oversized Full-Zip Hoodie *Waffle</t>
        </is>
      </c>
      <c r="C537" s="7" t="inlineStr">
        <is>
          <t>157689024</t>
        </is>
      </c>
      <c r="D537" s="7" t="inlineStr">
        <is>
          <t>157689024-heatheredgraphitegrey</t>
        </is>
      </c>
      <c r="E537" s="7" t="inlineStr">
        <is>
          <t>Scuba Oversized Full-Zip Hoodie *Waffle HTGR XS/S</t>
        </is>
      </c>
      <c r="F537" s="7" t="inlineStr">
        <is>
          <t>$148.00</t>
        </is>
      </c>
      <c r="G537" s="7" t="inlineStr">
        <is>
          <t>$74.00</t>
        </is>
      </c>
      <c r="H537" s="7" t="inlineStr">
        <is>
          <t>Heathered Graphite Grey</t>
        </is>
      </c>
      <c r="I537" s="7">
        <f>IMAGE("https://images.lululemon.com/is/image/lululemon/43639",1)</f>
        <v/>
      </c>
      <c r="J537" s="7" t="inlineStr">
        <is>
          <t>XL/XXL</t>
        </is>
      </c>
      <c r="K537" s="7" t="inlineStr">
        <is>
          <t>8/1676</t>
        </is>
      </c>
      <c r="L537" s="7" t="inlineStr">
        <is>
          <t>Yes</t>
        </is>
      </c>
      <c r="M537" s="7" t="inlineStr">
        <is>
          <t>Our signature hoodie with a textured twist. A rich, waffle-knit fabric adds depth and softness to your downtime.</t>
        </is>
      </c>
      <c r="N537" s="7" t="inlineStr">
        <is>
          <t>Scuba-Oversized-Full-Zip-Hoodie-Waffle</t>
        </is>
      </c>
      <c r="O537" s="7" t="inlineStr">
        <is>
          <t>Hoodies, Zip Up Sweatshirts</t>
        </is>
      </c>
    </row>
    <row r="538" ht="80" customHeight="1">
      <c r="A538" s="4">
        <f>IMAGE("https://images.lululemon.com/is/image/lululemon/LW3JCVS_043639_1?wid=320&amp;op_usm=0.8",1)</f>
        <v/>
      </c>
      <c r="B538" s="4" t="inlineStr">
        <is>
          <t>Scuba Oversized Full-Zip Hoodie *Waffle</t>
        </is>
      </c>
      <c r="C538" s="4" t="inlineStr">
        <is>
          <t>157689019</t>
        </is>
      </c>
      <c r="D538" s="4" t="inlineStr">
        <is>
          <t>157689019-heatheredlightivory</t>
        </is>
      </c>
      <c r="E538" s="4" t="inlineStr">
        <is>
          <t>Scuba Oversized Full-Zip Hoodie *Waffle HTGR XS/S</t>
        </is>
      </c>
      <c r="F538" s="4" t="inlineStr">
        <is>
          <t>$148.00</t>
        </is>
      </c>
      <c r="G538" s="4" t="inlineStr">
        <is>
          <t>$74.00</t>
        </is>
      </c>
      <c r="H538" s="4" t="inlineStr">
        <is>
          <t>Heathered Light Ivory</t>
        </is>
      </c>
      <c r="I538" s="4">
        <f>IMAGE("https://images.lululemon.com/is/image/lululemon/36168",1)</f>
        <v/>
      </c>
      <c r="J538" s="4" t="inlineStr">
        <is>
          <t>XS/S</t>
        </is>
      </c>
      <c r="K538" s="4" t="inlineStr">
        <is>
          <t>675/1676</t>
        </is>
      </c>
      <c r="L538" s="4" t="inlineStr">
        <is>
          <t>Yes</t>
        </is>
      </c>
      <c r="M538" s="4" t="inlineStr">
        <is>
          <t>Our signature hoodie with a textured twist. A rich, waffle-knit fabric adds depth and softness to your downtime.</t>
        </is>
      </c>
      <c r="N538" s="4" t="inlineStr">
        <is>
          <t>Scuba-Oversized-Full-Zip-Hoodie-Waffle</t>
        </is>
      </c>
      <c r="O538" s="4" t="inlineStr">
        <is>
          <t>Hoodies, Zip Up Sweatshirts</t>
        </is>
      </c>
    </row>
    <row r="539" ht="80" customHeight="1">
      <c r="A539" s="7">
        <f>IMAGE("https://images.lululemon.com/is/image/lululemon/LW3JCVS_043639_1?wid=320&amp;op_usm=0.8",1)</f>
        <v/>
      </c>
      <c r="B539" s="7" t="inlineStr">
        <is>
          <t>Scuba Oversized Full-Zip Hoodie *Waffle</t>
        </is>
      </c>
      <c r="C539" s="7" t="inlineStr">
        <is>
          <t>157689015</t>
        </is>
      </c>
      <c r="D539" s="7" t="inlineStr">
        <is>
          <t>157689015-heatheredlightivory</t>
        </is>
      </c>
      <c r="E539" s="7" t="inlineStr">
        <is>
          <t>Scuba Oversized Full-Zip Hoodie *Waffle HTGR XS/S</t>
        </is>
      </c>
      <c r="F539" s="7" t="inlineStr">
        <is>
          <t>$148.00</t>
        </is>
      </c>
      <c r="G539" s="7" t="inlineStr">
        <is>
          <t>$74.00</t>
        </is>
      </c>
      <c r="H539" s="7" t="inlineStr">
        <is>
          <t>Heathered Light Ivory</t>
        </is>
      </c>
      <c r="I539" s="7">
        <f>IMAGE("https://images.lululemon.com/is/image/lululemon/36168",1)</f>
        <v/>
      </c>
      <c r="J539" s="7" t="inlineStr">
        <is>
          <t>M/L</t>
        </is>
      </c>
      <c r="K539" s="7" t="inlineStr">
        <is>
          <t>728/1676</t>
        </is>
      </c>
      <c r="L539" s="7" t="inlineStr">
        <is>
          <t>Yes</t>
        </is>
      </c>
      <c r="M539" s="7" t="inlineStr">
        <is>
          <t>Our signature hoodie with a textured twist. A rich, waffle-knit fabric adds depth and softness to your downtime.</t>
        </is>
      </c>
      <c r="N539" s="7" t="inlineStr">
        <is>
          <t>Scuba-Oversized-Full-Zip-Hoodie-Waffle</t>
        </is>
      </c>
      <c r="O539" s="7" t="inlineStr">
        <is>
          <t>Hoodies, Zip Up Sweatshirts</t>
        </is>
      </c>
    </row>
    <row r="540" ht="80" customHeight="1">
      <c r="A540" s="6">
        <f>IMAGE("https://images.lululemon.com/is/image/lululemon/LW3JCVS_043639_1?wid=320&amp;op_usm=0.8",1)</f>
        <v/>
      </c>
      <c r="B540" s="6" t="inlineStr">
        <is>
          <t>Scuba Oversized Full-Zip Hoodie *Waffle</t>
        </is>
      </c>
      <c r="C540" s="6" t="inlineStr">
        <is>
          <t>157689016</t>
        </is>
      </c>
      <c r="D540" s="6" t="inlineStr">
        <is>
          <t>157689016-heatheredlightivory</t>
        </is>
      </c>
      <c r="E540" s="6" t="inlineStr">
        <is>
          <t>Scuba Oversized Full-Zip Hoodie *Waffle HTGR XS/S</t>
        </is>
      </c>
      <c r="F540" s="6" t="inlineStr">
        <is>
          <t>$148.00</t>
        </is>
      </c>
      <c r="G540" s="6" t="inlineStr">
        <is>
          <t>$74.00</t>
        </is>
      </c>
      <c r="H540" s="6" t="inlineStr">
        <is>
          <t>Heathered Light Ivory</t>
        </is>
      </c>
      <c r="I540" s="6">
        <f>IMAGE("https://images.lululemon.com/is/image/lululemon/36168",1)</f>
        <v/>
      </c>
      <c r="J540" s="6" t="inlineStr">
        <is>
          <t>XL/XXL</t>
        </is>
      </c>
      <c r="K540" s="6" t="inlineStr">
        <is>
          <t>214/1676</t>
        </is>
      </c>
      <c r="L540" s="6" t="inlineStr">
        <is>
          <t>Yes</t>
        </is>
      </c>
      <c r="M540" s="6" t="inlineStr">
        <is>
          <t>Our signature hoodie with a textured twist. A rich, waffle-knit fabric adds depth and softness to your downtime.</t>
        </is>
      </c>
      <c r="N540" s="6" t="inlineStr">
        <is>
          <t>Scuba-Oversized-Full-Zip-Hoodie-Waffle</t>
        </is>
      </c>
      <c r="O540" s="6" t="inlineStr">
        <is>
          <t>Hoodies, Zip Up Sweatshirts</t>
        </is>
      </c>
    </row>
    <row r="541" ht="80" customHeight="1">
      <c r="A541" s="5">
        <f>IMAGE("https://images.lululemon.com/is/image/lululemon/LW3FUPS_4780_1?wid=320&amp;op_usm=0.8",1)</f>
        <v/>
      </c>
      <c r="B541" s="5" t="inlineStr">
        <is>
          <t>Swiftly Relaxed Long-Sleeve Shirt *Hip Length</t>
        </is>
      </c>
      <c r="C541" s="5" t="inlineStr">
        <is>
          <t>139525695</t>
        </is>
      </c>
      <c r="D541" s="5" t="inlineStr">
        <is>
          <t>139525695-black/black</t>
        </is>
      </c>
      <c r="E541" s="5" t="inlineStr">
        <is>
          <t>Swiftly Relaxed Long Sleeve BLK/BLK 14</t>
        </is>
      </c>
      <c r="F541" s="5" t="inlineStr">
        <is>
          <t>$78.00</t>
        </is>
      </c>
      <c r="G541" s="5" t="inlineStr">
        <is>
          <t>$39.00</t>
        </is>
      </c>
      <c r="H541" s="5" t="inlineStr">
        <is>
          <t>Black/Black</t>
        </is>
      </c>
      <c r="I541" s="5">
        <f>IMAGE("https://images.lululemon.com/is/image/lululemon/4780",1)</f>
        <v/>
      </c>
      <c r="J541" s="5" t="inlineStr">
        <is>
          <t>14</t>
        </is>
      </c>
      <c r="K541" s="5" t="inlineStr">
        <is>
          <t>2/2</t>
        </is>
      </c>
      <c r="L541" s="5" t="inlineStr">
        <is>
          <t>Yes</t>
        </is>
      </c>
      <c r="M541" s="5" t="inlineStr">
        <is>
          <t>Go ahead, get sweaty. The Swiftly Relaxed collection, powered by seamless construction, is the ultimate gear for running and training.</t>
        </is>
      </c>
      <c r="N541" s="5" t="inlineStr">
        <is>
          <t>Swiftly-Tech-LS-Breeze</t>
        </is>
      </c>
      <c r="O541" s="5" t="inlineStr"/>
    </row>
    <row r="542" ht="80" customHeight="1">
      <c r="A542" s="4">
        <f>IMAGE("https://images.lululemon.com/is/image/lululemon/LW3IO6S_021363_1?wid=320&amp;op_usm=0.8",1)</f>
        <v/>
      </c>
      <c r="B542" s="4" t="inlineStr">
        <is>
          <t>It's Rulu Ribbed Cropped Half Zip *Updated</t>
        </is>
      </c>
      <c r="C542" s="4" t="inlineStr">
        <is>
          <t>158024319</t>
        </is>
      </c>
      <c r="D542" s="4" t="inlineStr">
        <is>
          <t>158024319-berryrumble</t>
        </is>
      </c>
      <c r="E542" s="4" t="inlineStr">
        <is>
          <t>It's Rulu Ribbed Cropped Half Zip BRML XS</t>
        </is>
      </c>
      <c r="F542" s="4" t="inlineStr">
        <is>
          <t>$98.00</t>
        </is>
      </c>
      <c r="G542" s="4" t="inlineStr">
        <is>
          <t>$49.00</t>
        </is>
      </c>
      <c r="H542" s="4" t="inlineStr">
        <is>
          <t>Berry Rumble</t>
        </is>
      </c>
      <c r="I542" s="4">
        <f>IMAGE("https://images.lululemon.com/is/image/lululemon/21363",1)</f>
        <v/>
      </c>
      <c r="J542" s="4" t="inlineStr">
        <is>
          <t>XS</t>
        </is>
      </c>
      <c r="K542" s="4" t="inlineStr">
        <is>
          <t>26/317</t>
        </is>
      </c>
      <c r="L542" s="4" t="inlineStr">
        <is>
          <t>Yes</t>
        </is>
      </c>
      <c r="M542" s="4" t="inlineStr">
        <is>
          <t>Warm up to cold-weather workouts. This soft half zip wicks away sweat so you can stay comfortable when the temperature drops.</t>
        </is>
      </c>
      <c r="N542" s="4" t="inlineStr">
        <is>
          <t>Its-Rulu-Ribbed-Cropped-Half-Zip-Updated</t>
        </is>
      </c>
      <c r="O542" s="4" t="inlineStr">
        <is>
          <t>Half Zip Sweatshirts, Base Layers, Quarter Zip Sweatshirts</t>
        </is>
      </c>
    </row>
    <row r="543" ht="80" customHeight="1">
      <c r="A543" s="7">
        <f>IMAGE("https://images.lululemon.com/is/image/lululemon/LW3IO6S_021363_1?wid=320&amp;op_usm=0.8",1)</f>
        <v/>
      </c>
      <c r="B543" s="7" t="inlineStr">
        <is>
          <t>It's Rulu Ribbed Cropped Half Zip *Updated</t>
        </is>
      </c>
      <c r="C543" s="7" t="inlineStr">
        <is>
          <t>158024298</t>
        </is>
      </c>
      <c r="D543" s="7" t="inlineStr">
        <is>
          <t>158024298-berryrumble</t>
        </is>
      </c>
      <c r="E543" s="7" t="inlineStr">
        <is>
          <t>It's Rulu Ribbed Cropped Half Zip BRML XS</t>
        </is>
      </c>
      <c r="F543" s="7" t="inlineStr">
        <is>
          <t>$98.00</t>
        </is>
      </c>
      <c r="G543" s="7" t="inlineStr">
        <is>
          <t>$49.00</t>
        </is>
      </c>
      <c r="H543" s="7" t="inlineStr">
        <is>
          <t>Berry Rumble</t>
        </is>
      </c>
      <c r="I543" s="7">
        <f>IMAGE("https://images.lululemon.com/is/image/lululemon/21363",1)</f>
        <v/>
      </c>
      <c r="J543" s="7" t="inlineStr">
        <is>
          <t>S</t>
        </is>
      </c>
      <c r="K543" s="7" t="inlineStr">
        <is>
          <t>71/317</t>
        </is>
      </c>
      <c r="L543" s="7" t="inlineStr">
        <is>
          <t>Yes</t>
        </is>
      </c>
      <c r="M543" s="7" t="inlineStr">
        <is>
          <t>Warm up to cold-weather workouts. This soft half zip wicks away sweat so you can stay comfortable when the temperature drops.</t>
        </is>
      </c>
      <c r="N543" s="7" t="inlineStr">
        <is>
          <t>Its-Rulu-Ribbed-Cropped-Half-Zip-Updated</t>
        </is>
      </c>
      <c r="O543" s="7" t="inlineStr">
        <is>
          <t>Half Zip Sweatshirts, Base Layers, Quarter Zip Sweatshirts</t>
        </is>
      </c>
    </row>
    <row r="544" ht="80" customHeight="1">
      <c r="A544" s="4">
        <f>IMAGE("https://images.lululemon.com/is/image/lululemon/LW3IO6S_021363_1?wid=320&amp;op_usm=0.8",1)</f>
        <v/>
      </c>
      <c r="B544" s="4" t="inlineStr">
        <is>
          <t>It's Rulu Ribbed Cropped Half Zip *Updated</t>
        </is>
      </c>
      <c r="C544" s="4" t="inlineStr">
        <is>
          <t>158024285</t>
        </is>
      </c>
      <c r="D544" s="4" t="inlineStr">
        <is>
          <t>158024285-berryrumble</t>
        </is>
      </c>
      <c r="E544" s="4" t="inlineStr">
        <is>
          <t>It's Rulu Ribbed Cropped Half Zip BRML XS</t>
        </is>
      </c>
      <c r="F544" s="4" t="inlineStr">
        <is>
          <t>$98.00</t>
        </is>
      </c>
      <c r="G544" s="4" t="inlineStr">
        <is>
          <t>$49.00</t>
        </is>
      </c>
      <c r="H544" s="4" t="inlineStr">
        <is>
          <t>Berry Rumble</t>
        </is>
      </c>
      <c r="I544" s="4">
        <f>IMAGE("https://images.lululemon.com/is/image/lululemon/21363",1)</f>
        <v/>
      </c>
      <c r="J544" s="4" t="inlineStr">
        <is>
          <t>M</t>
        </is>
      </c>
      <c r="K544" s="4" t="inlineStr">
        <is>
          <t>86/317</t>
        </is>
      </c>
      <c r="L544" s="4" t="inlineStr">
        <is>
          <t>Yes</t>
        </is>
      </c>
      <c r="M544" s="4" t="inlineStr">
        <is>
          <t>Warm up to cold-weather workouts. This soft half zip wicks away sweat so you can stay comfortable when the temperature drops.</t>
        </is>
      </c>
      <c r="N544" s="4" t="inlineStr">
        <is>
          <t>Its-Rulu-Ribbed-Cropped-Half-Zip-Updated</t>
        </is>
      </c>
      <c r="O544" s="4" t="inlineStr">
        <is>
          <t>Half Zip Sweatshirts, Base Layers, Quarter Zip Sweatshirts</t>
        </is>
      </c>
    </row>
    <row r="545" ht="80" customHeight="1">
      <c r="A545" s="7">
        <f>IMAGE("https://images.lululemon.com/is/image/lululemon/LW3IO6S_021363_1?wid=320&amp;op_usm=0.8",1)</f>
        <v/>
      </c>
      <c r="B545" s="7" t="inlineStr">
        <is>
          <t>It's Rulu Ribbed Cropped Half Zip *Updated</t>
        </is>
      </c>
      <c r="C545" s="7" t="inlineStr">
        <is>
          <t>158024275</t>
        </is>
      </c>
      <c r="D545" s="7" t="inlineStr">
        <is>
          <t>158024275-berryrumble</t>
        </is>
      </c>
      <c r="E545" s="7" t="inlineStr">
        <is>
          <t>It's Rulu Ribbed Cropped Half Zip BRML XS</t>
        </is>
      </c>
      <c r="F545" s="7" t="inlineStr">
        <is>
          <t>$98.00</t>
        </is>
      </c>
      <c r="G545" s="7" t="inlineStr">
        <is>
          <t>$49.00</t>
        </is>
      </c>
      <c r="H545" s="7" t="inlineStr">
        <is>
          <t>Berry Rumble</t>
        </is>
      </c>
      <c r="I545" s="7">
        <f>IMAGE("https://images.lululemon.com/is/image/lululemon/21363",1)</f>
        <v/>
      </c>
      <c r="J545" s="7" t="inlineStr">
        <is>
          <t>L</t>
        </is>
      </c>
      <c r="K545" s="7" t="inlineStr">
        <is>
          <t>75/317</t>
        </is>
      </c>
      <c r="L545" s="7" t="inlineStr">
        <is>
          <t>Yes</t>
        </is>
      </c>
      <c r="M545" s="7" t="inlineStr">
        <is>
          <t>Warm up to cold-weather workouts. This soft half zip wicks away sweat so you can stay comfortable when the temperature drops.</t>
        </is>
      </c>
      <c r="N545" s="7" t="inlineStr">
        <is>
          <t>Its-Rulu-Ribbed-Cropped-Half-Zip-Updated</t>
        </is>
      </c>
      <c r="O545" s="7" t="inlineStr">
        <is>
          <t>Half Zip Sweatshirts, Base Layers, Quarter Zip Sweatshirts</t>
        </is>
      </c>
    </row>
    <row r="546" ht="80" customHeight="1">
      <c r="A546" s="6">
        <f>IMAGE("https://images.lululemon.com/is/image/lululemon/LW3IO6S_021363_1?wid=320&amp;op_usm=0.8",1)</f>
        <v/>
      </c>
      <c r="B546" s="6" t="inlineStr">
        <is>
          <t>It's Rulu Ribbed Cropped Half Zip *Updated</t>
        </is>
      </c>
      <c r="C546" s="6" t="inlineStr">
        <is>
          <t>158024308</t>
        </is>
      </c>
      <c r="D546" s="6" t="inlineStr">
        <is>
          <t>158024308-berryrumble</t>
        </is>
      </c>
      <c r="E546" s="6" t="inlineStr">
        <is>
          <t>It's Rulu Ribbed Cropped Half Zip BRML XS</t>
        </is>
      </c>
      <c r="F546" s="6" t="inlineStr">
        <is>
          <t>$98.00</t>
        </is>
      </c>
      <c r="G546" s="6" t="inlineStr">
        <is>
          <t>$49.00</t>
        </is>
      </c>
      <c r="H546" s="6" t="inlineStr">
        <is>
          <t>Berry Rumble</t>
        </is>
      </c>
      <c r="I546" s="6">
        <f>IMAGE("https://images.lululemon.com/is/image/lululemon/21363",1)</f>
        <v/>
      </c>
      <c r="J546" s="6" t="inlineStr">
        <is>
          <t>XL</t>
        </is>
      </c>
      <c r="K546" s="6" t="inlineStr">
        <is>
          <t>59/317</t>
        </is>
      </c>
      <c r="L546" s="6" t="inlineStr">
        <is>
          <t>Yes</t>
        </is>
      </c>
      <c r="M546" s="6" t="inlineStr">
        <is>
          <t>Warm up to cold-weather workouts. This soft half zip wicks away sweat so you can stay comfortable when the temperature drops.</t>
        </is>
      </c>
      <c r="N546" s="6" t="inlineStr">
        <is>
          <t>Its-Rulu-Ribbed-Cropped-Half-Zip-Updated</t>
        </is>
      </c>
      <c r="O546" s="6" t="inlineStr">
        <is>
          <t>Half Zip Sweatshirts, Base Layers, Quarter Zip Sweatshirts</t>
        </is>
      </c>
    </row>
    <row r="547" ht="80" customHeight="1">
      <c r="A547" s="7">
        <f>IMAGE("https://images.lululemon.com/is/image/lululemon/LW1FOYS_073823_1?wid=320&amp;op_usm=0.8",1)</f>
        <v/>
      </c>
      <c r="B547" s="7" t="inlineStr">
        <is>
          <t>Swiftly Tech Cropped Round-Neck Racerback Tank Top 2.0 *Sparkle</t>
        </is>
      </c>
      <c r="C547" s="7" t="inlineStr">
        <is>
          <t>157718220</t>
        </is>
      </c>
      <c r="D547" s="7" t="inlineStr">
        <is>
          <t>157718220-black/rainbowlurex</t>
        </is>
      </c>
      <c r="E547" s="7" t="inlineStr">
        <is>
          <t>Swiftly Tech Crop Rndnck RB 2.0 *Sparkle BLK/RLUX 4</t>
        </is>
      </c>
      <c r="F547" s="7" t="inlineStr">
        <is>
          <t>$68.00</t>
        </is>
      </c>
      <c r="G547" s="7" t="inlineStr">
        <is>
          <t>$34.00</t>
        </is>
      </c>
      <c r="H547" s="7" t="inlineStr">
        <is>
          <t>Black/Rainbow Lurex</t>
        </is>
      </c>
      <c r="I547" s="7">
        <f>IMAGE("https://images.lululemon.com/is/image/lululemon/73823",1)</f>
        <v/>
      </c>
      <c r="J547" s="7" t="inlineStr">
        <is>
          <t>4</t>
        </is>
      </c>
      <c r="K547" s="7" t="inlineStr">
        <is>
          <t>23/111</t>
        </is>
      </c>
      <c r="L547" s="7" t="inlineStr">
        <is>
          <t>Yes</t>
        </is>
      </c>
      <c r="M547" s="7" t="inlineStr">
        <is>
          <t>Go ahead, get glowing. This version of our high-performing Swiftly top features colourful metallic yarns that complement your post-workout glow.</t>
        </is>
      </c>
      <c r="N547" s="7" t="inlineStr">
        <is>
          <t>Swiftly-Crop-Round-Neck-Racerback-Tank-Sparkle</t>
        </is>
      </c>
      <c r="O547" s="7" t="inlineStr"/>
    </row>
    <row r="548" ht="80" customHeight="1">
      <c r="A548" s="4">
        <f>IMAGE("https://images.lululemon.com/is/image/lululemon/LW1FOYS_073823_1?wid=320&amp;op_usm=0.8",1)</f>
        <v/>
      </c>
      <c r="B548" s="4" t="inlineStr">
        <is>
          <t>Swiftly Tech Cropped Round-Neck Racerback Tank Top 2.0 *Sparkle</t>
        </is>
      </c>
      <c r="C548" s="4" t="inlineStr">
        <is>
          <t>157718226</t>
        </is>
      </c>
      <c r="D548" s="4" t="inlineStr">
        <is>
          <t>157718226-black/rainbowlurex</t>
        </is>
      </c>
      <c r="E548" s="4" t="inlineStr">
        <is>
          <t>Swiftly Tech Crop Rndnck RB 2.0 *Sparkle BLK/RLUX 4</t>
        </is>
      </c>
      <c r="F548" s="4" t="inlineStr">
        <is>
          <t>$68.00</t>
        </is>
      </c>
      <c r="G548" s="4" t="inlineStr">
        <is>
          <t>$34.00</t>
        </is>
      </c>
      <c r="H548" s="4" t="inlineStr">
        <is>
          <t>Black/Rainbow Lurex</t>
        </is>
      </c>
      <c r="I548" s="4">
        <f>IMAGE("https://images.lululemon.com/is/image/lululemon/73823",1)</f>
        <v/>
      </c>
      <c r="J548" s="4" t="inlineStr">
        <is>
          <t>6</t>
        </is>
      </c>
      <c r="K548" s="4" t="inlineStr">
        <is>
          <t>62/111</t>
        </is>
      </c>
      <c r="L548" s="4" t="inlineStr">
        <is>
          <t>Yes</t>
        </is>
      </c>
      <c r="M548" s="4" t="inlineStr">
        <is>
          <t>Go ahead, get glowing. This version of our high-performing Swiftly top features colourful metallic yarns that complement your post-workout glow.</t>
        </is>
      </c>
      <c r="N548" s="4" t="inlineStr">
        <is>
          <t>Swiftly-Crop-Round-Neck-Racerback-Tank-Sparkle</t>
        </is>
      </c>
      <c r="O548" s="4" t="inlineStr"/>
    </row>
    <row r="549" ht="80" customHeight="1">
      <c r="A549" s="7">
        <f>IMAGE("https://images.lululemon.com/is/image/lululemon/LW1FOYS_073823_1?wid=320&amp;op_usm=0.8",1)</f>
        <v/>
      </c>
      <c r="B549" s="7" t="inlineStr">
        <is>
          <t>Swiftly Tech Cropped Round-Neck Racerback Tank Top 2.0 *Sparkle</t>
        </is>
      </c>
      <c r="C549" s="7" t="inlineStr">
        <is>
          <t>157718231</t>
        </is>
      </c>
      <c r="D549" s="7" t="inlineStr">
        <is>
          <t>157718231-black/rainbowlurex</t>
        </is>
      </c>
      <c r="E549" s="7" t="inlineStr">
        <is>
          <t>Swiftly Tech Crop Rndnck RB 2.0 *Sparkle BLK/RLUX 4</t>
        </is>
      </c>
      <c r="F549" s="7" t="inlineStr">
        <is>
          <t>$68.00</t>
        </is>
      </c>
      <c r="G549" s="7" t="inlineStr">
        <is>
          <t>$34.00</t>
        </is>
      </c>
      <c r="H549" s="7" t="inlineStr">
        <is>
          <t>Black/Rainbow Lurex</t>
        </is>
      </c>
      <c r="I549" s="7">
        <f>IMAGE("https://images.lululemon.com/is/image/lululemon/73823",1)</f>
        <v/>
      </c>
      <c r="J549" s="7" t="inlineStr">
        <is>
          <t>8</t>
        </is>
      </c>
      <c r="K549" s="7" t="inlineStr">
        <is>
          <t>25/111</t>
        </is>
      </c>
      <c r="L549" s="7" t="inlineStr">
        <is>
          <t>Yes</t>
        </is>
      </c>
      <c r="M549" s="7" t="inlineStr">
        <is>
          <t>Go ahead, get glowing. This version of our high-performing Swiftly top features colourful metallic yarns that complement your post-workout glow.</t>
        </is>
      </c>
      <c r="N549" s="7" t="inlineStr">
        <is>
          <t>Swiftly-Crop-Round-Neck-Racerback-Tank-Sparkle</t>
        </is>
      </c>
      <c r="O549" s="7" t="inlineStr"/>
    </row>
    <row r="550" ht="80" customHeight="1">
      <c r="A550" s="6">
        <f>IMAGE("https://images.lululemon.com/is/image/lululemon/LW1FOYS_073823_1?wid=320&amp;op_usm=0.8",1)</f>
        <v/>
      </c>
      <c r="B550" s="6" t="inlineStr">
        <is>
          <t>Swiftly Tech Cropped Round-Neck Racerback Tank Top 2.0 *Sparkle</t>
        </is>
      </c>
      <c r="C550" s="6" t="inlineStr">
        <is>
          <t>157718200</t>
        </is>
      </c>
      <c r="D550" s="6" t="inlineStr">
        <is>
          <t>157718200-black/rainbowlurex</t>
        </is>
      </c>
      <c r="E550" s="6" t="inlineStr">
        <is>
          <t>Swiftly Tech Crop Rndnck RB 2.0 *Sparkle BLK/RLUX 4</t>
        </is>
      </c>
      <c r="F550" s="6" t="inlineStr">
        <is>
          <t>$68.00</t>
        </is>
      </c>
      <c r="G550" s="6" t="inlineStr">
        <is>
          <t>$34.00</t>
        </is>
      </c>
      <c r="H550" s="6" t="inlineStr">
        <is>
          <t>Black/Rainbow Lurex</t>
        </is>
      </c>
      <c r="I550" s="6">
        <f>IMAGE("https://images.lululemon.com/is/image/lululemon/73823",1)</f>
        <v/>
      </c>
      <c r="J550" s="6" t="inlineStr">
        <is>
          <t>10</t>
        </is>
      </c>
      <c r="K550" s="6" t="inlineStr">
        <is>
          <t>1/111</t>
        </is>
      </c>
      <c r="L550" s="6" t="inlineStr">
        <is>
          <t>Yes</t>
        </is>
      </c>
      <c r="M550" s="6" t="inlineStr">
        <is>
          <t>Go ahead, get glowing. This version of our high-performing Swiftly top features colourful metallic yarns that complement your post-workout glow.</t>
        </is>
      </c>
      <c r="N550" s="6" t="inlineStr">
        <is>
          <t>Swiftly-Crop-Round-Neck-Racerback-Tank-Sparkle</t>
        </is>
      </c>
      <c r="O550" s="6" t="inlineStr"/>
    </row>
    <row r="551" ht="80" customHeight="1">
      <c r="A551" s="7">
        <f>IMAGE("https://images.lululemon.com/is/image/lululemon/LW3ESQS_032493_1?wid=320&amp;op_usm=0.8",1)</f>
        <v/>
      </c>
      <c r="B551" s="7" t="inlineStr">
        <is>
          <t>Scuba Oversized Full-Zip Hoodie</t>
        </is>
      </c>
      <c r="C551" s="7" t="inlineStr">
        <is>
          <t>129375062</t>
        </is>
      </c>
      <c r="D551" s="7" t="inlineStr">
        <is>
          <t>129375062-heatheredcoreultralightgrey</t>
        </is>
      </c>
      <c r="E551" s="7" t="inlineStr">
        <is>
          <t>Scuba Oversized Full-Zip Hoodie HCUG XS/S</t>
        </is>
      </c>
      <c r="F551" s="7" t="inlineStr">
        <is>
          <t>$138.00</t>
        </is>
      </c>
      <c r="G551" s="7" t="inlineStr">
        <is>
          <t>$69.00</t>
        </is>
      </c>
      <c r="H551" s="7" t="inlineStr">
        <is>
          <t>Heathered Core Ultra Light Grey</t>
        </is>
      </c>
      <c r="I551" s="7">
        <f>IMAGE("https://images.lululemon.com/is/image/lululemon/32493",1)</f>
        <v/>
      </c>
      <c r="J551" s="7" t="inlineStr">
        <is>
          <t>XS/S</t>
        </is>
      </c>
      <c r="K551" s="7" t="inlineStr">
        <is>
          <t>76/3314</t>
        </is>
      </c>
      <c r="L551" s="7" t="inlineStr">
        <is>
          <t>Yes</t>
        </is>
      </c>
      <c r="M551" s="7" t="inlineStr">
        <is>
          <t>Serious about softness. This hoodie is all about fleecy fabric and a cozy oversized fit that pairs perfectly with our Scuba sweatpants.</t>
        </is>
      </c>
      <c r="N551" s="7" t="inlineStr">
        <is>
          <t>Scuba-Oversized-Full-Zip</t>
        </is>
      </c>
      <c r="O551" s="7" t="inlineStr">
        <is>
          <t>Hoodies, Zip Up Sweatshirts</t>
        </is>
      </c>
    </row>
    <row r="552" ht="80" customHeight="1">
      <c r="A552" s="4">
        <f>IMAGE("https://images.lululemon.com/is/image/lululemon/LW3ESQS_032493_1?wid=320&amp;op_usm=0.8",1)</f>
        <v/>
      </c>
      <c r="B552" s="4" t="inlineStr">
        <is>
          <t>Scuba Oversized Full-Zip Hoodie</t>
        </is>
      </c>
      <c r="C552" s="4" t="inlineStr">
        <is>
          <t>129375055</t>
        </is>
      </c>
      <c r="D552" s="4" t="inlineStr">
        <is>
          <t>129375055-heatheredcoreultralightgrey</t>
        </is>
      </c>
      <c r="E552" s="4" t="inlineStr">
        <is>
          <t>Scuba Oversized Full-Zip Hoodie HCUG XS/S</t>
        </is>
      </c>
      <c r="F552" s="4" t="inlineStr">
        <is>
          <t>$138.00</t>
        </is>
      </c>
      <c r="G552" s="4" t="inlineStr">
        <is>
          <t>$69.00</t>
        </is>
      </c>
      <c r="H552" s="4" t="inlineStr">
        <is>
          <t>Heathered Core Ultra Light Grey</t>
        </is>
      </c>
      <c r="I552" s="4">
        <f>IMAGE("https://images.lululemon.com/is/image/lululemon/32493",1)</f>
        <v/>
      </c>
      <c r="J552" s="4" t="inlineStr">
        <is>
          <t>M/L</t>
        </is>
      </c>
      <c r="K552" s="4" t="inlineStr">
        <is>
          <t>37/3314</t>
        </is>
      </c>
      <c r="L552" s="4" t="inlineStr">
        <is>
          <t>Yes</t>
        </is>
      </c>
      <c r="M552" s="4" t="inlineStr">
        <is>
          <t>Serious about softness. This hoodie is all about fleecy fabric and a cozy oversized fit that pairs perfectly with our Scuba sweatpants.</t>
        </is>
      </c>
      <c r="N552" s="4" t="inlineStr">
        <is>
          <t>Scuba-Oversized-Full-Zip</t>
        </is>
      </c>
      <c r="O552" s="4" t="inlineStr">
        <is>
          <t>Hoodies, Zip Up Sweatshirts</t>
        </is>
      </c>
    </row>
    <row r="553" ht="80" customHeight="1">
      <c r="A553" s="7">
        <f>IMAGE("https://images.lululemon.com/is/image/lululemon/LW3ESQS_032493_1?wid=320&amp;op_usm=0.8",1)</f>
        <v/>
      </c>
      <c r="B553" s="7" t="inlineStr">
        <is>
          <t>Scuba Oversized Full-Zip Hoodie</t>
        </is>
      </c>
      <c r="C553" s="7" t="inlineStr">
        <is>
          <t>153843908</t>
        </is>
      </c>
      <c r="D553" s="7" t="inlineStr">
        <is>
          <t>153843908-truenavy</t>
        </is>
      </c>
      <c r="E553" s="7" t="inlineStr">
        <is>
          <t>Scuba Oversized Full-Zip Hoodie HCUG XS/S</t>
        </is>
      </c>
      <c r="F553" s="7" t="inlineStr">
        <is>
          <t>$138.00</t>
        </is>
      </c>
      <c r="G553" s="7" t="inlineStr">
        <is>
          <t>$69.00</t>
        </is>
      </c>
      <c r="H553" s="7" t="inlineStr">
        <is>
          <t>True Navy</t>
        </is>
      </c>
      <c r="I553" s="7">
        <f>IMAGE("https://images.lululemon.com/is/image/lululemon/31382",1)</f>
        <v/>
      </c>
      <c r="J553" s="7" t="inlineStr">
        <is>
          <t>XS/S</t>
        </is>
      </c>
      <c r="K553" s="7" t="inlineStr">
        <is>
          <t>206/3314</t>
        </is>
      </c>
      <c r="L553" s="7" t="inlineStr">
        <is>
          <t>Yes</t>
        </is>
      </c>
      <c r="M553" s="7" t="inlineStr">
        <is>
          <t>Serious about softness. This hoodie is all about fleecy fabric and a cozy oversized fit that pairs perfectly with our Scuba sweatpants.</t>
        </is>
      </c>
      <c r="N553" s="7" t="inlineStr">
        <is>
          <t>Scuba-Oversized-Full-Zip</t>
        </is>
      </c>
      <c r="O553" s="7" t="inlineStr">
        <is>
          <t>Hoodies, Zip Up Sweatshirts</t>
        </is>
      </c>
    </row>
    <row r="554" ht="80" customHeight="1">
      <c r="A554" s="4">
        <f>IMAGE("https://images.lululemon.com/is/image/lululemon/LW3ESQS_032493_1?wid=320&amp;op_usm=0.8",1)</f>
        <v/>
      </c>
      <c r="B554" s="4" t="inlineStr">
        <is>
          <t>Scuba Oversized Full-Zip Hoodie</t>
        </is>
      </c>
      <c r="C554" s="4" t="inlineStr">
        <is>
          <t>153843875</t>
        </is>
      </c>
      <c r="D554" s="4" t="inlineStr">
        <is>
          <t>153843875-truenavy</t>
        </is>
      </c>
      <c r="E554" s="4" t="inlineStr">
        <is>
          <t>Scuba Oversized Full-Zip Hoodie HCUG XS/S</t>
        </is>
      </c>
      <c r="F554" s="4" t="inlineStr">
        <is>
          <t>$138.00</t>
        </is>
      </c>
      <c r="G554" s="4" t="inlineStr">
        <is>
          <t>$69.00</t>
        </is>
      </c>
      <c r="H554" s="4" t="inlineStr">
        <is>
          <t>True Navy</t>
        </is>
      </c>
      <c r="I554" s="4">
        <f>IMAGE("https://images.lululemon.com/is/image/lululemon/31382",1)</f>
        <v/>
      </c>
      <c r="J554" s="4" t="inlineStr">
        <is>
          <t>M/L</t>
        </is>
      </c>
      <c r="K554" s="4" t="inlineStr">
        <is>
          <t>124/3314</t>
        </is>
      </c>
      <c r="L554" s="4" t="inlineStr">
        <is>
          <t>Yes</t>
        </is>
      </c>
      <c r="M554" s="4" t="inlineStr">
        <is>
          <t>Serious about softness. This hoodie is all about fleecy fabric and a cozy oversized fit that pairs perfectly with our Scuba sweatpants.</t>
        </is>
      </c>
      <c r="N554" s="4" t="inlineStr">
        <is>
          <t>Scuba-Oversized-Full-Zip</t>
        </is>
      </c>
      <c r="O554" s="4" t="inlineStr">
        <is>
          <t>Hoodies, Zip Up Sweatshirts</t>
        </is>
      </c>
    </row>
    <row r="555" ht="80" customHeight="1">
      <c r="A555" s="7">
        <f>IMAGE("https://images.lululemon.com/is/image/lululemon/LW3ESQS_032493_1?wid=320&amp;op_usm=0.8",1)</f>
        <v/>
      </c>
      <c r="B555" s="7" t="inlineStr">
        <is>
          <t>Scuba Oversized Full-Zip Hoodie</t>
        </is>
      </c>
      <c r="C555" s="7" t="inlineStr">
        <is>
          <t>153843898</t>
        </is>
      </c>
      <c r="D555" s="7" t="inlineStr">
        <is>
          <t>153843898-truenavy</t>
        </is>
      </c>
      <c r="E555" s="7" t="inlineStr">
        <is>
          <t>Scuba Oversized Full-Zip Hoodie HCUG XS/S</t>
        </is>
      </c>
      <c r="F555" s="7" t="inlineStr">
        <is>
          <t>$138.00</t>
        </is>
      </c>
      <c r="G555" s="7" t="inlineStr">
        <is>
          <t>$69.00</t>
        </is>
      </c>
      <c r="H555" s="7" t="inlineStr">
        <is>
          <t>True Navy</t>
        </is>
      </c>
      <c r="I555" s="7">
        <f>IMAGE("https://images.lululemon.com/is/image/lululemon/31382",1)</f>
        <v/>
      </c>
      <c r="J555" s="7" t="inlineStr">
        <is>
          <t>XL/XXL</t>
        </is>
      </c>
      <c r="K555" s="7" t="inlineStr">
        <is>
          <t>182/3314</t>
        </is>
      </c>
      <c r="L555" s="7" t="inlineStr">
        <is>
          <t>Yes</t>
        </is>
      </c>
      <c r="M555" s="7" t="inlineStr">
        <is>
          <t>Serious about softness. This hoodie is all about fleecy fabric and a cozy oversized fit that pairs perfectly with our Scuba sweatpants.</t>
        </is>
      </c>
      <c r="N555" s="7" t="inlineStr">
        <is>
          <t>Scuba-Oversized-Full-Zip</t>
        </is>
      </c>
      <c r="O555" s="7" t="inlineStr">
        <is>
          <t>Hoodies, Zip Up Sweatshirts</t>
        </is>
      </c>
    </row>
    <row r="556" ht="80" customHeight="1">
      <c r="A556" s="4">
        <f>IMAGE("https://images.lululemon.com/is/image/lululemon/LW3ESQS_032493_1?wid=320&amp;op_usm=0.8",1)</f>
        <v/>
      </c>
      <c r="B556" s="4" t="inlineStr">
        <is>
          <t>Scuba Oversized Full-Zip Hoodie</t>
        </is>
      </c>
      <c r="C556" s="4" t="inlineStr">
        <is>
          <t>153105978</t>
        </is>
      </c>
      <c r="D556" s="4" t="inlineStr">
        <is>
          <t>153105978-black</t>
        </is>
      </c>
      <c r="E556" s="4" t="inlineStr">
        <is>
          <t>Scuba Oversized Full-Zip Hoodie HCUG XS/S</t>
        </is>
      </c>
      <c r="F556" s="4" t="inlineStr">
        <is>
          <t>$138.00</t>
        </is>
      </c>
      <c r="G556" s="4" t="inlineStr">
        <is>
          <t>$69.00</t>
        </is>
      </c>
      <c r="H556" s="4" t="inlineStr">
        <is>
          <t>Black</t>
        </is>
      </c>
      <c r="I556" s="4">
        <f>IMAGE("https://images.lululemon.com/is/image/lululemon/0001",1)</f>
        <v/>
      </c>
      <c r="J556" s="4" t="inlineStr">
        <is>
          <t>XS/S</t>
        </is>
      </c>
      <c r="K556" s="4" t="inlineStr">
        <is>
          <t>732/3314</t>
        </is>
      </c>
      <c r="L556" s="4" t="inlineStr">
        <is>
          <t>Yes</t>
        </is>
      </c>
      <c r="M556" s="4" t="inlineStr">
        <is>
          <t>Serious about softness. This hoodie is all about fleecy fabric and a cozy oversized fit that pairs perfectly with our Scuba sweatpants.</t>
        </is>
      </c>
      <c r="N556" s="4" t="inlineStr">
        <is>
          <t>Scuba-Oversized-Full-Zip</t>
        </is>
      </c>
      <c r="O556" s="4" t="inlineStr">
        <is>
          <t>Hoodies, Zip Up Sweatshirts</t>
        </is>
      </c>
    </row>
    <row r="557" ht="80" customHeight="1">
      <c r="A557" s="7">
        <f>IMAGE("https://images.lululemon.com/is/image/lululemon/LW3ESQS_032493_1?wid=320&amp;op_usm=0.8",1)</f>
        <v/>
      </c>
      <c r="B557" s="7" t="inlineStr">
        <is>
          <t>Scuba Oversized Full-Zip Hoodie</t>
        </is>
      </c>
      <c r="C557" s="7" t="inlineStr">
        <is>
          <t>153105960</t>
        </is>
      </c>
      <c r="D557" s="7" t="inlineStr">
        <is>
          <t>153105960-black</t>
        </is>
      </c>
      <c r="E557" s="7" t="inlineStr">
        <is>
          <t>Scuba Oversized Full-Zip Hoodie HCUG XS/S</t>
        </is>
      </c>
      <c r="F557" s="7" t="inlineStr">
        <is>
          <t>$138.00</t>
        </is>
      </c>
      <c r="G557" s="7" t="inlineStr">
        <is>
          <t>$69.00</t>
        </is>
      </c>
      <c r="H557" s="7" t="inlineStr">
        <is>
          <t>Black</t>
        </is>
      </c>
      <c r="I557" s="7">
        <f>IMAGE("https://images.lululemon.com/is/image/lululemon/0001",1)</f>
        <v/>
      </c>
      <c r="J557" s="7" t="inlineStr">
        <is>
          <t>M/L</t>
        </is>
      </c>
      <c r="K557" s="7" t="inlineStr">
        <is>
          <t>724/3314</t>
        </is>
      </c>
      <c r="L557" s="7" t="inlineStr">
        <is>
          <t>Yes</t>
        </is>
      </c>
      <c r="M557" s="7" t="inlineStr">
        <is>
          <t>Serious about softness. This hoodie is all about fleecy fabric and a cozy oversized fit that pairs perfectly with our Scuba sweatpants.</t>
        </is>
      </c>
      <c r="N557" s="7" t="inlineStr">
        <is>
          <t>Scuba-Oversized-Full-Zip</t>
        </is>
      </c>
      <c r="O557" s="7" t="inlineStr">
        <is>
          <t>Hoodies, Zip Up Sweatshirts</t>
        </is>
      </c>
    </row>
    <row r="558" ht="80" customHeight="1">
      <c r="A558" s="4">
        <f>IMAGE("https://images.lululemon.com/is/image/lululemon/LW3ESQS_032493_1?wid=320&amp;op_usm=0.8",1)</f>
        <v/>
      </c>
      <c r="B558" s="4" t="inlineStr">
        <is>
          <t>Scuba Oversized Full-Zip Hoodie</t>
        </is>
      </c>
      <c r="C558" s="4" t="inlineStr">
        <is>
          <t>153105972</t>
        </is>
      </c>
      <c r="D558" s="4" t="inlineStr">
        <is>
          <t>153105972-black</t>
        </is>
      </c>
      <c r="E558" s="4" t="inlineStr">
        <is>
          <t>Scuba Oversized Full-Zip Hoodie HCUG XS/S</t>
        </is>
      </c>
      <c r="F558" s="4" t="inlineStr">
        <is>
          <t>$138.00</t>
        </is>
      </c>
      <c r="G558" s="4" t="inlineStr">
        <is>
          <t>$69.00</t>
        </is>
      </c>
      <c r="H558" s="4" t="inlineStr">
        <is>
          <t>Black</t>
        </is>
      </c>
      <c r="I558" s="4">
        <f>IMAGE("https://images.lululemon.com/is/image/lululemon/0001",1)</f>
        <v/>
      </c>
      <c r="J558" s="4" t="inlineStr">
        <is>
          <t>XL/XXL</t>
        </is>
      </c>
      <c r="K558" s="4" t="inlineStr">
        <is>
          <t>500/3314</t>
        </is>
      </c>
      <c r="L558" s="4" t="inlineStr">
        <is>
          <t>Yes</t>
        </is>
      </c>
      <c r="M558" s="4" t="inlineStr">
        <is>
          <t>Serious about softness. This hoodie is all about fleecy fabric and a cozy oversized fit that pairs perfectly with our Scuba sweatpants.</t>
        </is>
      </c>
      <c r="N558" s="4" t="inlineStr">
        <is>
          <t>Scuba-Oversized-Full-Zip</t>
        </is>
      </c>
      <c r="O558" s="4" t="inlineStr">
        <is>
          <t>Hoodies, Zip Up Sweatshirts</t>
        </is>
      </c>
    </row>
    <row r="559" ht="80" customHeight="1">
      <c r="A559" s="7">
        <f>IMAGE("https://images.lululemon.com/is/image/lululemon/LW3ESQS_032493_1?wid=320&amp;op_usm=0.8",1)</f>
        <v/>
      </c>
      <c r="B559" s="7" t="inlineStr">
        <is>
          <t>Scuba Oversized Full-Zip Hoodie</t>
        </is>
      </c>
      <c r="C559" s="7" t="inlineStr">
        <is>
          <t>155854985</t>
        </is>
      </c>
      <c r="D559" s="7" t="inlineStr">
        <is>
          <t>155854985-black/gold</t>
        </is>
      </c>
      <c r="E559" s="7" t="inlineStr">
        <is>
          <t>Scuba Oversized Full-Zip Hoodie HCUG XS/S</t>
        </is>
      </c>
      <c r="F559" s="7" t="inlineStr">
        <is>
          <t>$138.00</t>
        </is>
      </c>
      <c r="G559" s="7" t="inlineStr">
        <is>
          <t>$69.00</t>
        </is>
      </c>
      <c r="H559" s="7" t="inlineStr">
        <is>
          <t>Black/Gold</t>
        </is>
      </c>
      <c r="I559" s="7">
        <f>IMAGE("https://images.lululemon.com/is/image/lululemon/3385",1)</f>
        <v/>
      </c>
      <c r="J559" s="7" t="inlineStr">
        <is>
          <t>XS/S</t>
        </is>
      </c>
      <c r="K559" s="7" t="inlineStr">
        <is>
          <t>75/3314</t>
        </is>
      </c>
      <c r="L559" s="7" t="inlineStr">
        <is>
          <t>Yes</t>
        </is>
      </c>
      <c r="M559" s="7" t="inlineStr">
        <is>
          <t>Serious about softness. This hoodie is all about fleecy fabric and a cozy oversized fit that pairs perfectly with our Scuba sweatpants.</t>
        </is>
      </c>
      <c r="N559" s="7" t="inlineStr">
        <is>
          <t>Scuba-Oversized-Full-Zip</t>
        </is>
      </c>
      <c r="O559" s="7" t="inlineStr">
        <is>
          <t>Hoodies, Zip Up Sweatshirts</t>
        </is>
      </c>
    </row>
    <row r="560" ht="80" customHeight="1">
      <c r="A560" s="4">
        <f>IMAGE("https://images.lululemon.com/is/image/lululemon/LW3ESQS_032493_1?wid=320&amp;op_usm=0.8",1)</f>
        <v/>
      </c>
      <c r="B560" s="4" t="inlineStr">
        <is>
          <t>Scuba Oversized Full-Zip Hoodie</t>
        </is>
      </c>
      <c r="C560" s="4" t="inlineStr">
        <is>
          <t>155854958</t>
        </is>
      </c>
      <c r="D560" s="4" t="inlineStr">
        <is>
          <t>155854958-black/gold</t>
        </is>
      </c>
      <c r="E560" s="4" t="inlineStr">
        <is>
          <t>Scuba Oversized Full-Zip Hoodie HCUG XS/S</t>
        </is>
      </c>
      <c r="F560" s="4" t="inlineStr">
        <is>
          <t>$138.00</t>
        </is>
      </c>
      <c r="G560" s="4" t="inlineStr">
        <is>
          <t>$69.00</t>
        </is>
      </c>
      <c r="H560" s="4" t="inlineStr">
        <is>
          <t>Black/Gold</t>
        </is>
      </c>
      <c r="I560" s="4">
        <f>IMAGE("https://images.lululemon.com/is/image/lululemon/3385",1)</f>
        <v/>
      </c>
      <c r="J560" s="4" t="inlineStr">
        <is>
          <t>M/L</t>
        </is>
      </c>
      <c r="K560" s="4" t="inlineStr">
        <is>
          <t>197/3314</t>
        </is>
      </c>
      <c r="L560" s="4" t="inlineStr">
        <is>
          <t>Yes</t>
        </is>
      </c>
      <c r="M560" s="4" t="inlineStr">
        <is>
          <t>Serious about softness. This hoodie is all about fleecy fabric and a cozy oversized fit that pairs perfectly with our Scuba sweatpants.</t>
        </is>
      </c>
      <c r="N560" s="4" t="inlineStr">
        <is>
          <t>Scuba-Oversized-Full-Zip</t>
        </is>
      </c>
      <c r="O560" s="4" t="inlineStr">
        <is>
          <t>Hoodies, Zip Up Sweatshirts</t>
        </is>
      </c>
    </row>
    <row r="561" ht="80" customHeight="1">
      <c r="A561" s="7">
        <f>IMAGE("https://images.lululemon.com/is/image/lululemon/LW3ESQS_032493_1?wid=320&amp;op_usm=0.8",1)</f>
        <v/>
      </c>
      <c r="B561" s="7" t="inlineStr">
        <is>
          <t>Scuba Oversized Full-Zip Hoodie</t>
        </is>
      </c>
      <c r="C561" s="7" t="inlineStr">
        <is>
          <t>155854978</t>
        </is>
      </c>
      <c r="D561" s="7" t="inlineStr">
        <is>
          <t>155854978-black/gold</t>
        </is>
      </c>
      <c r="E561" s="7" t="inlineStr">
        <is>
          <t>Scuba Oversized Full-Zip Hoodie HCUG XS/S</t>
        </is>
      </c>
      <c r="F561" s="7" t="inlineStr">
        <is>
          <t>$138.00</t>
        </is>
      </c>
      <c r="G561" s="7" t="inlineStr">
        <is>
          <t>$69.00</t>
        </is>
      </c>
      <c r="H561" s="7" t="inlineStr">
        <is>
          <t>Black/Gold</t>
        </is>
      </c>
      <c r="I561" s="7">
        <f>IMAGE("https://images.lululemon.com/is/image/lululemon/3385",1)</f>
        <v/>
      </c>
      <c r="J561" s="7" t="inlineStr">
        <is>
          <t>XL/XXL</t>
        </is>
      </c>
      <c r="K561" s="7" t="inlineStr">
        <is>
          <t>39/3314</t>
        </is>
      </c>
      <c r="L561" s="7" t="inlineStr">
        <is>
          <t>Yes</t>
        </is>
      </c>
      <c r="M561" s="7" t="inlineStr">
        <is>
          <t>Serious about softness. This hoodie is all about fleecy fabric and a cozy oversized fit that pairs perfectly with our Scuba sweatpants.</t>
        </is>
      </c>
      <c r="N561" s="7" t="inlineStr">
        <is>
          <t>Scuba-Oversized-Full-Zip</t>
        </is>
      </c>
      <c r="O561" s="7" t="inlineStr">
        <is>
          <t>Hoodies, Zip Up Sweatshirts</t>
        </is>
      </c>
    </row>
    <row r="562" ht="80" customHeight="1">
      <c r="A562" s="4">
        <f>IMAGE("https://images.lululemon.com/is/image/lululemon/LW3ESQS_032493_1?wid=320&amp;op_usm=0.8",1)</f>
        <v/>
      </c>
      <c r="B562" s="4" t="inlineStr">
        <is>
          <t>Scuba Oversized Full-Zip Hoodie</t>
        </is>
      </c>
      <c r="C562" s="4" t="inlineStr">
        <is>
          <t>157688079</t>
        </is>
      </c>
      <c r="D562" s="4" t="inlineStr">
        <is>
          <t>157688079-bayleaf/gold</t>
        </is>
      </c>
      <c r="E562" s="4" t="inlineStr">
        <is>
          <t>Scuba Oversized Full-Zip Hoodie HCUG XS/S</t>
        </is>
      </c>
      <c r="F562" s="4" t="inlineStr">
        <is>
          <t>$138.00</t>
        </is>
      </c>
      <c r="G562" s="4" t="inlineStr">
        <is>
          <t>$69.00</t>
        </is>
      </c>
      <c r="H562" s="4" t="inlineStr">
        <is>
          <t>Bay Leaf/Gold</t>
        </is>
      </c>
      <c r="I562" s="4">
        <f>IMAGE("https://images.lululemon.com/is/image/lululemon/71676",1)</f>
        <v/>
      </c>
      <c r="J562" s="4" t="inlineStr">
        <is>
          <t>XS/S</t>
        </is>
      </c>
      <c r="K562" s="4" t="inlineStr">
        <is>
          <t>50/3314</t>
        </is>
      </c>
      <c r="L562" s="4" t="inlineStr">
        <is>
          <t>Yes</t>
        </is>
      </c>
      <c r="M562" s="4" t="inlineStr">
        <is>
          <t>Serious about softness. This hoodie is all about fleecy fabric and a cozy oversized fit that pairs perfectly with our Scuba sweatpants.</t>
        </is>
      </c>
      <c r="N562" s="4" t="inlineStr">
        <is>
          <t>Scuba-Oversized-Full-Zip</t>
        </is>
      </c>
      <c r="O562" s="4" t="inlineStr">
        <is>
          <t>Hoodies, Zip Up Sweatshirts</t>
        </is>
      </c>
    </row>
    <row r="563" ht="80" customHeight="1">
      <c r="A563" s="7">
        <f>IMAGE("https://images.lululemon.com/is/image/lululemon/LW3ESQS_032493_1?wid=320&amp;op_usm=0.8",1)</f>
        <v/>
      </c>
      <c r="B563" s="7" t="inlineStr">
        <is>
          <t>Scuba Oversized Full-Zip Hoodie</t>
        </is>
      </c>
      <c r="C563" s="7" t="inlineStr">
        <is>
          <t>157688059</t>
        </is>
      </c>
      <c r="D563" s="7" t="inlineStr">
        <is>
          <t>157688059-bayleaf/gold</t>
        </is>
      </c>
      <c r="E563" s="7" t="inlineStr">
        <is>
          <t>Scuba Oversized Full-Zip Hoodie HCUG XS/S</t>
        </is>
      </c>
      <c r="F563" s="7" t="inlineStr">
        <is>
          <t>$138.00</t>
        </is>
      </c>
      <c r="G563" s="7" t="inlineStr">
        <is>
          <t>$69.00</t>
        </is>
      </c>
      <c r="H563" s="7" t="inlineStr">
        <is>
          <t>Bay Leaf/Gold</t>
        </is>
      </c>
      <c r="I563" s="7">
        <f>IMAGE("https://images.lululemon.com/is/image/lululemon/71676",1)</f>
        <v/>
      </c>
      <c r="J563" s="7" t="inlineStr">
        <is>
          <t>M/L</t>
        </is>
      </c>
      <c r="K563" s="7" t="inlineStr">
        <is>
          <t>76/3314</t>
        </is>
      </c>
      <c r="L563" s="7" t="inlineStr">
        <is>
          <t>Yes</t>
        </is>
      </c>
      <c r="M563" s="7" t="inlineStr">
        <is>
          <t>Serious about softness. This hoodie is all about fleecy fabric and a cozy oversized fit that pairs perfectly with our Scuba sweatpants.</t>
        </is>
      </c>
      <c r="N563" s="7" t="inlineStr">
        <is>
          <t>Scuba-Oversized-Full-Zip</t>
        </is>
      </c>
      <c r="O563" s="7" t="inlineStr">
        <is>
          <t>Hoodies, Zip Up Sweatshirts</t>
        </is>
      </c>
    </row>
    <row r="564" ht="80" customHeight="1">
      <c r="A564" s="4">
        <f>IMAGE("https://images.lululemon.com/is/image/lululemon/LW3ESQS_032493_1?wid=320&amp;op_usm=0.8",1)</f>
        <v/>
      </c>
      <c r="B564" s="4" t="inlineStr">
        <is>
          <t>Scuba Oversized Full-Zip Hoodie</t>
        </is>
      </c>
      <c r="C564" s="4" t="inlineStr">
        <is>
          <t>157688069</t>
        </is>
      </c>
      <c r="D564" s="4" t="inlineStr">
        <is>
          <t>157688069-bayleaf/gold</t>
        </is>
      </c>
      <c r="E564" s="4" t="inlineStr">
        <is>
          <t>Scuba Oversized Full-Zip Hoodie HCUG XS/S</t>
        </is>
      </c>
      <c r="F564" s="4" t="inlineStr">
        <is>
          <t>$138.00</t>
        </is>
      </c>
      <c r="G564" s="4" t="inlineStr">
        <is>
          <t>$69.00</t>
        </is>
      </c>
      <c r="H564" s="4" t="inlineStr">
        <is>
          <t>Bay Leaf/Gold</t>
        </is>
      </c>
      <c r="I564" s="4">
        <f>IMAGE("https://images.lululemon.com/is/image/lululemon/71676",1)</f>
        <v/>
      </c>
      <c r="J564" s="4" t="inlineStr">
        <is>
          <t>XL/XXL</t>
        </is>
      </c>
      <c r="K564" s="4" t="inlineStr">
        <is>
          <t>29/3314</t>
        </is>
      </c>
      <c r="L564" s="4" t="inlineStr">
        <is>
          <t>Yes</t>
        </is>
      </c>
      <c r="M564" s="4" t="inlineStr">
        <is>
          <t>Serious about softness. This hoodie is all about fleecy fabric and a cozy oversized fit that pairs perfectly with our Scuba sweatpants.</t>
        </is>
      </c>
      <c r="N564" s="4" t="inlineStr">
        <is>
          <t>Scuba-Oversized-Full-Zip</t>
        </is>
      </c>
      <c r="O564" s="4" t="inlineStr">
        <is>
          <t>Hoodies, Zip Up Sweatshirts</t>
        </is>
      </c>
    </row>
    <row r="565" ht="80" customHeight="1">
      <c r="A565" s="7">
        <f>IMAGE("https://images.lululemon.com/is/image/lululemon/LW3ESQS_032493_1?wid=320&amp;op_usm=0.8",1)</f>
        <v/>
      </c>
      <c r="B565" s="7" t="inlineStr">
        <is>
          <t>Scuba Oversized Full-Zip Hoodie</t>
        </is>
      </c>
      <c r="C565" s="7" t="inlineStr">
        <is>
          <t>157687280</t>
        </is>
      </c>
      <c r="D565" s="7" t="inlineStr">
        <is>
          <t>157687280-sereneblue</t>
        </is>
      </c>
      <c r="E565" s="7" t="inlineStr">
        <is>
          <t>Scuba Oversized Full-Zip Hoodie HCUG XS/S</t>
        </is>
      </c>
      <c r="F565" s="7" t="inlineStr">
        <is>
          <t>$138.00</t>
        </is>
      </c>
      <c r="G565" s="7" t="inlineStr">
        <is>
          <t>$69.00</t>
        </is>
      </c>
      <c r="H565" s="7" t="inlineStr">
        <is>
          <t>Serene Blue</t>
        </is>
      </c>
      <c r="I565" s="7">
        <f>IMAGE("https://images.lululemon.com/is/image/lululemon/32507",1)</f>
        <v/>
      </c>
      <c r="J565" s="7" t="inlineStr">
        <is>
          <t>XS/S</t>
        </is>
      </c>
      <c r="K565" s="7" t="inlineStr">
        <is>
          <t>104/3314</t>
        </is>
      </c>
      <c r="L565" s="7" t="inlineStr">
        <is>
          <t>Yes</t>
        </is>
      </c>
      <c r="M565" s="7" t="inlineStr">
        <is>
          <t>Serious about softness. This hoodie is all about fleecy fabric and a cozy oversized fit that pairs perfectly with our Scuba sweatpants.</t>
        </is>
      </c>
      <c r="N565" s="7" t="inlineStr">
        <is>
          <t>Scuba-Oversized-Full-Zip</t>
        </is>
      </c>
      <c r="O565" s="7" t="inlineStr">
        <is>
          <t>Hoodies, Zip Up Sweatshirts</t>
        </is>
      </c>
    </row>
    <row r="566" ht="80" customHeight="1">
      <c r="A566" s="4">
        <f>IMAGE("https://images.lululemon.com/is/image/lululemon/LW3ESQS_032493_1?wid=320&amp;op_usm=0.8",1)</f>
        <v/>
      </c>
      <c r="B566" s="4" t="inlineStr">
        <is>
          <t>Scuba Oversized Full-Zip Hoodie</t>
        </is>
      </c>
      <c r="C566" s="4" t="inlineStr">
        <is>
          <t>157687256</t>
        </is>
      </c>
      <c r="D566" s="4" t="inlineStr">
        <is>
          <t>157687256-sereneblue</t>
        </is>
      </c>
      <c r="E566" s="4" t="inlineStr">
        <is>
          <t>Scuba Oversized Full-Zip Hoodie HCUG XS/S</t>
        </is>
      </c>
      <c r="F566" s="4" t="inlineStr">
        <is>
          <t>$138.00</t>
        </is>
      </c>
      <c r="G566" s="4" t="inlineStr">
        <is>
          <t>$69.00</t>
        </is>
      </c>
      <c r="H566" s="4" t="inlineStr">
        <is>
          <t>Serene Blue</t>
        </is>
      </c>
      <c r="I566" s="4">
        <f>IMAGE("https://images.lululemon.com/is/image/lululemon/32507",1)</f>
        <v/>
      </c>
      <c r="J566" s="4" t="inlineStr">
        <is>
          <t>M/L</t>
        </is>
      </c>
      <c r="K566" s="4" t="inlineStr">
        <is>
          <t>138/3314</t>
        </is>
      </c>
      <c r="L566" s="4" t="inlineStr">
        <is>
          <t>Yes</t>
        </is>
      </c>
      <c r="M566" s="4" t="inlineStr">
        <is>
          <t>Serious about softness. This hoodie is all about fleecy fabric and a cozy oversized fit that pairs perfectly with our Scuba sweatpants.</t>
        </is>
      </c>
      <c r="N566" s="4" t="inlineStr">
        <is>
          <t>Scuba-Oversized-Full-Zip</t>
        </is>
      </c>
      <c r="O566" s="4" t="inlineStr">
        <is>
          <t>Hoodies, Zip Up Sweatshirts</t>
        </is>
      </c>
    </row>
    <row r="567" ht="80" customHeight="1">
      <c r="A567" s="5">
        <f>IMAGE("https://images.lululemon.com/is/image/lululemon/LW3ESQS_032493_1?wid=320&amp;op_usm=0.8",1)</f>
        <v/>
      </c>
      <c r="B567" s="5" t="inlineStr">
        <is>
          <t>Scuba Oversized Full-Zip Hoodie</t>
        </is>
      </c>
      <c r="C567" s="5" t="inlineStr">
        <is>
          <t>157687268</t>
        </is>
      </c>
      <c r="D567" s="5" t="inlineStr">
        <is>
          <t>157687268-sereneblue</t>
        </is>
      </c>
      <c r="E567" s="5" t="inlineStr">
        <is>
          <t>Scuba Oversized Full-Zip Hoodie HCUG XS/S</t>
        </is>
      </c>
      <c r="F567" s="5" t="inlineStr">
        <is>
          <t>$138.00</t>
        </is>
      </c>
      <c r="G567" s="5" t="inlineStr">
        <is>
          <t>$69.00</t>
        </is>
      </c>
      <c r="H567" s="5" t="inlineStr">
        <is>
          <t>Serene Blue</t>
        </is>
      </c>
      <c r="I567" s="5">
        <f>IMAGE("https://images.lululemon.com/is/image/lululemon/32507",1)</f>
        <v/>
      </c>
      <c r="J567" s="5" t="inlineStr">
        <is>
          <t>XL/XXL</t>
        </is>
      </c>
      <c r="K567" s="5" t="inlineStr">
        <is>
          <t>25/3314</t>
        </is>
      </c>
      <c r="L567" s="5" t="inlineStr">
        <is>
          <t>Yes</t>
        </is>
      </c>
      <c r="M567" s="5" t="inlineStr">
        <is>
          <t>Serious about softness. This hoodie is all about fleecy fabric and a cozy oversized fit that pairs perfectly with our Scuba sweatpants.</t>
        </is>
      </c>
      <c r="N567" s="5" t="inlineStr">
        <is>
          <t>Scuba-Oversized-Full-Zip</t>
        </is>
      </c>
      <c r="O567" s="5" t="inlineStr">
        <is>
          <t>Hoodies, Zip Up Sweatshirts</t>
        </is>
      </c>
    </row>
    <row r="568" ht="80" customHeight="1">
      <c r="A568" s="4">
        <f>IMAGE("https://images.lululemon.com/is/image/lululemon/LW2EI6S_028022_1?wid=320&amp;op_usm=0.8",1)</f>
        <v/>
      </c>
      <c r="B568" s="4" t="inlineStr">
        <is>
          <t>Flow Y Bra Light Support, A/B Cup *Evolve</t>
        </is>
      </c>
      <c r="C568" s="4" t="inlineStr">
        <is>
          <t>158022371</t>
        </is>
      </c>
      <c r="D568" s="4" t="inlineStr">
        <is>
          <t>158022371-indochineblue</t>
        </is>
      </c>
      <c r="E568" s="4" t="inlineStr">
        <is>
          <t>Flow Y Bra A/B *Evolve INCB XS</t>
        </is>
      </c>
      <c r="F568" s="4" t="inlineStr">
        <is>
          <t>$48.00</t>
        </is>
      </c>
      <c r="G568" s="4" t="inlineStr">
        <is>
          <t>$24.00</t>
        </is>
      </c>
      <c r="H568" s="4" t="inlineStr">
        <is>
          <t>Indochine Blue</t>
        </is>
      </c>
      <c r="I568" s="4">
        <f>IMAGE("https://images.lululemon.com/is/image/lululemon/28022",1)</f>
        <v/>
      </c>
      <c r="J568" s="4" t="inlineStr">
        <is>
          <t>XS</t>
        </is>
      </c>
      <c r="K568" s="4" t="inlineStr">
        <is>
          <t>2/195</t>
        </is>
      </c>
      <c r="L568" s="4" t="inlineStr">
        <is>
          <t>Yes</t>
        </is>
      </c>
      <c r="M568" s="4" t="inlineStr">
        <is>
          <t>Soft support, refined design. Minimal seams and our famously soft Nulu™ fabric create a lightweight bra that delivers optimal comfort with a minimalist look.</t>
        </is>
      </c>
      <c r="N568" s="4" t="inlineStr">
        <is>
          <t>Flow-Y-Bra-Light-Support-AB-Cup-Evolve</t>
        </is>
      </c>
      <c r="O568" s="4" t="inlineStr">
        <is>
          <t>Racerback Bras, Bralettes</t>
        </is>
      </c>
    </row>
    <row r="569" ht="80" customHeight="1">
      <c r="A569" s="7">
        <f>IMAGE("https://images.lululemon.com/is/image/lululemon/LW2EI6S_028022_1?wid=320&amp;op_usm=0.8",1)</f>
        <v/>
      </c>
      <c r="B569" s="7" t="inlineStr">
        <is>
          <t>Flow Y Bra Light Support, A/B Cup *Evolve</t>
        </is>
      </c>
      <c r="C569" s="7" t="inlineStr">
        <is>
          <t>158022367</t>
        </is>
      </c>
      <c r="D569" s="7" t="inlineStr">
        <is>
          <t>158022367-indochineblue</t>
        </is>
      </c>
      <c r="E569" s="7" t="inlineStr">
        <is>
          <t>Flow Y Bra A/B *Evolve INCB XS</t>
        </is>
      </c>
      <c r="F569" s="7" t="inlineStr">
        <is>
          <t>$48.00</t>
        </is>
      </c>
      <c r="G569" s="7" t="inlineStr">
        <is>
          <t>$24.00</t>
        </is>
      </c>
      <c r="H569" s="7" t="inlineStr">
        <is>
          <t>Indochine Blue</t>
        </is>
      </c>
      <c r="I569" s="7">
        <f>IMAGE("https://images.lululemon.com/is/image/lululemon/28022",1)</f>
        <v/>
      </c>
      <c r="J569" s="7" t="inlineStr">
        <is>
          <t>S</t>
        </is>
      </c>
      <c r="K569" s="7" t="inlineStr">
        <is>
          <t>35/195</t>
        </is>
      </c>
      <c r="L569" s="7" t="inlineStr">
        <is>
          <t>Yes</t>
        </is>
      </c>
      <c r="M569" s="7" t="inlineStr">
        <is>
          <t>Soft support, refined design. Minimal seams and our famously soft Nulu™ fabric create a lightweight bra that delivers optimal comfort with a minimalist look.</t>
        </is>
      </c>
      <c r="N569" s="7" t="inlineStr">
        <is>
          <t>Flow-Y-Bra-Light-Support-AB-Cup-Evolve</t>
        </is>
      </c>
      <c r="O569" s="7" t="inlineStr">
        <is>
          <t>Racerback Bras, Bralettes</t>
        </is>
      </c>
    </row>
    <row r="570" ht="80" customHeight="1">
      <c r="A570" s="4">
        <f>IMAGE("https://images.lululemon.com/is/image/lululemon/LW2EI6S_028022_1?wid=320&amp;op_usm=0.8",1)</f>
        <v/>
      </c>
      <c r="B570" s="4" t="inlineStr">
        <is>
          <t>Flow Y Bra Light Support, A/B Cup *Evolve</t>
        </is>
      </c>
      <c r="C570" s="4" t="inlineStr">
        <is>
          <t>158022366</t>
        </is>
      </c>
      <c r="D570" s="4" t="inlineStr">
        <is>
          <t>158022366-indochineblue</t>
        </is>
      </c>
      <c r="E570" s="4" t="inlineStr">
        <is>
          <t>Flow Y Bra A/B *Evolve INCB XS</t>
        </is>
      </c>
      <c r="F570" s="4" t="inlineStr">
        <is>
          <t>$48.00</t>
        </is>
      </c>
      <c r="G570" s="4" t="inlineStr">
        <is>
          <t>$24.00</t>
        </is>
      </c>
      <c r="H570" s="4" t="inlineStr">
        <is>
          <t>Indochine Blue</t>
        </is>
      </c>
      <c r="I570" s="4">
        <f>IMAGE("https://images.lululemon.com/is/image/lululemon/28022",1)</f>
        <v/>
      </c>
      <c r="J570" s="4" t="inlineStr">
        <is>
          <t>M</t>
        </is>
      </c>
      <c r="K570" s="4" t="inlineStr">
        <is>
          <t>74/195</t>
        </is>
      </c>
      <c r="L570" s="4" t="inlineStr">
        <is>
          <t>Yes</t>
        </is>
      </c>
      <c r="M570" s="4" t="inlineStr">
        <is>
          <t>Soft support, refined design. Minimal seams and our famously soft Nulu™ fabric create a lightweight bra that delivers optimal comfort with a minimalist look.</t>
        </is>
      </c>
      <c r="N570" s="4" t="inlineStr">
        <is>
          <t>Flow-Y-Bra-Light-Support-AB-Cup-Evolve</t>
        </is>
      </c>
      <c r="O570" s="4" t="inlineStr">
        <is>
          <t>Racerback Bras, Bralettes</t>
        </is>
      </c>
    </row>
    <row r="571" ht="80" customHeight="1">
      <c r="A571" s="7">
        <f>IMAGE("https://images.lululemon.com/is/image/lululemon/LW2EI6S_028022_1?wid=320&amp;op_usm=0.8",1)</f>
        <v/>
      </c>
      <c r="B571" s="7" t="inlineStr">
        <is>
          <t>Flow Y Bra Light Support, A/B Cup *Evolve</t>
        </is>
      </c>
      <c r="C571" s="7" t="inlineStr">
        <is>
          <t>158022364</t>
        </is>
      </c>
      <c r="D571" s="7" t="inlineStr">
        <is>
          <t>158022364-indochineblue</t>
        </is>
      </c>
      <c r="E571" s="7" t="inlineStr">
        <is>
          <t>Flow Y Bra A/B *Evolve INCB XS</t>
        </is>
      </c>
      <c r="F571" s="7" t="inlineStr">
        <is>
          <t>$48.00</t>
        </is>
      </c>
      <c r="G571" s="7" t="inlineStr">
        <is>
          <t>$24.00</t>
        </is>
      </c>
      <c r="H571" s="7" t="inlineStr">
        <is>
          <t>Indochine Blue</t>
        </is>
      </c>
      <c r="I571" s="7">
        <f>IMAGE("https://images.lululemon.com/is/image/lululemon/28022",1)</f>
        <v/>
      </c>
      <c r="J571" s="7" t="inlineStr">
        <is>
          <t>L</t>
        </is>
      </c>
      <c r="K571" s="7" t="inlineStr">
        <is>
          <t>52/195</t>
        </is>
      </c>
      <c r="L571" s="7" t="inlineStr">
        <is>
          <t>Yes</t>
        </is>
      </c>
      <c r="M571" s="7" t="inlineStr">
        <is>
          <t>Soft support, refined design. Minimal seams and our famously soft Nulu™ fabric create a lightweight bra that delivers optimal comfort with a minimalist look.</t>
        </is>
      </c>
      <c r="N571" s="7" t="inlineStr">
        <is>
          <t>Flow-Y-Bra-Light-Support-AB-Cup-Evolve</t>
        </is>
      </c>
      <c r="O571" s="7" t="inlineStr">
        <is>
          <t>Racerback Bras, Bralettes</t>
        </is>
      </c>
    </row>
    <row r="572" ht="80" customHeight="1">
      <c r="A572" s="6">
        <f>IMAGE("https://images.lululemon.com/is/image/lululemon/LW2EI6S_028022_1?wid=320&amp;op_usm=0.8",1)</f>
        <v/>
      </c>
      <c r="B572" s="6" t="inlineStr">
        <is>
          <t>Flow Y Bra Light Support, A/B Cup *Evolve</t>
        </is>
      </c>
      <c r="C572" s="6" t="inlineStr">
        <is>
          <t>158022369</t>
        </is>
      </c>
      <c r="D572" s="6" t="inlineStr">
        <is>
          <t>158022369-indochineblue</t>
        </is>
      </c>
      <c r="E572" s="6" t="inlineStr">
        <is>
          <t>Flow Y Bra A/B *Evolve INCB XS</t>
        </is>
      </c>
      <c r="F572" s="6" t="inlineStr">
        <is>
          <t>$48.00</t>
        </is>
      </c>
      <c r="G572" s="6" t="inlineStr">
        <is>
          <t>$24.00</t>
        </is>
      </c>
      <c r="H572" s="6" t="inlineStr">
        <is>
          <t>Indochine Blue</t>
        </is>
      </c>
      <c r="I572" s="6">
        <f>IMAGE("https://images.lululemon.com/is/image/lululemon/28022",1)</f>
        <v/>
      </c>
      <c r="J572" s="6" t="inlineStr">
        <is>
          <t>XL</t>
        </is>
      </c>
      <c r="K572" s="6" t="inlineStr">
        <is>
          <t>32/195</t>
        </is>
      </c>
      <c r="L572" s="6" t="inlineStr">
        <is>
          <t>Yes</t>
        </is>
      </c>
      <c r="M572" s="6" t="inlineStr">
        <is>
          <t>Soft support, refined design. Minimal seams and our famously soft Nulu™ fabric create a lightweight bra that delivers optimal comfort with a minimalist look.</t>
        </is>
      </c>
      <c r="N572" s="6" t="inlineStr">
        <is>
          <t>Flow-Y-Bra-Light-Support-AB-Cup-Evolve</t>
        </is>
      </c>
      <c r="O572" s="6" t="inlineStr">
        <is>
          <t>Racerback Bras, Bralettes</t>
        </is>
      </c>
    </row>
    <row r="573" ht="80" customHeight="1">
      <c r="A573" s="5">
        <f>IMAGE("https://images.lululemon.com/is/image/lululemon/LU9BK9S_069510_1?wid=320&amp;op_usm=0.8",1)</f>
        <v/>
      </c>
      <c r="B573" s="5" t="inlineStr">
        <is>
          <t>Daily Multi-Pocket Canvas Tote Bag 20L *Logo</t>
        </is>
      </c>
      <c r="C573" s="5" t="inlineStr">
        <is>
          <t>155779488</t>
        </is>
      </c>
      <c r="D573" s="5" t="inlineStr">
        <is>
          <t>155779488-truenavy/starchblue</t>
        </is>
      </c>
      <c r="E573" s="5" t="inlineStr">
        <is>
          <t>Daily Multi-Pocket Tote *Canvas TRNV/STRH ONE SIZE</t>
        </is>
      </c>
      <c r="F573" s="5" t="inlineStr">
        <is>
          <t>$68.00</t>
        </is>
      </c>
      <c r="G573" s="5" t="inlineStr">
        <is>
          <t>$34.00</t>
        </is>
      </c>
      <c r="H573" s="5" t="inlineStr">
        <is>
          <t>True Navy/Starch Blue</t>
        </is>
      </c>
      <c r="I573" s="5">
        <f>IMAGE("https://images.lululemon.com/is/image/lululemon/69510",1)</f>
        <v/>
      </c>
      <c r="J573" s="5" t="inlineStr">
        <is>
          <t>O/S</t>
        </is>
      </c>
      <c r="K573" s="5" t="inlineStr">
        <is>
          <t>156/156</t>
        </is>
      </c>
      <c r="L573" s="5" t="inlineStr">
        <is>
          <t>Yes</t>
        </is>
      </c>
      <c r="M573" s="5" t="inlineStr">
        <is>
          <t>From farmers-market finds to picnic essentials, this roomy canvas tote handles it all. Plenty of pockets and a large opening make finding your things a breeze.</t>
        </is>
      </c>
      <c r="N573" s="5" t="inlineStr">
        <is>
          <t>Dly-Mlti-Pckt-Cnvs-Tote-Bag-20L-Logo</t>
        </is>
      </c>
      <c r="O573" s="5" t="inlineStr">
        <is>
          <t>Totes</t>
        </is>
      </c>
    </row>
    <row r="574" ht="80" customHeight="1">
      <c r="A574" s="6">
        <f>IMAGE("https://images.lululemon.com/is/image/lululemon/LU9BZRS_0001_1?wid=320&amp;op_usm=0.8",1)</f>
        <v/>
      </c>
      <c r="B574" s="6" t="inlineStr">
        <is>
          <t>Everywhere Belt Bag 1L *Wunder Puff Shine</t>
        </is>
      </c>
      <c r="C574" s="6" t="inlineStr">
        <is>
          <t>154877945</t>
        </is>
      </c>
      <c r="D574" s="6" t="inlineStr">
        <is>
          <t>154877945-black</t>
        </is>
      </c>
      <c r="E574" s="6" t="inlineStr">
        <is>
          <t>Everywhere Belt Bag *Wunder Puff BLK ONE SIZE</t>
        </is>
      </c>
      <c r="F574" s="6" t="inlineStr">
        <is>
          <t>$58.00</t>
        </is>
      </c>
      <c r="G574" s="6" t="inlineStr">
        <is>
          <t>$29.00</t>
        </is>
      </c>
      <c r="H574" s="6" t="inlineStr">
        <is>
          <t>Black</t>
        </is>
      </c>
      <c r="I574" s="6">
        <f>IMAGE("https://images.lululemon.com/is/image/lululemon/0001",1)</f>
        <v/>
      </c>
      <c r="J574" s="6" t="inlineStr">
        <is>
          <t>O/S</t>
        </is>
      </c>
      <c r="K574" s="6" t="inlineStr">
        <is>
          <t>645/645</t>
        </is>
      </c>
      <c r="L574" s="6" t="inlineStr">
        <is>
          <t>Yes</t>
        </is>
      </c>
      <c r="M574" s="6" t="inlineStr">
        <is>
          <t>Inspired by the look of our Wunder Puff collection, this quilted Everywhere Belt Bag has space for your phone, keys, and wallet.</t>
        </is>
      </c>
      <c r="N574" s="6" t="inlineStr">
        <is>
          <t>Everywhere-Belt-Bag-1L-Wunder-Puff-Shine</t>
        </is>
      </c>
      <c r="O574" s="6" t="inlineStr">
        <is>
          <t>Belt Bags, Crossbody Bags</t>
        </is>
      </c>
    </row>
    <row r="575" ht="80" customHeight="1">
      <c r="A575" s="5">
        <f>IMAGE("https://images.lululemon.com/is/image/lululemon/LU9AYAS_038426_1?wid=320&amp;op_usm=0.8",1)</f>
        <v/>
      </c>
      <c r="B575" s="5" t="inlineStr">
        <is>
          <t>The Lightweight Mat 5mm</t>
        </is>
      </c>
      <c r="C575" s="5" t="inlineStr">
        <is>
          <t>155825816</t>
        </is>
      </c>
      <c r="D575" s="5" t="inlineStr">
        <is>
          <t>155825816-solargrey</t>
        </is>
      </c>
      <c r="E575" s="5" t="inlineStr">
        <is>
          <t>The Lightweight Mat 5mm SOGY ONE SIZE</t>
        </is>
      </c>
      <c r="F575" s="5" t="inlineStr">
        <is>
          <t>$84.00</t>
        </is>
      </c>
      <c r="G575" s="5" t="inlineStr">
        <is>
          <t>$42.00</t>
        </is>
      </c>
      <c r="H575" s="5" t="inlineStr">
        <is>
          <t>Solar Grey</t>
        </is>
      </c>
      <c r="I575" s="5">
        <f>IMAGE("https://images.lululemon.com/is/image/lululemon/38426",1)</f>
        <v/>
      </c>
      <c r="J575" s="5" t="inlineStr">
        <is>
          <t>O/S</t>
        </is>
      </c>
      <c r="K575" s="5" t="inlineStr">
        <is>
          <t>63/63</t>
        </is>
      </c>
      <c r="L575" s="5" t="inlineStr">
        <is>
          <t>Yes</t>
        </is>
      </c>
      <c r="M575" s="5" t="inlineStr">
        <is>
          <t>This cushiony, easy-to-clean yoga mat is perfect for low-sweat practices. Pair with The Towel for extra grip when things heat up.</t>
        </is>
      </c>
      <c r="N575" s="5" t="inlineStr">
        <is>
          <t>The-Lightweight-Mat-5mm</t>
        </is>
      </c>
      <c r="O575" s="5" t="inlineStr"/>
    </row>
    <row r="576" ht="80" customHeight="1">
      <c r="A576" s="4">
        <f>IMAGE("https://images.lululemon.com/is/image/lululemon/LW7BESS_0001_1?wid=320&amp;op_usm=0.8",1)</f>
        <v/>
      </c>
      <c r="B576" s="4" t="inlineStr">
        <is>
          <t>Wunder Train High-Rise Short 6"</t>
        </is>
      </c>
      <c r="C576" s="4" t="inlineStr">
        <is>
          <t>114801907</t>
        </is>
      </c>
      <c r="D576" s="4" t="inlineStr">
        <is>
          <t>114801907-black</t>
        </is>
      </c>
      <c r="E576" s="4" t="inlineStr">
        <is>
          <t>Wunder Train HR Short 6" BLK 2</t>
        </is>
      </c>
      <c r="F576" s="4" t="inlineStr">
        <is>
          <t>$64.00</t>
        </is>
      </c>
      <c r="G576" s="4" t="inlineStr">
        <is>
          <t>$32.00</t>
        </is>
      </c>
      <c r="H576" s="4" t="inlineStr">
        <is>
          <t>Black</t>
        </is>
      </c>
      <c r="I576" s="4">
        <f>IMAGE("https://images.lululemon.com/is/image/lululemon/0001",1)</f>
        <v/>
      </c>
      <c r="J576" s="4" t="inlineStr">
        <is>
          <t>2</t>
        </is>
      </c>
      <c r="K576" s="4" t="inlineStr">
        <is>
          <t>467/2623</t>
        </is>
      </c>
      <c r="L576" s="4" t="inlineStr">
        <is>
          <t>Yes</t>
        </is>
      </c>
      <c r="M576" s="4" t="inlineStr">
        <is>
          <t>Train hard, not hot. Made from Everlux™, the Wunder Train collection is highly breathable and quickly wicks sweat so you feel less sweaty during (and after) your workout.</t>
        </is>
      </c>
      <c r="N576" s="4" t="inlineStr">
        <is>
          <t>Wunder-Train-HR-Short-6</t>
        </is>
      </c>
      <c r="O576" s="4" t="inlineStr">
        <is>
          <t>Athletic Shorts, Biker Shorts</t>
        </is>
      </c>
    </row>
    <row r="577" ht="80" customHeight="1">
      <c r="A577" s="7">
        <f>IMAGE("https://images.lululemon.com/is/image/lululemon/LW7BESS_0001_1?wid=320&amp;op_usm=0.8",1)</f>
        <v/>
      </c>
      <c r="B577" s="7" t="inlineStr">
        <is>
          <t>Wunder Train High-Rise Short 6"</t>
        </is>
      </c>
      <c r="C577" s="7" t="inlineStr">
        <is>
          <t>114801909</t>
        </is>
      </c>
      <c r="D577" s="7" t="inlineStr">
        <is>
          <t>114801909-black</t>
        </is>
      </c>
      <c r="E577" s="7" t="inlineStr">
        <is>
          <t>Wunder Train HR Short 6" BLK 2</t>
        </is>
      </c>
      <c r="F577" s="7" t="inlineStr">
        <is>
          <t>$64.00</t>
        </is>
      </c>
      <c r="G577" s="7" t="inlineStr">
        <is>
          <t>$32.00</t>
        </is>
      </c>
      <c r="H577" s="7" t="inlineStr">
        <is>
          <t>Black</t>
        </is>
      </c>
      <c r="I577" s="7">
        <f>IMAGE("https://images.lululemon.com/is/image/lululemon/0001",1)</f>
        <v/>
      </c>
      <c r="J577" s="7" t="inlineStr">
        <is>
          <t>4</t>
        </is>
      </c>
      <c r="K577" s="7" t="inlineStr">
        <is>
          <t>803/2623</t>
        </is>
      </c>
      <c r="L577" s="7" t="inlineStr">
        <is>
          <t>Yes</t>
        </is>
      </c>
      <c r="M577" s="7" t="inlineStr">
        <is>
          <t>Train hard, not hot. Made from Everlux™, the Wunder Train collection is highly breathable and quickly wicks sweat so you feel less sweaty during (and after) your workout.</t>
        </is>
      </c>
      <c r="N577" s="7" t="inlineStr">
        <is>
          <t>Wunder-Train-HR-Short-6</t>
        </is>
      </c>
      <c r="O577" s="7" t="inlineStr">
        <is>
          <t>Athletic Shorts, Biker Shorts</t>
        </is>
      </c>
    </row>
    <row r="578" ht="80" customHeight="1">
      <c r="A578" s="4">
        <f>IMAGE("https://images.lululemon.com/is/image/lululemon/LW7BESS_0001_1?wid=320&amp;op_usm=0.8",1)</f>
        <v/>
      </c>
      <c r="B578" s="4" t="inlineStr">
        <is>
          <t>Wunder Train High-Rise Short 6"</t>
        </is>
      </c>
      <c r="C578" s="4" t="inlineStr">
        <is>
          <t>114801912</t>
        </is>
      </c>
      <c r="D578" s="4" t="inlineStr">
        <is>
          <t>114801912-black</t>
        </is>
      </c>
      <c r="E578" s="4" t="inlineStr">
        <is>
          <t>Wunder Train HR Short 6" BLK 2</t>
        </is>
      </c>
      <c r="F578" s="4" t="inlineStr">
        <is>
          <t>$64.00</t>
        </is>
      </c>
      <c r="G578" s="4" t="inlineStr">
        <is>
          <t>$32.00</t>
        </is>
      </c>
      <c r="H578" s="4" t="inlineStr">
        <is>
          <t>Black</t>
        </is>
      </c>
      <c r="I578" s="4">
        <f>IMAGE("https://images.lululemon.com/is/image/lululemon/0001",1)</f>
        <v/>
      </c>
      <c r="J578" s="4" t="inlineStr">
        <is>
          <t>6</t>
        </is>
      </c>
      <c r="K578" s="4" t="inlineStr">
        <is>
          <t>745/2623</t>
        </is>
      </c>
      <c r="L578" s="4" t="inlineStr">
        <is>
          <t>Yes</t>
        </is>
      </c>
      <c r="M578" s="4" t="inlineStr">
        <is>
          <t>Train hard, not hot. Made from Everlux™, the Wunder Train collection is highly breathable and quickly wicks sweat so you feel less sweaty during (and after) your workout.</t>
        </is>
      </c>
      <c r="N578" s="4" t="inlineStr">
        <is>
          <t>Wunder-Train-HR-Short-6</t>
        </is>
      </c>
      <c r="O578" s="4" t="inlineStr">
        <is>
          <t>Athletic Shorts, Biker Shorts</t>
        </is>
      </c>
    </row>
    <row r="579" ht="80" customHeight="1">
      <c r="A579" s="7">
        <f>IMAGE("https://images.lululemon.com/is/image/lululemon/LW7BESS_0001_1?wid=320&amp;op_usm=0.8",1)</f>
        <v/>
      </c>
      <c r="B579" s="7" t="inlineStr">
        <is>
          <t>Wunder Train High-Rise Short 6"</t>
        </is>
      </c>
      <c r="C579" s="7" t="inlineStr">
        <is>
          <t>114801914</t>
        </is>
      </c>
      <c r="D579" s="7" t="inlineStr">
        <is>
          <t>114801914-black</t>
        </is>
      </c>
      <c r="E579" s="7" t="inlineStr">
        <is>
          <t>Wunder Train HR Short 6" BLK 2</t>
        </is>
      </c>
      <c r="F579" s="7" t="inlineStr">
        <is>
          <t>$64.00</t>
        </is>
      </c>
      <c r="G579" s="7" t="inlineStr">
        <is>
          <t>$32.00</t>
        </is>
      </c>
      <c r="H579" s="7" t="inlineStr">
        <is>
          <t>Black</t>
        </is>
      </c>
      <c r="I579" s="7">
        <f>IMAGE("https://images.lululemon.com/is/image/lululemon/0001",1)</f>
        <v/>
      </c>
      <c r="J579" s="7" t="inlineStr">
        <is>
          <t>8</t>
        </is>
      </c>
      <c r="K579" s="7" t="inlineStr">
        <is>
          <t>356/2623</t>
        </is>
      </c>
      <c r="L579" s="7" t="inlineStr">
        <is>
          <t>Yes</t>
        </is>
      </c>
      <c r="M579" s="7" t="inlineStr">
        <is>
          <t>Train hard, not hot. Made from Everlux™, the Wunder Train collection is highly breathable and quickly wicks sweat so you feel less sweaty during (and after) your workout.</t>
        </is>
      </c>
      <c r="N579" s="7" t="inlineStr">
        <is>
          <t>Wunder-Train-HR-Short-6</t>
        </is>
      </c>
      <c r="O579" s="7" t="inlineStr">
        <is>
          <t>Athletic Shorts, Biker Shorts</t>
        </is>
      </c>
    </row>
    <row r="580" ht="80" customHeight="1">
      <c r="A580" s="4">
        <f>IMAGE("https://images.lululemon.com/is/image/lululemon/LW7BESS_0001_1?wid=320&amp;op_usm=0.8",1)</f>
        <v/>
      </c>
      <c r="B580" s="4" t="inlineStr">
        <is>
          <t>Wunder Train High-Rise Short 6"</t>
        </is>
      </c>
      <c r="C580" s="4" t="inlineStr">
        <is>
          <t>114801898</t>
        </is>
      </c>
      <c r="D580" s="4" t="inlineStr">
        <is>
          <t>114801898-black</t>
        </is>
      </c>
      <c r="E580" s="4" t="inlineStr">
        <is>
          <t>Wunder Train HR Short 6" BLK 2</t>
        </is>
      </c>
      <c r="F580" s="4" t="inlineStr">
        <is>
          <t>$64.00</t>
        </is>
      </c>
      <c r="G580" s="4" t="inlineStr">
        <is>
          <t>$32.00</t>
        </is>
      </c>
      <c r="H580" s="4" t="inlineStr">
        <is>
          <t>Black</t>
        </is>
      </c>
      <c r="I580" s="4">
        <f>IMAGE("https://images.lululemon.com/is/image/lululemon/0001",1)</f>
        <v/>
      </c>
      <c r="J580" s="4" t="inlineStr">
        <is>
          <t>10</t>
        </is>
      </c>
      <c r="K580" s="4" t="inlineStr">
        <is>
          <t>132/2623</t>
        </is>
      </c>
      <c r="L580" s="4" t="inlineStr">
        <is>
          <t>Yes</t>
        </is>
      </c>
      <c r="M580" s="4" t="inlineStr">
        <is>
          <t>Train hard, not hot. Made from Everlux™, the Wunder Train collection is highly breathable and quickly wicks sweat so you feel less sweaty during (and after) your workout.</t>
        </is>
      </c>
      <c r="N580" s="4" t="inlineStr">
        <is>
          <t>Wunder-Train-HR-Short-6</t>
        </is>
      </c>
      <c r="O580" s="4" t="inlineStr">
        <is>
          <t>Athletic Shorts, Biker Shorts</t>
        </is>
      </c>
    </row>
    <row r="581" ht="80" customHeight="1">
      <c r="A581" s="7">
        <f>IMAGE("https://images.lululemon.com/is/image/lululemon/LW7BESS_0001_1?wid=320&amp;op_usm=0.8",1)</f>
        <v/>
      </c>
      <c r="B581" s="7" t="inlineStr">
        <is>
          <t>Wunder Train High-Rise Short 6"</t>
        </is>
      </c>
      <c r="C581" s="7" t="inlineStr">
        <is>
          <t>114801900</t>
        </is>
      </c>
      <c r="D581" s="7" t="inlineStr">
        <is>
          <t>114801900-black</t>
        </is>
      </c>
      <c r="E581" s="7" t="inlineStr">
        <is>
          <t>Wunder Train HR Short 6" BLK 2</t>
        </is>
      </c>
      <c r="F581" s="7" t="inlineStr">
        <is>
          <t>$64.00</t>
        </is>
      </c>
      <c r="G581" s="7" t="inlineStr">
        <is>
          <t>$32.00</t>
        </is>
      </c>
      <c r="H581" s="7" t="inlineStr">
        <is>
          <t>Black</t>
        </is>
      </c>
      <c r="I581" s="7">
        <f>IMAGE("https://images.lululemon.com/is/image/lululemon/0001",1)</f>
        <v/>
      </c>
      <c r="J581" s="7" t="inlineStr">
        <is>
          <t>12</t>
        </is>
      </c>
      <c r="K581" s="7" t="inlineStr">
        <is>
          <t>104/2623</t>
        </is>
      </c>
      <c r="L581" s="7" t="inlineStr">
        <is>
          <t>Yes</t>
        </is>
      </c>
      <c r="M581" s="7" t="inlineStr">
        <is>
          <t>Train hard, not hot. Made from Everlux™, the Wunder Train collection is highly breathable and quickly wicks sweat so you feel less sweaty during (and after) your workout.</t>
        </is>
      </c>
      <c r="N581" s="7" t="inlineStr">
        <is>
          <t>Wunder-Train-HR-Short-6</t>
        </is>
      </c>
      <c r="O581" s="7" t="inlineStr">
        <is>
          <t>Athletic Shorts, Biker Shorts</t>
        </is>
      </c>
    </row>
    <row r="582" ht="80" customHeight="1">
      <c r="A582" s="4">
        <f>IMAGE("https://images.lululemon.com/is/image/lululemon/LW7BESS_0001_1?wid=320&amp;op_usm=0.8",1)</f>
        <v/>
      </c>
      <c r="B582" s="4" t="inlineStr">
        <is>
          <t>Wunder Train High-Rise Short 6"</t>
        </is>
      </c>
      <c r="C582" s="4" t="inlineStr">
        <is>
          <t>114801901</t>
        </is>
      </c>
      <c r="D582" s="4" t="inlineStr">
        <is>
          <t>114801901-black</t>
        </is>
      </c>
      <c r="E582" s="4" t="inlineStr">
        <is>
          <t>Wunder Train HR Short 6" BLK 2</t>
        </is>
      </c>
      <c r="F582" s="4" t="inlineStr">
        <is>
          <t>$64.00</t>
        </is>
      </c>
      <c r="G582" s="4" t="inlineStr">
        <is>
          <t>$32.00</t>
        </is>
      </c>
      <c r="H582" s="4" t="inlineStr">
        <is>
          <t>Black</t>
        </is>
      </c>
      <c r="I582" s="4">
        <f>IMAGE("https://images.lululemon.com/is/image/lululemon/0001",1)</f>
        <v/>
      </c>
      <c r="J582" s="4" t="inlineStr">
        <is>
          <t>14</t>
        </is>
      </c>
      <c r="K582" s="4" t="inlineStr">
        <is>
          <t>6/2623</t>
        </is>
      </c>
      <c r="L582" s="4" t="inlineStr">
        <is>
          <t>Yes</t>
        </is>
      </c>
      <c r="M582" s="4" t="inlineStr">
        <is>
          <t>Train hard, not hot. Made from Everlux™, the Wunder Train collection is highly breathable and quickly wicks sweat so you feel less sweaty during (and after) your workout.</t>
        </is>
      </c>
      <c r="N582" s="4" t="inlineStr">
        <is>
          <t>Wunder-Train-HR-Short-6</t>
        </is>
      </c>
      <c r="O582" s="4" t="inlineStr">
        <is>
          <t>Athletic Shorts, Biker Shorts</t>
        </is>
      </c>
    </row>
    <row r="583" ht="80" customHeight="1">
      <c r="A583" s="5">
        <f>IMAGE("https://images.lululemon.com/is/image/lululemon/LW7BESS_0001_1?wid=320&amp;op_usm=0.8",1)</f>
        <v/>
      </c>
      <c r="B583" s="5" t="inlineStr">
        <is>
          <t>Wunder Train High-Rise Short 6"</t>
        </is>
      </c>
      <c r="C583" s="5" t="inlineStr">
        <is>
          <t>114801904</t>
        </is>
      </c>
      <c r="D583" s="5" t="inlineStr">
        <is>
          <t>114801904-black</t>
        </is>
      </c>
      <c r="E583" s="5" t="inlineStr">
        <is>
          <t>Wunder Train HR Short 6" BLK 2</t>
        </is>
      </c>
      <c r="F583" s="5" t="inlineStr">
        <is>
          <t>$64.00</t>
        </is>
      </c>
      <c r="G583" s="5" t="inlineStr">
        <is>
          <t>$32.00</t>
        </is>
      </c>
      <c r="H583" s="5" t="inlineStr">
        <is>
          <t>Black</t>
        </is>
      </c>
      <c r="I583" s="5">
        <f>IMAGE("https://images.lululemon.com/is/image/lululemon/0001",1)</f>
        <v/>
      </c>
      <c r="J583" s="5" t="inlineStr">
        <is>
          <t>16</t>
        </is>
      </c>
      <c r="K583" s="5" t="inlineStr">
        <is>
          <t>10/2623</t>
        </is>
      </c>
      <c r="L583" s="5" t="inlineStr">
        <is>
          <t>Yes</t>
        </is>
      </c>
      <c r="M583" s="5" t="inlineStr">
        <is>
          <t>Train hard, not hot. Made from Everlux™, the Wunder Train collection is highly breathable and quickly wicks sweat so you feel less sweaty during (and after) your workout.</t>
        </is>
      </c>
      <c r="N583" s="5" t="inlineStr">
        <is>
          <t>Wunder-Train-HR-Short-6</t>
        </is>
      </c>
      <c r="O583" s="5" t="inlineStr">
        <is>
          <t>Athletic Shorts, Biker Shorts</t>
        </is>
      </c>
    </row>
    <row r="584" ht="80" customHeight="1">
      <c r="A584" s="6">
        <f>IMAGE("https://images.lululemon.com/is/image/lululemon/LU9D25S_031078_1?wid=320&amp;op_usm=0.8",1)</f>
        <v/>
      </c>
      <c r="B584" s="6" t="inlineStr">
        <is>
          <t>All Sport Backpack 10L</t>
        </is>
      </c>
      <c r="C584" s="6" t="inlineStr">
        <is>
          <t>157678046</t>
        </is>
      </c>
      <c r="D584" s="6" t="inlineStr">
        <is>
          <t>157678046-anchor/black</t>
        </is>
      </c>
      <c r="E584" s="6" t="inlineStr">
        <is>
          <t>All Sport Backpack 10L ANCH/BLK ONE SIZE</t>
        </is>
      </c>
      <c r="F584" s="6" t="inlineStr">
        <is>
          <t>$98.00</t>
        </is>
      </c>
      <c r="G584" s="6" t="inlineStr">
        <is>
          <t>$49.00</t>
        </is>
      </c>
      <c r="H584" s="6" t="inlineStr">
        <is>
          <t>Anchor/Black</t>
        </is>
      </c>
      <c r="I584" s="6">
        <f>IMAGE("https://images.lululemon.com/is/image/lululemon/31078",1)</f>
        <v/>
      </c>
      <c r="J584" s="6" t="inlineStr">
        <is>
          <t>O/S</t>
        </is>
      </c>
      <c r="K584" s="6" t="inlineStr">
        <is>
          <t>130/130</t>
        </is>
      </c>
      <c r="L584" s="6" t="inlineStr">
        <is>
          <t>Yes</t>
        </is>
      </c>
      <c r="M584" s="6" t="inlineStr">
        <is>
          <t>Run, bike, or hike your way into adventure. This lightweight backpack has ample storage for your gear and strategically placed load lifters and compression straps for a snug fit.</t>
        </is>
      </c>
      <c r="N584" s="6" t="inlineStr">
        <is>
          <t>All-Sport-Backpack-10L</t>
        </is>
      </c>
      <c r="O584" s="6" t="inlineStr">
        <is>
          <t>Backpacks</t>
        </is>
      </c>
    </row>
    <row r="585" ht="80" customHeight="1">
      <c r="A585" s="7">
        <f>IMAGE("https://images.lululemon.com/is/image/lululemon/LW5FLKS_028022_1?wid=320&amp;op_usm=0.8",1)</f>
        <v/>
      </c>
      <c r="B585" s="7" t="inlineStr">
        <is>
          <t>Cold Weather High-Rise Running Jogger *Full Length</t>
        </is>
      </c>
      <c r="C585" s="7" t="inlineStr">
        <is>
          <t>158095789</t>
        </is>
      </c>
      <c r="D585" s="7" t="inlineStr">
        <is>
          <t>158095789-indochineblue</t>
        </is>
      </c>
      <c r="E585" s="7" t="inlineStr">
        <is>
          <t>Cold Weather HR Running Jogger INCB 2</t>
        </is>
      </c>
      <c r="F585" s="7" t="inlineStr">
        <is>
          <t>$198.00</t>
        </is>
      </c>
      <c r="G585" s="7" t="inlineStr">
        <is>
          <t>$99.00</t>
        </is>
      </c>
      <c r="H585" s="7" t="inlineStr">
        <is>
          <t>Indochine Blue</t>
        </is>
      </c>
      <c r="I585" s="7">
        <f>IMAGE("https://images.lululemon.com/is/image/lululemon/28022",1)</f>
        <v/>
      </c>
      <c r="J585" s="7" t="inlineStr">
        <is>
          <t>2</t>
        </is>
      </c>
      <c r="K585" s="7" t="inlineStr">
        <is>
          <t>41/394</t>
        </is>
      </c>
      <c r="L585" s="7" t="inlineStr">
        <is>
          <t>Yes</t>
        </is>
      </c>
      <c r="M585" s="7" t="inlineStr">
        <is>
          <t>Bring the warmth to cold-weather runs. These joggers are made from warm technical fleece and have weather-repellent panels to shield you from the elements.</t>
        </is>
      </c>
      <c r="N585" s="7" t="inlineStr">
        <is>
          <t>Cold-Weather-HR-Run-Jogger-Full</t>
        </is>
      </c>
      <c r="O585" s="7" t="inlineStr"/>
    </row>
    <row r="586" ht="80" customHeight="1">
      <c r="A586" s="4">
        <f>IMAGE("https://images.lululemon.com/is/image/lululemon/LW5FLKS_028022_1?wid=320&amp;op_usm=0.8",1)</f>
        <v/>
      </c>
      <c r="B586" s="4" t="inlineStr">
        <is>
          <t>Cold Weather High-Rise Running Jogger *Full Length</t>
        </is>
      </c>
      <c r="C586" s="4" t="inlineStr">
        <is>
          <t>158095798</t>
        </is>
      </c>
      <c r="D586" s="4" t="inlineStr">
        <is>
          <t>158095798-indochineblue</t>
        </is>
      </c>
      <c r="E586" s="4" t="inlineStr">
        <is>
          <t>Cold Weather HR Running Jogger INCB 2</t>
        </is>
      </c>
      <c r="F586" s="4" t="inlineStr">
        <is>
          <t>$198.00</t>
        </is>
      </c>
      <c r="G586" s="4" t="inlineStr">
        <is>
          <t>$99.00</t>
        </is>
      </c>
      <c r="H586" s="4" t="inlineStr">
        <is>
          <t>Indochine Blue</t>
        </is>
      </c>
      <c r="I586" s="4">
        <f>IMAGE("https://images.lululemon.com/is/image/lululemon/28022",1)</f>
        <v/>
      </c>
      <c r="J586" s="4" t="inlineStr">
        <is>
          <t>4</t>
        </is>
      </c>
      <c r="K586" s="4" t="inlineStr">
        <is>
          <t>96/394</t>
        </is>
      </c>
      <c r="L586" s="4" t="inlineStr">
        <is>
          <t>Yes</t>
        </is>
      </c>
      <c r="M586" s="4" t="inlineStr">
        <is>
          <t>Bring the warmth to cold-weather runs. These joggers are made from warm technical fleece and have weather-repellent panels to shield you from the elements.</t>
        </is>
      </c>
      <c r="N586" s="4" t="inlineStr">
        <is>
          <t>Cold-Weather-HR-Run-Jogger-Full</t>
        </is>
      </c>
      <c r="O586" s="4" t="inlineStr"/>
    </row>
    <row r="587" ht="80" customHeight="1">
      <c r="A587" s="7">
        <f>IMAGE("https://images.lululemon.com/is/image/lululemon/LW5FLKS_028022_1?wid=320&amp;op_usm=0.8",1)</f>
        <v/>
      </c>
      <c r="B587" s="7" t="inlineStr">
        <is>
          <t>Cold Weather High-Rise Running Jogger *Full Length</t>
        </is>
      </c>
      <c r="C587" s="7" t="inlineStr">
        <is>
          <t>158095806</t>
        </is>
      </c>
      <c r="D587" s="7" t="inlineStr">
        <is>
          <t>158095806-indochineblue</t>
        </is>
      </c>
      <c r="E587" s="7" t="inlineStr">
        <is>
          <t>Cold Weather HR Running Jogger INCB 2</t>
        </is>
      </c>
      <c r="F587" s="7" t="inlineStr">
        <is>
          <t>$198.00</t>
        </is>
      </c>
      <c r="G587" s="7" t="inlineStr">
        <is>
          <t>$99.00</t>
        </is>
      </c>
      <c r="H587" s="7" t="inlineStr">
        <is>
          <t>Indochine Blue</t>
        </is>
      </c>
      <c r="I587" s="7">
        <f>IMAGE("https://images.lululemon.com/is/image/lululemon/28022",1)</f>
        <v/>
      </c>
      <c r="J587" s="7" t="inlineStr">
        <is>
          <t>6</t>
        </is>
      </c>
      <c r="K587" s="7" t="inlineStr">
        <is>
          <t>110/394</t>
        </is>
      </c>
      <c r="L587" s="7" t="inlineStr">
        <is>
          <t>Yes</t>
        </is>
      </c>
      <c r="M587" s="7" t="inlineStr">
        <is>
          <t>Bring the warmth to cold-weather runs. These joggers are made from warm technical fleece and have weather-repellent panels to shield you from the elements.</t>
        </is>
      </c>
      <c r="N587" s="7" t="inlineStr">
        <is>
          <t>Cold-Weather-HR-Run-Jogger-Full</t>
        </is>
      </c>
      <c r="O587" s="7" t="inlineStr"/>
    </row>
    <row r="588" ht="80" customHeight="1">
      <c r="A588" s="4">
        <f>IMAGE("https://images.lululemon.com/is/image/lululemon/LW5FLKS_028022_1?wid=320&amp;op_usm=0.8",1)</f>
        <v/>
      </c>
      <c r="B588" s="4" t="inlineStr">
        <is>
          <t>Cold Weather High-Rise Running Jogger *Full Length</t>
        </is>
      </c>
      <c r="C588" s="4" t="inlineStr">
        <is>
          <t>158095812</t>
        </is>
      </c>
      <c r="D588" s="4" t="inlineStr">
        <is>
          <t>158095812-indochineblue</t>
        </is>
      </c>
      <c r="E588" s="4" t="inlineStr">
        <is>
          <t>Cold Weather HR Running Jogger INCB 2</t>
        </is>
      </c>
      <c r="F588" s="4" t="inlineStr">
        <is>
          <t>$198.00</t>
        </is>
      </c>
      <c r="G588" s="4" t="inlineStr">
        <is>
          <t>$99.00</t>
        </is>
      </c>
      <c r="H588" s="4" t="inlineStr">
        <is>
          <t>Indochine Blue</t>
        </is>
      </c>
      <c r="I588" s="4">
        <f>IMAGE("https://images.lululemon.com/is/image/lululemon/28022",1)</f>
        <v/>
      </c>
      <c r="J588" s="4" t="inlineStr">
        <is>
          <t>8</t>
        </is>
      </c>
      <c r="K588" s="4" t="inlineStr">
        <is>
          <t>84/394</t>
        </is>
      </c>
      <c r="L588" s="4" t="inlineStr">
        <is>
          <t>Yes</t>
        </is>
      </c>
      <c r="M588" s="4" t="inlineStr">
        <is>
          <t>Bring the warmth to cold-weather runs. These joggers are made from warm technical fleece and have weather-repellent panels to shield you from the elements.</t>
        </is>
      </c>
      <c r="N588" s="4" t="inlineStr">
        <is>
          <t>Cold-Weather-HR-Run-Jogger-Full</t>
        </is>
      </c>
      <c r="O588" s="4" t="inlineStr"/>
    </row>
    <row r="589" ht="80" customHeight="1">
      <c r="A589" s="7">
        <f>IMAGE("https://images.lululemon.com/is/image/lululemon/LW5FLKS_028022_1?wid=320&amp;op_usm=0.8",1)</f>
        <v/>
      </c>
      <c r="B589" s="7" t="inlineStr">
        <is>
          <t>Cold Weather High-Rise Running Jogger *Full Length</t>
        </is>
      </c>
      <c r="C589" s="7" t="inlineStr">
        <is>
          <t>158095769</t>
        </is>
      </c>
      <c r="D589" s="7" t="inlineStr">
        <is>
          <t>158095769-indochineblue</t>
        </is>
      </c>
      <c r="E589" s="7" t="inlineStr">
        <is>
          <t>Cold Weather HR Running Jogger INCB 2</t>
        </is>
      </c>
      <c r="F589" s="7" t="inlineStr">
        <is>
          <t>$198.00</t>
        </is>
      </c>
      <c r="G589" s="7" t="inlineStr">
        <is>
          <t>$99.00</t>
        </is>
      </c>
      <c r="H589" s="7" t="inlineStr">
        <is>
          <t>Indochine Blue</t>
        </is>
      </c>
      <c r="I589" s="7">
        <f>IMAGE("https://images.lululemon.com/is/image/lululemon/28022",1)</f>
        <v/>
      </c>
      <c r="J589" s="7" t="inlineStr">
        <is>
          <t>10</t>
        </is>
      </c>
      <c r="K589" s="7" t="inlineStr">
        <is>
          <t>46/394</t>
        </is>
      </c>
      <c r="L589" s="7" t="inlineStr">
        <is>
          <t>Yes</t>
        </is>
      </c>
      <c r="M589" s="7" t="inlineStr">
        <is>
          <t>Bring the warmth to cold-weather runs. These joggers are made from warm technical fleece and have weather-repellent panels to shield you from the elements.</t>
        </is>
      </c>
      <c r="N589" s="7" t="inlineStr">
        <is>
          <t>Cold-Weather-HR-Run-Jogger-Full</t>
        </is>
      </c>
      <c r="O589" s="7" t="inlineStr"/>
    </row>
    <row r="590" ht="80" customHeight="1">
      <c r="A590" s="6">
        <f>IMAGE("https://images.lululemon.com/is/image/lululemon/LW5FLKS_028022_1?wid=320&amp;op_usm=0.8",1)</f>
        <v/>
      </c>
      <c r="B590" s="6" t="inlineStr">
        <is>
          <t>Cold Weather High-Rise Running Jogger *Full Length</t>
        </is>
      </c>
      <c r="C590" s="6" t="inlineStr">
        <is>
          <t>158095776</t>
        </is>
      </c>
      <c r="D590" s="6" t="inlineStr">
        <is>
          <t>158095776-indochineblue</t>
        </is>
      </c>
      <c r="E590" s="6" t="inlineStr">
        <is>
          <t>Cold Weather HR Running Jogger INCB 2</t>
        </is>
      </c>
      <c r="F590" s="6" t="inlineStr">
        <is>
          <t>$198.00</t>
        </is>
      </c>
      <c r="G590" s="6" t="inlineStr">
        <is>
          <t>$99.00</t>
        </is>
      </c>
      <c r="H590" s="6" t="inlineStr">
        <is>
          <t>Indochine Blue</t>
        </is>
      </c>
      <c r="I590" s="6">
        <f>IMAGE("https://images.lululemon.com/is/image/lululemon/28022",1)</f>
        <v/>
      </c>
      <c r="J590" s="6" t="inlineStr">
        <is>
          <t>12</t>
        </is>
      </c>
      <c r="K590" s="6" t="inlineStr">
        <is>
          <t>17/394</t>
        </is>
      </c>
      <c r="L590" s="6" t="inlineStr">
        <is>
          <t>Yes</t>
        </is>
      </c>
      <c r="M590" s="6" t="inlineStr">
        <is>
          <t>Bring the warmth to cold-weather runs. These joggers are made from warm technical fleece and have weather-repellent panels to shield you from the elements.</t>
        </is>
      </c>
      <c r="N590" s="6" t="inlineStr">
        <is>
          <t>Cold-Weather-HR-Run-Jogger-Full</t>
        </is>
      </c>
      <c r="O590" s="6" t="inlineStr"/>
    </row>
    <row r="591" ht="80" customHeight="1">
      <c r="A591" s="7">
        <f>IMAGE("https://images.lululemon.com/is/image/lululemon/LW3ID8S_031382_1?wid=320&amp;op_usm=0.8",1)</f>
        <v/>
      </c>
      <c r="B591" s="7" t="inlineStr">
        <is>
          <t>Define Jacket *Nulu</t>
        </is>
      </c>
      <c r="C591" s="7" t="inlineStr">
        <is>
          <t>154826259</t>
        </is>
      </c>
      <c r="D591" s="7" t="inlineStr">
        <is>
          <t>154826259-black</t>
        </is>
      </c>
      <c r="E591" s="7" t="inlineStr">
        <is>
          <t>Define Jacket *Nulu™ BLK 0</t>
        </is>
      </c>
      <c r="F591" s="7" t="inlineStr">
        <is>
          <t>$128.00</t>
        </is>
      </c>
      <c r="G591" s="7" t="inlineStr">
        <is>
          <t>$64.00</t>
        </is>
      </c>
      <c r="H591" s="7" t="inlineStr">
        <is>
          <t>Black</t>
        </is>
      </c>
      <c r="I591" s="7">
        <f>IMAGE("https://images.lululemon.com/is/image/lululemon/0001",1)</f>
        <v/>
      </c>
      <c r="J591" s="7" t="inlineStr">
        <is>
          <t>0</t>
        </is>
      </c>
      <c r="K591" s="7" t="inlineStr">
        <is>
          <t>24/12475</t>
        </is>
      </c>
      <c r="L591" s="7" t="inlineStr">
        <is>
          <t>Yes</t>
        </is>
      </c>
      <c r="M591" s="7" t="inlineStr">
        <is>
          <t>Up for adventure and ready for downtime. Our fan-favourite Define Jacket has a feel-good fit that can do it all.</t>
        </is>
      </c>
      <c r="N591" s="7" t="inlineStr">
        <is>
          <t>Define-Jacket-Nulu</t>
        </is>
      </c>
      <c r="O591" s="7" t="inlineStr">
        <is>
          <t>Athletic Jackets, Zip Up Sweatshirts</t>
        </is>
      </c>
    </row>
    <row r="592" ht="80" customHeight="1">
      <c r="A592" s="4">
        <f>IMAGE("https://images.lululemon.com/is/image/lululemon/LW3ID8S_031382_1?wid=320&amp;op_usm=0.8",1)</f>
        <v/>
      </c>
      <c r="B592" s="4" t="inlineStr">
        <is>
          <t>Define Jacket *Nulu</t>
        </is>
      </c>
      <c r="C592" s="4" t="inlineStr">
        <is>
          <t>154826275</t>
        </is>
      </c>
      <c r="D592" s="4" t="inlineStr">
        <is>
          <t>154826275-black</t>
        </is>
      </c>
      <c r="E592" s="4" t="inlineStr">
        <is>
          <t>Define Jacket *Nulu™ BLK 0</t>
        </is>
      </c>
      <c r="F592" s="4" t="inlineStr">
        <is>
          <t>$128.00</t>
        </is>
      </c>
      <c r="G592" s="4" t="inlineStr">
        <is>
          <t>$64.00</t>
        </is>
      </c>
      <c r="H592" s="4" t="inlineStr">
        <is>
          <t>Black</t>
        </is>
      </c>
      <c r="I592" s="4">
        <f>IMAGE("https://images.lululemon.com/is/image/lululemon/0001",1)</f>
        <v/>
      </c>
      <c r="J592" s="4" t="inlineStr">
        <is>
          <t>2</t>
        </is>
      </c>
      <c r="K592" s="4" t="inlineStr">
        <is>
          <t>427/12475</t>
        </is>
      </c>
      <c r="L592" s="4" t="inlineStr">
        <is>
          <t>Yes</t>
        </is>
      </c>
      <c r="M592" s="4" t="inlineStr">
        <is>
          <t>Up for adventure and ready for downtime. Our fan-favourite Define Jacket has a feel-good fit that can do it all.</t>
        </is>
      </c>
      <c r="N592" s="4" t="inlineStr">
        <is>
          <t>Define-Jacket-Nulu</t>
        </is>
      </c>
      <c r="O592" s="4" t="inlineStr">
        <is>
          <t>Athletic Jackets, Zip Up Sweatshirts</t>
        </is>
      </c>
    </row>
    <row r="593" ht="80" customHeight="1">
      <c r="A593" s="7">
        <f>IMAGE("https://images.lululemon.com/is/image/lululemon/LW3ID8S_031382_1?wid=320&amp;op_usm=0.8",1)</f>
        <v/>
      </c>
      <c r="B593" s="7" t="inlineStr">
        <is>
          <t>Define Jacket *Nulu</t>
        </is>
      </c>
      <c r="C593" s="7" t="inlineStr">
        <is>
          <t>154826286</t>
        </is>
      </c>
      <c r="D593" s="7" t="inlineStr">
        <is>
          <t>154826286-black</t>
        </is>
      </c>
      <c r="E593" s="7" t="inlineStr">
        <is>
          <t>Define Jacket *Nulu™ BLK 0</t>
        </is>
      </c>
      <c r="F593" s="7" t="inlineStr">
        <is>
          <t>$128.00</t>
        </is>
      </c>
      <c r="G593" s="7" t="inlineStr">
        <is>
          <t>$64.00</t>
        </is>
      </c>
      <c r="H593" s="7" t="inlineStr">
        <is>
          <t>Black</t>
        </is>
      </c>
      <c r="I593" s="7">
        <f>IMAGE("https://images.lululemon.com/is/image/lululemon/0001",1)</f>
        <v/>
      </c>
      <c r="J593" s="7" t="inlineStr">
        <is>
          <t>4</t>
        </is>
      </c>
      <c r="K593" s="7" t="inlineStr">
        <is>
          <t>889/12475</t>
        </is>
      </c>
      <c r="L593" s="7" t="inlineStr">
        <is>
          <t>Yes</t>
        </is>
      </c>
      <c r="M593" s="7" t="inlineStr">
        <is>
          <t>Up for adventure and ready for downtime. Our fan-favourite Define Jacket has a feel-good fit that can do it all.</t>
        </is>
      </c>
      <c r="N593" s="7" t="inlineStr">
        <is>
          <t>Define-Jacket-Nulu</t>
        </is>
      </c>
      <c r="O593" s="7" t="inlineStr">
        <is>
          <t>Athletic Jackets, Zip Up Sweatshirts</t>
        </is>
      </c>
    </row>
    <row r="594" ht="80" customHeight="1">
      <c r="A594" s="4">
        <f>IMAGE("https://images.lululemon.com/is/image/lululemon/LW3ID8S_031382_1?wid=320&amp;op_usm=0.8",1)</f>
        <v/>
      </c>
      <c r="B594" s="4" t="inlineStr">
        <is>
          <t>Define Jacket *Nulu</t>
        </is>
      </c>
      <c r="C594" s="4" t="inlineStr">
        <is>
          <t>154826289</t>
        </is>
      </c>
      <c r="D594" s="4" t="inlineStr">
        <is>
          <t>154826289-black</t>
        </is>
      </c>
      <c r="E594" s="4" t="inlineStr">
        <is>
          <t>Define Jacket *Nulu™ BLK 0</t>
        </is>
      </c>
      <c r="F594" s="4" t="inlineStr">
        <is>
          <t>$128.00</t>
        </is>
      </c>
      <c r="G594" s="4" t="inlineStr">
        <is>
          <t>$64.00</t>
        </is>
      </c>
      <c r="H594" s="4" t="inlineStr">
        <is>
          <t>Black</t>
        </is>
      </c>
      <c r="I594" s="4">
        <f>IMAGE("https://images.lululemon.com/is/image/lululemon/0001",1)</f>
        <v/>
      </c>
      <c r="J594" s="4" t="inlineStr">
        <is>
          <t>6</t>
        </is>
      </c>
      <c r="K594" s="4" t="inlineStr">
        <is>
          <t>1041/12475</t>
        </is>
      </c>
      <c r="L594" s="4" t="inlineStr">
        <is>
          <t>Yes</t>
        </is>
      </c>
      <c r="M594" s="4" t="inlineStr">
        <is>
          <t>Up for adventure and ready for downtime. Our fan-favourite Define Jacket has a feel-good fit that can do it all.</t>
        </is>
      </c>
      <c r="N594" s="4" t="inlineStr">
        <is>
          <t>Define-Jacket-Nulu</t>
        </is>
      </c>
      <c r="O594" s="4" t="inlineStr">
        <is>
          <t>Athletic Jackets, Zip Up Sweatshirts</t>
        </is>
      </c>
    </row>
    <row r="595" ht="80" customHeight="1">
      <c r="A595" s="7">
        <f>IMAGE("https://images.lululemon.com/is/image/lululemon/LW3ID8S_031382_1?wid=320&amp;op_usm=0.8",1)</f>
        <v/>
      </c>
      <c r="B595" s="7" t="inlineStr">
        <is>
          <t>Define Jacket *Nulu</t>
        </is>
      </c>
      <c r="C595" s="7" t="inlineStr">
        <is>
          <t>154826291</t>
        </is>
      </c>
      <c r="D595" s="7" t="inlineStr">
        <is>
          <t>154826291-black</t>
        </is>
      </c>
      <c r="E595" s="7" t="inlineStr">
        <is>
          <t>Define Jacket *Nulu™ BLK 0</t>
        </is>
      </c>
      <c r="F595" s="7" t="inlineStr">
        <is>
          <t>$128.00</t>
        </is>
      </c>
      <c r="G595" s="7" t="inlineStr">
        <is>
          <t>$64.00</t>
        </is>
      </c>
      <c r="H595" s="7" t="inlineStr">
        <is>
          <t>Black</t>
        </is>
      </c>
      <c r="I595" s="7">
        <f>IMAGE("https://images.lululemon.com/is/image/lululemon/0001",1)</f>
        <v/>
      </c>
      <c r="J595" s="7" t="inlineStr">
        <is>
          <t>8</t>
        </is>
      </c>
      <c r="K595" s="7" t="inlineStr">
        <is>
          <t>986/12475</t>
        </is>
      </c>
      <c r="L595" s="7" t="inlineStr">
        <is>
          <t>Yes</t>
        </is>
      </c>
      <c r="M595" s="7" t="inlineStr">
        <is>
          <t>Up for adventure and ready for downtime. Our fan-favourite Define Jacket has a feel-good fit that can do it all.</t>
        </is>
      </c>
      <c r="N595" s="7" t="inlineStr">
        <is>
          <t>Define-Jacket-Nulu</t>
        </is>
      </c>
      <c r="O595" s="7" t="inlineStr">
        <is>
          <t>Athletic Jackets, Zip Up Sweatshirts</t>
        </is>
      </c>
    </row>
    <row r="596" ht="80" customHeight="1">
      <c r="A596" s="4">
        <f>IMAGE("https://images.lululemon.com/is/image/lululemon/LW3ID8S_031382_1?wid=320&amp;op_usm=0.8",1)</f>
        <v/>
      </c>
      <c r="B596" s="4" t="inlineStr">
        <is>
          <t>Define Jacket *Nulu</t>
        </is>
      </c>
      <c r="C596" s="4" t="inlineStr">
        <is>
          <t>154826262</t>
        </is>
      </c>
      <c r="D596" s="4" t="inlineStr">
        <is>
          <t>154826262-black</t>
        </is>
      </c>
      <c r="E596" s="4" t="inlineStr">
        <is>
          <t>Define Jacket *Nulu™ BLK 0</t>
        </is>
      </c>
      <c r="F596" s="4" t="inlineStr">
        <is>
          <t>$128.00</t>
        </is>
      </c>
      <c r="G596" s="4" t="inlineStr">
        <is>
          <t>$64.00</t>
        </is>
      </c>
      <c r="H596" s="4" t="inlineStr">
        <is>
          <t>Black</t>
        </is>
      </c>
      <c r="I596" s="4">
        <f>IMAGE("https://images.lululemon.com/is/image/lululemon/0001",1)</f>
        <v/>
      </c>
      <c r="J596" s="4" t="inlineStr">
        <is>
          <t>10</t>
        </is>
      </c>
      <c r="K596" s="4" t="inlineStr">
        <is>
          <t>629/12475</t>
        </is>
      </c>
      <c r="L596" s="4" t="inlineStr">
        <is>
          <t>Yes</t>
        </is>
      </c>
      <c r="M596" s="4" t="inlineStr">
        <is>
          <t>Up for adventure and ready for downtime. Our fan-favourite Define Jacket has a feel-good fit that can do it all.</t>
        </is>
      </c>
      <c r="N596" s="4" t="inlineStr">
        <is>
          <t>Define-Jacket-Nulu</t>
        </is>
      </c>
      <c r="O596" s="4" t="inlineStr">
        <is>
          <t>Athletic Jackets, Zip Up Sweatshirts</t>
        </is>
      </c>
    </row>
    <row r="597" ht="80" customHeight="1">
      <c r="A597" s="7">
        <f>IMAGE("https://images.lululemon.com/is/image/lululemon/LW3ID8S_031382_1?wid=320&amp;op_usm=0.8",1)</f>
        <v/>
      </c>
      <c r="B597" s="7" t="inlineStr">
        <is>
          <t>Define Jacket *Nulu</t>
        </is>
      </c>
      <c r="C597" s="7" t="inlineStr">
        <is>
          <t>154826265</t>
        </is>
      </c>
      <c r="D597" s="7" t="inlineStr">
        <is>
          <t>154826265-black</t>
        </is>
      </c>
      <c r="E597" s="7" t="inlineStr">
        <is>
          <t>Define Jacket *Nulu™ BLK 0</t>
        </is>
      </c>
      <c r="F597" s="7" t="inlineStr">
        <is>
          <t>$128.00</t>
        </is>
      </c>
      <c r="G597" s="7" t="inlineStr">
        <is>
          <t>$64.00</t>
        </is>
      </c>
      <c r="H597" s="7" t="inlineStr">
        <is>
          <t>Black</t>
        </is>
      </c>
      <c r="I597" s="7">
        <f>IMAGE("https://images.lululemon.com/is/image/lululemon/0001",1)</f>
        <v/>
      </c>
      <c r="J597" s="7" t="inlineStr">
        <is>
          <t>12</t>
        </is>
      </c>
      <c r="K597" s="7" t="inlineStr">
        <is>
          <t>614/12475</t>
        </is>
      </c>
      <c r="L597" s="7" t="inlineStr">
        <is>
          <t>Yes</t>
        </is>
      </c>
      <c r="M597" s="7" t="inlineStr">
        <is>
          <t>Up for adventure and ready for downtime. Our fan-favourite Define Jacket has a feel-good fit that can do it all.</t>
        </is>
      </c>
      <c r="N597" s="7" t="inlineStr">
        <is>
          <t>Define-Jacket-Nulu</t>
        </is>
      </c>
      <c r="O597" s="7" t="inlineStr">
        <is>
          <t>Athletic Jackets, Zip Up Sweatshirts</t>
        </is>
      </c>
    </row>
    <row r="598" ht="80" customHeight="1">
      <c r="A598" s="4">
        <f>IMAGE("https://images.lululemon.com/is/image/lululemon/LW3ID8S_031382_1?wid=320&amp;op_usm=0.8",1)</f>
        <v/>
      </c>
      <c r="B598" s="4" t="inlineStr">
        <is>
          <t>Define Jacket *Nulu</t>
        </is>
      </c>
      <c r="C598" s="4" t="inlineStr">
        <is>
          <t>154826268</t>
        </is>
      </c>
      <c r="D598" s="4" t="inlineStr">
        <is>
          <t>154826268-black</t>
        </is>
      </c>
      <c r="E598" s="4" t="inlineStr">
        <is>
          <t>Define Jacket *Nulu™ BLK 0</t>
        </is>
      </c>
      <c r="F598" s="4" t="inlineStr">
        <is>
          <t>$128.00</t>
        </is>
      </c>
      <c r="G598" s="4" t="inlineStr">
        <is>
          <t>$64.00</t>
        </is>
      </c>
      <c r="H598" s="4" t="inlineStr">
        <is>
          <t>Black</t>
        </is>
      </c>
      <c r="I598" s="4">
        <f>IMAGE("https://images.lululemon.com/is/image/lululemon/0001",1)</f>
        <v/>
      </c>
      <c r="J598" s="4" t="inlineStr">
        <is>
          <t>14</t>
        </is>
      </c>
      <c r="K598" s="4" t="inlineStr">
        <is>
          <t>74/12475</t>
        </is>
      </c>
      <c r="L598" s="4" t="inlineStr">
        <is>
          <t>Yes</t>
        </is>
      </c>
      <c r="M598" s="4" t="inlineStr">
        <is>
          <t>Up for adventure and ready for downtime. Our fan-favourite Define Jacket has a feel-good fit that can do it all.</t>
        </is>
      </c>
      <c r="N598" s="4" t="inlineStr">
        <is>
          <t>Define-Jacket-Nulu</t>
        </is>
      </c>
      <c r="O598" s="4" t="inlineStr">
        <is>
          <t>Athletic Jackets, Zip Up Sweatshirts</t>
        </is>
      </c>
    </row>
    <row r="599" ht="80" customHeight="1">
      <c r="A599" s="7">
        <f>IMAGE("https://images.lululemon.com/is/image/lululemon/LW3ID8S_031382_1?wid=320&amp;op_usm=0.8",1)</f>
        <v/>
      </c>
      <c r="B599" s="7" t="inlineStr">
        <is>
          <t>Define Jacket *Nulu</t>
        </is>
      </c>
      <c r="C599" s="7" t="inlineStr">
        <is>
          <t>158097536</t>
        </is>
      </c>
      <c r="D599" s="7" t="inlineStr">
        <is>
          <t>158097536-grapemist</t>
        </is>
      </c>
      <c r="E599" s="7" t="inlineStr">
        <is>
          <t>Define Jacket *Nulu™ BLK 0</t>
        </is>
      </c>
      <c r="F599" s="7" t="inlineStr">
        <is>
          <t>$128.00</t>
        </is>
      </c>
      <c r="G599" s="7" t="inlineStr">
        <is>
          <t>$64.00</t>
        </is>
      </c>
      <c r="H599" s="7" t="inlineStr">
        <is>
          <t>Grape Mist</t>
        </is>
      </c>
      <c r="I599" s="7">
        <f>IMAGE("https://images.lululemon.com/is/image/lululemon/0554",1)</f>
        <v/>
      </c>
      <c r="J599" s="7" t="inlineStr">
        <is>
          <t>0</t>
        </is>
      </c>
      <c r="K599" s="7" t="inlineStr">
        <is>
          <t>24/12475</t>
        </is>
      </c>
      <c r="L599" s="7" t="inlineStr">
        <is>
          <t>Yes</t>
        </is>
      </c>
      <c r="M599" s="7" t="inlineStr">
        <is>
          <t>Up for adventure and ready for downtime. Our fan-favourite Define Jacket has a feel-good fit that can do it all.</t>
        </is>
      </c>
      <c r="N599" s="7" t="inlineStr">
        <is>
          <t>Define-Jacket-Nulu</t>
        </is>
      </c>
      <c r="O599" s="7" t="inlineStr">
        <is>
          <t>Athletic Jackets, Zip Up Sweatshirts</t>
        </is>
      </c>
    </row>
    <row r="600" ht="80" customHeight="1">
      <c r="A600" s="4">
        <f>IMAGE("https://images.lululemon.com/is/image/lululemon/LW3ID8S_031382_1?wid=320&amp;op_usm=0.8",1)</f>
        <v/>
      </c>
      <c r="B600" s="4" t="inlineStr">
        <is>
          <t>Define Jacket *Nulu</t>
        </is>
      </c>
      <c r="C600" s="4" t="inlineStr">
        <is>
          <t>158097638</t>
        </is>
      </c>
      <c r="D600" s="4" t="inlineStr">
        <is>
          <t>158097638-grapemist</t>
        </is>
      </c>
      <c r="E600" s="4" t="inlineStr">
        <is>
          <t>Define Jacket *Nulu™ BLK 0</t>
        </is>
      </c>
      <c r="F600" s="4" t="inlineStr">
        <is>
          <t>$128.00</t>
        </is>
      </c>
      <c r="G600" s="4" t="inlineStr">
        <is>
          <t>$64.00</t>
        </is>
      </c>
      <c r="H600" s="4" t="inlineStr">
        <is>
          <t>Grape Mist</t>
        </is>
      </c>
      <c r="I600" s="4">
        <f>IMAGE("https://images.lululemon.com/is/image/lululemon/0554",1)</f>
        <v/>
      </c>
      <c r="J600" s="4" t="inlineStr">
        <is>
          <t>2</t>
        </is>
      </c>
      <c r="K600" s="4" t="inlineStr">
        <is>
          <t>92/12475</t>
        </is>
      </c>
      <c r="L600" s="4" t="inlineStr">
        <is>
          <t>Yes</t>
        </is>
      </c>
      <c r="M600" s="4" t="inlineStr">
        <is>
          <t>Up for adventure and ready for downtime. Our fan-favourite Define Jacket has a feel-good fit that can do it all.</t>
        </is>
      </c>
      <c r="N600" s="4" t="inlineStr">
        <is>
          <t>Define-Jacket-Nulu</t>
        </is>
      </c>
      <c r="O600" s="4" t="inlineStr">
        <is>
          <t>Athletic Jackets, Zip Up Sweatshirts</t>
        </is>
      </c>
    </row>
    <row r="601" ht="80" customHeight="1">
      <c r="A601" s="7">
        <f>IMAGE("https://images.lululemon.com/is/image/lululemon/LW3ID8S_031382_1?wid=320&amp;op_usm=0.8",1)</f>
        <v/>
      </c>
      <c r="B601" s="7" t="inlineStr">
        <is>
          <t>Define Jacket *Nulu</t>
        </is>
      </c>
      <c r="C601" s="7" t="inlineStr">
        <is>
          <t>158097665</t>
        </is>
      </c>
      <c r="D601" s="7" t="inlineStr">
        <is>
          <t>158097665-grapemist</t>
        </is>
      </c>
      <c r="E601" s="7" t="inlineStr">
        <is>
          <t>Define Jacket *Nulu™ BLK 0</t>
        </is>
      </c>
      <c r="F601" s="7" t="inlineStr">
        <is>
          <t>$128.00</t>
        </is>
      </c>
      <c r="G601" s="7" t="inlineStr">
        <is>
          <t>$64.00</t>
        </is>
      </c>
      <c r="H601" s="7" t="inlineStr">
        <is>
          <t>Grape Mist</t>
        </is>
      </c>
      <c r="I601" s="7">
        <f>IMAGE("https://images.lululemon.com/is/image/lululemon/0554",1)</f>
        <v/>
      </c>
      <c r="J601" s="7" t="inlineStr">
        <is>
          <t>4</t>
        </is>
      </c>
      <c r="K601" s="7" t="inlineStr">
        <is>
          <t>103/12475</t>
        </is>
      </c>
      <c r="L601" s="7" t="inlineStr">
        <is>
          <t>Yes</t>
        </is>
      </c>
      <c r="M601" s="7" t="inlineStr">
        <is>
          <t>Up for adventure and ready for downtime. Our fan-favourite Define Jacket has a feel-good fit that can do it all.</t>
        </is>
      </c>
      <c r="N601" s="7" t="inlineStr">
        <is>
          <t>Define-Jacket-Nulu</t>
        </is>
      </c>
      <c r="O601" s="7" t="inlineStr">
        <is>
          <t>Athletic Jackets, Zip Up Sweatshirts</t>
        </is>
      </c>
    </row>
    <row r="602" ht="80" customHeight="1">
      <c r="A602" s="4">
        <f>IMAGE("https://images.lululemon.com/is/image/lululemon/LW3ID8S_031382_1?wid=320&amp;op_usm=0.8",1)</f>
        <v/>
      </c>
      <c r="B602" s="4" t="inlineStr">
        <is>
          <t>Define Jacket *Nulu</t>
        </is>
      </c>
      <c r="C602" s="4" t="inlineStr">
        <is>
          <t>158097692</t>
        </is>
      </c>
      <c r="D602" s="4" t="inlineStr">
        <is>
          <t>158097692-grapemist</t>
        </is>
      </c>
      <c r="E602" s="4" t="inlineStr">
        <is>
          <t>Define Jacket *Nulu™ BLK 0</t>
        </is>
      </c>
      <c r="F602" s="4" t="inlineStr">
        <is>
          <t>$128.00</t>
        </is>
      </c>
      <c r="G602" s="4" t="inlineStr">
        <is>
          <t>$64.00</t>
        </is>
      </c>
      <c r="H602" s="4" t="inlineStr">
        <is>
          <t>Grape Mist</t>
        </is>
      </c>
      <c r="I602" s="4">
        <f>IMAGE("https://images.lululemon.com/is/image/lululemon/0554",1)</f>
        <v/>
      </c>
      <c r="J602" s="4" t="inlineStr">
        <is>
          <t>6</t>
        </is>
      </c>
      <c r="K602" s="4" t="inlineStr">
        <is>
          <t>135/12475</t>
        </is>
      </c>
      <c r="L602" s="4" t="inlineStr">
        <is>
          <t>Yes</t>
        </is>
      </c>
      <c r="M602" s="4" t="inlineStr">
        <is>
          <t>Up for adventure and ready for downtime. Our fan-favourite Define Jacket has a feel-good fit that can do it all.</t>
        </is>
      </c>
      <c r="N602" s="4" t="inlineStr">
        <is>
          <t>Define-Jacket-Nulu</t>
        </is>
      </c>
      <c r="O602" s="4" t="inlineStr">
        <is>
          <t>Athletic Jackets, Zip Up Sweatshirts</t>
        </is>
      </c>
    </row>
    <row r="603" ht="80" customHeight="1">
      <c r="A603" s="7">
        <f>IMAGE("https://images.lululemon.com/is/image/lululemon/LW3ID8S_031382_1?wid=320&amp;op_usm=0.8",1)</f>
        <v/>
      </c>
      <c r="B603" s="7" t="inlineStr">
        <is>
          <t>Define Jacket *Nulu</t>
        </is>
      </c>
      <c r="C603" s="7" t="inlineStr">
        <is>
          <t>158097719</t>
        </is>
      </c>
      <c r="D603" s="7" t="inlineStr">
        <is>
          <t>158097719-grapemist</t>
        </is>
      </c>
      <c r="E603" s="7" t="inlineStr">
        <is>
          <t>Define Jacket *Nulu™ BLK 0</t>
        </is>
      </c>
      <c r="F603" s="7" t="inlineStr">
        <is>
          <t>$128.00</t>
        </is>
      </c>
      <c r="G603" s="7" t="inlineStr">
        <is>
          <t>$64.00</t>
        </is>
      </c>
      <c r="H603" s="7" t="inlineStr">
        <is>
          <t>Grape Mist</t>
        </is>
      </c>
      <c r="I603" s="7">
        <f>IMAGE("https://images.lululemon.com/is/image/lululemon/0554",1)</f>
        <v/>
      </c>
      <c r="J603" s="7" t="inlineStr">
        <is>
          <t>8</t>
        </is>
      </c>
      <c r="K603" s="7" t="inlineStr">
        <is>
          <t>145/12475</t>
        </is>
      </c>
      <c r="L603" s="7" t="inlineStr">
        <is>
          <t>Yes</t>
        </is>
      </c>
      <c r="M603" s="7" t="inlineStr">
        <is>
          <t>Up for adventure and ready for downtime. Our fan-favourite Define Jacket has a feel-good fit that can do it all.</t>
        </is>
      </c>
      <c r="N603" s="7" t="inlineStr">
        <is>
          <t>Define-Jacket-Nulu</t>
        </is>
      </c>
      <c r="O603" s="7" t="inlineStr">
        <is>
          <t>Athletic Jackets, Zip Up Sweatshirts</t>
        </is>
      </c>
    </row>
    <row r="604" ht="80" customHeight="1">
      <c r="A604" s="4">
        <f>IMAGE("https://images.lululemon.com/is/image/lululemon/LW3ID8S_031382_1?wid=320&amp;op_usm=0.8",1)</f>
        <v/>
      </c>
      <c r="B604" s="4" t="inlineStr">
        <is>
          <t>Define Jacket *Nulu</t>
        </is>
      </c>
      <c r="C604" s="4" t="inlineStr">
        <is>
          <t>158097565</t>
        </is>
      </c>
      <c r="D604" s="4" t="inlineStr">
        <is>
          <t>158097565-grapemist</t>
        </is>
      </c>
      <c r="E604" s="4" t="inlineStr">
        <is>
          <t>Define Jacket *Nulu™ BLK 0</t>
        </is>
      </c>
      <c r="F604" s="4" t="inlineStr">
        <is>
          <t>$128.00</t>
        </is>
      </c>
      <c r="G604" s="4" t="inlineStr">
        <is>
          <t>$64.00</t>
        </is>
      </c>
      <c r="H604" s="4" t="inlineStr">
        <is>
          <t>Grape Mist</t>
        </is>
      </c>
      <c r="I604" s="4">
        <f>IMAGE("https://images.lululemon.com/is/image/lululemon/0554",1)</f>
        <v/>
      </c>
      <c r="J604" s="4" t="inlineStr">
        <is>
          <t>10</t>
        </is>
      </c>
      <c r="K604" s="4" t="inlineStr">
        <is>
          <t>86/12475</t>
        </is>
      </c>
      <c r="L604" s="4" t="inlineStr">
        <is>
          <t>Yes</t>
        </is>
      </c>
      <c r="M604" s="4" t="inlineStr">
        <is>
          <t>Up for adventure and ready for downtime. Our fan-favourite Define Jacket has a feel-good fit that can do it all.</t>
        </is>
      </c>
      <c r="N604" s="4" t="inlineStr">
        <is>
          <t>Define-Jacket-Nulu</t>
        </is>
      </c>
      <c r="O604" s="4" t="inlineStr">
        <is>
          <t>Athletic Jackets, Zip Up Sweatshirts</t>
        </is>
      </c>
    </row>
    <row r="605" ht="80" customHeight="1">
      <c r="A605" s="7">
        <f>IMAGE("https://images.lululemon.com/is/image/lululemon/LW3ID8S_031382_1?wid=320&amp;op_usm=0.8",1)</f>
        <v/>
      </c>
      <c r="B605" s="7" t="inlineStr">
        <is>
          <t>Define Jacket *Nulu</t>
        </is>
      </c>
      <c r="C605" s="7" t="inlineStr">
        <is>
          <t>158097589</t>
        </is>
      </c>
      <c r="D605" s="7" t="inlineStr">
        <is>
          <t>158097589-grapemist</t>
        </is>
      </c>
      <c r="E605" s="7" t="inlineStr">
        <is>
          <t>Define Jacket *Nulu™ BLK 0</t>
        </is>
      </c>
      <c r="F605" s="7" t="inlineStr">
        <is>
          <t>$128.00</t>
        </is>
      </c>
      <c r="G605" s="7" t="inlineStr">
        <is>
          <t>$64.00</t>
        </is>
      </c>
      <c r="H605" s="7" t="inlineStr">
        <is>
          <t>Grape Mist</t>
        </is>
      </c>
      <c r="I605" s="7">
        <f>IMAGE("https://images.lululemon.com/is/image/lululemon/0554",1)</f>
        <v/>
      </c>
      <c r="J605" s="7" t="inlineStr">
        <is>
          <t>12</t>
        </is>
      </c>
      <c r="K605" s="7" t="inlineStr">
        <is>
          <t>30/12475</t>
        </is>
      </c>
      <c r="L605" s="7" t="inlineStr">
        <is>
          <t>Yes</t>
        </is>
      </c>
      <c r="M605" s="7" t="inlineStr">
        <is>
          <t>Up for adventure and ready for downtime. Our fan-favourite Define Jacket has a feel-good fit that can do it all.</t>
        </is>
      </c>
      <c r="N605" s="7" t="inlineStr">
        <is>
          <t>Define-Jacket-Nulu</t>
        </is>
      </c>
      <c r="O605" s="7" t="inlineStr">
        <is>
          <t>Athletic Jackets, Zip Up Sweatshirts</t>
        </is>
      </c>
    </row>
    <row r="606" ht="80" customHeight="1">
      <c r="A606" s="4">
        <f>IMAGE("https://images.lululemon.com/is/image/lululemon/LW3ID8S_031382_1?wid=320&amp;op_usm=0.8",1)</f>
        <v/>
      </c>
      <c r="B606" s="4" t="inlineStr">
        <is>
          <t>Define Jacket *Nulu</t>
        </is>
      </c>
      <c r="C606" s="4" t="inlineStr">
        <is>
          <t>158034240</t>
        </is>
      </c>
      <c r="D606" s="4" t="inlineStr">
        <is>
          <t>158034240-ashenrose/rosegold/rosegold</t>
        </is>
      </c>
      <c r="E606" s="4" t="inlineStr">
        <is>
          <t>Define Jacket *Nulu™ BLK 0</t>
        </is>
      </c>
      <c r="F606" s="4" t="inlineStr">
        <is>
          <t>$128.00</t>
        </is>
      </c>
      <c r="G606" s="4" t="inlineStr">
        <is>
          <t>$64.00</t>
        </is>
      </c>
      <c r="H606" s="4" t="inlineStr">
        <is>
          <t>Ashen Rose/Rose Gold/Rose Gold</t>
        </is>
      </c>
      <c r="I606" s="4">
        <f>IMAGE("https://images.lululemon.com/is/image/lululemon/74909",1)</f>
        <v/>
      </c>
      <c r="J606" s="4" t="inlineStr">
        <is>
          <t>0</t>
        </is>
      </c>
      <c r="K606" s="4" t="inlineStr">
        <is>
          <t>14/12475</t>
        </is>
      </c>
      <c r="L606" s="4" t="inlineStr">
        <is>
          <t>Yes</t>
        </is>
      </c>
      <c r="M606" s="4" t="inlineStr">
        <is>
          <t>Up for adventure and ready for downtime. Our fan-favourite Define Jacket has a feel-good fit that can do it all.</t>
        </is>
      </c>
      <c r="N606" s="4" t="inlineStr">
        <is>
          <t>Define-Jacket-Nulu</t>
        </is>
      </c>
      <c r="O606" s="4" t="inlineStr">
        <is>
          <t>Athletic Jackets, Zip Up Sweatshirts</t>
        </is>
      </c>
    </row>
    <row r="607" ht="80" customHeight="1">
      <c r="A607" s="7">
        <f>IMAGE("https://images.lululemon.com/is/image/lululemon/LW3ID8S_031382_1?wid=320&amp;op_usm=0.8",1)</f>
        <v/>
      </c>
      <c r="B607" s="7" t="inlineStr">
        <is>
          <t>Define Jacket *Nulu</t>
        </is>
      </c>
      <c r="C607" s="7" t="inlineStr">
        <is>
          <t>158034280</t>
        </is>
      </c>
      <c r="D607" s="7" t="inlineStr">
        <is>
          <t>158034280-ashenrose/rosegold/rosegold</t>
        </is>
      </c>
      <c r="E607" s="7" t="inlineStr">
        <is>
          <t>Define Jacket *Nulu™ BLK 0</t>
        </is>
      </c>
      <c r="F607" s="7" t="inlineStr">
        <is>
          <t>$128.00</t>
        </is>
      </c>
      <c r="G607" s="7" t="inlineStr">
        <is>
          <t>$64.00</t>
        </is>
      </c>
      <c r="H607" s="7" t="inlineStr">
        <is>
          <t>Ashen Rose/Rose Gold/Rose Gold</t>
        </is>
      </c>
      <c r="I607" s="7">
        <f>IMAGE("https://images.lululemon.com/is/image/lululemon/74909",1)</f>
        <v/>
      </c>
      <c r="J607" s="7" t="inlineStr">
        <is>
          <t>2</t>
        </is>
      </c>
      <c r="K607" s="7" t="inlineStr">
        <is>
          <t>55/12475</t>
        </is>
      </c>
      <c r="L607" s="7" t="inlineStr">
        <is>
          <t>Yes</t>
        </is>
      </c>
      <c r="M607" s="7" t="inlineStr">
        <is>
          <t>Up for adventure and ready for downtime. Our fan-favourite Define Jacket has a feel-good fit that can do it all.</t>
        </is>
      </c>
      <c r="N607" s="7" t="inlineStr">
        <is>
          <t>Define-Jacket-Nulu</t>
        </is>
      </c>
      <c r="O607" s="7" t="inlineStr">
        <is>
          <t>Athletic Jackets, Zip Up Sweatshirts</t>
        </is>
      </c>
    </row>
    <row r="608" ht="80" customHeight="1">
      <c r="A608" s="4">
        <f>IMAGE("https://images.lululemon.com/is/image/lululemon/LW3ID8S_031382_1?wid=320&amp;op_usm=0.8",1)</f>
        <v/>
      </c>
      <c r="B608" s="4" t="inlineStr">
        <is>
          <t>Define Jacket *Nulu</t>
        </is>
      </c>
      <c r="C608" s="4" t="inlineStr">
        <is>
          <t>158034292</t>
        </is>
      </c>
      <c r="D608" s="4" t="inlineStr">
        <is>
          <t>158034292-ashenrose/rosegold/rosegold</t>
        </is>
      </c>
      <c r="E608" s="4" t="inlineStr">
        <is>
          <t>Define Jacket *Nulu™ BLK 0</t>
        </is>
      </c>
      <c r="F608" s="4" t="inlineStr">
        <is>
          <t>$128.00</t>
        </is>
      </c>
      <c r="G608" s="4" t="inlineStr">
        <is>
          <t>$64.00</t>
        </is>
      </c>
      <c r="H608" s="4" t="inlineStr">
        <is>
          <t>Ashen Rose/Rose Gold/Rose Gold</t>
        </is>
      </c>
      <c r="I608" s="4">
        <f>IMAGE("https://images.lululemon.com/is/image/lululemon/74909",1)</f>
        <v/>
      </c>
      <c r="J608" s="4" t="inlineStr">
        <is>
          <t>4</t>
        </is>
      </c>
      <c r="K608" s="4" t="inlineStr">
        <is>
          <t>52/12475</t>
        </is>
      </c>
      <c r="L608" s="4" t="inlineStr">
        <is>
          <t>Yes</t>
        </is>
      </c>
      <c r="M608" s="4" t="inlineStr">
        <is>
          <t>Up for adventure and ready for downtime. Our fan-favourite Define Jacket has a feel-good fit that can do it all.</t>
        </is>
      </c>
      <c r="N608" s="4" t="inlineStr">
        <is>
          <t>Define-Jacket-Nulu</t>
        </is>
      </c>
      <c r="O608" s="4" t="inlineStr">
        <is>
          <t>Athletic Jackets, Zip Up Sweatshirts</t>
        </is>
      </c>
    </row>
    <row r="609" ht="80" customHeight="1">
      <c r="A609" s="7">
        <f>IMAGE("https://images.lululemon.com/is/image/lululemon/LW3ID8S_031382_1?wid=320&amp;op_usm=0.8",1)</f>
        <v/>
      </c>
      <c r="B609" s="7" t="inlineStr">
        <is>
          <t>Define Jacket *Nulu</t>
        </is>
      </c>
      <c r="C609" s="7" t="inlineStr">
        <is>
          <t>158034302</t>
        </is>
      </c>
      <c r="D609" s="7" t="inlineStr">
        <is>
          <t>158034302-ashenrose/rosegold/rosegold</t>
        </is>
      </c>
      <c r="E609" s="7" t="inlineStr">
        <is>
          <t>Define Jacket *Nulu™ BLK 0</t>
        </is>
      </c>
      <c r="F609" s="7" t="inlineStr">
        <is>
          <t>$128.00</t>
        </is>
      </c>
      <c r="G609" s="7" t="inlineStr">
        <is>
          <t>$64.00</t>
        </is>
      </c>
      <c r="H609" s="7" t="inlineStr">
        <is>
          <t>Ashen Rose/Rose Gold/Rose Gold</t>
        </is>
      </c>
      <c r="I609" s="7">
        <f>IMAGE("https://images.lululemon.com/is/image/lululemon/74909",1)</f>
        <v/>
      </c>
      <c r="J609" s="7" t="inlineStr">
        <is>
          <t>6</t>
        </is>
      </c>
      <c r="K609" s="7" t="inlineStr">
        <is>
          <t>68/12475</t>
        </is>
      </c>
      <c r="L609" s="7" t="inlineStr">
        <is>
          <t>Yes</t>
        </is>
      </c>
      <c r="M609" s="7" t="inlineStr">
        <is>
          <t>Up for adventure and ready for downtime. Our fan-favourite Define Jacket has a feel-good fit that can do it all.</t>
        </is>
      </c>
      <c r="N609" s="7" t="inlineStr">
        <is>
          <t>Define-Jacket-Nulu</t>
        </is>
      </c>
      <c r="O609" s="7" t="inlineStr">
        <is>
          <t>Athletic Jackets, Zip Up Sweatshirts</t>
        </is>
      </c>
    </row>
    <row r="610" ht="80" customHeight="1">
      <c r="A610" s="4">
        <f>IMAGE("https://images.lululemon.com/is/image/lululemon/LW3ID8S_031382_1?wid=320&amp;op_usm=0.8",1)</f>
        <v/>
      </c>
      <c r="B610" s="4" t="inlineStr">
        <is>
          <t>Define Jacket *Nulu</t>
        </is>
      </c>
      <c r="C610" s="4" t="inlineStr">
        <is>
          <t>158034313</t>
        </is>
      </c>
      <c r="D610" s="4" t="inlineStr">
        <is>
          <t>158034313-ashenrose/rosegold/rosegold</t>
        </is>
      </c>
      <c r="E610" s="4" t="inlineStr">
        <is>
          <t>Define Jacket *Nulu™ BLK 0</t>
        </is>
      </c>
      <c r="F610" s="4" t="inlineStr">
        <is>
          <t>$128.00</t>
        </is>
      </c>
      <c r="G610" s="4" t="inlineStr">
        <is>
          <t>$64.00</t>
        </is>
      </c>
      <c r="H610" s="4" t="inlineStr">
        <is>
          <t>Ashen Rose/Rose Gold/Rose Gold</t>
        </is>
      </c>
      <c r="I610" s="4">
        <f>IMAGE("https://images.lululemon.com/is/image/lululemon/74909",1)</f>
        <v/>
      </c>
      <c r="J610" s="4" t="inlineStr">
        <is>
          <t>8</t>
        </is>
      </c>
      <c r="K610" s="4" t="inlineStr">
        <is>
          <t>79/12475</t>
        </is>
      </c>
      <c r="L610" s="4" t="inlineStr">
        <is>
          <t>Yes</t>
        </is>
      </c>
      <c r="M610" s="4" t="inlineStr">
        <is>
          <t>Up for adventure and ready for downtime. Our fan-favourite Define Jacket has a feel-good fit that can do it all.</t>
        </is>
      </c>
      <c r="N610" s="4" t="inlineStr">
        <is>
          <t>Define-Jacket-Nulu</t>
        </is>
      </c>
      <c r="O610" s="4" t="inlineStr">
        <is>
          <t>Athletic Jackets, Zip Up Sweatshirts</t>
        </is>
      </c>
    </row>
    <row r="611" ht="80" customHeight="1">
      <c r="A611" s="7">
        <f>IMAGE("https://images.lululemon.com/is/image/lululemon/LW3ID8S_031382_1?wid=320&amp;op_usm=0.8",1)</f>
        <v/>
      </c>
      <c r="B611" s="7" t="inlineStr">
        <is>
          <t>Define Jacket *Nulu</t>
        </is>
      </c>
      <c r="C611" s="7" t="inlineStr">
        <is>
          <t>158034252</t>
        </is>
      </c>
      <c r="D611" s="7" t="inlineStr">
        <is>
          <t>158034252-ashenrose/rosegold/rosegold</t>
        </is>
      </c>
      <c r="E611" s="7" t="inlineStr">
        <is>
          <t>Define Jacket *Nulu™ BLK 0</t>
        </is>
      </c>
      <c r="F611" s="7" t="inlineStr">
        <is>
          <t>$128.00</t>
        </is>
      </c>
      <c r="G611" s="7" t="inlineStr">
        <is>
          <t>$64.00</t>
        </is>
      </c>
      <c r="H611" s="7" t="inlineStr">
        <is>
          <t>Ashen Rose/Rose Gold/Rose Gold</t>
        </is>
      </c>
      <c r="I611" s="7">
        <f>IMAGE("https://images.lululemon.com/is/image/lululemon/74909",1)</f>
        <v/>
      </c>
      <c r="J611" s="7" t="inlineStr">
        <is>
          <t>10</t>
        </is>
      </c>
      <c r="K611" s="7" t="inlineStr">
        <is>
          <t>36/12475</t>
        </is>
      </c>
      <c r="L611" s="7" t="inlineStr">
        <is>
          <t>Yes</t>
        </is>
      </c>
      <c r="M611" s="7" t="inlineStr">
        <is>
          <t>Up for adventure and ready for downtime. Our fan-favourite Define Jacket has a feel-good fit that can do it all.</t>
        </is>
      </c>
      <c r="N611" s="7" t="inlineStr">
        <is>
          <t>Define-Jacket-Nulu</t>
        </is>
      </c>
      <c r="O611" s="7" t="inlineStr">
        <is>
          <t>Athletic Jackets, Zip Up Sweatshirts</t>
        </is>
      </c>
    </row>
    <row r="612" ht="80" customHeight="1">
      <c r="A612" s="4">
        <f>IMAGE("https://images.lululemon.com/is/image/lululemon/LW3ID8S_031382_1?wid=320&amp;op_usm=0.8",1)</f>
        <v/>
      </c>
      <c r="B612" s="4" t="inlineStr">
        <is>
          <t>Define Jacket *Nulu</t>
        </is>
      </c>
      <c r="C612" s="4" t="inlineStr">
        <is>
          <t>158034267</t>
        </is>
      </c>
      <c r="D612" s="4" t="inlineStr">
        <is>
          <t>158034267-ashenrose/rosegold/rosegold</t>
        </is>
      </c>
      <c r="E612" s="4" t="inlineStr">
        <is>
          <t>Define Jacket *Nulu™ BLK 0</t>
        </is>
      </c>
      <c r="F612" s="4" t="inlineStr">
        <is>
          <t>$128.00</t>
        </is>
      </c>
      <c r="G612" s="4" t="inlineStr">
        <is>
          <t>$64.00</t>
        </is>
      </c>
      <c r="H612" s="4" t="inlineStr">
        <is>
          <t>Ashen Rose/Rose Gold/Rose Gold</t>
        </is>
      </c>
      <c r="I612" s="4">
        <f>IMAGE("https://images.lululemon.com/is/image/lululemon/74909",1)</f>
        <v/>
      </c>
      <c r="J612" s="4" t="inlineStr">
        <is>
          <t>12</t>
        </is>
      </c>
      <c r="K612" s="4" t="inlineStr">
        <is>
          <t>16/12475</t>
        </is>
      </c>
      <c r="L612" s="4" t="inlineStr">
        <is>
          <t>Yes</t>
        </is>
      </c>
      <c r="M612" s="4" t="inlineStr">
        <is>
          <t>Up for adventure and ready for downtime. Our fan-favourite Define Jacket has a feel-good fit that can do it all.</t>
        </is>
      </c>
      <c r="N612" s="4" t="inlineStr">
        <is>
          <t>Define-Jacket-Nulu</t>
        </is>
      </c>
      <c r="O612" s="4" t="inlineStr">
        <is>
          <t>Athletic Jackets, Zip Up Sweatshirts</t>
        </is>
      </c>
    </row>
    <row r="613" ht="80" customHeight="1">
      <c r="A613" s="7">
        <f>IMAGE("https://images.lululemon.com/is/image/lululemon/LW3ID8S_031382_1?wid=320&amp;op_usm=0.8",1)</f>
        <v/>
      </c>
      <c r="B613" s="7" t="inlineStr">
        <is>
          <t>Define Jacket *Nulu</t>
        </is>
      </c>
      <c r="C613" s="7" t="inlineStr">
        <is>
          <t>151503117</t>
        </is>
      </c>
      <c r="D613" s="7" t="inlineStr">
        <is>
          <t>151503117-white</t>
        </is>
      </c>
      <c r="E613" s="7" t="inlineStr">
        <is>
          <t>Define Jacket *Nulu™ BLK 0</t>
        </is>
      </c>
      <c r="F613" s="7" t="inlineStr">
        <is>
          <t>$128.00</t>
        </is>
      </c>
      <c r="G613" s="7" t="inlineStr">
        <is>
          <t>$64.00</t>
        </is>
      </c>
      <c r="H613" s="7" t="inlineStr">
        <is>
          <t>White</t>
        </is>
      </c>
      <c r="I613" s="7">
        <f>IMAGE("https://images.lululemon.com/is/image/lululemon/0002",1)</f>
        <v/>
      </c>
      <c r="J613" s="7" t="inlineStr">
        <is>
          <t>2</t>
        </is>
      </c>
      <c r="K613" s="7" t="inlineStr">
        <is>
          <t>156/12475</t>
        </is>
      </c>
      <c r="L613" s="7" t="inlineStr">
        <is>
          <t>Yes</t>
        </is>
      </c>
      <c r="M613" s="7" t="inlineStr">
        <is>
          <t>Up for adventure and ready for downtime. Our fan-favourite Define Jacket has a feel-good fit that can do it all.</t>
        </is>
      </c>
      <c r="N613" s="7" t="inlineStr">
        <is>
          <t>Define-Jacket-Nulu</t>
        </is>
      </c>
      <c r="O613" s="7" t="inlineStr">
        <is>
          <t>Athletic Jackets, Zip Up Sweatshirts</t>
        </is>
      </c>
    </row>
    <row r="614" ht="80" customHeight="1">
      <c r="A614" s="4">
        <f>IMAGE("https://images.lululemon.com/is/image/lululemon/LW3ID8S_031382_1?wid=320&amp;op_usm=0.8",1)</f>
        <v/>
      </c>
      <c r="B614" s="4" t="inlineStr">
        <is>
          <t>Define Jacket *Nulu</t>
        </is>
      </c>
      <c r="C614" s="4" t="inlineStr">
        <is>
          <t>151503145</t>
        </is>
      </c>
      <c r="D614" s="4" t="inlineStr">
        <is>
          <t>151503145-white</t>
        </is>
      </c>
      <c r="E614" s="4" t="inlineStr">
        <is>
          <t>Define Jacket *Nulu™ BLK 0</t>
        </is>
      </c>
      <c r="F614" s="4" t="inlineStr">
        <is>
          <t>$128.00</t>
        </is>
      </c>
      <c r="G614" s="4" t="inlineStr">
        <is>
          <t>$64.00</t>
        </is>
      </c>
      <c r="H614" s="4" t="inlineStr">
        <is>
          <t>White</t>
        </is>
      </c>
      <c r="I614" s="4">
        <f>IMAGE("https://images.lululemon.com/is/image/lululemon/0002",1)</f>
        <v/>
      </c>
      <c r="J614" s="4" t="inlineStr">
        <is>
          <t>4</t>
        </is>
      </c>
      <c r="K614" s="4" t="inlineStr">
        <is>
          <t>450/12475</t>
        </is>
      </c>
      <c r="L614" s="4" t="inlineStr">
        <is>
          <t>Yes</t>
        </is>
      </c>
      <c r="M614" s="4" t="inlineStr">
        <is>
          <t>Up for adventure and ready for downtime. Our fan-favourite Define Jacket has a feel-good fit that can do it all.</t>
        </is>
      </c>
      <c r="N614" s="4" t="inlineStr">
        <is>
          <t>Define-Jacket-Nulu</t>
        </is>
      </c>
      <c r="O614" s="4" t="inlineStr">
        <is>
          <t>Athletic Jackets, Zip Up Sweatshirts</t>
        </is>
      </c>
    </row>
    <row r="615" ht="80" customHeight="1">
      <c r="A615" s="7">
        <f>IMAGE("https://images.lululemon.com/is/image/lululemon/LW3ID8S_031382_1?wid=320&amp;op_usm=0.8",1)</f>
        <v/>
      </c>
      <c r="B615" s="7" t="inlineStr">
        <is>
          <t>Define Jacket *Nulu</t>
        </is>
      </c>
      <c r="C615" s="7" t="inlineStr">
        <is>
          <t>151503152</t>
        </is>
      </c>
      <c r="D615" s="7" t="inlineStr">
        <is>
          <t>151503152-white</t>
        </is>
      </c>
      <c r="E615" s="7" t="inlineStr">
        <is>
          <t>Define Jacket *Nulu™ BLK 0</t>
        </is>
      </c>
      <c r="F615" s="7" t="inlineStr">
        <is>
          <t>$128.00</t>
        </is>
      </c>
      <c r="G615" s="7" t="inlineStr">
        <is>
          <t>$64.00</t>
        </is>
      </c>
      <c r="H615" s="7" t="inlineStr">
        <is>
          <t>White</t>
        </is>
      </c>
      <c r="I615" s="7">
        <f>IMAGE("https://images.lululemon.com/is/image/lululemon/0002",1)</f>
        <v/>
      </c>
      <c r="J615" s="7" t="inlineStr">
        <is>
          <t>6</t>
        </is>
      </c>
      <c r="K615" s="7" t="inlineStr">
        <is>
          <t>821/12475</t>
        </is>
      </c>
      <c r="L615" s="7" t="inlineStr">
        <is>
          <t>Yes</t>
        </is>
      </c>
      <c r="M615" s="7" t="inlineStr">
        <is>
          <t>Up for adventure and ready for downtime. Our fan-favourite Define Jacket has a feel-good fit that can do it all.</t>
        </is>
      </c>
      <c r="N615" s="7" t="inlineStr">
        <is>
          <t>Define-Jacket-Nulu</t>
        </is>
      </c>
      <c r="O615" s="7" t="inlineStr">
        <is>
          <t>Athletic Jackets, Zip Up Sweatshirts</t>
        </is>
      </c>
    </row>
    <row r="616" ht="80" customHeight="1">
      <c r="A616" s="4">
        <f>IMAGE("https://images.lululemon.com/is/image/lululemon/LW3ID8S_031382_1?wid=320&amp;op_usm=0.8",1)</f>
        <v/>
      </c>
      <c r="B616" s="4" t="inlineStr">
        <is>
          <t>Define Jacket *Nulu</t>
        </is>
      </c>
      <c r="C616" s="4" t="inlineStr">
        <is>
          <t>151503157</t>
        </is>
      </c>
      <c r="D616" s="4" t="inlineStr">
        <is>
          <t>151503157-white</t>
        </is>
      </c>
      <c r="E616" s="4" t="inlineStr">
        <is>
          <t>Define Jacket *Nulu™ BLK 0</t>
        </is>
      </c>
      <c r="F616" s="4" t="inlineStr">
        <is>
          <t>$128.00</t>
        </is>
      </c>
      <c r="G616" s="4" t="inlineStr">
        <is>
          <t>$64.00</t>
        </is>
      </c>
      <c r="H616" s="4" t="inlineStr">
        <is>
          <t>White</t>
        </is>
      </c>
      <c r="I616" s="4">
        <f>IMAGE("https://images.lululemon.com/is/image/lululemon/0002",1)</f>
        <v/>
      </c>
      <c r="J616" s="4" t="inlineStr">
        <is>
          <t>8</t>
        </is>
      </c>
      <c r="K616" s="4" t="inlineStr">
        <is>
          <t>885/12475</t>
        </is>
      </c>
      <c r="L616" s="4" t="inlineStr">
        <is>
          <t>Yes</t>
        </is>
      </c>
      <c r="M616" s="4" t="inlineStr">
        <is>
          <t>Up for adventure and ready for downtime. Our fan-favourite Define Jacket has a feel-good fit that can do it all.</t>
        </is>
      </c>
      <c r="N616" s="4" t="inlineStr">
        <is>
          <t>Define-Jacket-Nulu</t>
        </is>
      </c>
      <c r="O616" s="4" t="inlineStr">
        <is>
          <t>Athletic Jackets, Zip Up Sweatshirts</t>
        </is>
      </c>
    </row>
    <row r="617" ht="80" customHeight="1">
      <c r="A617" s="7">
        <f>IMAGE("https://images.lululemon.com/is/image/lululemon/LW3ID8S_031382_1?wid=320&amp;op_usm=0.8",1)</f>
        <v/>
      </c>
      <c r="B617" s="7" t="inlineStr">
        <is>
          <t>Define Jacket *Nulu</t>
        </is>
      </c>
      <c r="C617" s="7" t="inlineStr">
        <is>
          <t>151503077</t>
        </is>
      </c>
      <c r="D617" s="7" t="inlineStr">
        <is>
          <t>151503077-white</t>
        </is>
      </c>
      <c r="E617" s="7" t="inlineStr">
        <is>
          <t>Define Jacket *Nulu™ BLK 0</t>
        </is>
      </c>
      <c r="F617" s="7" t="inlineStr">
        <is>
          <t>$128.00</t>
        </is>
      </c>
      <c r="G617" s="7" t="inlineStr">
        <is>
          <t>$64.00</t>
        </is>
      </c>
      <c r="H617" s="7" t="inlineStr">
        <is>
          <t>White</t>
        </is>
      </c>
      <c r="I617" s="7">
        <f>IMAGE("https://images.lululemon.com/is/image/lululemon/0002",1)</f>
        <v/>
      </c>
      <c r="J617" s="7" t="inlineStr">
        <is>
          <t>10</t>
        </is>
      </c>
      <c r="K617" s="7" t="inlineStr">
        <is>
          <t>639/12475</t>
        </is>
      </c>
      <c r="L617" s="7" t="inlineStr">
        <is>
          <t>Yes</t>
        </is>
      </c>
      <c r="M617" s="7" t="inlineStr">
        <is>
          <t>Up for adventure and ready for downtime. Our fan-favourite Define Jacket has a feel-good fit that can do it all.</t>
        </is>
      </c>
      <c r="N617" s="7" t="inlineStr">
        <is>
          <t>Define-Jacket-Nulu</t>
        </is>
      </c>
      <c r="O617" s="7" t="inlineStr">
        <is>
          <t>Athletic Jackets, Zip Up Sweatshirts</t>
        </is>
      </c>
    </row>
    <row r="618" ht="80" customHeight="1">
      <c r="A618" s="4">
        <f>IMAGE("https://images.lululemon.com/is/image/lululemon/LW3ID8S_031382_1?wid=320&amp;op_usm=0.8",1)</f>
        <v/>
      </c>
      <c r="B618" s="4" t="inlineStr">
        <is>
          <t>Define Jacket *Nulu</t>
        </is>
      </c>
      <c r="C618" s="4" t="inlineStr">
        <is>
          <t>151503086</t>
        </is>
      </c>
      <c r="D618" s="4" t="inlineStr">
        <is>
          <t>151503086-white</t>
        </is>
      </c>
      <c r="E618" s="4" t="inlineStr">
        <is>
          <t>Define Jacket *Nulu™ BLK 0</t>
        </is>
      </c>
      <c r="F618" s="4" t="inlineStr">
        <is>
          <t>$128.00</t>
        </is>
      </c>
      <c r="G618" s="4" t="inlineStr">
        <is>
          <t>$64.00</t>
        </is>
      </c>
      <c r="H618" s="4" t="inlineStr">
        <is>
          <t>White</t>
        </is>
      </c>
      <c r="I618" s="4">
        <f>IMAGE("https://images.lululemon.com/is/image/lululemon/0002",1)</f>
        <v/>
      </c>
      <c r="J618" s="4" t="inlineStr">
        <is>
          <t>12</t>
        </is>
      </c>
      <c r="K618" s="4" t="inlineStr">
        <is>
          <t>314/12475</t>
        </is>
      </c>
      <c r="L618" s="4" t="inlineStr">
        <is>
          <t>Yes</t>
        </is>
      </c>
      <c r="M618" s="4" t="inlineStr">
        <is>
          <t>Up for adventure and ready for downtime. Our fan-favourite Define Jacket has a feel-good fit that can do it all.</t>
        </is>
      </c>
      <c r="N618" s="4" t="inlineStr">
        <is>
          <t>Define-Jacket-Nulu</t>
        </is>
      </c>
      <c r="O618" s="4" t="inlineStr">
        <is>
          <t>Athletic Jackets, Zip Up Sweatshirts</t>
        </is>
      </c>
    </row>
    <row r="619" ht="80" customHeight="1">
      <c r="A619" s="7">
        <f>IMAGE("https://images.lululemon.com/is/image/lululemon/LW3ID8S_031382_1?wid=320&amp;op_usm=0.8",1)</f>
        <v/>
      </c>
      <c r="B619" s="7" t="inlineStr">
        <is>
          <t>Define Jacket *Nulu</t>
        </is>
      </c>
      <c r="C619" s="7" t="inlineStr">
        <is>
          <t>151503095</t>
        </is>
      </c>
      <c r="D619" s="7" t="inlineStr">
        <is>
          <t>151503095-white</t>
        </is>
      </c>
      <c r="E619" s="7" t="inlineStr">
        <is>
          <t>Define Jacket *Nulu™ BLK 0</t>
        </is>
      </c>
      <c r="F619" s="7" t="inlineStr">
        <is>
          <t>$128.00</t>
        </is>
      </c>
      <c r="G619" s="7" t="inlineStr">
        <is>
          <t>$64.00</t>
        </is>
      </c>
      <c r="H619" s="7" t="inlineStr">
        <is>
          <t>White</t>
        </is>
      </c>
      <c r="I619" s="7">
        <f>IMAGE("https://images.lululemon.com/is/image/lululemon/0002",1)</f>
        <v/>
      </c>
      <c r="J619" s="7" t="inlineStr">
        <is>
          <t>14</t>
        </is>
      </c>
      <c r="K619" s="7" t="inlineStr">
        <is>
          <t>16/12475</t>
        </is>
      </c>
      <c r="L619" s="7" t="inlineStr">
        <is>
          <t>Yes</t>
        </is>
      </c>
      <c r="M619" s="7" t="inlineStr">
        <is>
          <t>Up for adventure and ready for downtime. Our fan-favourite Define Jacket has a feel-good fit that can do it all.</t>
        </is>
      </c>
      <c r="N619" s="7" t="inlineStr">
        <is>
          <t>Define-Jacket-Nulu</t>
        </is>
      </c>
      <c r="O619" s="7" t="inlineStr">
        <is>
          <t>Athletic Jackets, Zip Up Sweatshirts</t>
        </is>
      </c>
    </row>
    <row r="620" ht="80" customHeight="1">
      <c r="A620" s="4">
        <f>IMAGE("https://images.lululemon.com/is/image/lululemon/LW3ID8S_031382_1?wid=320&amp;op_usm=0.8",1)</f>
        <v/>
      </c>
      <c r="B620" s="4" t="inlineStr">
        <is>
          <t>Define Jacket *Nulu</t>
        </is>
      </c>
      <c r="C620" s="4" t="inlineStr">
        <is>
          <t>156485400</t>
        </is>
      </c>
      <c r="D620" s="4" t="inlineStr">
        <is>
          <t>156485400-lightivory/gold/gold</t>
        </is>
      </c>
      <c r="E620" s="4" t="inlineStr">
        <is>
          <t>Define Jacket *Nulu™ BLK 0</t>
        </is>
      </c>
      <c r="F620" s="4" t="inlineStr">
        <is>
          <t>$128.00</t>
        </is>
      </c>
      <c r="G620" s="4" t="inlineStr">
        <is>
          <t>$64.00</t>
        </is>
      </c>
      <c r="H620" s="4" t="inlineStr">
        <is>
          <t>Light Ivory/Gold/Gold</t>
        </is>
      </c>
      <c r="I620" s="4">
        <f>IMAGE("https://images.lululemon.com/is/image/lululemon/71906",1)</f>
        <v/>
      </c>
      <c r="J620" s="4" t="inlineStr">
        <is>
          <t>2</t>
        </is>
      </c>
      <c r="K620" s="4" t="inlineStr">
        <is>
          <t>35/12475</t>
        </is>
      </c>
      <c r="L620" s="4" t="inlineStr">
        <is>
          <t>Yes</t>
        </is>
      </c>
      <c r="M620" s="4" t="inlineStr">
        <is>
          <t>Up for adventure and ready for downtime. Our fan-favourite Define Jacket has a feel-good fit that can do it all.</t>
        </is>
      </c>
      <c r="N620" s="4" t="inlineStr">
        <is>
          <t>Define-Jacket-Nulu</t>
        </is>
      </c>
      <c r="O620" s="4" t="inlineStr">
        <is>
          <t>Athletic Jackets, Zip Up Sweatshirts</t>
        </is>
      </c>
    </row>
    <row r="621" ht="80" customHeight="1">
      <c r="A621" s="7">
        <f>IMAGE("https://images.lululemon.com/is/image/lululemon/LW3ID8S_031382_1?wid=320&amp;op_usm=0.8",1)</f>
        <v/>
      </c>
      <c r="B621" s="7" t="inlineStr">
        <is>
          <t>Define Jacket *Nulu</t>
        </is>
      </c>
      <c r="C621" s="7" t="inlineStr">
        <is>
          <t>156485441</t>
        </is>
      </c>
      <c r="D621" s="7" t="inlineStr">
        <is>
          <t>156485441-lightivory/gold/gold</t>
        </is>
      </c>
      <c r="E621" s="7" t="inlineStr">
        <is>
          <t>Define Jacket *Nulu™ BLK 0</t>
        </is>
      </c>
      <c r="F621" s="7" t="inlineStr">
        <is>
          <t>$128.00</t>
        </is>
      </c>
      <c r="G621" s="7" t="inlineStr">
        <is>
          <t>$64.00</t>
        </is>
      </c>
      <c r="H621" s="7" t="inlineStr">
        <is>
          <t>Light Ivory/Gold/Gold</t>
        </is>
      </c>
      <c r="I621" s="7">
        <f>IMAGE("https://images.lululemon.com/is/image/lululemon/71906",1)</f>
        <v/>
      </c>
      <c r="J621" s="7" t="inlineStr">
        <is>
          <t>4</t>
        </is>
      </c>
      <c r="K621" s="7" t="inlineStr">
        <is>
          <t>53/12475</t>
        </is>
      </c>
      <c r="L621" s="7" t="inlineStr">
        <is>
          <t>Yes</t>
        </is>
      </c>
      <c r="M621" s="7" t="inlineStr">
        <is>
          <t>Up for adventure and ready for downtime. Our fan-favourite Define Jacket has a feel-good fit that can do it all.</t>
        </is>
      </c>
      <c r="N621" s="7" t="inlineStr">
        <is>
          <t>Define-Jacket-Nulu</t>
        </is>
      </c>
      <c r="O621" s="7" t="inlineStr">
        <is>
          <t>Athletic Jackets, Zip Up Sweatshirts</t>
        </is>
      </c>
    </row>
    <row r="622" ht="80" customHeight="1">
      <c r="A622" s="4">
        <f>IMAGE("https://images.lululemon.com/is/image/lululemon/LW3ID8S_031382_1?wid=320&amp;op_usm=0.8",1)</f>
        <v/>
      </c>
      <c r="B622" s="4" t="inlineStr">
        <is>
          <t>Define Jacket *Nulu</t>
        </is>
      </c>
      <c r="C622" s="4" t="inlineStr">
        <is>
          <t>156485451</t>
        </is>
      </c>
      <c r="D622" s="4" t="inlineStr">
        <is>
          <t>156485451-lightivory/gold/gold</t>
        </is>
      </c>
      <c r="E622" s="4" t="inlineStr">
        <is>
          <t>Define Jacket *Nulu™ BLK 0</t>
        </is>
      </c>
      <c r="F622" s="4" t="inlineStr">
        <is>
          <t>$128.00</t>
        </is>
      </c>
      <c r="G622" s="4" t="inlineStr">
        <is>
          <t>$64.00</t>
        </is>
      </c>
      <c r="H622" s="4" t="inlineStr">
        <is>
          <t>Light Ivory/Gold/Gold</t>
        </is>
      </c>
      <c r="I622" s="4">
        <f>IMAGE("https://images.lululemon.com/is/image/lululemon/71906",1)</f>
        <v/>
      </c>
      <c r="J622" s="4" t="inlineStr">
        <is>
          <t>6</t>
        </is>
      </c>
      <c r="K622" s="4" t="inlineStr">
        <is>
          <t>40/12475</t>
        </is>
      </c>
      <c r="L622" s="4" t="inlineStr">
        <is>
          <t>Yes</t>
        </is>
      </c>
      <c r="M622" s="4" t="inlineStr">
        <is>
          <t>Up for adventure and ready for downtime. Our fan-favourite Define Jacket has a feel-good fit that can do it all.</t>
        </is>
      </c>
      <c r="N622" s="4" t="inlineStr">
        <is>
          <t>Define-Jacket-Nulu</t>
        </is>
      </c>
      <c r="O622" s="4" t="inlineStr">
        <is>
          <t>Athletic Jackets, Zip Up Sweatshirts</t>
        </is>
      </c>
    </row>
    <row r="623" ht="80" customHeight="1">
      <c r="A623" s="7">
        <f>IMAGE("https://images.lululemon.com/is/image/lululemon/LW3ID8S_031382_1?wid=320&amp;op_usm=0.8",1)</f>
        <v/>
      </c>
      <c r="B623" s="7" t="inlineStr">
        <is>
          <t>Define Jacket *Nulu</t>
        </is>
      </c>
      <c r="C623" s="7" t="inlineStr">
        <is>
          <t>156485460</t>
        </is>
      </c>
      <c r="D623" s="7" t="inlineStr">
        <is>
          <t>156485460-lightivory/gold/gold</t>
        </is>
      </c>
      <c r="E623" s="7" t="inlineStr">
        <is>
          <t>Define Jacket *Nulu™ BLK 0</t>
        </is>
      </c>
      <c r="F623" s="7" t="inlineStr">
        <is>
          <t>$128.00</t>
        </is>
      </c>
      <c r="G623" s="7" t="inlineStr">
        <is>
          <t>$64.00</t>
        </is>
      </c>
      <c r="H623" s="7" t="inlineStr">
        <is>
          <t>Light Ivory/Gold/Gold</t>
        </is>
      </c>
      <c r="I623" s="7">
        <f>IMAGE("https://images.lululemon.com/is/image/lululemon/71906",1)</f>
        <v/>
      </c>
      <c r="J623" s="7" t="inlineStr">
        <is>
          <t>8</t>
        </is>
      </c>
      <c r="K623" s="7" t="inlineStr">
        <is>
          <t>11/12475</t>
        </is>
      </c>
      <c r="L623" s="7" t="inlineStr">
        <is>
          <t>Yes</t>
        </is>
      </c>
      <c r="M623" s="7" t="inlineStr">
        <is>
          <t>Up for adventure and ready for downtime. Our fan-favourite Define Jacket has a feel-good fit that can do it all.</t>
        </is>
      </c>
      <c r="N623" s="7" t="inlineStr">
        <is>
          <t>Define-Jacket-Nulu</t>
        </is>
      </c>
      <c r="O623" s="7" t="inlineStr">
        <is>
          <t>Athletic Jackets, Zip Up Sweatshirts</t>
        </is>
      </c>
    </row>
    <row r="624" ht="80" customHeight="1">
      <c r="A624" s="4">
        <f>IMAGE("https://images.lululemon.com/is/image/lululemon/LW3ID8S_031382_1?wid=320&amp;op_usm=0.8",1)</f>
        <v/>
      </c>
      <c r="B624" s="4" t="inlineStr">
        <is>
          <t>Define Jacket *Nulu</t>
        </is>
      </c>
      <c r="C624" s="4" t="inlineStr">
        <is>
          <t>156485363</t>
        </is>
      </c>
      <c r="D624" s="4" t="inlineStr">
        <is>
          <t>156485363-lightivory/gold/gold</t>
        </is>
      </c>
      <c r="E624" s="4" t="inlineStr">
        <is>
          <t>Define Jacket *Nulu™ BLK 0</t>
        </is>
      </c>
      <c r="F624" s="4" t="inlineStr">
        <is>
          <t>$128.00</t>
        </is>
      </c>
      <c r="G624" s="4" t="inlineStr">
        <is>
          <t>$64.00</t>
        </is>
      </c>
      <c r="H624" s="4" t="inlineStr">
        <is>
          <t>Light Ivory/Gold/Gold</t>
        </is>
      </c>
      <c r="I624" s="4">
        <f>IMAGE("https://images.lululemon.com/is/image/lululemon/71906",1)</f>
        <v/>
      </c>
      <c r="J624" s="4" t="inlineStr">
        <is>
          <t>12</t>
        </is>
      </c>
      <c r="K624" s="4" t="inlineStr">
        <is>
          <t>5/12475</t>
        </is>
      </c>
      <c r="L624" s="4" t="inlineStr">
        <is>
          <t>Yes</t>
        </is>
      </c>
      <c r="M624" s="4" t="inlineStr">
        <is>
          <t>Up for adventure and ready for downtime. Our fan-favourite Define Jacket has a feel-good fit that can do it all.</t>
        </is>
      </c>
      <c r="N624" s="4" t="inlineStr">
        <is>
          <t>Define-Jacket-Nulu</t>
        </is>
      </c>
      <c r="O624" s="4" t="inlineStr">
        <is>
          <t>Athletic Jackets, Zip Up Sweatshirts</t>
        </is>
      </c>
    </row>
    <row r="625" ht="80" customHeight="1">
      <c r="A625" s="7">
        <f>IMAGE("https://images.lululemon.com/is/image/lululemon/LW3ID8S_031382_1?wid=320&amp;op_usm=0.8",1)</f>
        <v/>
      </c>
      <c r="B625" s="7" t="inlineStr">
        <is>
          <t>Define Jacket *Nulu</t>
        </is>
      </c>
      <c r="C625" s="7" t="inlineStr">
        <is>
          <t>158034671</t>
        </is>
      </c>
      <c r="D625" s="7" t="inlineStr">
        <is>
          <t>158034671-indochineblue/gold/gold</t>
        </is>
      </c>
      <c r="E625" s="7" t="inlineStr">
        <is>
          <t>Define Jacket *Nulu™ BLK 0</t>
        </is>
      </c>
      <c r="F625" s="7" t="inlineStr">
        <is>
          <t>$128.00</t>
        </is>
      </c>
      <c r="G625" s="7" t="inlineStr">
        <is>
          <t>$64.00</t>
        </is>
      </c>
      <c r="H625" s="7" t="inlineStr">
        <is>
          <t>Indochine Blue/Gold/Gold</t>
        </is>
      </c>
      <c r="I625" s="7">
        <f>IMAGE("https://images.lululemon.com/is/image/lululemon/74900",1)</f>
        <v/>
      </c>
      <c r="J625" s="7" t="inlineStr">
        <is>
          <t>2</t>
        </is>
      </c>
      <c r="K625" s="7" t="inlineStr">
        <is>
          <t>162/12475</t>
        </is>
      </c>
      <c r="L625" s="7" t="inlineStr">
        <is>
          <t>Yes</t>
        </is>
      </c>
      <c r="M625" s="7" t="inlineStr">
        <is>
          <t>Up for adventure and ready for downtime. Our fan-favourite Define Jacket has a feel-good fit that can do it all.</t>
        </is>
      </c>
      <c r="N625" s="7" t="inlineStr">
        <is>
          <t>Define-Jacket-Nulu</t>
        </is>
      </c>
      <c r="O625" s="7" t="inlineStr">
        <is>
          <t>Athletic Jackets, Zip Up Sweatshirts</t>
        </is>
      </c>
    </row>
    <row r="626" ht="80" customHeight="1">
      <c r="A626" s="4">
        <f>IMAGE("https://images.lululemon.com/is/image/lululemon/LW3ID8S_031382_1?wid=320&amp;op_usm=0.8",1)</f>
        <v/>
      </c>
      <c r="B626" s="4" t="inlineStr">
        <is>
          <t>Define Jacket *Nulu</t>
        </is>
      </c>
      <c r="C626" s="4" t="inlineStr">
        <is>
          <t>158034680</t>
        </is>
      </c>
      <c r="D626" s="4" t="inlineStr">
        <is>
          <t>158034680-indochineblue/gold/gold</t>
        </is>
      </c>
      <c r="E626" s="4" t="inlineStr">
        <is>
          <t>Define Jacket *Nulu™ BLK 0</t>
        </is>
      </c>
      <c r="F626" s="4" t="inlineStr">
        <is>
          <t>$128.00</t>
        </is>
      </c>
      <c r="G626" s="4" t="inlineStr">
        <is>
          <t>$64.00</t>
        </is>
      </c>
      <c r="H626" s="4" t="inlineStr">
        <is>
          <t>Indochine Blue/Gold/Gold</t>
        </is>
      </c>
      <c r="I626" s="4">
        <f>IMAGE("https://images.lululemon.com/is/image/lululemon/74900",1)</f>
        <v/>
      </c>
      <c r="J626" s="4" t="inlineStr">
        <is>
          <t>4</t>
        </is>
      </c>
      <c r="K626" s="4" t="inlineStr">
        <is>
          <t>316/12475</t>
        </is>
      </c>
      <c r="L626" s="4" t="inlineStr">
        <is>
          <t>Yes</t>
        </is>
      </c>
      <c r="M626" s="4" t="inlineStr">
        <is>
          <t>Up for adventure and ready for downtime. Our fan-favourite Define Jacket has a feel-good fit that can do it all.</t>
        </is>
      </c>
      <c r="N626" s="4" t="inlineStr">
        <is>
          <t>Define-Jacket-Nulu</t>
        </is>
      </c>
      <c r="O626" s="4" t="inlineStr">
        <is>
          <t>Athletic Jackets, Zip Up Sweatshirts</t>
        </is>
      </c>
    </row>
    <row r="627" ht="80" customHeight="1">
      <c r="A627" s="7">
        <f>IMAGE("https://images.lululemon.com/is/image/lululemon/LW3ID8S_031382_1?wid=320&amp;op_usm=0.8",1)</f>
        <v/>
      </c>
      <c r="B627" s="7" t="inlineStr">
        <is>
          <t>Define Jacket *Nulu</t>
        </is>
      </c>
      <c r="C627" s="7" t="inlineStr">
        <is>
          <t>158034689</t>
        </is>
      </c>
      <c r="D627" s="7" t="inlineStr">
        <is>
          <t>158034689-indochineblue/gold/gold</t>
        </is>
      </c>
      <c r="E627" s="7" t="inlineStr">
        <is>
          <t>Define Jacket *Nulu™ BLK 0</t>
        </is>
      </c>
      <c r="F627" s="7" t="inlineStr">
        <is>
          <t>$128.00</t>
        </is>
      </c>
      <c r="G627" s="7" t="inlineStr">
        <is>
          <t>$64.00</t>
        </is>
      </c>
      <c r="H627" s="7" t="inlineStr">
        <is>
          <t>Indochine Blue/Gold/Gold</t>
        </is>
      </c>
      <c r="I627" s="7">
        <f>IMAGE("https://images.lululemon.com/is/image/lululemon/74900",1)</f>
        <v/>
      </c>
      <c r="J627" s="7" t="inlineStr">
        <is>
          <t>6</t>
        </is>
      </c>
      <c r="K627" s="7" t="inlineStr">
        <is>
          <t>377/12475</t>
        </is>
      </c>
      <c r="L627" s="7" t="inlineStr">
        <is>
          <t>Yes</t>
        </is>
      </c>
      <c r="M627" s="7" t="inlineStr">
        <is>
          <t>Up for adventure and ready for downtime. Our fan-favourite Define Jacket has a feel-good fit that can do it all.</t>
        </is>
      </c>
      <c r="N627" s="7" t="inlineStr">
        <is>
          <t>Define-Jacket-Nulu</t>
        </is>
      </c>
      <c r="O627" s="7" t="inlineStr">
        <is>
          <t>Athletic Jackets, Zip Up Sweatshirts</t>
        </is>
      </c>
    </row>
    <row r="628" ht="80" customHeight="1">
      <c r="A628" s="4">
        <f>IMAGE("https://images.lululemon.com/is/image/lululemon/LW3ID8S_031382_1?wid=320&amp;op_usm=0.8",1)</f>
        <v/>
      </c>
      <c r="B628" s="4" t="inlineStr">
        <is>
          <t>Define Jacket *Nulu</t>
        </is>
      </c>
      <c r="C628" s="4" t="inlineStr">
        <is>
          <t>158034696</t>
        </is>
      </c>
      <c r="D628" s="4" t="inlineStr">
        <is>
          <t>158034696-indochineblue/gold/gold</t>
        </is>
      </c>
      <c r="E628" s="4" t="inlineStr">
        <is>
          <t>Define Jacket *Nulu™ BLK 0</t>
        </is>
      </c>
      <c r="F628" s="4" t="inlineStr">
        <is>
          <t>$128.00</t>
        </is>
      </c>
      <c r="G628" s="4" t="inlineStr">
        <is>
          <t>$64.00</t>
        </is>
      </c>
      <c r="H628" s="4" t="inlineStr">
        <is>
          <t>Indochine Blue/Gold/Gold</t>
        </is>
      </c>
      <c r="I628" s="4">
        <f>IMAGE("https://images.lululemon.com/is/image/lululemon/74900",1)</f>
        <v/>
      </c>
      <c r="J628" s="4" t="inlineStr">
        <is>
          <t>8</t>
        </is>
      </c>
      <c r="K628" s="4" t="inlineStr">
        <is>
          <t>342/12475</t>
        </is>
      </c>
      <c r="L628" s="4" t="inlineStr">
        <is>
          <t>Yes</t>
        </is>
      </c>
      <c r="M628" s="4" t="inlineStr">
        <is>
          <t>Up for adventure and ready for downtime. Our fan-favourite Define Jacket has a feel-good fit that can do it all.</t>
        </is>
      </c>
      <c r="N628" s="4" t="inlineStr">
        <is>
          <t>Define-Jacket-Nulu</t>
        </is>
      </c>
      <c r="O628" s="4" t="inlineStr">
        <is>
          <t>Athletic Jackets, Zip Up Sweatshirts</t>
        </is>
      </c>
    </row>
    <row r="629" ht="80" customHeight="1">
      <c r="A629" s="7">
        <f>IMAGE("https://images.lululemon.com/is/image/lululemon/LW3ID8S_031382_1?wid=320&amp;op_usm=0.8",1)</f>
        <v/>
      </c>
      <c r="B629" s="7" t="inlineStr">
        <is>
          <t>Define Jacket *Nulu</t>
        </is>
      </c>
      <c r="C629" s="7" t="inlineStr">
        <is>
          <t>158034648</t>
        </is>
      </c>
      <c r="D629" s="7" t="inlineStr">
        <is>
          <t>158034648-indochineblue/gold/gold</t>
        </is>
      </c>
      <c r="E629" s="7" t="inlineStr">
        <is>
          <t>Define Jacket *Nulu™ BLK 0</t>
        </is>
      </c>
      <c r="F629" s="7" t="inlineStr">
        <is>
          <t>$128.00</t>
        </is>
      </c>
      <c r="G629" s="7" t="inlineStr">
        <is>
          <t>$64.00</t>
        </is>
      </c>
      <c r="H629" s="7" t="inlineStr">
        <is>
          <t>Indochine Blue/Gold/Gold</t>
        </is>
      </c>
      <c r="I629" s="7">
        <f>IMAGE("https://images.lululemon.com/is/image/lululemon/74900",1)</f>
        <v/>
      </c>
      <c r="J629" s="7" t="inlineStr">
        <is>
          <t>10</t>
        </is>
      </c>
      <c r="K629" s="7" t="inlineStr">
        <is>
          <t>225/12475</t>
        </is>
      </c>
      <c r="L629" s="7" t="inlineStr">
        <is>
          <t>Yes</t>
        </is>
      </c>
      <c r="M629" s="7" t="inlineStr">
        <is>
          <t>Up for adventure and ready for downtime. Our fan-favourite Define Jacket has a feel-good fit that can do it all.</t>
        </is>
      </c>
      <c r="N629" s="7" t="inlineStr">
        <is>
          <t>Define-Jacket-Nulu</t>
        </is>
      </c>
      <c r="O629" s="7" t="inlineStr">
        <is>
          <t>Athletic Jackets, Zip Up Sweatshirts</t>
        </is>
      </c>
    </row>
    <row r="630" ht="80" customHeight="1">
      <c r="A630" s="4">
        <f>IMAGE("https://images.lululemon.com/is/image/lululemon/LW3ID8S_031382_1?wid=320&amp;op_usm=0.8",1)</f>
        <v/>
      </c>
      <c r="B630" s="4" t="inlineStr">
        <is>
          <t>Define Jacket *Nulu</t>
        </is>
      </c>
      <c r="C630" s="4" t="inlineStr">
        <is>
          <t>158034656</t>
        </is>
      </c>
      <c r="D630" s="4" t="inlineStr">
        <is>
          <t>158034656-indochineblue/gold/gold</t>
        </is>
      </c>
      <c r="E630" s="4" t="inlineStr">
        <is>
          <t>Define Jacket *Nulu™ BLK 0</t>
        </is>
      </c>
      <c r="F630" s="4" t="inlineStr">
        <is>
          <t>$128.00</t>
        </is>
      </c>
      <c r="G630" s="4" t="inlineStr">
        <is>
          <t>$64.00</t>
        </is>
      </c>
      <c r="H630" s="4" t="inlineStr">
        <is>
          <t>Indochine Blue/Gold/Gold</t>
        </is>
      </c>
      <c r="I630" s="4">
        <f>IMAGE("https://images.lululemon.com/is/image/lululemon/74900",1)</f>
        <v/>
      </c>
      <c r="J630" s="4" t="inlineStr">
        <is>
          <t>12</t>
        </is>
      </c>
      <c r="K630" s="4" t="inlineStr">
        <is>
          <t>126/12475</t>
        </is>
      </c>
      <c r="L630" s="4" t="inlineStr">
        <is>
          <t>Yes</t>
        </is>
      </c>
      <c r="M630" s="4" t="inlineStr">
        <is>
          <t>Up for adventure and ready for downtime. Our fan-favourite Define Jacket has a feel-good fit that can do it all.</t>
        </is>
      </c>
      <c r="N630" s="4" t="inlineStr">
        <is>
          <t>Define-Jacket-Nulu</t>
        </is>
      </c>
      <c r="O630" s="4" t="inlineStr">
        <is>
          <t>Athletic Jackets, Zip Up Sweatshirts</t>
        </is>
      </c>
    </row>
    <row r="631" ht="80" customHeight="1">
      <c r="A631" s="7">
        <f>IMAGE("https://images.lululemon.com/is/image/lululemon/LW3ID8S_031382_1?wid=320&amp;op_usm=0.8",1)</f>
        <v/>
      </c>
      <c r="B631" s="7" t="inlineStr">
        <is>
          <t>Define Jacket *Nulu</t>
        </is>
      </c>
      <c r="C631" s="7" t="inlineStr">
        <is>
          <t>158024039</t>
        </is>
      </c>
      <c r="D631" s="7" t="inlineStr">
        <is>
          <t>158024039-dovegrey</t>
        </is>
      </c>
      <c r="E631" s="7" t="inlineStr">
        <is>
          <t>Define Jacket *Nulu™ BLK 0</t>
        </is>
      </c>
      <c r="F631" s="7" t="inlineStr">
        <is>
          <t>$128.00</t>
        </is>
      </c>
      <c r="G631" s="7" t="inlineStr">
        <is>
          <t>$64.00</t>
        </is>
      </c>
      <c r="H631" s="7" t="inlineStr">
        <is>
          <t>Dove Grey</t>
        </is>
      </c>
      <c r="I631" s="7">
        <f>IMAGE("https://images.lululemon.com/is/image/lululemon/36865",1)</f>
        <v/>
      </c>
      <c r="J631" s="7" t="inlineStr">
        <is>
          <t>2</t>
        </is>
      </c>
      <c r="K631" s="7" t="inlineStr">
        <is>
          <t>44/12475</t>
        </is>
      </c>
      <c r="L631" s="7" t="inlineStr">
        <is>
          <t>Yes</t>
        </is>
      </c>
      <c r="M631" s="7" t="inlineStr">
        <is>
          <t>Up for adventure and ready for downtime. Our fan-favourite Define Jacket has a feel-good fit that can do it all.</t>
        </is>
      </c>
      <c r="N631" s="7" t="inlineStr">
        <is>
          <t>Define-Jacket-Nulu</t>
        </is>
      </c>
      <c r="O631" s="7" t="inlineStr">
        <is>
          <t>Athletic Jackets, Zip Up Sweatshirts</t>
        </is>
      </c>
    </row>
    <row r="632" ht="80" customHeight="1">
      <c r="A632" s="4">
        <f>IMAGE("https://images.lululemon.com/is/image/lululemon/LW3ID8S_031382_1?wid=320&amp;op_usm=0.8",1)</f>
        <v/>
      </c>
      <c r="B632" s="4" t="inlineStr">
        <is>
          <t>Define Jacket *Nulu</t>
        </is>
      </c>
      <c r="C632" s="4" t="inlineStr">
        <is>
          <t>158024057</t>
        </is>
      </c>
      <c r="D632" s="4" t="inlineStr">
        <is>
          <t>158024057-dovegrey</t>
        </is>
      </c>
      <c r="E632" s="4" t="inlineStr">
        <is>
          <t>Define Jacket *Nulu™ BLK 0</t>
        </is>
      </c>
      <c r="F632" s="4" t="inlineStr">
        <is>
          <t>$128.00</t>
        </is>
      </c>
      <c r="G632" s="4" t="inlineStr">
        <is>
          <t>$64.00</t>
        </is>
      </c>
      <c r="H632" s="4" t="inlineStr">
        <is>
          <t>Dove Grey</t>
        </is>
      </c>
      <c r="I632" s="4">
        <f>IMAGE("https://images.lululemon.com/is/image/lululemon/36865",1)</f>
        <v/>
      </c>
      <c r="J632" s="4" t="inlineStr">
        <is>
          <t>4</t>
        </is>
      </c>
      <c r="K632" s="4" t="inlineStr">
        <is>
          <t>115/12475</t>
        </is>
      </c>
      <c r="L632" s="4" t="inlineStr">
        <is>
          <t>Yes</t>
        </is>
      </c>
      <c r="M632" s="4" t="inlineStr">
        <is>
          <t>Up for adventure and ready for downtime. Our fan-favourite Define Jacket has a feel-good fit that can do it all.</t>
        </is>
      </c>
      <c r="N632" s="4" t="inlineStr">
        <is>
          <t>Define-Jacket-Nulu</t>
        </is>
      </c>
      <c r="O632" s="4" t="inlineStr">
        <is>
          <t>Athletic Jackets, Zip Up Sweatshirts</t>
        </is>
      </c>
    </row>
    <row r="633" ht="80" customHeight="1">
      <c r="A633" s="7">
        <f>IMAGE("https://images.lululemon.com/is/image/lululemon/LW3ID8S_031382_1?wid=320&amp;op_usm=0.8",1)</f>
        <v/>
      </c>
      <c r="B633" s="7" t="inlineStr">
        <is>
          <t>Define Jacket *Nulu</t>
        </is>
      </c>
      <c r="C633" s="7" t="inlineStr">
        <is>
          <t>158024075</t>
        </is>
      </c>
      <c r="D633" s="7" t="inlineStr">
        <is>
          <t>158024075-dovegrey</t>
        </is>
      </c>
      <c r="E633" s="7" t="inlineStr">
        <is>
          <t>Define Jacket *Nulu™ BLK 0</t>
        </is>
      </c>
      <c r="F633" s="7" t="inlineStr">
        <is>
          <t>$128.00</t>
        </is>
      </c>
      <c r="G633" s="7" t="inlineStr">
        <is>
          <t>$64.00</t>
        </is>
      </c>
      <c r="H633" s="7" t="inlineStr">
        <is>
          <t>Dove Grey</t>
        </is>
      </c>
      <c r="I633" s="7">
        <f>IMAGE("https://images.lululemon.com/is/image/lululemon/36865",1)</f>
        <v/>
      </c>
      <c r="J633" s="7" t="inlineStr">
        <is>
          <t>6</t>
        </is>
      </c>
      <c r="K633" s="7" t="inlineStr">
        <is>
          <t>159/12475</t>
        </is>
      </c>
      <c r="L633" s="7" t="inlineStr">
        <is>
          <t>Yes</t>
        </is>
      </c>
      <c r="M633" s="7" t="inlineStr">
        <is>
          <t>Up for adventure and ready for downtime. Our fan-favourite Define Jacket has a feel-good fit that can do it all.</t>
        </is>
      </c>
      <c r="N633" s="7" t="inlineStr">
        <is>
          <t>Define-Jacket-Nulu</t>
        </is>
      </c>
      <c r="O633" s="7" t="inlineStr">
        <is>
          <t>Athletic Jackets, Zip Up Sweatshirts</t>
        </is>
      </c>
    </row>
    <row r="634" ht="80" customHeight="1">
      <c r="A634" s="4">
        <f>IMAGE("https://images.lululemon.com/is/image/lululemon/LW3ID8S_031382_1?wid=320&amp;op_usm=0.8",1)</f>
        <v/>
      </c>
      <c r="B634" s="4" t="inlineStr">
        <is>
          <t>Define Jacket *Nulu</t>
        </is>
      </c>
      <c r="C634" s="4" t="inlineStr">
        <is>
          <t>158024091</t>
        </is>
      </c>
      <c r="D634" s="4" t="inlineStr">
        <is>
          <t>158024091-dovegrey</t>
        </is>
      </c>
      <c r="E634" s="4" t="inlineStr">
        <is>
          <t>Define Jacket *Nulu™ BLK 0</t>
        </is>
      </c>
      <c r="F634" s="4" t="inlineStr">
        <is>
          <t>$128.00</t>
        </is>
      </c>
      <c r="G634" s="4" t="inlineStr">
        <is>
          <t>$64.00</t>
        </is>
      </c>
      <c r="H634" s="4" t="inlineStr">
        <is>
          <t>Dove Grey</t>
        </is>
      </c>
      <c r="I634" s="4">
        <f>IMAGE("https://images.lululemon.com/is/image/lululemon/36865",1)</f>
        <v/>
      </c>
      <c r="J634" s="4" t="inlineStr">
        <is>
          <t>8</t>
        </is>
      </c>
      <c r="K634" s="4" t="inlineStr">
        <is>
          <t>146/12475</t>
        </is>
      </c>
      <c r="L634" s="4" t="inlineStr">
        <is>
          <t>Yes</t>
        </is>
      </c>
      <c r="M634" s="4" t="inlineStr">
        <is>
          <t>Up for adventure and ready for downtime. Our fan-favourite Define Jacket has a feel-good fit that can do it all.</t>
        </is>
      </c>
      <c r="N634" s="4" t="inlineStr">
        <is>
          <t>Define-Jacket-Nulu</t>
        </is>
      </c>
      <c r="O634" s="4" t="inlineStr">
        <is>
          <t>Athletic Jackets, Zip Up Sweatshirts</t>
        </is>
      </c>
    </row>
    <row r="635" ht="80" customHeight="1">
      <c r="A635" s="7">
        <f>IMAGE("https://images.lululemon.com/is/image/lululemon/LW3ID8S_031382_1?wid=320&amp;op_usm=0.8",1)</f>
        <v/>
      </c>
      <c r="B635" s="7" t="inlineStr">
        <is>
          <t>Define Jacket *Nulu</t>
        </is>
      </c>
      <c r="C635" s="7" t="inlineStr">
        <is>
          <t>158023986</t>
        </is>
      </c>
      <c r="D635" s="7" t="inlineStr">
        <is>
          <t>158023986-dovegrey</t>
        </is>
      </c>
      <c r="E635" s="7" t="inlineStr">
        <is>
          <t>Define Jacket *Nulu™ BLK 0</t>
        </is>
      </c>
      <c r="F635" s="7" t="inlineStr">
        <is>
          <t>$128.00</t>
        </is>
      </c>
      <c r="G635" s="7" t="inlineStr">
        <is>
          <t>$64.00</t>
        </is>
      </c>
      <c r="H635" s="7" t="inlineStr">
        <is>
          <t>Dove Grey</t>
        </is>
      </c>
      <c r="I635" s="7">
        <f>IMAGE("https://images.lululemon.com/is/image/lululemon/36865",1)</f>
        <v/>
      </c>
      <c r="J635" s="7" t="inlineStr">
        <is>
          <t>10</t>
        </is>
      </c>
      <c r="K635" s="7" t="inlineStr">
        <is>
          <t>101/12475</t>
        </is>
      </c>
      <c r="L635" s="7" t="inlineStr">
        <is>
          <t>Yes</t>
        </is>
      </c>
      <c r="M635" s="7" t="inlineStr">
        <is>
          <t>Up for adventure and ready for downtime. Our fan-favourite Define Jacket has a feel-good fit that can do it all.</t>
        </is>
      </c>
      <c r="N635" s="7" t="inlineStr">
        <is>
          <t>Define-Jacket-Nulu</t>
        </is>
      </c>
      <c r="O635" s="7" t="inlineStr">
        <is>
          <t>Athletic Jackets, Zip Up Sweatshirts</t>
        </is>
      </c>
    </row>
    <row r="636" ht="80" customHeight="1">
      <c r="A636" s="4">
        <f>IMAGE("https://images.lululemon.com/is/image/lululemon/LW3ID8S_031382_1?wid=320&amp;op_usm=0.8",1)</f>
        <v/>
      </c>
      <c r="B636" s="4" t="inlineStr">
        <is>
          <t>Define Jacket *Nulu</t>
        </is>
      </c>
      <c r="C636" s="4" t="inlineStr">
        <is>
          <t>158024005</t>
        </is>
      </c>
      <c r="D636" s="4" t="inlineStr">
        <is>
          <t>158024005-dovegrey</t>
        </is>
      </c>
      <c r="E636" s="4" t="inlineStr">
        <is>
          <t>Define Jacket *Nulu™ BLK 0</t>
        </is>
      </c>
      <c r="F636" s="4" t="inlineStr">
        <is>
          <t>$128.00</t>
        </is>
      </c>
      <c r="G636" s="4" t="inlineStr">
        <is>
          <t>$64.00</t>
        </is>
      </c>
      <c r="H636" s="4" t="inlineStr">
        <is>
          <t>Dove Grey</t>
        </is>
      </c>
      <c r="I636" s="4">
        <f>IMAGE("https://images.lululemon.com/is/image/lululemon/36865",1)</f>
        <v/>
      </c>
      <c r="J636" s="4" t="inlineStr">
        <is>
          <t>12</t>
        </is>
      </c>
      <c r="K636" s="4" t="inlineStr">
        <is>
          <t>43/12475</t>
        </is>
      </c>
      <c r="L636" s="4" t="inlineStr">
        <is>
          <t>Yes</t>
        </is>
      </c>
      <c r="M636" s="4" t="inlineStr">
        <is>
          <t>Up for adventure and ready for downtime. Our fan-favourite Define Jacket has a feel-good fit that can do it all.</t>
        </is>
      </c>
      <c r="N636" s="4" t="inlineStr">
        <is>
          <t>Define-Jacket-Nulu</t>
        </is>
      </c>
      <c r="O636" s="4" t="inlineStr">
        <is>
          <t>Athletic Jackets, Zip Up Sweatshirts</t>
        </is>
      </c>
    </row>
    <row r="637" ht="80" customHeight="1">
      <c r="A637" s="7">
        <f>IMAGE("https://images.lululemon.com/is/image/lululemon/LW3ID8S_031382_1?wid=320&amp;op_usm=0.8",1)</f>
        <v/>
      </c>
      <c r="B637" s="7" t="inlineStr">
        <is>
          <t>Define Jacket *Nulu</t>
        </is>
      </c>
      <c r="C637" s="7" t="inlineStr">
        <is>
          <t>158019274</t>
        </is>
      </c>
      <c r="D637" s="7" t="inlineStr">
        <is>
          <t>158019274-berryrumble</t>
        </is>
      </c>
      <c r="E637" s="7" t="inlineStr">
        <is>
          <t>Define Jacket *Nulu™ BLK 0</t>
        </is>
      </c>
      <c r="F637" s="7" t="inlineStr">
        <is>
          <t>$128.00</t>
        </is>
      </c>
      <c r="G637" s="7" t="inlineStr">
        <is>
          <t>$64.00</t>
        </is>
      </c>
      <c r="H637" s="7" t="inlineStr">
        <is>
          <t>Berry Rumble</t>
        </is>
      </c>
      <c r="I637" s="7">
        <f>IMAGE("https://images.lululemon.com/is/image/lululemon/21363",1)</f>
        <v/>
      </c>
      <c r="J637" s="7" t="inlineStr">
        <is>
          <t>2</t>
        </is>
      </c>
      <c r="K637" s="7" t="inlineStr">
        <is>
          <t>52/12475</t>
        </is>
      </c>
      <c r="L637" s="7" t="inlineStr">
        <is>
          <t>Yes</t>
        </is>
      </c>
      <c r="M637" s="7" t="inlineStr">
        <is>
          <t>Up for adventure and ready for downtime. Our fan-favourite Define Jacket has a feel-good fit that can do it all.</t>
        </is>
      </c>
      <c r="N637" s="7" t="inlineStr">
        <is>
          <t>Define-Jacket-Nulu</t>
        </is>
      </c>
      <c r="O637" s="7" t="inlineStr">
        <is>
          <t>Athletic Jackets, Zip Up Sweatshirts</t>
        </is>
      </c>
    </row>
    <row r="638" ht="80" customHeight="1">
      <c r="A638" s="4">
        <f>IMAGE("https://images.lululemon.com/is/image/lululemon/LW3ID8S_031382_1?wid=320&amp;op_usm=0.8",1)</f>
        <v/>
      </c>
      <c r="B638" s="4" t="inlineStr">
        <is>
          <t>Define Jacket *Nulu</t>
        </is>
      </c>
      <c r="C638" s="4" t="inlineStr">
        <is>
          <t>158019284</t>
        </is>
      </c>
      <c r="D638" s="4" t="inlineStr">
        <is>
          <t>158019284-berryrumble</t>
        </is>
      </c>
      <c r="E638" s="4" t="inlineStr">
        <is>
          <t>Define Jacket *Nulu™ BLK 0</t>
        </is>
      </c>
      <c r="F638" s="4" t="inlineStr">
        <is>
          <t>$128.00</t>
        </is>
      </c>
      <c r="G638" s="4" t="inlineStr">
        <is>
          <t>$64.00</t>
        </is>
      </c>
      <c r="H638" s="4" t="inlineStr">
        <is>
          <t>Berry Rumble</t>
        </is>
      </c>
      <c r="I638" s="4">
        <f>IMAGE("https://images.lululemon.com/is/image/lululemon/21363",1)</f>
        <v/>
      </c>
      <c r="J638" s="4" t="inlineStr">
        <is>
          <t>4</t>
        </is>
      </c>
      <c r="K638" s="4" t="inlineStr">
        <is>
          <t>107/12475</t>
        </is>
      </c>
      <c r="L638" s="4" t="inlineStr">
        <is>
          <t>Yes</t>
        </is>
      </c>
      <c r="M638" s="4" t="inlineStr">
        <is>
          <t>Up for adventure and ready for downtime. Our fan-favourite Define Jacket has a feel-good fit that can do it all.</t>
        </is>
      </c>
      <c r="N638" s="4" t="inlineStr">
        <is>
          <t>Define-Jacket-Nulu</t>
        </is>
      </c>
      <c r="O638" s="4" t="inlineStr">
        <is>
          <t>Athletic Jackets, Zip Up Sweatshirts</t>
        </is>
      </c>
    </row>
    <row r="639" ht="80" customHeight="1">
      <c r="A639" s="7">
        <f>IMAGE("https://images.lululemon.com/is/image/lululemon/LW3ID8S_031382_1?wid=320&amp;op_usm=0.8",1)</f>
        <v/>
      </c>
      <c r="B639" s="7" t="inlineStr">
        <is>
          <t>Define Jacket *Nulu</t>
        </is>
      </c>
      <c r="C639" s="7" t="inlineStr">
        <is>
          <t>158019295</t>
        </is>
      </c>
      <c r="D639" s="7" t="inlineStr">
        <is>
          <t>158019295-berryrumble</t>
        </is>
      </c>
      <c r="E639" s="7" t="inlineStr">
        <is>
          <t>Define Jacket *Nulu™ BLK 0</t>
        </is>
      </c>
      <c r="F639" s="7" t="inlineStr">
        <is>
          <t>$128.00</t>
        </is>
      </c>
      <c r="G639" s="7" t="inlineStr">
        <is>
          <t>$64.00</t>
        </is>
      </c>
      <c r="H639" s="7" t="inlineStr">
        <is>
          <t>Berry Rumble</t>
        </is>
      </c>
      <c r="I639" s="7">
        <f>IMAGE("https://images.lululemon.com/is/image/lululemon/21363",1)</f>
        <v/>
      </c>
      <c r="J639" s="7" t="inlineStr">
        <is>
          <t>6</t>
        </is>
      </c>
      <c r="K639" s="7" t="inlineStr">
        <is>
          <t>134/12475</t>
        </is>
      </c>
      <c r="L639" s="7" t="inlineStr">
        <is>
          <t>Yes</t>
        </is>
      </c>
      <c r="M639" s="7" t="inlineStr">
        <is>
          <t>Up for adventure and ready for downtime. Our fan-favourite Define Jacket has a feel-good fit that can do it all.</t>
        </is>
      </c>
      <c r="N639" s="7" t="inlineStr">
        <is>
          <t>Define-Jacket-Nulu</t>
        </is>
      </c>
      <c r="O639" s="7" t="inlineStr">
        <is>
          <t>Athletic Jackets, Zip Up Sweatshirts</t>
        </is>
      </c>
    </row>
    <row r="640" ht="80" customHeight="1">
      <c r="A640" s="4">
        <f>IMAGE("https://images.lululemon.com/is/image/lululemon/LW3ID8S_031382_1?wid=320&amp;op_usm=0.8",1)</f>
        <v/>
      </c>
      <c r="B640" s="4" t="inlineStr">
        <is>
          <t>Define Jacket *Nulu</t>
        </is>
      </c>
      <c r="C640" s="4" t="inlineStr">
        <is>
          <t>158019304</t>
        </is>
      </c>
      <c r="D640" s="4" t="inlineStr">
        <is>
          <t>158019304-berryrumble</t>
        </is>
      </c>
      <c r="E640" s="4" t="inlineStr">
        <is>
          <t>Define Jacket *Nulu™ BLK 0</t>
        </is>
      </c>
      <c r="F640" s="4" t="inlineStr">
        <is>
          <t>$128.00</t>
        </is>
      </c>
      <c r="G640" s="4" t="inlineStr">
        <is>
          <t>$64.00</t>
        </is>
      </c>
      <c r="H640" s="4" t="inlineStr">
        <is>
          <t>Berry Rumble</t>
        </is>
      </c>
      <c r="I640" s="4">
        <f>IMAGE("https://images.lululemon.com/is/image/lululemon/21363",1)</f>
        <v/>
      </c>
      <c r="J640" s="4" t="inlineStr">
        <is>
          <t>8</t>
        </is>
      </c>
      <c r="K640" s="4" t="inlineStr">
        <is>
          <t>126/12475</t>
        </is>
      </c>
      <c r="L640" s="4" t="inlineStr">
        <is>
          <t>Yes</t>
        </is>
      </c>
      <c r="M640" s="4" t="inlineStr">
        <is>
          <t>Up for adventure and ready for downtime. Our fan-favourite Define Jacket has a feel-good fit that can do it all.</t>
        </is>
      </c>
      <c r="N640" s="4" t="inlineStr">
        <is>
          <t>Define-Jacket-Nulu</t>
        </is>
      </c>
      <c r="O640" s="4" t="inlineStr">
        <is>
          <t>Athletic Jackets, Zip Up Sweatshirts</t>
        </is>
      </c>
    </row>
    <row r="641" ht="80" customHeight="1">
      <c r="A641" s="7">
        <f>IMAGE("https://images.lululemon.com/is/image/lululemon/LW3ID8S_031382_1?wid=320&amp;op_usm=0.8",1)</f>
        <v/>
      </c>
      <c r="B641" s="7" t="inlineStr">
        <is>
          <t>Define Jacket *Nulu</t>
        </is>
      </c>
      <c r="C641" s="7" t="inlineStr">
        <is>
          <t>158019257</t>
        </is>
      </c>
      <c r="D641" s="7" t="inlineStr">
        <is>
          <t>158019257-berryrumble</t>
        </is>
      </c>
      <c r="E641" s="7" t="inlineStr">
        <is>
          <t>Define Jacket *Nulu™ BLK 0</t>
        </is>
      </c>
      <c r="F641" s="7" t="inlineStr">
        <is>
          <t>$128.00</t>
        </is>
      </c>
      <c r="G641" s="7" t="inlineStr">
        <is>
          <t>$64.00</t>
        </is>
      </c>
      <c r="H641" s="7" t="inlineStr">
        <is>
          <t>Berry Rumble</t>
        </is>
      </c>
      <c r="I641" s="7">
        <f>IMAGE("https://images.lululemon.com/is/image/lululemon/21363",1)</f>
        <v/>
      </c>
      <c r="J641" s="7" t="inlineStr">
        <is>
          <t>10</t>
        </is>
      </c>
      <c r="K641" s="7" t="inlineStr">
        <is>
          <t>84/12475</t>
        </is>
      </c>
      <c r="L641" s="7" t="inlineStr">
        <is>
          <t>Yes</t>
        </is>
      </c>
      <c r="M641" s="7" t="inlineStr">
        <is>
          <t>Up for adventure and ready for downtime. Our fan-favourite Define Jacket has a feel-good fit that can do it all.</t>
        </is>
      </c>
      <c r="N641" s="7" t="inlineStr">
        <is>
          <t>Define-Jacket-Nulu</t>
        </is>
      </c>
      <c r="O641" s="7" t="inlineStr">
        <is>
          <t>Athletic Jackets, Zip Up Sweatshirts</t>
        </is>
      </c>
    </row>
    <row r="642" ht="80" customHeight="1">
      <c r="A642" s="4">
        <f>IMAGE("https://images.lululemon.com/is/image/lululemon/LW3ID8S_031382_1?wid=320&amp;op_usm=0.8",1)</f>
        <v/>
      </c>
      <c r="B642" s="4" t="inlineStr">
        <is>
          <t>Define Jacket *Nulu</t>
        </is>
      </c>
      <c r="C642" s="4" t="inlineStr">
        <is>
          <t>158019264</t>
        </is>
      </c>
      <c r="D642" s="4" t="inlineStr">
        <is>
          <t>158019264-berryrumble</t>
        </is>
      </c>
      <c r="E642" s="4" t="inlineStr">
        <is>
          <t>Define Jacket *Nulu™ BLK 0</t>
        </is>
      </c>
      <c r="F642" s="4" t="inlineStr">
        <is>
          <t>$128.00</t>
        </is>
      </c>
      <c r="G642" s="4" t="inlineStr">
        <is>
          <t>$64.00</t>
        </is>
      </c>
      <c r="H642" s="4" t="inlineStr">
        <is>
          <t>Berry Rumble</t>
        </is>
      </c>
      <c r="I642" s="4">
        <f>IMAGE("https://images.lululemon.com/is/image/lululemon/21363",1)</f>
        <v/>
      </c>
      <c r="J642" s="4" t="inlineStr">
        <is>
          <t>12</t>
        </is>
      </c>
      <c r="K642" s="4" t="inlineStr">
        <is>
          <t>45/12475</t>
        </is>
      </c>
      <c r="L642" s="4" t="inlineStr">
        <is>
          <t>Yes</t>
        </is>
      </c>
      <c r="M642" s="4" t="inlineStr">
        <is>
          <t>Up for adventure and ready for downtime. Our fan-favourite Define Jacket has a feel-good fit that can do it all.</t>
        </is>
      </c>
      <c r="N642" s="4" t="inlineStr">
        <is>
          <t>Define-Jacket-Nulu</t>
        </is>
      </c>
      <c r="O642" s="4" t="inlineStr">
        <is>
          <t>Athletic Jackets, Zip Up Sweatshirts</t>
        </is>
      </c>
    </row>
    <row r="643" ht="80" customHeight="1">
      <c r="A643" s="7">
        <f>IMAGE("https://images.lululemon.com/is/image/lululemon/LW3ID8S_031382_1?wid=320&amp;op_usm=0.8",1)</f>
        <v/>
      </c>
      <c r="B643" s="7" t="inlineStr">
        <is>
          <t>Define Jacket *Nulu</t>
        </is>
      </c>
      <c r="C643" s="7" t="inlineStr">
        <is>
          <t>158018928</t>
        </is>
      </c>
      <c r="D643" s="7" t="inlineStr">
        <is>
          <t>158018928-brilliantblue</t>
        </is>
      </c>
      <c r="E643" s="7" t="inlineStr">
        <is>
          <t>Define Jacket *Nulu™ BLK 0</t>
        </is>
      </c>
      <c r="F643" s="7" t="inlineStr">
        <is>
          <t>$128.00</t>
        </is>
      </c>
      <c r="G643" s="7" t="inlineStr">
        <is>
          <t>$64.00</t>
        </is>
      </c>
      <c r="H643" s="7" t="inlineStr">
        <is>
          <t>Brilliant Blue</t>
        </is>
      </c>
      <c r="I643" s="7">
        <f>IMAGE("https://images.lululemon.com/is/image/lululemon/33190",1)</f>
        <v/>
      </c>
      <c r="J643" s="7" t="inlineStr">
        <is>
          <t>2</t>
        </is>
      </c>
      <c r="K643" s="7" t="inlineStr">
        <is>
          <t>42/12475</t>
        </is>
      </c>
      <c r="L643" s="7" t="inlineStr">
        <is>
          <t>Yes</t>
        </is>
      </c>
      <c r="M643" s="7" t="inlineStr">
        <is>
          <t>Up for adventure and ready for downtime. Our fan-favourite Define Jacket has a feel-good fit that can do it all.</t>
        </is>
      </c>
      <c r="N643" s="7" t="inlineStr">
        <is>
          <t>Define-Jacket-Nulu</t>
        </is>
      </c>
      <c r="O643" s="7" t="inlineStr">
        <is>
          <t>Athletic Jackets, Zip Up Sweatshirts</t>
        </is>
      </c>
    </row>
    <row r="644" ht="80" customHeight="1">
      <c r="A644" s="4">
        <f>IMAGE("https://images.lululemon.com/is/image/lululemon/LW3ID8S_031382_1?wid=320&amp;op_usm=0.8",1)</f>
        <v/>
      </c>
      <c r="B644" s="4" t="inlineStr">
        <is>
          <t>Define Jacket *Nulu</t>
        </is>
      </c>
      <c r="C644" s="4" t="inlineStr">
        <is>
          <t>158018941</t>
        </is>
      </c>
      <c r="D644" s="4" t="inlineStr">
        <is>
          <t>158018941-brilliantblue</t>
        </is>
      </c>
      <c r="E644" s="4" t="inlineStr">
        <is>
          <t>Define Jacket *Nulu™ BLK 0</t>
        </is>
      </c>
      <c r="F644" s="4" t="inlineStr">
        <is>
          <t>$128.00</t>
        </is>
      </c>
      <c r="G644" s="4" t="inlineStr">
        <is>
          <t>$64.00</t>
        </is>
      </c>
      <c r="H644" s="4" t="inlineStr">
        <is>
          <t>Brilliant Blue</t>
        </is>
      </c>
      <c r="I644" s="4">
        <f>IMAGE("https://images.lululemon.com/is/image/lululemon/33190",1)</f>
        <v/>
      </c>
      <c r="J644" s="4" t="inlineStr">
        <is>
          <t>4</t>
        </is>
      </c>
      <c r="K644" s="4" t="inlineStr">
        <is>
          <t>113/12475</t>
        </is>
      </c>
      <c r="L644" s="4" t="inlineStr">
        <is>
          <t>Yes</t>
        </is>
      </c>
      <c r="M644" s="4" t="inlineStr">
        <is>
          <t>Up for adventure and ready for downtime. Our fan-favourite Define Jacket has a feel-good fit that can do it all.</t>
        </is>
      </c>
      <c r="N644" s="4" t="inlineStr">
        <is>
          <t>Define-Jacket-Nulu</t>
        </is>
      </c>
      <c r="O644" s="4" t="inlineStr">
        <is>
          <t>Athletic Jackets, Zip Up Sweatshirts</t>
        </is>
      </c>
    </row>
    <row r="645" ht="80" customHeight="1">
      <c r="A645" s="7">
        <f>IMAGE("https://images.lululemon.com/is/image/lululemon/LW3ID8S_031382_1?wid=320&amp;op_usm=0.8",1)</f>
        <v/>
      </c>
      <c r="B645" s="7" t="inlineStr">
        <is>
          <t>Define Jacket *Nulu</t>
        </is>
      </c>
      <c r="C645" s="7" t="inlineStr">
        <is>
          <t>158018954</t>
        </is>
      </c>
      <c r="D645" s="7" t="inlineStr">
        <is>
          <t>158018954-brilliantblue</t>
        </is>
      </c>
      <c r="E645" s="7" t="inlineStr">
        <is>
          <t>Define Jacket *Nulu™ BLK 0</t>
        </is>
      </c>
      <c r="F645" s="7" t="inlineStr">
        <is>
          <t>$128.00</t>
        </is>
      </c>
      <c r="G645" s="7" t="inlineStr">
        <is>
          <t>$64.00</t>
        </is>
      </c>
      <c r="H645" s="7" t="inlineStr">
        <is>
          <t>Brilliant Blue</t>
        </is>
      </c>
      <c r="I645" s="7">
        <f>IMAGE("https://images.lululemon.com/is/image/lululemon/33190",1)</f>
        <v/>
      </c>
      <c r="J645" s="7" t="inlineStr">
        <is>
          <t>6</t>
        </is>
      </c>
      <c r="K645" s="7" t="inlineStr">
        <is>
          <t>161/12475</t>
        </is>
      </c>
      <c r="L645" s="7" t="inlineStr">
        <is>
          <t>Yes</t>
        </is>
      </c>
      <c r="M645" s="7" t="inlineStr">
        <is>
          <t>Up for adventure and ready for downtime. Our fan-favourite Define Jacket has a feel-good fit that can do it all.</t>
        </is>
      </c>
      <c r="N645" s="7" t="inlineStr">
        <is>
          <t>Define-Jacket-Nulu</t>
        </is>
      </c>
      <c r="O645" s="7" t="inlineStr">
        <is>
          <t>Athletic Jackets, Zip Up Sweatshirts</t>
        </is>
      </c>
    </row>
    <row r="646" ht="80" customHeight="1">
      <c r="A646" s="4">
        <f>IMAGE("https://images.lululemon.com/is/image/lululemon/LW3ID8S_031382_1?wid=320&amp;op_usm=0.8",1)</f>
        <v/>
      </c>
      <c r="B646" s="4" t="inlineStr">
        <is>
          <t>Define Jacket *Nulu</t>
        </is>
      </c>
      <c r="C646" s="4" t="inlineStr">
        <is>
          <t>158018966</t>
        </is>
      </c>
      <c r="D646" s="4" t="inlineStr">
        <is>
          <t>158018966-brilliantblue</t>
        </is>
      </c>
      <c r="E646" s="4" t="inlineStr">
        <is>
          <t>Define Jacket *Nulu™ BLK 0</t>
        </is>
      </c>
      <c r="F646" s="4" t="inlineStr">
        <is>
          <t>$128.00</t>
        </is>
      </c>
      <c r="G646" s="4" t="inlineStr">
        <is>
          <t>$64.00</t>
        </is>
      </c>
      <c r="H646" s="4" t="inlineStr">
        <is>
          <t>Brilliant Blue</t>
        </is>
      </c>
      <c r="I646" s="4">
        <f>IMAGE("https://images.lululemon.com/is/image/lululemon/33190",1)</f>
        <v/>
      </c>
      <c r="J646" s="4" t="inlineStr">
        <is>
          <t>8</t>
        </is>
      </c>
      <c r="K646" s="4" t="inlineStr">
        <is>
          <t>148/12475</t>
        </is>
      </c>
      <c r="L646" s="4" t="inlineStr">
        <is>
          <t>Yes</t>
        </is>
      </c>
      <c r="M646" s="4" t="inlineStr">
        <is>
          <t>Up for adventure and ready for downtime. Our fan-favourite Define Jacket has a feel-good fit that can do it all.</t>
        </is>
      </c>
      <c r="N646" s="4" t="inlineStr">
        <is>
          <t>Define-Jacket-Nulu</t>
        </is>
      </c>
      <c r="O646" s="4" t="inlineStr">
        <is>
          <t>Athletic Jackets, Zip Up Sweatshirts</t>
        </is>
      </c>
    </row>
    <row r="647" ht="80" customHeight="1">
      <c r="A647" s="7">
        <f>IMAGE("https://images.lululemon.com/is/image/lululemon/LW3ID8S_031382_1?wid=320&amp;op_usm=0.8",1)</f>
        <v/>
      </c>
      <c r="B647" s="7" t="inlineStr">
        <is>
          <t>Define Jacket *Nulu</t>
        </is>
      </c>
      <c r="C647" s="7" t="inlineStr">
        <is>
          <t>158018889</t>
        </is>
      </c>
      <c r="D647" s="7" t="inlineStr">
        <is>
          <t>158018889-brilliantblue</t>
        </is>
      </c>
      <c r="E647" s="7" t="inlineStr">
        <is>
          <t>Define Jacket *Nulu™ BLK 0</t>
        </is>
      </c>
      <c r="F647" s="7" t="inlineStr">
        <is>
          <t>$128.00</t>
        </is>
      </c>
      <c r="G647" s="7" t="inlineStr">
        <is>
          <t>$64.00</t>
        </is>
      </c>
      <c r="H647" s="7" t="inlineStr">
        <is>
          <t>Brilliant Blue</t>
        </is>
      </c>
      <c r="I647" s="7">
        <f>IMAGE("https://images.lululemon.com/is/image/lululemon/33190",1)</f>
        <v/>
      </c>
      <c r="J647" s="7" t="inlineStr">
        <is>
          <t>10</t>
        </is>
      </c>
      <c r="K647" s="7" t="inlineStr">
        <is>
          <t>104/12475</t>
        </is>
      </c>
      <c r="L647" s="7" t="inlineStr">
        <is>
          <t>Yes</t>
        </is>
      </c>
      <c r="M647" s="7" t="inlineStr">
        <is>
          <t>Up for adventure and ready for downtime. Our fan-favourite Define Jacket has a feel-good fit that can do it all.</t>
        </is>
      </c>
      <c r="N647" s="7" t="inlineStr">
        <is>
          <t>Define-Jacket-Nulu</t>
        </is>
      </c>
      <c r="O647" s="7" t="inlineStr">
        <is>
          <t>Athletic Jackets, Zip Up Sweatshirts</t>
        </is>
      </c>
    </row>
    <row r="648" ht="80" customHeight="1">
      <c r="A648" s="4">
        <f>IMAGE("https://images.lululemon.com/is/image/lululemon/LW3ID8S_031382_1?wid=320&amp;op_usm=0.8",1)</f>
        <v/>
      </c>
      <c r="B648" s="4" t="inlineStr">
        <is>
          <t>Define Jacket *Nulu</t>
        </is>
      </c>
      <c r="C648" s="4" t="inlineStr">
        <is>
          <t>158018902</t>
        </is>
      </c>
      <c r="D648" s="4" t="inlineStr">
        <is>
          <t>158018902-brilliantblue</t>
        </is>
      </c>
      <c r="E648" s="4" t="inlineStr">
        <is>
          <t>Define Jacket *Nulu™ BLK 0</t>
        </is>
      </c>
      <c r="F648" s="4" t="inlineStr">
        <is>
          <t>$128.00</t>
        </is>
      </c>
      <c r="G648" s="4" t="inlineStr">
        <is>
          <t>$64.00</t>
        </is>
      </c>
      <c r="H648" s="4" t="inlineStr">
        <is>
          <t>Brilliant Blue</t>
        </is>
      </c>
      <c r="I648" s="4">
        <f>IMAGE("https://images.lululemon.com/is/image/lululemon/33190",1)</f>
        <v/>
      </c>
      <c r="J648" s="4" t="inlineStr">
        <is>
          <t>12</t>
        </is>
      </c>
      <c r="K648" s="4" t="inlineStr">
        <is>
          <t>44/12475</t>
        </is>
      </c>
      <c r="L648" s="4" t="inlineStr">
        <is>
          <t>Yes</t>
        </is>
      </c>
      <c r="M648" s="4" t="inlineStr">
        <is>
          <t>Up for adventure and ready for downtime. Our fan-favourite Define Jacket has a feel-good fit that can do it all.</t>
        </is>
      </c>
      <c r="N648" s="4" t="inlineStr">
        <is>
          <t>Define-Jacket-Nulu</t>
        </is>
      </c>
      <c r="O648" s="4" t="inlineStr">
        <is>
          <t>Athletic Jackets, Zip Up Sweatshirts</t>
        </is>
      </c>
    </row>
    <row r="649" ht="80" customHeight="1">
      <c r="A649" s="7">
        <f>IMAGE("https://images.lululemon.com/is/image/lululemon/LW3ID8S_031382_1?wid=320&amp;op_usm=0.8",1)</f>
        <v/>
      </c>
      <c r="B649" s="7" t="inlineStr">
        <is>
          <t>Define Jacket *Nulu</t>
        </is>
      </c>
      <c r="C649" s="7" t="inlineStr">
        <is>
          <t>153101020</t>
        </is>
      </c>
      <c r="D649" s="7" t="inlineStr">
        <is>
          <t>153101020-truenavy</t>
        </is>
      </c>
      <c r="E649" s="7" t="inlineStr">
        <is>
          <t>Define Jacket *Nulu™ BLK 0</t>
        </is>
      </c>
      <c r="F649" s="7" t="inlineStr">
        <is>
          <t>$128.00</t>
        </is>
      </c>
      <c r="G649" s="7" t="inlineStr">
        <is>
          <t>$64.00</t>
        </is>
      </c>
      <c r="H649" s="7" t="inlineStr">
        <is>
          <t>True Navy</t>
        </is>
      </c>
      <c r="I649" s="7">
        <f>IMAGE("https://images.lululemon.com/is/image/lululemon/31382",1)</f>
        <v/>
      </c>
      <c r="J649" s="7" t="inlineStr">
        <is>
          <t>6</t>
        </is>
      </c>
      <c r="K649" s="7" t="inlineStr">
        <is>
          <t>27/12475</t>
        </is>
      </c>
      <c r="L649" s="7" t="inlineStr">
        <is>
          <t>Yes</t>
        </is>
      </c>
      <c r="M649" s="7" t="inlineStr">
        <is>
          <t>Up for adventure and ready for downtime. Our fan-favourite Define Jacket has a feel-good fit that can do it all.</t>
        </is>
      </c>
      <c r="N649" s="7" t="inlineStr">
        <is>
          <t>Define-Jacket-Nulu</t>
        </is>
      </c>
      <c r="O649" s="7" t="inlineStr">
        <is>
          <t>Athletic Jackets, Zip Up Sweatshirts</t>
        </is>
      </c>
    </row>
    <row r="650" ht="80" customHeight="1">
      <c r="A650" s="4">
        <f>IMAGE("https://images.lululemon.com/is/image/lululemon/LW3ID8S_031382_1?wid=320&amp;op_usm=0.8",1)</f>
        <v/>
      </c>
      <c r="B650" s="4" t="inlineStr">
        <is>
          <t>Define Jacket *Nulu</t>
        </is>
      </c>
      <c r="C650" s="4" t="inlineStr">
        <is>
          <t>153101026</t>
        </is>
      </c>
      <c r="D650" s="4" t="inlineStr">
        <is>
          <t>153101026-truenavy</t>
        </is>
      </c>
      <c r="E650" s="4" t="inlineStr">
        <is>
          <t>Define Jacket *Nulu™ BLK 0</t>
        </is>
      </c>
      <c r="F650" s="4" t="inlineStr">
        <is>
          <t>$128.00</t>
        </is>
      </c>
      <c r="G650" s="4" t="inlineStr">
        <is>
          <t>$64.00</t>
        </is>
      </c>
      <c r="H650" s="4" t="inlineStr">
        <is>
          <t>True Navy</t>
        </is>
      </c>
      <c r="I650" s="4">
        <f>IMAGE("https://images.lululemon.com/is/image/lululemon/31382",1)</f>
        <v/>
      </c>
      <c r="J650" s="4" t="inlineStr">
        <is>
          <t>8</t>
        </is>
      </c>
      <c r="K650" s="4" t="inlineStr">
        <is>
          <t>41/12475</t>
        </is>
      </c>
      <c r="L650" s="4" t="inlineStr">
        <is>
          <t>Yes</t>
        </is>
      </c>
      <c r="M650" s="4" t="inlineStr">
        <is>
          <t>Up for adventure and ready for downtime. Our fan-favourite Define Jacket has a feel-good fit that can do it all.</t>
        </is>
      </c>
      <c r="N650" s="4" t="inlineStr">
        <is>
          <t>Define-Jacket-Nulu</t>
        </is>
      </c>
      <c r="O650" s="4" t="inlineStr">
        <is>
          <t>Athletic Jackets, Zip Up Sweatshirts</t>
        </is>
      </c>
    </row>
    <row r="651" ht="80" customHeight="1">
      <c r="A651" s="7">
        <f>IMAGE("https://images.lululemon.com/is/image/lululemon/LW3ID8S_031382_1?wid=320&amp;op_usm=0.8",1)</f>
        <v/>
      </c>
      <c r="B651" s="7" t="inlineStr">
        <is>
          <t>Define Jacket *Nulu</t>
        </is>
      </c>
      <c r="C651" s="7" t="inlineStr">
        <is>
          <t>153100966</t>
        </is>
      </c>
      <c r="D651" s="7" t="inlineStr">
        <is>
          <t>153100966-truenavy</t>
        </is>
      </c>
      <c r="E651" s="7" t="inlineStr">
        <is>
          <t>Define Jacket *Nulu™ BLK 0</t>
        </is>
      </c>
      <c r="F651" s="7" t="inlineStr">
        <is>
          <t>$128.00</t>
        </is>
      </c>
      <c r="G651" s="7" t="inlineStr">
        <is>
          <t>$64.00</t>
        </is>
      </c>
      <c r="H651" s="7" t="inlineStr">
        <is>
          <t>True Navy</t>
        </is>
      </c>
      <c r="I651" s="7">
        <f>IMAGE("https://images.lululemon.com/is/image/lululemon/31382",1)</f>
        <v/>
      </c>
      <c r="J651" s="7" t="inlineStr">
        <is>
          <t>10</t>
        </is>
      </c>
      <c r="K651" s="7" t="inlineStr">
        <is>
          <t>19/12475</t>
        </is>
      </c>
      <c r="L651" s="7" t="inlineStr">
        <is>
          <t>Yes</t>
        </is>
      </c>
      <c r="M651" s="7" t="inlineStr">
        <is>
          <t>Up for adventure and ready for downtime. Our fan-favourite Define Jacket has a feel-good fit that can do it all.</t>
        </is>
      </c>
      <c r="N651" s="7" t="inlineStr">
        <is>
          <t>Define-Jacket-Nulu</t>
        </is>
      </c>
      <c r="O651" s="7" t="inlineStr">
        <is>
          <t>Athletic Jackets, Zip Up Sweatshirts</t>
        </is>
      </c>
    </row>
    <row r="652" ht="80" customHeight="1">
      <c r="A652" s="6">
        <f>IMAGE("https://images.lululemon.com/is/image/lululemon/LW3ID8S_031382_1?wid=320&amp;op_usm=0.8",1)</f>
        <v/>
      </c>
      <c r="B652" s="6" t="inlineStr">
        <is>
          <t>Define Jacket *Nulu</t>
        </is>
      </c>
      <c r="C652" s="6" t="inlineStr">
        <is>
          <t>153100972</t>
        </is>
      </c>
      <c r="D652" s="6" t="inlineStr">
        <is>
          <t>153100972-truenavy</t>
        </is>
      </c>
      <c r="E652" s="6" t="inlineStr">
        <is>
          <t>Define Jacket *Nulu™ BLK 0</t>
        </is>
      </c>
      <c r="F652" s="6" t="inlineStr">
        <is>
          <t>$128.00</t>
        </is>
      </c>
      <c r="G652" s="6" t="inlineStr">
        <is>
          <t>$64.00</t>
        </is>
      </c>
      <c r="H652" s="6" t="inlineStr">
        <is>
          <t>True Navy</t>
        </is>
      </c>
      <c r="I652" s="6">
        <f>IMAGE("https://images.lululemon.com/is/image/lululemon/31382",1)</f>
        <v/>
      </c>
      <c r="J652" s="6" t="inlineStr">
        <is>
          <t>12</t>
        </is>
      </c>
      <c r="K652" s="6" t="inlineStr">
        <is>
          <t>28/12475</t>
        </is>
      </c>
      <c r="L652" s="6" t="inlineStr">
        <is>
          <t>Yes</t>
        </is>
      </c>
      <c r="M652" s="6" t="inlineStr">
        <is>
          <t>Up for adventure and ready for downtime. Our fan-favourite Define Jacket has a feel-good fit that can do it all.</t>
        </is>
      </c>
      <c r="N652" s="6" t="inlineStr">
        <is>
          <t>Define-Jacket-Nulu</t>
        </is>
      </c>
      <c r="O652" s="6" t="inlineStr">
        <is>
          <t>Athletic Jackets, Zip Up Sweatshirts</t>
        </is>
      </c>
    </row>
    <row r="653" ht="80" customHeight="1">
      <c r="A653" s="7">
        <f>IMAGE("https://images.lululemon.com/is/image/lululemon/LU9BU3S_0002_1?wid=320&amp;op_usm=0.8",1)</f>
        <v/>
      </c>
      <c r="B653" s="7" t="inlineStr">
        <is>
          <t>Fast and Free Running Hat *WovenAir</t>
        </is>
      </c>
      <c r="C653" s="7" t="inlineStr">
        <is>
          <t>153575604</t>
        </is>
      </c>
      <c r="D653" s="7" t="inlineStr">
        <is>
          <t>153575604-white</t>
        </is>
      </c>
      <c r="E653" s="7" t="inlineStr">
        <is>
          <t>Fast and Free Run Hat *WovenAir™ WHT S/M</t>
        </is>
      </c>
      <c r="F653" s="7" t="inlineStr">
        <is>
          <t>$38.00</t>
        </is>
      </c>
      <c r="G653" s="7" t="inlineStr">
        <is>
          <t>$19.00</t>
        </is>
      </c>
      <c r="H653" s="7" t="inlineStr">
        <is>
          <t>White</t>
        </is>
      </c>
      <c r="I653" s="7">
        <f>IMAGE("https://images.lululemon.com/is/image/lululemon/0002",1)</f>
        <v/>
      </c>
      <c r="J653" s="7" t="inlineStr">
        <is>
          <t>S/M</t>
        </is>
      </c>
      <c r="K653" s="7" t="inlineStr">
        <is>
          <t>335/2257</t>
        </is>
      </c>
      <c r="L653" s="7" t="inlineStr">
        <is>
          <t>Yes</t>
        </is>
      </c>
      <c r="M653" s="7" t="inlineStr">
        <is>
          <t>Short jogs, five mile sprints, or full-on marathons—whatever distance you're running, this lightweight hat provides shade and comfortable ventilation.</t>
        </is>
      </c>
      <c r="N653" s="7" t="inlineStr">
        <is>
          <t>Fast-and-Free-Running-Hat-WovenAir</t>
        </is>
      </c>
      <c r="O653" s="7" t="inlineStr">
        <is>
          <t>Caps</t>
        </is>
      </c>
    </row>
    <row r="654" ht="80" customHeight="1">
      <c r="A654" s="4">
        <f>IMAGE("https://images.lululemon.com/is/image/lululemon/LU9BU3S_0002_1?wid=320&amp;op_usm=0.8",1)</f>
        <v/>
      </c>
      <c r="B654" s="4" t="inlineStr">
        <is>
          <t>Fast and Free Running Hat *WovenAir</t>
        </is>
      </c>
      <c r="C654" s="4" t="inlineStr">
        <is>
          <t>153575602</t>
        </is>
      </c>
      <c r="D654" s="4" t="inlineStr">
        <is>
          <t>153575602-white</t>
        </is>
      </c>
      <c r="E654" s="4" t="inlineStr">
        <is>
          <t>Fast and Free Run Hat *WovenAir™ WHT S/M</t>
        </is>
      </c>
      <c r="F654" s="4" t="inlineStr">
        <is>
          <t>$38.00</t>
        </is>
      </c>
      <c r="G654" s="4" t="inlineStr">
        <is>
          <t>$19.00</t>
        </is>
      </c>
      <c r="H654" s="4" t="inlineStr">
        <is>
          <t>White</t>
        </is>
      </c>
      <c r="I654" s="4">
        <f>IMAGE("https://images.lululemon.com/is/image/lululemon/0002",1)</f>
        <v/>
      </c>
      <c r="J654" s="4" t="inlineStr">
        <is>
          <t>L/XL</t>
        </is>
      </c>
      <c r="K654" s="4" t="inlineStr">
        <is>
          <t>602/2257</t>
        </is>
      </c>
      <c r="L654" s="4" t="inlineStr">
        <is>
          <t>Yes</t>
        </is>
      </c>
      <c r="M654" s="4" t="inlineStr">
        <is>
          <t>Short jogs, five mile sprints, or full-on marathons—whatever distance you're running, this lightweight hat provides shade and comfortable ventilation.</t>
        </is>
      </c>
      <c r="N654" s="4" t="inlineStr">
        <is>
          <t>Fast-and-Free-Running-Hat-WovenAir</t>
        </is>
      </c>
      <c r="O654" s="4" t="inlineStr">
        <is>
          <t>Caps</t>
        </is>
      </c>
    </row>
    <row r="655" ht="80" customHeight="1">
      <c r="A655" s="7">
        <f>IMAGE("https://images.lululemon.com/is/image/lululemon/LU9BU3S_0002_1?wid=320&amp;op_usm=0.8",1)</f>
        <v/>
      </c>
      <c r="B655" s="7" t="inlineStr">
        <is>
          <t>Fast and Free Running Hat *WovenAir</t>
        </is>
      </c>
      <c r="C655" s="7" t="inlineStr">
        <is>
          <t>153108395</t>
        </is>
      </c>
      <c r="D655" s="7" t="inlineStr">
        <is>
          <t>153108395-black</t>
        </is>
      </c>
      <c r="E655" s="7" t="inlineStr">
        <is>
          <t>Fast and Free Run Hat *WovenAir™ WHT S/M</t>
        </is>
      </c>
      <c r="F655" s="7" t="inlineStr">
        <is>
          <t>$38.00</t>
        </is>
      </c>
      <c r="G655" s="7" t="inlineStr">
        <is>
          <t>$19.00</t>
        </is>
      </c>
      <c r="H655" s="7" t="inlineStr">
        <is>
          <t>Black</t>
        </is>
      </c>
      <c r="I655" s="7">
        <f>IMAGE("https://images.lululemon.com/is/image/lululemon/0001",1)</f>
        <v/>
      </c>
      <c r="J655" s="7" t="inlineStr">
        <is>
          <t>S/M</t>
        </is>
      </c>
      <c r="K655" s="7" t="inlineStr">
        <is>
          <t>554/2257</t>
        </is>
      </c>
      <c r="L655" s="7" t="inlineStr">
        <is>
          <t>Yes</t>
        </is>
      </c>
      <c r="M655" s="7" t="inlineStr">
        <is>
          <t>Short jogs, five mile sprints, or full-on marathons—whatever distance you're running, this lightweight hat provides shade and comfortable ventilation.</t>
        </is>
      </c>
      <c r="N655" s="7" t="inlineStr">
        <is>
          <t>Fast-and-Free-Running-Hat-WovenAir</t>
        </is>
      </c>
      <c r="O655" s="7" t="inlineStr">
        <is>
          <t>Caps</t>
        </is>
      </c>
    </row>
    <row r="656" ht="80" customHeight="1">
      <c r="A656" s="4">
        <f>IMAGE("https://images.lululemon.com/is/image/lululemon/LU9BU3S_0002_1?wid=320&amp;op_usm=0.8",1)</f>
        <v/>
      </c>
      <c r="B656" s="4" t="inlineStr">
        <is>
          <t>Fast and Free Running Hat *WovenAir</t>
        </is>
      </c>
      <c r="C656" s="4" t="inlineStr">
        <is>
          <t>153108375</t>
        </is>
      </c>
      <c r="D656" s="4" t="inlineStr">
        <is>
          <t>153108375-black</t>
        </is>
      </c>
      <c r="E656" s="4" t="inlineStr">
        <is>
          <t>Fast and Free Run Hat *WovenAir™ WHT S/M</t>
        </is>
      </c>
      <c r="F656" s="4" t="inlineStr">
        <is>
          <t>$38.00</t>
        </is>
      </c>
      <c r="G656" s="4" t="inlineStr">
        <is>
          <t>$19.00</t>
        </is>
      </c>
      <c r="H656" s="4" t="inlineStr">
        <is>
          <t>Black</t>
        </is>
      </c>
      <c r="I656" s="4">
        <f>IMAGE("https://images.lululemon.com/is/image/lululemon/0001",1)</f>
        <v/>
      </c>
      <c r="J656" s="4" t="inlineStr">
        <is>
          <t>L/XL</t>
        </is>
      </c>
      <c r="K656" s="4" t="inlineStr">
        <is>
          <t>544/2257</t>
        </is>
      </c>
      <c r="L656" s="4" t="inlineStr">
        <is>
          <t>Yes</t>
        </is>
      </c>
      <c r="M656" s="4" t="inlineStr">
        <is>
          <t>Short jogs, five mile sprints, or full-on marathons—whatever distance you're running, this lightweight hat provides shade and comfortable ventilation.</t>
        </is>
      </c>
      <c r="N656" s="4" t="inlineStr">
        <is>
          <t>Fast-and-Free-Running-Hat-WovenAir</t>
        </is>
      </c>
      <c r="O656" s="4" t="inlineStr">
        <is>
          <t>Caps</t>
        </is>
      </c>
    </row>
    <row r="657" ht="80" customHeight="1">
      <c r="A657" s="7">
        <f>IMAGE("https://images.lululemon.com/is/image/lululemon/LU9BU3S_0002_1?wid=320&amp;op_usm=0.8",1)</f>
        <v/>
      </c>
      <c r="B657" s="7" t="inlineStr">
        <is>
          <t>Fast and Free Running Hat *WovenAir</t>
        </is>
      </c>
      <c r="C657" s="7" t="inlineStr">
        <is>
          <t>154877537</t>
        </is>
      </c>
      <c r="D657" s="7" t="inlineStr">
        <is>
          <t>154877537-truenavy</t>
        </is>
      </c>
      <c r="E657" s="7" t="inlineStr">
        <is>
          <t>Fast and Free Run Hat *WovenAir™ WHT S/M</t>
        </is>
      </c>
      <c r="F657" s="7" t="inlineStr">
        <is>
          <t>$38.00</t>
        </is>
      </c>
      <c r="G657" s="7" t="inlineStr">
        <is>
          <t>$19.00</t>
        </is>
      </c>
      <c r="H657" s="7" t="inlineStr">
        <is>
          <t>True Navy</t>
        </is>
      </c>
      <c r="I657" s="7">
        <f>IMAGE("https://images.lululemon.com/is/image/lululemon/31382",1)</f>
        <v/>
      </c>
      <c r="J657" s="7" t="inlineStr">
        <is>
          <t>S/M</t>
        </is>
      </c>
      <c r="K657" s="7" t="inlineStr">
        <is>
          <t>74/2257</t>
        </is>
      </c>
      <c r="L657" s="7" t="inlineStr">
        <is>
          <t>Yes</t>
        </is>
      </c>
      <c r="M657" s="7" t="inlineStr">
        <is>
          <t>Short jogs, five mile sprints, or full-on marathons—whatever distance you're running, this lightweight hat provides shade and comfortable ventilation.</t>
        </is>
      </c>
      <c r="N657" s="7" t="inlineStr">
        <is>
          <t>Fast-and-Free-Running-Hat-WovenAir</t>
        </is>
      </c>
      <c r="O657" s="7" t="inlineStr">
        <is>
          <t>Caps</t>
        </is>
      </c>
    </row>
    <row r="658" ht="80" customHeight="1">
      <c r="A658" s="6">
        <f>IMAGE("https://images.lululemon.com/is/image/lululemon/LU9BU3S_0002_1?wid=320&amp;op_usm=0.8",1)</f>
        <v/>
      </c>
      <c r="B658" s="6" t="inlineStr">
        <is>
          <t>Fast and Free Running Hat *WovenAir</t>
        </is>
      </c>
      <c r="C658" s="6" t="inlineStr">
        <is>
          <t>154877515</t>
        </is>
      </c>
      <c r="D658" s="6" t="inlineStr">
        <is>
          <t>154877515-truenavy</t>
        </is>
      </c>
      <c r="E658" s="6" t="inlineStr">
        <is>
          <t>Fast and Free Run Hat *WovenAir™ WHT S/M</t>
        </is>
      </c>
      <c r="F658" s="6" t="inlineStr">
        <is>
          <t>$38.00</t>
        </is>
      </c>
      <c r="G658" s="6" t="inlineStr">
        <is>
          <t>$19.00</t>
        </is>
      </c>
      <c r="H658" s="6" t="inlineStr">
        <is>
          <t>True Navy</t>
        </is>
      </c>
      <c r="I658" s="6">
        <f>IMAGE("https://images.lululemon.com/is/image/lululemon/31382",1)</f>
        <v/>
      </c>
      <c r="J658" s="6" t="inlineStr">
        <is>
          <t>L/XL</t>
        </is>
      </c>
      <c r="K658" s="6" t="inlineStr">
        <is>
          <t>148/2257</t>
        </is>
      </c>
      <c r="L658" s="6" t="inlineStr">
        <is>
          <t>Yes</t>
        </is>
      </c>
      <c r="M658" s="6" t="inlineStr">
        <is>
          <t>Short jogs, five mile sprints, or full-on marathons—whatever distance you're running, this lightweight hat provides shade and comfortable ventilation.</t>
        </is>
      </c>
      <c r="N658" s="6" t="inlineStr">
        <is>
          <t>Fast-and-Free-Running-Hat-WovenAir</t>
        </is>
      </c>
      <c r="O658" s="6" t="inlineStr">
        <is>
          <t>Caps</t>
        </is>
      </c>
    </row>
    <row r="659" ht="80" customHeight="1">
      <c r="A659" s="7">
        <f>IMAGE("https://images.lululemon.com/is/image/lululemon/LW2EG5S_0001_1?wid=320&amp;op_usm=0.8",1)</f>
        <v/>
      </c>
      <c r="B659" s="7" t="inlineStr">
        <is>
          <t>FlexyFlex Strappy Yoga Bra *Light Support, A-C Cups</t>
        </is>
      </c>
      <c r="C659" s="7" t="inlineStr">
        <is>
          <t>156501157</t>
        </is>
      </c>
      <c r="D659" s="7" t="inlineStr">
        <is>
          <t>156501157-black</t>
        </is>
      </c>
      <c r="E659" s="7" t="inlineStr">
        <is>
          <t>FlexyFlex Strappy Yoga Bra A-C BLK XXS/XS</t>
        </is>
      </c>
      <c r="F659" s="7" t="inlineStr">
        <is>
          <t>$58.00</t>
        </is>
      </c>
      <c r="G659" s="7" t="inlineStr">
        <is>
          <t>$29.00</t>
        </is>
      </c>
      <c r="H659" s="7" t="inlineStr">
        <is>
          <t>Black</t>
        </is>
      </c>
      <c r="I659" s="7">
        <f>IMAGE("https://images.lululemon.com/is/image/lululemon/0001",1)</f>
        <v/>
      </c>
      <c r="J659" s="7" t="inlineStr">
        <is>
          <t>XXS/XS</t>
        </is>
      </c>
      <c r="K659" s="7" t="inlineStr">
        <is>
          <t>9/922</t>
        </is>
      </c>
      <c r="L659" s="7" t="inlineStr">
        <is>
          <t>Yes</t>
        </is>
      </c>
      <c r="M659" s="7" t="inlineStr">
        <is>
          <t>Flows through your practice, fluctuates with your cycle. We designed this yoga bra in super-soft, high-stretch fabric for a luxurious feel and a fit that's always comfortable.</t>
        </is>
      </c>
      <c r="N659" s="7" t="inlineStr">
        <is>
          <t>FlexyFlex-Strappy-Yoga-Bra-Light-AC-Cups</t>
        </is>
      </c>
      <c r="O659" s="7" t="inlineStr">
        <is>
          <t>Strappy Bras, Bralettes</t>
        </is>
      </c>
    </row>
    <row r="660" ht="80" customHeight="1">
      <c r="A660" s="4">
        <f>IMAGE("https://images.lululemon.com/is/image/lululemon/LW2EG5S_0001_1?wid=320&amp;op_usm=0.8",1)</f>
        <v/>
      </c>
      <c r="B660" s="4" t="inlineStr">
        <is>
          <t>FlexyFlex Strappy Yoga Bra *Light Support, A-C Cups</t>
        </is>
      </c>
      <c r="C660" s="4" t="inlineStr">
        <is>
          <t>158094317</t>
        </is>
      </c>
      <c r="D660" s="4" t="inlineStr">
        <is>
          <t>158094317-onyxgrey</t>
        </is>
      </c>
      <c r="E660" s="4" t="inlineStr">
        <is>
          <t>FlexyFlex Strappy Yoga Bra A-C BLK XXS/XS</t>
        </is>
      </c>
      <c r="F660" s="4" t="inlineStr">
        <is>
          <t>$58.00</t>
        </is>
      </c>
      <c r="G660" s="4" t="inlineStr">
        <is>
          <t>$29.00</t>
        </is>
      </c>
      <c r="H660" s="4" t="inlineStr">
        <is>
          <t>Onyx Grey</t>
        </is>
      </c>
      <c r="I660" s="4">
        <f>IMAGE("https://images.lululemon.com/is/image/lululemon/72760",1)</f>
        <v/>
      </c>
      <c r="J660" s="4" t="inlineStr">
        <is>
          <t>XXS/XS</t>
        </is>
      </c>
      <c r="K660" s="4" t="inlineStr">
        <is>
          <t>39/922</t>
        </is>
      </c>
      <c r="L660" s="4" t="inlineStr">
        <is>
          <t>Yes</t>
        </is>
      </c>
      <c r="M660" s="4" t="inlineStr">
        <is>
          <t>Flows through your practice, fluctuates with your cycle. We designed this yoga bra in super-soft, high-stretch fabric for a luxurious feel and a fit that's always comfortable.</t>
        </is>
      </c>
      <c r="N660" s="4" t="inlineStr">
        <is>
          <t>FlexyFlex-Strappy-Yoga-Bra-Light-AC-Cups</t>
        </is>
      </c>
      <c r="O660" s="4" t="inlineStr">
        <is>
          <t>Strappy Bras, Bralettes</t>
        </is>
      </c>
    </row>
    <row r="661" ht="80" customHeight="1">
      <c r="A661" s="7">
        <f>IMAGE("https://images.lululemon.com/is/image/lululemon/LW2EG5S_0001_1?wid=320&amp;op_usm=0.8",1)</f>
        <v/>
      </c>
      <c r="B661" s="7" t="inlineStr">
        <is>
          <t>FlexyFlex Strappy Yoga Bra *Light Support, A-C Cups</t>
        </is>
      </c>
      <c r="C661" s="7" t="inlineStr">
        <is>
          <t>158094310</t>
        </is>
      </c>
      <c r="D661" s="7" t="inlineStr">
        <is>
          <t>158094310-onyxgrey</t>
        </is>
      </c>
      <c r="E661" s="7" t="inlineStr">
        <is>
          <t>FlexyFlex Strappy Yoga Bra A-C BLK XXS/XS</t>
        </is>
      </c>
      <c r="F661" s="7" t="inlineStr">
        <is>
          <t>$58.00</t>
        </is>
      </c>
      <c r="G661" s="7" t="inlineStr">
        <is>
          <t>$29.00</t>
        </is>
      </c>
      <c r="H661" s="7" t="inlineStr">
        <is>
          <t>Onyx Grey</t>
        </is>
      </c>
      <c r="I661" s="7">
        <f>IMAGE("https://images.lululemon.com/is/image/lululemon/72760",1)</f>
        <v/>
      </c>
      <c r="J661" s="7" t="inlineStr">
        <is>
          <t>S/M</t>
        </is>
      </c>
      <c r="K661" s="7" t="inlineStr">
        <is>
          <t>85/922</t>
        </is>
      </c>
      <c r="L661" s="7" t="inlineStr">
        <is>
          <t>Yes</t>
        </is>
      </c>
      <c r="M661" s="7" t="inlineStr">
        <is>
          <t>Flows through your practice, fluctuates with your cycle. We designed this yoga bra in super-soft, high-stretch fabric for a luxurious feel and a fit that's always comfortable.</t>
        </is>
      </c>
      <c r="N661" s="7" t="inlineStr">
        <is>
          <t>FlexyFlex-Strappy-Yoga-Bra-Light-AC-Cups</t>
        </is>
      </c>
      <c r="O661" s="7" t="inlineStr">
        <is>
          <t>Strappy Bras, Bralettes</t>
        </is>
      </c>
    </row>
    <row r="662" ht="80" customHeight="1">
      <c r="A662" s="4">
        <f>IMAGE("https://images.lululemon.com/is/image/lululemon/LW2EG5S_0001_1?wid=320&amp;op_usm=0.8",1)</f>
        <v/>
      </c>
      <c r="B662" s="4" t="inlineStr">
        <is>
          <t>FlexyFlex Strappy Yoga Bra *Light Support, A-C Cups</t>
        </is>
      </c>
      <c r="C662" s="4" t="inlineStr">
        <is>
          <t>158094302</t>
        </is>
      </c>
      <c r="D662" s="4" t="inlineStr">
        <is>
          <t>158094302-onyxgrey</t>
        </is>
      </c>
      <c r="E662" s="4" t="inlineStr">
        <is>
          <t>FlexyFlex Strappy Yoga Bra A-C BLK XXS/XS</t>
        </is>
      </c>
      <c r="F662" s="4" t="inlineStr">
        <is>
          <t>$58.00</t>
        </is>
      </c>
      <c r="G662" s="4" t="inlineStr">
        <is>
          <t>$29.00</t>
        </is>
      </c>
      <c r="H662" s="4" t="inlineStr">
        <is>
          <t>Onyx Grey</t>
        </is>
      </c>
      <c r="I662" s="4">
        <f>IMAGE("https://images.lululemon.com/is/image/lululemon/72760",1)</f>
        <v/>
      </c>
      <c r="J662" s="4" t="inlineStr">
        <is>
          <t>L/XL</t>
        </is>
      </c>
      <c r="K662" s="4" t="inlineStr">
        <is>
          <t>39/922</t>
        </is>
      </c>
      <c r="L662" s="4" t="inlineStr">
        <is>
          <t>Yes</t>
        </is>
      </c>
      <c r="M662" s="4" t="inlineStr">
        <is>
          <t>Flows through your practice, fluctuates with your cycle. We designed this yoga bra in super-soft, high-stretch fabric for a luxurious feel and a fit that's always comfortable.</t>
        </is>
      </c>
      <c r="N662" s="4" t="inlineStr">
        <is>
          <t>FlexyFlex-Strappy-Yoga-Bra-Light-AC-Cups</t>
        </is>
      </c>
      <c r="O662" s="4" t="inlineStr">
        <is>
          <t>Strappy Bras, Bralettes</t>
        </is>
      </c>
    </row>
    <row r="663" ht="80" customHeight="1">
      <c r="A663" s="7">
        <f>IMAGE("https://images.lululemon.com/is/image/lululemon/LW2EG5S_0001_1?wid=320&amp;op_usm=0.8",1)</f>
        <v/>
      </c>
      <c r="B663" s="7" t="inlineStr">
        <is>
          <t>FlexyFlex Strappy Yoga Bra *Light Support, A-C Cups</t>
        </is>
      </c>
      <c r="C663" s="7" t="inlineStr">
        <is>
          <t>158019664</t>
        </is>
      </c>
      <c r="D663" s="7" t="inlineStr">
        <is>
          <t>158019664-brilliantblue</t>
        </is>
      </c>
      <c r="E663" s="7" t="inlineStr">
        <is>
          <t>FlexyFlex Strappy Yoga Bra A-C BLK XXS/XS</t>
        </is>
      </c>
      <c r="F663" s="7" t="inlineStr">
        <is>
          <t>$58.00</t>
        </is>
      </c>
      <c r="G663" s="7" t="inlineStr">
        <is>
          <t>$29.00</t>
        </is>
      </c>
      <c r="H663" s="7" t="inlineStr">
        <is>
          <t>Brilliant Blue</t>
        </is>
      </c>
      <c r="I663" s="7">
        <f>IMAGE("https://images.lululemon.com/is/image/lululemon/33190",1)</f>
        <v/>
      </c>
      <c r="J663" s="7" t="inlineStr">
        <is>
          <t>XXS/XS</t>
        </is>
      </c>
      <c r="K663" s="7" t="inlineStr">
        <is>
          <t>105/922</t>
        </is>
      </c>
      <c r="L663" s="7" t="inlineStr">
        <is>
          <t>Yes</t>
        </is>
      </c>
      <c r="M663" s="7" t="inlineStr">
        <is>
          <t>Flows through your practice, fluctuates with your cycle. We designed this yoga bra in super-soft, high-stretch fabric for a luxurious feel and a fit that's always comfortable.</t>
        </is>
      </c>
      <c r="N663" s="7" t="inlineStr">
        <is>
          <t>FlexyFlex-Strappy-Yoga-Bra-Light-AC-Cups</t>
        </is>
      </c>
      <c r="O663" s="7" t="inlineStr">
        <is>
          <t>Strappy Bras, Bralettes</t>
        </is>
      </c>
    </row>
    <row r="664" ht="80" customHeight="1">
      <c r="A664" s="4">
        <f>IMAGE("https://images.lululemon.com/is/image/lululemon/LW2EG5S_0001_1?wid=320&amp;op_usm=0.8",1)</f>
        <v/>
      </c>
      <c r="B664" s="4" t="inlineStr">
        <is>
          <t>FlexyFlex Strappy Yoga Bra *Light Support, A-C Cups</t>
        </is>
      </c>
      <c r="C664" s="4" t="inlineStr">
        <is>
          <t>158019662</t>
        </is>
      </c>
      <c r="D664" s="4" t="inlineStr">
        <is>
          <t>158019662-brilliantblue</t>
        </is>
      </c>
      <c r="E664" s="4" t="inlineStr">
        <is>
          <t>FlexyFlex Strappy Yoga Bra A-C BLK XXS/XS</t>
        </is>
      </c>
      <c r="F664" s="4" t="inlineStr">
        <is>
          <t>$58.00</t>
        </is>
      </c>
      <c r="G664" s="4" t="inlineStr">
        <is>
          <t>$29.00</t>
        </is>
      </c>
      <c r="H664" s="4" t="inlineStr">
        <is>
          <t>Brilliant Blue</t>
        </is>
      </c>
      <c r="I664" s="4">
        <f>IMAGE("https://images.lululemon.com/is/image/lululemon/33190",1)</f>
        <v/>
      </c>
      <c r="J664" s="4" t="inlineStr">
        <is>
          <t>S/M</t>
        </is>
      </c>
      <c r="K664" s="4" t="inlineStr">
        <is>
          <t>201/922</t>
        </is>
      </c>
      <c r="L664" s="4" t="inlineStr">
        <is>
          <t>Yes</t>
        </is>
      </c>
      <c r="M664" s="4" t="inlineStr">
        <is>
          <t>Flows through your practice, fluctuates with your cycle. We designed this yoga bra in super-soft, high-stretch fabric for a luxurious feel and a fit that's always comfortable.</t>
        </is>
      </c>
      <c r="N664" s="4" t="inlineStr">
        <is>
          <t>FlexyFlex-Strappy-Yoga-Bra-Light-AC-Cups</t>
        </is>
      </c>
      <c r="O664" s="4" t="inlineStr">
        <is>
          <t>Strappy Bras, Bralettes</t>
        </is>
      </c>
    </row>
    <row r="665" ht="80" customHeight="1">
      <c r="A665" s="7">
        <f>IMAGE("https://images.lululemon.com/is/image/lululemon/LW2EG5S_0001_1?wid=320&amp;op_usm=0.8",1)</f>
        <v/>
      </c>
      <c r="B665" s="7" t="inlineStr">
        <is>
          <t>FlexyFlex Strappy Yoga Bra *Light Support, A-C Cups</t>
        </is>
      </c>
      <c r="C665" s="7" t="inlineStr">
        <is>
          <t>158019661</t>
        </is>
      </c>
      <c r="D665" s="7" t="inlineStr">
        <is>
          <t>158019661-brilliantblue</t>
        </is>
      </c>
      <c r="E665" s="7" t="inlineStr">
        <is>
          <t>FlexyFlex Strappy Yoga Bra A-C BLK XXS/XS</t>
        </is>
      </c>
      <c r="F665" s="7" t="inlineStr">
        <is>
          <t>$58.00</t>
        </is>
      </c>
      <c r="G665" s="7" t="inlineStr">
        <is>
          <t>$29.00</t>
        </is>
      </c>
      <c r="H665" s="7" t="inlineStr">
        <is>
          <t>Brilliant Blue</t>
        </is>
      </c>
      <c r="I665" s="7">
        <f>IMAGE("https://images.lululemon.com/is/image/lululemon/33190",1)</f>
        <v/>
      </c>
      <c r="J665" s="7" t="inlineStr">
        <is>
          <t>L/XL</t>
        </is>
      </c>
      <c r="K665" s="7" t="inlineStr">
        <is>
          <t>98/922</t>
        </is>
      </c>
      <c r="L665" s="7" t="inlineStr">
        <is>
          <t>Yes</t>
        </is>
      </c>
      <c r="M665" s="7" t="inlineStr">
        <is>
          <t>Flows through your practice, fluctuates with your cycle. We designed this yoga bra in super-soft, high-stretch fabric for a luxurious feel and a fit that's always comfortable.</t>
        </is>
      </c>
      <c r="N665" s="7" t="inlineStr">
        <is>
          <t>FlexyFlex-Strappy-Yoga-Bra-Light-AC-Cups</t>
        </is>
      </c>
      <c r="O665" s="7" t="inlineStr">
        <is>
          <t>Strappy Bras, Bralettes</t>
        </is>
      </c>
    </row>
    <row r="666" ht="80" customHeight="1">
      <c r="A666" s="4">
        <f>IMAGE("https://images.lululemon.com/is/image/lululemon/LW2EG5S_0001_1?wid=320&amp;op_usm=0.8",1)</f>
        <v/>
      </c>
      <c r="B666" s="4" t="inlineStr">
        <is>
          <t>FlexyFlex Strappy Yoga Bra *Light Support, A-C Cups</t>
        </is>
      </c>
      <c r="C666" s="4" t="inlineStr">
        <is>
          <t>158094294</t>
        </is>
      </c>
      <c r="D666" s="4" t="inlineStr">
        <is>
          <t>158094294-atmosphericpurple</t>
        </is>
      </c>
      <c r="E666" s="4" t="inlineStr">
        <is>
          <t>FlexyFlex Strappy Yoga Bra A-C BLK XXS/XS</t>
        </is>
      </c>
      <c r="F666" s="4" t="inlineStr">
        <is>
          <t>$58.00</t>
        </is>
      </c>
      <c r="G666" s="4" t="inlineStr">
        <is>
          <t>$29.00</t>
        </is>
      </c>
      <c r="H666" s="4" t="inlineStr">
        <is>
          <t>ATMOSPHERIC PURPLE</t>
        </is>
      </c>
      <c r="I666" s="4">
        <f>IMAGE("https://images.lululemon.com/is/image/lululemon/63787",1)</f>
        <v/>
      </c>
      <c r="J666" s="4" t="inlineStr">
        <is>
          <t>XXS/XS</t>
        </is>
      </c>
      <c r="K666" s="4" t="inlineStr">
        <is>
          <t>58/922</t>
        </is>
      </c>
      <c r="L666" s="4" t="inlineStr">
        <is>
          <t>Yes</t>
        </is>
      </c>
      <c r="M666" s="4" t="inlineStr">
        <is>
          <t>Flows through your practice, fluctuates with your cycle. We designed this yoga bra in super-soft, high-stretch fabric for a luxurious feel and a fit that's always comfortable.</t>
        </is>
      </c>
      <c r="N666" s="4" t="inlineStr">
        <is>
          <t>FlexyFlex-Strappy-Yoga-Bra-Light-AC-Cups</t>
        </is>
      </c>
      <c r="O666" s="4" t="inlineStr">
        <is>
          <t>Strappy Bras, Bralettes</t>
        </is>
      </c>
    </row>
    <row r="667" ht="80" customHeight="1">
      <c r="A667" s="7">
        <f>IMAGE("https://images.lululemon.com/is/image/lululemon/LW2EG5S_0001_1?wid=320&amp;op_usm=0.8",1)</f>
        <v/>
      </c>
      <c r="B667" s="7" t="inlineStr">
        <is>
          <t>FlexyFlex Strappy Yoga Bra *Light Support, A-C Cups</t>
        </is>
      </c>
      <c r="C667" s="7" t="inlineStr">
        <is>
          <t>158094283</t>
        </is>
      </c>
      <c r="D667" s="7" t="inlineStr">
        <is>
          <t>158094283-atmosphericpurple</t>
        </is>
      </c>
      <c r="E667" s="7" t="inlineStr">
        <is>
          <t>FlexyFlex Strappy Yoga Bra A-C BLK XXS/XS</t>
        </is>
      </c>
      <c r="F667" s="7" t="inlineStr">
        <is>
          <t>$58.00</t>
        </is>
      </c>
      <c r="G667" s="7" t="inlineStr">
        <is>
          <t>$29.00</t>
        </is>
      </c>
      <c r="H667" s="7" t="inlineStr">
        <is>
          <t>ATMOSPHERIC PURPLE</t>
        </is>
      </c>
      <c r="I667" s="7">
        <f>IMAGE("https://images.lululemon.com/is/image/lululemon/63787",1)</f>
        <v/>
      </c>
      <c r="J667" s="7" t="inlineStr">
        <is>
          <t>S/M</t>
        </is>
      </c>
      <c r="K667" s="7" t="inlineStr">
        <is>
          <t>112/922</t>
        </is>
      </c>
      <c r="L667" s="7" t="inlineStr">
        <is>
          <t>Yes</t>
        </is>
      </c>
      <c r="M667" s="7" t="inlineStr">
        <is>
          <t>Flows through your practice, fluctuates with your cycle. We designed this yoga bra in super-soft, high-stretch fabric for a luxurious feel and a fit that's always comfortable.</t>
        </is>
      </c>
      <c r="N667" s="7" t="inlineStr">
        <is>
          <t>FlexyFlex-Strappy-Yoga-Bra-Light-AC-Cups</t>
        </is>
      </c>
      <c r="O667" s="7" t="inlineStr">
        <is>
          <t>Strappy Bras, Bralettes</t>
        </is>
      </c>
    </row>
    <row r="668" ht="80" customHeight="1">
      <c r="A668" s="4">
        <f>IMAGE("https://images.lululemon.com/is/image/lululemon/LW2EG5S_0001_1?wid=320&amp;op_usm=0.8",1)</f>
        <v/>
      </c>
      <c r="B668" s="4" t="inlineStr">
        <is>
          <t>FlexyFlex Strappy Yoga Bra *Light Support, A-C Cups</t>
        </is>
      </c>
      <c r="C668" s="4" t="inlineStr">
        <is>
          <t>158094271</t>
        </is>
      </c>
      <c r="D668" s="4" t="inlineStr">
        <is>
          <t>158094271-atmosphericpurple</t>
        </is>
      </c>
      <c r="E668" s="4" t="inlineStr">
        <is>
          <t>FlexyFlex Strappy Yoga Bra A-C BLK XXS/XS</t>
        </is>
      </c>
      <c r="F668" s="4" t="inlineStr">
        <is>
          <t>$58.00</t>
        </is>
      </c>
      <c r="G668" s="4" t="inlineStr">
        <is>
          <t>$29.00</t>
        </is>
      </c>
      <c r="H668" s="4" t="inlineStr">
        <is>
          <t>ATMOSPHERIC PURPLE</t>
        </is>
      </c>
      <c r="I668" s="4">
        <f>IMAGE("https://images.lululemon.com/is/image/lululemon/63787",1)</f>
        <v/>
      </c>
      <c r="J668" s="4" t="inlineStr">
        <is>
          <t>L/XL</t>
        </is>
      </c>
      <c r="K668" s="4" t="inlineStr">
        <is>
          <t>44/922</t>
        </is>
      </c>
      <c r="L668" s="4" t="inlineStr">
        <is>
          <t>Yes</t>
        </is>
      </c>
      <c r="M668" s="4" t="inlineStr">
        <is>
          <t>Flows through your practice, fluctuates with your cycle. We designed this yoga bra in super-soft, high-stretch fabric for a luxurious feel and a fit that's always comfortable.</t>
        </is>
      </c>
      <c r="N668" s="4" t="inlineStr">
        <is>
          <t>FlexyFlex-Strappy-Yoga-Bra-Light-AC-Cups</t>
        </is>
      </c>
      <c r="O668" s="4" t="inlineStr">
        <is>
          <t>Strappy Bras, Bralettes</t>
        </is>
      </c>
    </row>
    <row r="669" ht="80" customHeight="1">
      <c r="A669" s="7">
        <f>IMAGE("https://images.lululemon.com/is/image/lululemon/LW2EG5S_0001_1?wid=320&amp;op_usm=0.8",1)</f>
        <v/>
      </c>
      <c r="B669" s="7" t="inlineStr">
        <is>
          <t>FlexyFlex Strappy Yoga Bra *Light Support, A-C Cups</t>
        </is>
      </c>
      <c r="C669" s="7" t="inlineStr">
        <is>
          <t>158019665</t>
        </is>
      </c>
      <c r="D669" s="7" t="inlineStr">
        <is>
          <t>158019665-ashenrose</t>
        </is>
      </c>
      <c r="E669" s="7" t="inlineStr">
        <is>
          <t>FlexyFlex Strappy Yoga Bra A-C BLK XXS/XS</t>
        </is>
      </c>
      <c r="F669" s="7" t="inlineStr">
        <is>
          <t>$58.00</t>
        </is>
      </c>
      <c r="G669" s="7" t="inlineStr">
        <is>
          <t>$29.00</t>
        </is>
      </c>
      <c r="H669" s="7" t="inlineStr">
        <is>
          <t>Ashen Rose</t>
        </is>
      </c>
      <c r="I669" s="7">
        <f>IMAGE("https://images.lululemon.com/is/image/lululemon/45797",1)</f>
        <v/>
      </c>
      <c r="J669" s="7" t="inlineStr">
        <is>
          <t>XXS/XS</t>
        </is>
      </c>
      <c r="K669" s="7" t="inlineStr">
        <is>
          <t>34/922</t>
        </is>
      </c>
      <c r="L669" s="7" t="inlineStr">
        <is>
          <t>Yes</t>
        </is>
      </c>
      <c r="M669" s="7" t="inlineStr">
        <is>
          <t>Flows through your practice, fluctuates with your cycle. We designed this yoga bra in super-soft, high-stretch fabric for a luxurious feel and a fit that's always comfortable.</t>
        </is>
      </c>
      <c r="N669" s="7" t="inlineStr">
        <is>
          <t>FlexyFlex-Strappy-Yoga-Bra-Light-AC-Cups</t>
        </is>
      </c>
      <c r="O669" s="7" t="inlineStr">
        <is>
          <t>Strappy Bras, Bralettes</t>
        </is>
      </c>
    </row>
    <row r="670" ht="80" customHeight="1">
      <c r="A670" s="4">
        <f>IMAGE("https://images.lululemon.com/is/image/lululemon/LW2EG5S_0001_1?wid=320&amp;op_usm=0.8",1)</f>
        <v/>
      </c>
      <c r="B670" s="4" t="inlineStr">
        <is>
          <t>FlexyFlex Strappy Yoga Bra *Light Support, A-C Cups</t>
        </is>
      </c>
      <c r="C670" s="4" t="inlineStr">
        <is>
          <t>158019663</t>
        </is>
      </c>
      <c r="D670" s="4" t="inlineStr">
        <is>
          <t>158019663-ashenrose</t>
        </is>
      </c>
      <c r="E670" s="4" t="inlineStr">
        <is>
          <t>FlexyFlex Strappy Yoga Bra A-C BLK XXS/XS</t>
        </is>
      </c>
      <c r="F670" s="4" t="inlineStr">
        <is>
          <t>$58.00</t>
        </is>
      </c>
      <c r="G670" s="4" t="inlineStr">
        <is>
          <t>$29.00</t>
        </is>
      </c>
      <c r="H670" s="4" t="inlineStr">
        <is>
          <t>Ashen Rose</t>
        </is>
      </c>
      <c r="I670" s="4">
        <f>IMAGE("https://images.lululemon.com/is/image/lululemon/45797",1)</f>
        <v/>
      </c>
      <c r="J670" s="4" t="inlineStr">
        <is>
          <t>S/M</t>
        </is>
      </c>
      <c r="K670" s="4" t="inlineStr">
        <is>
          <t>67/922</t>
        </is>
      </c>
      <c r="L670" s="4" t="inlineStr">
        <is>
          <t>Yes</t>
        </is>
      </c>
      <c r="M670" s="4" t="inlineStr">
        <is>
          <t>Flows through your practice, fluctuates with your cycle. We designed this yoga bra in super-soft, high-stretch fabric for a luxurious feel and a fit that's always comfortable.</t>
        </is>
      </c>
      <c r="N670" s="4" t="inlineStr">
        <is>
          <t>FlexyFlex-Strappy-Yoga-Bra-Light-AC-Cups</t>
        </is>
      </c>
      <c r="O670" s="4" t="inlineStr">
        <is>
          <t>Strappy Bras, Bralettes</t>
        </is>
      </c>
    </row>
    <row r="671" ht="80" customHeight="1">
      <c r="A671" s="5">
        <f>IMAGE("https://images.lululemon.com/is/image/lululemon/LW2EG5S_0001_1?wid=320&amp;op_usm=0.8",1)</f>
        <v/>
      </c>
      <c r="B671" s="5" t="inlineStr">
        <is>
          <t>FlexyFlex Strappy Yoga Bra *Light Support, A-C Cups</t>
        </is>
      </c>
      <c r="C671" s="5" t="inlineStr">
        <is>
          <t>158019660</t>
        </is>
      </c>
      <c r="D671" s="5" t="inlineStr">
        <is>
          <t>158019660-ashenrose</t>
        </is>
      </c>
      <c r="E671" s="5" t="inlineStr">
        <is>
          <t>FlexyFlex Strappy Yoga Bra A-C BLK XXS/XS</t>
        </is>
      </c>
      <c r="F671" s="5" t="inlineStr">
        <is>
          <t>$58.00</t>
        </is>
      </c>
      <c r="G671" s="5" t="inlineStr">
        <is>
          <t>$29.00</t>
        </is>
      </c>
      <c r="H671" s="5" t="inlineStr">
        <is>
          <t>Ashen Rose</t>
        </is>
      </c>
      <c r="I671" s="5">
        <f>IMAGE("https://images.lululemon.com/is/image/lululemon/45797",1)</f>
        <v/>
      </c>
      <c r="J671" s="5" t="inlineStr">
        <is>
          <t>L/XL</t>
        </is>
      </c>
      <c r="K671" s="5" t="inlineStr">
        <is>
          <t>31/922</t>
        </is>
      </c>
      <c r="L671" s="5" t="inlineStr">
        <is>
          <t>Yes</t>
        </is>
      </c>
      <c r="M671" s="5" t="inlineStr">
        <is>
          <t>Flows through your practice, fluctuates with your cycle. We designed this yoga bra in super-soft, high-stretch fabric for a luxurious feel and a fit that's always comfortable.</t>
        </is>
      </c>
      <c r="N671" s="5" t="inlineStr">
        <is>
          <t>FlexyFlex-Strappy-Yoga-Bra-Light-AC-Cups</t>
        </is>
      </c>
      <c r="O671" s="5" t="inlineStr">
        <is>
          <t>Strappy Bras, Bralettes</t>
        </is>
      </c>
    </row>
    <row r="672" ht="80" customHeight="1">
      <c r="A672" s="4">
        <f>IMAGE("https://images.lululemon.com/is/image/lululemon/LW5HGFR_0001_1?wid=320&amp;op_usm=0.8",1)</f>
        <v/>
      </c>
      <c r="B672" s="4" t="inlineStr">
        <is>
          <t>lululemon Align™ High-Rise Jogger *Regular</t>
        </is>
      </c>
      <c r="C672" s="4" t="inlineStr">
        <is>
          <t>157704492</t>
        </is>
      </c>
      <c r="D672" s="4" t="inlineStr">
        <is>
          <t>157704492-sequoia</t>
        </is>
      </c>
      <c r="E672" s="4" t="inlineStr">
        <is>
          <t>lululemon Align™ HR Jogger *Regular SQUO 2</t>
        </is>
      </c>
      <c r="F672" s="4" t="inlineStr">
        <is>
          <t>$118.00</t>
        </is>
      </c>
      <c r="G672" s="4" t="inlineStr">
        <is>
          <t>$59.00</t>
        </is>
      </c>
      <c r="H672" s="4" t="inlineStr">
        <is>
          <t>Sequoia</t>
        </is>
      </c>
      <c r="I672" s="4">
        <f>IMAGE("https://images.lululemon.com/is/image/lululemon/41179",1)</f>
        <v/>
      </c>
      <c r="J672" s="4" t="inlineStr">
        <is>
          <t>2</t>
        </is>
      </c>
      <c r="K672" s="4" t="inlineStr">
        <is>
          <t>3/2075</t>
        </is>
      </c>
      <c r="L672" s="4" t="inlineStr">
        <is>
          <t>Yes</t>
        </is>
      </c>
      <c r="M672" s="4" t="inlineStr">
        <is>
          <t>When feeling nothing is everything. We updated our buttery-soft lululemon Align™ joggers to give you that classic jogger look with a roomier fit, shorter cuffs, and discreet hand pockets.</t>
        </is>
      </c>
      <c r="N672" s="4" t="inlineStr">
        <is>
          <t>lululemon-Align-High-Rise-Jogger-Regular</t>
        </is>
      </c>
      <c r="O672" s="4" t="inlineStr"/>
    </row>
    <row r="673" ht="80" customHeight="1">
      <c r="A673" s="7">
        <f>IMAGE("https://images.lululemon.com/is/image/lululemon/LW5HGFR_0001_1?wid=320&amp;op_usm=0.8",1)</f>
        <v/>
      </c>
      <c r="B673" s="7" t="inlineStr">
        <is>
          <t>lululemon Align™ High-Rise Jogger *Regular</t>
        </is>
      </c>
      <c r="C673" s="7" t="inlineStr">
        <is>
          <t>157704493</t>
        </is>
      </c>
      <c r="D673" s="7" t="inlineStr">
        <is>
          <t>157704493-sequoia</t>
        </is>
      </c>
      <c r="E673" s="7" t="inlineStr">
        <is>
          <t>lululemon Align™ HR Jogger *Regular SQUO 2</t>
        </is>
      </c>
      <c r="F673" s="7" t="inlineStr">
        <is>
          <t>$118.00</t>
        </is>
      </c>
      <c r="G673" s="7" t="inlineStr">
        <is>
          <t>$59.00</t>
        </is>
      </c>
      <c r="H673" s="7" t="inlineStr">
        <is>
          <t>Sequoia</t>
        </is>
      </c>
      <c r="I673" s="7">
        <f>IMAGE("https://images.lululemon.com/is/image/lululemon/41179",1)</f>
        <v/>
      </c>
      <c r="J673" s="7" t="inlineStr">
        <is>
          <t>4</t>
        </is>
      </c>
      <c r="K673" s="7" t="inlineStr">
        <is>
          <t>25/2075</t>
        </is>
      </c>
      <c r="L673" s="7" t="inlineStr">
        <is>
          <t>Yes</t>
        </is>
      </c>
      <c r="M673" s="7" t="inlineStr">
        <is>
          <t>When feeling nothing is everything. We updated our buttery-soft lululemon Align™ joggers to give you that classic jogger look with a roomier fit, shorter cuffs, and discreet hand pockets.</t>
        </is>
      </c>
      <c r="N673" s="7" t="inlineStr">
        <is>
          <t>lululemon-Align-High-Rise-Jogger-Regular</t>
        </is>
      </c>
      <c r="O673" s="7" t="inlineStr"/>
    </row>
    <row r="674" ht="80" customHeight="1">
      <c r="A674" s="4">
        <f>IMAGE("https://images.lululemon.com/is/image/lululemon/LW5HGFR_0001_1?wid=320&amp;op_usm=0.8",1)</f>
        <v/>
      </c>
      <c r="B674" s="4" t="inlineStr">
        <is>
          <t>lululemon Align™ High-Rise Jogger *Regular</t>
        </is>
      </c>
      <c r="C674" s="4" t="inlineStr">
        <is>
          <t>157704494</t>
        </is>
      </c>
      <c r="D674" s="4" t="inlineStr">
        <is>
          <t>157704494-sequoia</t>
        </is>
      </c>
      <c r="E674" s="4" t="inlineStr">
        <is>
          <t>lululemon Align™ HR Jogger *Regular SQUO 2</t>
        </is>
      </c>
      <c r="F674" s="4" t="inlineStr">
        <is>
          <t>$118.00</t>
        </is>
      </c>
      <c r="G674" s="4" t="inlineStr">
        <is>
          <t>$59.00</t>
        </is>
      </c>
      <c r="H674" s="4" t="inlineStr">
        <is>
          <t>Sequoia</t>
        </is>
      </c>
      <c r="I674" s="4">
        <f>IMAGE("https://images.lululemon.com/is/image/lululemon/41179",1)</f>
        <v/>
      </c>
      <c r="J674" s="4" t="inlineStr">
        <is>
          <t>6</t>
        </is>
      </c>
      <c r="K674" s="4" t="inlineStr">
        <is>
          <t>7/2075</t>
        </is>
      </c>
      <c r="L674" s="4" t="inlineStr">
        <is>
          <t>Yes</t>
        </is>
      </c>
      <c r="M674" s="4" t="inlineStr">
        <is>
          <t>When feeling nothing is everything. We updated our buttery-soft lululemon Align™ joggers to give you that classic jogger look with a roomier fit, shorter cuffs, and discreet hand pockets.</t>
        </is>
      </c>
      <c r="N674" s="4" t="inlineStr">
        <is>
          <t>lululemon-Align-High-Rise-Jogger-Regular</t>
        </is>
      </c>
      <c r="O674" s="4" t="inlineStr"/>
    </row>
    <row r="675" ht="80" customHeight="1">
      <c r="A675" s="7">
        <f>IMAGE("https://images.lululemon.com/is/image/lululemon/LW5HGFR_0001_1?wid=320&amp;op_usm=0.8",1)</f>
        <v/>
      </c>
      <c r="B675" s="7" t="inlineStr">
        <is>
          <t>lululemon Align™ High-Rise Jogger *Regular</t>
        </is>
      </c>
      <c r="C675" s="7" t="inlineStr">
        <is>
          <t>157704489</t>
        </is>
      </c>
      <c r="D675" s="7" t="inlineStr">
        <is>
          <t>157704489-sequoia</t>
        </is>
      </c>
      <c r="E675" s="7" t="inlineStr">
        <is>
          <t>lululemon Align™ HR Jogger *Regular SQUO 2</t>
        </is>
      </c>
      <c r="F675" s="7" t="inlineStr">
        <is>
          <t>$118.00</t>
        </is>
      </c>
      <c r="G675" s="7" t="inlineStr">
        <is>
          <t>$59.00</t>
        </is>
      </c>
      <c r="H675" s="7" t="inlineStr">
        <is>
          <t>Sequoia</t>
        </is>
      </c>
      <c r="I675" s="7">
        <f>IMAGE("https://images.lululemon.com/is/image/lululemon/41179",1)</f>
        <v/>
      </c>
      <c r="J675" s="7" t="inlineStr">
        <is>
          <t>10</t>
        </is>
      </c>
      <c r="K675" s="7" t="inlineStr">
        <is>
          <t>2/2075</t>
        </is>
      </c>
      <c r="L675" s="7" t="inlineStr">
        <is>
          <t>Yes</t>
        </is>
      </c>
      <c r="M675" s="7" t="inlineStr">
        <is>
          <t>When feeling nothing is everything. We updated our buttery-soft lululemon Align™ joggers to give you that classic jogger look with a roomier fit, shorter cuffs, and discreet hand pockets.</t>
        </is>
      </c>
      <c r="N675" s="7" t="inlineStr">
        <is>
          <t>lululemon-Align-High-Rise-Jogger-Regular</t>
        </is>
      </c>
      <c r="O675" s="7" t="inlineStr"/>
    </row>
    <row r="676" ht="80" customHeight="1">
      <c r="A676" s="4">
        <f>IMAGE("https://images.lululemon.com/is/image/lululemon/LW5HGFR_0001_1?wid=320&amp;op_usm=0.8",1)</f>
        <v/>
      </c>
      <c r="B676" s="4" t="inlineStr">
        <is>
          <t>lululemon Align™ High-Rise Jogger *Regular</t>
        </is>
      </c>
      <c r="C676" s="4" t="inlineStr">
        <is>
          <t>158094953</t>
        </is>
      </c>
      <c r="D676" s="4" t="inlineStr">
        <is>
          <t>158094953-black</t>
        </is>
      </c>
      <c r="E676" s="4" t="inlineStr">
        <is>
          <t>lululemon Align™ HR Jogger *Regular SQUO 2</t>
        </is>
      </c>
      <c r="F676" s="4" t="inlineStr">
        <is>
          <t>$118.00</t>
        </is>
      </c>
      <c r="G676" s="4" t="inlineStr">
        <is>
          <t>$59.00</t>
        </is>
      </c>
      <c r="H676" s="4" t="inlineStr">
        <is>
          <t>Black</t>
        </is>
      </c>
      <c r="I676" s="4">
        <f>IMAGE("https://images.lululemon.com/is/image/lululemon/0001",1)</f>
        <v/>
      </c>
      <c r="J676" s="4" t="inlineStr">
        <is>
          <t>2</t>
        </is>
      </c>
      <c r="K676" s="4" t="inlineStr">
        <is>
          <t>98/2075</t>
        </is>
      </c>
      <c r="L676" s="4" t="inlineStr">
        <is>
          <t>Yes</t>
        </is>
      </c>
      <c r="M676" s="4" t="inlineStr">
        <is>
          <t>When feeling nothing is everything. We updated our buttery-soft lululemon Align™ joggers to give you that classic jogger look with a roomier fit, shorter cuffs, and discreet hand pockets.</t>
        </is>
      </c>
      <c r="N676" s="4" t="inlineStr">
        <is>
          <t>lululemon-Align-High-Rise-Jogger-Regular</t>
        </is>
      </c>
      <c r="O676" s="4" t="inlineStr"/>
    </row>
    <row r="677" ht="80" customHeight="1">
      <c r="A677" s="7">
        <f>IMAGE("https://images.lululemon.com/is/image/lululemon/LW5HGFR_0001_1?wid=320&amp;op_usm=0.8",1)</f>
        <v/>
      </c>
      <c r="B677" s="7" t="inlineStr">
        <is>
          <t>lululemon Align™ High-Rise Jogger *Regular</t>
        </is>
      </c>
      <c r="C677" s="7" t="inlineStr">
        <is>
          <t>158094958</t>
        </is>
      </c>
      <c r="D677" s="7" t="inlineStr">
        <is>
          <t>158094958-black</t>
        </is>
      </c>
      <c r="E677" s="7" t="inlineStr">
        <is>
          <t>lululemon Align™ HR Jogger *Regular SQUO 2</t>
        </is>
      </c>
      <c r="F677" s="7" t="inlineStr">
        <is>
          <t>$118.00</t>
        </is>
      </c>
      <c r="G677" s="7" t="inlineStr">
        <is>
          <t>$59.00</t>
        </is>
      </c>
      <c r="H677" s="7" t="inlineStr">
        <is>
          <t>Black</t>
        </is>
      </c>
      <c r="I677" s="7">
        <f>IMAGE("https://images.lululemon.com/is/image/lululemon/0001",1)</f>
        <v/>
      </c>
      <c r="J677" s="7" t="inlineStr">
        <is>
          <t>4</t>
        </is>
      </c>
      <c r="K677" s="7" t="inlineStr">
        <is>
          <t>320/2075</t>
        </is>
      </c>
      <c r="L677" s="7" t="inlineStr">
        <is>
          <t>Yes</t>
        </is>
      </c>
      <c r="M677" s="7" t="inlineStr">
        <is>
          <t>When feeling nothing is everything. We updated our buttery-soft lululemon Align™ joggers to give you that classic jogger look with a roomier fit, shorter cuffs, and discreet hand pockets.</t>
        </is>
      </c>
      <c r="N677" s="7" t="inlineStr">
        <is>
          <t>lululemon-Align-High-Rise-Jogger-Regular</t>
        </is>
      </c>
      <c r="O677" s="7" t="inlineStr"/>
    </row>
    <row r="678" ht="80" customHeight="1">
      <c r="A678" s="4">
        <f>IMAGE("https://images.lululemon.com/is/image/lululemon/LW5HGFR_0001_1?wid=320&amp;op_usm=0.8",1)</f>
        <v/>
      </c>
      <c r="B678" s="4" t="inlineStr">
        <is>
          <t>lululemon Align™ High-Rise Jogger *Regular</t>
        </is>
      </c>
      <c r="C678" s="4" t="inlineStr">
        <is>
          <t>158094963</t>
        </is>
      </c>
      <c r="D678" s="4" t="inlineStr">
        <is>
          <t>158094963-black</t>
        </is>
      </c>
      <c r="E678" s="4" t="inlineStr">
        <is>
          <t>lululemon Align™ HR Jogger *Regular SQUO 2</t>
        </is>
      </c>
      <c r="F678" s="4" t="inlineStr">
        <is>
          <t>$118.00</t>
        </is>
      </c>
      <c r="G678" s="4" t="inlineStr">
        <is>
          <t>$59.00</t>
        </is>
      </c>
      <c r="H678" s="4" t="inlineStr">
        <is>
          <t>Black</t>
        </is>
      </c>
      <c r="I678" s="4">
        <f>IMAGE("https://images.lululemon.com/is/image/lululemon/0001",1)</f>
        <v/>
      </c>
      <c r="J678" s="4" t="inlineStr">
        <is>
          <t>6</t>
        </is>
      </c>
      <c r="K678" s="4" t="inlineStr">
        <is>
          <t>337/2075</t>
        </is>
      </c>
      <c r="L678" s="4" t="inlineStr">
        <is>
          <t>Yes</t>
        </is>
      </c>
      <c r="M678" s="4" t="inlineStr">
        <is>
          <t>When feeling nothing is everything. We updated our buttery-soft lululemon Align™ joggers to give you that classic jogger look with a roomier fit, shorter cuffs, and discreet hand pockets.</t>
        </is>
      </c>
      <c r="N678" s="4" t="inlineStr">
        <is>
          <t>lululemon-Align-High-Rise-Jogger-Regular</t>
        </is>
      </c>
      <c r="O678" s="4" t="inlineStr"/>
    </row>
    <row r="679" ht="80" customHeight="1">
      <c r="A679" s="7">
        <f>IMAGE("https://images.lululemon.com/is/image/lululemon/LW5HGFR_0001_1?wid=320&amp;op_usm=0.8",1)</f>
        <v/>
      </c>
      <c r="B679" s="7" t="inlineStr">
        <is>
          <t>lululemon Align™ High-Rise Jogger *Regular</t>
        </is>
      </c>
      <c r="C679" s="7" t="inlineStr">
        <is>
          <t>158094967</t>
        </is>
      </c>
      <c r="D679" s="7" t="inlineStr">
        <is>
          <t>158094967-black</t>
        </is>
      </c>
      <c r="E679" s="7" t="inlineStr">
        <is>
          <t>lululemon Align™ HR Jogger *Regular SQUO 2</t>
        </is>
      </c>
      <c r="F679" s="7" t="inlineStr">
        <is>
          <t>$118.00</t>
        </is>
      </c>
      <c r="G679" s="7" t="inlineStr">
        <is>
          <t>$59.00</t>
        </is>
      </c>
      <c r="H679" s="7" t="inlineStr">
        <is>
          <t>Black</t>
        </is>
      </c>
      <c r="I679" s="7">
        <f>IMAGE("https://images.lululemon.com/is/image/lululemon/0001",1)</f>
        <v/>
      </c>
      <c r="J679" s="7" t="inlineStr">
        <is>
          <t>8</t>
        </is>
      </c>
      <c r="K679" s="7" t="inlineStr">
        <is>
          <t>233/2075</t>
        </is>
      </c>
      <c r="L679" s="7" t="inlineStr">
        <is>
          <t>Yes</t>
        </is>
      </c>
      <c r="M679" s="7" t="inlineStr">
        <is>
          <t>When feeling nothing is everything. We updated our buttery-soft lululemon Align™ joggers to give you that classic jogger look with a roomier fit, shorter cuffs, and discreet hand pockets.</t>
        </is>
      </c>
      <c r="N679" s="7" t="inlineStr">
        <is>
          <t>lululemon-Align-High-Rise-Jogger-Regular</t>
        </is>
      </c>
      <c r="O679" s="7" t="inlineStr"/>
    </row>
    <row r="680" ht="80" customHeight="1">
      <c r="A680" s="4">
        <f>IMAGE("https://images.lululemon.com/is/image/lululemon/LW5HGFR_0001_1?wid=320&amp;op_usm=0.8",1)</f>
        <v/>
      </c>
      <c r="B680" s="4" t="inlineStr">
        <is>
          <t>lululemon Align™ High-Rise Jogger *Regular</t>
        </is>
      </c>
      <c r="C680" s="4" t="inlineStr">
        <is>
          <t>158094938</t>
        </is>
      </c>
      <c r="D680" s="4" t="inlineStr">
        <is>
          <t>158094938-black</t>
        </is>
      </c>
      <c r="E680" s="4" t="inlineStr">
        <is>
          <t>lululemon Align™ HR Jogger *Regular SQUO 2</t>
        </is>
      </c>
      <c r="F680" s="4" t="inlineStr">
        <is>
          <t>$118.00</t>
        </is>
      </c>
      <c r="G680" s="4" t="inlineStr">
        <is>
          <t>$59.00</t>
        </is>
      </c>
      <c r="H680" s="4" t="inlineStr">
        <is>
          <t>Black</t>
        </is>
      </c>
      <c r="I680" s="4">
        <f>IMAGE("https://images.lululemon.com/is/image/lululemon/0001",1)</f>
        <v/>
      </c>
      <c r="J680" s="4" t="inlineStr">
        <is>
          <t>10</t>
        </is>
      </c>
      <c r="K680" s="4" t="inlineStr">
        <is>
          <t>137/2075</t>
        </is>
      </c>
      <c r="L680" s="4" t="inlineStr">
        <is>
          <t>Yes</t>
        </is>
      </c>
      <c r="M680" s="4" t="inlineStr">
        <is>
          <t>When feeling nothing is everything. We updated our buttery-soft lululemon Align™ joggers to give you that classic jogger look with a roomier fit, shorter cuffs, and discreet hand pockets.</t>
        </is>
      </c>
      <c r="N680" s="4" t="inlineStr">
        <is>
          <t>lululemon-Align-High-Rise-Jogger-Regular</t>
        </is>
      </c>
      <c r="O680" s="4" t="inlineStr"/>
    </row>
    <row r="681" ht="80" customHeight="1">
      <c r="A681" s="7">
        <f>IMAGE("https://images.lululemon.com/is/image/lululemon/LW5HGFR_0001_1?wid=320&amp;op_usm=0.8",1)</f>
        <v/>
      </c>
      <c r="B681" s="7" t="inlineStr">
        <is>
          <t>lululemon Align™ High-Rise Jogger *Regular</t>
        </is>
      </c>
      <c r="C681" s="7" t="inlineStr">
        <is>
          <t>158094942</t>
        </is>
      </c>
      <c r="D681" s="7" t="inlineStr">
        <is>
          <t>158094942-black</t>
        </is>
      </c>
      <c r="E681" s="7" t="inlineStr">
        <is>
          <t>lululemon Align™ HR Jogger *Regular SQUO 2</t>
        </is>
      </c>
      <c r="F681" s="7" t="inlineStr">
        <is>
          <t>$118.00</t>
        </is>
      </c>
      <c r="G681" s="7" t="inlineStr">
        <is>
          <t>$59.00</t>
        </is>
      </c>
      <c r="H681" s="7" t="inlineStr">
        <is>
          <t>Black</t>
        </is>
      </c>
      <c r="I681" s="7">
        <f>IMAGE("https://images.lululemon.com/is/image/lululemon/0001",1)</f>
        <v/>
      </c>
      <c r="J681" s="7" t="inlineStr">
        <is>
          <t>12</t>
        </is>
      </c>
      <c r="K681" s="7" t="inlineStr">
        <is>
          <t>54/2075</t>
        </is>
      </c>
      <c r="L681" s="7" t="inlineStr">
        <is>
          <t>Yes</t>
        </is>
      </c>
      <c r="M681" s="7" t="inlineStr">
        <is>
          <t>When feeling nothing is everything. We updated our buttery-soft lululemon Align™ joggers to give you that classic jogger look with a roomier fit, shorter cuffs, and discreet hand pockets.</t>
        </is>
      </c>
      <c r="N681" s="7" t="inlineStr">
        <is>
          <t>lululemon-Align-High-Rise-Jogger-Regular</t>
        </is>
      </c>
      <c r="O681" s="7" t="inlineStr"/>
    </row>
    <row r="682" ht="80" customHeight="1">
      <c r="A682" s="4">
        <f>IMAGE("https://images.lululemon.com/is/image/lululemon/LW5HGFR_0001_1?wid=320&amp;op_usm=0.8",1)</f>
        <v/>
      </c>
      <c r="B682" s="4" t="inlineStr">
        <is>
          <t>lululemon Align™ High-Rise Jogger *Regular</t>
        </is>
      </c>
      <c r="C682" s="4" t="inlineStr">
        <is>
          <t>156504975</t>
        </is>
      </c>
      <c r="D682" s="4" t="inlineStr">
        <is>
          <t>156504975-black</t>
        </is>
      </c>
      <c r="E682" s="4" t="inlineStr">
        <is>
          <t>lululemon Align™ HR Jogger *Regular SQUO 2</t>
        </is>
      </c>
      <c r="F682" s="4" t="inlineStr">
        <is>
          <t>$118.00</t>
        </is>
      </c>
      <c r="G682" s="4" t="inlineStr">
        <is>
          <t>$59.00</t>
        </is>
      </c>
      <c r="H682" s="4" t="inlineStr">
        <is>
          <t>Black</t>
        </is>
      </c>
      <c r="I682" s="4">
        <f>IMAGE("https://images.lululemon.com/is/image/lululemon/0001",1)</f>
        <v/>
      </c>
      <c r="J682" s="4" t="inlineStr">
        <is>
          <t>14</t>
        </is>
      </c>
      <c r="K682" s="4" t="inlineStr">
        <is>
          <t>3/2075</t>
        </is>
      </c>
      <c r="L682" s="4" t="inlineStr">
        <is>
          <t>Yes</t>
        </is>
      </c>
      <c r="M682" s="4" t="inlineStr">
        <is>
          <t>When feeling nothing is everything. We updated our buttery-soft lululemon Align™ joggers to give you that classic jogger look with a roomier fit, shorter cuffs, and discreet hand pockets.</t>
        </is>
      </c>
      <c r="N682" s="4" t="inlineStr">
        <is>
          <t>lululemon-Align-High-Rise-Jogger-Regular</t>
        </is>
      </c>
      <c r="O682" s="4" t="inlineStr"/>
    </row>
    <row r="683" ht="80" customHeight="1">
      <c r="A683" s="7">
        <f>IMAGE("https://images.lululemon.com/is/image/lululemon/LW5HGFR_0001_1?wid=320&amp;op_usm=0.8",1)</f>
        <v/>
      </c>
      <c r="B683" s="7" t="inlineStr">
        <is>
          <t>lululemon Align™ High-Rise Jogger *Regular</t>
        </is>
      </c>
      <c r="C683" s="7" t="inlineStr">
        <is>
          <t>158021825</t>
        </is>
      </c>
      <c r="D683" s="7" t="inlineStr">
        <is>
          <t>158021825-brilliantblue</t>
        </is>
      </c>
      <c r="E683" s="7" t="inlineStr">
        <is>
          <t>lululemon Align™ HR Jogger *Regular SQUO 2</t>
        </is>
      </c>
      <c r="F683" s="7" t="inlineStr">
        <is>
          <t>$118.00</t>
        </is>
      </c>
      <c r="G683" s="7" t="inlineStr">
        <is>
          <t>$59.00</t>
        </is>
      </c>
      <c r="H683" s="7" t="inlineStr">
        <is>
          <t>Brilliant Blue</t>
        </is>
      </c>
      <c r="I683" s="7">
        <f>IMAGE("https://images.lululemon.com/is/image/lululemon/33190",1)</f>
        <v/>
      </c>
      <c r="J683" s="7" t="inlineStr">
        <is>
          <t>2</t>
        </is>
      </c>
      <c r="K683" s="7" t="inlineStr">
        <is>
          <t>89/2075</t>
        </is>
      </c>
      <c r="L683" s="7" t="inlineStr">
        <is>
          <t>Yes</t>
        </is>
      </c>
      <c r="M683" s="7" t="inlineStr">
        <is>
          <t>When feeling nothing is everything. We updated our buttery-soft lululemon Align™ joggers to give you that classic jogger look with a roomier fit, shorter cuffs, and discreet hand pockets.</t>
        </is>
      </c>
      <c r="N683" s="7" t="inlineStr">
        <is>
          <t>lululemon-Align-High-Rise-Jogger-Regular</t>
        </is>
      </c>
      <c r="O683" s="7" t="inlineStr"/>
    </row>
    <row r="684" ht="80" customHeight="1">
      <c r="A684" s="4">
        <f>IMAGE("https://images.lululemon.com/is/image/lululemon/LW5HGFR_0001_1?wid=320&amp;op_usm=0.8",1)</f>
        <v/>
      </c>
      <c r="B684" s="4" t="inlineStr">
        <is>
          <t>lululemon Align™ High-Rise Jogger *Regular</t>
        </is>
      </c>
      <c r="C684" s="4" t="inlineStr">
        <is>
          <t>158021839</t>
        </is>
      </c>
      <c r="D684" s="4" t="inlineStr">
        <is>
          <t>158021839-brilliantblue</t>
        </is>
      </c>
      <c r="E684" s="4" t="inlineStr">
        <is>
          <t>lululemon Align™ HR Jogger *Regular SQUO 2</t>
        </is>
      </c>
      <c r="F684" s="4" t="inlineStr">
        <is>
          <t>$118.00</t>
        </is>
      </c>
      <c r="G684" s="4" t="inlineStr">
        <is>
          <t>$59.00</t>
        </is>
      </c>
      <c r="H684" s="4" t="inlineStr">
        <is>
          <t>Brilliant Blue</t>
        </is>
      </c>
      <c r="I684" s="4">
        <f>IMAGE("https://images.lululemon.com/is/image/lululemon/33190",1)</f>
        <v/>
      </c>
      <c r="J684" s="4" t="inlineStr">
        <is>
          <t>4</t>
        </is>
      </c>
      <c r="K684" s="4" t="inlineStr">
        <is>
          <t>207/2075</t>
        </is>
      </c>
      <c r="L684" s="4" t="inlineStr">
        <is>
          <t>Yes</t>
        </is>
      </c>
      <c r="M684" s="4" t="inlineStr">
        <is>
          <t>When feeling nothing is everything. We updated our buttery-soft lululemon Align™ joggers to give you that classic jogger look with a roomier fit, shorter cuffs, and discreet hand pockets.</t>
        </is>
      </c>
      <c r="N684" s="4" t="inlineStr">
        <is>
          <t>lululemon-Align-High-Rise-Jogger-Regular</t>
        </is>
      </c>
      <c r="O684" s="4" t="inlineStr"/>
    </row>
    <row r="685" ht="80" customHeight="1">
      <c r="A685" s="7">
        <f>IMAGE("https://images.lululemon.com/is/image/lululemon/LW5HGFR_0001_1?wid=320&amp;op_usm=0.8",1)</f>
        <v/>
      </c>
      <c r="B685" s="7" t="inlineStr">
        <is>
          <t>lululemon Align™ High-Rise Jogger *Regular</t>
        </is>
      </c>
      <c r="C685" s="7" t="inlineStr">
        <is>
          <t>158021849</t>
        </is>
      </c>
      <c r="D685" s="7" t="inlineStr">
        <is>
          <t>158021849-brilliantblue</t>
        </is>
      </c>
      <c r="E685" s="7" t="inlineStr">
        <is>
          <t>lululemon Align™ HR Jogger *Regular SQUO 2</t>
        </is>
      </c>
      <c r="F685" s="7" t="inlineStr">
        <is>
          <t>$118.00</t>
        </is>
      </c>
      <c r="G685" s="7" t="inlineStr">
        <is>
          <t>$59.00</t>
        </is>
      </c>
      <c r="H685" s="7" t="inlineStr">
        <is>
          <t>Brilliant Blue</t>
        </is>
      </c>
      <c r="I685" s="7">
        <f>IMAGE("https://images.lululemon.com/is/image/lululemon/33190",1)</f>
        <v/>
      </c>
      <c r="J685" s="7" t="inlineStr">
        <is>
          <t>6</t>
        </is>
      </c>
      <c r="K685" s="7" t="inlineStr">
        <is>
          <t>228/2075</t>
        </is>
      </c>
      <c r="L685" s="7" t="inlineStr">
        <is>
          <t>Yes</t>
        </is>
      </c>
      <c r="M685" s="7" t="inlineStr">
        <is>
          <t>When feeling nothing is everything. We updated our buttery-soft lululemon Align™ joggers to give you that classic jogger look with a roomier fit, shorter cuffs, and discreet hand pockets.</t>
        </is>
      </c>
      <c r="N685" s="7" t="inlineStr">
        <is>
          <t>lululemon-Align-High-Rise-Jogger-Regular</t>
        </is>
      </c>
      <c r="O685" s="7" t="inlineStr"/>
    </row>
    <row r="686" ht="80" customHeight="1">
      <c r="A686" s="4">
        <f>IMAGE("https://images.lululemon.com/is/image/lululemon/LW5HGFR_0001_1?wid=320&amp;op_usm=0.8",1)</f>
        <v/>
      </c>
      <c r="B686" s="4" t="inlineStr">
        <is>
          <t>lululemon Align™ High-Rise Jogger *Regular</t>
        </is>
      </c>
      <c r="C686" s="4" t="inlineStr">
        <is>
          <t>158021859</t>
        </is>
      </c>
      <c r="D686" s="4" t="inlineStr">
        <is>
          <t>158021859-brilliantblue</t>
        </is>
      </c>
      <c r="E686" s="4" t="inlineStr">
        <is>
          <t>lululemon Align™ HR Jogger *Regular SQUO 2</t>
        </is>
      </c>
      <c r="F686" s="4" t="inlineStr">
        <is>
          <t>$118.00</t>
        </is>
      </c>
      <c r="G686" s="4" t="inlineStr">
        <is>
          <t>$59.00</t>
        </is>
      </c>
      <c r="H686" s="4" t="inlineStr">
        <is>
          <t>Brilliant Blue</t>
        </is>
      </c>
      <c r="I686" s="4">
        <f>IMAGE("https://images.lululemon.com/is/image/lululemon/33190",1)</f>
        <v/>
      </c>
      <c r="J686" s="4" t="inlineStr">
        <is>
          <t>8</t>
        </is>
      </c>
      <c r="K686" s="4" t="inlineStr">
        <is>
          <t>179/2075</t>
        </is>
      </c>
      <c r="L686" s="4" t="inlineStr">
        <is>
          <t>Yes</t>
        </is>
      </c>
      <c r="M686" s="4" t="inlineStr">
        <is>
          <t>When feeling nothing is everything. We updated our buttery-soft lululemon Align™ joggers to give you that classic jogger look with a roomier fit, shorter cuffs, and discreet hand pockets.</t>
        </is>
      </c>
      <c r="N686" s="4" t="inlineStr">
        <is>
          <t>lululemon-Align-High-Rise-Jogger-Regular</t>
        </is>
      </c>
      <c r="O686" s="4" t="inlineStr"/>
    </row>
    <row r="687" ht="80" customHeight="1">
      <c r="A687" s="7">
        <f>IMAGE("https://images.lululemon.com/is/image/lululemon/LW5HGFR_0001_1?wid=320&amp;op_usm=0.8",1)</f>
        <v/>
      </c>
      <c r="B687" s="7" t="inlineStr">
        <is>
          <t>lululemon Align™ High-Rise Jogger *Regular</t>
        </is>
      </c>
      <c r="C687" s="7" t="inlineStr">
        <is>
          <t>158021788</t>
        </is>
      </c>
      <c r="D687" s="7" t="inlineStr">
        <is>
          <t>158021788-brilliantblue</t>
        </is>
      </c>
      <c r="E687" s="7" t="inlineStr">
        <is>
          <t>lululemon Align™ HR Jogger *Regular SQUO 2</t>
        </is>
      </c>
      <c r="F687" s="7" t="inlineStr">
        <is>
          <t>$118.00</t>
        </is>
      </c>
      <c r="G687" s="7" t="inlineStr">
        <is>
          <t>$59.00</t>
        </is>
      </c>
      <c r="H687" s="7" t="inlineStr">
        <is>
          <t>Brilliant Blue</t>
        </is>
      </c>
      <c r="I687" s="7">
        <f>IMAGE("https://images.lululemon.com/is/image/lululemon/33190",1)</f>
        <v/>
      </c>
      <c r="J687" s="7" t="inlineStr">
        <is>
          <t>10</t>
        </is>
      </c>
      <c r="K687" s="7" t="inlineStr">
        <is>
          <t>106/2075</t>
        </is>
      </c>
      <c r="L687" s="7" t="inlineStr">
        <is>
          <t>Yes</t>
        </is>
      </c>
      <c r="M687" s="7" t="inlineStr">
        <is>
          <t>When feeling nothing is everything. We updated our buttery-soft lululemon Align™ joggers to give you that classic jogger look with a roomier fit, shorter cuffs, and discreet hand pockets.</t>
        </is>
      </c>
      <c r="N687" s="7" t="inlineStr">
        <is>
          <t>lululemon-Align-High-Rise-Jogger-Regular</t>
        </is>
      </c>
      <c r="O687" s="7" t="inlineStr"/>
    </row>
    <row r="688" ht="80" customHeight="1">
      <c r="A688" s="6">
        <f>IMAGE("https://images.lululemon.com/is/image/lululemon/LW5HGFR_0001_1?wid=320&amp;op_usm=0.8",1)</f>
        <v/>
      </c>
      <c r="B688" s="6" t="inlineStr">
        <is>
          <t>lululemon Align™ High-Rise Jogger *Regular</t>
        </is>
      </c>
      <c r="C688" s="6" t="inlineStr">
        <is>
          <t>158021800</t>
        </is>
      </c>
      <c r="D688" s="6" t="inlineStr">
        <is>
          <t>158021800-brilliantblue</t>
        </is>
      </c>
      <c r="E688" s="6" t="inlineStr">
        <is>
          <t>lululemon Align™ HR Jogger *Regular SQUO 2</t>
        </is>
      </c>
      <c r="F688" s="6" t="inlineStr">
        <is>
          <t>$118.00</t>
        </is>
      </c>
      <c r="G688" s="6" t="inlineStr">
        <is>
          <t>$59.00</t>
        </is>
      </c>
      <c r="H688" s="6" t="inlineStr">
        <is>
          <t>Brilliant Blue</t>
        </is>
      </c>
      <c r="I688" s="6">
        <f>IMAGE("https://images.lululemon.com/is/image/lululemon/33190",1)</f>
        <v/>
      </c>
      <c r="J688" s="6" t="inlineStr">
        <is>
          <t>12</t>
        </is>
      </c>
      <c r="K688" s="6" t="inlineStr">
        <is>
          <t>47/2075</t>
        </is>
      </c>
      <c r="L688" s="6" t="inlineStr">
        <is>
          <t>Yes</t>
        </is>
      </c>
      <c r="M688" s="6" t="inlineStr">
        <is>
          <t>When feeling nothing is everything. We updated our buttery-soft lululemon Align™ joggers to give you that classic jogger look with a roomier fit, shorter cuffs, and discreet hand pockets.</t>
        </is>
      </c>
      <c r="N688" s="6" t="inlineStr">
        <is>
          <t>lululemon-Align-High-Rise-Jogger-Regular</t>
        </is>
      </c>
      <c r="O688" s="6" t="inlineStr"/>
    </row>
    <row r="689" ht="80" customHeight="1">
      <c r="A689" s="7">
        <f>IMAGE("https://images.lululemon.com/is/image/lululemon/LU9AC4S_073766_1?wid=320&amp;op_usm=0.8",1)</f>
        <v/>
      </c>
      <c r="B689" s="7" t="inlineStr">
        <is>
          <t>Lift and Lengthen Yoga Block</t>
        </is>
      </c>
      <c r="C689" s="7" t="inlineStr">
        <is>
          <t>157793520</t>
        </is>
      </c>
      <c r="D689" s="7" t="inlineStr">
        <is>
          <t>157793520-rainforestgreen/palmdeco/laurelgreen/lightivory</t>
        </is>
      </c>
      <c r="E689" s="7" t="inlineStr">
        <is>
          <t>Lift And Lengthen Yoga Block RGPL ONE SIZE</t>
        </is>
      </c>
      <c r="F689" s="7" t="inlineStr">
        <is>
          <t>$24.00</t>
        </is>
      </c>
      <c r="G689" s="7" t="inlineStr">
        <is>
          <t>$12.00</t>
        </is>
      </c>
      <c r="H689" s="7" t="inlineStr">
        <is>
          <t>Rainforest Green/Palm Deco/Laurel Green/Light Ivory</t>
        </is>
      </c>
      <c r="I689" s="7">
        <f>IMAGE("https://images.lululemon.com/is/image/lululemon/73766",1)</f>
        <v/>
      </c>
      <c r="J689" s="7" t="inlineStr">
        <is>
          <t>O/S</t>
        </is>
      </c>
      <c r="K689" s="7" t="inlineStr">
        <is>
          <t>167/1307</t>
        </is>
      </c>
      <c r="L689" s="7" t="inlineStr">
        <is>
          <t>Yes</t>
        </is>
      </c>
      <c r="M689" s="7" t="inlineStr">
        <is>
          <t>Give yourself a little support. From a few extra inches in crescent moon to lifting you in a seated twist, this block has your back.</t>
        </is>
      </c>
      <c r="N689" s="7" t="inlineStr">
        <is>
          <t>Lift-And-Lengthen-Yoga-Block</t>
        </is>
      </c>
      <c r="O689" s="7" t="inlineStr">
        <is>
          <t>Blocks</t>
        </is>
      </c>
    </row>
    <row r="690" ht="80" customHeight="1">
      <c r="A690" s="6">
        <f>IMAGE("https://images.lululemon.com/is/image/lululemon/LU9AC4S_073766_1?wid=320&amp;op_usm=0.8",1)</f>
        <v/>
      </c>
      <c r="B690" s="6" t="inlineStr">
        <is>
          <t>Lift and Lengthen Yoga Block</t>
        </is>
      </c>
      <c r="C690" s="6" t="inlineStr">
        <is>
          <t>3772817</t>
        </is>
      </c>
      <c r="D690" s="6" t="inlineStr">
        <is>
          <t>3772817-black/white</t>
        </is>
      </c>
      <c r="E690" s="6" t="inlineStr">
        <is>
          <t>Lift And Lengthen Yoga Block RGPL ONE SIZE</t>
        </is>
      </c>
      <c r="F690" s="6" t="inlineStr">
        <is>
          <t>$24.00</t>
        </is>
      </c>
      <c r="G690" s="6" t="inlineStr">
        <is>
          <t>$12.00</t>
        </is>
      </c>
      <c r="H690" s="6" t="inlineStr">
        <is>
          <t>Black/White</t>
        </is>
      </c>
      <c r="I690" s="6">
        <f>IMAGE("https://images.lululemon.com/is/image/lululemon/0023",1)</f>
        <v/>
      </c>
      <c r="J690" s="6" t="inlineStr">
        <is>
          <t>O/S</t>
        </is>
      </c>
      <c r="K690" s="6" t="inlineStr">
        <is>
          <t>1140/1307</t>
        </is>
      </c>
      <c r="L690" s="6" t="inlineStr">
        <is>
          <t>Yes</t>
        </is>
      </c>
      <c r="M690" s="6" t="inlineStr">
        <is>
          <t>Give yourself a little support. From a few extra inches in crescent moon to lifting you in a seated twist, this block has your back.</t>
        </is>
      </c>
      <c r="N690" s="6" t="inlineStr">
        <is>
          <t>Lift-And-Lengthen-Yoga-Block</t>
        </is>
      </c>
      <c r="O690" s="6" t="inlineStr">
        <is>
          <t>Blocks</t>
        </is>
      </c>
    </row>
    <row r="691" ht="80" customHeight="1">
      <c r="A691" s="7">
        <f>IMAGE("https://images.lululemon.com/is/image/lululemon/LW7DD9S_068898_1?wid=320&amp;op_usm=0.8",1)</f>
        <v/>
      </c>
      <c r="B691" s="7" t="inlineStr">
        <is>
          <t>Court Rival High-Rise Short 3"</t>
        </is>
      </c>
      <c r="C691" s="7" t="inlineStr">
        <is>
          <t>156493544</t>
        </is>
      </c>
      <c r="D691" s="7" t="inlineStr">
        <is>
          <t>156493544-clubblue/white</t>
        </is>
      </c>
      <c r="E691" s="7" t="inlineStr">
        <is>
          <t>Court Rival High-Rise Short 3" CLBL/WHT 2</t>
        </is>
      </c>
      <c r="F691" s="7" t="inlineStr">
        <is>
          <t>$78.00</t>
        </is>
      </c>
      <c r="G691" s="7" t="inlineStr">
        <is>
          <t>$39.00</t>
        </is>
      </c>
      <c r="H691" s="7" t="inlineStr">
        <is>
          <t>Club Blue/White</t>
        </is>
      </c>
      <c r="I691" s="7">
        <f>IMAGE("https://images.lululemon.com/is/image/lululemon/68898",1)</f>
        <v/>
      </c>
      <c r="J691" s="7" t="inlineStr">
        <is>
          <t>2</t>
        </is>
      </c>
      <c r="K691" s="7" t="inlineStr">
        <is>
          <t>24/461</t>
        </is>
      </c>
      <c r="L691" s="7" t="inlineStr">
        <is>
          <t>Yes</t>
        </is>
      </c>
      <c r="M691" s="7" t="inlineStr">
        <is>
          <t>Channel that champ energy in these lightweight tennis shorts. A breathable built-in short liner offers extra coverage so you can move freely.</t>
        </is>
      </c>
      <c r="N691" s="7" t="inlineStr">
        <is>
          <t>Court-Rival-High-Rise-Short-3</t>
        </is>
      </c>
      <c r="O691" s="7" t="inlineStr">
        <is>
          <t>Athletic Shorts, Liner Shorts</t>
        </is>
      </c>
    </row>
    <row r="692" ht="80" customHeight="1">
      <c r="A692" s="4">
        <f>IMAGE("https://images.lululemon.com/is/image/lululemon/LW7DD9S_068898_1?wid=320&amp;op_usm=0.8",1)</f>
        <v/>
      </c>
      <c r="B692" s="4" t="inlineStr">
        <is>
          <t>Court Rival High-Rise Short 3"</t>
        </is>
      </c>
      <c r="C692" s="4" t="inlineStr">
        <is>
          <t>156493610</t>
        </is>
      </c>
      <c r="D692" s="4" t="inlineStr">
        <is>
          <t>156493610-clubblue/white</t>
        </is>
      </c>
      <c r="E692" s="4" t="inlineStr">
        <is>
          <t>Court Rival High-Rise Short 3" CLBL/WHT 2</t>
        </is>
      </c>
      <c r="F692" s="4" t="inlineStr">
        <is>
          <t>$78.00</t>
        </is>
      </c>
      <c r="G692" s="4" t="inlineStr">
        <is>
          <t>$39.00</t>
        </is>
      </c>
      <c r="H692" s="4" t="inlineStr">
        <is>
          <t>Club Blue/White</t>
        </is>
      </c>
      <c r="I692" s="4">
        <f>IMAGE("https://images.lululemon.com/is/image/lululemon/68898",1)</f>
        <v/>
      </c>
      <c r="J692" s="4" t="inlineStr">
        <is>
          <t>4</t>
        </is>
      </c>
      <c r="K692" s="4" t="inlineStr">
        <is>
          <t>80/461</t>
        </is>
      </c>
      <c r="L692" s="4" t="inlineStr">
        <is>
          <t>Yes</t>
        </is>
      </c>
      <c r="M692" s="4" t="inlineStr">
        <is>
          <t>Channel that champ energy in these lightweight tennis shorts. A breathable built-in short liner offers extra coverage so you can move freely.</t>
        </is>
      </c>
      <c r="N692" s="4" t="inlineStr">
        <is>
          <t>Court-Rival-High-Rise-Short-3</t>
        </is>
      </c>
      <c r="O692" s="4" t="inlineStr">
        <is>
          <t>Athletic Shorts, Liner Shorts</t>
        </is>
      </c>
    </row>
    <row r="693" ht="80" customHeight="1">
      <c r="A693" s="7">
        <f>IMAGE("https://images.lululemon.com/is/image/lululemon/LW7DD9S_068898_1?wid=320&amp;op_usm=0.8",1)</f>
        <v/>
      </c>
      <c r="B693" s="7" t="inlineStr">
        <is>
          <t>Court Rival High-Rise Short 3"</t>
        </is>
      </c>
      <c r="C693" s="7" t="inlineStr">
        <is>
          <t>156493623</t>
        </is>
      </c>
      <c r="D693" s="7" t="inlineStr">
        <is>
          <t>156493623-clubblue/white</t>
        </is>
      </c>
      <c r="E693" s="7" t="inlineStr">
        <is>
          <t>Court Rival High-Rise Short 3" CLBL/WHT 2</t>
        </is>
      </c>
      <c r="F693" s="7" t="inlineStr">
        <is>
          <t>$78.00</t>
        </is>
      </c>
      <c r="G693" s="7" t="inlineStr">
        <is>
          <t>$39.00</t>
        </is>
      </c>
      <c r="H693" s="7" t="inlineStr">
        <is>
          <t>Club Blue/White</t>
        </is>
      </c>
      <c r="I693" s="7">
        <f>IMAGE("https://images.lululemon.com/is/image/lululemon/68898",1)</f>
        <v/>
      </c>
      <c r="J693" s="7" t="inlineStr">
        <is>
          <t>6</t>
        </is>
      </c>
      <c r="K693" s="7" t="inlineStr">
        <is>
          <t>62/461</t>
        </is>
      </c>
      <c r="L693" s="7" t="inlineStr">
        <is>
          <t>Yes</t>
        </is>
      </c>
      <c r="M693" s="7" t="inlineStr">
        <is>
          <t>Channel that champ energy in these lightweight tennis shorts. A breathable built-in short liner offers extra coverage so you can move freely.</t>
        </is>
      </c>
      <c r="N693" s="7" t="inlineStr">
        <is>
          <t>Court-Rival-High-Rise-Short-3</t>
        </is>
      </c>
      <c r="O693" s="7" t="inlineStr">
        <is>
          <t>Athletic Shorts, Liner Shorts</t>
        </is>
      </c>
    </row>
    <row r="694" ht="80" customHeight="1">
      <c r="A694" s="4">
        <f>IMAGE("https://images.lululemon.com/is/image/lululemon/LW7DD9S_068898_1?wid=320&amp;op_usm=0.8",1)</f>
        <v/>
      </c>
      <c r="B694" s="4" t="inlineStr">
        <is>
          <t>Court Rival High-Rise Short 3"</t>
        </is>
      </c>
      <c r="C694" s="4" t="inlineStr">
        <is>
          <t>156493636</t>
        </is>
      </c>
      <c r="D694" s="4" t="inlineStr">
        <is>
          <t>156493636-clubblue/white</t>
        </is>
      </c>
      <c r="E694" s="4" t="inlineStr">
        <is>
          <t>Court Rival High-Rise Short 3" CLBL/WHT 2</t>
        </is>
      </c>
      <c r="F694" s="4" t="inlineStr">
        <is>
          <t>$78.00</t>
        </is>
      </c>
      <c r="G694" s="4" t="inlineStr">
        <is>
          <t>$39.00</t>
        </is>
      </c>
      <c r="H694" s="4" t="inlineStr">
        <is>
          <t>Club Blue/White</t>
        </is>
      </c>
      <c r="I694" s="4">
        <f>IMAGE("https://images.lululemon.com/is/image/lululemon/68898",1)</f>
        <v/>
      </c>
      <c r="J694" s="4" t="inlineStr">
        <is>
          <t>8</t>
        </is>
      </c>
      <c r="K694" s="4" t="inlineStr">
        <is>
          <t>29/461</t>
        </is>
      </c>
      <c r="L694" s="4" t="inlineStr">
        <is>
          <t>Yes</t>
        </is>
      </c>
      <c r="M694" s="4" t="inlineStr">
        <is>
          <t>Channel that champ energy in these lightweight tennis shorts. A breathable built-in short liner offers extra coverage so you can move freely.</t>
        </is>
      </c>
      <c r="N694" s="4" t="inlineStr">
        <is>
          <t>Court-Rival-High-Rise-Short-3</t>
        </is>
      </c>
      <c r="O694" s="4" t="inlineStr">
        <is>
          <t>Athletic Shorts, Liner Shorts</t>
        </is>
      </c>
    </row>
    <row r="695" ht="80" customHeight="1">
      <c r="A695" s="7">
        <f>IMAGE("https://images.lululemon.com/is/image/lululemon/LW7DD9S_068898_1?wid=320&amp;op_usm=0.8",1)</f>
        <v/>
      </c>
      <c r="B695" s="7" t="inlineStr">
        <is>
          <t>Court Rival High-Rise Short 3"</t>
        </is>
      </c>
      <c r="C695" s="7" t="inlineStr">
        <is>
          <t>156493490</t>
        </is>
      </c>
      <c r="D695" s="7" t="inlineStr">
        <is>
          <t>156493490-clubblue/white</t>
        </is>
      </c>
      <c r="E695" s="7" t="inlineStr">
        <is>
          <t>Court Rival High-Rise Short 3" CLBL/WHT 2</t>
        </is>
      </c>
      <c r="F695" s="7" t="inlineStr">
        <is>
          <t>$78.00</t>
        </is>
      </c>
      <c r="G695" s="7" t="inlineStr">
        <is>
          <t>$39.00</t>
        </is>
      </c>
      <c r="H695" s="7" t="inlineStr">
        <is>
          <t>Club Blue/White</t>
        </is>
      </c>
      <c r="I695" s="7">
        <f>IMAGE("https://images.lululemon.com/is/image/lululemon/68898",1)</f>
        <v/>
      </c>
      <c r="J695" s="7" t="inlineStr">
        <is>
          <t>10</t>
        </is>
      </c>
      <c r="K695" s="7" t="inlineStr">
        <is>
          <t>14/461</t>
        </is>
      </c>
      <c r="L695" s="7" t="inlineStr">
        <is>
          <t>Yes</t>
        </is>
      </c>
      <c r="M695" s="7" t="inlineStr">
        <is>
          <t>Channel that champ energy in these lightweight tennis shorts. A breathable built-in short liner offers extra coverage so you can move freely.</t>
        </is>
      </c>
      <c r="N695" s="7" t="inlineStr">
        <is>
          <t>Court-Rival-High-Rise-Short-3</t>
        </is>
      </c>
      <c r="O695" s="7" t="inlineStr">
        <is>
          <t>Athletic Shorts, Liner Shorts</t>
        </is>
      </c>
    </row>
    <row r="696" ht="80" customHeight="1">
      <c r="A696" s="4">
        <f>IMAGE("https://images.lululemon.com/is/image/lululemon/LW7DD9S_068898_1?wid=320&amp;op_usm=0.8",1)</f>
        <v/>
      </c>
      <c r="B696" s="4" t="inlineStr">
        <is>
          <t>Court Rival High-Rise Short 3"</t>
        </is>
      </c>
      <c r="C696" s="4" t="inlineStr">
        <is>
          <t>156493500</t>
        </is>
      </c>
      <c r="D696" s="4" t="inlineStr">
        <is>
          <t>156493500-clubblue/white</t>
        </is>
      </c>
      <c r="E696" s="4" t="inlineStr">
        <is>
          <t>Court Rival High-Rise Short 3" CLBL/WHT 2</t>
        </is>
      </c>
      <c r="F696" s="4" t="inlineStr">
        <is>
          <t>$78.00</t>
        </is>
      </c>
      <c r="G696" s="4" t="inlineStr">
        <is>
          <t>$39.00</t>
        </is>
      </c>
      <c r="H696" s="4" t="inlineStr">
        <is>
          <t>Club Blue/White</t>
        </is>
      </c>
      <c r="I696" s="4">
        <f>IMAGE("https://images.lululemon.com/is/image/lululemon/68898",1)</f>
        <v/>
      </c>
      <c r="J696" s="4" t="inlineStr">
        <is>
          <t>12</t>
        </is>
      </c>
      <c r="K696" s="4" t="inlineStr">
        <is>
          <t>4/461</t>
        </is>
      </c>
      <c r="L696" s="4" t="inlineStr">
        <is>
          <t>Yes</t>
        </is>
      </c>
      <c r="M696" s="4" t="inlineStr">
        <is>
          <t>Channel that champ energy in these lightweight tennis shorts. A breathable built-in short liner offers extra coverage so you can move freely.</t>
        </is>
      </c>
      <c r="N696" s="4" t="inlineStr">
        <is>
          <t>Court-Rival-High-Rise-Short-3</t>
        </is>
      </c>
      <c r="O696" s="4" t="inlineStr">
        <is>
          <t>Athletic Shorts, Liner Shorts</t>
        </is>
      </c>
    </row>
    <row r="697" ht="80" customHeight="1">
      <c r="A697" s="7">
        <f>IMAGE("https://images.lululemon.com/is/image/lululemon/LW7DD9S_068898_1?wid=320&amp;op_usm=0.8",1)</f>
        <v/>
      </c>
      <c r="B697" s="7" t="inlineStr">
        <is>
          <t>Court Rival High-Rise Short 3"</t>
        </is>
      </c>
      <c r="C697" s="7" t="inlineStr">
        <is>
          <t>153844354</t>
        </is>
      </c>
      <c r="D697" s="7" t="inlineStr">
        <is>
          <t>153844354-black/white</t>
        </is>
      </c>
      <c r="E697" s="7" t="inlineStr">
        <is>
          <t>Court Rival High-Rise Short 3" CLBL/WHT 2</t>
        </is>
      </c>
      <c r="F697" s="7" t="inlineStr">
        <is>
          <t>$78.00</t>
        </is>
      </c>
      <c r="G697" s="7" t="inlineStr">
        <is>
          <t>$39.00</t>
        </is>
      </c>
      <c r="H697" s="7" t="inlineStr">
        <is>
          <t>Black/White</t>
        </is>
      </c>
      <c r="I697" s="7">
        <f>IMAGE("https://images.lululemon.com/is/image/lululemon/0023",1)</f>
        <v/>
      </c>
      <c r="J697" s="7" t="inlineStr">
        <is>
          <t>2</t>
        </is>
      </c>
      <c r="K697" s="7" t="inlineStr">
        <is>
          <t>35/461</t>
        </is>
      </c>
      <c r="L697" s="7" t="inlineStr">
        <is>
          <t>Yes</t>
        </is>
      </c>
      <c r="M697" s="7" t="inlineStr">
        <is>
          <t>Channel that champ energy in these lightweight tennis shorts. A breathable built-in short liner offers extra coverage so you can move freely.</t>
        </is>
      </c>
      <c r="N697" s="7" t="inlineStr">
        <is>
          <t>Court-Rival-High-Rise-Short-3</t>
        </is>
      </c>
      <c r="O697" s="7" t="inlineStr">
        <is>
          <t>Athletic Shorts, Liner Shorts</t>
        </is>
      </c>
    </row>
    <row r="698" ht="80" customHeight="1">
      <c r="A698" s="4">
        <f>IMAGE("https://images.lululemon.com/is/image/lululemon/LW7DD9S_068898_1?wid=320&amp;op_usm=0.8",1)</f>
        <v/>
      </c>
      <c r="B698" s="4" t="inlineStr">
        <is>
          <t>Court Rival High-Rise Short 3"</t>
        </is>
      </c>
      <c r="C698" s="4" t="inlineStr">
        <is>
          <t>153844391</t>
        </is>
      </c>
      <c r="D698" s="4" t="inlineStr">
        <is>
          <t>153844391-black/white</t>
        </is>
      </c>
      <c r="E698" s="4" t="inlineStr">
        <is>
          <t>Court Rival High-Rise Short 3" CLBL/WHT 2</t>
        </is>
      </c>
      <c r="F698" s="4" t="inlineStr">
        <is>
          <t>$78.00</t>
        </is>
      </c>
      <c r="G698" s="4" t="inlineStr">
        <is>
          <t>$39.00</t>
        </is>
      </c>
      <c r="H698" s="4" t="inlineStr">
        <is>
          <t>Black/White</t>
        </is>
      </c>
      <c r="I698" s="4">
        <f>IMAGE("https://images.lululemon.com/is/image/lululemon/0023",1)</f>
        <v/>
      </c>
      <c r="J698" s="4" t="inlineStr">
        <is>
          <t>4</t>
        </is>
      </c>
      <c r="K698" s="4" t="inlineStr">
        <is>
          <t>62/461</t>
        </is>
      </c>
      <c r="L698" s="4" t="inlineStr">
        <is>
          <t>Yes</t>
        </is>
      </c>
      <c r="M698" s="4" t="inlineStr">
        <is>
          <t>Channel that champ energy in these lightweight tennis shorts. A breathable built-in short liner offers extra coverage so you can move freely.</t>
        </is>
      </c>
      <c r="N698" s="4" t="inlineStr">
        <is>
          <t>Court-Rival-High-Rise-Short-3</t>
        </is>
      </c>
      <c r="O698" s="4" t="inlineStr">
        <is>
          <t>Athletic Shorts, Liner Shorts</t>
        </is>
      </c>
    </row>
    <row r="699" ht="80" customHeight="1">
      <c r="A699" s="7">
        <f>IMAGE("https://images.lululemon.com/is/image/lululemon/LW7DD9S_068898_1?wid=320&amp;op_usm=0.8",1)</f>
        <v/>
      </c>
      <c r="B699" s="7" t="inlineStr">
        <is>
          <t>Court Rival High-Rise Short 3"</t>
        </is>
      </c>
      <c r="C699" s="7" t="inlineStr">
        <is>
          <t>153844398</t>
        </is>
      </c>
      <c r="D699" s="7" t="inlineStr">
        <is>
          <t>153844398-black/white</t>
        </is>
      </c>
      <c r="E699" s="7" t="inlineStr">
        <is>
          <t>Court Rival High-Rise Short 3" CLBL/WHT 2</t>
        </is>
      </c>
      <c r="F699" s="7" t="inlineStr">
        <is>
          <t>$78.00</t>
        </is>
      </c>
      <c r="G699" s="7" t="inlineStr">
        <is>
          <t>$39.00</t>
        </is>
      </c>
      <c r="H699" s="7" t="inlineStr">
        <is>
          <t>Black/White</t>
        </is>
      </c>
      <c r="I699" s="7">
        <f>IMAGE("https://images.lululemon.com/is/image/lululemon/0023",1)</f>
        <v/>
      </c>
      <c r="J699" s="7" t="inlineStr">
        <is>
          <t>6</t>
        </is>
      </c>
      <c r="K699" s="7" t="inlineStr">
        <is>
          <t>68/461</t>
        </is>
      </c>
      <c r="L699" s="7" t="inlineStr">
        <is>
          <t>Yes</t>
        </is>
      </c>
      <c r="M699" s="7" t="inlineStr">
        <is>
          <t>Channel that champ energy in these lightweight tennis shorts. A breathable built-in short liner offers extra coverage so you can move freely.</t>
        </is>
      </c>
      <c r="N699" s="7" t="inlineStr">
        <is>
          <t>Court-Rival-High-Rise-Short-3</t>
        </is>
      </c>
      <c r="O699" s="7" t="inlineStr">
        <is>
          <t>Athletic Shorts, Liner Shorts</t>
        </is>
      </c>
    </row>
    <row r="700" ht="80" customHeight="1">
      <c r="A700" s="4">
        <f>IMAGE("https://images.lululemon.com/is/image/lululemon/LW7DD9S_068898_1?wid=320&amp;op_usm=0.8",1)</f>
        <v/>
      </c>
      <c r="B700" s="4" t="inlineStr">
        <is>
          <t>Court Rival High-Rise Short 3"</t>
        </is>
      </c>
      <c r="C700" s="4" t="inlineStr">
        <is>
          <t>153844406</t>
        </is>
      </c>
      <c r="D700" s="4" t="inlineStr">
        <is>
          <t>153844406-black/white</t>
        </is>
      </c>
      <c r="E700" s="4" t="inlineStr">
        <is>
          <t>Court Rival High-Rise Short 3" CLBL/WHT 2</t>
        </is>
      </c>
      <c r="F700" s="4" t="inlineStr">
        <is>
          <t>$78.00</t>
        </is>
      </c>
      <c r="G700" s="4" t="inlineStr">
        <is>
          <t>$39.00</t>
        </is>
      </c>
      <c r="H700" s="4" t="inlineStr">
        <is>
          <t>Black/White</t>
        </is>
      </c>
      <c r="I700" s="4">
        <f>IMAGE("https://images.lululemon.com/is/image/lululemon/0023",1)</f>
        <v/>
      </c>
      <c r="J700" s="4" t="inlineStr">
        <is>
          <t>8</t>
        </is>
      </c>
      <c r="K700" s="4" t="inlineStr">
        <is>
          <t>48/461</t>
        </is>
      </c>
      <c r="L700" s="4" t="inlineStr">
        <is>
          <t>Yes</t>
        </is>
      </c>
      <c r="M700" s="4" t="inlineStr">
        <is>
          <t>Channel that champ energy in these lightweight tennis shorts. A breathable built-in short liner offers extra coverage so you can move freely.</t>
        </is>
      </c>
      <c r="N700" s="4" t="inlineStr">
        <is>
          <t>Court-Rival-High-Rise-Short-3</t>
        </is>
      </c>
      <c r="O700" s="4" t="inlineStr">
        <is>
          <t>Athletic Shorts, Liner Shorts</t>
        </is>
      </c>
    </row>
    <row r="701" ht="80" customHeight="1">
      <c r="A701" s="7">
        <f>IMAGE("https://images.lululemon.com/is/image/lululemon/LW7DD9S_068898_1?wid=320&amp;op_usm=0.8",1)</f>
        <v/>
      </c>
      <c r="B701" s="7" t="inlineStr">
        <is>
          <t>Court Rival High-Rise Short 3"</t>
        </is>
      </c>
      <c r="C701" s="7" t="inlineStr">
        <is>
          <t>153844325</t>
        </is>
      </c>
      <c r="D701" s="7" t="inlineStr">
        <is>
          <t>153844325-black/white</t>
        </is>
      </c>
      <c r="E701" s="7" t="inlineStr">
        <is>
          <t>Court Rival High-Rise Short 3" CLBL/WHT 2</t>
        </is>
      </c>
      <c r="F701" s="7" t="inlineStr">
        <is>
          <t>$78.00</t>
        </is>
      </c>
      <c r="G701" s="7" t="inlineStr">
        <is>
          <t>$39.00</t>
        </is>
      </c>
      <c r="H701" s="7" t="inlineStr">
        <is>
          <t>Black/White</t>
        </is>
      </c>
      <c r="I701" s="7">
        <f>IMAGE("https://images.lululemon.com/is/image/lululemon/0023",1)</f>
        <v/>
      </c>
      <c r="J701" s="7" t="inlineStr">
        <is>
          <t>10</t>
        </is>
      </c>
      <c r="K701" s="7" t="inlineStr">
        <is>
          <t>25/461</t>
        </is>
      </c>
      <c r="L701" s="7" t="inlineStr">
        <is>
          <t>Yes</t>
        </is>
      </c>
      <c r="M701" s="7" t="inlineStr">
        <is>
          <t>Channel that champ energy in these lightweight tennis shorts. A breathable built-in short liner offers extra coverage so you can move freely.</t>
        </is>
      </c>
      <c r="N701" s="7" t="inlineStr">
        <is>
          <t>Court-Rival-High-Rise-Short-3</t>
        </is>
      </c>
      <c r="O701" s="7" t="inlineStr">
        <is>
          <t>Athletic Shorts, Liner Shorts</t>
        </is>
      </c>
    </row>
    <row r="702" ht="80" customHeight="1">
      <c r="A702" s="6">
        <f>IMAGE("https://images.lululemon.com/is/image/lululemon/LW7DD9S_068898_1?wid=320&amp;op_usm=0.8",1)</f>
        <v/>
      </c>
      <c r="B702" s="6" t="inlineStr">
        <is>
          <t>Court Rival High-Rise Short 3"</t>
        </is>
      </c>
      <c r="C702" s="6" t="inlineStr">
        <is>
          <t>153844330</t>
        </is>
      </c>
      <c r="D702" s="6" t="inlineStr">
        <is>
          <t>153844330-black/white</t>
        </is>
      </c>
      <c r="E702" s="6" t="inlineStr">
        <is>
          <t>Court Rival High-Rise Short 3" CLBL/WHT 2</t>
        </is>
      </c>
      <c r="F702" s="6" t="inlineStr">
        <is>
          <t>$78.00</t>
        </is>
      </c>
      <c r="G702" s="6" t="inlineStr">
        <is>
          <t>$39.00</t>
        </is>
      </c>
      <c r="H702" s="6" t="inlineStr">
        <is>
          <t>Black/White</t>
        </is>
      </c>
      <c r="I702" s="6">
        <f>IMAGE("https://images.lululemon.com/is/image/lululemon/0023",1)</f>
        <v/>
      </c>
      <c r="J702" s="6" t="inlineStr">
        <is>
          <t>12</t>
        </is>
      </c>
      <c r="K702" s="6" t="inlineStr">
        <is>
          <t>10/461</t>
        </is>
      </c>
      <c r="L702" s="6" t="inlineStr">
        <is>
          <t>Yes</t>
        </is>
      </c>
      <c r="M702" s="6" t="inlineStr">
        <is>
          <t>Channel that champ energy in these lightweight tennis shorts. A breathable built-in short liner offers extra coverage so you can move freely.</t>
        </is>
      </c>
      <c r="N702" s="6" t="inlineStr">
        <is>
          <t>Court-Rival-High-Rise-Short-3</t>
        </is>
      </c>
      <c r="O702" s="6" t="inlineStr">
        <is>
          <t>Athletic Shorts, Liner Shorts</t>
        </is>
      </c>
    </row>
    <row r="703" ht="80" customHeight="1">
      <c r="A703" s="7">
        <f>IMAGE("https://images.lululemon.com/is/image/lululemon/LW2DINS_031382_1?wid=320&amp;op_usm=0.8",1)</f>
        <v/>
      </c>
      <c r="B703" s="7" t="inlineStr">
        <is>
          <t>Run Times Bra *High Support, B–G Cups</t>
        </is>
      </c>
      <c r="C703" s="7" t="inlineStr">
        <is>
          <t>151501290</t>
        </is>
      </c>
      <c r="D703" s="7" t="inlineStr">
        <is>
          <t>151501290-truenavy</t>
        </is>
      </c>
      <c r="E703" s="7" t="inlineStr">
        <is>
          <t>Run Times Bra TRNV 34C</t>
        </is>
      </c>
      <c r="F703" s="7" t="inlineStr">
        <is>
          <t>$68.00</t>
        </is>
      </c>
      <c r="G703" s="7" t="inlineStr">
        <is>
          <t>$34.00</t>
        </is>
      </c>
      <c r="H703" s="7" t="inlineStr">
        <is>
          <t>True Navy</t>
        </is>
      </c>
      <c r="I703" s="7">
        <f>IMAGE("https://images.lululemon.com/is/image/lululemon/31382",1)</f>
        <v/>
      </c>
      <c r="J703" s="7" t="inlineStr">
        <is>
          <t>34C</t>
        </is>
      </c>
      <c r="K703" s="7" t="inlineStr">
        <is>
          <t>26/203</t>
        </is>
      </c>
      <c r="L703" s="7" t="inlineStr">
        <is>
          <t>Yes</t>
        </is>
      </c>
      <c r="M703" s="7" t="inlineStr">
        <is>
          <t>Keep your mind on your stride in this sleek bra that gives you support, separation, and coverage, with perforated panelling for airflow.</t>
        </is>
      </c>
      <c r="N703" s="7" t="inlineStr">
        <is>
          <t>Run-Times-Bra</t>
        </is>
      </c>
      <c r="O703" s="7" t="inlineStr">
        <is>
          <t>Longline Bras</t>
        </is>
      </c>
    </row>
    <row r="704" ht="80" customHeight="1">
      <c r="A704" s="4">
        <f>IMAGE("https://images.lululemon.com/is/image/lululemon/LW2DINS_031382_1?wid=320&amp;op_usm=0.8",1)</f>
        <v/>
      </c>
      <c r="B704" s="4" t="inlineStr">
        <is>
          <t>Run Times Bra *High Support, B–G Cups</t>
        </is>
      </c>
      <c r="C704" s="4" t="inlineStr">
        <is>
          <t>151501296</t>
        </is>
      </c>
      <c r="D704" s="4" t="inlineStr">
        <is>
          <t>151501296-truenavy</t>
        </is>
      </c>
      <c r="E704" s="4" t="inlineStr">
        <is>
          <t>Run Times Bra TRNV 34C</t>
        </is>
      </c>
      <c r="F704" s="4" t="inlineStr">
        <is>
          <t>$68.00</t>
        </is>
      </c>
      <c r="G704" s="4" t="inlineStr">
        <is>
          <t>$34.00</t>
        </is>
      </c>
      <c r="H704" s="4" t="inlineStr">
        <is>
          <t>True Navy</t>
        </is>
      </c>
      <c r="I704" s="4">
        <f>IMAGE("https://images.lululemon.com/is/image/lululemon/31382",1)</f>
        <v/>
      </c>
      <c r="J704" s="4" t="inlineStr">
        <is>
          <t>34D</t>
        </is>
      </c>
      <c r="K704" s="4" t="inlineStr">
        <is>
          <t>37/203</t>
        </is>
      </c>
      <c r="L704" s="4" t="inlineStr">
        <is>
          <t>Yes</t>
        </is>
      </c>
      <c r="M704" s="4" t="inlineStr">
        <is>
          <t>Keep your mind on your stride in this sleek bra that gives you support, separation, and coverage, with perforated panelling for airflow.</t>
        </is>
      </c>
      <c r="N704" s="4" t="inlineStr">
        <is>
          <t>Run-Times-Bra</t>
        </is>
      </c>
      <c r="O704" s="4" t="inlineStr">
        <is>
          <t>Longline Bras</t>
        </is>
      </c>
    </row>
    <row r="705" ht="80" customHeight="1">
      <c r="A705" s="7">
        <f>IMAGE("https://images.lululemon.com/is/image/lululemon/LW2DINS_031382_1?wid=320&amp;op_usm=0.8",1)</f>
        <v/>
      </c>
      <c r="B705" s="7" t="inlineStr">
        <is>
          <t>Run Times Bra *High Support, B–G Cups</t>
        </is>
      </c>
      <c r="C705" s="7" t="inlineStr">
        <is>
          <t>151501299</t>
        </is>
      </c>
      <c r="D705" s="7" t="inlineStr">
        <is>
          <t>151501299-truenavy</t>
        </is>
      </c>
      <c r="E705" s="7" t="inlineStr">
        <is>
          <t>Run Times Bra TRNV 34C</t>
        </is>
      </c>
      <c r="F705" s="7" t="inlineStr">
        <is>
          <t>$68.00</t>
        </is>
      </c>
      <c r="G705" s="7" t="inlineStr">
        <is>
          <t>$34.00</t>
        </is>
      </c>
      <c r="H705" s="7" t="inlineStr">
        <is>
          <t>True Navy</t>
        </is>
      </c>
      <c r="I705" s="7">
        <f>IMAGE("https://images.lululemon.com/is/image/lululemon/31382",1)</f>
        <v/>
      </c>
      <c r="J705" s="7" t="inlineStr">
        <is>
          <t>34DD</t>
        </is>
      </c>
      <c r="K705" s="7" t="inlineStr">
        <is>
          <t>34/203</t>
        </is>
      </c>
      <c r="L705" s="7" t="inlineStr">
        <is>
          <t>Yes</t>
        </is>
      </c>
      <c r="M705" s="7" t="inlineStr">
        <is>
          <t>Keep your mind on your stride in this sleek bra that gives you support, separation, and coverage, with perforated panelling for airflow.</t>
        </is>
      </c>
      <c r="N705" s="7" t="inlineStr">
        <is>
          <t>Run-Times-Bra</t>
        </is>
      </c>
      <c r="O705" s="7" t="inlineStr">
        <is>
          <t>Longline Bras</t>
        </is>
      </c>
    </row>
    <row r="706" ht="80" customHeight="1">
      <c r="A706" s="4">
        <f>IMAGE("https://images.lululemon.com/is/image/lululemon/LW2DINS_031382_1?wid=320&amp;op_usm=0.8",1)</f>
        <v/>
      </c>
      <c r="B706" s="4" t="inlineStr">
        <is>
          <t>Run Times Bra *High Support, B–G Cups</t>
        </is>
      </c>
      <c r="C706" s="4" t="inlineStr">
        <is>
          <t>151501336</t>
        </is>
      </c>
      <c r="D706" s="4" t="inlineStr">
        <is>
          <t>151501336-truenavy</t>
        </is>
      </c>
      <c r="E706" s="4" t="inlineStr">
        <is>
          <t>Run Times Bra TRNV 34C</t>
        </is>
      </c>
      <c r="F706" s="4" t="inlineStr">
        <is>
          <t>$68.00</t>
        </is>
      </c>
      <c r="G706" s="4" t="inlineStr">
        <is>
          <t>$34.00</t>
        </is>
      </c>
      <c r="H706" s="4" t="inlineStr">
        <is>
          <t>True Navy</t>
        </is>
      </c>
      <c r="I706" s="4">
        <f>IMAGE("https://images.lululemon.com/is/image/lululemon/31382",1)</f>
        <v/>
      </c>
      <c r="J706" s="4" t="inlineStr">
        <is>
          <t>36D</t>
        </is>
      </c>
      <c r="K706" s="4" t="inlineStr">
        <is>
          <t>33/203</t>
        </is>
      </c>
      <c r="L706" s="4" t="inlineStr">
        <is>
          <t>Yes</t>
        </is>
      </c>
      <c r="M706" s="4" t="inlineStr">
        <is>
          <t>Keep your mind on your stride in this sleek bra that gives you support, separation, and coverage, with perforated panelling for airflow.</t>
        </is>
      </c>
      <c r="N706" s="4" t="inlineStr">
        <is>
          <t>Run-Times-Bra</t>
        </is>
      </c>
      <c r="O706" s="4" t="inlineStr">
        <is>
          <t>Longline Bras</t>
        </is>
      </c>
    </row>
    <row r="707" ht="80" customHeight="1">
      <c r="A707" s="7">
        <f>IMAGE("https://images.lululemon.com/is/image/lululemon/LW2DINS_031382_1?wid=320&amp;op_usm=0.8",1)</f>
        <v/>
      </c>
      <c r="B707" s="7" t="inlineStr">
        <is>
          <t>Run Times Bra *High Support, B–G Cups</t>
        </is>
      </c>
      <c r="C707" s="7" t="inlineStr">
        <is>
          <t>151501344</t>
        </is>
      </c>
      <c r="D707" s="7" t="inlineStr">
        <is>
          <t>151501344-truenavy</t>
        </is>
      </c>
      <c r="E707" s="7" t="inlineStr">
        <is>
          <t>Run Times Bra TRNV 34C</t>
        </is>
      </c>
      <c r="F707" s="7" t="inlineStr">
        <is>
          <t>$68.00</t>
        </is>
      </c>
      <c r="G707" s="7" t="inlineStr">
        <is>
          <t>$34.00</t>
        </is>
      </c>
      <c r="H707" s="7" t="inlineStr">
        <is>
          <t>True Navy</t>
        </is>
      </c>
      <c r="I707" s="7">
        <f>IMAGE("https://images.lululemon.com/is/image/lululemon/31382",1)</f>
        <v/>
      </c>
      <c r="J707" s="7" t="inlineStr">
        <is>
          <t>36DD</t>
        </is>
      </c>
      <c r="K707" s="7" t="inlineStr">
        <is>
          <t>29/203</t>
        </is>
      </c>
      <c r="L707" s="7" t="inlineStr">
        <is>
          <t>Yes</t>
        </is>
      </c>
      <c r="M707" s="7" t="inlineStr">
        <is>
          <t>Keep your mind on your stride in this sleek bra that gives you support, separation, and coverage, with perforated panelling for airflow.</t>
        </is>
      </c>
      <c r="N707" s="7" t="inlineStr">
        <is>
          <t>Run-Times-Bra</t>
        </is>
      </c>
      <c r="O707" s="7" t="inlineStr">
        <is>
          <t>Longline Bras</t>
        </is>
      </c>
    </row>
    <row r="708" ht="80" customHeight="1">
      <c r="A708" s="4">
        <f>IMAGE("https://images.lululemon.com/is/image/lululemon/LW2DINS_031382_1?wid=320&amp;op_usm=0.8",1)</f>
        <v/>
      </c>
      <c r="B708" s="4" t="inlineStr">
        <is>
          <t>Run Times Bra *High Support, B–G Cups</t>
        </is>
      </c>
      <c r="C708" s="4" t="inlineStr">
        <is>
          <t>151501394</t>
        </is>
      </c>
      <c r="D708" s="4" t="inlineStr">
        <is>
          <t>151501394-truenavy</t>
        </is>
      </c>
      <c r="E708" s="4" t="inlineStr">
        <is>
          <t>Run Times Bra TRNV 34C</t>
        </is>
      </c>
      <c r="F708" s="4" t="inlineStr">
        <is>
          <t>$68.00</t>
        </is>
      </c>
      <c r="G708" s="4" t="inlineStr">
        <is>
          <t>$34.00</t>
        </is>
      </c>
      <c r="H708" s="4" t="inlineStr">
        <is>
          <t>True Navy</t>
        </is>
      </c>
      <c r="I708" s="4">
        <f>IMAGE("https://images.lululemon.com/is/image/lululemon/31382",1)</f>
        <v/>
      </c>
      <c r="J708" s="4" t="inlineStr">
        <is>
          <t>38D</t>
        </is>
      </c>
      <c r="K708" s="4" t="inlineStr">
        <is>
          <t>24/203</t>
        </is>
      </c>
      <c r="L708" s="4" t="inlineStr">
        <is>
          <t>Yes</t>
        </is>
      </c>
      <c r="M708" s="4" t="inlineStr">
        <is>
          <t>Keep your mind on your stride in this sleek bra that gives you support, separation, and coverage, with perforated panelling for airflow.</t>
        </is>
      </c>
      <c r="N708" s="4" t="inlineStr">
        <is>
          <t>Run-Times-Bra</t>
        </is>
      </c>
      <c r="O708" s="4" t="inlineStr">
        <is>
          <t>Longline Bras</t>
        </is>
      </c>
    </row>
    <row r="709" ht="80" customHeight="1">
      <c r="A709" s="5">
        <f>IMAGE("https://images.lululemon.com/is/image/lululemon/LW2DINS_031382_1?wid=320&amp;op_usm=0.8",1)</f>
        <v/>
      </c>
      <c r="B709" s="5" t="inlineStr">
        <is>
          <t>Run Times Bra *High Support, B–G Cups</t>
        </is>
      </c>
      <c r="C709" s="5" t="inlineStr">
        <is>
          <t>151501405</t>
        </is>
      </c>
      <c r="D709" s="5" t="inlineStr">
        <is>
          <t>151501405-truenavy</t>
        </is>
      </c>
      <c r="E709" s="5" t="inlineStr">
        <is>
          <t>Run Times Bra TRNV 34C</t>
        </is>
      </c>
      <c r="F709" s="5" t="inlineStr">
        <is>
          <t>$68.00</t>
        </is>
      </c>
      <c r="G709" s="5" t="inlineStr">
        <is>
          <t>$34.00</t>
        </is>
      </c>
      <c r="H709" s="5" t="inlineStr">
        <is>
          <t>True Navy</t>
        </is>
      </c>
      <c r="I709" s="5">
        <f>IMAGE("https://images.lululemon.com/is/image/lululemon/31382",1)</f>
        <v/>
      </c>
      <c r="J709" s="5" t="inlineStr">
        <is>
          <t>38DD</t>
        </is>
      </c>
      <c r="K709" s="5" t="inlineStr">
        <is>
          <t>20/203</t>
        </is>
      </c>
      <c r="L709" s="5" t="inlineStr">
        <is>
          <t>Yes</t>
        </is>
      </c>
      <c r="M709" s="5" t="inlineStr">
        <is>
          <t>Keep your mind on your stride in this sleek bra that gives you support, separation, and coverage, with perforated panelling for airflow.</t>
        </is>
      </c>
      <c r="N709" s="5" t="inlineStr">
        <is>
          <t>Run-Times-Bra</t>
        </is>
      </c>
      <c r="O709" s="5" t="inlineStr">
        <is>
          <t>Longline Bras</t>
        </is>
      </c>
    </row>
    <row r="710" ht="80" customHeight="1">
      <c r="A710" s="4">
        <f>IMAGE("https://images.lululemon.com/is/image/lululemon/LW7DEXS_0001_1?wid=320&amp;op_usm=0.8",1)</f>
        <v/>
      </c>
      <c r="B710" s="4" t="inlineStr">
        <is>
          <t>Wunder Train High-Rise Short 4"</t>
        </is>
      </c>
      <c r="C710" s="4" t="inlineStr">
        <is>
          <t>153075516</t>
        </is>
      </c>
      <c r="D710" s="4" t="inlineStr">
        <is>
          <t>153075516-black</t>
        </is>
      </c>
      <c r="E710" s="4" t="inlineStr">
        <is>
          <t>Wunder Train HR Short 4" BLK 2</t>
        </is>
      </c>
      <c r="F710" s="4" t="inlineStr">
        <is>
          <t>$64.00</t>
        </is>
      </c>
      <c r="G710" s="4" t="inlineStr">
        <is>
          <t>$32.00</t>
        </is>
      </c>
      <c r="H710" s="4" t="inlineStr">
        <is>
          <t>Black</t>
        </is>
      </c>
      <c r="I710" s="4">
        <f>IMAGE("https://images.lululemon.com/is/image/lululemon/0001",1)</f>
        <v/>
      </c>
      <c r="J710" s="4" t="inlineStr">
        <is>
          <t>2</t>
        </is>
      </c>
      <c r="K710" s="4" t="inlineStr">
        <is>
          <t>7/82</t>
        </is>
      </c>
      <c r="L710" s="4" t="inlineStr">
        <is>
          <t>Yes</t>
        </is>
      </c>
      <c r="M710" s="4" t="inlineStr">
        <is>
          <t>Train hard, not hot. Powered by Everlux™, the Wunder Train collection is highly breathable and quickly wicks sweat so you feel less sweaty during (and after) your workout.</t>
        </is>
      </c>
      <c r="N710" s="4" t="inlineStr">
        <is>
          <t>Wunder-Train-HighRise-Short-4</t>
        </is>
      </c>
      <c r="O710" s="4" t="inlineStr">
        <is>
          <t>Athletic Shorts, Biker Shorts</t>
        </is>
      </c>
    </row>
    <row r="711" ht="80" customHeight="1">
      <c r="A711" s="7">
        <f>IMAGE("https://images.lululemon.com/is/image/lululemon/LW7DEXS_0001_1?wid=320&amp;op_usm=0.8",1)</f>
        <v/>
      </c>
      <c r="B711" s="7" t="inlineStr">
        <is>
          <t>Wunder Train High-Rise Short 4"</t>
        </is>
      </c>
      <c r="C711" s="7" t="inlineStr">
        <is>
          <t>153075526</t>
        </is>
      </c>
      <c r="D711" s="7" t="inlineStr">
        <is>
          <t>153075526-black</t>
        </is>
      </c>
      <c r="E711" s="7" t="inlineStr">
        <is>
          <t>Wunder Train HR Short 4" BLK 2</t>
        </is>
      </c>
      <c r="F711" s="7" t="inlineStr">
        <is>
          <t>$64.00</t>
        </is>
      </c>
      <c r="G711" s="7" t="inlineStr">
        <is>
          <t>$32.00</t>
        </is>
      </c>
      <c r="H711" s="7" t="inlineStr">
        <is>
          <t>Black</t>
        </is>
      </c>
      <c r="I711" s="7">
        <f>IMAGE("https://images.lululemon.com/is/image/lululemon/0001",1)</f>
        <v/>
      </c>
      <c r="J711" s="7" t="inlineStr">
        <is>
          <t>6</t>
        </is>
      </c>
      <c r="K711" s="7" t="inlineStr">
        <is>
          <t>1/82</t>
        </is>
      </c>
      <c r="L711" s="7" t="inlineStr">
        <is>
          <t>Yes</t>
        </is>
      </c>
      <c r="M711" s="7" t="inlineStr">
        <is>
          <t>Train hard, not hot. Powered by Everlux™, the Wunder Train collection is highly breathable and quickly wicks sweat so you feel less sweaty during (and after) your workout.</t>
        </is>
      </c>
      <c r="N711" s="7" t="inlineStr">
        <is>
          <t>Wunder-Train-HighRise-Short-4</t>
        </is>
      </c>
      <c r="O711" s="7" t="inlineStr">
        <is>
          <t>Athletic Shorts, Biker Shorts</t>
        </is>
      </c>
    </row>
    <row r="712" ht="80" customHeight="1">
      <c r="A712" s="4">
        <f>IMAGE("https://images.lululemon.com/is/image/lululemon/LW7DEXS_0001_1?wid=320&amp;op_usm=0.8",1)</f>
        <v/>
      </c>
      <c r="B712" s="4" t="inlineStr">
        <is>
          <t>Wunder Train High-Rise Short 4"</t>
        </is>
      </c>
      <c r="C712" s="4" t="inlineStr">
        <is>
          <t>153075527</t>
        </is>
      </c>
      <c r="D712" s="4" t="inlineStr">
        <is>
          <t>153075527-black</t>
        </is>
      </c>
      <c r="E712" s="4" t="inlineStr">
        <is>
          <t>Wunder Train HR Short 4" BLK 2</t>
        </is>
      </c>
      <c r="F712" s="4" t="inlineStr">
        <is>
          <t>$64.00</t>
        </is>
      </c>
      <c r="G712" s="4" t="inlineStr">
        <is>
          <t>$32.00</t>
        </is>
      </c>
      <c r="H712" s="4" t="inlineStr">
        <is>
          <t>Black</t>
        </is>
      </c>
      <c r="I712" s="4">
        <f>IMAGE("https://images.lululemon.com/is/image/lululemon/0001",1)</f>
        <v/>
      </c>
      <c r="J712" s="4" t="inlineStr">
        <is>
          <t>8</t>
        </is>
      </c>
      <c r="K712" s="4" t="inlineStr">
        <is>
          <t>27/82</t>
        </is>
      </c>
      <c r="L712" s="4" t="inlineStr">
        <is>
          <t>Yes</t>
        </is>
      </c>
      <c r="M712" s="4" t="inlineStr">
        <is>
          <t>Train hard, not hot. Powered by Everlux™, the Wunder Train collection is highly breathable and quickly wicks sweat so you feel less sweaty during (and after) your workout.</t>
        </is>
      </c>
      <c r="N712" s="4" t="inlineStr">
        <is>
          <t>Wunder-Train-HighRise-Short-4</t>
        </is>
      </c>
      <c r="O712" s="4" t="inlineStr">
        <is>
          <t>Athletic Shorts, Biker Shorts</t>
        </is>
      </c>
    </row>
    <row r="713" ht="80" customHeight="1">
      <c r="A713" s="7">
        <f>IMAGE("https://images.lululemon.com/is/image/lululemon/LW7DEXS_0001_1?wid=320&amp;op_usm=0.8",1)</f>
        <v/>
      </c>
      <c r="B713" s="7" t="inlineStr">
        <is>
          <t>Wunder Train High-Rise Short 4"</t>
        </is>
      </c>
      <c r="C713" s="7" t="inlineStr">
        <is>
          <t>153075508</t>
        </is>
      </c>
      <c r="D713" s="7" t="inlineStr">
        <is>
          <t>153075508-black</t>
        </is>
      </c>
      <c r="E713" s="7" t="inlineStr">
        <is>
          <t>Wunder Train HR Short 4" BLK 2</t>
        </is>
      </c>
      <c r="F713" s="7" t="inlineStr">
        <is>
          <t>$64.00</t>
        </is>
      </c>
      <c r="G713" s="7" t="inlineStr">
        <is>
          <t>$32.00</t>
        </is>
      </c>
      <c r="H713" s="7" t="inlineStr">
        <is>
          <t>Black</t>
        </is>
      </c>
      <c r="I713" s="7">
        <f>IMAGE("https://images.lululemon.com/is/image/lululemon/0001",1)</f>
        <v/>
      </c>
      <c r="J713" s="7" t="inlineStr">
        <is>
          <t>10</t>
        </is>
      </c>
      <c r="K713" s="7" t="inlineStr">
        <is>
          <t>31/82</t>
        </is>
      </c>
      <c r="L713" s="7" t="inlineStr">
        <is>
          <t>Yes</t>
        </is>
      </c>
      <c r="M713" s="7" t="inlineStr">
        <is>
          <t>Train hard, not hot. Powered by Everlux™, the Wunder Train collection is highly breathable and quickly wicks sweat so you feel less sweaty during (and after) your workout.</t>
        </is>
      </c>
      <c r="N713" s="7" t="inlineStr">
        <is>
          <t>Wunder-Train-HighRise-Short-4</t>
        </is>
      </c>
      <c r="O713" s="7" t="inlineStr">
        <is>
          <t>Athletic Shorts, Biker Shorts</t>
        </is>
      </c>
    </row>
    <row r="714" ht="80" customHeight="1">
      <c r="A714" s="6">
        <f>IMAGE("https://images.lululemon.com/is/image/lululemon/LW7DEXS_0001_1?wid=320&amp;op_usm=0.8",1)</f>
        <v/>
      </c>
      <c r="B714" s="6" t="inlineStr">
        <is>
          <t>Wunder Train High-Rise Short 4"</t>
        </is>
      </c>
      <c r="C714" s="6" t="inlineStr">
        <is>
          <t>153075509</t>
        </is>
      </c>
      <c r="D714" s="6" t="inlineStr">
        <is>
          <t>153075509-black</t>
        </is>
      </c>
      <c r="E714" s="6" t="inlineStr">
        <is>
          <t>Wunder Train HR Short 4" BLK 2</t>
        </is>
      </c>
      <c r="F714" s="6" t="inlineStr">
        <is>
          <t>$64.00</t>
        </is>
      </c>
      <c r="G714" s="6" t="inlineStr">
        <is>
          <t>$32.00</t>
        </is>
      </c>
      <c r="H714" s="6" t="inlineStr">
        <is>
          <t>Black</t>
        </is>
      </c>
      <c r="I714" s="6">
        <f>IMAGE("https://images.lululemon.com/is/image/lululemon/0001",1)</f>
        <v/>
      </c>
      <c r="J714" s="6" t="inlineStr">
        <is>
          <t>12</t>
        </is>
      </c>
      <c r="K714" s="6" t="inlineStr">
        <is>
          <t>16/82</t>
        </is>
      </c>
      <c r="L714" s="6" t="inlineStr">
        <is>
          <t>Yes</t>
        </is>
      </c>
      <c r="M714" s="6" t="inlineStr">
        <is>
          <t>Train hard, not hot. Powered by Everlux™, the Wunder Train collection is highly breathable and quickly wicks sweat so you feel less sweaty during (and after) your workout.</t>
        </is>
      </c>
      <c r="N714" s="6" t="inlineStr">
        <is>
          <t>Wunder-Train-HighRise-Short-4</t>
        </is>
      </c>
      <c r="O714" s="6" t="inlineStr">
        <is>
          <t>Athletic Shorts, Biker Shorts</t>
        </is>
      </c>
    </row>
    <row r="715" ht="80" customHeight="1">
      <c r="A715" s="7">
        <f>IMAGE("https://images.lululemon.com/is/image/lululemon/LW5GR0S_043646_1?wid=320&amp;op_usm=0.8",1)</f>
        <v/>
      </c>
      <c r="B715" s="7" t="inlineStr">
        <is>
          <t>Get Low High-Rise Training Tight 25"</t>
        </is>
      </c>
      <c r="C715" s="7" t="inlineStr">
        <is>
          <t>157712571</t>
        </is>
      </c>
      <c r="D715" s="7" t="inlineStr">
        <is>
          <t>157712571-black/graphitegrey</t>
        </is>
      </c>
      <c r="E715" s="7" t="inlineStr">
        <is>
          <t>Get Low HR Training Tight 25" BLK/GGRE 2</t>
        </is>
      </c>
      <c r="F715" s="7" t="inlineStr">
        <is>
          <t>$108.00</t>
        </is>
      </c>
      <c r="G715" s="7" t="inlineStr">
        <is>
          <t>$54.00</t>
        </is>
      </c>
      <c r="H715" s="7" t="inlineStr">
        <is>
          <t>Black/Graphite Grey</t>
        </is>
      </c>
      <c r="I715" s="7">
        <f>IMAGE("https://images.lululemon.com/is/image/lululemon/43646",1)</f>
        <v/>
      </c>
      <c r="J715" s="7" t="inlineStr">
        <is>
          <t>2</t>
        </is>
      </c>
      <c r="K715" s="7" t="inlineStr">
        <is>
          <t>35/350</t>
        </is>
      </c>
      <c r="L715" s="7" t="inlineStr">
        <is>
          <t>Yes</t>
        </is>
      </c>
      <c r="M715" s="7" t="inlineStr">
        <is>
          <t>You put in the work—here's the gear to match. These seamless tights offer a hugged feel and a defined look to your quads and glutes through every supercharged movement.</t>
        </is>
      </c>
      <c r="N715" s="7" t="inlineStr">
        <is>
          <t>Get-Low-High-Rise-Training-Tight-25</t>
        </is>
      </c>
      <c r="O715" s="7" t="inlineStr">
        <is>
          <t>Athletic Pants</t>
        </is>
      </c>
    </row>
    <row r="716" ht="80" customHeight="1">
      <c r="A716" s="4">
        <f>IMAGE("https://images.lululemon.com/is/image/lululemon/LW5GR0S_043646_1?wid=320&amp;op_usm=0.8",1)</f>
        <v/>
      </c>
      <c r="B716" s="4" t="inlineStr">
        <is>
          <t>Get Low High-Rise Training Tight 25"</t>
        </is>
      </c>
      <c r="C716" s="4" t="inlineStr">
        <is>
          <t>157712581</t>
        </is>
      </c>
      <c r="D716" s="4" t="inlineStr">
        <is>
          <t>157712581-black/graphitegrey</t>
        </is>
      </c>
      <c r="E716" s="4" t="inlineStr">
        <is>
          <t>Get Low HR Training Tight 25" BLK/GGRE 2</t>
        </is>
      </c>
      <c r="F716" s="4" t="inlineStr">
        <is>
          <t>$108.00</t>
        </is>
      </c>
      <c r="G716" s="4" t="inlineStr">
        <is>
          <t>$54.00</t>
        </is>
      </c>
      <c r="H716" s="4" t="inlineStr">
        <is>
          <t>Black/Graphite Grey</t>
        </is>
      </c>
      <c r="I716" s="4">
        <f>IMAGE("https://images.lululemon.com/is/image/lululemon/43646",1)</f>
        <v/>
      </c>
      <c r="J716" s="4" t="inlineStr">
        <is>
          <t>4</t>
        </is>
      </c>
      <c r="K716" s="4" t="inlineStr">
        <is>
          <t>78/350</t>
        </is>
      </c>
      <c r="L716" s="4" t="inlineStr">
        <is>
          <t>Yes</t>
        </is>
      </c>
      <c r="M716" s="4" t="inlineStr">
        <is>
          <t>You put in the work—here's the gear to match. These seamless tights offer a hugged feel and a defined look to your quads and glutes through every supercharged movement.</t>
        </is>
      </c>
      <c r="N716" s="4" t="inlineStr">
        <is>
          <t>Get-Low-High-Rise-Training-Tight-25</t>
        </is>
      </c>
      <c r="O716" s="4" t="inlineStr">
        <is>
          <t>Athletic Pants</t>
        </is>
      </c>
    </row>
    <row r="717" ht="80" customHeight="1">
      <c r="A717" s="7">
        <f>IMAGE("https://images.lululemon.com/is/image/lululemon/LW5GR0S_043646_1?wid=320&amp;op_usm=0.8",1)</f>
        <v/>
      </c>
      <c r="B717" s="7" t="inlineStr">
        <is>
          <t>Get Low High-Rise Training Tight 25"</t>
        </is>
      </c>
      <c r="C717" s="7" t="inlineStr">
        <is>
          <t>157712597</t>
        </is>
      </c>
      <c r="D717" s="7" t="inlineStr">
        <is>
          <t>157712597-black/graphitegrey</t>
        </is>
      </c>
      <c r="E717" s="7" t="inlineStr">
        <is>
          <t>Get Low HR Training Tight 25" BLK/GGRE 2</t>
        </is>
      </c>
      <c r="F717" s="7" t="inlineStr">
        <is>
          <t>$108.00</t>
        </is>
      </c>
      <c r="G717" s="7" t="inlineStr">
        <is>
          <t>$54.00</t>
        </is>
      </c>
      <c r="H717" s="7" t="inlineStr">
        <is>
          <t>Black/Graphite Grey</t>
        </is>
      </c>
      <c r="I717" s="7">
        <f>IMAGE("https://images.lululemon.com/is/image/lululemon/43646",1)</f>
        <v/>
      </c>
      <c r="J717" s="7" t="inlineStr">
        <is>
          <t>6</t>
        </is>
      </c>
      <c r="K717" s="7" t="inlineStr">
        <is>
          <t>91/350</t>
        </is>
      </c>
      <c r="L717" s="7" t="inlineStr">
        <is>
          <t>Yes</t>
        </is>
      </c>
      <c r="M717" s="7" t="inlineStr">
        <is>
          <t>You put in the work—here's the gear to match. These seamless tights offer a hugged feel and a defined look to your quads and glutes through every supercharged movement.</t>
        </is>
      </c>
      <c r="N717" s="7" t="inlineStr">
        <is>
          <t>Get-Low-High-Rise-Training-Tight-25</t>
        </is>
      </c>
      <c r="O717" s="7" t="inlineStr">
        <is>
          <t>Athletic Pants</t>
        </is>
      </c>
    </row>
    <row r="718" ht="80" customHeight="1">
      <c r="A718" s="4">
        <f>IMAGE("https://images.lululemon.com/is/image/lululemon/LW5GR0S_043646_1?wid=320&amp;op_usm=0.8",1)</f>
        <v/>
      </c>
      <c r="B718" s="4" t="inlineStr">
        <is>
          <t>Get Low High-Rise Training Tight 25"</t>
        </is>
      </c>
      <c r="C718" s="4" t="inlineStr">
        <is>
          <t>157712611</t>
        </is>
      </c>
      <c r="D718" s="4" t="inlineStr">
        <is>
          <t>157712611-black/graphitegrey</t>
        </is>
      </c>
      <c r="E718" s="4" t="inlineStr">
        <is>
          <t>Get Low HR Training Tight 25" BLK/GGRE 2</t>
        </is>
      </c>
      <c r="F718" s="4" t="inlineStr">
        <is>
          <t>$108.00</t>
        </is>
      </c>
      <c r="G718" s="4" t="inlineStr">
        <is>
          <t>$54.00</t>
        </is>
      </c>
      <c r="H718" s="4" t="inlineStr">
        <is>
          <t>Black/Graphite Grey</t>
        </is>
      </c>
      <c r="I718" s="4">
        <f>IMAGE("https://images.lululemon.com/is/image/lululemon/43646",1)</f>
        <v/>
      </c>
      <c r="J718" s="4" t="inlineStr">
        <is>
          <t>8</t>
        </is>
      </c>
      <c r="K718" s="4" t="inlineStr">
        <is>
          <t>75/350</t>
        </is>
      </c>
      <c r="L718" s="4" t="inlineStr">
        <is>
          <t>Yes</t>
        </is>
      </c>
      <c r="M718" s="4" t="inlineStr">
        <is>
          <t>You put in the work—here's the gear to match. These seamless tights offer a hugged feel and a defined look to your quads and glutes through every supercharged movement.</t>
        </is>
      </c>
      <c r="N718" s="4" t="inlineStr">
        <is>
          <t>Get-Low-High-Rise-Training-Tight-25</t>
        </is>
      </c>
      <c r="O718" s="4" t="inlineStr">
        <is>
          <t>Athletic Pants</t>
        </is>
      </c>
    </row>
    <row r="719" ht="80" customHeight="1">
      <c r="A719" s="7">
        <f>IMAGE("https://images.lululemon.com/is/image/lululemon/LW5GR0S_043646_1?wid=320&amp;op_usm=0.8",1)</f>
        <v/>
      </c>
      <c r="B719" s="7" t="inlineStr">
        <is>
          <t>Get Low High-Rise Training Tight 25"</t>
        </is>
      </c>
      <c r="C719" s="7" t="inlineStr">
        <is>
          <t>157712540</t>
        </is>
      </c>
      <c r="D719" s="7" t="inlineStr">
        <is>
          <t>157712540-black/graphitegrey</t>
        </is>
      </c>
      <c r="E719" s="7" t="inlineStr">
        <is>
          <t>Get Low HR Training Tight 25" BLK/GGRE 2</t>
        </is>
      </c>
      <c r="F719" s="7" t="inlineStr">
        <is>
          <t>$108.00</t>
        </is>
      </c>
      <c r="G719" s="7" t="inlineStr">
        <is>
          <t>$54.00</t>
        </is>
      </c>
      <c r="H719" s="7" t="inlineStr">
        <is>
          <t>Black/Graphite Grey</t>
        </is>
      </c>
      <c r="I719" s="7">
        <f>IMAGE("https://images.lululemon.com/is/image/lululemon/43646",1)</f>
        <v/>
      </c>
      <c r="J719" s="7" t="inlineStr">
        <is>
          <t>10</t>
        </is>
      </c>
      <c r="K719" s="7" t="inlineStr">
        <is>
          <t>51/350</t>
        </is>
      </c>
      <c r="L719" s="7" t="inlineStr">
        <is>
          <t>Yes</t>
        </is>
      </c>
      <c r="M719" s="7" t="inlineStr">
        <is>
          <t>You put in the work—here's the gear to match. These seamless tights offer a hugged feel and a defined look to your quads and glutes through every supercharged movement.</t>
        </is>
      </c>
      <c r="N719" s="7" t="inlineStr">
        <is>
          <t>Get-Low-High-Rise-Training-Tight-25</t>
        </is>
      </c>
      <c r="O719" s="7" t="inlineStr">
        <is>
          <t>Athletic Pants</t>
        </is>
      </c>
    </row>
    <row r="720" ht="80" customHeight="1">
      <c r="A720" s="6">
        <f>IMAGE("https://images.lululemon.com/is/image/lululemon/LW5GR0S_043646_1?wid=320&amp;op_usm=0.8",1)</f>
        <v/>
      </c>
      <c r="B720" s="6" t="inlineStr">
        <is>
          <t>Get Low High-Rise Training Tight 25"</t>
        </is>
      </c>
      <c r="C720" s="6" t="inlineStr">
        <is>
          <t>157712555</t>
        </is>
      </c>
      <c r="D720" s="6" t="inlineStr">
        <is>
          <t>157712555-black/graphitegrey</t>
        </is>
      </c>
      <c r="E720" s="6" t="inlineStr">
        <is>
          <t>Get Low HR Training Tight 25" BLK/GGRE 2</t>
        </is>
      </c>
      <c r="F720" s="6" t="inlineStr">
        <is>
          <t>$108.00</t>
        </is>
      </c>
      <c r="G720" s="6" t="inlineStr">
        <is>
          <t>$54.00</t>
        </is>
      </c>
      <c r="H720" s="6" t="inlineStr">
        <is>
          <t>Black/Graphite Grey</t>
        </is>
      </c>
      <c r="I720" s="6">
        <f>IMAGE("https://images.lululemon.com/is/image/lululemon/43646",1)</f>
        <v/>
      </c>
      <c r="J720" s="6" t="inlineStr">
        <is>
          <t>12</t>
        </is>
      </c>
      <c r="K720" s="6" t="inlineStr">
        <is>
          <t>20/350</t>
        </is>
      </c>
      <c r="L720" s="6" t="inlineStr">
        <is>
          <t>Yes</t>
        </is>
      </c>
      <c r="M720" s="6" t="inlineStr">
        <is>
          <t>You put in the work—here's the gear to match. These seamless tights offer a hugged feel and a defined look to your quads and glutes through every supercharged movement.</t>
        </is>
      </c>
      <c r="N720" s="6" t="inlineStr">
        <is>
          <t>Get-Low-High-Rise-Training-Tight-25</t>
        </is>
      </c>
      <c r="O720" s="6" t="inlineStr">
        <is>
          <t>Athletic Pants</t>
        </is>
      </c>
    </row>
    <row r="721" ht="80" customHeight="1">
      <c r="A721" s="7">
        <f>IMAGE("https://images.lululemon.com/is/image/lululemon/LU9CAMS_031382_1?wid=320&amp;op_usm=0.8",1)</f>
        <v/>
      </c>
      <c r="B721" s="7" t="inlineStr">
        <is>
          <t>Removable Sweatband All-Sport Visor</t>
        </is>
      </c>
      <c r="C721" s="7" t="inlineStr">
        <is>
          <t>150750165</t>
        </is>
      </c>
      <c r="D721" s="7" t="inlineStr">
        <is>
          <t>150750165-truenavy</t>
        </is>
      </c>
      <c r="E721" s="7" t="inlineStr">
        <is>
          <t>Removable Sweatband All-Sport Visor TRNV L/XL</t>
        </is>
      </c>
      <c r="F721" s="7" t="inlineStr">
        <is>
          <t>$38.00</t>
        </is>
      </c>
      <c r="G721" s="7" t="inlineStr">
        <is>
          <t>$19.00</t>
        </is>
      </c>
      <c r="H721" s="7" t="inlineStr">
        <is>
          <t>True Navy</t>
        </is>
      </c>
      <c r="I721" s="7">
        <f>IMAGE("https://images.lululemon.com/is/image/lululemon/31382",1)</f>
        <v/>
      </c>
      <c r="J721" s="7" t="inlineStr">
        <is>
          <t>L/XL</t>
        </is>
      </c>
      <c r="K721" s="7" t="inlineStr">
        <is>
          <t>149/181</t>
        </is>
      </c>
      <c r="L721" s="7" t="inlineStr">
        <is>
          <t>Yes</t>
        </is>
      </c>
      <c r="M721" s="7" t="inlineStr">
        <is>
          <t>It's easy to stay fresh with this do-it-all visor. Toss the detachable interior sweatband in the laundry so it's ready to go for your next sweat session.</t>
        </is>
      </c>
      <c r="N721" s="7" t="inlineStr">
        <is>
          <t>Removable-SweatbAll-Sport-Visor</t>
        </is>
      </c>
      <c r="O721" s="7" t="inlineStr">
        <is>
          <t>Visors</t>
        </is>
      </c>
    </row>
    <row r="722" ht="80" customHeight="1">
      <c r="A722" s="6">
        <f>IMAGE("https://images.lululemon.com/is/image/lululemon/LU9CAMS_031382_1?wid=320&amp;op_usm=0.8",1)</f>
        <v/>
      </c>
      <c r="B722" s="6" t="inlineStr">
        <is>
          <t>Removable Sweatband All-Sport Visor</t>
        </is>
      </c>
      <c r="C722" s="6" t="inlineStr">
        <is>
          <t>150750151</t>
        </is>
      </c>
      <c r="D722" s="6" t="inlineStr">
        <is>
          <t>150750151-black</t>
        </is>
      </c>
      <c r="E722" s="6" t="inlineStr">
        <is>
          <t>Removable Sweatband All-Sport Visor TRNV L/XL</t>
        </is>
      </c>
      <c r="F722" s="6" t="inlineStr">
        <is>
          <t>$38.00</t>
        </is>
      </c>
      <c r="G722" s="6" t="inlineStr">
        <is>
          <t>$19.00</t>
        </is>
      </c>
      <c r="H722" s="6" t="inlineStr">
        <is>
          <t>Black</t>
        </is>
      </c>
      <c r="I722" s="6">
        <f>IMAGE("https://images.lululemon.com/is/image/lululemon/0001",1)</f>
        <v/>
      </c>
      <c r="J722" s="6" t="inlineStr">
        <is>
          <t>L/XL</t>
        </is>
      </c>
      <c r="K722" s="6" t="inlineStr">
        <is>
          <t>32/181</t>
        </is>
      </c>
      <c r="L722" s="6" t="inlineStr">
        <is>
          <t>Yes</t>
        </is>
      </c>
      <c r="M722" s="6" t="inlineStr">
        <is>
          <t>It's easy to stay fresh with this do-it-all visor. Toss the detachable interior sweatband in the laundry so it's ready to go for your next sweat session.</t>
        </is>
      </c>
      <c r="N722" s="6" t="inlineStr">
        <is>
          <t>Removable-SweatbAll-Sport-Visor</t>
        </is>
      </c>
      <c r="O722" s="6" t="inlineStr">
        <is>
          <t>Visors</t>
        </is>
      </c>
    </row>
    <row r="723" ht="80" customHeight="1">
      <c r="A723" s="7">
        <f>IMAGE("https://images.lululemon.com/is/image/lululemon/LW2326S_0001_1?wid=320&amp;op_usm=0.8",1)</f>
        <v/>
      </c>
      <c r="B723" s="7" t="inlineStr">
        <is>
          <t>lululemon Energy Bra *Medium Support, B–D Cups</t>
        </is>
      </c>
      <c r="C723" s="7" t="inlineStr">
        <is>
          <t>3407897</t>
        </is>
      </c>
      <c r="D723" s="7" t="inlineStr">
        <is>
          <t>3407897-black</t>
        </is>
      </c>
      <c r="E723" s="7" t="inlineStr">
        <is>
          <t>lululemon Energy Bra BLK 2</t>
        </is>
      </c>
      <c r="F723" s="7" t="inlineStr">
        <is>
          <t>$58.00</t>
        </is>
      </c>
      <c r="G723" s="7" t="inlineStr">
        <is>
          <t>$29.00</t>
        </is>
      </c>
      <c r="H723" s="7" t="inlineStr">
        <is>
          <t>Black</t>
        </is>
      </c>
      <c r="I723" s="7">
        <f>IMAGE("https://images.lululemon.com/is/image/lululemon/0001",1)</f>
        <v/>
      </c>
      <c r="J723" s="7" t="inlineStr">
        <is>
          <t>2</t>
        </is>
      </c>
      <c r="K723" s="7" t="inlineStr">
        <is>
          <t>280/3463</t>
        </is>
      </c>
      <c r="L723" s="7" t="inlineStr">
        <is>
          <t>Yes</t>
        </is>
      </c>
      <c r="M723" s="7" t="inlineStr">
        <is>
          <t>Voted most likely to be worn multiple times a week. This all-sport bra is a favourite for comfort and versatility.</t>
        </is>
      </c>
      <c r="N723" s="7" t="inlineStr">
        <is>
          <t>Energy-Bra-32925</t>
        </is>
      </c>
      <c r="O723" s="7" t="inlineStr">
        <is>
          <t>Strappy Bras, Racerback Bras</t>
        </is>
      </c>
    </row>
    <row r="724" ht="80" customHeight="1">
      <c r="A724" s="4">
        <f>IMAGE("https://images.lululemon.com/is/image/lululemon/LW2326S_0001_1?wid=320&amp;op_usm=0.8",1)</f>
        <v/>
      </c>
      <c r="B724" s="4" t="inlineStr">
        <is>
          <t>lululemon Energy Bra *Medium Support, B–D Cups</t>
        </is>
      </c>
      <c r="C724" s="4" t="inlineStr">
        <is>
          <t>151626267</t>
        </is>
      </c>
      <c r="D724" s="4" t="inlineStr">
        <is>
          <t>151626267-black</t>
        </is>
      </c>
      <c r="E724" s="4" t="inlineStr">
        <is>
          <t>lululemon Energy Bra BLK 2</t>
        </is>
      </c>
      <c r="F724" s="4" t="inlineStr">
        <is>
          <t>$58.00</t>
        </is>
      </c>
      <c r="G724" s="4" t="inlineStr">
        <is>
          <t>$29.00</t>
        </is>
      </c>
      <c r="H724" s="4" t="inlineStr">
        <is>
          <t>Black</t>
        </is>
      </c>
      <c r="I724" s="4">
        <f>IMAGE("https://images.lululemon.com/is/image/lululemon/0001",1)</f>
        <v/>
      </c>
      <c r="J724" s="4" t="inlineStr">
        <is>
          <t>4</t>
        </is>
      </c>
      <c r="K724" s="4" t="inlineStr">
        <is>
          <t>157/3463</t>
        </is>
      </c>
      <c r="L724" s="4" t="inlineStr">
        <is>
          <t>Yes</t>
        </is>
      </c>
      <c r="M724" s="4" t="inlineStr">
        <is>
          <t>Voted most likely to be worn multiple times a week. This all-sport bra is a favourite for comfort and versatility.</t>
        </is>
      </c>
      <c r="N724" s="4" t="inlineStr">
        <is>
          <t>Energy-Bra-32925</t>
        </is>
      </c>
      <c r="O724" s="4" t="inlineStr">
        <is>
          <t>Strappy Bras, Racerback Bras</t>
        </is>
      </c>
    </row>
    <row r="725" ht="80" customHeight="1">
      <c r="A725" s="7">
        <f>IMAGE("https://images.lululemon.com/is/image/lululemon/LW2326S_0001_1?wid=320&amp;op_usm=0.8",1)</f>
        <v/>
      </c>
      <c r="B725" s="7" t="inlineStr">
        <is>
          <t>lululemon Energy Bra *Medium Support, B–D Cups</t>
        </is>
      </c>
      <c r="C725" s="7" t="inlineStr">
        <is>
          <t>151626271</t>
        </is>
      </c>
      <c r="D725" s="7" t="inlineStr">
        <is>
          <t>151626271-black</t>
        </is>
      </c>
      <c r="E725" s="7" t="inlineStr">
        <is>
          <t>lululemon Energy Bra BLK 2</t>
        </is>
      </c>
      <c r="F725" s="7" t="inlineStr">
        <is>
          <t>$58.00</t>
        </is>
      </c>
      <c r="G725" s="7" t="inlineStr">
        <is>
          <t>$29.00</t>
        </is>
      </c>
      <c r="H725" s="7" t="inlineStr">
        <is>
          <t>Black</t>
        </is>
      </c>
      <c r="I725" s="7">
        <f>IMAGE("https://images.lululemon.com/is/image/lululemon/0001",1)</f>
        <v/>
      </c>
      <c r="J725" s="7" t="inlineStr">
        <is>
          <t>6</t>
        </is>
      </c>
      <c r="K725" s="7" t="inlineStr">
        <is>
          <t>227/3463</t>
        </is>
      </c>
      <c r="L725" s="7" t="inlineStr">
        <is>
          <t>Yes</t>
        </is>
      </c>
      <c r="M725" s="7" t="inlineStr">
        <is>
          <t>Voted most likely to be worn multiple times a week. This all-sport bra is a favourite for comfort and versatility.</t>
        </is>
      </c>
      <c r="N725" s="7" t="inlineStr">
        <is>
          <t>Energy-Bra-32925</t>
        </is>
      </c>
      <c r="O725" s="7" t="inlineStr">
        <is>
          <t>Strappy Bras, Racerback Bras</t>
        </is>
      </c>
    </row>
    <row r="726" ht="80" customHeight="1">
      <c r="A726" s="4">
        <f>IMAGE("https://images.lululemon.com/is/image/lululemon/LW2326S_0001_1?wid=320&amp;op_usm=0.8",1)</f>
        <v/>
      </c>
      <c r="B726" s="4" t="inlineStr">
        <is>
          <t>lululemon Energy Bra *Medium Support, B–D Cups</t>
        </is>
      </c>
      <c r="C726" s="4" t="inlineStr">
        <is>
          <t>151626278</t>
        </is>
      </c>
      <c r="D726" s="4" t="inlineStr">
        <is>
          <t>151626278-black</t>
        </is>
      </c>
      <c r="E726" s="4" t="inlineStr">
        <is>
          <t>lululemon Energy Bra BLK 2</t>
        </is>
      </c>
      <c r="F726" s="4" t="inlineStr">
        <is>
          <t>$58.00</t>
        </is>
      </c>
      <c r="G726" s="4" t="inlineStr">
        <is>
          <t>$29.00</t>
        </is>
      </c>
      <c r="H726" s="4" t="inlineStr">
        <is>
          <t>Black</t>
        </is>
      </c>
      <c r="I726" s="4">
        <f>IMAGE("https://images.lululemon.com/is/image/lululemon/0001",1)</f>
        <v/>
      </c>
      <c r="J726" s="4" t="inlineStr">
        <is>
          <t>8</t>
        </is>
      </c>
      <c r="K726" s="4" t="inlineStr">
        <is>
          <t>147/3463</t>
        </is>
      </c>
      <c r="L726" s="4" t="inlineStr">
        <is>
          <t>Yes</t>
        </is>
      </c>
      <c r="M726" s="4" t="inlineStr">
        <is>
          <t>Voted most likely to be worn multiple times a week. This all-sport bra is a favourite for comfort and versatility.</t>
        </is>
      </c>
      <c r="N726" s="4" t="inlineStr">
        <is>
          <t>Energy-Bra-32925</t>
        </is>
      </c>
      <c r="O726" s="4" t="inlineStr">
        <is>
          <t>Strappy Bras, Racerback Bras</t>
        </is>
      </c>
    </row>
    <row r="727" ht="80" customHeight="1">
      <c r="A727" s="7">
        <f>IMAGE("https://images.lululemon.com/is/image/lululemon/LW2326S_0001_1?wid=320&amp;op_usm=0.8",1)</f>
        <v/>
      </c>
      <c r="B727" s="7" t="inlineStr">
        <is>
          <t>lululemon Energy Bra *Medium Support, B–D Cups</t>
        </is>
      </c>
      <c r="C727" s="7" t="inlineStr">
        <is>
          <t>151626248</t>
        </is>
      </c>
      <c r="D727" s="7" t="inlineStr">
        <is>
          <t>151626248-black</t>
        </is>
      </c>
      <c r="E727" s="7" t="inlineStr">
        <is>
          <t>lululemon Energy Bra BLK 2</t>
        </is>
      </c>
      <c r="F727" s="7" t="inlineStr">
        <is>
          <t>$58.00</t>
        </is>
      </c>
      <c r="G727" s="7" t="inlineStr">
        <is>
          <t>$29.00</t>
        </is>
      </c>
      <c r="H727" s="7" t="inlineStr">
        <is>
          <t>Black</t>
        </is>
      </c>
      <c r="I727" s="7">
        <f>IMAGE("https://images.lululemon.com/is/image/lululemon/0001",1)</f>
        <v/>
      </c>
      <c r="J727" s="7" t="inlineStr">
        <is>
          <t>10</t>
        </is>
      </c>
      <c r="K727" s="7" t="inlineStr">
        <is>
          <t>88/3463</t>
        </is>
      </c>
      <c r="L727" s="7" t="inlineStr">
        <is>
          <t>Yes</t>
        </is>
      </c>
      <c r="M727" s="7" t="inlineStr">
        <is>
          <t>Voted most likely to be worn multiple times a week. This all-sport bra is a favourite for comfort and versatility.</t>
        </is>
      </c>
      <c r="N727" s="7" t="inlineStr">
        <is>
          <t>Energy-Bra-32925</t>
        </is>
      </c>
      <c r="O727" s="7" t="inlineStr">
        <is>
          <t>Strappy Bras, Racerback Bras</t>
        </is>
      </c>
    </row>
    <row r="728" ht="80" customHeight="1">
      <c r="A728" s="4">
        <f>IMAGE("https://images.lululemon.com/is/image/lululemon/LW2326S_0001_1?wid=320&amp;op_usm=0.8",1)</f>
        <v/>
      </c>
      <c r="B728" s="4" t="inlineStr">
        <is>
          <t>lululemon Energy Bra *Medium Support, B–D Cups</t>
        </is>
      </c>
      <c r="C728" s="4" t="inlineStr">
        <is>
          <t>3407895</t>
        </is>
      </c>
      <c r="D728" s="4" t="inlineStr">
        <is>
          <t>3407895-black</t>
        </is>
      </c>
      <c r="E728" s="4" t="inlineStr">
        <is>
          <t>lululemon Energy Bra BLK 2</t>
        </is>
      </c>
      <c r="F728" s="4" t="inlineStr">
        <is>
          <t>$58.00</t>
        </is>
      </c>
      <c r="G728" s="4" t="inlineStr">
        <is>
          <t>$29.00</t>
        </is>
      </c>
      <c r="H728" s="4" t="inlineStr">
        <is>
          <t>Black</t>
        </is>
      </c>
      <c r="I728" s="4">
        <f>IMAGE("https://images.lululemon.com/is/image/lululemon/0001",1)</f>
        <v/>
      </c>
      <c r="J728" s="4" t="inlineStr">
        <is>
          <t>12</t>
        </is>
      </c>
      <c r="K728" s="4" t="inlineStr">
        <is>
          <t>91/3463</t>
        </is>
      </c>
      <c r="L728" s="4" t="inlineStr">
        <is>
          <t>Yes</t>
        </is>
      </c>
      <c r="M728" s="4" t="inlineStr">
        <is>
          <t>Voted most likely to be worn multiple times a week. This all-sport bra is a favourite for comfort and versatility.</t>
        </is>
      </c>
      <c r="N728" s="4" t="inlineStr">
        <is>
          <t>Energy-Bra-32925</t>
        </is>
      </c>
      <c r="O728" s="4" t="inlineStr">
        <is>
          <t>Strappy Bras, Racerback Bras</t>
        </is>
      </c>
    </row>
    <row r="729" ht="80" customHeight="1">
      <c r="A729" s="7">
        <f>IMAGE("https://images.lululemon.com/is/image/lululemon/LW2326S_0001_1?wid=320&amp;op_usm=0.8",1)</f>
        <v/>
      </c>
      <c r="B729" s="7" t="inlineStr">
        <is>
          <t>lululemon Energy Bra *Medium Support, B–D Cups</t>
        </is>
      </c>
      <c r="C729" s="7" t="inlineStr">
        <is>
          <t>3407896</t>
        </is>
      </c>
      <c r="D729" s="7" t="inlineStr">
        <is>
          <t>3407896-black</t>
        </is>
      </c>
      <c r="E729" s="7" t="inlineStr">
        <is>
          <t>lululemon Energy Bra BLK 2</t>
        </is>
      </c>
      <c r="F729" s="7" t="inlineStr">
        <is>
          <t>$58.00</t>
        </is>
      </c>
      <c r="G729" s="7" t="inlineStr">
        <is>
          <t>$29.00</t>
        </is>
      </c>
      <c r="H729" s="7" t="inlineStr">
        <is>
          <t>Black</t>
        </is>
      </c>
      <c r="I729" s="7">
        <f>IMAGE("https://images.lululemon.com/is/image/lululemon/0001",1)</f>
        <v/>
      </c>
      <c r="J729" s="7" t="inlineStr">
        <is>
          <t>14</t>
        </is>
      </c>
      <c r="K729" s="7" t="inlineStr">
        <is>
          <t>78/3463</t>
        </is>
      </c>
      <c r="L729" s="7" t="inlineStr">
        <is>
          <t>Yes</t>
        </is>
      </c>
      <c r="M729" s="7" t="inlineStr">
        <is>
          <t>Voted most likely to be worn multiple times a week. This all-sport bra is a favourite for comfort and versatility.</t>
        </is>
      </c>
      <c r="N729" s="7" t="inlineStr">
        <is>
          <t>Energy-Bra-32925</t>
        </is>
      </c>
      <c r="O729" s="7" t="inlineStr">
        <is>
          <t>Strappy Bras, Racerback Bras</t>
        </is>
      </c>
    </row>
    <row r="730" ht="80" customHeight="1">
      <c r="A730" s="4">
        <f>IMAGE("https://images.lululemon.com/is/image/lululemon/LW2326S_0001_1?wid=320&amp;op_usm=0.8",1)</f>
        <v/>
      </c>
      <c r="B730" s="4" t="inlineStr">
        <is>
          <t>lululemon Energy Bra *Medium Support, B–D Cups</t>
        </is>
      </c>
      <c r="C730" s="4" t="inlineStr">
        <is>
          <t>151626555</t>
        </is>
      </c>
      <c r="D730" s="4" t="inlineStr">
        <is>
          <t>151626555-white</t>
        </is>
      </c>
      <c r="E730" s="4" t="inlineStr">
        <is>
          <t>lululemon Energy Bra BLK 2</t>
        </is>
      </c>
      <c r="F730" s="4" t="inlineStr">
        <is>
          <t>$58.00</t>
        </is>
      </c>
      <c r="G730" s="4" t="inlineStr">
        <is>
          <t>$29.00</t>
        </is>
      </c>
      <c r="H730" s="4" t="inlineStr">
        <is>
          <t>White</t>
        </is>
      </c>
      <c r="I730" s="4">
        <f>IMAGE("https://images.lululemon.com/is/image/lululemon/0002",1)</f>
        <v/>
      </c>
      <c r="J730" s="4" t="inlineStr">
        <is>
          <t>2</t>
        </is>
      </c>
      <c r="K730" s="4" t="inlineStr">
        <is>
          <t>33/3463</t>
        </is>
      </c>
      <c r="L730" s="4" t="inlineStr">
        <is>
          <t>Yes</t>
        </is>
      </c>
      <c r="M730" s="4" t="inlineStr">
        <is>
          <t>Voted most likely to be worn multiple times a week. This all-sport bra is a favourite for comfort and versatility.</t>
        </is>
      </c>
      <c r="N730" s="4" t="inlineStr">
        <is>
          <t>Energy-Bra-32925</t>
        </is>
      </c>
      <c r="O730" s="4" t="inlineStr">
        <is>
          <t>Strappy Bras, Racerback Bras</t>
        </is>
      </c>
    </row>
    <row r="731" ht="80" customHeight="1">
      <c r="A731" s="7">
        <f>IMAGE("https://images.lululemon.com/is/image/lululemon/LW2326S_0001_1?wid=320&amp;op_usm=0.8",1)</f>
        <v/>
      </c>
      <c r="B731" s="7" t="inlineStr">
        <is>
          <t>lululemon Energy Bra *Medium Support, B–D Cups</t>
        </is>
      </c>
      <c r="C731" s="7" t="inlineStr">
        <is>
          <t>151626563</t>
        </is>
      </c>
      <c r="D731" s="7" t="inlineStr">
        <is>
          <t>151626563-white</t>
        </is>
      </c>
      <c r="E731" s="7" t="inlineStr">
        <is>
          <t>lululemon Energy Bra BLK 2</t>
        </is>
      </c>
      <c r="F731" s="7" t="inlineStr">
        <is>
          <t>$58.00</t>
        </is>
      </c>
      <c r="G731" s="7" t="inlineStr">
        <is>
          <t>$29.00</t>
        </is>
      </c>
      <c r="H731" s="7" t="inlineStr">
        <is>
          <t>White</t>
        </is>
      </c>
      <c r="I731" s="7">
        <f>IMAGE("https://images.lululemon.com/is/image/lululemon/0002",1)</f>
        <v/>
      </c>
      <c r="J731" s="7" t="inlineStr">
        <is>
          <t>4</t>
        </is>
      </c>
      <c r="K731" s="7" t="inlineStr">
        <is>
          <t>232/3463</t>
        </is>
      </c>
      <c r="L731" s="7" t="inlineStr">
        <is>
          <t>Yes</t>
        </is>
      </c>
      <c r="M731" s="7" t="inlineStr">
        <is>
          <t>Voted most likely to be worn multiple times a week. This all-sport bra is a favourite for comfort and versatility.</t>
        </is>
      </c>
      <c r="N731" s="7" t="inlineStr">
        <is>
          <t>Energy-Bra-32925</t>
        </is>
      </c>
      <c r="O731" s="7" t="inlineStr">
        <is>
          <t>Strappy Bras, Racerback Bras</t>
        </is>
      </c>
    </row>
    <row r="732" ht="80" customHeight="1">
      <c r="A732" s="4">
        <f>IMAGE("https://images.lululemon.com/is/image/lululemon/LW2326S_0001_1?wid=320&amp;op_usm=0.8",1)</f>
        <v/>
      </c>
      <c r="B732" s="4" t="inlineStr">
        <is>
          <t>lululemon Energy Bra *Medium Support, B–D Cups</t>
        </is>
      </c>
      <c r="C732" s="4" t="inlineStr">
        <is>
          <t>151626570</t>
        </is>
      </c>
      <c r="D732" s="4" t="inlineStr">
        <is>
          <t>151626570-white</t>
        </is>
      </c>
      <c r="E732" s="4" t="inlineStr">
        <is>
          <t>lululemon Energy Bra BLK 2</t>
        </is>
      </c>
      <c r="F732" s="4" t="inlineStr">
        <is>
          <t>$58.00</t>
        </is>
      </c>
      <c r="G732" s="4" t="inlineStr">
        <is>
          <t>$29.00</t>
        </is>
      </c>
      <c r="H732" s="4" t="inlineStr">
        <is>
          <t>White</t>
        </is>
      </c>
      <c r="I732" s="4">
        <f>IMAGE("https://images.lululemon.com/is/image/lululemon/0002",1)</f>
        <v/>
      </c>
      <c r="J732" s="4" t="inlineStr">
        <is>
          <t>6</t>
        </is>
      </c>
      <c r="K732" s="4" t="inlineStr">
        <is>
          <t>263/3463</t>
        </is>
      </c>
      <c r="L732" s="4" t="inlineStr">
        <is>
          <t>Yes</t>
        </is>
      </c>
      <c r="M732" s="4" t="inlineStr">
        <is>
          <t>Voted most likely to be worn multiple times a week. This all-sport bra is a favourite for comfort and versatility.</t>
        </is>
      </c>
      <c r="N732" s="4" t="inlineStr">
        <is>
          <t>Energy-Bra-32925</t>
        </is>
      </c>
      <c r="O732" s="4" t="inlineStr">
        <is>
          <t>Strappy Bras, Racerback Bras</t>
        </is>
      </c>
    </row>
    <row r="733" ht="80" customHeight="1">
      <c r="A733" s="7">
        <f>IMAGE("https://images.lululemon.com/is/image/lululemon/LW2326S_0001_1?wid=320&amp;op_usm=0.8",1)</f>
        <v/>
      </c>
      <c r="B733" s="7" t="inlineStr">
        <is>
          <t>lululemon Energy Bra *Medium Support, B–D Cups</t>
        </is>
      </c>
      <c r="C733" s="7" t="inlineStr">
        <is>
          <t>151626579</t>
        </is>
      </c>
      <c r="D733" s="7" t="inlineStr">
        <is>
          <t>151626579-white</t>
        </is>
      </c>
      <c r="E733" s="7" t="inlineStr">
        <is>
          <t>lululemon Energy Bra BLK 2</t>
        </is>
      </c>
      <c r="F733" s="7" t="inlineStr">
        <is>
          <t>$58.00</t>
        </is>
      </c>
      <c r="G733" s="7" t="inlineStr">
        <is>
          <t>$29.00</t>
        </is>
      </c>
      <c r="H733" s="7" t="inlineStr">
        <is>
          <t>White</t>
        </is>
      </c>
      <c r="I733" s="7">
        <f>IMAGE("https://images.lululemon.com/is/image/lululemon/0002",1)</f>
        <v/>
      </c>
      <c r="J733" s="7" t="inlineStr">
        <is>
          <t>8</t>
        </is>
      </c>
      <c r="K733" s="7" t="inlineStr">
        <is>
          <t>308/3463</t>
        </is>
      </c>
      <c r="L733" s="7" t="inlineStr">
        <is>
          <t>Yes</t>
        </is>
      </c>
      <c r="M733" s="7" t="inlineStr">
        <is>
          <t>Voted most likely to be worn multiple times a week. This all-sport bra is a favourite for comfort and versatility.</t>
        </is>
      </c>
      <c r="N733" s="7" t="inlineStr">
        <is>
          <t>Energy-Bra-32925</t>
        </is>
      </c>
      <c r="O733" s="7" t="inlineStr">
        <is>
          <t>Strappy Bras, Racerback Bras</t>
        </is>
      </c>
    </row>
    <row r="734" ht="80" customHeight="1">
      <c r="A734" s="4">
        <f>IMAGE("https://images.lululemon.com/is/image/lululemon/LW2326S_0001_1?wid=320&amp;op_usm=0.8",1)</f>
        <v/>
      </c>
      <c r="B734" s="4" t="inlineStr">
        <is>
          <t>lululemon Energy Bra *Medium Support, B–D Cups</t>
        </is>
      </c>
      <c r="C734" s="4" t="inlineStr">
        <is>
          <t>151626529</t>
        </is>
      </c>
      <c r="D734" s="4" t="inlineStr">
        <is>
          <t>151626529-white</t>
        </is>
      </c>
      <c r="E734" s="4" t="inlineStr">
        <is>
          <t>lululemon Energy Bra BLK 2</t>
        </is>
      </c>
      <c r="F734" s="4" t="inlineStr">
        <is>
          <t>$58.00</t>
        </is>
      </c>
      <c r="G734" s="4" t="inlineStr">
        <is>
          <t>$29.00</t>
        </is>
      </c>
      <c r="H734" s="4" t="inlineStr">
        <is>
          <t>White</t>
        </is>
      </c>
      <c r="I734" s="4">
        <f>IMAGE("https://images.lululemon.com/is/image/lululemon/0002",1)</f>
        <v/>
      </c>
      <c r="J734" s="4" t="inlineStr">
        <is>
          <t>10</t>
        </is>
      </c>
      <c r="K734" s="4" t="inlineStr">
        <is>
          <t>188/3463</t>
        </is>
      </c>
      <c r="L734" s="4" t="inlineStr">
        <is>
          <t>Yes</t>
        </is>
      </c>
      <c r="M734" s="4" t="inlineStr">
        <is>
          <t>Voted most likely to be worn multiple times a week. This all-sport bra is a favourite for comfort and versatility.</t>
        </is>
      </c>
      <c r="N734" s="4" t="inlineStr">
        <is>
          <t>Energy-Bra-32925</t>
        </is>
      </c>
      <c r="O734" s="4" t="inlineStr">
        <is>
          <t>Strappy Bras, Racerback Bras</t>
        </is>
      </c>
    </row>
    <row r="735" ht="80" customHeight="1">
      <c r="A735" s="7">
        <f>IMAGE("https://images.lululemon.com/is/image/lululemon/LW2326S_0001_1?wid=320&amp;op_usm=0.8",1)</f>
        <v/>
      </c>
      <c r="B735" s="7" t="inlineStr">
        <is>
          <t>lululemon Energy Bra *Medium Support, B–D Cups</t>
        </is>
      </c>
      <c r="C735" s="7" t="inlineStr">
        <is>
          <t>3496168</t>
        </is>
      </c>
      <c r="D735" s="7" t="inlineStr">
        <is>
          <t>3496168-white</t>
        </is>
      </c>
      <c r="E735" s="7" t="inlineStr">
        <is>
          <t>lululemon Energy Bra BLK 2</t>
        </is>
      </c>
      <c r="F735" s="7" t="inlineStr">
        <is>
          <t>$58.00</t>
        </is>
      </c>
      <c r="G735" s="7" t="inlineStr">
        <is>
          <t>$29.00</t>
        </is>
      </c>
      <c r="H735" s="7" t="inlineStr">
        <is>
          <t>White</t>
        </is>
      </c>
      <c r="I735" s="7">
        <f>IMAGE("https://images.lululemon.com/is/image/lululemon/0002",1)</f>
        <v/>
      </c>
      <c r="J735" s="7" t="inlineStr">
        <is>
          <t>12</t>
        </is>
      </c>
      <c r="K735" s="7" t="inlineStr">
        <is>
          <t>85/3463</t>
        </is>
      </c>
      <c r="L735" s="7" t="inlineStr">
        <is>
          <t>Yes</t>
        </is>
      </c>
      <c r="M735" s="7" t="inlineStr">
        <is>
          <t>Voted most likely to be worn multiple times a week. This all-sport bra is a favourite for comfort and versatility.</t>
        </is>
      </c>
      <c r="N735" s="7" t="inlineStr">
        <is>
          <t>Energy-Bra-32925</t>
        </is>
      </c>
      <c r="O735" s="7" t="inlineStr">
        <is>
          <t>Strappy Bras, Racerback Bras</t>
        </is>
      </c>
    </row>
    <row r="736" ht="80" customHeight="1">
      <c r="A736" s="4">
        <f>IMAGE("https://images.lululemon.com/is/image/lululemon/LW2326S_0001_1?wid=320&amp;op_usm=0.8",1)</f>
        <v/>
      </c>
      <c r="B736" s="4" t="inlineStr">
        <is>
          <t>lululemon Energy Bra *Medium Support, B–D Cups</t>
        </is>
      </c>
      <c r="C736" s="4" t="inlineStr">
        <is>
          <t>3496169</t>
        </is>
      </c>
      <c r="D736" s="4" t="inlineStr">
        <is>
          <t>3496169-white</t>
        </is>
      </c>
      <c r="E736" s="4" t="inlineStr">
        <is>
          <t>lululemon Energy Bra BLK 2</t>
        </is>
      </c>
      <c r="F736" s="4" t="inlineStr">
        <is>
          <t>$58.00</t>
        </is>
      </c>
      <c r="G736" s="4" t="inlineStr">
        <is>
          <t>$29.00</t>
        </is>
      </c>
      <c r="H736" s="4" t="inlineStr">
        <is>
          <t>White</t>
        </is>
      </c>
      <c r="I736" s="4">
        <f>IMAGE("https://images.lululemon.com/is/image/lululemon/0002",1)</f>
        <v/>
      </c>
      <c r="J736" s="4" t="inlineStr">
        <is>
          <t>14</t>
        </is>
      </c>
      <c r="K736" s="4" t="inlineStr">
        <is>
          <t>32/3463</t>
        </is>
      </c>
      <c r="L736" s="4" t="inlineStr">
        <is>
          <t>Yes</t>
        </is>
      </c>
      <c r="M736" s="4" t="inlineStr">
        <is>
          <t>Voted most likely to be worn multiple times a week. This all-sport bra is a favourite for comfort and versatility.</t>
        </is>
      </c>
      <c r="N736" s="4" t="inlineStr">
        <is>
          <t>Energy-Bra-32925</t>
        </is>
      </c>
      <c r="O736" s="4" t="inlineStr">
        <is>
          <t>Strappy Bras, Racerback Bras</t>
        </is>
      </c>
    </row>
    <row r="737" ht="80" customHeight="1">
      <c r="A737" s="7">
        <f>IMAGE("https://images.lululemon.com/is/image/lululemon/LW2326S_0001_1?wid=320&amp;op_usm=0.8",1)</f>
        <v/>
      </c>
      <c r="B737" s="7" t="inlineStr">
        <is>
          <t>lululemon Energy Bra *Medium Support, B–D Cups</t>
        </is>
      </c>
      <c r="C737" s="7" t="inlineStr">
        <is>
          <t>157688512</t>
        </is>
      </c>
      <c r="D737" s="7" t="inlineStr">
        <is>
          <t>157688512-sereneblue</t>
        </is>
      </c>
      <c r="E737" s="7" t="inlineStr">
        <is>
          <t>lululemon Energy Bra BLK 2</t>
        </is>
      </c>
      <c r="F737" s="7" t="inlineStr">
        <is>
          <t>$58.00</t>
        </is>
      </c>
      <c r="G737" s="7" t="inlineStr">
        <is>
          <t>$29.00</t>
        </is>
      </c>
      <c r="H737" s="7" t="inlineStr">
        <is>
          <t>Serene Blue</t>
        </is>
      </c>
      <c r="I737" s="7">
        <f>IMAGE("https://images.lululemon.com/is/image/lululemon/32507",1)</f>
        <v/>
      </c>
      <c r="J737" s="7" t="inlineStr">
        <is>
          <t>2</t>
        </is>
      </c>
      <c r="K737" s="7" t="inlineStr">
        <is>
          <t>27/3463</t>
        </is>
      </c>
      <c r="L737" s="7" t="inlineStr">
        <is>
          <t>Yes</t>
        </is>
      </c>
      <c r="M737" s="7" t="inlineStr">
        <is>
          <t>Voted most likely to be worn multiple times a week. This all-sport bra is a favourite for comfort and versatility.</t>
        </is>
      </c>
      <c r="N737" s="7" t="inlineStr">
        <is>
          <t>Energy-Bra-32925</t>
        </is>
      </c>
      <c r="O737" s="7" t="inlineStr">
        <is>
          <t>Strappy Bras, Racerback Bras</t>
        </is>
      </c>
    </row>
    <row r="738" ht="80" customHeight="1">
      <c r="A738" s="4">
        <f>IMAGE("https://images.lululemon.com/is/image/lululemon/LW2326S_0001_1?wid=320&amp;op_usm=0.8",1)</f>
        <v/>
      </c>
      <c r="B738" s="4" t="inlineStr">
        <is>
          <t>lululemon Energy Bra *Medium Support, B–D Cups</t>
        </is>
      </c>
      <c r="C738" s="4" t="inlineStr">
        <is>
          <t>157688514</t>
        </is>
      </c>
      <c r="D738" s="4" t="inlineStr">
        <is>
          <t>157688514-sereneblue</t>
        </is>
      </c>
      <c r="E738" s="4" t="inlineStr">
        <is>
          <t>lululemon Energy Bra BLK 2</t>
        </is>
      </c>
      <c r="F738" s="4" t="inlineStr">
        <is>
          <t>$58.00</t>
        </is>
      </c>
      <c r="G738" s="4" t="inlineStr">
        <is>
          <t>$29.00</t>
        </is>
      </c>
      <c r="H738" s="4" t="inlineStr">
        <is>
          <t>Serene Blue</t>
        </is>
      </c>
      <c r="I738" s="4">
        <f>IMAGE("https://images.lululemon.com/is/image/lululemon/32507",1)</f>
        <v/>
      </c>
      <c r="J738" s="4" t="inlineStr">
        <is>
          <t>4</t>
        </is>
      </c>
      <c r="K738" s="4" t="inlineStr">
        <is>
          <t>69/3463</t>
        </is>
      </c>
      <c r="L738" s="4" t="inlineStr">
        <is>
          <t>Yes</t>
        </is>
      </c>
      <c r="M738" s="4" t="inlineStr">
        <is>
          <t>Voted most likely to be worn multiple times a week. This all-sport bra is a favourite for comfort and versatility.</t>
        </is>
      </c>
      <c r="N738" s="4" t="inlineStr">
        <is>
          <t>Energy-Bra-32925</t>
        </is>
      </c>
      <c r="O738" s="4" t="inlineStr">
        <is>
          <t>Strappy Bras, Racerback Bras</t>
        </is>
      </c>
    </row>
    <row r="739" ht="80" customHeight="1">
      <c r="A739" s="7">
        <f>IMAGE("https://images.lululemon.com/is/image/lululemon/LW2326S_0001_1?wid=320&amp;op_usm=0.8",1)</f>
        <v/>
      </c>
      <c r="B739" s="7" t="inlineStr">
        <is>
          <t>lululemon Energy Bra *Medium Support, B–D Cups</t>
        </is>
      </c>
      <c r="C739" s="7" t="inlineStr">
        <is>
          <t>157688517</t>
        </is>
      </c>
      <c r="D739" s="7" t="inlineStr">
        <is>
          <t>157688517-sereneblue</t>
        </is>
      </c>
      <c r="E739" s="7" t="inlineStr">
        <is>
          <t>lululemon Energy Bra BLK 2</t>
        </is>
      </c>
      <c r="F739" s="7" t="inlineStr">
        <is>
          <t>$58.00</t>
        </is>
      </c>
      <c r="G739" s="7" t="inlineStr">
        <is>
          <t>$29.00</t>
        </is>
      </c>
      <c r="H739" s="7" t="inlineStr">
        <is>
          <t>Serene Blue</t>
        </is>
      </c>
      <c r="I739" s="7">
        <f>IMAGE("https://images.lululemon.com/is/image/lululemon/32507",1)</f>
        <v/>
      </c>
      <c r="J739" s="7" t="inlineStr">
        <is>
          <t>6</t>
        </is>
      </c>
      <c r="K739" s="7" t="inlineStr">
        <is>
          <t>100/3463</t>
        </is>
      </c>
      <c r="L739" s="7" t="inlineStr">
        <is>
          <t>Yes</t>
        </is>
      </c>
      <c r="M739" s="7" t="inlineStr">
        <is>
          <t>Voted most likely to be worn multiple times a week. This all-sport bra is a favourite for comfort and versatility.</t>
        </is>
      </c>
      <c r="N739" s="7" t="inlineStr">
        <is>
          <t>Energy-Bra-32925</t>
        </is>
      </c>
      <c r="O739" s="7" t="inlineStr">
        <is>
          <t>Strappy Bras, Racerback Bras</t>
        </is>
      </c>
    </row>
    <row r="740" ht="80" customHeight="1">
      <c r="A740" s="4">
        <f>IMAGE("https://images.lululemon.com/is/image/lululemon/LW2326S_0001_1?wid=320&amp;op_usm=0.8",1)</f>
        <v/>
      </c>
      <c r="B740" s="4" t="inlineStr">
        <is>
          <t>lululemon Energy Bra *Medium Support, B–D Cups</t>
        </is>
      </c>
      <c r="C740" s="4" t="inlineStr">
        <is>
          <t>157688521</t>
        </is>
      </c>
      <c r="D740" s="4" t="inlineStr">
        <is>
          <t>157688521-sereneblue</t>
        </is>
      </c>
      <c r="E740" s="4" t="inlineStr">
        <is>
          <t>lululemon Energy Bra BLK 2</t>
        </is>
      </c>
      <c r="F740" s="4" t="inlineStr">
        <is>
          <t>$58.00</t>
        </is>
      </c>
      <c r="G740" s="4" t="inlineStr">
        <is>
          <t>$29.00</t>
        </is>
      </c>
      <c r="H740" s="4" t="inlineStr">
        <is>
          <t>Serene Blue</t>
        </is>
      </c>
      <c r="I740" s="4">
        <f>IMAGE("https://images.lululemon.com/is/image/lululemon/32507",1)</f>
        <v/>
      </c>
      <c r="J740" s="4" t="inlineStr">
        <is>
          <t>8</t>
        </is>
      </c>
      <c r="K740" s="4" t="inlineStr">
        <is>
          <t>91/3463</t>
        </is>
      </c>
      <c r="L740" s="4" t="inlineStr">
        <is>
          <t>Yes</t>
        </is>
      </c>
      <c r="M740" s="4" t="inlineStr">
        <is>
          <t>Voted most likely to be worn multiple times a week. This all-sport bra is a favourite for comfort and versatility.</t>
        </is>
      </c>
      <c r="N740" s="4" t="inlineStr">
        <is>
          <t>Energy-Bra-32925</t>
        </is>
      </c>
      <c r="O740" s="4" t="inlineStr">
        <is>
          <t>Strappy Bras, Racerback Bras</t>
        </is>
      </c>
    </row>
    <row r="741" ht="80" customHeight="1">
      <c r="A741" s="7">
        <f>IMAGE("https://images.lululemon.com/is/image/lululemon/LW2326S_0001_1?wid=320&amp;op_usm=0.8",1)</f>
        <v/>
      </c>
      <c r="B741" s="7" t="inlineStr">
        <is>
          <t>lululemon Energy Bra *Medium Support, B–D Cups</t>
        </is>
      </c>
      <c r="C741" s="7" t="inlineStr">
        <is>
          <t>157688502</t>
        </is>
      </c>
      <c r="D741" s="7" t="inlineStr">
        <is>
          <t>157688502-sereneblue</t>
        </is>
      </c>
      <c r="E741" s="7" t="inlineStr">
        <is>
          <t>lululemon Energy Bra BLK 2</t>
        </is>
      </c>
      <c r="F741" s="7" t="inlineStr">
        <is>
          <t>$58.00</t>
        </is>
      </c>
      <c r="G741" s="7" t="inlineStr">
        <is>
          <t>$29.00</t>
        </is>
      </c>
      <c r="H741" s="7" t="inlineStr">
        <is>
          <t>Serene Blue</t>
        </is>
      </c>
      <c r="I741" s="7">
        <f>IMAGE("https://images.lululemon.com/is/image/lululemon/32507",1)</f>
        <v/>
      </c>
      <c r="J741" s="7" t="inlineStr">
        <is>
          <t>10</t>
        </is>
      </c>
      <c r="K741" s="7" t="inlineStr">
        <is>
          <t>35/3463</t>
        </is>
      </c>
      <c r="L741" s="7" t="inlineStr">
        <is>
          <t>Yes</t>
        </is>
      </c>
      <c r="M741" s="7" t="inlineStr">
        <is>
          <t>Voted most likely to be worn multiple times a week. This all-sport bra is a favourite for comfort and versatility.</t>
        </is>
      </c>
      <c r="N741" s="7" t="inlineStr">
        <is>
          <t>Energy-Bra-32925</t>
        </is>
      </c>
      <c r="O741" s="7" t="inlineStr">
        <is>
          <t>Strappy Bras, Racerback Bras</t>
        </is>
      </c>
    </row>
    <row r="742" ht="80" customHeight="1">
      <c r="A742" s="4">
        <f>IMAGE("https://images.lululemon.com/is/image/lululemon/LW2326S_0001_1?wid=320&amp;op_usm=0.8",1)</f>
        <v/>
      </c>
      <c r="B742" s="4" t="inlineStr">
        <is>
          <t>lululemon Energy Bra *Medium Support, B–D Cups</t>
        </is>
      </c>
      <c r="C742" s="4" t="inlineStr">
        <is>
          <t>157688505</t>
        </is>
      </c>
      <c r="D742" s="4" t="inlineStr">
        <is>
          <t>157688505-sereneblue</t>
        </is>
      </c>
      <c r="E742" s="4" t="inlineStr">
        <is>
          <t>lululemon Energy Bra BLK 2</t>
        </is>
      </c>
      <c r="F742" s="4" t="inlineStr">
        <is>
          <t>$58.00</t>
        </is>
      </c>
      <c r="G742" s="4" t="inlineStr">
        <is>
          <t>$29.00</t>
        </is>
      </c>
      <c r="H742" s="4" t="inlineStr">
        <is>
          <t>Serene Blue</t>
        </is>
      </c>
      <c r="I742" s="4">
        <f>IMAGE("https://images.lululemon.com/is/image/lululemon/32507",1)</f>
        <v/>
      </c>
      <c r="J742" s="4" t="inlineStr">
        <is>
          <t>12</t>
        </is>
      </c>
      <c r="K742" s="4" t="inlineStr">
        <is>
          <t>24/3463</t>
        </is>
      </c>
      <c r="L742" s="4" t="inlineStr">
        <is>
          <t>Yes</t>
        </is>
      </c>
      <c r="M742" s="4" t="inlineStr">
        <is>
          <t>Voted most likely to be worn multiple times a week. This all-sport bra is a favourite for comfort and versatility.</t>
        </is>
      </c>
      <c r="N742" s="4" t="inlineStr">
        <is>
          <t>Energy-Bra-32925</t>
        </is>
      </c>
      <c r="O742" s="4" t="inlineStr">
        <is>
          <t>Strappy Bras, Racerback Bras</t>
        </is>
      </c>
    </row>
    <row r="743" ht="80" customHeight="1">
      <c r="A743" s="7">
        <f>IMAGE("https://images.lululemon.com/is/image/lululemon/LW2326S_0001_1?wid=320&amp;op_usm=0.8",1)</f>
        <v/>
      </c>
      <c r="B743" s="7" t="inlineStr">
        <is>
          <t>lululemon Energy Bra *Medium Support, B–D Cups</t>
        </is>
      </c>
      <c r="C743" s="7" t="inlineStr">
        <is>
          <t>157678802</t>
        </is>
      </c>
      <c r="D743" s="7" t="inlineStr">
        <is>
          <t>157678802-bluetwill</t>
        </is>
      </c>
      <c r="E743" s="7" t="inlineStr">
        <is>
          <t>lululemon Energy Bra BLK 2</t>
        </is>
      </c>
      <c r="F743" s="7" t="inlineStr">
        <is>
          <t>$58.00</t>
        </is>
      </c>
      <c r="G743" s="7" t="inlineStr">
        <is>
          <t>$29.00</t>
        </is>
      </c>
      <c r="H743" s="7" t="inlineStr">
        <is>
          <t>Blue Twill</t>
        </is>
      </c>
      <c r="I743" s="7">
        <f>IMAGE("https://images.lululemon.com/is/image/lululemon/71150",1)</f>
        <v/>
      </c>
      <c r="J743" s="7" t="inlineStr">
        <is>
          <t>2</t>
        </is>
      </c>
      <c r="K743" s="7" t="inlineStr">
        <is>
          <t>5/3463</t>
        </is>
      </c>
      <c r="L743" s="7" t="inlineStr">
        <is>
          <t>Yes</t>
        </is>
      </c>
      <c r="M743" s="7" t="inlineStr">
        <is>
          <t>Voted most likely to be worn multiple times a week. This all-sport bra is a favourite for comfort and versatility.</t>
        </is>
      </c>
      <c r="N743" s="7" t="inlineStr">
        <is>
          <t>Energy-Bra-32925</t>
        </is>
      </c>
      <c r="O743" s="7" t="inlineStr">
        <is>
          <t>Strappy Bras, Racerback Bras</t>
        </is>
      </c>
    </row>
    <row r="744" ht="80" customHeight="1">
      <c r="A744" s="4">
        <f>IMAGE("https://images.lululemon.com/is/image/lululemon/LW2326S_0001_1?wid=320&amp;op_usm=0.8",1)</f>
        <v/>
      </c>
      <c r="B744" s="4" t="inlineStr">
        <is>
          <t>lululemon Energy Bra *Medium Support, B–D Cups</t>
        </is>
      </c>
      <c r="C744" s="4" t="inlineStr">
        <is>
          <t>157678826</t>
        </is>
      </c>
      <c r="D744" s="4" t="inlineStr">
        <is>
          <t>157678826-bluetwill</t>
        </is>
      </c>
      <c r="E744" s="4" t="inlineStr">
        <is>
          <t>lululemon Energy Bra BLK 2</t>
        </is>
      </c>
      <c r="F744" s="4" t="inlineStr">
        <is>
          <t>$58.00</t>
        </is>
      </c>
      <c r="G744" s="4" t="inlineStr">
        <is>
          <t>$29.00</t>
        </is>
      </c>
      <c r="H744" s="4" t="inlineStr">
        <is>
          <t>Blue Twill</t>
        </is>
      </c>
      <c r="I744" s="4">
        <f>IMAGE("https://images.lululemon.com/is/image/lululemon/71150",1)</f>
        <v/>
      </c>
      <c r="J744" s="4" t="inlineStr">
        <is>
          <t>6</t>
        </is>
      </c>
      <c r="K744" s="4" t="inlineStr">
        <is>
          <t>8/3463</t>
        </is>
      </c>
      <c r="L744" s="4" t="inlineStr">
        <is>
          <t>Yes</t>
        </is>
      </c>
      <c r="M744" s="4" t="inlineStr">
        <is>
          <t>Voted most likely to be worn multiple times a week. This all-sport bra is a favourite for comfort and versatility.</t>
        </is>
      </c>
      <c r="N744" s="4" t="inlineStr">
        <is>
          <t>Energy-Bra-32925</t>
        </is>
      </c>
      <c r="O744" s="4" t="inlineStr">
        <is>
          <t>Strappy Bras, Racerback Bras</t>
        </is>
      </c>
    </row>
    <row r="745" ht="80" customHeight="1">
      <c r="A745" s="7">
        <f>IMAGE("https://images.lululemon.com/is/image/lululemon/LW2326S_0001_1?wid=320&amp;op_usm=0.8",1)</f>
        <v/>
      </c>
      <c r="B745" s="7" t="inlineStr">
        <is>
          <t>lululemon Energy Bra *Medium Support, B–D Cups</t>
        </is>
      </c>
      <c r="C745" s="7" t="inlineStr">
        <is>
          <t>157678838</t>
        </is>
      </c>
      <c r="D745" s="7" t="inlineStr">
        <is>
          <t>157678838-bluetwill</t>
        </is>
      </c>
      <c r="E745" s="7" t="inlineStr">
        <is>
          <t>lululemon Energy Bra BLK 2</t>
        </is>
      </c>
      <c r="F745" s="7" t="inlineStr">
        <is>
          <t>$58.00</t>
        </is>
      </c>
      <c r="G745" s="7" t="inlineStr">
        <is>
          <t>$29.00</t>
        </is>
      </c>
      <c r="H745" s="7" t="inlineStr">
        <is>
          <t>Blue Twill</t>
        </is>
      </c>
      <c r="I745" s="7">
        <f>IMAGE("https://images.lululemon.com/is/image/lululemon/71150",1)</f>
        <v/>
      </c>
      <c r="J745" s="7" t="inlineStr">
        <is>
          <t>8</t>
        </is>
      </c>
      <c r="K745" s="7" t="inlineStr">
        <is>
          <t>20/3463</t>
        </is>
      </c>
      <c r="L745" s="7" t="inlineStr">
        <is>
          <t>Yes</t>
        </is>
      </c>
      <c r="M745" s="7" t="inlineStr">
        <is>
          <t>Voted most likely to be worn multiple times a week. This all-sport bra is a favourite for comfort and versatility.</t>
        </is>
      </c>
      <c r="N745" s="7" t="inlineStr">
        <is>
          <t>Energy-Bra-32925</t>
        </is>
      </c>
      <c r="O745" s="7" t="inlineStr">
        <is>
          <t>Strappy Bras, Racerback Bras</t>
        </is>
      </c>
    </row>
    <row r="746" ht="80" customHeight="1">
      <c r="A746" s="4">
        <f>IMAGE("https://images.lululemon.com/is/image/lululemon/LW2326S_0001_1?wid=320&amp;op_usm=0.8",1)</f>
        <v/>
      </c>
      <c r="B746" s="4" t="inlineStr">
        <is>
          <t>lululemon Energy Bra *Medium Support, B–D Cups</t>
        </is>
      </c>
      <c r="C746" s="4" t="inlineStr">
        <is>
          <t>157678759</t>
        </is>
      </c>
      <c r="D746" s="4" t="inlineStr">
        <is>
          <t>157678759-bluetwill</t>
        </is>
      </c>
      <c r="E746" s="4" t="inlineStr">
        <is>
          <t>lululemon Energy Bra BLK 2</t>
        </is>
      </c>
      <c r="F746" s="4" t="inlineStr">
        <is>
          <t>$58.00</t>
        </is>
      </c>
      <c r="G746" s="4" t="inlineStr">
        <is>
          <t>$29.00</t>
        </is>
      </c>
      <c r="H746" s="4" t="inlineStr">
        <is>
          <t>Blue Twill</t>
        </is>
      </c>
      <c r="I746" s="4">
        <f>IMAGE("https://images.lululemon.com/is/image/lululemon/71150",1)</f>
        <v/>
      </c>
      <c r="J746" s="4" t="inlineStr">
        <is>
          <t>10</t>
        </is>
      </c>
      <c r="K746" s="4" t="inlineStr">
        <is>
          <t>15/3463</t>
        </is>
      </c>
      <c r="L746" s="4" t="inlineStr">
        <is>
          <t>Yes</t>
        </is>
      </c>
      <c r="M746" s="4" t="inlineStr">
        <is>
          <t>Voted most likely to be worn multiple times a week. This all-sport bra is a favourite for comfort and versatility.</t>
        </is>
      </c>
      <c r="N746" s="4" t="inlineStr">
        <is>
          <t>Energy-Bra-32925</t>
        </is>
      </c>
      <c r="O746" s="4" t="inlineStr">
        <is>
          <t>Strappy Bras, Racerback Bras</t>
        </is>
      </c>
    </row>
    <row r="747" ht="80" customHeight="1">
      <c r="A747" s="7">
        <f>IMAGE("https://images.lululemon.com/is/image/lululemon/LW2326S_0001_1?wid=320&amp;op_usm=0.8",1)</f>
        <v/>
      </c>
      <c r="B747" s="7" t="inlineStr">
        <is>
          <t>lululemon Energy Bra *Medium Support, B–D Cups</t>
        </is>
      </c>
      <c r="C747" s="7" t="inlineStr">
        <is>
          <t>157678771</t>
        </is>
      </c>
      <c r="D747" s="7" t="inlineStr">
        <is>
          <t>157678771-bluetwill</t>
        </is>
      </c>
      <c r="E747" s="7" t="inlineStr">
        <is>
          <t>lululemon Energy Bra BLK 2</t>
        </is>
      </c>
      <c r="F747" s="7" t="inlineStr">
        <is>
          <t>$58.00</t>
        </is>
      </c>
      <c r="G747" s="7" t="inlineStr">
        <is>
          <t>$29.00</t>
        </is>
      </c>
      <c r="H747" s="7" t="inlineStr">
        <is>
          <t>Blue Twill</t>
        </is>
      </c>
      <c r="I747" s="7">
        <f>IMAGE("https://images.lululemon.com/is/image/lululemon/71150",1)</f>
        <v/>
      </c>
      <c r="J747" s="7" t="inlineStr">
        <is>
          <t>12</t>
        </is>
      </c>
      <c r="K747" s="7" t="inlineStr">
        <is>
          <t>6/3463</t>
        </is>
      </c>
      <c r="L747" s="7" t="inlineStr">
        <is>
          <t>Yes</t>
        </is>
      </c>
      <c r="M747" s="7" t="inlineStr">
        <is>
          <t>Voted most likely to be worn multiple times a week. This all-sport bra is a favourite for comfort and versatility.</t>
        </is>
      </c>
      <c r="N747" s="7" t="inlineStr">
        <is>
          <t>Energy-Bra-32925</t>
        </is>
      </c>
      <c r="O747" s="7" t="inlineStr">
        <is>
          <t>Strappy Bras, Racerback Bras</t>
        </is>
      </c>
    </row>
    <row r="748" ht="80" customHeight="1">
      <c r="A748" s="4">
        <f>IMAGE("https://images.lululemon.com/is/image/lululemon/LW2326S_0001_1?wid=320&amp;op_usm=0.8",1)</f>
        <v/>
      </c>
      <c r="B748" s="4" t="inlineStr">
        <is>
          <t>lululemon Energy Bra *Medium Support, B–D Cups</t>
        </is>
      </c>
      <c r="C748" s="4" t="inlineStr">
        <is>
          <t>157688573</t>
        </is>
      </c>
      <c r="D748" s="4" t="inlineStr">
        <is>
          <t>157688573-pinkfrosting</t>
        </is>
      </c>
      <c r="E748" s="4" t="inlineStr">
        <is>
          <t>lululemon Energy Bra BLK 2</t>
        </is>
      </c>
      <c r="F748" s="4" t="inlineStr">
        <is>
          <t>$58.00</t>
        </is>
      </c>
      <c r="G748" s="4" t="inlineStr">
        <is>
          <t>$29.00</t>
        </is>
      </c>
      <c r="H748" s="4" t="inlineStr">
        <is>
          <t>Pink Frosting</t>
        </is>
      </c>
      <c r="I748" s="4">
        <f>IMAGE("https://images.lululemon.com/is/image/lululemon/71152",1)</f>
        <v/>
      </c>
      <c r="J748" s="4" t="inlineStr">
        <is>
          <t>2</t>
        </is>
      </c>
      <c r="K748" s="4" t="inlineStr">
        <is>
          <t>22/3463</t>
        </is>
      </c>
      <c r="L748" s="4" t="inlineStr">
        <is>
          <t>Yes</t>
        </is>
      </c>
      <c r="M748" s="4" t="inlineStr">
        <is>
          <t>Voted most likely to be worn multiple times a week. This all-sport bra is a favourite for comfort and versatility.</t>
        </is>
      </c>
      <c r="N748" s="4" t="inlineStr">
        <is>
          <t>Energy-Bra-32925</t>
        </is>
      </c>
      <c r="O748" s="4" t="inlineStr">
        <is>
          <t>Strappy Bras, Racerback Bras</t>
        </is>
      </c>
    </row>
    <row r="749" ht="80" customHeight="1">
      <c r="A749" s="7">
        <f>IMAGE("https://images.lululemon.com/is/image/lululemon/LW2326S_0001_1?wid=320&amp;op_usm=0.8",1)</f>
        <v/>
      </c>
      <c r="B749" s="7" t="inlineStr">
        <is>
          <t>lululemon Energy Bra *Medium Support, B–D Cups</t>
        </is>
      </c>
      <c r="C749" s="7" t="inlineStr">
        <is>
          <t>157688577</t>
        </is>
      </c>
      <c r="D749" s="7" t="inlineStr">
        <is>
          <t>157688577-pinkfrosting</t>
        </is>
      </c>
      <c r="E749" s="7" t="inlineStr">
        <is>
          <t>lululemon Energy Bra BLK 2</t>
        </is>
      </c>
      <c r="F749" s="7" t="inlineStr">
        <is>
          <t>$58.00</t>
        </is>
      </c>
      <c r="G749" s="7" t="inlineStr">
        <is>
          <t>$29.00</t>
        </is>
      </c>
      <c r="H749" s="7" t="inlineStr">
        <is>
          <t>Pink Frosting</t>
        </is>
      </c>
      <c r="I749" s="7">
        <f>IMAGE("https://images.lululemon.com/is/image/lululemon/71152",1)</f>
        <v/>
      </c>
      <c r="J749" s="7" t="inlineStr">
        <is>
          <t>4</t>
        </is>
      </c>
      <c r="K749" s="7" t="inlineStr">
        <is>
          <t>24/3463</t>
        </is>
      </c>
      <c r="L749" s="7" t="inlineStr">
        <is>
          <t>Yes</t>
        </is>
      </c>
      <c r="M749" s="7" t="inlineStr">
        <is>
          <t>Voted most likely to be worn multiple times a week. This all-sport bra is a favourite for comfort and versatility.</t>
        </is>
      </c>
      <c r="N749" s="7" t="inlineStr">
        <is>
          <t>Energy-Bra-32925</t>
        </is>
      </c>
      <c r="O749" s="7" t="inlineStr">
        <is>
          <t>Strappy Bras, Racerback Bras</t>
        </is>
      </c>
    </row>
    <row r="750" ht="80" customHeight="1">
      <c r="A750" s="4">
        <f>IMAGE("https://images.lululemon.com/is/image/lululemon/LW2326S_0001_1?wid=320&amp;op_usm=0.8",1)</f>
        <v/>
      </c>
      <c r="B750" s="4" t="inlineStr">
        <is>
          <t>lululemon Energy Bra *Medium Support, B–D Cups</t>
        </is>
      </c>
      <c r="C750" s="4" t="inlineStr">
        <is>
          <t>157688580</t>
        </is>
      </c>
      <c r="D750" s="4" t="inlineStr">
        <is>
          <t>157688580-pinkfrosting</t>
        </is>
      </c>
      <c r="E750" s="4" t="inlineStr">
        <is>
          <t>lululemon Energy Bra BLK 2</t>
        </is>
      </c>
      <c r="F750" s="4" t="inlineStr">
        <is>
          <t>$58.00</t>
        </is>
      </c>
      <c r="G750" s="4" t="inlineStr">
        <is>
          <t>$29.00</t>
        </is>
      </c>
      <c r="H750" s="4" t="inlineStr">
        <is>
          <t>Pink Frosting</t>
        </is>
      </c>
      <c r="I750" s="4">
        <f>IMAGE("https://images.lululemon.com/is/image/lululemon/71152",1)</f>
        <v/>
      </c>
      <c r="J750" s="4" t="inlineStr">
        <is>
          <t>6</t>
        </is>
      </c>
      <c r="K750" s="4" t="inlineStr">
        <is>
          <t>55/3463</t>
        </is>
      </c>
      <c r="L750" s="4" t="inlineStr">
        <is>
          <t>Yes</t>
        </is>
      </c>
      <c r="M750" s="4" t="inlineStr">
        <is>
          <t>Voted most likely to be worn multiple times a week. This all-sport bra is a favourite for comfort and versatility.</t>
        </is>
      </c>
      <c r="N750" s="4" t="inlineStr">
        <is>
          <t>Energy-Bra-32925</t>
        </is>
      </c>
      <c r="O750" s="4" t="inlineStr">
        <is>
          <t>Strappy Bras, Racerback Bras</t>
        </is>
      </c>
    </row>
    <row r="751" ht="80" customHeight="1">
      <c r="A751" s="7">
        <f>IMAGE("https://images.lululemon.com/is/image/lululemon/LW2326S_0001_1?wid=320&amp;op_usm=0.8",1)</f>
        <v/>
      </c>
      <c r="B751" s="7" t="inlineStr">
        <is>
          <t>lululemon Energy Bra *Medium Support, B–D Cups</t>
        </is>
      </c>
      <c r="C751" s="7" t="inlineStr">
        <is>
          <t>157688583</t>
        </is>
      </c>
      <c r="D751" s="7" t="inlineStr">
        <is>
          <t>157688583-pinkfrosting</t>
        </is>
      </c>
      <c r="E751" s="7" t="inlineStr">
        <is>
          <t>lululemon Energy Bra BLK 2</t>
        </is>
      </c>
      <c r="F751" s="7" t="inlineStr">
        <is>
          <t>$58.00</t>
        </is>
      </c>
      <c r="G751" s="7" t="inlineStr">
        <is>
          <t>$29.00</t>
        </is>
      </c>
      <c r="H751" s="7" t="inlineStr">
        <is>
          <t>Pink Frosting</t>
        </is>
      </c>
      <c r="I751" s="7">
        <f>IMAGE("https://images.lululemon.com/is/image/lululemon/71152",1)</f>
        <v/>
      </c>
      <c r="J751" s="7" t="inlineStr">
        <is>
          <t>8</t>
        </is>
      </c>
      <c r="K751" s="7" t="inlineStr">
        <is>
          <t>67/3463</t>
        </is>
      </c>
      <c r="L751" s="7" t="inlineStr">
        <is>
          <t>Yes</t>
        </is>
      </c>
      <c r="M751" s="7" t="inlineStr">
        <is>
          <t>Voted most likely to be worn multiple times a week. This all-sport bra is a favourite for comfort and versatility.</t>
        </is>
      </c>
      <c r="N751" s="7" t="inlineStr">
        <is>
          <t>Energy-Bra-32925</t>
        </is>
      </c>
      <c r="O751" s="7" t="inlineStr">
        <is>
          <t>Strappy Bras, Racerback Bras</t>
        </is>
      </c>
    </row>
    <row r="752" ht="80" customHeight="1">
      <c r="A752" s="4">
        <f>IMAGE("https://images.lululemon.com/is/image/lululemon/LW2326S_0001_1?wid=320&amp;op_usm=0.8",1)</f>
        <v/>
      </c>
      <c r="B752" s="4" t="inlineStr">
        <is>
          <t>lululemon Energy Bra *Medium Support, B–D Cups</t>
        </is>
      </c>
      <c r="C752" s="4" t="inlineStr">
        <is>
          <t>157688564</t>
        </is>
      </c>
      <c r="D752" s="4" t="inlineStr">
        <is>
          <t>157688564-pinkfrosting</t>
        </is>
      </c>
      <c r="E752" s="4" t="inlineStr">
        <is>
          <t>lululemon Energy Bra BLK 2</t>
        </is>
      </c>
      <c r="F752" s="4" t="inlineStr">
        <is>
          <t>$58.00</t>
        </is>
      </c>
      <c r="G752" s="4" t="inlineStr">
        <is>
          <t>$29.00</t>
        </is>
      </c>
      <c r="H752" s="4" t="inlineStr">
        <is>
          <t>Pink Frosting</t>
        </is>
      </c>
      <c r="I752" s="4">
        <f>IMAGE("https://images.lululemon.com/is/image/lululemon/71152",1)</f>
        <v/>
      </c>
      <c r="J752" s="4" t="inlineStr">
        <is>
          <t>10</t>
        </is>
      </c>
      <c r="K752" s="4" t="inlineStr">
        <is>
          <t>45/3463</t>
        </is>
      </c>
      <c r="L752" s="4" t="inlineStr">
        <is>
          <t>Yes</t>
        </is>
      </c>
      <c r="M752" s="4" t="inlineStr">
        <is>
          <t>Voted most likely to be worn multiple times a week. This all-sport bra is a favourite for comfort and versatility.</t>
        </is>
      </c>
      <c r="N752" s="4" t="inlineStr">
        <is>
          <t>Energy-Bra-32925</t>
        </is>
      </c>
      <c r="O752" s="4" t="inlineStr">
        <is>
          <t>Strappy Bras, Racerback Bras</t>
        </is>
      </c>
    </row>
    <row r="753" ht="80" customHeight="1">
      <c r="A753" s="7">
        <f>IMAGE("https://images.lululemon.com/is/image/lululemon/LW2326S_0001_1?wid=320&amp;op_usm=0.8",1)</f>
        <v/>
      </c>
      <c r="B753" s="7" t="inlineStr">
        <is>
          <t>lululemon Energy Bra *Medium Support, B–D Cups</t>
        </is>
      </c>
      <c r="C753" s="7" t="inlineStr">
        <is>
          <t>157688567</t>
        </is>
      </c>
      <c r="D753" s="7" t="inlineStr">
        <is>
          <t>157688567-pinkfrosting</t>
        </is>
      </c>
      <c r="E753" s="7" t="inlineStr">
        <is>
          <t>lululemon Energy Bra BLK 2</t>
        </is>
      </c>
      <c r="F753" s="7" t="inlineStr">
        <is>
          <t>$58.00</t>
        </is>
      </c>
      <c r="G753" s="7" t="inlineStr">
        <is>
          <t>$29.00</t>
        </is>
      </c>
      <c r="H753" s="7" t="inlineStr">
        <is>
          <t>Pink Frosting</t>
        </is>
      </c>
      <c r="I753" s="7">
        <f>IMAGE("https://images.lululemon.com/is/image/lululemon/71152",1)</f>
        <v/>
      </c>
      <c r="J753" s="7" t="inlineStr">
        <is>
          <t>12</t>
        </is>
      </c>
      <c r="K753" s="7" t="inlineStr">
        <is>
          <t>15/3463</t>
        </is>
      </c>
      <c r="L753" s="7" t="inlineStr">
        <is>
          <t>Yes</t>
        </is>
      </c>
      <c r="M753" s="7" t="inlineStr">
        <is>
          <t>Voted most likely to be worn multiple times a week. This all-sport bra is a favourite for comfort and versatility.</t>
        </is>
      </c>
      <c r="N753" s="7" t="inlineStr">
        <is>
          <t>Energy-Bra-32925</t>
        </is>
      </c>
      <c r="O753" s="7" t="inlineStr">
        <is>
          <t>Strappy Bras, Racerback Bras</t>
        </is>
      </c>
    </row>
    <row r="754" ht="80" customHeight="1">
      <c r="A754" s="4">
        <f>IMAGE("https://images.lululemon.com/is/image/lululemon/LW2326S_0001_1?wid=320&amp;op_usm=0.8",1)</f>
        <v/>
      </c>
      <c r="B754" s="4" t="inlineStr">
        <is>
          <t>lululemon Energy Bra *Medium Support, B–D Cups</t>
        </is>
      </c>
      <c r="C754" s="4" t="inlineStr">
        <is>
          <t>157688493</t>
        </is>
      </c>
      <c r="D754" s="4" t="inlineStr">
        <is>
          <t>157688493-lululemonred</t>
        </is>
      </c>
      <c r="E754" s="4" t="inlineStr">
        <is>
          <t>lululemon Energy Bra BLK 2</t>
        </is>
      </c>
      <c r="F754" s="4" t="inlineStr">
        <is>
          <t>$58.00</t>
        </is>
      </c>
      <c r="G754" s="4" t="inlineStr">
        <is>
          <t>$29.00</t>
        </is>
      </c>
      <c r="H754" s="4" t="inlineStr">
        <is>
          <t>Lululemon Red</t>
        </is>
      </c>
      <c r="I754" s="4">
        <f>IMAGE("https://images.lululemon.com/is/image/lululemon/19295",1)</f>
        <v/>
      </c>
      <c r="J754" s="4" t="inlineStr">
        <is>
          <t>4</t>
        </is>
      </c>
      <c r="K754" s="4" t="inlineStr">
        <is>
          <t>128/3463</t>
        </is>
      </c>
      <c r="L754" s="4" t="inlineStr">
        <is>
          <t>Yes</t>
        </is>
      </c>
      <c r="M754" s="4" t="inlineStr">
        <is>
          <t>Voted most likely to be worn multiple times a week. This all-sport bra is a favourite for comfort and versatility.</t>
        </is>
      </c>
      <c r="N754" s="4" t="inlineStr">
        <is>
          <t>Energy-Bra-32925</t>
        </is>
      </c>
      <c r="O754" s="4" t="inlineStr">
        <is>
          <t>Strappy Bras, Racerback Bras</t>
        </is>
      </c>
    </row>
    <row r="755" ht="80" customHeight="1">
      <c r="A755" s="7">
        <f>IMAGE("https://images.lululemon.com/is/image/lululemon/LW2326S_0001_1?wid=320&amp;op_usm=0.8",1)</f>
        <v/>
      </c>
      <c r="B755" s="7" t="inlineStr">
        <is>
          <t>lululemon Energy Bra *Medium Support, B–D Cups</t>
        </is>
      </c>
      <c r="C755" s="7" t="inlineStr">
        <is>
          <t>157688496</t>
        </is>
      </c>
      <c r="D755" s="7" t="inlineStr">
        <is>
          <t>157688496-lululemonred</t>
        </is>
      </c>
      <c r="E755" s="7" t="inlineStr">
        <is>
          <t>lululemon Energy Bra BLK 2</t>
        </is>
      </c>
      <c r="F755" s="7" t="inlineStr">
        <is>
          <t>$58.00</t>
        </is>
      </c>
      <c r="G755" s="7" t="inlineStr">
        <is>
          <t>$29.00</t>
        </is>
      </c>
      <c r="H755" s="7" t="inlineStr">
        <is>
          <t>Lululemon Red</t>
        </is>
      </c>
      <c r="I755" s="7">
        <f>IMAGE("https://images.lululemon.com/is/image/lululemon/19295",1)</f>
        <v/>
      </c>
      <c r="J755" s="7" t="inlineStr">
        <is>
          <t>6</t>
        </is>
      </c>
      <c r="K755" s="7" t="inlineStr">
        <is>
          <t>227/3463</t>
        </is>
      </c>
      <c r="L755" s="7" t="inlineStr">
        <is>
          <t>Yes</t>
        </is>
      </c>
      <c r="M755" s="7" t="inlineStr">
        <is>
          <t>Voted most likely to be worn multiple times a week. This all-sport bra is a favourite for comfort and versatility.</t>
        </is>
      </c>
      <c r="N755" s="7" t="inlineStr">
        <is>
          <t>Energy-Bra-32925</t>
        </is>
      </c>
      <c r="O755" s="7" t="inlineStr">
        <is>
          <t>Strappy Bras, Racerback Bras</t>
        </is>
      </c>
    </row>
    <row r="756" ht="80" customHeight="1">
      <c r="A756" s="4">
        <f>IMAGE("https://images.lululemon.com/is/image/lululemon/LW2326S_0001_1?wid=320&amp;op_usm=0.8",1)</f>
        <v/>
      </c>
      <c r="B756" s="4" t="inlineStr">
        <is>
          <t>lululemon Energy Bra *Medium Support, B–D Cups</t>
        </is>
      </c>
      <c r="C756" s="4" t="inlineStr">
        <is>
          <t>157688499</t>
        </is>
      </c>
      <c r="D756" s="4" t="inlineStr">
        <is>
          <t>157688499-lululemonred</t>
        </is>
      </c>
      <c r="E756" s="4" t="inlineStr">
        <is>
          <t>lululemon Energy Bra BLK 2</t>
        </is>
      </c>
      <c r="F756" s="4" t="inlineStr">
        <is>
          <t>$58.00</t>
        </is>
      </c>
      <c r="G756" s="4" t="inlineStr">
        <is>
          <t>$29.00</t>
        </is>
      </c>
      <c r="H756" s="4" t="inlineStr">
        <is>
          <t>Lululemon Red</t>
        </is>
      </c>
      <c r="I756" s="4">
        <f>IMAGE("https://images.lululemon.com/is/image/lululemon/19295",1)</f>
        <v/>
      </c>
      <c r="J756" s="4" t="inlineStr">
        <is>
          <t>8</t>
        </is>
      </c>
      <c r="K756" s="4" t="inlineStr">
        <is>
          <t>153/3463</t>
        </is>
      </c>
      <c r="L756" s="4" t="inlineStr">
        <is>
          <t>Yes</t>
        </is>
      </c>
      <c r="M756" s="4" t="inlineStr">
        <is>
          <t>Voted most likely to be worn multiple times a week. This all-sport bra is a favourite for comfort and versatility.</t>
        </is>
      </c>
      <c r="N756" s="4" t="inlineStr">
        <is>
          <t>Energy-Bra-32925</t>
        </is>
      </c>
      <c r="O756" s="4" t="inlineStr">
        <is>
          <t>Strappy Bras, Racerback Bras</t>
        </is>
      </c>
    </row>
    <row r="757" ht="80" customHeight="1">
      <c r="A757" s="7">
        <f>IMAGE("https://images.lululemon.com/is/image/lululemon/LW2326S_0001_1?wid=320&amp;op_usm=0.8",1)</f>
        <v/>
      </c>
      <c r="B757" s="7" t="inlineStr">
        <is>
          <t>lululemon Energy Bra *Medium Support, B–D Cups</t>
        </is>
      </c>
      <c r="C757" s="7" t="inlineStr">
        <is>
          <t>157688480</t>
        </is>
      </c>
      <c r="D757" s="7" t="inlineStr">
        <is>
          <t>157688480-lululemonred</t>
        </is>
      </c>
      <c r="E757" s="7" t="inlineStr">
        <is>
          <t>lululemon Energy Bra BLK 2</t>
        </is>
      </c>
      <c r="F757" s="7" t="inlineStr">
        <is>
          <t>$58.00</t>
        </is>
      </c>
      <c r="G757" s="7" t="inlineStr">
        <is>
          <t>$29.00</t>
        </is>
      </c>
      <c r="H757" s="7" t="inlineStr">
        <is>
          <t>Lululemon Red</t>
        </is>
      </c>
      <c r="I757" s="7">
        <f>IMAGE("https://images.lululemon.com/is/image/lululemon/19295",1)</f>
        <v/>
      </c>
      <c r="J757" s="7" t="inlineStr">
        <is>
          <t>10</t>
        </is>
      </c>
      <c r="K757" s="7" t="inlineStr">
        <is>
          <t>95/3463</t>
        </is>
      </c>
      <c r="L757" s="7" t="inlineStr">
        <is>
          <t>Yes</t>
        </is>
      </c>
      <c r="M757" s="7" t="inlineStr">
        <is>
          <t>Voted most likely to be worn multiple times a week. This all-sport bra is a favourite for comfort and versatility.</t>
        </is>
      </c>
      <c r="N757" s="7" t="inlineStr">
        <is>
          <t>Energy-Bra-32925</t>
        </is>
      </c>
      <c r="O757" s="7" t="inlineStr">
        <is>
          <t>Strappy Bras, Racerback Bras</t>
        </is>
      </c>
    </row>
    <row r="758" ht="80" customHeight="1">
      <c r="A758" s="6">
        <f>IMAGE("https://images.lululemon.com/is/image/lululemon/LW2326S_0001_1?wid=320&amp;op_usm=0.8",1)</f>
        <v/>
      </c>
      <c r="B758" s="6" t="inlineStr">
        <is>
          <t>lululemon Energy Bra *Medium Support, B–D Cups</t>
        </is>
      </c>
      <c r="C758" s="6" t="inlineStr">
        <is>
          <t>157688483</t>
        </is>
      </c>
      <c r="D758" s="6" t="inlineStr">
        <is>
          <t>157688483-lululemonred</t>
        </is>
      </c>
      <c r="E758" s="6" t="inlineStr">
        <is>
          <t>lululemon Energy Bra BLK 2</t>
        </is>
      </c>
      <c r="F758" s="6" t="inlineStr">
        <is>
          <t>$58.00</t>
        </is>
      </c>
      <c r="G758" s="6" t="inlineStr">
        <is>
          <t>$29.00</t>
        </is>
      </c>
      <c r="H758" s="6" t="inlineStr">
        <is>
          <t>Lululemon Red</t>
        </is>
      </c>
      <c r="I758" s="6">
        <f>IMAGE("https://images.lululemon.com/is/image/lululemon/19295",1)</f>
        <v/>
      </c>
      <c r="J758" s="6" t="inlineStr">
        <is>
          <t>12</t>
        </is>
      </c>
      <c r="K758" s="6" t="inlineStr">
        <is>
          <t>23/3463</t>
        </is>
      </c>
      <c r="L758" s="6" t="inlineStr">
        <is>
          <t>Yes</t>
        </is>
      </c>
      <c r="M758" s="6" t="inlineStr">
        <is>
          <t>Voted most likely to be worn multiple times a week. This all-sport bra is a favourite for comfort and versatility.</t>
        </is>
      </c>
      <c r="N758" s="6" t="inlineStr">
        <is>
          <t>Energy-Bra-32925</t>
        </is>
      </c>
      <c r="O758" s="6" t="inlineStr">
        <is>
          <t>Strappy Bras, Racerback Bras</t>
        </is>
      </c>
    </row>
    <row r="759" ht="80" customHeight="1">
      <c r="A759" s="7">
        <f>IMAGE("https://images.lululemon.com/is/image/lululemon/LW5FFFS_0001_1?wid=320&amp;op_usm=0.8",1)</f>
        <v/>
      </c>
      <c r="B759" s="7" t="inlineStr">
        <is>
          <t>Wunder Train High-Rise Tight with Pockets 28"</t>
        </is>
      </c>
      <c r="C759" s="7" t="inlineStr">
        <is>
          <t>149508145</t>
        </is>
      </c>
      <c r="D759" s="7" t="inlineStr">
        <is>
          <t>149508145-black</t>
        </is>
      </c>
      <c r="E759" s="7" t="inlineStr">
        <is>
          <t>Wunder Train HR Tight 28" *Pockets BLK 2</t>
        </is>
      </c>
      <c r="F759" s="7" t="inlineStr">
        <is>
          <t>$128.00</t>
        </is>
      </c>
      <c r="G759" s="7" t="inlineStr">
        <is>
          <t>$64.00</t>
        </is>
      </c>
      <c r="H759" s="7" t="inlineStr">
        <is>
          <t>Black</t>
        </is>
      </c>
      <c r="I759" s="7">
        <f>IMAGE("https://images.lululemon.com/is/image/lululemon/0001",1)</f>
        <v/>
      </c>
      <c r="J759" s="7" t="inlineStr">
        <is>
          <t>2</t>
        </is>
      </c>
      <c r="K759" s="7" t="inlineStr">
        <is>
          <t>11/155</t>
        </is>
      </c>
      <c r="L759" s="7" t="inlineStr">
        <is>
          <t>Yes</t>
        </is>
      </c>
      <c r="M759" s="7" t="inlineStr">
        <is>
          <t>Train hard, not hot. Made from Everlux™ fabric, this pocketed version of our Wunder Train collection lets you get sweaty, stay focused, and keep workout essentials close.</t>
        </is>
      </c>
      <c r="N759" s="7" t="inlineStr">
        <is>
          <t>Wunder-Train-HR-Tight-Pockets-28</t>
        </is>
      </c>
      <c r="O759" s="7" t="inlineStr"/>
    </row>
    <row r="760" ht="80" customHeight="1">
      <c r="A760" s="4">
        <f>IMAGE("https://images.lululemon.com/is/image/lululemon/LW5FFFS_0001_1?wid=320&amp;op_usm=0.8",1)</f>
        <v/>
      </c>
      <c r="B760" s="4" t="inlineStr">
        <is>
          <t>Wunder Train High-Rise Tight with Pockets 28"</t>
        </is>
      </c>
      <c r="C760" s="4" t="inlineStr">
        <is>
          <t>149508204</t>
        </is>
      </c>
      <c r="D760" s="4" t="inlineStr">
        <is>
          <t>149508204-black</t>
        </is>
      </c>
      <c r="E760" s="4" t="inlineStr">
        <is>
          <t>Wunder Train HR Tight 28" *Pockets BLK 2</t>
        </is>
      </c>
      <c r="F760" s="4" t="inlineStr">
        <is>
          <t>$128.00</t>
        </is>
      </c>
      <c r="G760" s="4" t="inlineStr">
        <is>
          <t>$64.00</t>
        </is>
      </c>
      <c r="H760" s="4" t="inlineStr">
        <is>
          <t>Black</t>
        </is>
      </c>
      <c r="I760" s="4">
        <f>IMAGE("https://images.lululemon.com/is/image/lululemon/0001",1)</f>
        <v/>
      </c>
      <c r="J760" s="4" t="inlineStr">
        <is>
          <t>4</t>
        </is>
      </c>
      <c r="K760" s="4" t="inlineStr">
        <is>
          <t>58/155</t>
        </is>
      </c>
      <c r="L760" s="4" t="inlineStr">
        <is>
          <t>Yes</t>
        </is>
      </c>
      <c r="M760" s="4" t="inlineStr">
        <is>
          <t>Train hard, not hot. Made from Everlux™ fabric, this pocketed version of our Wunder Train collection lets you get sweaty, stay focused, and keep workout essentials close.</t>
        </is>
      </c>
      <c r="N760" s="4" t="inlineStr">
        <is>
          <t>Wunder-Train-HR-Tight-Pockets-28</t>
        </is>
      </c>
      <c r="O760" s="4" t="inlineStr"/>
    </row>
    <row r="761" ht="80" customHeight="1">
      <c r="A761" s="7">
        <f>IMAGE("https://images.lululemon.com/is/image/lululemon/LW5FFFS_0001_1?wid=320&amp;op_usm=0.8",1)</f>
        <v/>
      </c>
      <c r="B761" s="7" t="inlineStr">
        <is>
          <t>Wunder Train High-Rise Tight with Pockets 28"</t>
        </is>
      </c>
      <c r="C761" s="7" t="inlineStr">
        <is>
          <t>149508211</t>
        </is>
      </c>
      <c r="D761" s="7" t="inlineStr">
        <is>
          <t>149508211-black</t>
        </is>
      </c>
      <c r="E761" s="7" t="inlineStr">
        <is>
          <t>Wunder Train HR Tight 28" *Pockets BLK 2</t>
        </is>
      </c>
      <c r="F761" s="7" t="inlineStr">
        <is>
          <t>$128.00</t>
        </is>
      </c>
      <c r="G761" s="7" t="inlineStr">
        <is>
          <t>$64.00</t>
        </is>
      </c>
      <c r="H761" s="7" t="inlineStr">
        <is>
          <t>Black</t>
        </is>
      </c>
      <c r="I761" s="7">
        <f>IMAGE("https://images.lululemon.com/is/image/lululemon/0001",1)</f>
        <v/>
      </c>
      <c r="J761" s="7" t="inlineStr">
        <is>
          <t>6</t>
        </is>
      </c>
      <c r="K761" s="7" t="inlineStr">
        <is>
          <t>61/155</t>
        </is>
      </c>
      <c r="L761" s="7" t="inlineStr">
        <is>
          <t>Yes</t>
        </is>
      </c>
      <c r="M761" s="7" t="inlineStr">
        <is>
          <t>Train hard, not hot. Made from Everlux™ fabric, this pocketed version of our Wunder Train collection lets you get sweaty, stay focused, and keep workout essentials close.</t>
        </is>
      </c>
      <c r="N761" s="7" t="inlineStr">
        <is>
          <t>Wunder-Train-HR-Tight-Pockets-28</t>
        </is>
      </c>
      <c r="O761" s="7" t="inlineStr"/>
    </row>
    <row r="762" ht="80" customHeight="1">
      <c r="A762" s="6">
        <f>IMAGE("https://images.lululemon.com/is/image/lululemon/LW5FFFS_0001_1?wid=320&amp;op_usm=0.8",1)</f>
        <v/>
      </c>
      <c r="B762" s="6" t="inlineStr">
        <is>
          <t>Wunder Train High-Rise Tight with Pockets 28"</t>
        </is>
      </c>
      <c r="C762" s="6" t="inlineStr">
        <is>
          <t>149508218</t>
        </is>
      </c>
      <c r="D762" s="6" t="inlineStr">
        <is>
          <t>149508218-black</t>
        </is>
      </c>
      <c r="E762" s="6" t="inlineStr">
        <is>
          <t>Wunder Train HR Tight 28" *Pockets BLK 2</t>
        </is>
      </c>
      <c r="F762" s="6" t="inlineStr">
        <is>
          <t>$128.00</t>
        </is>
      </c>
      <c r="G762" s="6" t="inlineStr">
        <is>
          <t>$64.00</t>
        </is>
      </c>
      <c r="H762" s="6" t="inlineStr">
        <is>
          <t>Black</t>
        </is>
      </c>
      <c r="I762" s="6">
        <f>IMAGE("https://images.lululemon.com/is/image/lululemon/0001",1)</f>
        <v/>
      </c>
      <c r="J762" s="6" t="inlineStr">
        <is>
          <t>8</t>
        </is>
      </c>
      <c r="K762" s="6" t="inlineStr">
        <is>
          <t>25/155</t>
        </is>
      </c>
      <c r="L762" s="6" t="inlineStr">
        <is>
          <t>Yes</t>
        </is>
      </c>
      <c r="M762" s="6" t="inlineStr">
        <is>
          <t>Train hard, not hot. Made from Everlux™ fabric, this pocketed version of our Wunder Train collection lets you get sweaty, stay focused, and keep workout essentials close.</t>
        </is>
      </c>
      <c r="N762" s="6" t="inlineStr">
        <is>
          <t>Wunder-Train-HR-Tight-Pockets-28</t>
        </is>
      </c>
      <c r="O762" s="6" t="inlineStr"/>
    </row>
    <row r="763" ht="80" customHeight="1">
      <c r="A763" s="7">
        <f>IMAGE("https://images.lululemon.com/is/image/lululemon/LW9FBXS_0002_1?wid=320&amp;op_usm=0.8",1)</f>
        <v/>
      </c>
      <c r="B763" s="7" t="inlineStr">
        <is>
          <t>Women's Luxtreme Training Headband</t>
        </is>
      </c>
      <c r="C763" s="7" t="inlineStr">
        <is>
          <t>153836035</t>
        </is>
      </c>
      <c r="D763" s="7" t="inlineStr">
        <is>
          <t>153836035-white</t>
        </is>
      </c>
      <c r="E763" s="7" t="inlineStr">
        <is>
          <t>Luxtreme™ Training Headband WHT ONE SIZE</t>
        </is>
      </c>
      <c r="F763" s="7" t="inlineStr">
        <is>
          <t>$14.00</t>
        </is>
      </c>
      <c r="G763" s="7" t="inlineStr">
        <is>
          <t>$7.00</t>
        </is>
      </c>
      <c r="H763" s="7" t="inlineStr">
        <is>
          <t>White</t>
        </is>
      </c>
      <c r="I763" s="7">
        <f>IMAGE("https://images.lululemon.com/is/image/lululemon/0002",1)</f>
        <v/>
      </c>
      <c r="J763" s="7" t="inlineStr">
        <is>
          <t>O/S</t>
        </is>
      </c>
      <c r="K763" s="7" t="inlineStr">
        <is>
          <t>1721/4426</t>
        </is>
      </c>
      <c r="L763" s="7" t="inlineStr">
        <is>
          <t>Yes</t>
        </is>
      </c>
      <c r="M763" s="7" t="inlineStr">
        <is>
          <t>Keep your hair in place while you work out. This sweat-wicking headband hugs your head in all the right places.</t>
        </is>
      </c>
      <c r="N763" s="7" t="inlineStr">
        <is>
          <t>W-Luxtreme-Training-Headband</t>
        </is>
      </c>
      <c r="O763" s="7" t="inlineStr">
        <is>
          <t>Headbands</t>
        </is>
      </c>
    </row>
    <row r="764" ht="80" customHeight="1">
      <c r="A764" s="4">
        <f>IMAGE("https://images.lululemon.com/is/image/lululemon/LW9FBXS_0002_1?wid=320&amp;op_usm=0.8",1)</f>
        <v/>
      </c>
      <c r="B764" s="4" t="inlineStr">
        <is>
          <t>Women's Luxtreme Training Headband</t>
        </is>
      </c>
      <c r="C764" s="4" t="inlineStr">
        <is>
          <t>153836025</t>
        </is>
      </c>
      <c r="D764" s="4" t="inlineStr">
        <is>
          <t>153836025-black</t>
        </is>
      </c>
      <c r="E764" s="4" t="inlineStr">
        <is>
          <t>Luxtreme™ Training Headband WHT ONE SIZE</t>
        </is>
      </c>
      <c r="F764" s="4" t="inlineStr">
        <is>
          <t>$14.00</t>
        </is>
      </c>
      <c r="G764" s="4" t="inlineStr">
        <is>
          <t>$7.00</t>
        </is>
      </c>
      <c r="H764" s="4" t="inlineStr">
        <is>
          <t>Black</t>
        </is>
      </c>
      <c r="I764" s="4">
        <f>IMAGE("https://images.lululemon.com/is/image/lululemon/0001",1)</f>
        <v/>
      </c>
      <c r="J764" s="4" t="inlineStr">
        <is>
          <t>O/S</t>
        </is>
      </c>
      <c r="K764" s="4" t="inlineStr">
        <is>
          <t>2352/4426</t>
        </is>
      </c>
      <c r="L764" s="4" t="inlineStr">
        <is>
          <t>Yes</t>
        </is>
      </c>
      <c r="M764" s="4" t="inlineStr">
        <is>
          <t>Keep your hair in place while you work out. This sweat-wicking headband hugs your head in all the right places.</t>
        </is>
      </c>
      <c r="N764" s="4" t="inlineStr">
        <is>
          <t>W-Luxtreme-Training-Headband</t>
        </is>
      </c>
      <c r="O764" s="4" t="inlineStr">
        <is>
          <t>Headbands</t>
        </is>
      </c>
    </row>
    <row r="765" ht="80" customHeight="1">
      <c r="A765" s="7">
        <f>IMAGE("https://images.lululemon.com/is/image/lululemon/LW9FBXS_0002_1?wid=320&amp;op_usm=0.8",1)</f>
        <v/>
      </c>
      <c r="B765" s="7" t="inlineStr">
        <is>
          <t>Women's Luxtreme Training Headband</t>
        </is>
      </c>
      <c r="C765" s="7" t="inlineStr">
        <is>
          <t>158024940</t>
        </is>
      </c>
      <c r="D765" s="7" t="inlineStr">
        <is>
          <t>158024940-indochineblue</t>
        </is>
      </c>
      <c r="E765" s="7" t="inlineStr">
        <is>
          <t>Luxtreme™ Training Headband WHT ONE SIZE</t>
        </is>
      </c>
      <c r="F765" s="7" t="inlineStr">
        <is>
          <t>$14.00</t>
        </is>
      </c>
      <c r="G765" s="7" t="inlineStr">
        <is>
          <t>$7.00</t>
        </is>
      </c>
      <c r="H765" s="7" t="inlineStr">
        <is>
          <t>Indochine Blue</t>
        </is>
      </c>
      <c r="I765" s="7">
        <f>IMAGE("https://images.lululemon.com/is/image/lululemon/28022",1)</f>
        <v/>
      </c>
      <c r="J765" s="7" t="inlineStr">
        <is>
          <t>O/S</t>
        </is>
      </c>
      <c r="K765" s="7" t="inlineStr">
        <is>
          <t>76/4426</t>
        </is>
      </c>
      <c r="L765" s="7" t="inlineStr">
        <is>
          <t>Yes</t>
        </is>
      </c>
      <c r="M765" s="7" t="inlineStr">
        <is>
          <t>Keep your hair in place while you work out. This sweat-wicking headband hugs your head in all the right places.</t>
        </is>
      </c>
      <c r="N765" s="7" t="inlineStr">
        <is>
          <t>W-Luxtreme-Training-Headband</t>
        </is>
      </c>
      <c r="O765" s="7" t="inlineStr">
        <is>
          <t>Headbands</t>
        </is>
      </c>
    </row>
    <row r="766" ht="80" customHeight="1">
      <c r="A766" s="4">
        <f>IMAGE("https://images.lululemon.com/is/image/lululemon/LW9FBXS_0002_1?wid=320&amp;op_usm=0.8",1)</f>
        <v/>
      </c>
      <c r="B766" s="4" t="inlineStr">
        <is>
          <t>Women's Luxtreme Training Headband</t>
        </is>
      </c>
      <c r="C766" s="4" t="inlineStr">
        <is>
          <t>158024954</t>
        </is>
      </c>
      <c r="D766" s="4" t="inlineStr">
        <is>
          <t>158024954-berryrumble</t>
        </is>
      </c>
      <c r="E766" s="4" t="inlineStr">
        <is>
          <t>Luxtreme™ Training Headband WHT ONE SIZE</t>
        </is>
      </c>
      <c r="F766" s="4" t="inlineStr">
        <is>
          <t>$14.00</t>
        </is>
      </c>
      <c r="G766" s="4" t="inlineStr">
        <is>
          <t>$7.00</t>
        </is>
      </c>
      <c r="H766" s="4" t="inlineStr">
        <is>
          <t>Berry Rumble</t>
        </is>
      </c>
      <c r="I766" s="4">
        <f>IMAGE("https://images.lululemon.com/is/image/lululemon/21363",1)</f>
        <v/>
      </c>
      <c r="J766" s="4" t="inlineStr">
        <is>
          <t>O/S</t>
        </is>
      </c>
      <c r="K766" s="4" t="inlineStr">
        <is>
          <t>184/4426</t>
        </is>
      </c>
      <c r="L766" s="4" t="inlineStr">
        <is>
          <t>Yes</t>
        </is>
      </c>
      <c r="M766" s="4" t="inlineStr">
        <is>
          <t>Keep your hair in place while you work out. This sweat-wicking headband hugs your head in all the right places.</t>
        </is>
      </c>
      <c r="N766" s="4" t="inlineStr">
        <is>
          <t>W-Luxtreme-Training-Headband</t>
        </is>
      </c>
      <c r="O766" s="4" t="inlineStr">
        <is>
          <t>Headbands</t>
        </is>
      </c>
    </row>
    <row r="767" ht="80" customHeight="1">
      <c r="A767" s="5">
        <f>IMAGE("https://images.lululemon.com/is/image/lululemon/LW9FBXS_0002_1?wid=320&amp;op_usm=0.8",1)</f>
        <v/>
      </c>
      <c r="B767" s="5" t="inlineStr">
        <is>
          <t>Women's Luxtreme Training Headband</t>
        </is>
      </c>
      <c r="C767" s="5" t="inlineStr">
        <is>
          <t>158024974</t>
        </is>
      </c>
      <c r="D767" s="5" t="inlineStr">
        <is>
          <t>158024974-oxfordred</t>
        </is>
      </c>
      <c r="E767" s="5" t="inlineStr">
        <is>
          <t>Luxtreme™ Training Headband WHT ONE SIZE</t>
        </is>
      </c>
      <c r="F767" s="5" t="inlineStr">
        <is>
          <t>$14.00</t>
        </is>
      </c>
      <c r="G767" s="5" t="inlineStr">
        <is>
          <t>$7.00</t>
        </is>
      </c>
      <c r="H767" s="5" t="inlineStr">
        <is>
          <t>Oxford Red</t>
        </is>
      </c>
      <c r="I767" s="5">
        <f>IMAGE("https://images.lululemon.com/is/image/lululemon/72757",1)</f>
        <v/>
      </c>
      <c r="J767" s="5" t="inlineStr">
        <is>
          <t>O/S</t>
        </is>
      </c>
      <c r="K767" s="5" t="inlineStr">
        <is>
          <t>93/4426</t>
        </is>
      </c>
      <c r="L767" s="5" t="inlineStr">
        <is>
          <t>Yes</t>
        </is>
      </c>
      <c r="M767" s="5" t="inlineStr">
        <is>
          <t>Keep your hair in place while you work out. This sweat-wicking headband hugs your head in all the right places.</t>
        </is>
      </c>
      <c r="N767" s="5" t="inlineStr">
        <is>
          <t>W-Luxtreme-Training-Headband</t>
        </is>
      </c>
      <c r="O767" s="5" t="inlineStr">
        <is>
          <t>Headbands</t>
        </is>
      </c>
    </row>
    <row r="768" ht="80" customHeight="1">
      <c r="A768" s="4">
        <f>IMAGE("https://images.lululemon.com/is/image/lululemon/LU9CGNS_0001_1?wid=320&amp;op_usm=0.8",1)</f>
        <v/>
      </c>
      <c r="B768" s="4" t="inlineStr">
        <is>
          <t>Fast and Free Fleece Running Beanie</t>
        </is>
      </c>
      <c r="C768" s="4" t="inlineStr">
        <is>
          <t>154832028</t>
        </is>
      </c>
      <c r="D768" s="4" t="inlineStr">
        <is>
          <t>154832028-black</t>
        </is>
      </c>
      <c r="E768" s="4" t="inlineStr">
        <is>
          <t>Fast and Free Fleece Run Beanie BLK S/M</t>
        </is>
      </c>
      <c r="F768" s="4" t="inlineStr">
        <is>
          <t>$48.00</t>
        </is>
      </c>
      <c r="G768" s="4" t="inlineStr">
        <is>
          <t>$24.00</t>
        </is>
      </c>
      <c r="H768" s="4" t="inlineStr">
        <is>
          <t>Black</t>
        </is>
      </c>
      <c r="I768" s="4">
        <f>IMAGE("https://images.lululemon.com/is/image/lululemon/0001",1)</f>
        <v/>
      </c>
      <c r="J768" s="4" t="inlineStr">
        <is>
          <t>S/M</t>
        </is>
      </c>
      <c r="K768" s="4" t="inlineStr">
        <is>
          <t>224/303</t>
        </is>
      </c>
      <c r="L768" s="4" t="inlineStr">
        <is>
          <t>Yes</t>
        </is>
      </c>
      <c r="M768" s="4" t="inlineStr">
        <is>
          <t>Gone in a flash. This warm, double-layered beanie has reflective details to help keep you on the radar during cold-weather runs.</t>
        </is>
      </c>
      <c r="N768" s="4" t="inlineStr">
        <is>
          <t>Fast-and-Free-Fleece-Run-Beanie</t>
        </is>
      </c>
      <c r="O768" s="4" t="inlineStr">
        <is>
          <t>Beanies</t>
        </is>
      </c>
    </row>
    <row r="769" ht="80" customHeight="1">
      <c r="A769" s="5">
        <f>IMAGE("https://images.lululemon.com/is/image/lululemon/LU9CGNS_0001_1?wid=320&amp;op_usm=0.8",1)</f>
        <v/>
      </c>
      <c r="B769" s="5" t="inlineStr">
        <is>
          <t>Fast and Free Fleece Running Beanie</t>
        </is>
      </c>
      <c r="C769" s="5" t="inlineStr">
        <is>
          <t>154832013</t>
        </is>
      </c>
      <c r="D769" s="5" t="inlineStr">
        <is>
          <t>154832013-black</t>
        </is>
      </c>
      <c r="E769" s="5" t="inlineStr">
        <is>
          <t>Fast and Free Fleece Run Beanie BLK S/M</t>
        </is>
      </c>
      <c r="F769" s="5" t="inlineStr">
        <is>
          <t>$48.00</t>
        </is>
      </c>
      <c r="G769" s="5" t="inlineStr">
        <is>
          <t>$24.00</t>
        </is>
      </c>
      <c r="H769" s="5" t="inlineStr">
        <is>
          <t>Black</t>
        </is>
      </c>
      <c r="I769" s="5">
        <f>IMAGE("https://images.lululemon.com/is/image/lululemon/0001",1)</f>
        <v/>
      </c>
      <c r="J769" s="5" t="inlineStr">
        <is>
          <t>L/XL</t>
        </is>
      </c>
      <c r="K769" s="5" t="inlineStr">
        <is>
          <t>79/303</t>
        </is>
      </c>
      <c r="L769" s="5" t="inlineStr">
        <is>
          <t>Yes</t>
        </is>
      </c>
      <c r="M769" s="5" t="inlineStr">
        <is>
          <t>Gone in a flash. This warm, double-layered beanie has reflective details to help keep you on the radar during cold-weather runs.</t>
        </is>
      </c>
      <c r="N769" s="5" t="inlineStr">
        <is>
          <t>Fast-and-Free-Fleece-Run-Beanie</t>
        </is>
      </c>
      <c r="O769" s="5" t="inlineStr">
        <is>
          <t>Beanies</t>
        </is>
      </c>
    </row>
    <row r="770" ht="80" customHeight="1">
      <c r="A770" s="4">
        <f>IMAGE("https://images.lululemon.com/is/image/lululemon/LU9BSDS_073013_1?wid=320&amp;op_usm=0.8",1)</f>
        <v/>
      </c>
      <c r="B770" s="4" t="inlineStr">
        <is>
          <t>Daily Multi-Pocket Tote Bag 20L</t>
        </is>
      </c>
      <c r="C770" s="4" t="inlineStr">
        <is>
          <t>158020348</t>
        </is>
      </c>
      <c r="D770" s="4" t="inlineStr">
        <is>
          <t>158020348-tearose/redclay</t>
        </is>
      </c>
      <c r="E770" s="4" t="inlineStr">
        <is>
          <t>Daily Multi-Pocket Tote TROS/REDC ONE SIZE</t>
        </is>
      </c>
      <c r="F770" s="4" t="inlineStr">
        <is>
          <t>$68.00</t>
        </is>
      </c>
      <c r="G770" s="4" t="inlineStr">
        <is>
          <t>$34.00</t>
        </is>
      </c>
      <c r="H770" s="4" t="inlineStr">
        <is>
          <t>Tea Rose/Red Clay</t>
        </is>
      </c>
      <c r="I770" s="4">
        <f>IMAGE("https://images.lululemon.com/is/image/lululemon/73013",1)</f>
        <v/>
      </c>
      <c r="J770" s="4" t="inlineStr">
        <is>
          <t>O/S</t>
        </is>
      </c>
      <c r="K770" s="4" t="inlineStr">
        <is>
          <t>532/1114</t>
        </is>
      </c>
      <c r="L770" s="4" t="inlineStr">
        <is>
          <t>Yes</t>
        </is>
      </c>
      <c r="M770" s="4" t="inlineStr">
        <is>
          <t>From farmers-market scores to picnic essentials, this roomy tote handles it all. Bonus: it stands up on its own to make finding your things a breeze.</t>
        </is>
      </c>
      <c r="N770" s="4" t="inlineStr">
        <is>
          <t>Daily-Multi-Pocket-Tote-Bag-20L</t>
        </is>
      </c>
      <c r="O770" s="4" t="inlineStr">
        <is>
          <t>Totes</t>
        </is>
      </c>
    </row>
    <row r="771" ht="80" customHeight="1">
      <c r="A771" s="7">
        <f>IMAGE("https://images.lululemon.com/is/image/lululemon/LU9BSDS_073013_1?wid=320&amp;op_usm=0.8",1)</f>
        <v/>
      </c>
      <c r="B771" s="7" t="inlineStr">
        <is>
          <t>Daily Multi-Pocket Tote Bag 20L</t>
        </is>
      </c>
      <c r="C771" s="7" t="inlineStr">
        <is>
          <t>158020401</t>
        </is>
      </c>
      <c r="D771" s="7" t="inlineStr">
        <is>
          <t>158020401-blackplum/jewelledmagenta</t>
        </is>
      </c>
      <c r="E771" s="7" t="inlineStr">
        <is>
          <t>Daily Multi-Pocket Tote TROS/REDC ONE SIZE</t>
        </is>
      </c>
      <c r="F771" s="7" t="inlineStr">
        <is>
          <t>$68.00</t>
        </is>
      </c>
      <c r="G771" s="7" t="inlineStr">
        <is>
          <t>$34.00</t>
        </is>
      </c>
      <c r="H771" s="7" t="inlineStr">
        <is>
          <t>Black Plum/Jewelled Magenta</t>
        </is>
      </c>
      <c r="I771" s="7">
        <f>IMAGE("https://images.lululemon.com/is/image/lululemon/73852",1)</f>
        <v/>
      </c>
      <c r="J771" s="7" t="inlineStr">
        <is>
          <t>O/S</t>
        </is>
      </c>
      <c r="K771" s="7" t="inlineStr">
        <is>
          <t>379/1114</t>
        </is>
      </c>
      <c r="L771" s="7" t="inlineStr">
        <is>
          <t>Yes</t>
        </is>
      </c>
      <c r="M771" s="7" t="inlineStr">
        <is>
          <t>From farmers-market scores to picnic essentials, this roomy tote handles it all. Bonus: it stands up on its own to make finding your things a breeze.</t>
        </is>
      </c>
      <c r="N771" s="7" t="inlineStr">
        <is>
          <t>Daily-Multi-Pocket-Tote-Bag-20L</t>
        </is>
      </c>
      <c r="O771" s="7" t="inlineStr">
        <is>
          <t>Totes</t>
        </is>
      </c>
    </row>
    <row r="772" ht="80" customHeight="1">
      <c r="A772" s="6">
        <f>IMAGE("https://images.lululemon.com/is/image/lululemon/LU9BSDS_073013_1?wid=320&amp;op_usm=0.8",1)</f>
        <v/>
      </c>
      <c r="B772" s="6" t="inlineStr">
        <is>
          <t>Daily Multi-Pocket Tote Bag 20L</t>
        </is>
      </c>
      <c r="C772" s="6" t="inlineStr">
        <is>
          <t>156478748</t>
        </is>
      </c>
      <c r="D772" s="6" t="inlineStr">
        <is>
          <t>156478748-lavenderfrost/galacticcobalt</t>
        </is>
      </c>
      <c r="E772" s="6" t="inlineStr">
        <is>
          <t>Daily Multi-Pocket Tote TROS/REDC ONE SIZE</t>
        </is>
      </c>
      <c r="F772" s="6" t="inlineStr">
        <is>
          <t>$68.00</t>
        </is>
      </c>
      <c r="G772" s="6" t="inlineStr">
        <is>
          <t>$34.00</t>
        </is>
      </c>
      <c r="H772" s="6" t="inlineStr">
        <is>
          <t>Lavender Frost/Galactic Cobalt</t>
        </is>
      </c>
      <c r="I772" s="6">
        <f>IMAGE("https://images.lululemon.com/is/image/lululemon/70401",1)</f>
        <v/>
      </c>
      <c r="J772" s="6" t="inlineStr">
        <is>
          <t>O/S</t>
        </is>
      </c>
      <c r="K772" s="6" t="inlineStr">
        <is>
          <t>203/1114</t>
        </is>
      </c>
      <c r="L772" s="6" t="inlineStr">
        <is>
          <t>Yes</t>
        </is>
      </c>
      <c r="M772" s="6" t="inlineStr">
        <is>
          <t>From farmers-market scores to picnic essentials, this roomy tote handles it all. Bonus: it stands up on its own to make finding your things a breeze.</t>
        </is>
      </c>
      <c r="N772" s="6" t="inlineStr">
        <is>
          <t>Daily-Multi-Pocket-Tote-Bag-20L</t>
        </is>
      </c>
      <c r="O772" s="6" t="inlineStr">
        <is>
          <t>Totes</t>
        </is>
      </c>
    </row>
    <row r="773" ht="80" customHeight="1">
      <c r="A773" s="7">
        <f>IMAGE("https://images.lululemon.com/is/image/lululemon/LW3JBIS_0001_1?wid=320&amp;op_usm=0.8",1)</f>
        <v/>
      </c>
      <c r="B773" s="7" t="inlineStr">
        <is>
          <t>Wunder Train Full-Zip Jacket</t>
        </is>
      </c>
      <c r="C773" s="7" t="inlineStr">
        <is>
          <t>157680180</t>
        </is>
      </c>
      <c r="D773" s="7" t="inlineStr">
        <is>
          <t>157680180-black</t>
        </is>
      </c>
      <c r="E773" s="7" t="inlineStr">
        <is>
          <t>Wunder Train Full-Zip Jacket BLK 2</t>
        </is>
      </c>
      <c r="F773" s="7" t="inlineStr">
        <is>
          <t>$128.00</t>
        </is>
      </c>
      <c r="G773" s="7" t="inlineStr">
        <is>
          <t>$64.00</t>
        </is>
      </c>
      <c r="H773" s="7" t="inlineStr">
        <is>
          <t>Black</t>
        </is>
      </c>
      <c r="I773" s="7">
        <f>IMAGE("https://images.lululemon.com/is/image/lululemon/0001",1)</f>
        <v/>
      </c>
      <c r="J773" s="7" t="inlineStr">
        <is>
          <t>2</t>
        </is>
      </c>
      <c r="K773" s="7" t="inlineStr">
        <is>
          <t>62/628</t>
        </is>
      </c>
      <c r="L773" s="7" t="inlineStr">
        <is>
          <t>Yes</t>
        </is>
      </c>
      <c r="M773" s="7" t="inlineStr">
        <is>
          <t>Train hard, not hot. This hooded jacket is made from ultra-breathable, fast-drying Everlux™ fabric for unrivaled performance through every step and rep.</t>
        </is>
      </c>
      <c r="N773" s="7" t="inlineStr">
        <is>
          <t>Wunder-Train-Full-Zip-Jacket</t>
        </is>
      </c>
      <c r="O773" s="7" t="inlineStr">
        <is>
          <t>Zip Up Sweatshirts</t>
        </is>
      </c>
    </row>
    <row r="774" ht="80" customHeight="1">
      <c r="A774" s="4">
        <f>IMAGE("https://images.lululemon.com/is/image/lululemon/LW3JBIS_0001_1?wid=320&amp;op_usm=0.8",1)</f>
        <v/>
      </c>
      <c r="B774" s="4" t="inlineStr">
        <is>
          <t>Wunder Train Full-Zip Jacket</t>
        </is>
      </c>
      <c r="C774" s="4" t="inlineStr">
        <is>
          <t>157680191</t>
        </is>
      </c>
      <c r="D774" s="4" t="inlineStr">
        <is>
          <t>157680191-black</t>
        </is>
      </c>
      <c r="E774" s="4" t="inlineStr">
        <is>
          <t>Wunder Train Full-Zip Jacket BLK 2</t>
        </is>
      </c>
      <c r="F774" s="4" t="inlineStr">
        <is>
          <t>$128.00</t>
        </is>
      </c>
      <c r="G774" s="4" t="inlineStr">
        <is>
          <t>$64.00</t>
        </is>
      </c>
      <c r="H774" s="4" t="inlineStr">
        <is>
          <t>Black</t>
        </is>
      </c>
      <c r="I774" s="4">
        <f>IMAGE("https://images.lululemon.com/is/image/lululemon/0001",1)</f>
        <v/>
      </c>
      <c r="J774" s="4" t="inlineStr">
        <is>
          <t>4</t>
        </is>
      </c>
      <c r="K774" s="4" t="inlineStr">
        <is>
          <t>126/628</t>
        </is>
      </c>
      <c r="L774" s="4" t="inlineStr">
        <is>
          <t>Yes</t>
        </is>
      </c>
      <c r="M774" s="4" t="inlineStr">
        <is>
          <t>Train hard, not hot. This hooded jacket is made from ultra-breathable, fast-drying Everlux™ fabric for unrivaled performance through every step and rep.</t>
        </is>
      </c>
      <c r="N774" s="4" t="inlineStr">
        <is>
          <t>Wunder-Train-Full-Zip-Jacket</t>
        </is>
      </c>
      <c r="O774" s="4" t="inlineStr">
        <is>
          <t>Zip Up Sweatshirts</t>
        </is>
      </c>
    </row>
    <row r="775" ht="80" customHeight="1">
      <c r="A775" s="7">
        <f>IMAGE("https://images.lululemon.com/is/image/lululemon/LW3JBIS_0001_1?wid=320&amp;op_usm=0.8",1)</f>
        <v/>
      </c>
      <c r="B775" s="7" t="inlineStr">
        <is>
          <t>Wunder Train Full-Zip Jacket</t>
        </is>
      </c>
      <c r="C775" s="7" t="inlineStr">
        <is>
          <t>157680199</t>
        </is>
      </c>
      <c r="D775" s="7" t="inlineStr">
        <is>
          <t>157680199-black</t>
        </is>
      </c>
      <c r="E775" s="7" t="inlineStr">
        <is>
          <t>Wunder Train Full-Zip Jacket BLK 2</t>
        </is>
      </c>
      <c r="F775" s="7" t="inlineStr">
        <is>
          <t>$128.00</t>
        </is>
      </c>
      <c r="G775" s="7" t="inlineStr">
        <is>
          <t>$64.00</t>
        </is>
      </c>
      <c r="H775" s="7" t="inlineStr">
        <is>
          <t>Black</t>
        </is>
      </c>
      <c r="I775" s="7">
        <f>IMAGE("https://images.lululemon.com/is/image/lululemon/0001",1)</f>
        <v/>
      </c>
      <c r="J775" s="7" t="inlineStr">
        <is>
          <t>6</t>
        </is>
      </c>
      <c r="K775" s="7" t="inlineStr">
        <is>
          <t>153/628</t>
        </is>
      </c>
      <c r="L775" s="7" t="inlineStr">
        <is>
          <t>Yes</t>
        </is>
      </c>
      <c r="M775" s="7" t="inlineStr">
        <is>
          <t>Train hard, not hot. This hooded jacket is made from ultra-breathable, fast-drying Everlux™ fabric for unrivaled performance through every step and rep.</t>
        </is>
      </c>
      <c r="N775" s="7" t="inlineStr">
        <is>
          <t>Wunder-Train-Full-Zip-Jacket</t>
        </is>
      </c>
      <c r="O775" s="7" t="inlineStr">
        <is>
          <t>Zip Up Sweatshirts</t>
        </is>
      </c>
    </row>
    <row r="776" ht="80" customHeight="1">
      <c r="A776" s="4">
        <f>IMAGE("https://images.lululemon.com/is/image/lululemon/LW3JBIS_0001_1?wid=320&amp;op_usm=0.8",1)</f>
        <v/>
      </c>
      <c r="B776" s="4" t="inlineStr">
        <is>
          <t>Wunder Train Full-Zip Jacket</t>
        </is>
      </c>
      <c r="C776" s="4" t="inlineStr">
        <is>
          <t>157680208</t>
        </is>
      </c>
      <c r="D776" s="4" t="inlineStr">
        <is>
          <t>157680208-black</t>
        </is>
      </c>
      <c r="E776" s="4" t="inlineStr">
        <is>
          <t>Wunder Train Full-Zip Jacket BLK 2</t>
        </is>
      </c>
      <c r="F776" s="4" t="inlineStr">
        <is>
          <t>$128.00</t>
        </is>
      </c>
      <c r="G776" s="4" t="inlineStr">
        <is>
          <t>$64.00</t>
        </is>
      </c>
      <c r="H776" s="4" t="inlineStr">
        <is>
          <t>Black</t>
        </is>
      </c>
      <c r="I776" s="4">
        <f>IMAGE("https://images.lululemon.com/is/image/lululemon/0001",1)</f>
        <v/>
      </c>
      <c r="J776" s="4" t="inlineStr">
        <is>
          <t>8</t>
        </is>
      </c>
      <c r="K776" s="4" t="inlineStr">
        <is>
          <t>141/628</t>
        </is>
      </c>
      <c r="L776" s="4" t="inlineStr">
        <is>
          <t>Yes</t>
        </is>
      </c>
      <c r="M776" s="4" t="inlineStr">
        <is>
          <t>Train hard, not hot. This hooded jacket is made from ultra-breathable, fast-drying Everlux™ fabric for unrivaled performance through every step and rep.</t>
        </is>
      </c>
      <c r="N776" s="4" t="inlineStr">
        <is>
          <t>Wunder-Train-Full-Zip-Jacket</t>
        </is>
      </c>
      <c r="O776" s="4" t="inlineStr">
        <is>
          <t>Zip Up Sweatshirts</t>
        </is>
      </c>
    </row>
    <row r="777" ht="80" customHeight="1">
      <c r="A777" s="7">
        <f>IMAGE("https://images.lululemon.com/is/image/lululemon/LW3JBIS_0001_1?wid=320&amp;op_usm=0.8",1)</f>
        <v/>
      </c>
      <c r="B777" s="7" t="inlineStr">
        <is>
          <t>Wunder Train Full-Zip Jacket</t>
        </is>
      </c>
      <c r="C777" s="7" t="inlineStr">
        <is>
          <t>157680152</t>
        </is>
      </c>
      <c r="D777" s="7" t="inlineStr">
        <is>
          <t>157680152-black</t>
        </is>
      </c>
      <c r="E777" s="7" t="inlineStr">
        <is>
          <t>Wunder Train Full-Zip Jacket BLK 2</t>
        </is>
      </c>
      <c r="F777" s="7" t="inlineStr">
        <is>
          <t>$128.00</t>
        </is>
      </c>
      <c r="G777" s="7" t="inlineStr">
        <is>
          <t>$64.00</t>
        </is>
      </c>
      <c r="H777" s="7" t="inlineStr">
        <is>
          <t>Black</t>
        </is>
      </c>
      <c r="I777" s="7">
        <f>IMAGE("https://images.lululemon.com/is/image/lululemon/0001",1)</f>
        <v/>
      </c>
      <c r="J777" s="7" t="inlineStr">
        <is>
          <t>10</t>
        </is>
      </c>
      <c r="K777" s="7" t="inlineStr">
        <is>
          <t>95/628</t>
        </is>
      </c>
      <c r="L777" s="7" t="inlineStr">
        <is>
          <t>Yes</t>
        </is>
      </c>
      <c r="M777" s="7" t="inlineStr">
        <is>
          <t>Train hard, not hot. This hooded jacket is made from ultra-breathable, fast-drying Everlux™ fabric for unrivaled performance through every step and rep.</t>
        </is>
      </c>
      <c r="N777" s="7" t="inlineStr">
        <is>
          <t>Wunder-Train-Full-Zip-Jacket</t>
        </is>
      </c>
      <c r="O777" s="7" t="inlineStr">
        <is>
          <t>Zip Up Sweatshirts</t>
        </is>
      </c>
    </row>
    <row r="778" ht="80" customHeight="1">
      <c r="A778" s="6">
        <f>IMAGE("https://images.lululemon.com/is/image/lululemon/LW3JBIS_0001_1?wid=320&amp;op_usm=0.8",1)</f>
        <v/>
      </c>
      <c r="B778" s="6" t="inlineStr">
        <is>
          <t>Wunder Train Full-Zip Jacket</t>
        </is>
      </c>
      <c r="C778" s="6" t="inlineStr">
        <is>
          <t>157680164</t>
        </is>
      </c>
      <c r="D778" s="6" t="inlineStr">
        <is>
          <t>157680164-black</t>
        </is>
      </c>
      <c r="E778" s="6" t="inlineStr">
        <is>
          <t>Wunder Train Full-Zip Jacket BLK 2</t>
        </is>
      </c>
      <c r="F778" s="6" t="inlineStr">
        <is>
          <t>$128.00</t>
        </is>
      </c>
      <c r="G778" s="6" t="inlineStr">
        <is>
          <t>$64.00</t>
        </is>
      </c>
      <c r="H778" s="6" t="inlineStr">
        <is>
          <t>Black</t>
        </is>
      </c>
      <c r="I778" s="6">
        <f>IMAGE("https://images.lululemon.com/is/image/lululemon/0001",1)</f>
        <v/>
      </c>
      <c r="J778" s="6" t="inlineStr">
        <is>
          <t>12</t>
        </is>
      </c>
      <c r="K778" s="6" t="inlineStr">
        <is>
          <t>51/628</t>
        </is>
      </c>
      <c r="L778" s="6" t="inlineStr">
        <is>
          <t>Yes</t>
        </is>
      </c>
      <c r="M778" s="6" t="inlineStr">
        <is>
          <t>Train hard, not hot. This hooded jacket is made from ultra-breathable, fast-drying Everlux™ fabric for unrivaled performance through every step and rep.</t>
        </is>
      </c>
      <c r="N778" s="6" t="inlineStr">
        <is>
          <t>Wunder-Train-Full-Zip-Jacket</t>
        </is>
      </c>
      <c r="O778" s="6" t="inlineStr">
        <is>
          <t>Zip Up Sweatshirts</t>
        </is>
      </c>
    </row>
    <row r="779" ht="80" customHeight="1">
      <c r="A779" s="7">
        <f>IMAGE("https://images.lululemon.com/is/image/lululemon/LW5FLOS_031382_1?wid=320&amp;op_usm=0.8",1)</f>
        <v/>
      </c>
      <c r="B779" s="7" t="inlineStr">
        <is>
          <t>Fast and Free High-Rise Tight 28" *5 Pocket</t>
        </is>
      </c>
      <c r="C779" s="7" t="inlineStr">
        <is>
          <t>146082348</t>
        </is>
      </c>
      <c r="D779" s="7" t="inlineStr">
        <is>
          <t>146082348-truenavy</t>
        </is>
      </c>
      <c r="E779" s="7" t="inlineStr">
        <is>
          <t>Fast and Free HR Tight 28" *Pockets TRNV 2</t>
        </is>
      </c>
      <c r="F779" s="7" t="inlineStr">
        <is>
          <t>$128.00</t>
        </is>
      </c>
      <c r="G779" s="7" t="inlineStr">
        <is>
          <t>$64.00</t>
        </is>
      </c>
      <c r="H779" s="7" t="inlineStr">
        <is>
          <t>True Navy</t>
        </is>
      </c>
      <c r="I779" s="7">
        <f>IMAGE("https://images.lululemon.com/is/image/lululemon/31382",1)</f>
        <v/>
      </c>
      <c r="J779" s="7" t="inlineStr">
        <is>
          <t>2</t>
        </is>
      </c>
      <c r="K779" s="7" t="inlineStr">
        <is>
          <t>24/77</t>
        </is>
      </c>
      <c r="L779" s="7" t="inlineStr">
        <is>
          <t>Yes</t>
        </is>
      </c>
      <c r="M779" s="7" t="inlineStr">
        <is>
          <t>Set your run free. This five-pocket version of our Fast and Free tight has seam-free inner thighs and a streamlined waistband to maximize that smooth, weightless feeling.</t>
        </is>
      </c>
      <c r="N779" s="7" t="inlineStr">
        <is>
          <t>Nulux-5-Pocket-HR-Running-Tight-28</t>
        </is>
      </c>
      <c r="O779" s="7" t="inlineStr">
        <is>
          <t>5 Pocket Pants, Athletic Pants</t>
        </is>
      </c>
    </row>
    <row r="780" ht="80" customHeight="1">
      <c r="A780" s="4">
        <f>IMAGE("https://images.lululemon.com/is/image/lululemon/LW5FLOS_031382_1?wid=320&amp;op_usm=0.8",1)</f>
        <v/>
      </c>
      <c r="B780" s="4" t="inlineStr">
        <is>
          <t>Fast and Free High-Rise Tight 28" *5 Pocket</t>
        </is>
      </c>
      <c r="C780" s="4" t="inlineStr">
        <is>
          <t>146082379</t>
        </is>
      </c>
      <c r="D780" s="4" t="inlineStr">
        <is>
          <t>146082379-truenavy</t>
        </is>
      </c>
      <c r="E780" s="4" t="inlineStr">
        <is>
          <t>Fast and Free HR Tight 28" *Pockets TRNV 2</t>
        </is>
      </c>
      <c r="F780" s="4" t="inlineStr">
        <is>
          <t>$128.00</t>
        </is>
      </c>
      <c r="G780" s="4" t="inlineStr">
        <is>
          <t>$64.00</t>
        </is>
      </c>
      <c r="H780" s="4" t="inlineStr">
        <is>
          <t>True Navy</t>
        </is>
      </c>
      <c r="I780" s="4">
        <f>IMAGE("https://images.lululemon.com/is/image/lululemon/31382",1)</f>
        <v/>
      </c>
      <c r="J780" s="4" t="inlineStr">
        <is>
          <t>4</t>
        </is>
      </c>
      <c r="K780" s="4" t="inlineStr">
        <is>
          <t>36/77</t>
        </is>
      </c>
      <c r="L780" s="4" t="inlineStr">
        <is>
          <t>Yes</t>
        </is>
      </c>
      <c r="M780" s="4" t="inlineStr">
        <is>
          <t>Set your run free. This five-pocket version of our Fast and Free tight has seam-free inner thighs and a streamlined waistband to maximize that smooth, weightless feeling.</t>
        </is>
      </c>
      <c r="N780" s="4" t="inlineStr">
        <is>
          <t>Nulux-5-Pocket-HR-Running-Tight-28</t>
        </is>
      </c>
      <c r="O780" s="4" t="inlineStr">
        <is>
          <t>5 Pocket Pants, Athletic Pants</t>
        </is>
      </c>
    </row>
    <row r="781" ht="80" customHeight="1">
      <c r="A781" s="7">
        <f>IMAGE("https://images.lululemon.com/is/image/lululemon/LW5FLOS_031382_1?wid=320&amp;op_usm=0.8",1)</f>
        <v/>
      </c>
      <c r="B781" s="7" t="inlineStr">
        <is>
          <t>Fast and Free High-Rise Tight 28" *5 Pocket</t>
        </is>
      </c>
      <c r="C781" s="7" t="inlineStr">
        <is>
          <t>146082392</t>
        </is>
      </c>
      <c r="D781" s="7" t="inlineStr">
        <is>
          <t>146082392-truenavy</t>
        </is>
      </c>
      <c r="E781" s="7" t="inlineStr">
        <is>
          <t>Fast and Free HR Tight 28" *Pockets TRNV 2</t>
        </is>
      </c>
      <c r="F781" s="7" t="inlineStr">
        <is>
          <t>$128.00</t>
        </is>
      </c>
      <c r="G781" s="7" t="inlineStr">
        <is>
          <t>$64.00</t>
        </is>
      </c>
      <c r="H781" s="7" t="inlineStr">
        <is>
          <t>True Navy</t>
        </is>
      </c>
      <c r="I781" s="7">
        <f>IMAGE("https://images.lululemon.com/is/image/lululemon/31382",1)</f>
        <v/>
      </c>
      <c r="J781" s="7" t="inlineStr">
        <is>
          <t>8</t>
        </is>
      </c>
      <c r="K781" s="7" t="inlineStr">
        <is>
          <t>9/77</t>
        </is>
      </c>
      <c r="L781" s="7" t="inlineStr">
        <is>
          <t>Yes</t>
        </is>
      </c>
      <c r="M781" s="7" t="inlineStr">
        <is>
          <t>Set your run free. This five-pocket version of our Fast and Free tight has seam-free inner thighs and a streamlined waistband to maximize that smooth, weightless feeling.</t>
        </is>
      </c>
      <c r="N781" s="7" t="inlineStr">
        <is>
          <t>Nulux-5-Pocket-HR-Running-Tight-28</t>
        </is>
      </c>
      <c r="O781" s="7" t="inlineStr">
        <is>
          <t>5 Pocket Pants, Athletic Pants</t>
        </is>
      </c>
    </row>
    <row r="782" ht="80" customHeight="1">
      <c r="A782" s="4">
        <f>IMAGE("https://images.lululemon.com/is/image/lululemon/LW5FLOS_031382_1?wid=320&amp;op_usm=0.8",1)</f>
        <v/>
      </c>
      <c r="B782" s="4" t="inlineStr">
        <is>
          <t>Fast and Free High-Rise Tight 28" *5 Pocket</t>
        </is>
      </c>
      <c r="C782" s="4" t="inlineStr">
        <is>
          <t>146082318</t>
        </is>
      </c>
      <c r="D782" s="4" t="inlineStr">
        <is>
          <t>146082318-truenavy</t>
        </is>
      </c>
      <c r="E782" s="4" t="inlineStr">
        <is>
          <t>Fast and Free HR Tight 28" *Pockets TRNV 2</t>
        </is>
      </c>
      <c r="F782" s="4" t="inlineStr">
        <is>
          <t>$128.00</t>
        </is>
      </c>
      <c r="G782" s="4" t="inlineStr">
        <is>
          <t>$64.00</t>
        </is>
      </c>
      <c r="H782" s="4" t="inlineStr">
        <is>
          <t>True Navy</t>
        </is>
      </c>
      <c r="I782" s="4">
        <f>IMAGE("https://images.lululemon.com/is/image/lululemon/31382",1)</f>
        <v/>
      </c>
      <c r="J782" s="4" t="inlineStr">
        <is>
          <t>12</t>
        </is>
      </c>
      <c r="K782" s="4" t="inlineStr">
        <is>
          <t>6/77</t>
        </is>
      </c>
      <c r="L782" s="4" t="inlineStr">
        <is>
          <t>Yes</t>
        </is>
      </c>
      <c r="M782" s="4" t="inlineStr">
        <is>
          <t>Set your run free. This five-pocket version of our Fast and Free tight has seam-free inner thighs and a streamlined waistband to maximize that smooth, weightless feeling.</t>
        </is>
      </c>
      <c r="N782" s="4" t="inlineStr">
        <is>
          <t>Nulux-5-Pocket-HR-Running-Tight-28</t>
        </is>
      </c>
      <c r="O782" s="4" t="inlineStr">
        <is>
          <t>5 Pocket Pants, Athletic Pants</t>
        </is>
      </c>
    </row>
    <row r="783" ht="80" customHeight="1">
      <c r="A783" s="5">
        <f>IMAGE("https://images.lululemon.com/is/image/lululemon/LW5FLOS_031382_1?wid=320&amp;op_usm=0.8",1)</f>
        <v/>
      </c>
      <c r="B783" s="5" t="inlineStr">
        <is>
          <t>Fast and Free High-Rise Tight 28" *5 Pocket</t>
        </is>
      </c>
      <c r="C783" s="5" t="inlineStr">
        <is>
          <t>146082325</t>
        </is>
      </c>
      <c r="D783" s="5" t="inlineStr">
        <is>
          <t>146082325-truenavy</t>
        </is>
      </c>
      <c r="E783" s="5" t="inlineStr">
        <is>
          <t>Fast and Free HR Tight 28" *Pockets TRNV 2</t>
        </is>
      </c>
      <c r="F783" s="5" t="inlineStr">
        <is>
          <t>$128.00</t>
        </is>
      </c>
      <c r="G783" s="5" t="inlineStr">
        <is>
          <t>$64.00</t>
        </is>
      </c>
      <c r="H783" s="5" t="inlineStr">
        <is>
          <t>True Navy</t>
        </is>
      </c>
      <c r="I783" s="5">
        <f>IMAGE("https://images.lululemon.com/is/image/lululemon/31382",1)</f>
        <v/>
      </c>
      <c r="J783" s="5" t="inlineStr">
        <is>
          <t>14</t>
        </is>
      </c>
      <c r="K783" s="5" t="inlineStr">
        <is>
          <t>2/77</t>
        </is>
      </c>
      <c r="L783" s="5" t="inlineStr">
        <is>
          <t>Yes</t>
        </is>
      </c>
      <c r="M783" s="5" t="inlineStr">
        <is>
          <t>Set your run free. This five-pocket version of our Fast and Free tight has seam-free inner thighs and a streamlined waistband to maximize that smooth, weightless feeling.</t>
        </is>
      </c>
      <c r="N783" s="5" t="inlineStr">
        <is>
          <t>Nulux-5-Pocket-HR-Running-Tight-28</t>
        </is>
      </c>
      <c r="O783" s="5" t="inlineStr">
        <is>
          <t>5 Pocket Pants, Athletic Pants</t>
        </is>
      </c>
    </row>
    <row r="784" ht="80" customHeight="1">
      <c r="A784" s="4">
        <f>IMAGE("https://images.lululemon.com/is/image/lululemon/LW7DPAS_0001_1?wid=320&amp;op_usm=0.8",1)</f>
        <v/>
      </c>
      <c r="B784" s="4" t="inlineStr">
        <is>
          <t>Stretch Twill Golf Short 5"</t>
        </is>
      </c>
      <c r="C784" s="4" t="inlineStr">
        <is>
          <t>158026090</t>
        </is>
      </c>
      <c r="D784" s="4" t="inlineStr">
        <is>
          <t>158026090-clubblue</t>
        </is>
      </c>
      <c r="E784" s="4" t="inlineStr">
        <is>
          <t>Stretch Twill Golf Short 5" CLBL 22</t>
        </is>
      </c>
      <c r="F784" s="4" t="inlineStr">
        <is>
          <t>$98.00</t>
        </is>
      </c>
      <c r="G784" s="4" t="inlineStr">
        <is>
          <t>$49.00</t>
        </is>
      </c>
      <c r="H784" s="4" t="inlineStr">
        <is>
          <t>Club Blue</t>
        </is>
      </c>
      <c r="I784" s="4">
        <f>IMAGE("https://images.lululemon.com/is/image/lululemon/68578",1)</f>
        <v/>
      </c>
      <c r="J784" s="4" t="inlineStr">
        <is>
          <t>22</t>
        </is>
      </c>
      <c r="K784" s="4" t="inlineStr">
        <is>
          <t>3/2447</t>
        </is>
      </c>
      <c r="L784" s="4" t="inlineStr">
        <is>
          <t>Yes</t>
        </is>
      </c>
      <c r="M784" s="4" t="inlineStr">
        <is>
          <t>Stretch for your swing. These stretch twill golf shorts are designed to give you full freedom of movement. The fly front keeps them looking smart, too.</t>
        </is>
      </c>
      <c r="N784" s="4" t="inlineStr">
        <is>
          <t>Stretch-Twill-Golf-Short-5</t>
        </is>
      </c>
      <c r="O784" s="4" t="inlineStr">
        <is>
          <t>Athletic Shorts</t>
        </is>
      </c>
    </row>
    <row r="785" ht="80" customHeight="1">
      <c r="A785" s="7">
        <f>IMAGE("https://images.lululemon.com/is/image/lululemon/LW7DPAS_0001_1?wid=320&amp;op_usm=0.8",1)</f>
        <v/>
      </c>
      <c r="B785" s="7" t="inlineStr">
        <is>
          <t>Stretch Twill Golf Short 5"</t>
        </is>
      </c>
      <c r="C785" s="7" t="inlineStr">
        <is>
          <t>158026117</t>
        </is>
      </c>
      <c r="D785" s="7" t="inlineStr">
        <is>
          <t>158026117-clubblue</t>
        </is>
      </c>
      <c r="E785" s="7" t="inlineStr">
        <is>
          <t>Stretch Twill Golf Short 5" CLBL 22</t>
        </is>
      </c>
      <c r="F785" s="7" t="inlineStr">
        <is>
          <t>$98.00</t>
        </is>
      </c>
      <c r="G785" s="7" t="inlineStr">
        <is>
          <t>$49.00</t>
        </is>
      </c>
      <c r="H785" s="7" t="inlineStr">
        <is>
          <t>Club Blue</t>
        </is>
      </c>
      <c r="I785" s="7">
        <f>IMAGE("https://images.lululemon.com/is/image/lululemon/68578",1)</f>
        <v/>
      </c>
      <c r="J785" s="7" t="inlineStr">
        <is>
          <t>23</t>
        </is>
      </c>
      <c r="K785" s="7" t="inlineStr">
        <is>
          <t>1/2447</t>
        </is>
      </c>
      <c r="L785" s="7" t="inlineStr">
        <is>
          <t>Yes</t>
        </is>
      </c>
      <c r="M785" s="7" t="inlineStr">
        <is>
          <t>Stretch for your swing. These stretch twill golf shorts are designed to give you full freedom of movement. The fly front keeps them looking smart, too.</t>
        </is>
      </c>
      <c r="N785" s="7" t="inlineStr">
        <is>
          <t>Stretch-Twill-Golf-Short-5</t>
        </is>
      </c>
      <c r="O785" s="7" t="inlineStr">
        <is>
          <t>Athletic Shorts</t>
        </is>
      </c>
    </row>
    <row r="786" ht="80" customHeight="1">
      <c r="A786" s="4">
        <f>IMAGE("https://images.lululemon.com/is/image/lululemon/LW7DPAS_0001_1?wid=320&amp;op_usm=0.8",1)</f>
        <v/>
      </c>
      <c r="B786" s="4" t="inlineStr">
        <is>
          <t>Stretch Twill Golf Short 5"</t>
        </is>
      </c>
      <c r="C786" s="4" t="inlineStr">
        <is>
          <t>158026142</t>
        </is>
      </c>
      <c r="D786" s="4" t="inlineStr">
        <is>
          <t>158026142-clubblue</t>
        </is>
      </c>
      <c r="E786" s="4" t="inlineStr">
        <is>
          <t>Stretch Twill Golf Short 5" CLBL 22</t>
        </is>
      </c>
      <c r="F786" s="4" t="inlineStr">
        <is>
          <t>$98.00</t>
        </is>
      </c>
      <c r="G786" s="4" t="inlineStr">
        <is>
          <t>$49.00</t>
        </is>
      </c>
      <c r="H786" s="4" t="inlineStr">
        <is>
          <t>Club Blue</t>
        </is>
      </c>
      <c r="I786" s="4">
        <f>IMAGE("https://images.lululemon.com/is/image/lululemon/68578",1)</f>
        <v/>
      </c>
      <c r="J786" s="4" t="inlineStr">
        <is>
          <t>24</t>
        </is>
      </c>
      <c r="K786" s="4" t="inlineStr">
        <is>
          <t>8/2447</t>
        </is>
      </c>
      <c r="L786" s="4" t="inlineStr">
        <is>
          <t>Yes</t>
        </is>
      </c>
      <c r="M786" s="4" t="inlineStr">
        <is>
          <t>Stretch for your swing. These stretch twill golf shorts are designed to give you full freedom of movement. The fly front keeps them looking smart, too.</t>
        </is>
      </c>
      <c r="N786" s="4" t="inlineStr">
        <is>
          <t>Stretch-Twill-Golf-Short-5</t>
        </is>
      </c>
      <c r="O786" s="4" t="inlineStr">
        <is>
          <t>Athletic Shorts</t>
        </is>
      </c>
    </row>
    <row r="787" ht="80" customHeight="1">
      <c r="A787" s="7">
        <f>IMAGE("https://images.lululemon.com/is/image/lululemon/LW7DPAS_0001_1?wid=320&amp;op_usm=0.8",1)</f>
        <v/>
      </c>
      <c r="B787" s="7" t="inlineStr">
        <is>
          <t>Stretch Twill Golf Short 5"</t>
        </is>
      </c>
      <c r="C787" s="7" t="inlineStr">
        <is>
          <t>158026170</t>
        </is>
      </c>
      <c r="D787" s="7" t="inlineStr">
        <is>
          <t>158026170-clubblue</t>
        </is>
      </c>
      <c r="E787" s="7" t="inlineStr">
        <is>
          <t>Stretch Twill Golf Short 5" CLBL 22</t>
        </is>
      </c>
      <c r="F787" s="7" t="inlineStr">
        <is>
          <t>$98.00</t>
        </is>
      </c>
      <c r="G787" s="7" t="inlineStr">
        <is>
          <t>$49.00</t>
        </is>
      </c>
      <c r="H787" s="7" t="inlineStr">
        <is>
          <t>Club Blue</t>
        </is>
      </c>
      <c r="I787" s="7">
        <f>IMAGE("https://images.lululemon.com/is/image/lululemon/68578",1)</f>
        <v/>
      </c>
      <c r="J787" s="7" t="inlineStr">
        <is>
          <t>25</t>
        </is>
      </c>
      <c r="K787" s="7" t="inlineStr">
        <is>
          <t>43/2447</t>
        </is>
      </c>
      <c r="L787" s="7" t="inlineStr">
        <is>
          <t>Yes</t>
        </is>
      </c>
      <c r="M787" s="7" t="inlineStr">
        <is>
          <t>Stretch for your swing. These stretch twill golf shorts are designed to give you full freedom of movement. The fly front keeps them looking smart, too.</t>
        </is>
      </c>
      <c r="N787" s="7" t="inlineStr">
        <is>
          <t>Stretch-Twill-Golf-Short-5</t>
        </is>
      </c>
      <c r="O787" s="7" t="inlineStr">
        <is>
          <t>Athletic Shorts</t>
        </is>
      </c>
    </row>
    <row r="788" ht="80" customHeight="1">
      <c r="A788" s="4">
        <f>IMAGE("https://images.lululemon.com/is/image/lululemon/LW7DPAS_0001_1?wid=320&amp;op_usm=0.8",1)</f>
        <v/>
      </c>
      <c r="B788" s="4" t="inlineStr">
        <is>
          <t>Stretch Twill Golf Short 5"</t>
        </is>
      </c>
      <c r="C788" s="4" t="inlineStr">
        <is>
          <t>158026201</t>
        </is>
      </c>
      <c r="D788" s="4" t="inlineStr">
        <is>
          <t>158026201-clubblue</t>
        </is>
      </c>
      <c r="E788" s="4" t="inlineStr">
        <is>
          <t>Stretch Twill Golf Short 5" CLBL 22</t>
        </is>
      </c>
      <c r="F788" s="4" t="inlineStr">
        <is>
          <t>$98.00</t>
        </is>
      </c>
      <c r="G788" s="4" t="inlineStr">
        <is>
          <t>$49.00</t>
        </is>
      </c>
      <c r="H788" s="4" t="inlineStr">
        <is>
          <t>Club Blue</t>
        </is>
      </c>
      <c r="I788" s="4">
        <f>IMAGE("https://images.lululemon.com/is/image/lululemon/68578",1)</f>
        <v/>
      </c>
      <c r="J788" s="4" t="inlineStr">
        <is>
          <t>26</t>
        </is>
      </c>
      <c r="K788" s="4" t="inlineStr">
        <is>
          <t>60/2447</t>
        </is>
      </c>
      <c r="L788" s="4" t="inlineStr">
        <is>
          <t>Yes</t>
        </is>
      </c>
      <c r="M788" s="4" t="inlineStr">
        <is>
          <t>Stretch for your swing. These stretch twill golf shorts are designed to give you full freedom of movement. The fly front keeps them looking smart, too.</t>
        </is>
      </c>
      <c r="N788" s="4" t="inlineStr">
        <is>
          <t>Stretch-Twill-Golf-Short-5</t>
        </is>
      </c>
      <c r="O788" s="4" t="inlineStr">
        <is>
          <t>Athletic Shorts</t>
        </is>
      </c>
    </row>
    <row r="789" ht="80" customHeight="1">
      <c r="A789" s="7">
        <f>IMAGE("https://images.lululemon.com/is/image/lululemon/LW7DPAS_0001_1?wid=320&amp;op_usm=0.8",1)</f>
        <v/>
      </c>
      <c r="B789" s="7" t="inlineStr">
        <is>
          <t>Stretch Twill Golf Short 5"</t>
        </is>
      </c>
      <c r="C789" s="7" t="inlineStr">
        <is>
          <t>158026227</t>
        </is>
      </c>
      <c r="D789" s="7" t="inlineStr">
        <is>
          <t>158026227-clubblue</t>
        </is>
      </c>
      <c r="E789" s="7" t="inlineStr">
        <is>
          <t>Stretch Twill Golf Short 5" CLBL 22</t>
        </is>
      </c>
      <c r="F789" s="7" t="inlineStr">
        <is>
          <t>$98.00</t>
        </is>
      </c>
      <c r="G789" s="7" t="inlineStr">
        <is>
          <t>$49.00</t>
        </is>
      </c>
      <c r="H789" s="7" t="inlineStr">
        <is>
          <t>Club Blue</t>
        </is>
      </c>
      <c r="I789" s="7">
        <f>IMAGE("https://images.lululemon.com/is/image/lululemon/68578",1)</f>
        <v/>
      </c>
      <c r="J789" s="7" t="inlineStr">
        <is>
          <t>27</t>
        </is>
      </c>
      <c r="K789" s="7" t="inlineStr">
        <is>
          <t>64/2447</t>
        </is>
      </c>
      <c r="L789" s="7" t="inlineStr">
        <is>
          <t>Yes</t>
        </is>
      </c>
      <c r="M789" s="7" t="inlineStr">
        <is>
          <t>Stretch for your swing. These stretch twill golf shorts are designed to give you full freedom of movement. The fly front keeps them looking smart, too.</t>
        </is>
      </c>
      <c r="N789" s="7" t="inlineStr">
        <is>
          <t>Stretch-Twill-Golf-Short-5</t>
        </is>
      </c>
      <c r="O789" s="7" t="inlineStr">
        <is>
          <t>Athletic Shorts</t>
        </is>
      </c>
    </row>
    <row r="790" ht="80" customHeight="1">
      <c r="A790" s="4">
        <f>IMAGE("https://images.lululemon.com/is/image/lululemon/LW7DPAS_0001_1?wid=320&amp;op_usm=0.8",1)</f>
        <v/>
      </c>
      <c r="B790" s="4" t="inlineStr">
        <is>
          <t>Stretch Twill Golf Short 5"</t>
        </is>
      </c>
      <c r="C790" s="4" t="inlineStr">
        <is>
          <t>158026253</t>
        </is>
      </c>
      <c r="D790" s="4" t="inlineStr">
        <is>
          <t>158026253-clubblue</t>
        </is>
      </c>
      <c r="E790" s="4" t="inlineStr">
        <is>
          <t>Stretch Twill Golf Short 5" CLBL 22</t>
        </is>
      </c>
      <c r="F790" s="4" t="inlineStr">
        <is>
          <t>$98.00</t>
        </is>
      </c>
      <c r="G790" s="4" t="inlineStr">
        <is>
          <t>$49.00</t>
        </is>
      </c>
      <c r="H790" s="4" t="inlineStr">
        <is>
          <t>Club Blue</t>
        </is>
      </c>
      <c r="I790" s="4">
        <f>IMAGE("https://images.lululemon.com/is/image/lululemon/68578",1)</f>
        <v/>
      </c>
      <c r="J790" s="4" t="inlineStr">
        <is>
          <t>28</t>
        </is>
      </c>
      <c r="K790" s="4" t="inlineStr">
        <is>
          <t>52/2447</t>
        </is>
      </c>
      <c r="L790" s="4" t="inlineStr">
        <is>
          <t>Yes</t>
        </is>
      </c>
      <c r="M790" s="4" t="inlineStr">
        <is>
          <t>Stretch for your swing. These stretch twill golf shorts are designed to give you full freedom of movement. The fly front keeps them looking smart, too.</t>
        </is>
      </c>
      <c r="N790" s="4" t="inlineStr">
        <is>
          <t>Stretch-Twill-Golf-Short-5</t>
        </is>
      </c>
      <c r="O790" s="4" t="inlineStr">
        <is>
          <t>Athletic Shorts</t>
        </is>
      </c>
    </row>
    <row r="791" ht="80" customHeight="1">
      <c r="A791" s="7">
        <f>IMAGE("https://images.lululemon.com/is/image/lululemon/LW7DPAS_0001_1?wid=320&amp;op_usm=0.8",1)</f>
        <v/>
      </c>
      <c r="B791" s="7" t="inlineStr">
        <is>
          <t>Stretch Twill Golf Short 5"</t>
        </is>
      </c>
      <c r="C791" s="7" t="inlineStr">
        <is>
          <t>158026283</t>
        </is>
      </c>
      <c r="D791" s="7" t="inlineStr">
        <is>
          <t>158026283-clubblue</t>
        </is>
      </c>
      <c r="E791" s="7" t="inlineStr">
        <is>
          <t>Stretch Twill Golf Short 5" CLBL 22</t>
        </is>
      </c>
      <c r="F791" s="7" t="inlineStr">
        <is>
          <t>$98.00</t>
        </is>
      </c>
      <c r="G791" s="7" t="inlineStr">
        <is>
          <t>$49.00</t>
        </is>
      </c>
      <c r="H791" s="7" t="inlineStr">
        <is>
          <t>Club Blue</t>
        </is>
      </c>
      <c r="I791" s="7">
        <f>IMAGE("https://images.lululemon.com/is/image/lululemon/68578",1)</f>
        <v/>
      </c>
      <c r="J791" s="7" t="inlineStr">
        <is>
          <t>29</t>
        </is>
      </c>
      <c r="K791" s="7" t="inlineStr">
        <is>
          <t>57/2447</t>
        </is>
      </c>
      <c r="L791" s="7" t="inlineStr">
        <is>
          <t>Yes</t>
        </is>
      </c>
      <c r="M791" s="7" t="inlineStr">
        <is>
          <t>Stretch for your swing. These stretch twill golf shorts are designed to give you full freedom of movement. The fly front keeps them looking smart, too.</t>
        </is>
      </c>
      <c r="N791" s="7" t="inlineStr">
        <is>
          <t>Stretch-Twill-Golf-Short-5</t>
        </is>
      </c>
      <c r="O791" s="7" t="inlineStr">
        <is>
          <t>Athletic Shorts</t>
        </is>
      </c>
    </row>
    <row r="792" ht="80" customHeight="1">
      <c r="A792" s="4">
        <f>IMAGE("https://images.lululemon.com/is/image/lululemon/LW7DPAS_0001_1?wid=320&amp;op_usm=0.8",1)</f>
        <v/>
      </c>
      <c r="B792" s="4" t="inlineStr">
        <is>
          <t>Stretch Twill Golf Short 5"</t>
        </is>
      </c>
      <c r="C792" s="4" t="inlineStr">
        <is>
          <t>158026306</t>
        </is>
      </c>
      <c r="D792" s="4" t="inlineStr">
        <is>
          <t>158026306-clubblue</t>
        </is>
      </c>
      <c r="E792" s="4" t="inlineStr">
        <is>
          <t>Stretch Twill Golf Short 5" CLBL 22</t>
        </is>
      </c>
      <c r="F792" s="4" t="inlineStr">
        <is>
          <t>$98.00</t>
        </is>
      </c>
      <c r="G792" s="4" t="inlineStr">
        <is>
          <t>$49.00</t>
        </is>
      </c>
      <c r="H792" s="4" t="inlineStr">
        <is>
          <t>Club Blue</t>
        </is>
      </c>
      <c r="I792" s="4">
        <f>IMAGE("https://images.lululemon.com/is/image/lululemon/68578",1)</f>
        <v/>
      </c>
      <c r="J792" s="4" t="inlineStr">
        <is>
          <t>30</t>
        </is>
      </c>
      <c r="K792" s="4" t="inlineStr">
        <is>
          <t>36/2447</t>
        </is>
      </c>
      <c r="L792" s="4" t="inlineStr">
        <is>
          <t>Yes</t>
        </is>
      </c>
      <c r="M792" s="4" t="inlineStr">
        <is>
          <t>Stretch for your swing. These stretch twill golf shorts are designed to give you full freedom of movement. The fly front keeps them looking smart, too.</t>
        </is>
      </c>
      <c r="N792" s="4" t="inlineStr">
        <is>
          <t>Stretch-Twill-Golf-Short-5</t>
        </is>
      </c>
      <c r="O792" s="4" t="inlineStr">
        <is>
          <t>Athletic Shorts</t>
        </is>
      </c>
    </row>
    <row r="793" ht="80" customHeight="1">
      <c r="A793" s="7">
        <f>IMAGE("https://images.lululemon.com/is/image/lululemon/LW7DPAS_0001_1?wid=320&amp;op_usm=0.8",1)</f>
        <v/>
      </c>
      <c r="B793" s="7" t="inlineStr">
        <is>
          <t>Stretch Twill Golf Short 5"</t>
        </is>
      </c>
      <c r="C793" s="7" t="inlineStr">
        <is>
          <t>158026334</t>
        </is>
      </c>
      <c r="D793" s="7" t="inlineStr">
        <is>
          <t>158026334-clubblue</t>
        </is>
      </c>
      <c r="E793" s="7" t="inlineStr">
        <is>
          <t>Stretch Twill Golf Short 5" CLBL 22</t>
        </is>
      </c>
      <c r="F793" s="7" t="inlineStr">
        <is>
          <t>$98.00</t>
        </is>
      </c>
      <c r="G793" s="7" t="inlineStr">
        <is>
          <t>$49.00</t>
        </is>
      </c>
      <c r="H793" s="7" t="inlineStr">
        <is>
          <t>Club Blue</t>
        </is>
      </c>
      <c r="I793" s="7">
        <f>IMAGE("https://images.lululemon.com/is/image/lululemon/68578",1)</f>
        <v/>
      </c>
      <c r="J793" s="7" t="inlineStr">
        <is>
          <t>31</t>
        </is>
      </c>
      <c r="K793" s="7" t="inlineStr">
        <is>
          <t>21/2447</t>
        </is>
      </c>
      <c r="L793" s="7" t="inlineStr">
        <is>
          <t>Yes</t>
        </is>
      </c>
      <c r="M793" s="7" t="inlineStr">
        <is>
          <t>Stretch for your swing. These stretch twill golf shorts are designed to give you full freedom of movement. The fly front keeps them looking smart, too.</t>
        </is>
      </c>
      <c r="N793" s="7" t="inlineStr">
        <is>
          <t>Stretch-Twill-Golf-Short-5</t>
        </is>
      </c>
      <c r="O793" s="7" t="inlineStr">
        <is>
          <t>Athletic Shorts</t>
        </is>
      </c>
    </row>
    <row r="794" ht="80" customHeight="1">
      <c r="A794" s="4">
        <f>IMAGE("https://images.lululemon.com/is/image/lululemon/LW7DPAS_0001_1?wid=320&amp;op_usm=0.8",1)</f>
        <v/>
      </c>
      <c r="B794" s="4" t="inlineStr">
        <is>
          <t>Stretch Twill Golf Short 5"</t>
        </is>
      </c>
      <c r="C794" s="4" t="inlineStr">
        <is>
          <t>158026358</t>
        </is>
      </c>
      <c r="D794" s="4" t="inlineStr">
        <is>
          <t>158026358-clubblue</t>
        </is>
      </c>
      <c r="E794" s="4" t="inlineStr">
        <is>
          <t>Stretch Twill Golf Short 5" CLBL 22</t>
        </is>
      </c>
      <c r="F794" s="4" t="inlineStr">
        <is>
          <t>$98.00</t>
        </is>
      </c>
      <c r="G794" s="4" t="inlineStr">
        <is>
          <t>$49.00</t>
        </is>
      </c>
      <c r="H794" s="4" t="inlineStr">
        <is>
          <t>Club Blue</t>
        </is>
      </c>
      <c r="I794" s="4">
        <f>IMAGE("https://images.lululemon.com/is/image/lululemon/68578",1)</f>
        <v/>
      </c>
      <c r="J794" s="4" t="inlineStr">
        <is>
          <t>32</t>
        </is>
      </c>
      <c r="K794" s="4" t="inlineStr">
        <is>
          <t>29/2447</t>
        </is>
      </c>
      <c r="L794" s="4" t="inlineStr">
        <is>
          <t>Yes</t>
        </is>
      </c>
      <c r="M794" s="4" t="inlineStr">
        <is>
          <t>Stretch for your swing. These stretch twill golf shorts are designed to give you full freedom of movement. The fly front keeps them looking smart, too.</t>
        </is>
      </c>
      <c r="N794" s="4" t="inlineStr">
        <is>
          <t>Stretch-Twill-Golf-Short-5</t>
        </is>
      </c>
      <c r="O794" s="4" t="inlineStr">
        <is>
          <t>Athletic Shorts</t>
        </is>
      </c>
    </row>
    <row r="795" ht="80" customHeight="1">
      <c r="A795" s="7">
        <f>IMAGE("https://images.lululemon.com/is/image/lululemon/LW7DPAS_0001_1?wid=320&amp;op_usm=0.8",1)</f>
        <v/>
      </c>
      <c r="B795" s="7" t="inlineStr">
        <is>
          <t>Stretch Twill Golf Short 5"</t>
        </is>
      </c>
      <c r="C795" s="7" t="inlineStr">
        <is>
          <t>158026387</t>
        </is>
      </c>
      <c r="D795" s="7" t="inlineStr">
        <is>
          <t>158026387-clubblue</t>
        </is>
      </c>
      <c r="E795" s="7" t="inlineStr">
        <is>
          <t>Stretch Twill Golf Short 5" CLBL 22</t>
        </is>
      </c>
      <c r="F795" s="7" t="inlineStr">
        <is>
          <t>$98.00</t>
        </is>
      </c>
      <c r="G795" s="7" t="inlineStr">
        <is>
          <t>$49.00</t>
        </is>
      </c>
      <c r="H795" s="7" t="inlineStr">
        <is>
          <t>Club Blue</t>
        </is>
      </c>
      <c r="I795" s="7">
        <f>IMAGE("https://images.lululemon.com/is/image/lululemon/68578",1)</f>
        <v/>
      </c>
      <c r="J795" s="7" t="inlineStr">
        <is>
          <t>33</t>
        </is>
      </c>
      <c r="K795" s="7" t="inlineStr">
        <is>
          <t>10/2447</t>
        </is>
      </c>
      <c r="L795" s="7" t="inlineStr">
        <is>
          <t>Yes</t>
        </is>
      </c>
      <c r="M795" s="7" t="inlineStr">
        <is>
          <t>Stretch for your swing. These stretch twill golf shorts are designed to give you full freedom of movement. The fly front keeps them looking smart, too.</t>
        </is>
      </c>
      <c r="N795" s="7" t="inlineStr">
        <is>
          <t>Stretch-Twill-Golf-Short-5</t>
        </is>
      </c>
      <c r="O795" s="7" t="inlineStr">
        <is>
          <t>Athletic Shorts</t>
        </is>
      </c>
    </row>
    <row r="796" ht="80" customHeight="1">
      <c r="A796" s="4">
        <f>IMAGE("https://images.lululemon.com/is/image/lululemon/LW7DPAS_0001_1?wid=320&amp;op_usm=0.8",1)</f>
        <v/>
      </c>
      <c r="B796" s="4" t="inlineStr">
        <is>
          <t>Stretch Twill Golf Short 5"</t>
        </is>
      </c>
      <c r="C796" s="4" t="inlineStr">
        <is>
          <t>155826129</t>
        </is>
      </c>
      <c r="D796" s="4" t="inlineStr">
        <is>
          <t>155826129-trench</t>
        </is>
      </c>
      <c r="E796" s="4" t="inlineStr">
        <is>
          <t>Stretch Twill Golf Short 5" CLBL 22</t>
        </is>
      </c>
      <c r="F796" s="4" t="inlineStr">
        <is>
          <t>$98.00</t>
        </is>
      </c>
      <c r="G796" s="4" t="inlineStr">
        <is>
          <t>$49.00</t>
        </is>
      </c>
      <c r="H796" s="4" t="inlineStr">
        <is>
          <t>Trench</t>
        </is>
      </c>
      <c r="I796" s="4">
        <f>IMAGE("https://images.lululemon.com/is/image/lululemon/43731",1)</f>
        <v/>
      </c>
      <c r="J796" s="4" t="inlineStr">
        <is>
          <t>24</t>
        </is>
      </c>
      <c r="K796" s="4" t="inlineStr">
        <is>
          <t>16/2447</t>
        </is>
      </c>
      <c r="L796" s="4" t="inlineStr">
        <is>
          <t>Yes</t>
        </is>
      </c>
      <c r="M796" s="4" t="inlineStr">
        <is>
          <t>Stretch for your swing. These stretch twill golf shorts are designed to give you full freedom of movement. The fly front keeps them looking smart, too.</t>
        </is>
      </c>
      <c r="N796" s="4" t="inlineStr">
        <is>
          <t>Stretch-Twill-Golf-Short-5</t>
        </is>
      </c>
      <c r="O796" s="4" t="inlineStr">
        <is>
          <t>Athletic Shorts</t>
        </is>
      </c>
    </row>
    <row r="797" ht="80" customHeight="1">
      <c r="A797" s="7">
        <f>IMAGE("https://images.lululemon.com/is/image/lululemon/LW7DPAS_0001_1?wid=320&amp;op_usm=0.8",1)</f>
        <v/>
      </c>
      <c r="B797" s="7" t="inlineStr">
        <is>
          <t>Stretch Twill Golf Short 5"</t>
        </is>
      </c>
      <c r="C797" s="7" t="inlineStr">
        <is>
          <t>155826145</t>
        </is>
      </c>
      <c r="D797" s="7" t="inlineStr">
        <is>
          <t>155826145-trench</t>
        </is>
      </c>
      <c r="E797" s="7" t="inlineStr">
        <is>
          <t>Stretch Twill Golf Short 5" CLBL 22</t>
        </is>
      </c>
      <c r="F797" s="7" t="inlineStr">
        <is>
          <t>$98.00</t>
        </is>
      </c>
      <c r="G797" s="7" t="inlineStr">
        <is>
          <t>$49.00</t>
        </is>
      </c>
      <c r="H797" s="7" t="inlineStr">
        <is>
          <t>Trench</t>
        </is>
      </c>
      <c r="I797" s="7">
        <f>IMAGE("https://images.lululemon.com/is/image/lululemon/43731",1)</f>
        <v/>
      </c>
      <c r="J797" s="7" t="inlineStr">
        <is>
          <t>25</t>
        </is>
      </c>
      <c r="K797" s="7" t="inlineStr">
        <is>
          <t>58/2447</t>
        </is>
      </c>
      <c r="L797" s="7" t="inlineStr">
        <is>
          <t>Yes</t>
        </is>
      </c>
      <c r="M797" s="7" t="inlineStr">
        <is>
          <t>Stretch for your swing. These stretch twill golf shorts are designed to give you full freedom of movement. The fly front keeps them looking smart, too.</t>
        </is>
      </c>
      <c r="N797" s="7" t="inlineStr">
        <is>
          <t>Stretch-Twill-Golf-Short-5</t>
        </is>
      </c>
      <c r="O797" s="7" t="inlineStr">
        <is>
          <t>Athletic Shorts</t>
        </is>
      </c>
    </row>
    <row r="798" ht="80" customHeight="1">
      <c r="A798" s="4">
        <f>IMAGE("https://images.lululemon.com/is/image/lululemon/LW7DPAS_0001_1?wid=320&amp;op_usm=0.8",1)</f>
        <v/>
      </c>
      <c r="B798" s="4" t="inlineStr">
        <is>
          <t>Stretch Twill Golf Short 5"</t>
        </is>
      </c>
      <c r="C798" s="4" t="inlineStr">
        <is>
          <t>155826151</t>
        </is>
      </c>
      <c r="D798" s="4" t="inlineStr">
        <is>
          <t>155826151-trench</t>
        </is>
      </c>
      <c r="E798" s="4" t="inlineStr">
        <is>
          <t>Stretch Twill Golf Short 5" CLBL 22</t>
        </is>
      </c>
      <c r="F798" s="4" t="inlineStr">
        <is>
          <t>$98.00</t>
        </is>
      </c>
      <c r="G798" s="4" t="inlineStr">
        <is>
          <t>$49.00</t>
        </is>
      </c>
      <c r="H798" s="4" t="inlineStr">
        <is>
          <t>Trench</t>
        </is>
      </c>
      <c r="I798" s="4">
        <f>IMAGE("https://images.lululemon.com/is/image/lululemon/43731",1)</f>
        <v/>
      </c>
      <c r="J798" s="4" t="inlineStr">
        <is>
          <t>26</t>
        </is>
      </c>
      <c r="K798" s="4" t="inlineStr">
        <is>
          <t>103/2447</t>
        </is>
      </c>
      <c r="L798" s="4" t="inlineStr">
        <is>
          <t>Yes</t>
        </is>
      </c>
      <c r="M798" s="4" t="inlineStr">
        <is>
          <t>Stretch for your swing. These stretch twill golf shorts are designed to give you full freedom of movement. The fly front keeps them looking smart, too.</t>
        </is>
      </c>
      <c r="N798" s="4" t="inlineStr">
        <is>
          <t>Stretch-Twill-Golf-Short-5</t>
        </is>
      </c>
      <c r="O798" s="4" t="inlineStr">
        <is>
          <t>Athletic Shorts</t>
        </is>
      </c>
    </row>
    <row r="799" ht="80" customHeight="1">
      <c r="A799" s="7">
        <f>IMAGE("https://images.lululemon.com/is/image/lululemon/LW7DPAS_0001_1?wid=320&amp;op_usm=0.8",1)</f>
        <v/>
      </c>
      <c r="B799" s="7" t="inlineStr">
        <is>
          <t>Stretch Twill Golf Short 5"</t>
        </is>
      </c>
      <c r="C799" s="7" t="inlineStr">
        <is>
          <t>155826165</t>
        </is>
      </c>
      <c r="D799" s="7" t="inlineStr">
        <is>
          <t>155826165-trench</t>
        </is>
      </c>
      <c r="E799" s="7" t="inlineStr">
        <is>
          <t>Stretch Twill Golf Short 5" CLBL 22</t>
        </is>
      </c>
      <c r="F799" s="7" t="inlineStr">
        <is>
          <t>$98.00</t>
        </is>
      </c>
      <c r="G799" s="7" t="inlineStr">
        <is>
          <t>$49.00</t>
        </is>
      </c>
      <c r="H799" s="7" t="inlineStr">
        <is>
          <t>Trench</t>
        </is>
      </c>
      <c r="I799" s="7">
        <f>IMAGE("https://images.lululemon.com/is/image/lululemon/43731",1)</f>
        <v/>
      </c>
      <c r="J799" s="7" t="inlineStr">
        <is>
          <t>27</t>
        </is>
      </c>
      <c r="K799" s="7" t="inlineStr">
        <is>
          <t>118/2447</t>
        </is>
      </c>
      <c r="L799" s="7" t="inlineStr">
        <is>
          <t>Yes</t>
        </is>
      </c>
      <c r="M799" s="7" t="inlineStr">
        <is>
          <t>Stretch for your swing. These stretch twill golf shorts are designed to give you full freedom of movement. The fly front keeps them looking smart, too.</t>
        </is>
      </c>
      <c r="N799" s="7" t="inlineStr">
        <is>
          <t>Stretch-Twill-Golf-Short-5</t>
        </is>
      </c>
      <c r="O799" s="7" t="inlineStr">
        <is>
          <t>Athletic Shorts</t>
        </is>
      </c>
    </row>
    <row r="800" ht="80" customHeight="1">
      <c r="A800" s="4">
        <f>IMAGE("https://images.lululemon.com/is/image/lululemon/LW7DPAS_0001_1?wid=320&amp;op_usm=0.8",1)</f>
        <v/>
      </c>
      <c r="B800" s="4" t="inlineStr">
        <is>
          <t>Stretch Twill Golf Short 5"</t>
        </is>
      </c>
      <c r="C800" s="4" t="inlineStr">
        <is>
          <t>155826171</t>
        </is>
      </c>
      <c r="D800" s="4" t="inlineStr">
        <is>
          <t>155826171-trench</t>
        </is>
      </c>
      <c r="E800" s="4" t="inlineStr">
        <is>
          <t>Stretch Twill Golf Short 5" CLBL 22</t>
        </is>
      </c>
      <c r="F800" s="4" t="inlineStr">
        <is>
          <t>$98.00</t>
        </is>
      </c>
      <c r="G800" s="4" t="inlineStr">
        <is>
          <t>$49.00</t>
        </is>
      </c>
      <c r="H800" s="4" t="inlineStr">
        <is>
          <t>Trench</t>
        </is>
      </c>
      <c r="I800" s="4">
        <f>IMAGE("https://images.lululemon.com/is/image/lululemon/43731",1)</f>
        <v/>
      </c>
      <c r="J800" s="4" t="inlineStr">
        <is>
          <t>28</t>
        </is>
      </c>
      <c r="K800" s="4" t="inlineStr">
        <is>
          <t>117/2447</t>
        </is>
      </c>
      <c r="L800" s="4" t="inlineStr">
        <is>
          <t>Yes</t>
        </is>
      </c>
      <c r="M800" s="4" t="inlineStr">
        <is>
          <t>Stretch for your swing. These stretch twill golf shorts are designed to give you full freedom of movement. The fly front keeps them looking smart, too.</t>
        </is>
      </c>
      <c r="N800" s="4" t="inlineStr">
        <is>
          <t>Stretch-Twill-Golf-Short-5</t>
        </is>
      </c>
      <c r="O800" s="4" t="inlineStr">
        <is>
          <t>Athletic Shorts</t>
        </is>
      </c>
    </row>
    <row r="801" ht="80" customHeight="1">
      <c r="A801" s="7">
        <f>IMAGE("https://images.lululemon.com/is/image/lululemon/LW7DPAS_0001_1?wid=320&amp;op_usm=0.8",1)</f>
        <v/>
      </c>
      <c r="B801" s="7" t="inlineStr">
        <is>
          <t>Stretch Twill Golf Short 5"</t>
        </is>
      </c>
      <c r="C801" s="7" t="inlineStr">
        <is>
          <t>155826175</t>
        </is>
      </c>
      <c r="D801" s="7" t="inlineStr">
        <is>
          <t>155826175-trench</t>
        </is>
      </c>
      <c r="E801" s="7" t="inlineStr">
        <is>
          <t>Stretch Twill Golf Short 5" CLBL 22</t>
        </is>
      </c>
      <c r="F801" s="7" t="inlineStr">
        <is>
          <t>$98.00</t>
        </is>
      </c>
      <c r="G801" s="7" t="inlineStr">
        <is>
          <t>$49.00</t>
        </is>
      </c>
      <c r="H801" s="7" t="inlineStr">
        <is>
          <t>Trench</t>
        </is>
      </c>
      <c r="I801" s="7">
        <f>IMAGE("https://images.lululemon.com/is/image/lululemon/43731",1)</f>
        <v/>
      </c>
      <c r="J801" s="7" t="inlineStr">
        <is>
          <t>29</t>
        </is>
      </c>
      <c r="K801" s="7" t="inlineStr">
        <is>
          <t>98/2447</t>
        </is>
      </c>
      <c r="L801" s="7" t="inlineStr">
        <is>
          <t>Yes</t>
        </is>
      </c>
      <c r="M801" s="7" t="inlineStr">
        <is>
          <t>Stretch for your swing. These stretch twill golf shorts are designed to give you full freedom of movement. The fly front keeps them looking smart, too.</t>
        </is>
      </c>
      <c r="N801" s="7" t="inlineStr">
        <is>
          <t>Stretch-Twill-Golf-Short-5</t>
        </is>
      </c>
      <c r="O801" s="7" t="inlineStr">
        <is>
          <t>Athletic Shorts</t>
        </is>
      </c>
    </row>
    <row r="802" ht="80" customHeight="1">
      <c r="A802" s="4">
        <f>IMAGE("https://images.lululemon.com/is/image/lululemon/LW7DPAS_0001_1?wid=320&amp;op_usm=0.8",1)</f>
        <v/>
      </c>
      <c r="B802" s="4" t="inlineStr">
        <is>
          <t>Stretch Twill Golf Short 5"</t>
        </is>
      </c>
      <c r="C802" s="4" t="inlineStr">
        <is>
          <t>155826183</t>
        </is>
      </c>
      <c r="D802" s="4" t="inlineStr">
        <is>
          <t>155826183-trench</t>
        </is>
      </c>
      <c r="E802" s="4" t="inlineStr">
        <is>
          <t>Stretch Twill Golf Short 5" CLBL 22</t>
        </is>
      </c>
      <c r="F802" s="4" t="inlineStr">
        <is>
          <t>$98.00</t>
        </is>
      </c>
      <c r="G802" s="4" t="inlineStr">
        <is>
          <t>$49.00</t>
        </is>
      </c>
      <c r="H802" s="4" t="inlineStr">
        <is>
          <t>Trench</t>
        </is>
      </c>
      <c r="I802" s="4">
        <f>IMAGE("https://images.lululemon.com/is/image/lululemon/43731",1)</f>
        <v/>
      </c>
      <c r="J802" s="4" t="inlineStr">
        <is>
          <t>30</t>
        </is>
      </c>
      <c r="K802" s="4" t="inlineStr">
        <is>
          <t>84/2447</t>
        </is>
      </c>
      <c r="L802" s="4" t="inlineStr">
        <is>
          <t>Yes</t>
        </is>
      </c>
      <c r="M802" s="4" t="inlineStr">
        <is>
          <t>Stretch for your swing. These stretch twill golf shorts are designed to give you full freedom of movement. The fly front keeps them looking smart, too.</t>
        </is>
      </c>
      <c r="N802" s="4" t="inlineStr">
        <is>
          <t>Stretch-Twill-Golf-Short-5</t>
        </is>
      </c>
      <c r="O802" s="4" t="inlineStr">
        <is>
          <t>Athletic Shorts</t>
        </is>
      </c>
    </row>
    <row r="803" ht="80" customHeight="1">
      <c r="A803" s="7">
        <f>IMAGE("https://images.lululemon.com/is/image/lululemon/LW7DPAS_0001_1?wid=320&amp;op_usm=0.8",1)</f>
        <v/>
      </c>
      <c r="B803" s="7" t="inlineStr">
        <is>
          <t>Stretch Twill Golf Short 5"</t>
        </is>
      </c>
      <c r="C803" s="7" t="inlineStr">
        <is>
          <t>155826188</t>
        </is>
      </c>
      <c r="D803" s="7" t="inlineStr">
        <is>
          <t>155826188-trench</t>
        </is>
      </c>
      <c r="E803" s="7" t="inlineStr">
        <is>
          <t>Stretch Twill Golf Short 5" CLBL 22</t>
        </is>
      </c>
      <c r="F803" s="7" t="inlineStr">
        <is>
          <t>$98.00</t>
        </is>
      </c>
      <c r="G803" s="7" t="inlineStr">
        <is>
          <t>$49.00</t>
        </is>
      </c>
      <c r="H803" s="7" t="inlineStr">
        <is>
          <t>Trench</t>
        </is>
      </c>
      <c r="I803" s="7">
        <f>IMAGE("https://images.lululemon.com/is/image/lululemon/43731",1)</f>
        <v/>
      </c>
      <c r="J803" s="7" t="inlineStr">
        <is>
          <t>31</t>
        </is>
      </c>
      <c r="K803" s="7" t="inlineStr">
        <is>
          <t>49/2447</t>
        </is>
      </c>
      <c r="L803" s="7" t="inlineStr">
        <is>
          <t>Yes</t>
        </is>
      </c>
      <c r="M803" s="7" t="inlineStr">
        <is>
          <t>Stretch for your swing. These stretch twill golf shorts are designed to give you full freedom of movement. The fly front keeps them looking smart, too.</t>
        </is>
      </c>
      <c r="N803" s="7" t="inlineStr">
        <is>
          <t>Stretch-Twill-Golf-Short-5</t>
        </is>
      </c>
      <c r="O803" s="7" t="inlineStr">
        <is>
          <t>Athletic Shorts</t>
        </is>
      </c>
    </row>
    <row r="804" ht="80" customHeight="1">
      <c r="A804" s="4">
        <f>IMAGE("https://images.lululemon.com/is/image/lululemon/LW7DPAS_0001_1?wid=320&amp;op_usm=0.8",1)</f>
        <v/>
      </c>
      <c r="B804" s="4" t="inlineStr">
        <is>
          <t>Stretch Twill Golf Short 5"</t>
        </is>
      </c>
      <c r="C804" s="4" t="inlineStr">
        <is>
          <t>155826191</t>
        </is>
      </c>
      <c r="D804" s="4" t="inlineStr">
        <is>
          <t>155826191-trench</t>
        </is>
      </c>
      <c r="E804" s="4" t="inlineStr">
        <is>
          <t>Stretch Twill Golf Short 5" CLBL 22</t>
        </is>
      </c>
      <c r="F804" s="4" t="inlineStr">
        <is>
          <t>$98.00</t>
        </is>
      </c>
      <c r="G804" s="4" t="inlineStr">
        <is>
          <t>$49.00</t>
        </is>
      </c>
      <c r="H804" s="4" t="inlineStr">
        <is>
          <t>Trench</t>
        </is>
      </c>
      <c r="I804" s="4">
        <f>IMAGE("https://images.lululemon.com/is/image/lululemon/43731",1)</f>
        <v/>
      </c>
      <c r="J804" s="4" t="inlineStr">
        <is>
          <t>32</t>
        </is>
      </c>
      <c r="K804" s="4" t="inlineStr">
        <is>
          <t>62/2447</t>
        </is>
      </c>
      <c r="L804" s="4" t="inlineStr">
        <is>
          <t>Yes</t>
        </is>
      </c>
      <c r="M804" s="4" t="inlineStr">
        <is>
          <t>Stretch for your swing. These stretch twill golf shorts are designed to give you full freedom of movement. The fly front keeps them looking smart, too.</t>
        </is>
      </c>
      <c r="N804" s="4" t="inlineStr">
        <is>
          <t>Stretch-Twill-Golf-Short-5</t>
        </is>
      </c>
      <c r="O804" s="4" t="inlineStr">
        <is>
          <t>Athletic Shorts</t>
        </is>
      </c>
    </row>
    <row r="805" ht="80" customHeight="1">
      <c r="A805" s="7">
        <f>IMAGE("https://images.lululemon.com/is/image/lululemon/LW7DPAS_0001_1?wid=320&amp;op_usm=0.8",1)</f>
        <v/>
      </c>
      <c r="B805" s="7" t="inlineStr">
        <is>
          <t>Stretch Twill Golf Short 5"</t>
        </is>
      </c>
      <c r="C805" s="7" t="inlineStr">
        <is>
          <t>155826200</t>
        </is>
      </c>
      <c r="D805" s="7" t="inlineStr">
        <is>
          <t>155826200-trench</t>
        </is>
      </c>
      <c r="E805" s="7" t="inlineStr">
        <is>
          <t>Stretch Twill Golf Short 5" CLBL 22</t>
        </is>
      </c>
      <c r="F805" s="7" t="inlineStr">
        <is>
          <t>$98.00</t>
        </is>
      </c>
      <c r="G805" s="7" t="inlineStr">
        <is>
          <t>$49.00</t>
        </is>
      </c>
      <c r="H805" s="7" t="inlineStr">
        <is>
          <t>Trench</t>
        </is>
      </c>
      <c r="I805" s="7">
        <f>IMAGE("https://images.lululemon.com/is/image/lululemon/43731",1)</f>
        <v/>
      </c>
      <c r="J805" s="7" t="inlineStr">
        <is>
          <t>33</t>
        </is>
      </c>
      <c r="K805" s="7" t="inlineStr">
        <is>
          <t>25/2447</t>
        </is>
      </c>
      <c r="L805" s="7" t="inlineStr">
        <is>
          <t>Yes</t>
        </is>
      </c>
      <c r="M805" s="7" t="inlineStr">
        <is>
          <t>Stretch for your swing. These stretch twill golf shorts are designed to give you full freedom of movement. The fly front keeps them looking smart, too.</t>
        </is>
      </c>
      <c r="N805" s="7" t="inlineStr">
        <is>
          <t>Stretch-Twill-Golf-Short-5</t>
        </is>
      </c>
      <c r="O805" s="7" t="inlineStr">
        <is>
          <t>Athletic Shorts</t>
        </is>
      </c>
    </row>
    <row r="806" ht="80" customHeight="1">
      <c r="A806" s="4">
        <f>IMAGE("https://images.lululemon.com/is/image/lululemon/LW7DPAS_0001_1?wid=320&amp;op_usm=0.8",1)</f>
        <v/>
      </c>
      <c r="B806" s="4" t="inlineStr">
        <is>
          <t>Stretch Twill Golf Short 5"</t>
        </is>
      </c>
      <c r="C806" s="4" t="inlineStr">
        <is>
          <t>155825970</t>
        </is>
      </c>
      <c r="D806" s="4" t="inlineStr">
        <is>
          <t>155825970-truenavy</t>
        </is>
      </c>
      <c r="E806" s="4" t="inlineStr">
        <is>
          <t>Stretch Twill Golf Short 5" CLBL 22</t>
        </is>
      </c>
      <c r="F806" s="4" t="inlineStr">
        <is>
          <t>$98.00</t>
        </is>
      </c>
      <c r="G806" s="4" t="inlineStr">
        <is>
          <t>$49.00</t>
        </is>
      </c>
      <c r="H806" s="4" t="inlineStr">
        <is>
          <t>True Navy</t>
        </is>
      </c>
      <c r="I806" s="4">
        <f>IMAGE("https://images.lululemon.com/is/image/lululemon/31382",1)</f>
        <v/>
      </c>
      <c r="J806" s="4" t="inlineStr">
        <is>
          <t>24</t>
        </is>
      </c>
      <c r="K806" s="4" t="inlineStr">
        <is>
          <t>13/2447</t>
        </is>
      </c>
      <c r="L806" s="4" t="inlineStr">
        <is>
          <t>Yes</t>
        </is>
      </c>
      <c r="M806" s="4" t="inlineStr">
        <is>
          <t>Stretch for your swing. These stretch twill golf shorts are designed to give you full freedom of movement. The fly front keeps them looking smart, too.</t>
        </is>
      </c>
      <c r="N806" s="4" t="inlineStr">
        <is>
          <t>Stretch-Twill-Golf-Short-5</t>
        </is>
      </c>
      <c r="O806" s="4" t="inlineStr">
        <is>
          <t>Athletic Shorts</t>
        </is>
      </c>
    </row>
    <row r="807" ht="80" customHeight="1">
      <c r="A807" s="7">
        <f>IMAGE("https://images.lululemon.com/is/image/lululemon/LW7DPAS_0001_1?wid=320&amp;op_usm=0.8",1)</f>
        <v/>
      </c>
      <c r="B807" s="7" t="inlineStr">
        <is>
          <t>Stretch Twill Golf Short 5"</t>
        </is>
      </c>
      <c r="C807" s="7" t="inlineStr">
        <is>
          <t>155825990</t>
        </is>
      </c>
      <c r="D807" s="7" t="inlineStr">
        <is>
          <t>155825990-truenavy</t>
        </is>
      </c>
      <c r="E807" s="7" t="inlineStr">
        <is>
          <t>Stretch Twill Golf Short 5" CLBL 22</t>
        </is>
      </c>
      <c r="F807" s="7" t="inlineStr">
        <is>
          <t>$98.00</t>
        </is>
      </c>
      <c r="G807" s="7" t="inlineStr">
        <is>
          <t>$49.00</t>
        </is>
      </c>
      <c r="H807" s="7" t="inlineStr">
        <is>
          <t>True Navy</t>
        </is>
      </c>
      <c r="I807" s="7">
        <f>IMAGE("https://images.lululemon.com/is/image/lululemon/31382",1)</f>
        <v/>
      </c>
      <c r="J807" s="7" t="inlineStr">
        <is>
          <t>25</t>
        </is>
      </c>
      <c r="K807" s="7" t="inlineStr">
        <is>
          <t>77/2447</t>
        </is>
      </c>
      <c r="L807" s="7" t="inlineStr">
        <is>
          <t>Yes</t>
        </is>
      </c>
      <c r="M807" s="7" t="inlineStr">
        <is>
          <t>Stretch for your swing. These stretch twill golf shorts are designed to give you full freedom of movement. The fly front keeps them looking smart, too.</t>
        </is>
      </c>
      <c r="N807" s="7" t="inlineStr">
        <is>
          <t>Stretch-Twill-Golf-Short-5</t>
        </is>
      </c>
      <c r="O807" s="7" t="inlineStr">
        <is>
          <t>Athletic Shorts</t>
        </is>
      </c>
    </row>
    <row r="808" ht="80" customHeight="1">
      <c r="A808" s="4">
        <f>IMAGE("https://images.lululemon.com/is/image/lululemon/LW7DPAS_0001_1?wid=320&amp;op_usm=0.8",1)</f>
        <v/>
      </c>
      <c r="B808" s="4" t="inlineStr">
        <is>
          <t>Stretch Twill Golf Short 5"</t>
        </is>
      </c>
      <c r="C808" s="4" t="inlineStr">
        <is>
          <t>155825998</t>
        </is>
      </c>
      <c r="D808" s="4" t="inlineStr">
        <is>
          <t>155825998-truenavy</t>
        </is>
      </c>
      <c r="E808" s="4" t="inlineStr">
        <is>
          <t>Stretch Twill Golf Short 5" CLBL 22</t>
        </is>
      </c>
      <c r="F808" s="4" t="inlineStr">
        <is>
          <t>$98.00</t>
        </is>
      </c>
      <c r="G808" s="4" t="inlineStr">
        <is>
          <t>$49.00</t>
        </is>
      </c>
      <c r="H808" s="4" t="inlineStr">
        <is>
          <t>True Navy</t>
        </is>
      </c>
      <c r="I808" s="4">
        <f>IMAGE("https://images.lululemon.com/is/image/lululemon/31382",1)</f>
        <v/>
      </c>
      <c r="J808" s="4" t="inlineStr">
        <is>
          <t>26</t>
        </is>
      </c>
      <c r="K808" s="4" t="inlineStr">
        <is>
          <t>112/2447</t>
        </is>
      </c>
      <c r="L808" s="4" t="inlineStr">
        <is>
          <t>Yes</t>
        </is>
      </c>
      <c r="M808" s="4" t="inlineStr">
        <is>
          <t>Stretch for your swing. These stretch twill golf shorts are designed to give you full freedom of movement. The fly front keeps them looking smart, too.</t>
        </is>
      </c>
      <c r="N808" s="4" t="inlineStr">
        <is>
          <t>Stretch-Twill-Golf-Short-5</t>
        </is>
      </c>
      <c r="O808" s="4" t="inlineStr">
        <is>
          <t>Athletic Shorts</t>
        </is>
      </c>
    </row>
    <row r="809" ht="80" customHeight="1">
      <c r="A809" s="7">
        <f>IMAGE("https://images.lululemon.com/is/image/lululemon/LW7DPAS_0001_1?wid=320&amp;op_usm=0.8",1)</f>
        <v/>
      </c>
      <c r="B809" s="7" t="inlineStr">
        <is>
          <t>Stretch Twill Golf Short 5"</t>
        </is>
      </c>
      <c r="C809" s="7" t="inlineStr">
        <is>
          <t>155826017</t>
        </is>
      </c>
      <c r="D809" s="7" t="inlineStr">
        <is>
          <t>155826017-truenavy</t>
        </is>
      </c>
      <c r="E809" s="7" t="inlineStr">
        <is>
          <t>Stretch Twill Golf Short 5" CLBL 22</t>
        </is>
      </c>
      <c r="F809" s="7" t="inlineStr">
        <is>
          <t>$98.00</t>
        </is>
      </c>
      <c r="G809" s="7" t="inlineStr">
        <is>
          <t>$49.00</t>
        </is>
      </c>
      <c r="H809" s="7" t="inlineStr">
        <is>
          <t>True Navy</t>
        </is>
      </c>
      <c r="I809" s="7">
        <f>IMAGE("https://images.lululemon.com/is/image/lululemon/31382",1)</f>
        <v/>
      </c>
      <c r="J809" s="7" t="inlineStr">
        <is>
          <t>27</t>
        </is>
      </c>
      <c r="K809" s="7" t="inlineStr">
        <is>
          <t>115/2447</t>
        </is>
      </c>
      <c r="L809" s="7" t="inlineStr">
        <is>
          <t>Yes</t>
        </is>
      </c>
      <c r="M809" s="7" t="inlineStr">
        <is>
          <t>Stretch for your swing. These stretch twill golf shorts are designed to give you full freedom of movement. The fly front keeps them looking smart, too.</t>
        </is>
      </c>
      <c r="N809" s="7" t="inlineStr">
        <is>
          <t>Stretch-Twill-Golf-Short-5</t>
        </is>
      </c>
      <c r="O809" s="7" t="inlineStr">
        <is>
          <t>Athletic Shorts</t>
        </is>
      </c>
    </row>
    <row r="810" ht="80" customHeight="1">
      <c r="A810" s="4">
        <f>IMAGE("https://images.lululemon.com/is/image/lululemon/LW7DPAS_0001_1?wid=320&amp;op_usm=0.8",1)</f>
        <v/>
      </c>
      <c r="B810" s="4" t="inlineStr">
        <is>
          <t>Stretch Twill Golf Short 5"</t>
        </is>
      </c>
      <c r="C810" s="4" t="inlineStr">
        <is>
          <t>155826026</t>
        </is>
      </c>
      <c r="D810" s="4" t="inlineStr">
        <is>
          <t>155826026-truenavy</t>
        </is>
      </c>
      <c r="E810" s="4" t="inlineStr">
        <is>
          <t>Stretch Twill Golf Short 5" CLBL 22</t>
        </is>
      </c>
      <c r="F810" s="4" t="inlineStr">
        <is>
          <t>$98.00</t>
        </is>
      </c>
      <c r="G810" s="4" t="inlineStr">
        <is>
          <t>$49.00</t>
        </is>
      </c>
      <c r="H810" s="4" t="inlineStr">
        <is>
          <t>True Navy</t>
        </is>
      </c>
      <c r="I810" s="4">
        <f>IMAGE("https://images.lululemon.com/is/image/lululemon/31382",1)</f>
        <v/>
      </c>
      <c r="J810" s="4" t="inlineStr">
        <is>
          <t>28</t>
        </is>
      </c>
      <c r="K810" s="4" t="inlineStr">
        <is>
          <t>91/2447</t>
        </is>
      </c>
      <c r="L810" s="4" t="inlineStr">
        <is>
          <t>Yes</t>
        </is>
      </c>
      <c r="M810" s="4" t="inlineStr">
        <is>
          <t>Stretch for your swing. These stretch twill golf shorts are designed to give you full freedom of movement. The fly front keeps them looking smart, too.</t>
        </is>
      </c>
      <c r="N810" s="4" t="inlineStr">
        <is>
          <t>Stretch-Twill-Golf-Short-5</t>
        </is>
      </c>
      <c r="O810" s="4" t="inlineStr">
        <is>
          <t>Athletic Shorts</t>
        </is>
      </c>
    </row>
    <row r="811" ht="80" customHeight="1">
      <c r="A811" s="7">
        <f>IMAGE("https://images.lululemon.com/is/image/lululemon/LW7DPAS_0001_1?wid=320&amp;op_usm=0.8",1)</f>
        <v/>
      </c>
      <c r="B811" s="7" t="inlineStr">
        <is>
          <t>Stretch Twill Golf Short 5"</t>
        </is>
      </c>
      <c r="C811" s="7" t="inlineStr">
        <is>
          <t>155826035</t>
        </is>
      </c>
      <c r="D811" s="7" t="inlineStr">
        <is>
          <t>155826035-truenavy</t>
        </is>
      </c>
      <c r="E811" s="7" t="inlineStr">
        <is>
          <t>Stretch Twill Golf Short 5" CLBL 22</t>
        </is>
      </c>
      <c r="F811" s="7" t="inlineStr">
        <is>
          <t>$98.00</t>
        </is>
      </c>
      <c r="G811" s="7" t="inlineStr">
        <is>
          <t>$49.00</t>
        </is>
      </c>
      <c r="H811" s="7" t="inlineStr">
        <is>
          <t>True Navy</t>
        </is>
      </c>
      <c r="I811" s="7">
        <f>IMAGE("https://images.lululemon.com/is/image/lululemon/31382",1)</f>
        <v/>
      </c>
      <c r="J811" s="7" t="inlineStr">
        <is>
          <t>29</t>
        </is>
      </c>
      <c r="K811" s="7" t="inlineStr">
        <is>
          <t>92/2447</t>
        </is>
      </c>
      <c r="L811" s="7" t="inlineStr">
        <is>
          <t>Yes</t>
        </is>
      </c>
      <c r="M811" s="7" t="inlineStr">
        <is>
          <t>Stretch for your swing. These stretch twill golf shorts are designed to give you full freedom of movement. The fly front keeps them looking smart, too.</t>
        </is>
      </c>
      <c r="N811" s="7" t="inlineStr">
        <is>
          <t>Stretch-Twill-Golf-Short-5</t>
        </is>
      </c>
      <c r="O811" s="7" t="inlineStr">
        <is>
          <t>Athletic Shorts</t>
        </is>
      </c>
    </row>
    <row r="812" ht="80" customHeight="1">
      <c r="A812" s="4">
        <f>IMAGE("https://images.lululemon.com/is/image/lululemon/LW7DPAS_0001_1?wid=320&amp;op_usm=0.8",1)</f>
        <v/>
      </c>
      <c r="B812" s="4" t="inlineStr">
        <is>
          <t>Stretch Twill Golf Short 5"</t>
        </is>
      </c>
      <c r="C812" s="4" t="inlineStr">
        <is>
          <t>155826044</t>
        </is>
      </c>
      <c r="D812" s="4" t="inlineStr">
        <is>
          <t>155826044-truenavy</t>
        </is>
      </c>
      <c r="E812" s="4" t="inlineStr">
        <is>
          <t>Stretch Twill Golf Short 5" CLBL 22</t>
        </is>
      </c>
      <c r="F812" s="4" t="inlineStr">
        <is>
          <t>$98.00</t>
        </is>
      </c>
      <c r="G812" s="4" t="inlineStr">
        <is>
          <t>$49.00</t>
        </is>
      </c>
      <c r="H812" s="4" t="inlineStr">
        <is>
          <t>True Navy</t>
        </is>
      </c>
      <c r="I812" s="4">
        <f>IMAGE("https://images.lululemon.com/is/image/lululemon/31382",1)</f>
        <v/>
      </c>
      <c r="J812" s="4" t="inlineStr">
        <is>
          <t>30</t>
        </is>
      </c>
      <c r="K812" s="4" t="inlineStr">
        <is>
          <t>72/2447</t>
        </is>
      </c>
      <c r="L812" s="4" t="inlineStr">
        <is>
          <t>Yes</t>
        </is>
      </c>
      <c r="M812" s="4" t="inlineStr">
        <is>
          <t>Stretch for your swing. These stretch twill golf shorts are designed to give you full freedom of movement. The fly front keeps them looking smart, too.</t>
        </is>
      </c>
      <c r="N812" s="4" t="inlineStr">
        <is>
          <t>Stretch-Twill-Golf-Short-5</t>
        </is>
      </c>
      <c r="O812" s="4" t="inlineStr">
        <is>
          <t>Athletic Shorts</t>
        </is>
      </c>
    </row>
    <row r="813" ht="80" customHeight="1">
      <c r="A813" s="7">
        <f>IMAGE("https://images.lululemon.com/is/image/lululemon/LW7DPAS_0001_1?wid=320&amp;op_usm=0.8",1)</f>
        <v/>
      </c>
      <c r="B813" s="7" t="inlineStr">
        <is>
          <t>Stretch Twill Golf Short 5"</t>
        </is>
      </c>
      <c r="C813" s="7" t="inlineStr">
        <is>
          <t>155826054</t>
        </is>
      </c>
      <c r="D813" s="7" t="inlineStr">
        <is>
          <t>155826054-truenavy</t>
        </is>
      </c>
      <c r="E813" s="7" t="inlineStr">
        <is>
          <t>Stretch Twill Golf Short 5" CLBL 22</t>
        </is>
      </c>
      <c r="F813" s="7" t="inlineStr">
        <is>
          <t>$98.00</t>
        </is>
      </c>
      <c r="G813" s="7" t="inlineStr">
        <is>
          <t>$49.00</t>
        </is>
      </c>
      <c r="H813" s="7" t="inlineStr">
        <is>
          <t>True Navy</t>
        </is>
      </c>
      <c r="I813" s="7">
        <f>IMAGE("https://images.lululemon.com/is/image/lululemon/31382",1)</f>
        <v/>
      </c>
      <c r="J813" s="7" t="inlineStr">
        <is>
          <t>31</t>
        </is>
      </c>
      <c r="K813" s="7" t="inlineStr">
        <is>
          <t>35/2447</t>
        </is>
      </c>
      <c r="L813" s="7" t="inlineStr">
        <is>
          <t>Yes</t>
        </is>
      </c>
      <c r="M813" s="7" t="inlineStr">
        <is>
          <t>Stretch for your swing. These stretch twill golf shorts are designed to give you full freedom of movement. The fly front keeps them looking smart, too.</t>
        </is>
      </c>
      <c r="N813" s="7" t="inlineStr">
        <is>
          <t>Stretch-Twill-Golf-Short-5</t>
        </is>
      </c>
      <c r="O813" s="7" t="inlineStr">
        <is>
          <t>Athletic Shorts</t>
        </is>
      </c>
    </row>
    <row r="814" ht="80" customHeight="1">
      <c r="A814" s="4">
        <f>IMAGE("https://images.lululemon.com/is/image/lululemon/LW7DPAS_0001_1?wid=320&amp;op_usm=0.8",1)</f>
        <v/>
      </c>
      <c r="B814" s="4" t="inlineStr">
        <is>
          <t>Stretch Twill Golf Short 5"</t>
        </is>
      </c>
      <c r="C814" s="4" t="inlineStr">
        <is>
          <t>155826063</t>
        </is>
      </c>
      <c r="D814" s="4" t="inlineStr">
        <is>
          <t>155826063-truenavy</t>
        </is>
      </c>
      <c r="E814" s="4" t="inlineStr">
        <is>
          <t>Stretch Twill Golf Short 5" CLBL 22</t>
        </is>
      </c>
      <c r="F814" s="4" t="inlineStr">
        <is>
          <t>$98.00</t>
        </is>
      </c>
      <c r="G814" s="4" t="inlineStr">
        <is>
          <t>$49.00</t>
        </is>
      </c>
      <c r="H814" s="4" t="inlineStr">
        <is>
          <t>True Navy</t>
        </is>
      </c>
      <c r="I814" s="4">
        <f>IMAGE("https://images.lululemon.com/is/image/lululemon/31382",1)</f>
        <v/>
      </c>
      <c r="J814" s="4" t="inlineStr">
        <is>
          <t>32</t>
        </is>
      </c>
      <c r="K814" s="4" t="inlineStr">
        <is>
          <t>62/2447</t>
        </is>
      </c>
      <c r="L814" s="4" t="inlineStr">
        <is>
          <t>Yes</t>
        </is>
      </c>
      <c r="M814" s="4" t="inlineStr">
        <is>
          <t>Stretch for your swing. These stretch twill golf shorts are designed to give you full freedom of movement. The fly front keeps them looking smart, too.</t>
        </is>
      </c>
      <c r="N814" s="4" t="inlineStr">
        <is>
          <t>Stretch-Twill-Golf-Short-5</t>
        </is>
      </c>
      <c r="O814" s="4" t="inlineStr">
        <is>
          <t>Athletic Shorts</t>
        </is>
      </c>
    </row>
    <row r="815" ht="80" customHeight="1">
      <c r="A815" s="7">
        <f>IMAGE("https://images.lululemon.com/is/image/lululemon/LW7DPAS_0001_1?wid=320&amp;op_usm=0.8",1)</f>
        <v/>
      </c>
      <c r="B815" s="7" t="inlineStr">
        <is>
          <t>Stretch Twill Golf Short 5"</t>
        </is>
      </c>
      <c r="C815" s="7" t="inlineStr">
        <is>
          <t>155826072</t>
        </is>
      </c>
      <c r="D815" s="7" t="inlineStr">
        <is>
          <t>155826072-truenavy</t>
        </is>
      </c>
      <c r="E815" s="7" t="inlineStr">
        <is>
          <t>Stretch Twill Golf Short 5" CLBL 22</t>
        </is>
      </c>
      <c r="F815" s="7" t="inlineStr">
        <is>
          <t>$98.00</t>
        </is>
      </c>
      <c r="G815" s="7" t="inlineStr">
        <is>
          <t>$49.00</t>
        </is>
      </c>
      <c r="H815" s="7" t="inlineStr">
        <is>
          <t>True Navy</t>
        </is>
      </c>
      <c r="I815" s="7">
        <f>IMAGE("https://images.lululemon.com/is/image/lululemon/31382",1)</f>
        <v/>
      </c>
      <c r="J815" s="7" t="inlineStr">
        <is>
          <t>33</t>
        </is>
      </c>
      <c r="K815" s="7" t="inlineStr">
        <is>
          <t>21/2447</t>
        </is>
      </c>
      <c r="L815" s="7" t="inlineStr">
        <is>
          <t>Yes</t>
        </is>
      </c>
      <c r="M815" s="7" t="inlineStr">
        <is>
          <t>Stretch for your swing. These stretch twill golf shorts are designed to give you full freedom of movement. The fly front keeps them looking smart, too.</t>
        </is>
      </c>
      <c r="N815" s="7" t="inlineStr">
        <is>
          <t>Stretch-Twill-Golf-Short-5</t>
        </is>
      </c>
      <c r="O815" s="7" t="inlineStr">
        <is>
          <t>Athletic Shorts</t>
        </is>
      </c>
    </row>
    <row r="816" ht="80" customHeight="1">
      <c r="A816" s="4">
        <f>IMAGE("https://images.lululemon.com/is/image/lululemon/LW7DPAS_0001_1?wid=320&amp;op_usm=0.8",1)</f>
        <v/>
      </c>
      <c r="B816" s="4" t="inlineStr">
        <is>
          <t>Stretch Twill Golf Short 5"</t>
        </is>
      </c>
      <c r="C816" s="4" t="inlineStr">
        <is>
          <t>157715996</t>
        </is>
      </c>
      <c r="D816" s="4" t="inlineStr">
        <is>
          <t>157715996-black</t>
        </is>
      </c>
      <c r="E816" s="4" t="inlineStr">
        <is>
          <t>Stretch Twill Golf Short 5" CLBL 22</t>
        </is>
      </c>
      <c r="F816" s="4" t="inlineStr">
        <is>
          <t>$98.00</t>
        </is>
      </c>
      <c r="G816" s="4" t="inlineStr">
        <is>
          <t>$49.00</t>
        </is>
      </c>
      <c r="H816" s="4" t="inlineStr">
        <is>
          <t>Black</t>
        </is>
      </c>
      <c r="I816" s="4">
        <f>IMAGE("https://images.lululemon.com/is/image/lululemon/0001",1)</f>
        <v/>
      </c>
      <c r="J816" s="4" t="inlineStr">
        <is>
          <t>24</t>
        </is>
      </c>
      <c r="K816" s="4" t="inlineStr">
        <is>
          <t>11/2447</t>
        </is>
      </c>
      <c r="L816" s="4" t="inlineStr">
        <is>
          <t>Yes</t>
        </is>
      </c>
      <c r="M816" s="4" t="inlineStr">
        <is>
          <t>Stretch for your swing. These stretch twill golf shorts are designed to give you full freedom of movement. The fly front keeps them looking smart, too.</t>
        </is>
      </c>
      <c r="N816" s="4" t="inlineStr">
        <is>
          <t>Stretch-Twill-Golf-Short-5</t>
        </is>
      </c>
      <c r="O816" s="4" t="inlineStr">
        <is>
          <t>Athletic Shorts</t>
        </is>
      </c>
    </row>
    <row r="817" ht="80" customHeight="1">
      <c r="A817" s="7">
        <f>IMAGE("https://images.lululemon.com/is/image/lululemon/LW7DPAS_0001_1?wid=320&amp;op_usm=0.8",1)</f>
        <v/>
      </c>
      <c r="B817" s="7" t="inlineStr">
        <is>
          <t>Stretch Twill Golf Short 5"</t>
        </is>
      </c>
      <c r="C817" s="7" t="inlineStr">
        <is>
          <t>157716004</t>
        </is>
      </c>
      <c r="D817" s="7" t="inlineStr">
        <is>
          <t>157716004-black</t>
        </is>
      </c>
      <c r="E817" s="7" t="inlineStr">
        <is>
          <t>Stretch Twill Golf Short 5" CLBL 22</t>
        </is>
      </c>
      <c r="F817" s="7" t="inlineStr">
        <is>
          <t>$98.00</t>
        </is>
      </c>
      <c r="G817" s="7" t="inlineStr">
        <is>
          <t>$49.00</t>
        </is>
      </c>
      <c r="H817" s="7" t="inlineStr">
        <is>
          <t>Black</t>
        </is>
      </c>
      <c r="I817" s="7">
        <f>IMAGE("https://images.lululemon.com/is/image/lululemon/0001",1)</f>
        <v/>
      </c>
      <c r="J817" s="7" t="inlineStr">
        <is>
          <t>25</t>
        </is>
      </c>
      <c r="K817" s="7" t="inlineStr">
        <is>
          <t>68/2447</t>
        </is>
      </c>
      <c r="L817" s="7" t="inlineStr">
        <is>
          <t>Yes</t>
        </is>
      </c>
      <c r="M817" s="7" t="inlineStr">
        <is>
          <t>Stretch for your swing. These stretch twill golf shorts are designed to give you full freedom of movement. The fly front keeps them looking smart, too.</t>
        </is>
      </c>
      <c r="N817" s="7" t="inlineStr">
        <is>
          <t>Stretch-Twill-Golf-Short-5</t>
        </is>
      </c>
      <c r="O817" s="7" t="inlineStr">
        <is>
          <t>Athletic Shorts</t>
        </is>
      </c>
    </row>
    <row r="818" ht="80" customHeight="1">
      <c r="A818" s="4">
        <f>IMAGE("https://images.lululemon.com/is/image/lululemon/LW7DPAS_0001_1?wid=320&amp;op_usm=0.8",1)</f>
        <v/>
      </c>
      <c r="B818" s="4" t="inlineStr">
        <is>
          <t>Stretch Twill Golf Short 5"</t>
        </is>
      </c>
      <c r="C818" s="4" t="inlineStr">
        <is>
          <t>157716014</t>
        </is>
      </c>
      <c r="D818" s="4" t="inlineStr">
        <is>
          <t>157716014-black</t>
        </is>
      </c>
      <c r="E818" s="4" t="inlineStr">
        <is>
          <t>Stretch Twill Golf Short 5" CLBL 22</t>
        </is>
      </c>
      <c r="F818" s="4" t="inlineStr">
        <is>
          <t>$98.00</t>
        </is>
      </c>
      <c r="G818" s="4" t="inlineStr">
        <is>
          <t>$49.00</t>
        </is>
      </c>
      <c r="H818" s="4" t="inlineStr">
        <is>
          <t>Black</t>
        </is>
      </c>
      <c r="I818" s="4">
        <f>IMAGE("https://images.lululemon.com/is/image/lululemon/0001",1)</f>
        <v/>
      </c>
      <c r="J818" s="4" t="inlineStr">
        <is>
          <t>26</t>
        </is>
      </c>
      <c r="K818" s="4" t="inlineStr">
        <is>
          <t>90/2447</t>
        </is>
      </c>
      <c r="L818" s="4" t="inlineStr">
        <is>
          <t>Yes</t>
        </is>
      </c>
      <c r="M818" s="4" t="inlineStr">
        <is>
          <t>Stretch for your swing. These stretch twill golf shorts are designed to give you full freedom of movement. The fly front keeps them looking smart, too.</t>
        </is>
      </c>
      <c r="N818" s="4" t="inlineStr">
        <is>
          <t>Stretch-Twill-Golf-Short-5</t>
        </is>
      </c>
      <c r="O818" s="4" t="inlineStr">
        <is>
          <t>Athletic Shorts</t>
        </is>
      </c>
    </row>
    <row r="819" ht="80" customHeight="1">
      <c r="A819" s="7">
        <f>IMAGE("https://images.lululemon.com/is/image/lululemon/LW7DPAS_0001_1?wid=320&amp;op_usm=0.8",1)</f>
        <v/>
      </c>
      <c r="B819" s="7" t="inlineStr">
        <is>
          <t>Stretch Twill Golf Short 5"</t>
        </is>
      </c>
      <c r="C819" s="7" t="inlineStr">
        <is>
          <t>157716024</t>
        </is>
      </c>
      <c r="D819" s="7" t="inlineStr">
        <is>
          <t>157716024-black</t>
        </is>
      </c>
      <c r="E819" s="7" t="inlineStr">
        <is>
          <t>Stretch Twill Golf Short 5" CLBL 22</t>
        </is>
      </c>
      <c r="F819" s="7" t="inlineStr">
        <is>
          <t>$98.00</t>
        </is>
      </c>
      <c r="G819" s="7" t="inlineStr">
        <is>
          <t>$49.00</t>
        </is>
      </c>
      <c r="H819" s="7" t="inlineStr">
        <is>
          <t>Black</t>
        </is>
      </c>
      <c r="I819" s="7">
        <f>IMAGE("https://images.lululemon.com/is/image/lululemon/0001",1)</f>
        <v/>
      </c>
      <c r="J819" s="7" t="inlineStr">
        <is>
          <t>27</t>
        </is>
      </c>
      <c r="K819" s="7" t="inlineStr">
        <is>
          <t>63/2447</t>
        </is>
      </c>
      <c r="L819" s="7" t="inlineStr">
        <is>
          <t>Yes</t>
        </is>
      </c>
      <c r="M819" s="7" t="inlineStr">
        <is>
          <t>Stretch for your swing. These stretch twill golf shorts are designed to give you full freedom of movement. The fly front keeps them looking smart, too.</t>
        </is>
      </c>
      <c r="N819" s="7" t="inlineStr">
        <is>
          <t>Stretch-Twill-Golf-Short-5</t>
        </is>
      </c>
      <c r="O819" s="7" t="inlineStr">
        <is>
          <t>Athletic Shorts</t>
        </is>
      </c>
    </row>
    <row r="820" ht="80" customHeight="1">
      <c r="A820" s="4">
        <f>IMAGE("https://images.lululemon.com/is/image/lululemon/LW7DPAS_0001_1?wid=320&amp;op_usm=0.8",1)</f>
        <v/>
      </c>
      <c r="B820" s="4" t="inlineStr">
        <is>
          <t>Stretch Twill Golf Short 5"</t>
        </is>
      </c>
      <c r="C820" s="4" t="inlineStr">
        <is>
          <t>157716032</t>
        </is>
      </c>
      <c r="D820" s="4" t="inlineStr">
        <is>
          <t>157716032-black</t>
        </is>
      </c>
      <c r="E820" s="4" t="inlineStr">
        <is>
          <t>Stretch Twill Golf Short 5" CLBL 22</t>
        </is>
      </c>
      <c r="F820" s="4" t="inlineStr">
        <is>
          <t>$98.00</t>
        </is>
      </c>
      <c r="G820" s="4" t="inlineStr">
        <is>
          <t>$49.00</t>
        </is>
      </c>
      <c r="H820" s="4" t="inlineStr">
        <is>
          <t>Black</t>
        </is>
      </c>
      <c r="I820" s="4">
        <f>IMAGE("https://images.lululemon.com/is/image/lululemon/0001",1)</f>
        <v/>
      </c>
      <c r="J820" s="4" t="inlineStr">
        <is>
          <t>28</t>
        </is>
      </c>
      <c r="K820" s="4" t="inlineStr">
        <is>
          <t>57/2447</t>
        </is>
      </c>
      <c r="L820" s="4" t="inlineStr">
        <is>
          <t>Yes</t>
        </is>
      </c>
      <c r="M820" s="4" t="inlineStr">
        <is>
          <t>Stretch for your swing. These stretch twill golf shorts are designed to give you full freedom of movement. The fly front keeps them looking smart, too.</t>
        </is>
      </c>
      <c r="N820" s="4" t="inlineStr">
        <is>
          <t>Stretch-Twill-Golf-Short-5</t>
        </is>
      </c>
      <c r="O820" s="4" t="inlineStr">
        <is>
          <t>Athletic Shorts</t>
        </is>
      </c>
    </row>
    <row r="821" ht="80" customHeight="1">
      <c r="A821" s="7">
        <f>IMAGE("https://images.lululemon.com/is/image/lululemon/LW7DPAS_0001_1?wid=320&amp;op_usm=0.8",1)</f>
        <v/>
      </c>
      <c r="B821" s="7" t="inlineStr">
        <is>
          <t>Stretch Twill Golf Short 5"</t>
        </is>
      </c>
      <c r="C821" s="7" t="inlineStr">
        <is>
          <t>157716040</t>
        </is>
      </c>
      <c r="D821" s="7" t="inlineStr">
        <is>
          <t>157716040-black</t>
        </is>
      </c>
      <c r="E821" s="7" t="inlineStr">
        <is>
          <t>Stretch Twill Golf Short 5" CLBL 22</t>
        </is>
      </c>
      <c r="F821" s="7" t="inlineStr">
        <is>
          <t>$98.00</t>
        </is>
      </c>
      <c r="G821" s="7" t="inlineStr">
        <is>
          <t>$49.00</t>
        </is>
      </c>
      <c r="H821" s="7" t="inlineStr">
        <is>
          <t>Black</t>
        </is>
      </c>
      <c r="I821" s="7">
        <f>IMAGE("https://images.lululemon.com/is/image/lululemon/0001",1)</f>
        <v/>
      </c>
      <c r="J821" s="7" t="inlineStr">
        <is>
          <t>29</t>
        </is>
      </c>
      <c r="K821" s="7" t="inlineStr">
        <is>
          <t>61/2447</t>
        </is>
      </c>
      <c r="L821" s="7" t="inlineStr">
        <is>
          <t>Yes</t>
        </is>
      </c>
      <c r="M821" s="7" t="inlineStr">
        <is>
          <t>Stretch for your swing. These stretch twill golf shorts are designed to give you full freedom of movement. The fly front keeps them looking smart, too.</t>
        </is>
      </c>
      <c r="N821" s="7" t="inlineStr">
        <is>
          <t>Stretch-Twill-Golf-Short-5</t>
        </is>
      </c>
      <c r="O821" s="7" t="inlineStr">
        <is>
          <t>Athletic Shorts</t>
        </is>
      </c>
    </row>
    <row r="822" ht="80" customHeight="1">
      <c r="A822" s="4">
        <f>IMAGE("https://images.lululemon.com/is/image/lululemon/LW7DPAS_0001_1?wid=320&amp;op_usm=0.8",1)</f>
        <v/>
      </c>
      <c r="B822" s="4" t="inlineStr">
        <is>
          <t>Stretch Twill Golf Short 5"</t>
        </is>
      </c>
      <c r="C822" s="4" t="inlineStr">
        <is>
          <t>157716049</t>
        </is>
      </c>
      <c r="D822" s="4" t="inlineStr">
        <is>
          <t>157716049-black</t>
        </is>
      </c>
      <c r="E822" s="4" t="inlineStr">
        <is>
          <t>Stretch Twill Golf Short 5" CLBL 22</t>
        </is>
      </c>
      <c r="F822" s="4" t="inlineStr">
        <is>
          <t>$98.00</t>
        </is>
      </c>
      <c r="G822" s="4" t="inlineStr">
        <is>
          <t>$49.00</t>
        </is>
      </c>
      <c r="H822" s="4" t="inlineStr">
        <is>
          <t>Black</t>
        </is>
      </c>
      <c r="I822" s="4">
        <f>IMAGE("https://images.lululemon.com/is/image/lululemon/0001",1)</f>
        <v/>
      </c>
      <c r="J822" s="4" t="inlineStr">
        <is>
          <t>30</t>
        </is>
      </c>
      <c r="K822" s="4" t="inlineStr">
        <is>
          <t>47/2447</t>
        </is>
      </c>
      <c r="L822" s="4" t="inlineStr">
        <is>
          <t>Yes</t>
        </is>
      </c>
      <c r="M822" s="4" t="inlineStr">
        <is>
          <t>Stretch for your swing. These stretch twill golf shorts are designed to give you full freedom of movement. The fly front keeps them looking smart, too.</t>
        </is>
      </c>
      <c r="N822" s="4" t="inlineStr">
        <is>
          <t>Stretch-Twill-Golf-Short-5</t>
        </is>
      </c>
      <c r="O822" s="4" t="inlineStr">
        <is>
          <t>Athletic Shorts</t>
        </is>
      </c>
    </row>
    <row r="823" ht="80" customHeight="1">
      <c r="A823" s="7">
        <f>IMAGE("https://images.lululemon.com/is/image/lululemon/LW7DPAS_0001_1?wid=320&amp;op_usm=0.8",1)</f>
        <v/>
      </c>
      <c r="B823" s="7" t="inlineStr">
        <is>
          <t>Stretch Twill Golf Short 5"</t>
        </is>
      </c>
      <c r="C823" s="7" t="inlineStr">
        <is>
          <t>157716058</t>
        </is>
      </c>
      <c r="D823" s="7" t="inlineStr">
        <is>
          <t>157716058-black</t>
        </is>
      </c>
      <c r="E823" s="7" t="inlineStr">
        <is>
          <t>Stretch Twill Golf Short 5" CLBL 22</t>
        </is>
      </c>
      <c r="F823" s="7" t="inlineStr">
        <is>
          <t>$98.00</t>
        </is>
      </c>
      <c r="G823" s="7" t="inlineStr">
        <is>
          <t>$49.00</t>
        </is>
      </c>
      <c r="H823" s="7" t="inlineStr">
        <is>
          <t>Black</t>
        </is>
      </c>
      <c r="I823" s="7">
        <f>IMAGE("https://images.lululemon.com/is/image/lululemon/0001",1)</f>
        <v/>
      </c>
      <c r="J823" s="7" t="inlineStr">
        <is>
          <t>31</t>
        </is>
      </c>
      <c r="K823" s="7" t="inlineStr">
        <is>
          <t>26/2447</t>
        </is>
      </c>
      <c r="L823" s="7" t="inlineStr">
        <is>
          <t>Yes</t>
        </is>
      </c>
      <c r="M823" s="7" t="inlineStr">
        <is>
          <t>Stretch for your swing. These stretch twill golf shorts are designed to give you full freedom of movement. The fly front keeps them looking smart, too.</t>
        </is>
      </c>
      <c r="N823" s="7" t="inlineStr">
        <is>
          <t>Stretch-Twill-Golf-Short-5</t>
        </is>
      </c>
      <c r="O823" s="7" t="inlineStr">
        <is>
          <t>Athletic Shorts</t>
        </is>
      </c>
    </row>
    <row r="824" ht="80" customHeight="1">
      <c r="A824" s="4">
        <f>IMAGE("https://images.lululemon.com/is/image/lululemon/LW7DPAS_0001_1?wid=320&amp;op_usm=0.8",1)</f>
        <v/>
      </c>
      <c r="B824" s="4" t="inlineStr">
        <is>
          <t>Stretch Twill Golf Short 5"</t>
        </is>
      </c>
      <c r="C824" s="4" t="inlineStr">
        <is>
          <t>157716066</t>
        </is>
      </c>
      <c r="D824" s="4" t="inlineStr">
        <is>
          <t>157716066-black</t>
        </is>
      </c>
      <c r="E824" s="4" t="inlineStr">
        <is>
          <t>Stretch Twill Golf Short 5" CLBL 22</t>
        </is>
      </c>
      <c r="F824" s="4" t="inlineStr">
        <is>
          <t>$98.00</t>
        </is>
      </c>
      <c r="G824" s="4" t="inlineStr">
        <is>
          <t>$49.00</t>
        </is>
      </c>
      <c r="H824" s="4" t="inlineStr">
        <is>
          <t>Black</t>
        </is>
      </c>
      <c r="I824" s="4">
        <f>IMAGE("https://images.lululemon.com/is/image/lululemon/0001",1)</f>
        <v/>
      </c>
      <c r="J824" s="4" t="inlineStr">
        <is>
          <t>32</t>
        </is>
      </c>
      <c r="K824" s="4" t="inlineStr">
        <is>
          <t>45/2447</t>
        </is>
      </c>
      <c r="L824" s="4" t="inlineStr">
        <is>
          <t>Yes</t>
        </is>
      </c>
      <c r="M824" s="4" t="inlineStr">
        <is>
          <t>Stretch for your swing. These stretch twill golf shorts are designed to give you full freedom of movement. The fly front keeps them looking smart, too.</t>
        </is>
      </c>
      <c r="N824" s="4" t="inlineStr">
        <is>
          <t>Stretch-Twill-Golf-Short-5</t>
        </is>
      </c>
      <c r="O824" s="4" t="inlineStr">
        <is>
          <t>Athletic Shorts</t>
        </is>
      </c>
    </row>
    <row r="825" ht="80" customHeight="1">
      <c r="A825" s="7">
        <f>IMAGE("https://images.lululemon.com/is/image/lululemon/LW7DPAS_0001_1?wid=320&amp;op_usm=0.8",1)</f>
        <v/>
      </c>
      <c r="B825" s="7" t="inlineStr">
        <is>
          <t>Stretch Twill Golf Short 5"</t>
        </is>
      </c>
      <c r="C825" s="7" t="inlineStr">
        <is>
          <t>157716077</t>
        </is>
      </c>
      <c r="D825" s="7" t="inlineStr">
        <is>
          <t>157716077-black</t>
        </is>
      </c>
      <c r="E825" s="7" t="inlineStr">
        <is>
          <t>Stretch Twill Golf Short 5" CLBL 22</t>
        </is>
      </c>
      <c r="F825" s="7" t="inlineStr">
        <is>
          <t>$98.00</t>
        </is>
      </c>
      <c r="G825" s="7" t="inlineStr">
        <is>
          <t>$49.00</t>
        </is>
      </c>
      <c r="H825" s="7" t="inlineStr">
        <is>
          <t>Black</t>
        </is>
      </c>
      <c r="I825" s="7">
        <f>IMAGE("https://images.lululemon.com/is/image/lululemon/0001",1)</f>
        <v/>
      </c>
      <c r="J825" s="7" t="inlineStr">
        <is>
          <t>33</t>
        </is>
      </c>
      <c r="K825" s="7" t="inlineStr">
        <is>
          <t>10/2447</t>
        </is>
      </c>
      <c r="L825" s="7" t="inlineStr">
        <is>
          <t>Yes</t>
        </is>
      </c>
      <c r="M825" s="7" t="inlineStr">
        <is>
          <t>Stretch for your swing. These stretch twill golf shorts are designed to give you full freedom of movement. The fly front keeps them looking smart, too.</t>
        </is>
      </c>
      <c r="N825" s="7" t="inlineStr">
        <is>
          <t>Stretch-Twill-Golf-Short-5</t>
        </is>
      </c>
      <c r="O825" s="7" t="inlineStr">
        <is>
          <t>Athletic Shorts</t>
        </is>
      </c>
    </row>
    <row r="826" ht="80" customHeight="1">
      <c r="A826" s="4">
        <f>IMAGE("https://images.lululemon.com/is/image/lululemon/LW7DPAS_0001_1?wid=320&amp;op_usm=0.8",1)</f>
        <v/>
      </c>
      <c r="B826" s="4" t="inlineStr">
        <is>
          <t>Stretch Twill Golf Short 5"</t>
        </is>
      </c>
      <c r="C826" s="4" t="inlineStr">
        <is>
          <t>157716103</t>
        </is>
      </c>
      <c r="D826" s="4" t="inlineStr">
        <is>
          <t>157716103-sheeroak</t>
        </is>
      </c>
      <c r="E826" s="4" t="inlineStr">
        <is>
          <t>Stretch Twill Golf Short 5" CLBL 22</t>
        </is>
      </c>
      <c r="F826" s="4" t="inlineStr">
        <is>
          <t>$98.00</t>
        </is>
      </c>
      <c r="G826" s="4" t="inlineStr">
        <is>
          <t>$49.00</t>
        </is>
      </c>
      <c r="H826" s="4" t="inlineStr">
        <is>
          <t>Sheer Oak</t>
        </is>
      </c>
      <c r="I826" s="4">
        <f>IMAGE("https://images.lululemon.com/is/image/lululemon/68684",1)</f>
        <v/>
      </c>
      <c r="J826" s="4" t="inlineStr">
        <is>
          <t>24</t>
        </is>
      </c>
      <c r="K826" s="4" t="inlineStr">
        <is>
          <t>5/2447</t>
        </is>
      </c>
      <c r="L826" s="4" t="inlineStr">
        <is>
          <t>Yes</t>
        </is>
      </c>
      <c r="M826" s="4" t="inlineStr">
        <is>
          <t>Stretch for your swing. These stretch twill golf shorts are designed to give you full freedom of movement. The fly front keeps them looking smart, too.</t>
        </is>
      </c>
      <c r="N826" s="4" t="inlineStr">
        <is>
          <t>Stretch-Twill-Golf-Short-5</t>
        </is>
      </c>
      <c r="O826" s="4" t="inlineStr">
        <is>
          <t>Athletic Shorts</t>
        </is>
      </c>
    </row>
    <row r="827" ht="80" customHeight="1">
      <c r="A827" s="7">
        <f>IMAGE("https://images.lululemon.com/is/image/lululemon/LW7DPAS_0001_1?wid=320&amp;op_usm=0.8",1)</f>
        <v/>
      </c>
      <c r="B827" s="7" t="inlineStr">
        <is>
          <t>Stretch Twill Golf Short 5"</t>
        </is>
      </c>
      <c r="C827" s="7" t="inlineStr">
        <is>
          <t>157716112</t>
        </is>
      </c>
      <c r="D827" s="7" t="inlineStr">
        <is>
          <t>157716112-sheeroak</t>
        </is>
      </c>
      <c r="E827" s="7" t="inlineStr">
        <is>
          <t>Stretch Twill Golf Short 5" CLBL 22</t>
        </is>
      </c>
      <c r="F827" s="7" t="inlineStr">
        <is>
          <t>$98.00</t>
        </is>
      </c>
      <c r="G827" s="7" t="inlineStr">
        <is>
          <t>$49.00</t>
        </is>
      </c>
      <c r="H827" s="7" t="inlineStr">
        <is>
          <t>Sheer Oak</t>
        </is>
      </c>
      <c r="I827" s="7">
        <f>IMAGE("https://images.lululemon.com/is/image/lululemon/68684",1)</f>
        <v/>
      </c>
      <c r="J827" s="7" t="inlineStr">
        <is>
          <t>25</t>
        </is>
      </c>
      <c r="K827" s="7" t="inlineStr">
        <is>
          <t>20/2447</t>
        </is>
      </c>
      <c r="L827" s="7" t="inlineStr">
        <is>
          <t>Yes</t>
        </is>
      </c>
      <c r="M827" s="7" t="inlineStr">
        <is>
          <t>Stretch for your swing. These stretch twill golf shorts are designed to give you full freedom of movement. The fly front keeps them looking smart, too.</t>
        </is>
      </c>
      <c r="N827" s="7" t="inlineStr">
        <is>
          <t>Stretch-Twill-Golf-Short-5</t>
        </is>
      </c>
      <c r="O827" s="7" t="inlineStr">
        <is>
          <t>Athletic Shorts</t>
        </is>
      </c>
    </row>
    <row r="828" ht="80" customHeight="1">
      <c r="A828" s="4">
        <f>IMAGE("https://images.lululemon.com/is/image/lululemon/LW7DPAS_0001_1?wid=320&amp;op_usm=0.8",1)</f>
        <v/>
      </c>
      <c r="B828" s="4" t="inlineStr">
        <is>
          <t>Stretch Twill Golf Short 5"</t>
        </is>
      </c>
      <c r="C828" s="4" t="inlineStr">
        <is>
          <t>157716120</t>
        </is>
      </c>
      <c r="D828" s="4" t="inlineStr">
        <is>
          <t>157716120-sheeroak</t>
        </is>
      </c>
      <c r="E828" s="4" t="inlineStr">
        <is>
          <t>Stretch Twill Golf Short 5" CLBL 22</t>
        </is>
      </c>
      <c r="F828" s="4" t="inlineStr">
        <is>
          <t>$98.00</t>
        </is>
      </c>
      <c r="G828" s="4" t="inlineStr">
        <is>
          <t>$49.00</t>
        </is>
      </c>
      <c r="H828" s="4" t="inlineStr">
        <is>
          <t>Sheer Oak</t>
        </is>
      </c>
      <c r="I828" s="4">
        <f>IMAGE("https://images.lululemon.com/is/image/lululemon/68684",1)</f>
        <v/>
      </c>
      <c r="J828" s="4" t="inlineStr">
        <is>
          <t>26</t>
        </is>
      </c>
      <c r="K828" s="4" t="inlineStr">
        <is>
          <t>32/2447</t>
        </is>
      </c>
      <c r="L828" s="4" t="inlineStr">
        <is>
          <t>Yes</t>
        </is>
      </c>
      <c r="M828" s="4" t="inlineStr">
        <is>
          <t>Stretch for your swing. These stretch twill golf shorts are designed to give you full freedom of movement. The fly front keeps them looking smart, too.</t>
        </is>
      </c>
      <c r="N828" s="4" t="inlineStr">
        <is>
          <t>Stretch-Twill-Golf-Short-5</t>
        </is>
      </c>
      <c r="O828" s="4" t="inlineStr">
        <is>
          <t>Athletic Shorts</t>
        </is>
      </c>
    </row>
    <row r="829" ht="80" customHeight="1">
      <c r="A829" s="7">
        <f>IMAGE("https://images.lululemon.com/is/image/lululemon/LW7DPAS_0001_1?wid=320&amp;op_usm=0.8",1)</f>
        <v/>
      </c>
      <c r="B829" s="7" t="inlineStr">
        <is>
          <t>Stretch Twill Golf Short 5"</t>
        </is>
      </c>
      <c r="C829" s="7" t="inlineStr">
        <is>
          <t>157716129</t>
        </is>
      </c>
      <c r="D829" s="7" t="inlineStr">
        <is>
          <t>157716129-sheeroak</t>
        </is>
      </c>
      <c r="E829" s="7" t="inlineStr">
        <is>
          <t>Stretch Twill Golf Short 5" CLBL 22</t>
        </is>
      </c>
      <c r="F829" s="7" t="inlineStr">
        <is>
          <t>$98.00</t>
        </is>
      </c>
      <c r="G829" s="7" t="inlineStr">
        <is>
          <t>$49.00</t>
        </is>
      </c>
      <c r="H829" s="7" t="inlineStr">
        <is>
          <t>Sheer Oak</t>
        </is>
      </c>
      <c r="I829" s="7">
        <f>IMAGE("https://images.lululemon.com/is/image/lululemon/68684",1)</f>
        <v/>
      </c>
      <c r="J829" s="7" t="inlineStr">
        <is>
          <t>27</t>
        </is>
      </c>
      <c r="K829" s="7" t="inlineStr">
        <is>
          <t>37/2447</t>
        </is>
      </c>
      <c r="L829" s="7" t="inlineStr">
        <is>
          <t>Yes</t>
        </is>
      </c>
      <c r="M829" s="7" t="inlineStr">
        <is>
          <t>Stretch for your swing. These stretch twill golf shorts are designed to give you full freedom of movement. The fly front keeps them looking smart, too.</t>
        </is>
      </c>
      <c r="N829" s="7" t="inlineStr">
        <is>
          <t>Stretch-Twill-Golf-Short-5</t>
        </is>
      </c>
      <c r="O829" s="7" t="inlineStr">
        <is>
          <t>Athletic Shorts</t>
        </is>
      </c>
    </row>
    <row r="830" ht="80" customHeight="1">
      <c r="A830" s="4">
        <f>IMAGE("https://images.lululemon.com/is/image/lululemon/LW7DPAS_0001_1?wid=320&amp;op_usm=0.8",1)</f>
        <v/>
      </c>
      <c r="B830" s="4" t="inlineStr">
        <is>
          <t>Stretch Twill Golf Short 5"</t>
        </is>
      </c>
      <c r="C830" s="4" t="inlineStr">
        <is>
          <t>157716136</t>
        </is>
      </c>
      <c r="D830" s="4" t="inlineStr">
        <is>
          <t>157716136-sheeroak</t>
        </is>
      </c>
      <c r="E830" s="4" t="inlineStr">
        <is>
          <t>Stretch Twill Golf Short 5" CLBL 22</t>
        </is>
      </c>
      <c r="F830" s="4" t="inlineStr">
        <is>
          <t>$98.00</t>
        </is>
      </c>
      <c r="G830" s="4" t="inlineStr">
        <is>
          <t>$49.00</t>
        </is>
      </c>
      <c r="H830" s="4" t="inlineStr">
        <is>
          <t>Sheer Oak</t>
        </is>
      </c>
      <c r="I830" s="4">
        <f>IMAGE("https://images.lululemon.com/is/image/lululemon/68684",1)</f>
        <v/>
      </c>
      <c r="J830" s="4" t="inlineStr">
        <is>
          <t>28</t>
        </is>
      </c>
      <c r="K830" s="4" t="inlineStr">
        <is>
          <t>20/2447</t>
        </is>
      </c>
      <c r="L830" s="4" t="inlineStr">
        <is>
          <t>Yes</t>
        </is>
      </c>
      <c r="M830" s="4" t="inlineStr">
        <is>
          <t>Stretch for your swing. These stretch twill golf shorts are designed to give you full freedom of movement. The fly front keeps them looking smart, too.</t>
        </is>
      </c>
      <c r="N830" s="4" t="inlineStr">
        <is>
          <t>Stretch-Twill-Golf-Short-5</t>
        </is>
      </c>
      <c r="O830" s="4" t="inlineStr">
        <is>
          <t>Athletic Shorts</t>
        </is>
      </c>
    </row>
    <row r="831" ht="80" customHeight="1">
      <c r="A831" s="7">
        <f>IMAGE("https://images.lululemon.com/is/image/lululemon/LW7DPAS_0001_1?wid=320&amp;op_usm=0.8",1)</f>
        <v/>
      </c>
      <c r="B831" s="7" t="inlineStr">
        <is>
          <t>Stretch Twill Golf Short 5"</t>
        </is>
      </c>
      <c r="C831" s="7" t="inlineStr">
        <is>
          <t>157716151</t>
        </is>
      </c>
      <c r="D831" s="7" t="inlineStr">
        <is>
          <t>157716151-sheeroak</t>
        </is>
      </c>
      <c r="E831" s="7" t="inlineStr">
        <is>
          <t>Stretch Twill Golf Short 5" CLBL 22</t>
        </is>
      </c>
      <c r="F831" s="7" t="inlineStr">
        <is>
          <t>$98.00</t>
        </is>
      </c>
      <c r="G831" s="7" t="inlineStr">
        <is>
          <t>$49.00</t>
        </is>
      </c>
      <c r="H831" s="7" t="inlineStr">
        <is>
          <t>Sheer Oak</t>
        </is>
      </c>
      <c r="I831" s="7">
        <f>IMAGE("https://images.lululemon.com/is/image/lululemon/68684",1)</f>
        <v/>
      </c>
      <c r="J831" s="7" t="inlineStr">
        <is>
          <t>30</t>
        </is>
      </c>
      <c r="K831" s="7" t="inlineStr">
        <is>
          <t>19/2447</t>
        </is>
      </c>
      <c r="L831" s="7" t="inlineStr">
        <is>
          <t>Yes</t>
        </is>
      </c>
      <c r="M831" s="7" t="inlineStr">
        <is>
          <t>Stretch for your swing. These stretch twill golf shorts are designed to give you full freedom of movement. The fly front keeps them looking smart, too.</t>
        </is>
      </c>
      <c r="N831" s="7" t="inlineStr">
        <is>
          <t>Stretch-Twill-Golf-Short-5</t>
        </is>
      </c>
      <c r="O831" s="7" t="inlineStr">
        <is>
          <t>Athletic Shorts</t>
        </is>
      </c>
    </row>
    <row r="832" ht="80" customHeight="1">
      <c r="A832" s="4">
        <f>IMAGE("https://images.lululemon.com/is/image/lululemon/LW7DPAS_0001_1?wid=320&amp;op_usm=0.8",1)</f>
        <v/>
      </c>
      <c r="B832" s="4" t="inlineStr">
        <is>
          <t>Stretch Twill Golf Short 5"</t>
        </is>
      </c>
      <c r="C832" s="4" t="inlineStr">
        <is>
          <t>157716162</t>
        </is>
      </c>
      <c r="D832" s="4" t="inlineStr">
        <is>
          <t>157716162-sheeroak</t>
        </is>
      </c>
      <c r="E832" s="4" t="inlineStr">
        <is>
          <t>Stretch Twill Golf Short 5" CLBL 22</t>
        </is>
      </c>
      <c r="F832" s="4" t="inlineStr">
        <is>
          <t>$98.00</t>
        </is>
      </c>
      <c r="G832" s="4" t="inlineStr">
        <is>
          <t>$49.00</t>
        </is>
      </c>
      <c r="H832" s="4" t="inlineStr">
        <is>
          <t>Sheer Oak</t>
        </is>
      </c>
      <c r="I832" s="4">
        <f>IMAGE("https://images.lululemon.com/is/image/lululemon/68684",1)</f>
        <v/>
      </c>
      <c r="J832" s="4" t="inlineStr">
        <is>
          <t>31</t>
        </is>
      </c>
      <c r="K832" s="4" t="inlineStr">
        <is>
          <t>11/2447</t>
        </is>
      </c>
      <c r="L832" s="4" t="inlineStr">
        <is>
          <t>Yes</t>
        </is>
      </c>
      <c r="M832" s="4" t="inlineStr">
        <is>
          <t>Stretch for your swing. These stretch twill golf shorts are designed to give you full freedom of movement. The fly front keeps them looking smart, too.</t>
        </is>
      </c>
      <c r="N832" s="4" t="inlineStr">
        <is>
          <t>Stretch-Twill-Golf-Short-5</t>
        </is>
      </c>
      <c r="O832" s="4" t="inlineStr">
        <is>
          <t>Athletic Shorts</t>
        </is>
      </c>
    </row>
    <row r="833" ht="80" customHeight="1">
      <c r="A833" s="7">
        <f>IMAGE("https://images.lululemon.com/is/image/lululemon/LW7DPAS_0001_1?wid=320&amp;op_usm=0.8",1)</f>
        <v/>
      </c>
      <c r="B833" s="7" t="inlineStr">
        <is>
          <t>Stretch Twill Golf Short 5"</t>
        </is>
      </c>
      <c r="C833" s="7" t="inlineStr">
        <is>
          <t>157716167</t>
        </is>
      </c>
      <c r="D833" s="7" t="inlineStr">
        <is>
          <t>157716167-sheeroak</t>
        </is>
      </c>
      <c r="E833" s="7" t="inlineStr">
        <is>
          <t>Stretch Twill Golf Short 5" CLBL 22</t>
        </is>
      </c>
      <c r="F833" s="7" t="inlineStr">
        <is>
          <t>$98.00</t>
        </is>
      </c>
      <c r="G833" s="7" t="inlineStr">
        <is>
          <t>$49.00</t>
        </is>
      </c>
      <c r="H833" s="7" t="inlineStr">
        <is>
          <t>Sheer Oak</t>
        </is>
      </c>
      <c r="I833" s="7">
        <f>IMAGE("https://images.lululemon.com/is/image/lululemon/68684",1)</f>
        <v/>
      </c>
      <c r="J833" s="7" t="inlineStr">
        <is>
          <t>32</t>
        </is>
      </c>
      <c r="K833" s="7" t="inlineStr">
        <is>
          <t>14/2447</t>
        </is>
      </c>
      <c r="L833" s="7" t="inlineStr">
        <is>
          <t>Yes</t>
        </is>
      </c>
      <c r="M833" s="7" t="inlineStr">
        <is>
          <t>Stretch for your swing. These stretch twill golf shorts are designed to give you full freedom of movement. The fly front keeps them looking smart, too.</t>
        </is>
      </c>
      <c r="N833" s="7" t="inlineStr">
        <is>
          <t>Stretch-Twill-Golf-Short-5</t>
        </is>
      </c>
      <c r="O833" s="7" t="inlineStr">
        <is>
          <t>Athletic Shorts</t>
        </is>
      </c>
    </row>
    <row r="834" ht="80" customHeight="1">
      <c r="A834" s="6">
        <f>IMAGE("https://images.lululemon.com/is/image/lululemon/LW7DPAS_0001_1?wid=320&amp;op_usm=0.8",1)</f>
        <v/>
      </c>
      <c r="B834" s="6" t="inlineStr">
        <is>
          <t>Stretch Twill Golf Short 5"</t>
        </is>
      </c>
      <c r="C834" s="6" t="inlineStr">
        <is>
          <t>157716178</t>
        </is>
      </c>
      <c r="D834" s="6" t="inlineStr">
        <is>
          <t>157716178-sheeroak</t>
        </is>
      </c>
      <c r="E834" s="6" t="inlineStr">
        <is>
          <t>Stretch Twill Golf Short 5" CLBL 22</t>
        </is>
      </c>
      <c r="F834" s="6" t="inlineStr">
        <is>
          <t>$98.00</t>
        </is>
      </c>
      <c r="G834" s="6" t="inlineStr">
        <is>
          <t>$49.00</t>
        </is>
      </c>
      <c r="H834" s="6" t="inlineStr">
        <is>
          <t>Sheer Oak</t>
        </is>
      </c>
      <c r="I834" s="6">
        <f>IMAGE("https://images.lululemon.com/is/image/lululemon/68684",1)</f>
        <v/>
      </c>
      <c r="J834" s="6" t="inlineStr">
        <is>
          <t>33</t>
        </is>
      </c>
      <c r="K834" s="6" t="inlineStr">
        <is>
          <t>7/2447</t>
        </is>
      </c>
      <c r="L834" s="6" t="inlineStr">
        <is>
          <t>Yes</t>
        </is>
      </c>
      <c r="M834" s="6" t="inlineStr">
        <is>
          <t>Stretch for your swing. These stretch twill golf shorts are designed to give you full freedom of movement. The fly front keeps them looking smart, too.</t>
        </is>
      </c>
      <c r="N834" s="6" t="inlineStr">
        <is>
          <t>Stretch-Twill-Golf-Short-5</t>
        </is>
      </c>
      <c r="O834" s="6" t="inlineStr">
        <is>
          <t>Athletic Shorts</t>
        </is>
      </c>
    </row>
    <row r="835" ht="80" customHeight="1">
      <c r="A835" s="7">
        <f>IMAGE("https://images.lululemon.com/is/image/lululemon/LW3DUTS_031382_1?wid=320&amp;op_usm=0.8",1)</f>
        <v/>
      </c>
      <c r="B835" s="7" t="inlineStr">
        <is>
          <t>Perfectly Oversized Crew</t>
        </is>
      </c>
      <c r="C835" s="7" t="inlineStr">
        <is>
          <t>123028949</t>
        </is>
      </c>
      <c r="D835" s="7" t="inlineStr">
        <is>
          <t>123028949-truenavy</t>
        </is>
      </c>
      <c r="E835" s="7" t="inlineStr">
        <is>
          <t>Perfectly Oversized Crew TRNV 10</t>
        </is>
      </c>
      <c r="F835" s="7" t="inlineStr">
        <is>
          <t>$108.00</t>
        </is>
      </c>
      <c r="G835" s="7" t="inlineStr">
        <is>
          <t>$54.00</t>
        </is>
      </c>
      <c r="H835" s="7" t="inlineStr">
        <is>
          <t>True Navy</t>
        </is>
      </c>
      <c r="I835" s="7">
        <f>IMAGE("https://images.lululemon.com/is/image/lululemon/31382",1)</f>
        <v/>
      </c>
      <c r="J835" s="7" t="inlineStr">
        <is>
          <t>10</t>
        </is>
      </c>
      <c r="K835" s="7" t="inlineStr">
        <is>
          <t>138/250</t>
        </is>
      </c>
      <c r="L835" s="7" t="inlineStr">
        <is>
          <t>Yes</t>
        </is>
      </c>
      <c r="M835" s="7" t="inlineStr">
        <is>
          <t>Nothing but love for this roomy, perfectly oversized sweatshirt. Toss it on after your workout for that time-to-relax fit.</t>
        </is>
      </c>
      <c r="N835" s="7" t="inlineStr">
        <is>
          <t>Perfectly-Oversized-Crew</t>
        </is>
      </c>
      <c r="O835" s="7" t="inlineStr">
        <is>
          <t>Crewneck Sweatshirts</t>
        </is>
      </c>
    </row>
    <row r="836" ht="80" customHeight="1">
      <c r="A836" s="4">
        <f>IMAGE("https://images.lululemon.com/is/image/lululemon/LW3DUTS_031382_1?wid=320&amp;op_usm=0.8",1)</f>
        <v/>
      </c>
      <c r="B836" s="4" t="inlineStr">
        <is>
          <t>Perfectly Oversized Crew</t>
        </is>
      </c>
      <c r="C836" s="4" t="inlineStr">
        <is>
          <t>123028970</t>
        </is>
      </c>
      <c r="D836" s="4" t="inlineStr">
        <is>
          <t>123028970-truenavy</t>
        </is>
      </c>
      <c r="E836" s="4" t="inlineStr">
        <is>
          <t>Perfectly Oversized Crew TRNV 10</t>
        </is>
      </c>
      <c r="F836" s="4" t="inlineStr">
        <is>
          <t>$108.00</t>
        </is>
      </c>
      <c r="G836" s="4" t="inlineStr">
        <is>
          <t>$54.00</t>
        </is>
      </c>
      <c r="H836" s="4" t="inlineStr">
        <is>
          <t>True Navy</t>
        </is>
      </c>
      <c r="I836" s="4">
        <f>IMAGE("https://images.lululemon.com/is/image/lululemon/31382",1)</f>
        <v/>
      </c>
      <c r="J836" s="4" t="inlineStr">
        <is>
          <t>12</t>
        </is>
      </c>
      <c r="K836" s="4" t="inlineStr">
        <is>
          <t>79/250</t>
        </is>
      </c>
      <c r="L836" s="4" t="inlineStr">
        <is>
          <t>Yes</t>
        </is>
      </c>
      <c r="M836" s="4" t="inlineStr">
        <is>
          <t>Nothing but love for this roomy, perfectly oversized sweatshirt. Toss it on after your workout for that time-to-relax fit.</t>
        </is>
      </c>
      <c r="N836" s="4" t="inlineStr">
        <is>
          <t>Perfectly-Oversized-Crew</t>
        </is>
      </c>
      <c r="O836" s="4" t="inlineStr">
        <is>
          <t>Crewneck Sweatshirts</t>
        </is>
      </c>
    </row>
    <row r="837" ht="80" customHeight="1">
      <c r="A837" s="5">
        <f>IMAGE("https://images.lululemon.com/is/image/lululemon/LW3DUTS_031382_1?wid=320&amp;op_usm=0.8",1)</f>
        <v/>
      </c>
      <c r="B837" s="5" t="inlineStr">
        <is>
          <t>Perfectly Oversized Crew</t>
        </is>
      </c>
      <c r="C837" s="5" t="inlineStr">
        <is>
          <t>123028983</t>
        </is>
      </c>
      <c r="D837" s="5" t="inlineStr">
        <is>
          <t>123028983-truenavy</t>
        </is>
      </c>
      <c r="E837" s="5" t="inlineStr">
        <is>
          <t>Perfectly Oversized Crew TRNV 10</t>
        </is>
      </c>
      <c r="F837" s="5" t="inlineStr">
        <is>
          <t>$108.00</t>
        </is>
      </c>
      <c r="G837" s="5" t="inlineStr">
        <is>
          <t>$54.00</t>
        </is>
      </c>
      <c r="H837" s="5" t="inlineStr">
        <is>
          <t>True Navy</t>
        </is>
      </c>
      <c r="I837" s="5">
        <f>IMAGE("https://images.lululemon.com/is/image/lululemon/31382",1)</f>
        <v/>
      </c>
      <c r="J837" s="5" t="inlineStr">
        <is>
          <t>14</t>
        </is>
      </c>
      <c r="K837" s="5" t="inlineStr">
        <is>
          <t>33/250</t>
        </is>
      </c>
      <c r="L837" s="5" t="inlineStr">
        <is>
          <t>Yes</t>
        </is>
      </c>
      <c r="M837" s="5" t="inlineStr">
        <is>
          <t>Nothing but love for this roomy, perfectly oversized sweatshirt. Toss it on after your workout for that time-to-relax fit.</t>
        </is>
      </c>
      <c r="N837" s="5" t="inlineStr">
        <is>
          <t>Perfectly-Oversized-Crew</t>
        </is>
      </c>
      <c r="O837" s="5" t="inlineStr">
        <is>
          <t>Crewneck Sweatshirts</t>
        </is>
      </c>
    </row>
    <row r="838" ht="80" customHeight="1">
      <c r="A838" s="4">
        <f>IMAGE("https://images.lululemon.com/is/image/lululemon/LU9CVWS_073767_1?wid=320&amp;op_usm=0.8",1)</f>
        <v/>
      </c>
      <c r="B838" s="4" t="inlineStr">
        <is>
          <t>Insulated Tumbler 40oz *Shine</t>
        </is>
      </c>
      <c r="C838" s="4" t="inlineStr">
        <is>
          <t>157718224</t>
        </is>
      </c>
      <c r="D838" s="4" t="inlineStr">
        <is>
          <t>157718224-darkrosegold/silver</t>
        </is>
      </c>
      <c r="E838" s="4" t="inlineStr">
        <is>
          <t>Insulated Tumbler 40oz DRGL/SLVR ONE SIZE</t>
        </is>
      </c>
      <c r="F838" s="4" t="inlineStr">
        <is>
          <t>$58.00</t>
        </is>
      </c>
      <c r="G838" s="4" t="inlineStr">
        <is>
          <t>$29.00</t>
        </is>
      </c>
      <c r="H838" s="4" t="inlineStr">
        <is>
          <t>Dark Rose Gold/Silver</t>
        </is>
      </c>
      <c r="I838" s="4">
        <f>IMAGE("https://images.lululemon.com/is/image/lululemon/73767",1)</f>
        <v/>
      </c>
      <c r="J838" s="4" t="inlineStr">
        <is>
          <t>O/S</t>
        </is>
      </c>
      <c r="K838" s="4" t="inlineStr">
        <is>
          <t>68/487</t>
        </is>
      </c>
      <c r="L838" s="4" t="inlineStr">
        <is>
          <t>Yes</t>
        </is>
      </c>
      <c r="M838" s="4" t="inlineStr">
        <is>
          <t>Your new hydration bestie. This easy-carry tumbler gives you options: take icy cold sips from the stainless steel straw or swig from the secure lid flap.</t>
        </is>
      </c>
      <c r="N838" s="4" t="inlineStr">
        <is>
          <t>Insulated-Tumbler-40oz-Shine</t>
        </is>
      </c>
      <c r="O838" s="4" t="inlineStr">
        <is>
          <t>Tumblers and Travel Mugs</t>
        </is>
      </c>
    </row>
    <row r="839" ht="80" customHeight="1">
      <c r="A839" s="5">
        <f>IMAGE("https://images.lululemon.com/is/image/lululemon/LU9CVWS_073767_1?wid=320&amp;op_usm=0.8",1)</f>
        <v/>
      </c>
      <c r="B839" s="5" t="inlineStr">
        <is>
          <t>Insulated Tumbler 40oz *Shine</t>
        </is>
      </c>
      <c r="C839" s="5" t="inlineStr">
        <is>
          <t>157718218</t>
        </is>
      </c>
      <c r="D839" s="5" t="inlineStr">
        <is>
          <t>157718218-gunmetal/silver/black</t>
        </is>
      </c>
      <c r="E839" s="5" t="inlineStr">
        <is>
          <t>Insulated Tumbler 40oz DRGL/SLVR ONE SIZE</t>
        </is>
      </c>
      <c r="F839" s="5" t="inlineStr">
        <is>
          <t>$58.00</t>
        </is>
      </c>
      <c r="G839" s="5" t="inlineStr">
        <is>
          <t>$29.00</t>
        </is>
      </c>
      <c r="H839" s="5" t="inlineStr">
        <is>
          <t>Gunmetal/Silver/Black</t>
        </is>
      </c>
      <c r="I839" s="5">
        <f>IMAGE("https://images.lululemon.com/is/image/lululemon/73740",1)</f>
        <v/>
      </c>
      <c r="J839" s="5" t="inlineStr">
        <is>
          <t>O/S</t>
        </is>
      </c>
      <c r="K839" s="5" t="inlineStr">
        <is>
          <t>419/487</t>
        </is>
      </c>
      <c r="L839" s="5" t="inlineStr">
        <is>
          <t>Yes</t>
        </is>
      </c>
      <c r="M839" s="5" t="inlineStr">
        <is>
          <t>Your new hydration bestie. This easy-carry tumbler gives you options: take icy cold sips from the stainless steel straw or swig from the secure lid flap.</t>
        </is>
      </c>
      <c r="N839" s="5" t="inlineStr">
        <is>
          <t>Insulated-Tumbler-40oz-Shine</t>
        </is>
      </c>
      <c r="O839" s="5" t="inlineStr">
        <is>
          <t>Tumblers and Travel Mugs</t>
        </is>
      </c>
    </row>
    <row r="840" ht="80" customHeight="1">
      <c r="A840" s="4">
        <f>IMAGE("https://images.lululemon.com/is/image/lululemon/LW5HBCS_0001_1?wid=320&amp;op_usm=0.8",1)</f>
        <v/>
      </c>
      <c r="B840" s="4" t="inlineStr">
        <is>
          <t>Daydrift High-Rise Jogger *Regular</t>
        </is>
      </c>
      <c r="C840" s="4" t="inlineStr">
        <is>
          <t>156491565</t>
        </is>
      </c>
      <c r="D840" s="4" t="inlineStr">
        <is>
          <t>156491565-black</t>
        </is>
      </c>
      <c r="E840" s="4" t="inlineStr">
        <is>
          <t>Daydrift™ HR Jogger *Regular BLK XS</t>
        </is>
      </c>
      <c r="F840" s="4" t="inlineStr">
        <is>
          <t>$148.00</t>
        </is>
      </c>
      <c r="G840" s="4" t="inlineStr">
        <is>
          <t>$74.00</t>
        </is>
      </c>
      <c r="H840" s="4" t="inlineStr">
        <is>
          <t>Black</t>
        </is>
      </c>
      <c r="I840" s="4">
        <f>IMAGE("https://images.lululemon.com/is/image/lululemon/0001",1)</f>
        <v/>
      </c>
      <c r="J840" s="4" t="inlineStr">
        <is>
          <t>XS</t>
        </is>
      </c>
      <c r="K840" s="4" t="inlineStr">
        <is>
          <t>42/215</t>
        </is>
      </c>
      <c r="L840" s="4" t="inlineStr">
        <is>
          <t>Yes</t>
        </is>
      </c>
      <c r="M840" s="4" t="inlineStr">
        <is>
          <t>Technical meets tailored. These pull-on joggers feature classic design touches and use four-way stretch Luxtreme™ fabric for a powerfully sleek look and feel.</t>
        </is>
      </c>
      <c r="N840" s="4" t="inlineStr">
        <is>
          <t>Daydrift-High-Rise-Jogger-Regular</t>
        </is>
      </c>
      <c r="O840" s="4" t="inlineStr"/>
    </row>
    <row r="841" ht="80" customHeight="1">
      <c r="A841" s="7">
        <f>IMAGE("https://images.lululemon.com/is/image/lululemon/LW5HBCS_0001_1?wid=320&amp;op_usm=0.8",1)</f>
        <v/>
      </c>
      <c r="B841" s="7" t="inlineStr">
        <is>
          <t>Daydrift High-Rise Jogger *Regular</t>
        </is>
      </c>
      <c r="C841" s="7" t="inlineStr">
        <is>
          <t>156491545</t>
        </is>
      </c>
      <c r="D841" s="7" t="inlineStr">
        <is>
          <t>156491545-black</t>
        </is>
      </c>
      <c r="E841" s="7" t="inlineStr">
        <is>
          <t>Daydrift™ HR Jogger *Regular BLK XS</t>
        </is>
      </c>
      <c r="F841" s="7" t="inlineStr">
        <is>
          <t>$148.00</t>
        </is>
      </c>
      <c r="G841" s="7" t="inlineStr">
        <is>
          <t>$74.00</t>
        </is>
      </c>
      <c r="H841" s="7" t="inlineStr">
        <is>
          <t>Black</t>
        </is>
      </c>
      <c r="I841" s="7">
        <f>IMAGE("https://images.lululemon.com/is/image/lululemon/0001",1)</f>
        <v/>
      </c>
      <c r="J841" s="7" t="inlineStr">
        <is>
          <t>S</t>
        </is>
      </c>
      <c r="K841" s="7" t="inlineStr">
        <is>
          <t>56/215</t>
        </is>
      </c>
      <c r="L841" s="7" t="inlineStr">
        <is>
          <t>Yes</t>
        </is>
      </c>
      <c r="M841" s="7" t="inlineStr">
        <is>
          <t>Technical meets tailored. These pull-on joggers feature classic design touches and use four-way stretch Luxtreme™ fabric for a powerfully sleek look and feel.</t>
        </is>
      </c>
      <c r="N841" s="7" t="inlineStr">
        <is>
          <t>Daydrift-High-Rise-Jogger-Regular</t>
        </is>
      </c>
      <c r="O841" s="7" t="inlineStr"/>
    </row>
    <row r="842" ht="80" customHeight="1">
      <c r="A842" s="4">
        <f>IMAGE("https://images.lululemon.com/is/image/lululemon/LW5HBCS_0001_1?wid=320&amp;op_usm=0.8",1)</f>
        <v/>
      </c>
      <c r="B842" s="4" t="inlineStr">
        <is>
          <t>Daydrift High-Rise Jogger *Regular</t>
        </is>
      </c>
      <c r="C842" s="4" t="inlineStr">
        <is>
          <t>156491535</t>
        </is>
      </c>
      <c r="D842" s="4" t="inlineStr">
        <is>
          <t>156491535-black</t>
        </is>
      </c>
      <c r="E842" s="4" t="inlineStr">
        <is>
          <t>Daydrift™ HR Jogger *Regular BLK XS</t>
        </is>
      </c>
      <c r="F842" s="4" t="inlineStr">
        <is>
          <t>$148.00</t>
        </is>
      </c>
      <c r="G842" s="4" t="inlineStr">
        <is>
          <t>$74.00</t>
        </is>
      </c>
      <c r="H842" s="4" t="inlineStr">
        <is>
          <t>Black</t>
        </is>
      </c>
      <c r="I842" s="4">
        <f>IMAGE("https://images.lululemon.com/is/image/lululemon/0001",1)</f>
        <v/>
      </c>
      <c r="J842" s="4" t="inlineStr">
        <is>
          <t>M</t>
        </is>
      </c>
      <c r="K842" s="4" t="inlineStr">
        <is>
          <t>38/215</t>
        </is>
      </c>
      <c r="L842" s="4" t="inlineStr">
        <is>
          <t>Yes</t>
        </is>
      </c>
      <c r="M842" s="4" t="inlineStr">
        <is>
          <t>Technical meets tailored. These pull-on joggers feature classic design touches and use four-way stretch Luxtreme™ fabric for a powerfully sleek look and feel.</t>
        </is>
      </c>
      <c r="N842" s="4" t="inlineStr">
        <is>
          <t>Daydrift-High-Rise-Jogger-Regular</t>
        </is>
      </c>
      <c r="O842" s="4" t="inlineStr"/>
    </row>
    <row r="843" ht="80" customHeight="1">
      <c r="A843" s="7">
        <f>IMAGE("https://images.lululemon.com/is/image/lululemon/LW5HBCS_0001_1?wid=320&amp;op_usm=0.8",1)</f>
        <v/>
      </c>
      <c r="B843" s="7" t="inlineStr">
        <is>
          <t>Daydrift High-Rise Jogger *Regular</t>
        </is>
      </c>
      <c r="C843" s="7" t="inlineStr">
        <is>
          <t>156491525</t>
        </is>
      </c>
      <c r="D843" s="7" t="inlineStr">
        <is>
          <t>156491525-black</t>
        </is>
      </c>
      <c r="E843" s="7" t="inlineStr">
        <is>
          <t>Daydrift™ HR Jogger *Regular BLK XS</t>
        </is>
      </c>
      <c r="F843" s="7" t="inlineStr">
        <is>
          <t>$148.00</t>
        </is>
      </c>
      <c r="G843" s="7" t="inlineStr">
        <is>
          <t>$74.00</t>
        </is>
      </c>
      <c r="H843" s="7" t="inlineStr">
        <is>
          <t>Black</t>
        </is>
      </c>
      <c r="I843" s="7">
        <f>IMAGE("https://images.lululemon.com/is/image/lululemon/0001",1)</f>
        <v/>
      </c>
      <c r="J843" s="7" t="inlineStr">
        <is>
          <t>L</t>
        </is>
      </c>
      <c r="K843" s="7" t="inlineStr">
        <is>
          <t>64/215</t>
        </is>
      </c>
      <c r="L843" s="7" t="inlineStr">
        <is>
          <t>Yes</t>
        </is>
      </c>
      <c r="M843" s="7" t="inlineStr">
        <is>
          <t>Technical meets tailored. These pull-on joggers feature classic design touches and use four-way stretch Luxtreme™ fabric for a powerfully sleek look and feel.</t>
        </is>
      </c>
      <c r="N843" s="7" t="inlineStr">
        <is>
          <t>Daydrift-High-Rise-Jogger-Regular</t>
        </is>
      </c>
      <c r="O843" s="7" t="inlineStr"/>
    </row>
    <row r="844" ht="80" customHeight="1">
      <c r="A844" s="6">
        <f>IMAGE("https://images.lululemon.com/is/image/lululemon/LW5HBCS_0001_1?wid=320&amp;op_usm=0.8",1)</f>
        <v/>
      </c>
      <c r="B844" s="6" t="inlineStr">
        <is>
          <t>Daydrift High-Rise Jogger *Regular</t>
        </is>
      </c>
      <c r="C844" s="6" t="inlineStr">
        <is>
          <t>156491555</t>
        </is>
      </c>
      <c r="D844" s="6" t="inlineStr">
        <is>
          <t>156491555-black</t>
        </is>
      </c>
      <c r="E844" s="6" t="inlineStr">
        <is>
          <t>Daydrift™ HR Jogger *Regular BLK XS</t>
        </is>
      </c>
      <c r="F844" s="6" t="inlineStr">
        <is>
          <t>$148.00</t>
        </is>
      </c>
      <c r="G844" s="6" t="inlineStr">
        <is>
          <t>$74.00</t>
        </is>
      </c>
      <c r="H844" s="6" t="inlineStr">
        <is>
          <t>Black</t>
        </is>
      </c>
      <c r="I844" s="6">
        <f>IMAGE("https://images.lululemon.com/is/image/lululemon/0001",1)</f>
        <v/>
      </c>
      <c r="J844" s="6" t="inlineStr">
        <is>
          <t>XL</t>
        </is>
      </c>
      <c r="K844" s="6" t="inlineStr">
        <is>
          <t>15/215</t>
        </is>
      </c>
      <c r="L844" s="6" t="inlineStr">
        <is>
          <t>Yes</t>
        </is>
      </c>
      <c r="M844" s="6" t="inlineStr">
        <is>
          <t>Technical meets tailored. These pull-on joggers feature classic design touches and use four-way stretch Luxtreme™ fabric for a powerfully sleek look and feel.</t>
        </is>
      </c>
      <c r="N844" s="6" t="inlineStr">
        <is>
          <t>Daydrift-High-Rise-Jogger-Regular</t>
        </is>
      </c>
      <c r="O844" s="6" t="inlineStr"/>
    </row>
    <row r="845" ht="80" customHeight="1">
      <c r="A845" s="7">
        <f>IMAGE("https://images.lululemon.com/is/image/lululemon/LW7CNIS_071168_1?wid=320&amp;op_usm=0.8",1)</f>
        <v/>
      </c>
      <c r="B845" s="7" t="inlineStr">
        <is>
          <t>Fast and Free High-Rise Short 8" *5 Pocket</t>
        </is>
      </c>
      <c r="C845" s="7" t="inlineStr">
        <is>
          <t>158018674</t>
        </is>
      </c>
      <c r="D845" s="7" t="inlineStr">
        <is>
          <t>158018674-nightmoth</t>
        </is>
      </c>
      <c r="E845" s="7" t="inlineStr">
        <is>
          <t>Fast and Free HR Short 8" *Pockets NIGH 2</t>
        </is>
      </c>
      <c r="F845" s="7" t="inlineStr">
        <is>
          <t>$78.00</t>
        </is>
      </c>
      <c r="G845" s="7" t="inlineStr">
        <is>
          <t>$39.00</t>
        </is>
      </c>
      <c r="H845" s="7" t="inlineStr">
        <is>
          <t>Nightmoth</t>
        </is>
      </c>
      <c r="I845" s="7">
        <f>IMAGE("https://images.lululemon.com/is/image/lululemon/71168",1)</f>
        <v/>
      </c>
      <c r="J845" s="7" t="inlineStr">
        <is>
          <t>2</t>
        </is>
      </c>
      <c r="K845" s="7" t="inlineStr">
        <is>
          <t>26/169</t>
        </is>
      </c>
      <c r="L845" s="7" t="inlineStr">
        <is>
          <t>Yes</t>
        </is>
      </c>
      <c r="M845" s="7" t="inlineStr">
        <is>
          <t>Set your run free. This five-pocket version of our Fast and Free short has seam-free inner thighs and a streamlined waistband to maximize that smooth, weightless feeling.</t>
        </is>
      </c>
      <c r="N845" s="7" t="inlineStr">
        <is>
          <t>Nulux-5-Pocket-High-Rise-Running-Short-8</t>
        </is>
      </c>
      <c r="O845" s="7" t="inlineStr">
        <is>
          <t>Biker Shorts, Athletic Shorts</t>
        </is>
      </c>
    </row>
    <row r="846" ht="80" customHeight="1">
      <c r="A846" s="4">
        <f>IMAGE("https://images.lululemon.com/is/image/lululemon/LW7CNIS_071168_1?wid=320&amp;op_usm=0.8",1)</f>
        <v/>
      </c>
      <c r="B846" s="4" t="inlineStr">
        <is>
          <t>Fast and Free High-Rise Short 8" *5 Pocket</t>
        </is>
      </c>
      <c r="C846" s="4" t="inlineStr">
        <is>
          <t>158018675</t>
        </is>
      </c>
      <c r="D846" s="4" t="inlineStr">
        <is>
          <t>158018675-nightmoth</t>
        </is>
      </c>
      <c r="E846" s="4" t="inlineStr">
        <is>
          <t>Fast and Free HR Short 8" *Pockets NIGH 2</t>
        </is>
      </c>
      <c r="F846" s="4" t="inlineStr">
        <is>
          <t>$78.00</t>
        </is>
      </c>
      <c r="G846" s="4" t="inlineStr">
        <is>
          <t>$39.00</t>
        </is>
      </c>
      <c r="H846" s="4" t="inlineStr">
        <is>
          <t>Nightmoth</t>
        </is>
      </c>
      <c r="I846" s="4">
        <f>IMAGE("https://images.lululemon.com/is/image/lululemon/71168",1)</f>
        <v/>
      </c>
      <c r="J846" s="4" t="inlineStr">
        <is>
          <t>4</t>
        </is>
      </c>
      <c r="K846" s="4" t="inlineStr">
        <is>
          <t>43/169</t>
        </is>
      </c>
      <c r="L846" s="4" t="inlineStr">
        <is>
          <t>Yes</t>
        </is>
      </c>
      <c r="M846" s="4" t="inlineStr">
        <is>
          <t>Set your run free. This five-pocket version of our Fast and Free short has seam-free inner thighs and a streamlined waistband to maximize that smooth, weightless feeling.</t>
        </is>
      </c>
      <c r="N846" s="4" t="inlineStr">
        <is>
          <t>Nulux-5-Pocket-High-Rise-Running-Short-8</t>
        </is>
      </c>
      <c r="O846" s="4" t="inlineStr">
        <is>
          <t>Biker Shorts, Athletic Shorts</t>
        </is>
      </c>
    </row>
    <row r="847" ht="80" customHeight="1">
      <c r="A847" s="7">
        <f>IMAGE("https://images.lululemon.com/is/image/lululemon/LW7CNIS_071168_1?wid=320&amp;op_usm=0.8",1)</f>
        <v/>
      </c>
      <c r="B847" s="7" t="inlineStr">
        <is>
          <t>Fast and Free High-Rise Short 8" *5 Pocket</t>
        </is>
      </c>
      <c r="C847" s="7" t="inlineStr">
        <is>
          <t>158018676</t>
        </is>
      </c>
      <c r="D847" s="7" t="inlineStr">
        <is>
          <t>158018676-nightmoth</t>
        </is>
      </c>
      <c r="E847" s="7" t="inlineStr">
        <is>
          <t>Fast and Free HR Short 8" *Pockets NIGH 2</t>
        </is>
      </c>
      <c r="F847" s="7" t="inlineStr">
        <is>
          <t>$78.00</t>
        </is>
      </c>
      <c r="G847" s="7" t="inlineStr">
        <is>
          <t>$39.00</t>
        </is>
      </c>
      <c r="H847" s="7" t="inlineStr">
        <is>
          <t>Nightmoth</t>
        </is>
      </c>
      <c r="I847" s="7">
        <f>IMAGE("https://images.lululemon.com/is/image/lululemon/71168",1)</f>
        <v/>
      </c>
      <c r="J847" s="7" t="inlineStr">
        <is>
          <t>6</t>
        </is>
      </c>
      <c r="K847" s="7" t="inlineStr">
        <is>
          <t>46/169</t>
        </is>
      </c>
      <c r="L847" s="7" t="inlineStr">
        <is>
          <t>Yes</t>
        </is>
      </c>
      <c r="M847" s="7" t="inlineStr">
        <is>
          <t>Set your run free. This five-pocket version of our Fast and Free short has seam-free inner thighs and a streamlined waistband to maximize that smooth, weightless feeling.</t>
        </is>
      </c>
      <c r="N847" s="7" t="inlineStr">
        <is>
          <t>Nulux-5-Pocket-High-Rise-Running-Short-8</t>
        </is>
      </c>
      <c r="O847" s="7" t="inlineStr">
        <is>
          <t>Biker Shorts, Athletic Shorts</t>
        </is>
      </c>
    </row>
    <row r="848" ht="80" customHeight="1">
      <c r="A848" s="4">
        <f>IMAGE("https://images.lululemon.com/is/image/lululemon/LW7CNIS_071168_1?wid=320&amp;op_usm=0.8",1)</f>
        <v/>
      </c>
      <c r="B848" s="4" t="inlineStr">
        <is>
          <t>Fast and Free High-Rise Short 8" *5 Pocket</t>
        </is>
      </c>
      <c r="C848" s="4" t="inlineStr">
        <is>
          <t>158018677</t>
        </is>
      </c>
      <c r="D848" s="4" t="inlineStr">
        <is>
          <t>158018677-nightmoth</t>
        </is>
      </c>
      <c r="E848" s="4" t="inlineStr">
        <is>
          <t>Fast and Free HR Short 8" *Pockets NIGH 2</t>
        </is>
      </c>
      <c r="F848" s="4" t="inlineStr">
        <is>
          <t>$78.00</t>
        </is>
      </c>
      <c r="G848" s="4" t="inlineStr">
        <is>
          <t>$39.00</t>
        </is>
      </c>
      <c r="H848" s="4" t="inlineStr">
        <is>
          <t>Nightmoth</t>
        </is>
      </c>
      <c r="I848" s="4">
        <f>IMAGE("https://images.lululemon.com/is/image/lululemon/71168",1)</f>
        <v/>
      </c>
      <c r="J848" s="4" t="inlineStr">
        <is>
          <t>8</t>
        </is>
      </c>
      <c r="K848" s="4" t="inlineStr">
        <is>
          <t>37/169</t>
        </is>
      </c>
      <c r="L848" s="4" t="inlineStr">
        <is>
          <t>Yes</t>
        </is>
      </c>
      <c r="M848" s="4" t="inlineStr">
        <is>
          <t>Set your run free. This five-pocket version of our Fast and Free short has seam-free inner thighs and a streamlined waistband to maximize that smooth, weightless feeling.</t>
        </is>
      </c>
      <c r="N848" s="4" t="inlineStr">
        <is>
          <t>Nulux-5-Pocket-High-Rise-Running-Short-8</t>
        </is>
      </c>
      <c r="O848" s="4" t="inlineStr">
        <is>
          <t>Biker Shorts, Athletic Shorts</t>
        </is>
      </c>
    </row>
    <row r="849" ht="80" customHeight="1">
      <c r="A849" s="7">
        <f>IMAGE("https://images.lululemon.com/is/image/lululemon/LW7CNIS_071168_1?wid=320&amp;op_usm=0.8",1)</f>
        <v/>
      </c>
      <c r="B849" s="7" t="inlineStr">
        <is>
          <t>Fast and Free High-Rise Short 8" *5 Pocket</t>
        </is>
      </c>
      <c r="C849" s="7" t="inlineStr">
        <is>
          <t>158018671</t>
        </is>
      </c>
      <c r="D849" s="7" t="inlineStr">
        <is>
          <t>158018671-nightmoth</t>
        </is>
      </c>
      <c r="E849" s="7" t="inlineStr">
        <is>
          <t>Fast and Free HR Short 8" *Pockets NIGH 2</t>
        </is>
      </c>
      <c r="F849" s="7" t="inlineStr">
        <is>
          <t>$78.00</t>
        </is>
      </c>
      <c r="G849" s="7" t="inlineStr">
        <is>
          <t>$39.00</t>
        </is>
      </c>
      <c r="H849" s="7" t="inlineStr">
        <is>
          <t>Nightmoth</t>
        </is>
      </c>
      <c r="I849" s="7">
        <f>IMAGE("https://images.lululemon.com/is/image/lululemon/71168",1)</f>
        <v/>
      </c>
      <c r="J849" s="7" t="inlineStr">
        <is>
          <t>10</t>
        </is>
      </c>
      <c r="K849" s="7" t="inlineStr">
        <is>
          <t>14/169</t>
        </is>
      </c>
      <c r="L849" s="7" t="inlineStr">
        <is>
          <t>Yes</t>
        </is>
      </c>
      <c r="M849" s="7" t="inlineStr">
        <is>
          <t>Set your run free. This five-pocket version of our Fast and Free short has seam-free inner thighs and a streamlined waistband to maximize that smooth, weightless feeling.</t>
        </is>
      </c>
      <c r="N849" s="7" t="inlineStr">
        <is>
          <t>Nulux-5-Pocket-High-Rise-Running-Short-8</t>
        </is>
      </c>
      <c r="O849" s="7" t="inlineStr">
        <is>
          <t>Biker Shorts, Athletic Shorts</t>
        </is>
      </c>
    </row>
    <row r="850" ht="80" customHeight="1">
      <c r="A850" s="6">
        <f>IMAGE("https://images.lululemon.com/is/image/lululemon/LW7CNIS_071168_1?wid=320&amp;op_usm=0.8",1)</f>
        <v/>
      </c>
      <c r="B850" s="6" t="inlineStr">
        <is>
          <t>Fast and Free High-Rise Short 8" *5 Pocket</t>
        </is>
      </c>
      <c r="C850" s="6" t="inlineStr">
        <is>
          <t>158018672</t>
        </is>
      </c>
      <c r="D850" s="6" t="inlineStr">
        <is>
          <t>158018672-nightmoth</t>
        </is>
      </c>
      <c r="E850" s="6" t="inlineStr">
        <is>
          <t>Fast and Free HR Short 8" *Pockets NIGH 2</t>
        </is>
      </c>
      <c r="F850" s="6" t="inlineStr">
        <is>
          <t>$78.00</t>
        </is>
      </c>
      <c r="G850" s="6" t="inlineStr">
        <is>
          <t>$39.00</t>
        </is>
      </c>
      <c r="H850" s="6" t="inlineStr">
        <is>
          <t>Nightmoth</t>
        </is>
      </c>
      <c r="I850" s="6">
        <f>IMAGE("https://images.lululemon.com/is/image/lululemon/71168",1)</f>
        <v/>
      </c>
      <c r="J850" s="6" t="inlineStr">
        <is>
          <t>12</t>
        </is>
      </c>
      <c r="K850" s="6" t="inlineStr">
        <is>
          <t>3/169</t>
        </is>
      </c>
      <c r="L850" s="6" t="inlineStr">
        <is>
          <t>Yes</t>
        </is>
      </c>
      <c r="M850" s="6" t="inlineStr">
        <is>
          <t>Set your run free. This five-pocket version of our Fast and Free short has seam-free inner thighs and a streamlined waistband to maximize that smooth, weightless feeling.</t>
        </is>
      </c>
      <c r="N850" s="6" t="inlineStr">
        <is>
          <t>Nulux-5-Pocket-High-Rise-Running-Short-8</t>
        </is>
      </c>
      <c r="O850" s="6" t="inlineStr">
        <is>
          <t>Biker Shorts, Athletic Shorts</t>
        </is>
      </c>
    </row>
    <row r="851" ht="80" customHeight="1">
      <c r="A851" s="7">
        <f>IMAGE("https://images.lululemon.com/is/image/lululemon/LW7DITS_069299_1?wid=320&amp;op_usm=0.8",1)</f>
        <v/>
      </c>
      <c r="B851" s="7" t="inlineStr">
        <is>
          <t>Velvet Terry Slim-Fit High-Rise Short 2"</t>
        </is>
      </c>
      <c r="C851" s="7" t="inlineStr">
        <is>
          <t>157682657</t>
        </is>
      </c>
      <c r="D851" s="7" t="inlineStr">
        <is>
          <t>157682657-clubblue/clubblue</t>
        </is>
      </c>
      <c r="E851" s="7" t="inlineStr">
        <is>
          <t>Velvet Terry Slim-Fit HR Short 2" CLBL/CLBL XS</t>
        </is>
      </c>
      <c r="F851" s="7" t="inlineStr">
        <is>
          <t>$78.00</t>
        </is>
      </c>
      <c r="G851" s="7" t="inlineStr">
        <is>
          <t>$39.00</t>
        </is>
      </c>
      <c r="H851" s="7" t="inlineStr">
        <is>
          <t>Club Blue/Club Blue</t>
        </is>
      </c>
      <c r="I851" s="7">
        <f>IMAGE("https://images.lululemon.com/is/image/lululemon/69299",1)</f>
        <v/>
      </c>
      <c r="J851" s="7" t="inlineStr">
        <is>
          <t>XS</t>
        </is>
      </c>
      <c r="K851" s="7" t="inlineStr">
        <is>
          <t>3/131</t>
        </is>
      </c>
      <c r="L851" s="7" t="inlineStr">
        <is>
          <t>Yes</t>
        </is>
      </c>
      <c r="M851" s="7" t="inlineStr">
        <is>
          <t>Stay cozy and comfy on the  court (or couch) in these  velvet terry shorts. Team them  with the matching polo for a  coordinated warm-up look.</t>
        </is>
      </c>
      <c r="N851" s="7" t="inlineStr">
        <is>
          <t>Velvet-Terry-Slim-Fit-High-Rise-Short-2</t>
        </is>
      </c>
      <c r="O851" s="7" t="inlineStr">
        <is>
          <t>Athletic Shorts, Sweat Shorts</t>
        </is>
      </c>
    </row>
    <row r="852" ht="80" customHeight="1">
      <c r="A852" s="4">
        <f>IMAGE("https://images.lululemon.com/is/image/lululemon/LW7DITS_069299_1?wid=320&amp;op_usm=0.8",1)</f>
        <v/>
      </c>
      <c r="B852" s="4" t="inlineStr">
        <is>
          <t>Velvet Terry Slim-Fit High-Rise Short 2"</t>
        </is>
      </c>
      <c r="C852" s="4" t="inlineStr">
        <is>
          <t>157682645</t>
        </is>
      </c>
      <c r="D852" s="4" t="inlineStr">
        <is>
          <t>157682645-clubblue/clubblue</t>
        </is>
      </c>
      <c r="E852" s="4" t="inlineStr">
        <is>
          <t>Velvet Terry Slim-Fit HR Short 2" CLBL/CLBL XS</t>
        </is>
      </c>
      <c r="F852" s="4" t="inlineStr">
        <is>
          <t>$78.00</t>
        </is>
      </c>
      <c r="G852" s="4" t="inlineStr">
        <is>
          <t>$39.00</t>
        </is>
      </c>
      <c r="H852" s="4" t="inlineStr">
        <is>
          <t>Club Blue/Club Blue</t>
        </is>
      </c>
      <c r="I852" s="4">
        <f>IMAGE("https://images.lululemon.com/is/image/lululemon/69299",1)</f>
        <v/>
      </c>
      <c r="J852" s="4" t="inlineStr">
        <is>
          <t>S</t>
        </is>
      </c>
      <c r="K852" s="4" t="inlineStr">
        <is>
          <t>22/131</t>
        </is>
      </c>
      <c r="L852" s="4" t="inlineStr">
        <is>
          <t>Yes</t>
        </is>
      </c>
      <c r="M852" s="4" t="inlineStr">
        <is>
          <t>Stay cozy and comfy on the  court (or couch) in these  velvet terry shorts. Team them  with the matching polo for a  coordinated warm-up look.</t>
        </is>
      </c>
      <c r="N852" s="4" t="inlineStr">
        <is>
          <t>Velvet-Terry-Slim-Fit-High-Rise-Short-2</t>
        </is>
      </c>
      <c r="O852" s="4" t="inlineStr">
        <is>
          <t>Athletic Shorts, Sweat Shorts</t>
        </is>
      </c>
    </row>
    <row r="853" ht="80" customHeight="1">
      <c r="A853" s="7">
        <f>IMAGE("https://images.lululemon.com/is/image/lululemon/LW7DITS_069299_1?wid=320&amp;op_usm=0.8",1)</f>
        <v/>
      </c>
      <c r="B853" s="7" t="inlineStr">
        <is>
          <t>Velvet Terry Slim-Fit High-Rise Short 2"</t>
        </is>
      </c>
      <c r="C853" s="7" t="inlineStr">
        <is>
          <t>157682638</t>
        </is>
      </c>
      <c r="D853" s="7" t="inlineStr">
        <is>
          <t>157682638-clubblue/clubblue</t>
        </is>
      </c>
      <c r="E853" s="7" t="inlineStr">
        <is>
          <t>Velvet Terry Slim-Fit HR Short 2" CLBL/CLBL XS</t>
        </is>
      </c>
      <c r="F853" s="7" t="inlineStr">
        <is>
          <t>$78.00</t>
        </is>
      </c>
      <c r="G853" s="7" t="inlineStr">
        <is>
          <t>$39.00</t>
        </is>
      </c>
      <c r="H853" s="7" t="inlineStr">
        <is>
          <t>Club Blue/Club Blue</t>
        </is>
      </c>
      <c r="I853" s="7">
        <f>IMAGE("https://images.lululemon.com/is/image/lululemon/69299",1)</f>
        <v/>
      </c>
      <c r="J853" s="7" t="inlineStr">
        <is>
          <t>M</t>
        </is>
      </c>
      <c r="K853" s="7" t="inlineStr">
        <is>
          <t>30/131</t>
        </is>
      </c>
      <c r="L853" s="7" t="inlineStr">
        <is>
          <t>Yes</t>
        </is>
      </c>
      <c r="M853" s="7" t="inlineStr">
        <is>
          <t>Stay cozy and comfy on the  court (or couch) in these  velvet terry shorts. Team them  with the matching polo for a  coordinated warm-up look.</t>
        </is>
      </c>
      <c r="N853" s="7" t="inlineStr">
        <is>
          <t>Velvet-Terry-Slim-Fit-High-Rise-Short-2</t>
        </is>
      </c>
      <c r="O853" s="7" t="inlineStr">
        <is>
          <t>Athletic Shorts, Sweat Shorts</t>
        </is>
      </c>
    </row>
    <row r="854" ht="80" customHeight="1">
      <c r="A854" s="4">
        <f>IMAGE("https://images.lululemon.com/is/image/lululemon/LW7DITS_069299_1?wid=320&amp;op_usm=0.8",1)</f>
        <v/>
      </c>
      <c r="B854" s="4" t="inlineStr">
        <is>
          <t>Velvet Terry Slim-Fit High-Rise Short 2"</t>
        </is>
      </c>
      <c r="C854" s="4" t="inlineStr">
        <is>
          <t>157682631</t>
        </is>
      </c>
      <c r="D854" s="4" t="inlineStr">
        <is>
          <t>157682631-clubblue/clubblue</t>
        </is>
      </c>
      <c r="E854" s="4" t="inlineStr">
        <is>
          <t>Velvet Terry Slim-Fit HR Short 2" CLBL/CLBL XS</t>
        </is>
      </c>
      <c r="F854" s="4" t="inlineStr">
        <is>
          <t>$78.00</t>
        </is>
      </c>
      <c r="G854" s="4" t="inlineStr">
        <is>
          <t>$39.00</t>
        </is>
      </c>
      <c r="H854" s="4" t="inlineStr">
        <is>
          <t>Club Blue/Club Blue</t>
        </is>
      </c>
      <c r="I854" s="4">
        <f>IMAGE("https://images.lululemon.com/is/image/lululemon/69299",1)</f>
        <v/>
      </c>
      <c r="J854" s="4" t="inlineStr">
        <is>
          <t>L</t>
        </is>
      </c>
      <c r="K854" s="4" t="inlineStr">
        <is>
          <t>41/131</t>
        </is>
      </c>
      <c r="L854" s="4" t="inlineStr">
        <is>
          <t>Yes</t>
        </is>
      </c>
      <c r="M854" s="4" t="inlineStr">
        <is>
          <t>Stay cozy and comfy on the  court (or couch) in these  velvet terry shorts. Team them  with the matching polo for a  coordinated warm-up look.</t>
        </is>
      </c>
      <c r="N854" s="4" t="inlineStr">
        <is>
          <t>Velvet-Terry-Slim-Fit-High-Rise-Short-2</t>
        </is>
      </c>
      <c r="O854" s="4" t="inlineStr">
        <is>
          <t>Athletic Shorts, Sweat Shorts</t>
        </is>
      </c>
    </row>
    <row r="855" ht="80" customHeight="1">
      <c r="A855" s="5">
        <f>IMAGE("https://images.lululemon.com/is/image/lululemon/LW7DITS_069299_1?wid=320&amp;op_usm=0.8",1)</f>
        <v/>
      </c>
      <c r="B855" s="5" t="inlineStr">
        <is>
          <t>Velvet Terry Slim-Fit High-Rise Short 2"</t>
        </is>
      </c>
      <c r="C855" s="5" t="inlineStr">
        <is>
          <t>157682651</t>
        </is>
      </c>
      <c r="D855" s="5" t="inlineStr">
        <is>
          <t>157682651-clubblue/clubblue</t>
        </is>
      </c>
      <c r="E855" s="5" t="inlineStr">
        <is>
          <t>Velvet Terry Slim-Fit HR Short 2" CLBL/CLBL XS</t>
        </is>
      </c>
      <c r="F855" s="5" t="inlineStr">
        <is>
          <t>$78.00</t>
        </is>
      </c>
      <c r="G855" s="5" t="inlineStr">
        <is>
          <t>$39.00</t>
        </is>
      </c>
      <c r="H855" s="5" t="inlineStr">
        <is>
          <t>Club Blue/Club Blue</t>
        </is>
      </c>
      <c r="I855" s="5">
        <f>IMAGE("https://images.lululemon.com/is/image/lululemon/69299",1)</f>
        <v/>
      </c>
      <c r="J855" s="5" t="inlineStr">
        <is>
          <t>XL</t>
        </is>
      </c>
      <c r="K855" s="5" t="inlineStr">
        <is>
          <t>35/131</t>
        </is>
      </c>
      <c r="L855" s="5" t="inlineStr">
        <is>
          <t>Yes</t>
        </is>
      </c>
      <c r="M855" s="5" t="inlineStr">
        <is>
          <t>Stay cozy and comfy on the  court (or couch) in these  velvet terry shorts. Team them  with the matching polo for a  coordinated warm-up look.</t>
        </is>
      </c>
      <c r="N855" s="5" t="inlineStr">
        <is>
          <t>Velvet-Terry-Slim-Fit-High-Rise-Short-2</t>
        </is>
      </c>
      <c r="O855" s="5" t="inlineStr">
        <is>
          <t>Athletic Shorts, Sweat Shorts</t>
        </is>
      </c>
    </row>
    <row r="856" ht="80" customHeight="1">
      <c r="A856" s="4">
        <f>IMAGE("https://images.lululemon.com/is/image/lululemon/LW1FQ4S_0001_1?wid=320&amp;op_usm=0.8",1)</f>
        <v/>
      </c>
      <c r="B856" s="4" t="inlineStr">
        <is>
          <t>Wunder Train Racerback Tank Top *Medium Support, B/C Cup</t>
        </is>
      </c>
      <c r="C856" s="4" t="inlineStr">
        <is>
          <t>158019702</t>
        </is>
      </c>
      <c r="D856" s="4" t="inlineStr">
        <is>
          <t>158019702-faintlavender</t>
        </is>
      </c>
      <c r="E856" s="4" t="inlineStr">
        <is>
          <t>Wunder Train Racerback Tank FTLV 2</t>
        </is>
      </c>
      <c r="F856" s="4" t="inlineStr">
        <is>
          <t>$68.00</t>
        </is>
      </c>
      <c r="G856" s="4" t="inlineStr">
        <is>
          <t>$34.00</t>
        </is>
      </c>
      <c r="H856" s="4" t="inlineStr">
        <is>
          <t>Faint Lavender</t>
        </is>
      </c>
      <c r="I856" s="4">
        <f>IMAGE("https://images.lululemon.com/is/image/lululemon/32650",1)</f>
        <v/>
      </c>
      <c r="J856" s="4" t="inlineStr">
        <is>
          <t>2</t>
        </is>
      </c>
      <c r="K856" s="4" t="inlineStr">
        <is>
          <t>37/479</t>
        </is>
      </c>
      <c r="L856" s="4" t="inlineStr">
        <is>
          <t>Yes</t>
        </is>
      </c>
      <c r="M856" s="4" t="inlineStr">
        <is>
          <t>Cut from highly breathable Everlux™ fabric, this tank features a narrow racerback for freedom of movement and sleek coverage across the chest, neckline, and front armholes.</t>
        </is>
      </c>
      <c r="N856" s="4" t="inlineStr">
        <is>
          <t>Wunder-Train-Racerback-Tank-Top-Medium-Support-BC</t>
        </is>
      </c>
      <c r="O856" s="4" t="inlineStr"/>
    </row>
    <row r="857" ht="80" customHeight="1">
      <c r="A857" s="7">
        <f>IMAGE("https://images.lululemon.com/is/image/lululemon/LW1FQ4S_0001_1?wid=320&amp;op_usm=0.8",1)</f>
        <v/>
      </c>
      <c r="B857" s="7" t="inlineStr">
        <is>
          <t>Wunder Train Racerback Tank Top *Medium Support, B/C Cup</t>
        </is>
      </c>
      <c r="C857" s="7" t="inlineStr">
        <is>
          <t>158019715</t>
        </is>
      </c>
      <c r="D857" s="7" t="inlineStr">
        <is>
          <t>158019715-faintlavender</t>
        </is>
      </c>
      <c r="E857" s="7" t="inlineStr">
        <is>
          <t>Wunder Train Racerback Tank FTLV 2</t>
        </is>
      </c>
      <c r="F857" s="7" t="inlineStr">
        <is>
          <t>$68.00</t>
        </is>
      </c>
      <c r="G857" s="7" t="inlineStr">
        <is>
          <t>$34.00</t>
        </is>
      </c>
      <c r="H857" s="7" t="inlineStr">
        <is>
          <t>Faint Lavender</t>
        </is>
      </c>
      <c r="I857" s="7">
        <f>IMAGE("https://images.lululemon.com/is/image/lululemon/32650",1)</f>
        <v/>
      </c>
      <c r="J857" s="7" t="inlineStr">
        <is>
          <t>4</t>
        </is>
      </c>
      <c r="K857" s="7" t="inlineStr">
        <is>
          <t>99/479</t>
        </is>
      </c>
      <c r="L857" s="7" t="inlineStr">
        <is>
          <t>Yes</t>
        </is>
      </c>
      <c r="M857" s="7" t="inlineStr">
        <is>
          <t>Cut from highly breathable Everlux™ fabric, this tank features a narrow racerback for freedom of movement and sleek coverage across the chest, neckline, and front armholes.</t>
        </is>
      </c>
      <c r="N857" s="7" t="inlineStr">
        <is>
          <t>Wunder-Train-Racerback-Tank-Top-Medium-Support-BC</t>
        </is>
      </c>
      <c r="O857" s="7" t="inlineStr"/>
    </row>
    <row r="858" ht="80" customHeight="1">
      <c r="A858" s="4">
        <f>IMAGE("https://images.lululemon.com/is/image/lululemon/LW1FQ4S_0001_1?wid=320&amp;op_usm=0.8",1)</f>
        <v/>
      </c>
      <c r="B858" s="4" t="inlineStr">
        <is>
          <t>Wunder Train Racerback Tank Top *Medium Support, B/C Cup</t>
        </is>
      </c>
      <c r="C858" s="4" t="inlineStr">
        <is>
          <t>158019729</t>
        </is>
      </c>
      <c r="D858" s="4" t="inlineStr">
        <is>
          <t>158019729-faintlavender</t>
        </is>
      </c>
      <c r="E858" s="4" t="inlineStr">
        <is>
          <t>Wunder Train Racerback Tank FTLV 2</t>
        </is>
      </c>
      <c r="F858" s="4" t="inlineStr">
        <is>
          <t>$68.00</t>
        </is>
      </c>
      <c r="G858" s="4" t="inlineStr">
        <is>
          <t>$34.00</t>
        </is>
      </c>
      <c r="H858" s="4" t="inlineStr">
        <is>
          <t>Faint Lavender</t>
        </is>
      </c>
      <c r="I858" s="4">
        <f>IMAGE("https://images.lululemon.com/is/image/lululemon/32650",1)</f>
        <v/>
      </c>
      <c r="J858" s="4" t="inlineStr">
        <is>
          <t>6</t>
        </is>
      </c>
      <c r="K858" s="4" t="inlineStr">
        <is>
          <t>119/479</t>
        </is>
      </c>
      <c r="L858" s="4" t="inlineStr">
        <is>
          <t>Yes</t>
        </is>
      </c>
      <c r="M858" s="4" t="inlineStr">
        <is>
          <t>Cut from highly breathable Everlux™ fabric, this tank features a narrow racerback for freedom of movement and sleek coverage across the chest, neckline, and front armholes.</t>
        </is>
      </c>
      <c r="N858" s="4" t="inlineStr">
        <is>
          <t>Wunder-Train-Racerback-Tank-Top-Medium-Support-BC</t>
        </is>
      </c>
      <c r="O858" s="4" t="inlineStr"/>
    </row>
    <row r="859" ht="80" customHeight="1">
      <c r="A859" s="7">
        <f>IMAGE("https://images.lululemon.com/is/image/lululemon/LW1FQ4S_0001_1?wid=320&amp;op_usm=0.8",1)</f>
        <v/>
      </c>
      <c r="B859" s="7" t="inlineStr">
        <is>
          <t>Wunder Train Racerback Tank Top *Medium Support, B/C Cup</t>
        </is>
      </c>
      <c r="C859" s="7" t="inlineStr">
        <is>
          <t>158019746</t>
        </is>
      </c>
      <c r="D859" s="7" t="inlineStr">
        <is>
          <t>158019746-faintlavender</t>
        </is>
      </c>
      <c r="E859" s="7" t="inlineStr">
        <is>
          <t>Wunder Train Racerback Tank FTLV 2</t>
        </is>
      </c>
      <c r="F859" s="7" t="inlineStr">
        <is>
          <t>$68.00</t>
        </is>
      </c>
      <c r="G859" s="7" t="inlineStr">
        <is>
          <t>$34.00</t>
        </is>
      </c>
      <c r="H859" s="7" t="inlineStr">
        <is>
          <t>Faint Lavender</t>
        </is>
      </c>
      <c r="I859" s="7">
        <f>IMAGE("https://images.lululemon.com/is/image/lululemon/32650",1)</f>
        <v/>
      </c>
      <c r="J859" s="7" t="inlineStr">
        <is>
          <t>8</t>
        </is>
      </c>
      <c r="K859" s="7" t="inlineStr">
        <is>
          <t>91/479</t>
        </is>
      </c>
      <c r="L859" s="7" t="inlineStr">
        <is>
          <t>Yes</t>
        </is>
      </c>
      <c r="M859" s="7" t="inlineStr">
        <is>
          <t>Cut from highly breathable Everlux™ fabric, this tank features a narrow racerback for freedom of movement and sleek coverage across the chest, neckline, and front armholes.</t>
        </is>
      </c>
      <c r="N859" s="7" t="inlineStr">
        <is>
          <t>Wunder-Train-Racerback-Tank-Top-Medium-Support-BC</t>
        </is>
      </c>
      <c r="O859" s="7" t="inlineStr"/>
    </row>
    <row r="860" ht="80" customHeight="1">
      <c r="A860" s="4">
        <f>IMAGE("https://images.lululemon.com/is/image/lululemon/LW1FQ4S_0001_1?wid=320&amp;op_usm=0.8",1)</f>
        <v/>
      </c>
      <c r="B860" s="4" t="inlineStr">
        <is>
          <t>Wunder Train Racerback Tank Top *Medium Support, B/C Cup</t>
        </is>
      </c>
      <c r="C860" s="4" t="inlineStr">
        <is>
          <t>158019672</t>
        </is>
      </c>
      <c r="D860" s="4" t="inlineStr">
        <is>
          <t>158019672-faintlavender</t>
        </is>
      </c>
      <c r="E860" s="4" t="inlineStr">
        <is>
          <t>Wunder Train Racerback Tank FTLV 2</t>
        </is>
      </c>
      <c r="F860" s="4" t="inlineStr">
        <is>
          <t>$68.00</t>
        </is>
      </c>
      <c r="G860" s="4" t="inlineStr">
        <is>
          <t>$34.00</t>
        </is>
      </c>
      <c r="H860" s="4" t="inlineStr">
        <is>
          <t>Faint Lavender</t>
        </is>
      </c>
      <c r="I860" s="4">
        <f>IMAGE("https://images.lululemon.com/is/image/lululemon/32650",1)</f>
        <v/>
      </c>
      <c r="J860" s="4" t="inlineStr">
        <is>
          <t>10</t>
        </is>
      </c>
      <c r="K860" s="4" t="inlineStr">
        <is>
          <t>50/479</t>
        </is>
      </c>
      <c r="L860" s="4" t="inlineStr">
        <is>
          <t>Yes</t>
        </is>
      </c>
      <c r="M860" s="4" t="inlineStr">
        <is>
          <t>Cut from highly breathable Everlux™ fabric, this tank features a narrow racerback for freedom of movement and sleek coverage across the chest, neckline, and front armholes.</t>
        </is>
      </c>
      <c r="N860" s="4" t="inlineStr">
        <is>
          <t>Wunder-Train-Racerback-Tank-Top-Medium-Support-BC</t>
        </is>
      </c>
      <c r="O860" s="4" t="inlineStr"/>
    </row>
    <row r="861" ht="80" customHeight="1">
      <c r="A861" s="7">
        <f>IMAGE("https://images.lululemon.com/is/image/lululemon/LW1FQ4S_0001_1?wid=320&amp;op_usm=0.8",1)</f>
        <v/>
      </c>
      <c r="B861" s="7" t="inlineStr">
        <is>
          <t>Wunder Train Racerback Tank Top *Medium Support, B/C Cup</t>
        </is>
      </c>
      <c r="C861" s="7" t="inlineStr">
        <is>
          <t>158019684</t>
        </is>
      </c>
      <c r="D861" s="7" t="inlineStr">
        <is>
          <t>158019684-faintlavender</t>
        </is>
      </c>
      <c r="E861" s="7" t="inlineStr">
        <is>
          <t>Wunder Train Racerback Tank FTLV 2</t>
        </is>
      </c>
      <c r="F861" s="7" t="inlineStr">
        <is>
          <t>$68.00</t>
        </is>
      </c>
      <c r="G861" s="7" t="inlineStr">
        <is>
          <t>$34.00</t>
        </is>
      </c>
      <c r="H861" s="7" t="inlineStr">
        <is>
          <t>Faint Lavender</t>
        </is>
      </c>
      <c r="I861" s="7">
        <f>IMAGE("https://images.lululemon.com/is/image/lululemon/32650",1)</f>
        <v/>
      </c>
      <c r="J861" s="7" t="inlineStr">
        <is>
          <t>12</t>
        </is>
      </c>
      <c r="K861" s="7" t="inlineStr">
        <is>
          <t>29/479</t>
        </is>
      </c>
      <c r="L861" s="7" t="inlineStr">
        <is>
          <t>Yes</t>
        </is>
      </c>
      <c r="M861" s="7" t="inlineStr">
        <is>
          <t>Cut from highly breathable Everlux™ fabric, this tank features a narrow racerback for freedom of movement and sleek coverage across the chest, neckline, and front armholes.</t>
        </is>
      </c>
      <c r="N861" s="7" t="inlineStr">
        <is>
          <t>Wunder-Train-Racerback-Tank-Top-Medium-Support-BC</t>
        </is>
      </c>
      <c r="O861" s="7" t="inlineStr"/>
    </row>
    <row r="862" ht="80" customHeight="1">
      <c r="A862" s="4">
        <f>IMAGE("https://images.lululemon.com/is/image/lululemon/LW1FQ4S_0001_1?wid=320&amp;op_usm=0.8",1)</f>
        <v/>
      </c>
      <c r="B862" s="4" t="inlineStr">
        <is>
          <t>Wunder Train Racerback Tank Top *Medium Support, B/C Cup</t>
        </is>
      </c>
      <c r="C862" s="4" t="inlineStr">
        <is>
          <t>155784276</t>
        </is>
      </c>
      <c r="D862" s="4" t="inlineStr">
        <is>
          <t>155784276-black</t>
        </is>
      </c>
      <c r="E862" s="4" t="inlineStr">
        <is>
          <t>Wunder Train Racerback Tank FTLV 2</t>
        </is>
      </c>
      <c r="F862" s="4" t="inlineStr">
        <is>
          <t>$68.00</t>
        </is>
      </c>
      <c r="G862" s="4" t="inlineStr">
        <is>
          <t>$34.00</t>
        </is>
      </c>
      <c r="H862" s="4" t="inlineStr">
        <is>
          <t>Black</t>
        </is>
      </c>
      <c r="I862" s="4">
        <f>IMAGE("https://images.lululemon.com/is/image/lululemon/0001",1)</f>
        <v/>
      </c>
      <c r="J862" s="4" t="inlineStr">
        <is>
          <t>2</t>
        </is>
      </c>
      <c r="K862" s="4" t="inlineStr">
        <is>
          <t>2/479</t>
        </is>
      </c>
      <c r="L862" s="4" t="inlineStr">
        <is>
          <t>Yes</t>
        </is>
      </c>
      <c r="M862" s="4" t="inlineStr">
        <is>
          <t>Cut from highly breathable Everlux™ fabric, this tank features a narrow racerback for freedom of movement and sleek coverage across the chest, neckline, and front armholes.</t>
        </is>
      </c>
      <c r="N862" s="4" t="inlineStr">
        <is>
          <t>Wunder-Train-Racerback-Tank-Top-Medium-Support-BC</t>
        </is>
      </c>
      <c r="O862" s="4" t="inlineStr"/>
    </row>
    <row r="863" ht="80" customHeight="1">
      <c r="A863" s="7">
        <f>IMAGE("https://images.lululemon.com/is/image/lululemon/LW1FQ4S_0001_1?wid=320&amp;op_usm=0.8",1)</f>
        <v/>
      </c>
      <c r="B863" s="7" t="inlineStr">
        <is>
          <t>Wunder Train Racerback Tank Top *Medium Support, B/C Cup</t>
        </is>
      </c>
      <c r="C863" s="7" t="inlineStr">
        <is>
          <t>155784323</t>
        </is>
      </c>
      <c r="D863" s="7" t="inlineStr">
        <is>
          <t>155784323-black</t>
        </is>
      </c>
      <c r="E863" s="7" t="inlineStr">
        <is>
          <t>Wunder Train Racerback Tank FTLV 2</t>
        </is>
      </c>
      <c r="F863" s="7" t="inlineStr">
        <is>
          <t>$68.00</t>
        </is>
      </c>
      <c r="G863" s="7" t="inlineStr">
        <is>
          <t>$34.00</t>
        </is>
      </c>
      <c r="H863" s="7" t="inlineStr">
        <is>
          <t>Black</t>
        </is>
      </c>
      <c r="I863" s="7">
        <f>IMAGE("https://images.lululemon.com/is/image/lululemon/0001",1)</f>
        <v/>
      </c>
      <c r="J863" s="7" t="inlineStr">
        <is>
          <t>4</t>
        </is>
      </c>
      <c r="K863" s="7" t="inlineStr">
        <is>
          <t>10/479</t>
        </is>
      </c>
      <c r="L863" s="7" t="inlineStr">
        <is>
          <t>Yes</t>
        </is>
      </c>
      <c r="M863" s="7" t="inlineStr">
        <is>
          <t>Cut from highly breathable Everlux™ fabric, this tank features a narrow racerback for freedom of movement and sleek coverage across the chest, neckline, and front armholes.</t>
        </is>
      </c>
      <c r="N863" s="7" t="inlineStr">
        <is>
          <t>Wunder-Train-Racerback-Tank-Top-Medium-Support-BC</t>
        </is>
      </c>
      <c r="O863" s="7" t="inlineStr"/>
    </row>
    <row r="864" ht="80" customHeight="1">
      <c r="A864" s="4">
        <f>IMAGE("https://images.lululemon.com/is/image/lululemon/LW1FQ4S_0001_1?wid=320&amp;op_usm=0.8",1)</f>
        <v/>
      </c>
      <c r="B864" s="4" t="inlineStr">
        <is>
          <t>Wunder Train Racerback Tank Top *Medium Support, B/C Cup</t>
        </is>
      </c>
      <c r="C864" s="4" t="inlineStr">
        <is>
          <t>155784224</t>
        </is>
      </c>
      <c r="D864" s="4" t="inlineStr">
        <is>
          <t>155784224-black</t>
        </is>
      </c>
      <c r="E864" s="4" t="inlineStr">
        <is>
          <t>Wunder Train Racerback Tank FTLV 2</t>
        </is>
      </c>
      <c r="F864" s="4" t="inlineStr">
        <is>
          <t>$68.00</t>
        </is>
      </c>
      <c r="G864" s="4" t="inlineStr">
        <is>
          <t>$34.00</t>
        </is>
      </c>
      <c r="H864" s="4" t="inlineStr">
        <is>
          <t>Black</t>
        </is>
      </c>
      <c r="I864" s="4">
        <f>IMAGE("https://images.lululemon.com/is/image/lululemon/0001",1)</f>
        <v/>
      </c>
      <c r="J864" s="4" t="inlineStr">
        <is>
          <t>10</t>
        </is>
      </c>
      <c r="K864" s="4" t="inlineStr">
        <is>
          <t>18/479</t>
        </is>
      </c>
      <c r="L864" s="4" t="inlineStr">
        <is>
          <t>Yes</t>
        </is>
      </c>
      <c r="M864" s="4" t="inlineStr">
        <is>
          <t>Cut from highly breathable Everlux™ fabric, this tank features a narrow racerback for freedom of movement and sleek coverage across the chest, neckline, and front armholes.</t>
        </is>
      </c>
      <c r="N864" s="4" t="inlineStr">
        <is>
          <t>Wunder-Train-Racerback-Tank-Top-Medium-Support-BC</t>
        </is>
      </c>
      <c r="O864" s="4" t="inlineStr"/>
    </row>
    <row r="865" ht="80" customHeight="1">
      <c r="A865" s="5">
        <f>IMAGE("https://images.lululemon.com/is/image/lululemon/LW1FQ4S_0001_1?wid=320&amp;op_usm=0.8",1)</f>
        <v/>
      </c>
      <c r="B865" s="5" t="inlineStr">
        <is>
          <t>Wunder Train Racerback Tank Top *Medium Support, B/C Cup</t>
        </is>
      </c>
      <c r="C865" s="5" t="inlineStr">
        <is>
          <t>155784235</t>
        </is>
      </c>
      <c r="D865" s="5" t="inlineStr">
        <is>
          <t>155784235-black</t>
        </is>
      </c>
      <c r="E865" s="5" t="inlineStr">
        <is>
          <t>Wunder Train Racerback Tank FTLV 2</t>
        </is>
      </c>
      <c r="F865" s="5" t="inlineStr">
        <is>
          <t>$68.00</t>
        </is>
      </c>
      <c r="G865" s="5" t="inlineStr">
        <is>
          <t>$34.00</t>
        </is>
      </c>
      <c r="H865" s="5" t="inlineStr">
        <is>
          <t>Black</t>
        </is>
      </c>
      <c r="I865" s="5">
        <f>IMAGE("https://images.lululemon.com/is/image/lululemon/0001",1)</f>
        <v/>
      </c>
      <c r="J865" s="5" t="inlineStr">
        <is>
          <t>12</t>
        </is>
      </c>
      <c r="K865" s="5" t="inlineStr">
        <is>
          <t>24/479</t>
        </is>
      </c>
      <c r="L865" s="5" t="inlineStr">
        <is>
          <t>Yes</t>
        </is>
      </c>
      <c r="M865" s="5" t="inlineStr">
        <is>
          <t>Cut from highly breathable Everlux™ fabric, this tank features a narrow racerback for freedom of movement and sleek coverage across the chest, neckline, and front armholes.</t>
        </is>
      </c>
      <c r="N865" s="5" t="inlineStr">
        <is>
          <t>Wunder-Train-Racerback-Tank-Top-Medium-Support-BC</t>
        </is>
      </c>
      <c r="O865" s="5" t="inlineStr"/>
    </row>
    <row r="866" ht="80" customHeight="1">
      <c r="A866" s="4">
        <f>IMAGE("https://images.lululemon.com/is/image/lululemon/LW3IG8S_032493_1?wid=320&amp;op_usm=0.8",1)</f>
        <v/>
      </c>
      <c r="B866" s="4" t="inlineStr">
        <is>
          <t>Scuba Oversized Funnel-Neck Half Zip *Long</t>
        </is>
      </c>
      <c r="C866" s="4" t="inlineStr">
        <is>
          <t>154834894</t>
        </is>
      </c>
      <c r="D866" s="4" t="inlineStr">
        <is>
          <t>154834894-heatheredcoreultralightgrey</t>
        </is>
      </c>
      <c r="E866" s="4" t="inlineStr">
        <is>
          <t>Scuba Oversized Funnel Neck Half Zip HCUG XS/S</t>
        </is>
      </c>
      <c r="F866" s="4" t="inlineStr">
        <is>
          <t>$128.00</t>
        </is>
      </c>
      <c r="G866" s="4" t="inlineStr">
        <is>
          <t>$64.00</t>
        </is>
      </c>
      <c r="H866" s="4" t="inlineStr">
        <is>
          <t>Heathered Core Ultra Light Grey</t>
        </is>
      </c>
      <c r="I866" s="4">
        <f>IMAGE("https://images.lululemon.com/is/image/lululemon/32493",1)</f>
        <v/>
      </c>
      <c r="J866" s="4" t="inlineStr">
        <is>
          <t>XS/S</t>
        </is>
      </c>
      <c r="K866" s="4" t="inlineStr">
        <is>
          <t>116/12367</t>
        </is>
      </c>
      <c r="L866" s="4" t="inlineStr">
        <is>
          <t>Yes</t>
        </is>
      </c>
      <c r="M866" s="4" t="inlineStr">
        <is>
          <t>Serious about softness. This funnel-neck half zip is all about fleecy fabric and sinking in to a cozy oversized fit.</t>
        </is>
      </c>
      <c r="N866" s="4" t="inlineStr">
        <is>
          <t>Scuba-Oversized-Funnel-Neck-Long</t>
        </is>
      </c>
      <c r="O866" s="4" t="inlineStr">
        <is>
          <t>Half Zip Sweatshirts, Quarter Zip Sweatshirts</t>
        </is>
      </c>
    </row>
    <row r="867" ht="80" customHeight="1">
      <c r="A867" s="7">
        <f>IMAGE("https://images.lululemon.com/is/image/lululemon/LW3IG8S_032493_1?wid=320&amp;op_usm=0.8",1)</f>
        <v/>
      </c>
      <c r="B867" s="7" t="inlineStr">
        <is>
          <t>Scuba Oversized Funnel-Neck Half Zip *Long</t>
        </is>
      </c>
      <c r="C867" s="7" t="inlineStr">
        <is>
          <t>154834880</t>
        </is>
      </c>
      <c r="D867" s="7" t="inlineStr">
        <is>
          <t>154834880-heatheredcoreultralightgrey</t>
        </is>
      </c>
      <c r="E867" s="7" t="inlineStr">
        <is>
          <t>Scuba Oversized Funnel Neck Half Zip HCUG XS/S</t>
        </is>
      </c>
      <c r="F867" s="7" t="inlineStr">
        <is>
          <t>$128.00</t>
        </is>
      </c>
      <c r="G867" s="7" t="inlineStr">
        <is>
          <t>$64.00</t>
        </is>
      </c>
      <c r="H867" s="7" t="inlineStr">
        <is>
          <t>Heathered Core Ultra Light Grey</t>
        </is>
      </c>
      <c r="I867" s="7">
        <f>IMAGE("https://images.lululemon.com/is/image/lululemon/32493",1)</f>
        <v/>
      </c>
      <c r="J867" s="7" t="inlineStr">
        <is>
          <t>M/L</t>
        </is>
      </c>
      <c r="K867" s="7" t="inlineStr">
        <is>
          <t>84/12367</t>
        </is>
      </c>
      <c r="L867" s="7" t="inlineStr">
        <is>
          <t>Yes</t>
        </is>
      </c>
      <c r="M867" s="7" t="inlineStr">
        <is>
          <t>Serious about softness. This funnel-neck half zip is all about fleecy fabric and sinking in to a cozy oversized fit.</t>
        </is>
      </c>
      <c r="N867" s="7" t="inlineStr">
        <is>
          <t>Scuba-Oversized-Funnel-Neck-Long</t>
        </is>
      </c>
      <c r="O867" s="7" t="inlineStr">
        <is>
          <t>Half Zip Sweatshirts, Quarter Zip Sweatshirts</t>
        </is>
      </c>
    </row>
    <row r="868" ht="80" customHeight="1">
      <c r="A868" s="4">
        <f>IMAGE("https://images.lululemon.com/is/image/lululemon/LW3IG8S_032493_1?wid=320&amp;op_usm=0.8",1)</f>
        <v/>
      </c>
      <c r="B868" s="4" t="inlineStr">
        <is>
          <t>Scuba Oversized Funnel-Neck Half Zip *Long</t>
        </is>
      </c>
      <c r="C868" s="4" t="inlineStr">
        <is>
          <t>154834890</t>
        </is>
      </c>
      <c r="D868" s="4" t="inlineStr">
        <is>
          <t>154834890-heatheredcoreultralightgrey</t>
        </is>
      </c>
      <c r="E868" s="4" t="inlineStr">
        <is>
          <t>Scuba Oversized Funnel Neck Half Zip HCUG XS/S</t>
        </is>
      </c>
      <c r="F868" s="4" t="inlineStr">
        <is>
          <t>$128.00</t>
        </is>
      </c>
      <c r="G868" s="4" t="inlineStr">
        <is>
          <t>$64.00</t>
        </is>
      </c>
      <c r="H868" s="4" t="inlineStr">
        <is>
          <t>Heathered Core Ultra Light Grey</t>
        </is>
      </c>
      <c r="I868" s="4">
        <f>IMAGE("https://images.lululemon.com/is/image/lululemon/32493",1)</f>
        <v/>
      </c>
      <c r="J868" s="4" t="inlineStr">
        <is>
          <t>XL/XXL</t>
        </is>
      </c>
      <c r="K868" s="4" t="inlineStr">
        <is>
          <t>20/12367</t>
        </is>
      </c>
      <c r="L868" s="4" t="inlineStr">
        <is>
          <t>Yes</t>
        </is>
      </c>
      <c r="M868" s="4" t="inlineStr">
        <is>
          <t>Serious about softness. This funnel-neck half zip is all about fleecy fabric and sinking in to a cozy oversized fit.</t>
        </is>
      </c>
      <c r="N868" s="4" t="inlineStr">
        <is>
          <t>Scuba-Oversized-Funnel-Neck-Long</t>
        </is>
      </c>
      <c r="O868" s="4" t="inlineStr">
        <is>
          <t>Half Zip Sweatshirts, Quarter Zip Sweatshirts</t>
        </is>
      </c>
    </row>
    <row r="869" ht="80" customHeight="1">
      <c r="A869" s="7">
        <f>IMAGE("https://images.lululemon.com/is/image/lululemon/LW3IG8S_032493_1?wid=320&amp;op_usm=0.8",1)</f>
        <v/>
      </c>
      <c r="B869" s="7" t="inlineStr">
        <is>
          <t>Scuba Oversized Funnel-Neck Half Zip *Long</t>
        </is>
      </c>
      <c r="C869" s="7" t="inlineStr">
        <is>
          <t>155854589</t>
        </is>
      </c>
      <c r="D869" s="7" t="inlineStr">
        <is>
          <t>155854589-heatheredlightivory/gold</t>
        </is>
      </c>
      <c r="E869" s="7" t="inlineStr">
        <is>
          <t>Scuba Oversized Funnel Neck Half Zip HCUG XS/S</t>
        </is>
      </c>
      <c r="F869" s="7" t="inlineStr">
        <is>
          <t>$128.00</t>
        </is>
      </c>
      <c r="G869" s="7" t="inlineStr">
        <is>
          <t>$64.00</t>
        </is>
      </c>
      <c r="H869" s="7" t="inlineStr">
        <is>
          <t>Heathered Light Ivory/Gold</t>
        </is>
      </c>
      <c r="I869" s="7">
        <f>IMAGE("https://images.lululemon.com/is/image/lululemon/42737",1)</f>
        <v/>
      </c>
      <c r="J869" s="7" t="inlineStr">
        <is>
          <t>XS/S</t>
        </is>
      </c>
      <c r="K869" s="7" t="inlineStr">
        <is>
          <t>80/12367</t>
        </is>
      </c>
      <c r="L869" s="7" t="inlineStr">
        <is>
          <t>Yes</t>
        </is>
      </c>
      <c r="M869" s="7" t="inlineStr">
        <is>
          <t>Serious about softness. This funnel-neck half zip is all about fleecy fabric and sinking in to a cozy oversized fit.</t>
        </is>
      </c>
      <c r="N869" s="7" t="inlineStr">
        <is>
          <t>Scuba-Oversized-Funnel-Neck-Long</t>
        </is>
      </c>
      <c r="O869" s="7" t="inlineStr">
        <is>
          <t>Half Zip Sweatshirts, Quarter Zip Sweatshirts</t>
        </is>
      </c>
    </row>
    <row r="870" ht="80" customHeight="1">
      <c r="A870" s="4">
        <f>IMAGE("https://images.lululemon.com/is/image/lululemon/LW3IG8S_032493_1?wid=320&amp;op_usm=0.8",1)</f>
        <v/>
      </c>
      <c r="B870" s="4" t="inlineStr">
        <is>
          <t>Scuba Oversized Funnel-Neck Half Zip *Long</t>
        </is>
      </c>
      <c r="C870" s="4" t="inlineStr">
        <is>
          <t>155854536</t>
        </is>
      </c>
      <c r="D870" s="4" t="inlineStr">
        <is>
          <t>155854536-heatheredlightivory/gold</t>
        </is>
      </c>
      <c r="E870" s="4" t="inlineStr">
        <is>
          <t>Scuba Oversized Funnel Neck Half Zip HCUG XS/S</t>
        </is>
      </c>
      <c r="F870" s="4" t="inlineStr">
        <is>
          <t>$128.00</t>
        </is>
      </c>
      <c r="G870" s="4" t="inlineStr">
        <is>
          <t>$64.00</t>
        </is>
      </c>
      <c r="H870" s="4" t="inlineStr">
        <is>
          <t>Heathered Light Ivory/Gold</t>
        </is>
      </c>
      <c r="I870" s="4">
        <f>IMAGE("https://images.lululemon.com/is/image/lululemon/42737",1)</f>
        <v/>
      </c>
      <c r="J870" s="4" t="inlineStr">
        <is>
          <t>M/L</t>
        </is>
      </c>
      <c r="K870" s="4" t="inlineStr">
        <is>
          <t>195/12367</t>
        </is>
      </c>
      <c r="L870" s="4" t="inlineStr">
        <is>
          <t>Yes</t>
        </is>
      </c>
      <c r="M870" s="4" t="inlineStr">
        <is>
          <t>Serious about softness. This funnel-neck half zip is all about fleecy fabric and sinking in to a cozy oversized fit.</t>
        </is>
      </c>
      <c r="N870" s="4" t="inlineStr">
        <is>
          <t>Scuba-Oversized-Funnel-Neck-Long</t>
        </is>
      </c>
      <c r="O870" s="4" t="inlineStr">
        <is>
          <t>Half Zip Sweatshirts, Quarter Zip Sweatshirts</t>
        </is>
      </c>
    </row>
    <row r="871" ht="80" customHeight="1">
      <c r="A871" s="7">
        <f>IMAGE("https://images.lululemon.com/is/image/lululemon/LW3IG8S_032493_1?wid=320&amp;op_usm=0.8",1)</f>
        <v/>
      </c>
      <c r="B871" s="7" t="inlineStr">
        <is>
          <t>Scuba Oversized Funnel-Neck Half Zip *Long</t>
        </is>
      </c>
      <c r="C871" s="7" t="inlineStr">
        <is>
          <t>155854571</t>
        </is>
      </c>
      <c r="D871" s="7" t="inlineStr">
        <is>
          <t>155854571-heatheredlightivory/gold</t>
        </is>
      </c>
      <c r="E871" s="7" t="inlineStr">
        <is>
          <t>Scuba Oversized Funnel Neck Half Zip HCUG XS/S</t>
        </is>
      </c>
      <c r="F871" s="7" t="inlineStr">
        <is>
          <t>$128.00</t>
        </is>
      </c>
      <c r="G871" s="7" t="inlineStr">
        <is>
          <t>$64.00</t>
        </is>
      </c>
      <c r="H871" s="7" t="inlineStr">
        <is>
          <t>Heathered Light Ivory/Gold</t>
        </is>
      </c>
      <c r="I871" s="7">
        <f>IMAGE("https://images.lululemon.com/is/image/lululemon/42737",1)</f>
        <v/>
      </c>
      <c r="J871" s="7" t="inlineStr">
        <is>
          <t>XL/XXL</t>
        </is>
      </c>
      <c r="K871" s="7" t="inlineStr">
        <is>
          <t>29/12367</t>
        </is>
      </c>
      <c r="L871" s="7" t="inlineStr">
        <is>
          <t>Yes</t>
        </is>
      </c>
      <c r="M871" s="7" t="inlineStr">
        <is>
          <t>Serious about softness. This funnel-neck half zip is all about fleecy fabric and sinking in to a cozy oversized fit.</t>
        </is>
      </c>
      <c r="N871" s="7" t="inlineStr">
        <is>
          <t>Scuba-Oversized-Funnel-Neck-Long</t>
        </is>
      </c>
      <c r="O871" s="7" t="inlineStr">
        <is>
          <t>Half Zip Sweatshirts, Quarter Zip Sweatshirts</t>
        </is>
      </c>
    </row>
    <row r="872" ht="80" customHeight="1">
      <c r="A872" s="4">
        <f>IMAGE("https://images.lululemon.com/is/image/lululemon/LW3IG8S_032493_1?wid=320&amp;op_usm=0.8",1)</f>
        <v/>
      </c>
      <c r="B872" s="4" t="inlineStr">
        <is>
          <t>Scuba Oversized Funnel-Neck Half Zip *Long</t>
        </is>
      </c>
      <c r="C872" s="4" t="inlineStr">
        <is>
          <t>155782723</t>
        </is>
      </c>
      <c r="D872" s="4" t="inlineStr">
        <is>
          <t>155782723-black</t>
        </is>
      </c>
      <c r="E872" s="4" t="inlineStr">
        <is>
          <t>Scuba Oversized Funnel Neck Half Zip HCUG XS/S</t>
        </is>
      </c>
      <c r="F872" s="4" t="inlineStr">
        <is>
          <t>$128.00</t>
        </is>
      </c>
      <c r="G872" s="4" t="inlineStr">
        <is>
          <t>$64.00</t>
        </is>
      </c>
      <c r="H872" s="4" t="inlineStr">
        <is>
          <t>Black</t>
        </is>
      </c>
      <c r="I872" s="4">
        <f>IMAGE("https://images.lululemon.com/is/image/lululemon/0001",1)</f>
        <v/>
      </c>
      <c r="J872" s="4" t="inlineStr">
        <is>
          <t>XS/S</t>
        </is>
      </c>
      <c r="K872" s="4" t="inlineStr">
        <is>
          <t>816/12367</t>
        </is>
      </c>
      <c r="L872" s="4" t="inlineStr">
        <is>
          <t>Yes</t>
        </is>
      </c>
      <c r="M872" s="4" t="inlineStr">
        <is>
          <t>Serious about softness. This funnel-neck half zip is all about fleecy fabric and sinking in to a cozy oversized fit.</t>
        </is>
      </c>
      <c r="N872" s="4" t="inlineStr">
        <is>
          <t>Scuba-Oversized-Funnel-Neck-Long</t>
        </is>
      </c>
      <c r="O872" s="4" t="inlineStr">
        <is>
          <t>Half Zip Sweatshirts, Quarter Zip Sweatshirts</t>
        </is>
      </c>
    </row>
    <row r="873" ht="80" customHeight="1">
      <c r="A873" s="7">
        <f>IMAGE("https://images.lululemon.com/is/image/lululemon/LW3IG8S_032493_1?wid=320&amp;op_usm=0.8",1)</f>
        <v/>
      </c>
      <c r="B873" s="7" t="inlineStr">
        <is>
          <t>Scuba Oversized Funnel-Neck Half Zip *Long</t>
        </is>
      </c>
      <c r="C873" s="7" t="inlineStr">
        <is>
          <t>155782713</t>
        </is>
      </c>
      <c r="D873" s="7" t="inlineStr">
        <is>
          <t>155782713-black</t>
        </is>
      </c>
      <c r="E873" s="7" t="inlineStr">
        <is>
          <t>Scuba Oversized Funnel Neck Half Zip HCUG XS/S</t>
        </is>
      </c>
      <c r="F873" s="7" t="inlineStr">
        <is>
          <t>$128.00</t>
        </is>
      </c>
      <c r="G873" s="7" t="inlineStr">
        <is>
          <t>$64.00</t>
        </is>
      </c>
      <c r="H873" s="7" t="inlineStr">
        <is>
          <t>Black</t>
        </is>
      </c>
      <c r="I873" s="7">
        <f>IMAGE("https://images.lululemon.com/is/image/lululemon/0001",1)</f>
        <v/>
      </c>
      <c r="J873" s="7" t="inlineStr">
        <is>
          <t>M/L</t>
        </is>
      </c>
      <c r="K873" s="7" t="inlineStr">
        <is>
          <t>689/12367</t>
        </is>
      </c>
      <c r="L873" s="7" t="inlineStr">
        <is>
          <t>Yes</t>
        </is>
      </c>
      <c r="M873" s="7" t="inlineStr">
        <is>
          <t>Serious about softness. This funnel-neck half zip is all about fleecy fabric and sinking in to a cozy oversized fit.</t>
        </is>
      </c>
      <c r="N873" s="7" t="inlineStr">
        <is>
          <t>Scuba-Oversized-Funnel-Neck-Long</t>
        </is>
      </c>
      <c r="O873" s="7" t="inlineStr">
        <is>
          <t>Half Zip Sweatshirts, Quarter Zip Sweatshirts</t>
        </is>
      </c>
    </row>
    <row r="874" ht="80" customHeight="1">
      <c r="A874" s="4">
        <f>IMAGE("https://images.lululemon.com/is/image/lululemon/LW3IG8S_032493_1?wid=320&amp;op_usm=0.8",1)</f>
        <v/>
      </c>
      <c r="B874" s="4" t="inlineStr">
        <is>
          <t>Scuba Oversized Funnel-Neck Half Zip *Long</t>
        </is>
      </c>
      <c r="C874" s="4" t="inlineStr">
        <is>
          <t>155782720</t>
        </is>
      </c>
      <c r="D874" s="4" t="inlineStr">
        <is>
          <t>155782720-black</t>
        </is>
      </c>
      <c r="E874" s="4" t="inlineStr">
        <is>
          <t>Scuba Oversized Funnel Neck Half Zip HCUG XS/S</t>
        </is>
      </c>
      <c r="F874" s="4" t="inlineStr">
        <is>
          <t>$128.00</t>
        </is>
      </c>
      <c r="G874" s="4" t="inlineStr">
        <is>
          <t>$64.00</t>
        </is>
      </c>
      <c r="H874" s="4" t="inlineStr">
        <is>
          <t>Black</t>
        </is>
      </c>
      <c r="I874" s="4">
        <f>IMAGE("https://images.lululemon.com/is/image/lululemon/0001",1)</f>
        <v/>
      </c>
      <c r="J874" s="4" t="inlineStr">
        <is>
          <t>XL/XXL</t>
        </is>
      </c>
      <c r="K874" s="4" t="inlineStr">
        <is>
          <t>69/12367</t>
        </is>
      </c>
      <c r="L874" s="4" t="inlineStr">
        <is>
          <t>Yes</t>
        </is>
      </c>
      <c r="M874" s="4" t="inlineStr">
        <is>
          <t>Serious about softness. This funnel-neck half zip is all about fleecy fabric and sinking in to a cozy oversized fit.</t>
        </is>
      </c>
      <c r="N874" s="4" t="inlineStr">
        <is>
          <t>Scuba-Oversized-Funnel-Neck-Long</t>
        </is>
      </c>
      <c r="O874" s="4" t="inlineStr">
        <is>
          <t>Half Zip Sweatshirts, Quarter Zip Sweatshirts</t>
        </is>
      </c>
    </row>
    <row r="875" ht="80" customHeight="1">
      <c r="A875" s="7">
        <f>IMAGE("https://images.lululemon.com/is/image/lululemon/LW3IG8S_032493_1?wid=320&amp;op_usm=0.8",1)</f>
        <v/>
      </c>
      <c r="B875" s="7" t="inlineStr">
        <is>
          <t>Scuba Oversized Funnel-Neck Half Zip *Long</t>
        </is>
      </c>
      <c r="C875" s="7" t="inlineStr">
        <is>
          <t>156478504</t>
        </is>
      </c>
      <c r="D875" s="7" t="inlineStr">
        <is>
          <t>156478504-washedblue</t>
        </is>
      </c>
      <c r="E875" s="7" t="inlineStr">
        <is>
          <t>Scuba Oversized Funnel Neck Half Zip HCUG XS/S</t>
        </is>
      </c>
      <c r="F875" s="7" t="inlineStr">
        <is>
          <t>$128.00</t>
        </is>
      </c>
      <c r="G875" s="7" t="inlineStr">
        <is>
          <t>$64.00</t>
        </is>
      </c>
      <c r="H875" s="7" t="inlineStr">
        <is>
          <t>Washed Blue</t>
        </is>
      </c>
      <c r="I875" s="7">
        <f>IMAGE("https://images.lululemon.com/is/image/lululemon/70135",1)</f>
        <v/>
      </c>
      <c r="J875" s="7" t="inlineStr">
        <is>
          <t>XS/S</t>
        </is>
      </c>
      <c r="K875" s="7" t="inlineStr">
        <is>
          <t>103/12367</t>
        </is>
      </c>
      <c r="L875" s="7" t="inlineStr">
        <is>
          <t>Yes</t>
        </is>
      </c>
      <c r="M875" s="7" t="inlineStr">
        <is>
          <t>Serious about softness. This funnel-neck half zip is all about fleecy fabric and sinking in to a cozy oversized fit.</t>
        </is>
      </c>
      <c r="N875" s="7" t="inlineStr">
        <is>
          <t>Scuba-Oversized-Funnel-Neck-Long</t>
        </is>
      </c>
      <c r="O875" s="7" t="inlineStr">
        <is>
          <t>Half Zip Sweatshirts, Quarter Zip Sweatshirts</t>
        </is>
      </c>
    </row>
    <row r="876" ht="80" customHeight="1">
      <c r="A876" s="4">
        <f>IMAGE("https://images.lululemon.com/is/image/lululemon/LW3IG8S_032493_1?wid=320&amp;op_usm=0.8",1)</f>
        <v/>
      </c>
      <c r="B876" s="4" t="inlineStr">
        <is>
          <t>Scuba Oversized Funnel-Neck Half Zip *Long</t>
        </is>
      </c>
      <c r="C876" s="4" t="inlineStr">
        <is>
          <t>156478491</t>
        </is>
      </c>
      <c r="D876" s="4" t="inlineStr">
        <is>
          <t>156478491-washedblue</t>
        </is>
      </c>
      <c r="E876" s="4" t="inlineStr">
        <is>
          <t>Scuba Oversized Funnel Neck Half Zip HCUG XS/S</t>
        </is>
      </c>
      <c r="F876" s="4" t="inlineStr">
        <is>
          <t>$128.00</t>
        </is>
      </c>
      <c r="G876" s="4" t="inlineStr">
        <is>
          <t>$64.00</t>
        </is>
      </c>
      <c r="H876" s="4" t="inlineStr">
        <is>
          <t>Washed Blue</t>
        </is>
      </c>
      <c r="I876" s="4">
        <f>IMAGE("https://images.lululemon.com/is/image/lululemon/70135",1)</f>
        <v/>
      </c>
      <c r="J876" s="4" t="inlineStr">
        <is>
          <t>M/L</t>
        </is>
      </c>
      <c r="K876" s="4" t="inlineStr">
        <is>
          <t>109/12367</t>
        </is>
      </c>
      <c r="L876" s="4" t="inlineStr">
        <is>
          <t>Yes</t>
        </is>
      </c>
      <c r="M876" s="4" t="inlineStr">
        <is>
          <t>Serious about softness. This funnel-neck half zip is all about fleecy fabric and sinking in to a cozy oversized fit.</t>
        </is>
      </c>
      <c r="N876" s="4" t="inlineStr">
        <is>
          <t>Scuba-Oversized-Funnel-Neck-Long</t>
        </is>
      </c>
      <c r="O876" s="4" t="inlineStr">
        <is>
          <t>Half Zip Sweatshirts, Quarter Zip Sweatshirts</t>
        </is>
      </c>
    </row>
    <row r="877" ht="80" customHeight="1">
      <c r="A877" s="7">
        <f>IMAGE("https://images.lululemon.com/is/image/lululemon/LW3IG8S_032493_1?wid=320&amp;op_usm=0.8",1)</f>
        <v/>
      </c>
      <c r="B877" s="7" t="inlineStr">
        <is>
          <t>Scuba Oversized Funnel-Neck Half Zip *Long</t>
        </is>
      </c>
      <c r="C877" s="7" t="inlineStr">
        <is>
          <t>156478500</t>
        </is>
      </c>
      <c r="D877" s="7" t="inlineStr">
        <is>
          <t>156478500-washedblue</t>
        </is>
      </c>
      <c r="E877" s="7" t="inlineStr">
        <is>
          <t>Scuba Oversized Funnel Neck Half Zip HCUG XS/S</t>
        </is>
      </c>
      <c r="F877" s="7" t="inlineStr">
        <is>
          <t>$128.00</t>
        </is>
      </c>
      <c r="G877" s="7" t="inlineStr">
        <is>
          <t>$64.00</t>
        </is>
      </c>
      <c r="H877" s="7" t="inlineStr">
        <is>
          <t>Washed Blue</t>
        </is>
      </c>
      <c r="I877" s="7">
        <f>IMAGE("https://images.lululemon.com/is/image/lululemon/70135",1)</f>
        <v/>
      </c>
      <c r="J877" s="7" t="inlineStr">
        <is>
          <t>XL/XXL</t>
        </is>
      </c>
      <c r="K877" s="7" t="inlineStr">
        <is>
          <t>28/12367</t>
        </is>
      </c>
      <c r="L877" s="7" t="inlineStr">
        <is>
          <t>Yes</t>
        </is>
      </c>
      <c r="M877" s="7" t="inlineStr">
        <is>
          <t>Serious about softness. This funnel-neck half zip is all about fleecy fabric and sinking in to a cozy oversized fit.</t>
        </is>
      </c>
      <c r="N877" s="7" t="inlineStr">
        <is>
          <t>Scuba-Oversized-Funnel-Neck-Long</t>
        </is>
      </c>
      <c r="O877" s="7" t="inlineStr">
        <is>
          <t>Half Zip Sweatshirts, Quarter Zip Sweatshirts</t>
        </is>
      </c>
    </row>
    <row r="878" ht="80" customHeight="1">
      <c r="A878" s="4">
        <f>IMAGE("https://images.lululemon.com/is/image/lululemon/LW3IG8S_032493_1?wid=320&amp;op_usm=0.8",1)</f>
        <v/>
      </c>
      <c r="B878" s="4" t="inlineStr">
        <is>
          <t>Scuba Oversized Funnel-Neck Half Zip *Long</t>
        </is>
      </c>
      <c r="C878" s="4" t="inlineStr">
        <is>
          <t>157704266</t>
        </is>
      </c>
      <c r="D878" s="4" t="inlineStr">
        <is>
          <t>157704266-lightivory/gold</t>
        </is>
      </c>
      <c r="E878" s="4" t="inlineStr">
        <is>
          <t>Scuba Oversized Funnel Neck Half Zip HCUG XS/S</t>
        </is>
      </c>
      <c r="F878" s="4" t="inlineStr">
        <is>
          <t>$128.00</t>
        </is>
      </c>
      <c r="G878" s="4" t="inlineStr">
        <is>
          <t>$64.00</t>
        </is>
      </c>
      <c r="H878" s="4" t="inlineStr">
        <is>
          <t>Light Ivory/Gold</t>
        </is>
      </c>
      <c r="I878" s="4">
        <f>IMAGE("https://images.lululemon.com/is/image/lululemon/42797",1)</f>
        <v/>
      </c>
      <c r="J878" s="4" t="inlineStr">
        <is>
          <t>XS/S</t>
        </is>
      </c>
      <c r="K878" s="4" t="inlineStr">
        <is>
          <t>226/12367</t>
        </is>
      </c>
      <c r="L878" s="4" t="inlineStr">
        <is>
          <t>Yes</t>
        </is>
      </c>
      <c r="M878" s="4" t="inlineStr">
        <is>
          <t>Serious about softness. This funnel-neck half zip is all about fleecy fabric and sinking in to a cozy oversized fit.</t>
        </is>
      </c>
      <c r="N878" s="4" t="inlineStr">
        <is>
          <t>Scuba-Oversized-Funnel-Neck-Long</t>
        </is>
      </c>
      <c r="O878" s="4" t="inlineStr">
        <is>
          <t>Half Zip Sweatshirts, Quarter Zip Sweatshirts</t>
        </is>
      </c>
    </row>
    <row r="879" ht="80" customHeight="1">
      <c r="A879" s="7">
        <f>IMAGE("https://images.lululemon.com/is/image/lululemon/LW3IG8S_032493_1?wid=320&amp;op_usm=0.8",1)</f>
        <v/>
      </c>
      <c r="B879" s="7" t="inlineStr">
        <is>
          <t>Scuba Oversized Funnel-Neck Half Zip *Long</t>
        </is>
      </c>
      <c r="C879" s="7" t="inlineStr">
        <is>
          <t>157704260</t>
        </is>
      </c>
      <c r="D879" s="7" t="inlineStr">
        <is>
          <t>157704260-lightivory/gold</t>
        </is>
      </c>
      <c r="E879" s="7" t="inlineStr">
        <is>
          <t>Scuba Oversized Funnel Neck Half Zip HCUG XS/S</t>
        </is>
      </c>
      <c r="F879" s="7" t="inlineStr">
        <is>
          <t>$128.00</t>
        </is>
      </c>
      <c r="G879" s="7" t="inlineStr">
        <is>
          <t>$64.00</t>
        </is>
      </c>
      <c r="H879" s="7" t="inlineStr">
        <is>
          <t>Light Ivory/Gold</t>
        </is>
      </c>
      <c r="I879" s="7">
        <f>IMAGE("https://images.lululemon.com/is/image/lululemon/42797",1)</f>
        <v/>
      </c>
      <c r="J879" s="7" t="inlineStr">
        <is>
          <t>M/L</t>
        </is>
      </c>
      <c r="K879" s="7" t="inlineStr">
        <is>
          <t>253/12367</t>
        </is>
      </c>
      <c r="L879" s="7" t="inlineStr">
        <is>
          <t>Yes</t>
        </is>
      </c>
      <c r="M879" s="7" t="inlineStr">
        <is>
          <t>Serious about softness. This funnel-neck half zip is all about fleecy fabric and sinking in to a cozy oversized fit.</t>
        </is>
      </c>
      <c r="N879" s="7" t="inlineStr">
        <is>
          <t>Scuba-Oversized-Funnel-Neck-Long</t>
        </is>
      </c>
      <c r="O879" s="7" t="inlineStr">
        <is>
          <t>Half Zip Sweatshirts, Quarter Zip Sweatshirts</t>
        </is>
      </c>
    </row>
    <row r="880" ht="80" customHeight="1">
      <c r="A880" s="4">
        <f>IMAGE("https://images.lululemon.com/is/image/lululemon/LW3IG8S_032493_1?wid=320&amp;op_usm=0.8",1)</f>
        <v/>
      </c>
      <c r="B880" s="4" t="inlineStr">
        <is>
          <t>Scuba Oversized Funnel-Neck Half Zip *Long</t>
        </is>
      </c>
      <c r="C880" s="4" t="inlineStr">
        <is>
          <t>157704263</t>
        </is>
      </c>
      <c r="D880" s="4" t="inlineStr">
        <is>
          <t>157704263-lightivory/gold</t>
        </is>
      </c>
      <c r="E880" s="4" t="inlineStr">
        <is>
          <t>Scuba Oversized Funnel Neck Half Zip HCUG XS/S</t>
        </is>
      </c>
      <c r="F880" s="4" t="inlineStr">
        <is>
          <t>$128.00</t>
        </is>
      </c>
      <c r="G880" s="4" t="inlineStr">
        <is>
          <t>$64.00</t>
        </is>
      </c>
      <c r="H880" s="4" t="inlineStr">
        <is>
          <t>Light Ivory/Gold</t>
        </is>
      </c>
      <c r="I880" s="4">
        <f>IMAGE("https://images.lululemon.com/is/image/lululemon/42797",1)</f>
        <v/>
      </c>
      <c r="J880" s="4" t="inlineStr">
        <is>
          <t>XL/XXL</t>
        </is>
      </c>
      <c r="K880" s="4" t="inlineStr">
        <is>
          <t>13/12367</t>
        </is>
      </c>
      <c r="L880" s="4" t="inlineStr">
        <is>
          <t>Yes</t>
        </is>
      </c>
      <c r="M880" s="4" t="inlineStr">
        <is>
          <t>Serious about softness. This funnel-neck half zip is all about fleecy fabric and sinking in to a cozy oversized fit.</t>
        </is>
      </c>
      <c r="N880" s="4" t="inlineStr">
        <is>
          <t>Scuba-Oversized-Funnel-Neck-Long</t>
        </is>
      </c>
      <c r="O880" s="4" t="inlineStr">
        <is>
          <t>Half Zip Sweatshirts, Quarter Zip Sweatshirts</t>
        </is>
      </c>
    </row>
    <row r="881" ht="80" customHeight="1">
      <c r="A881" s="7">
        <f>IMAGE("https://images.lululemon.com/is/image/lululemon/LW3IG8S_032493_1?wid=320&amp;op_usm=0.8",1)</f>
        <v/>
      </c>
      <c r="B881" s="7" t="inlineStr">
        <is>
          <t>Scuba Oversized Funnel-Neck Half Zip *Long</t>
        </is>
      </c>
      <c r="C881" s="7" t="inlineStr">
        <is>
          <t>157843484</t>
        </is>
      </c>
      <c r="D881" s="7" t="inlineStr">
        <is>
          <t>157843484-sereneblue</t>
        </is>
      </c>
      <c r="E881" s="7" t="inlineStr">
        <is>
          <t>Scuba Oversized Funnel Neck Half Zip HCUG XS/S</t>
        </is>
      </c>
      <c r="F881" s="7" t="inlineStr">
        <is>
          <t>$128.00</t>
        </is>
      </c>
      <c r="G881" s="7" t="inlineStr">
        <is>
          <t>$64.00</t>
        </is>
      </c>
      <c r="H881" s="7" t="inlineStr">
        <is>
          <t>Serene Blue</t>
        </is>
      </c>
      <c r="I881" s="7">
        <f>IMAGE("https://images.lululemon.com/is/image/lululemon/32507",1)</f>
        <v/>
      </c>
      <c r="J881" s="7" t="inlineStr">
        <is>
          <t>XS/S</t>
        </is>
      </c>
      <c r="K881" s="7" t="inlineStr">
        <is>
          <t>1795/12367</t>
        </is>
      </c>
      <c r="L881" s="7" t="inlineStr">
        <is>
          <t>Yes</t>
        </is>
      </c>
      <c r="M881" s="7" t="inlineStr">
        <is>
          <t>Serious about softness. This funnel-neck half zip is all about fleecy fabric and sinking in to a cozy oversized fit.</t>
        </is>
      </c>
      <c r="N881" s="7" t="inlineStr">
        <is>
          <t>Scuba-Oversized-Funnel-Neck-Long</t>
        </is>
      </c>
      <c r="O881" s="7" t="inlineStr">
        <is>
          <t>Half Zip Sweatshirts, Quarter Zip Sweatshirts</t>
        </is>
      </c>
    </row>
    <row r="882" ht="80" customHeight="1">
      <c r="A882" s="4">
        <f>IMAGE("https://images.lululemon.com/is/image/lululemon/LW3IG8S_032493_1?wid=320&amp;op_usm=0.8",1)</f>
        <v/>
      </c>
      <c r="B882" s="4" t="inlineStr">
        <is>
          <t>Scuba Oversized Funnel-Neck Half Zip *Long</t>
        </is>
      </c>
      <c r="C882" s="4" t="inlineStr">
        <is>
          <t>157843465</t>
        </is>
      </c>
      <c r="D882" s="4" t="inlineStr">
        <is>
          <t>157843465-sereneblue</t>
        </is>
      </c>
      <c r="E882" s="4" t="inlineStr">
        <is>
          <t>Scuba Oversized Funnel Neck Half Zip HCUG XS/S</t>
        </is>
      </c>
      <c r="F882" s="4" t="inlineStr">
        <is>
          <t>$128.00</t>
        </is>
      </c>
      <c r="G882" s="4" t="inlineStr">
        <is>
          <t>$64.00</t>
        </is>
      </c>
      <c r="H882" s="4" t="inlineStr">
        <is>
          <t>Serene Blue</t>
        </is>
      </c>
      <c r="I882" s="4">
        <f>IMAGE("https://images.lululemon.com/is/image/lululemon/32507",1)</f>
        <v/>
      </c>
      <c r="J882" s="4" t="inlineStr">
        <is>
          <t>M/L</t>
        </is>
      </c>
      <c r="K882" s="4" t="inlineStr">
        <is>
          <t>1931/12367</t>
        </is>
      </c>
      <c r="L882" s="4" t="inlineStr">
        <is>
          <t>Yes</t>
        </is>
      </c>
      <c r="M882" s="4" t="inlineStr">
        <is>
          <t>Serious about softness. This funnel-neck half zip is all about fleecy fabric and sinking in to a cozy oversized fit.</t>
        </is>
      </c>
      <c r="N882" s="4" t="inlineStr">
        <is>
          <t>Scuba-Oversized-Funnel-Neck-Long</t>
        </is>
      </c>
      <c r="O882" s="4" t="inlineStr">
        <is>
          <t>Half Zip Sweatshirts, Quarter Zip Sweatshirts</t>
        </is>
      </c>
    </row>
    <row r="883" ht="80" customHeight="1">
      <c r="A883" s="7">
        <f>IMAGE("https://images.lululemon.com/is/image/lululemon/LW3IG8S_032493_1?wid=320&amp;op_usm=0.8",1)</f>
        <v/>
      </c>
      <c r="B883" s="7" t="inlineStr">
        <is>
          <t>Scuba Oversized Funnel-Neck Half Zip *Long</t>
        </is>
      </c>
      <c r="C883" s="7" t="inlineStr">
        <is>
          <t>157843479</t>
        </is>
      </c>
      <c r="D883" s="7" t="inlineStr">
        <is>
          <t>157843479-sereneblue</t>
        </is>
      </c>
      <c r="E883" s="7" t="inlineStr">
        <is>
          <t>Scuba Oversized Funnel Neck Half Zip HCUG XS/S</t>
        </is>
      </c>
      <c r="F883" s="7" t="inlineStr">
        <is>
          <t>$128.00</t>
        </is>
      </c>
      <c r="G883" s="7" t="inlineStr">
        <is>
          <t>$64.00</t>
        </is>
      </c>
      <c r="H883" s="7" t="inlineStr">
        <is>
          <t>Serene Blue</t>
        </is>
      </c>
      <c r="I883" s="7">
        <f>IMAGE("https://images.lululemon.com/is/image/lululemon/32507",1)</f>
        <v/>
      </c>
      <c r="J883" s="7" t="inlineStr">
        <is>
          <t>XL/XXL</t>
        </is>
      </c>
      <c r="K883" s="7" t="inlineStr">
        <is>
          <t>608/12367</t>
        </is>
      </c>
      <c r="L883" s="7" t="inlineStr">
        <is>
          <t>Yes</t>
        </is>
      </c>
      <c r="M883" s="7" t="inlineStr">
        <is>
          <t>Serious about softness. This funnel-neck half zip is all about fleecy fabric and sinking in to a cozy oversized fit.</t>
        </is>
      </c>
      <c r="N883" s="7" t="inlineStr">
        <is>
          <t>Scuba-Oversized-Funnel-Neck-Long</t>
        </is>
      </c>
      <c r="O883" s="7" t="inlineStr">
        <is>
          <t>Half Zip Sweatshirts, Quarter Zip Sweatshirts</t>
        </is>
      </c>
    </row>
    <row r="884" ht="80" customHeight="1">
      <c r="A884" s="4">
        <f>IMAGE("https://images.lululemon.com/is/image/lululemon/LW3IG8S_032493_1?wid=320&amp;op_usm=0.8",1)</f>
        <v/>
      </c>
      <c r="B884" s="4" t="inlineStr">
        <is>
          <t>Scuba Oversized Funnel-Neck Half Zip *Long</t>
        </is>
      </c>
      <c r="C884" s="4" t="inlineStr">
        <is>
          <t>157704311</t>
        </is>
      </c>
      <c r="D884" s="4" t="inlineStr">
        <is>
          <t>157704311-nightmoth</t>
        </is>
      </c>
      <c r="E884" s="4" t="inlineStr">
        <is>
          <t>Scuba Oversized Funnel Neck Half Zip HCUG XS/S</t>
        </is>
      </c>
      <c r="F884" s="4" t="inlineStr">
        <is>
          <t>$128.00</t>
        </is>
      </c>
      <c r="G884" s="4" t="inlineStr">
        <is>
          <t>$64.00</t>
        </is>
      </c>
      <c r="H884" s="4" t="inlineStr">
        <is>
          <t>Nightmoth</t>
        </is>
      </c>
      <c r="I884" s="4">
        <f>IMAGE("https://images.lululemon.com/is/image/lululemon/71168",1)</f>
        <v/>
      </c>
      <c r="J884" s="4" t="inlineStr">
        <is>
          <t>XS/S</t>
        </is>
      </c>
      <c r="K884" s="4" t="inlineStr">
        <is>
          <t>212/12367</t>
        </is>
      </c>
      <c r="L884" s="4" t="inlineStr">
        <is>
          <t>Yes</t>
        </is>
      </c>
      <c r="M884" s="4" t="inlineStr">
        <is>
          <t>Serious about softness. This funnel-neck half zip is all about fleecy fabric and sinking in to a cozy oversized fit.</t>
        </is>
      </c>
      <c r="N884" s="4" t="inlineStr">
        <is>
          <t>Scuba-Oversized-Funnel-Neck-Long</t>
        </is>
      </c>
      <c r="O884" s="4" t="inlineStr">
        <is>
          <t>Half Zip Sweatshirts, Quarter Zip Sweatshirts</t>
        </is>
      </c>
    </row>
    <row r="885" ht="80" customHeight="1">
      <c r="A885" s="7">
        <f>IMAGE("https://images.lululemon.com/is/image/lululemon/LW3IG8S_032493_1?wid=320&amp;op_usm=0.8",1)</f>
        <v/>
      </c>
      <c r="B885" s="7" t="inlineStr">
        <is>
          <t>Scuba Oversized Funnel-Neck Half Zip *Long</t>
        </is>
      </c>
      <c r="C885" s="7" t="inlineStr">
        <is>
          <t>157704305</t>
        </is>
      </c>
      <c r="D885" s="7" t="inlineStr">
        <is>
          <t>157704305-nightmoth</t>
        </is>
      </c>
      <c r="E885" s="7" t="inlineStr">
        <is>
          <t>Scuba Oversized Funnel Neck Half Zip HCUG XS/S</t>
        </is>
      </c>
      <c r="F885" s="7" t="inlineStr">
        <is>
          <t>$128.00</t>
        </is>
      </c>
      <c r="G885" s="7" t="inlineStr">
        <is>
          <t>$64.00</t>
        </is>
      </c>
      <c r="H885" s="7" t="inlineStr">
        <is>
          <t>Nightmoth</t>
        </is>
      </c>
      <c r="I885" s="7">
        <f>IMAGE("https://images.lululemon.com/is/image/lululemon/71168",1)</f>
        <v/>
      </c>
      <c r="J885" s="7" t="inlineStr">
        <is>
          <t>M/L</t>
        </is>
      </c>
      <c r="K885" s="7" t="inlineStr">
        <is>
          <t>243/12367</t>
        </is>
      </c>
      <c r="L885" s="7" t="inlineStr">
        <is>
          <t>Yes</t>
        </is>
      </c>
      <c r="M885" s="7" t="inlineStr">
        <is>
          <t>Serious about softness. This funnel-neck half zip is all about fleecy fabric and sinking in to a cozy oversized fit.</t>
        </is>
      </c>
      <c r="N885" s="7" t="inlineStr">
        <is>
          <t>Scuba-Oversized-Funnel-Neck-Long</t>
        </is>
      </c>
      <c r="O885" s="7" t="inlineStr">
        <is>
          <t>Half Zip Sweatshirts, Quarter Zip Sweatshirts</t>
        </is>
      </c>
    </row>
    <row r="886" ht="80" customHeight="1">
      <c r="A886" s="4">
        <f>IMAGE("https://images.lululemon.com/is/image/lululemon/LW3IG8S_032493_1?wid=320&amp;op_usm=0.8",1)</f>
        <v/>
      </c>
      <c r="B886" s="4" t="inlineStr">
        <is>
          <t>Scuba Oversized Funnel-Neck Half Zip *Long</t>
        </is>
      </c>
      <c r="C886" s="4" t="inlineStr">
        <is>
          <t>157704308</t>
        </is>
      </c>
      <c r="D886" s="4" t="inlineStr">
        <is>
          <t>157704308-nightmoth</t>
        </is>
      </c>
      <c r="E886" s="4" t="inlineStr">
        <is>
          <t>Scuba Oversized Funnel Neck Half Zip HCUG XS/S</t>
        </is>
      </c>
      <c r="F886" s="4" t="inlineStr">
        <is>
          <t>$128.00</t>
        </is>
      </c>
      <c r="G886" s="4" t="inlineStr">
        <is>
          <t>$64.00</t>
        </is>
      </c>
      <c r="H886" s="4" t="inlineStr">
        <is>
          <t>Nightmoth</t>
        </is>
      </c>
      <c r="I886" s="4">
        <f>IMAGE("https://images.lululemon.com/is/image/lululemon/71168",1)</f>
        <v/>
      </c>
      <c r="J886" s="4" t="inlineStr">
        <is>
          <t>XL/XXL</t>
        </is>
      </c>
      <c r="K886" s="4" t="inlineStr">
        <is>
          <t>64/12367</t>
        </is>
      </c>
      <c r="L886" s="4" t="inlineStr">
        <is>
          <t>Yes</t>
        </is>
      </c>
      <c r="M886" s="4" t="inlineStr">
        <is>
          <t>Serious about softness. This funnel-neck half zip is all about fleecy fabric and sinking in to a cozy oversized fit.</t>
        </is>
      </c>
      <c r="N886" s="4" t="inlineStr">
        <is>
          <t>Scuba-Oversized-Funnel-Neck-Long</t>
        </is>
      </c>
      <c r="O886" s="4" t="inlineStr">
        <is>
          <t>Half Zip Sweatshirts, Quarter Zip Sweatshirts</t>
        </is>
      </c>
    </row>
    <row r="887" ht="80" customHeight="1">
      <c r="A887" s="7">
        <f>IMAGE("https://images.lululemon.com/is/image/lululemon/LW3IG8S_032493_1?wid=320&amp;op_usm=0.8",1)</f>
        <v/>
      </c>
      <c r="B887" s="7" t="inlineStr">
        <is>
          <t>Scuba Oversized Funnel-Neck Half Zip *Long</t>
        </is>
      </c>
      <c r="C887" s="7" t="inlineStr">
        <is>
          <t>157704292</t>
        </is>
      </c>
      <c r="D887" s="7" t="inlineStr">
        <is>
          <t>157704292-bluetwill</t>
        </is>
      </c>
      <c r="E887" s="7" t="inlineStr">
        <is>
          <t>Scuba Oversized Funnel Neck Half Zip HCUG XS/S</t>
        </is>
      </c>
      <c r="F887" s="7" t="inlineStr">
        <is>
          <t>$128.00</t>
        </is>
      </c>
      <c r="G887" s="7" t="inlineStr">
        <is>
          <t>$64.00</t>
        </is>
      </c>
      <c r="H887" s="7" t="inlineStr">
        <is>
          <t>Blue Twill</t>
        </is>
      </c>
      <c r="I887" s="7">
        <f>IMAGE("https://images.lululemon.com/is/image/lululemon/71150",1)</f>
        <v/>
      </c>
      <c r="J887" s="7" t="inlineStr">
        <is>
          <t>XS/S</t>
        </is>
      </c>
      <c r="K887" s="7" t="inlineStr">
        <is>
          <t>99/12367</t>
        </is>
      </c>
      <c r="L887" s="7" t="inlineStr">
        <is>
          <t>Yes</t>
        </is>
      </c>
      <c r="M887" s="7" t="inlineStr">
        <is>
          <t>Serious about softness. This funnel-neck half zip is all about fleecy fabric and sinking in to a cozy oversized fit.</t>
        </is>
      </c>
      <c r="N887" s="7" t="inlineStr">
        <is>
          <t>Scuba-Oversized-Funnel-Neck-Long</t>
        </is>
      </c>
      <c r="O887" s="7" t="inlineStr">
        <is>
          <t>Half Zip Sweatshirts, Quarter Zip Sweatshirts</t>
        </is>
      </c>
    </row>
    <row r="888" ht="80" customHeight="1">
      <c r="A888" s="4">
        <f>IMAGE("https://images.lululemon.com/is/image/lululemon/LW3IG8S_032493_1?wid=320&amp;op_usm=0.8",1)</f>
        <v/>
      </c>
      <c r="B888" s="4" t="inlineStr">
        <is>
          <t>Scuba Oversized Funnel-Neck Half Zip *Long</t>
        </is>
      </c>
      <c r="C888" s="4" t="inlineStr">
        <is>
          <t>157704287</t>
        </is>
      </c>
      <c r="D888" s="4" t="inlineStr">
        <is>
          <t>157704287-bluetwill</t>
        </is>
      </c>
      <c r="E888" s="4" t="inlineStr">
        <is>
          <t>Scuba Oversized Funnel Neck Half Zip HCUG XS/S</t>
        </is>
      </c>
      <c r="F888" s="4" t="inlineStr">
        <is>
          <t>$128.00</t>
        </is>
      </c>
      <c r="G888" s="4" t="inlineStr">
        <is>
          <t>$64.00</t>
        </is>
      </c>
      <c r="H888" s="4" t="inlineStr">
        <is>
          <t>Blue Twill</t>
        </is>
      </c>
      <c r="I888" s="4">
        <f>IMAGE("https://images.lululemon.com/is/image/lululemon/71150",1)</f>
        <v/>
      </c>
      <c r="J888" s="4" t="inlineStr">
        <is>
          <t>M/L</t>
        </is>
      </c>
      <c r="K888" s="4" t="inlineStr">
        <is>
          <t>94/12367</t>
        </is>
      </c>
      <c r="L888" s="4" t="inlineStr">
        <is>
          <t>Yes</t>
        </is>
      </c>
      <c r="M888" s="4" t="inlineStr">
        <is>
          <t>Serious about softness. This funnel-neck half zip is all about fleecy fabric and sinking in to a cozy oversized fit.</t>
        </is>
      </c>
      <c r="N888" s="4" t="inlineStr">
        <is>
          <t>Scuba-Oversized-Funnel-Neck-Long</t>
        </is>
      </c>
      <c r="O888" s="4" t="inlineStr">
        <is>
          <t>Half Zip Sweatshirts, Quarter Zip Sweatshirts</t>
        </is>
      </c>
    </row>
    <row r="889" ht="80" customHeight="1">
      <c r="A889" s="7">
        <f>IMAGE("https://images.lululemon.com/is/image/lululemon/LW3IG8S_032493_1?wid=320&amp;op_usm=0.8",1)</f>
        <v/>
      </c>
      <c r="B889" s="7" t="inlineStr">
        <is>
          <t>Scuba Oversized Funnel-Neck Half Zip *Long</t>
        </is>
      </c>
      <c r="C889" s="7" t="inlineStr">
        <is>
          <t>157704289</t>
        </is>
      </c>
      <c r="D889" s="7" t="inlineStr">
        <is>
          <t>157704289-bluetwill</t>
        </is>
      </c>
      <c r="E889" s="7" t="inlineStr">
        <is>
          <t>Scuba Oversized Funnel Neck Half Zip HCUG XS/S</t>
        </is>
      </c>
      <c r="F889" s="7" t="inlineStr">
        <is>
          <t>$128.00</t>
        </is>
      </c>
      <c r="G889" s="7" t="inlineStr">
        <is>
          <t>$64.00</t>
        </is>
      </c>
      <c r="H889" s="7" t="inlineStr">
        <is>
          <t>Blue Twill</t>
        </is>
      </c>
      <c r="I889" s="7">
        <f>IMAGE("https://images.lululemon.com/is/image/lululemon/71150",1)</f>
        <v/>
      </c>
      <c r="J889" s="7" t="inlineStr">
        <is>
          <t>XL/XXL</t>
        </is>
      </c>
      <c r="K889" s="7" t="inlineStr">
        <is>
          <t>14/12367</t>
        </is>
      </c>
      <c r="L889" s="7" t="inlineStr">
        <is>
          <t>Yes</t>
        </is>
      </c>
      <c r="M889" s="7" t="inlineStr">
        <is>
          <t>Serious about softness. This funnel-neck half zip is all about fleecy fabric and sinking in to a cozy oversized fit.</t>
        </is>
      </c>
      <c r="N889" s="7" t="inlineStr">
        <is>
          <t>Scuba-Oversized-Funnel-Neck-Long</t>
        </is>
      </c>
      <c r="O889" s="7" t="inlineStr">
        <is>
          <t>Half Zip Sweatshirts, Quarter Zip Sweatshirts</t>
        </is>
      </c>
    </row>
    <row r="890" ht="80" customHeight="1">
      <c r="A890" s="4">
        <f>IMAGE("https://images.lululemon.com/is/image/lululemon/LW3IG8S_032493_1?wid=320&amp;op_usm=0.8",1)</f>
        <v/>
      </c>
      <c r="B890" s="4" t="inlineStr">
        <is>
          <t>Scuba Oversized Funnel-Neck Half Zip *Long</t>
        </is>
      </c>
      <c r="C890" s="4" t="inlineStr">
        <is>
          <t>157704275</t>
        </is>
      </c>
      <c r="D890" s="4" t="inlineStr">
        <is>
          <t>157704275-rainforestgreen</t>
        </is>
      </c>
      <c r="E890" s="4" t="inlineStr">
        <is>
          <t>Scuba Oversized Funnel Neck Half Zip HCUG XS/S</t>
        </is>
      </c>
      <c r="F890" s="4" t="inlineStr">
        <is>
          <t>$128.00</t>
        </is>
      </c>
      <c r="G890" s="4" t="inlineStr">
        <is>
          <t>$64.00</t>
        </is>
      </c>
      <c r="H890" s="4" t="inlineStr">
        <is>
          <t>Rainforest Green</t>
        </is>
      </c>
      <c r="I890" s="4">
        <f>IMAGE("https://images.lululemon.com/is/image/lululemon/49106",1)</f>
        <v/>
      </c>
      <c r="J890" s="4" t="inlineStr">
        <is>
          <t>XS/S</t>
        </is>
      </c>
      <c r="K890" s="4" t="inlineStr">
        <is>
          <t>453/12367</t>
        </is>
      </c>
      <c r="L890" s="4" t="inlineStr">
        <is>
          <t>Yes</t>
        </is>
      </c>
      <c r="M890" s="4" t="inlineStr">
        <is>
          <t>Serious about softness. This funnel-neck half zip is all about fleecy fabric and sinking in to a cozy oversized fit.</t>
        </is>
      </c>
      <c r="N890" s="4" t="inlineStr">
        <is>
          <t>Scuba-Oversized-Funnel-Neck-Long</t>
        </is>
      </c>
      <c r="O890" s="4" t="inlineStr">
        <is>
          <t>Half Zip Sweatshirts, Quarter Zip Sweatshirts</t>
        </is>
      </c>
    </row>
    <row r="891" ht="80" customHeight="1">
      <c r="A891" s="7">
        <f>IMAGE("https://images.lululemon.com/is/image/lululemon/LW3IG8S_032493_1?wid=320&amp;op_usm=0.8",1)</f>
        <v/>
      </c>
      <c r="B891" s="7" t="inlineStr">
        <is>
          <t>Scuba Oversized Funnel-Neck Half Zip *Long</t>
        </is>
      </c>
      <c r="C891" s="7" t="inlineStr">
        <is>
          <t>157704269</t>
        </is>
      </c>
      <c r="D891" s="7" t="inlineStr">
        <is>
          <t>157704269-rainforestgreen</t>
        </is>
      </c>
      <c r="E891" s="7" t="inlineStr">
        <is>
          <t>Scuba Oversized Funnel Neck Half Zip HCUG XS/S</t>
        </is>
      </c>
      <c r="F891" s="7" t="inlineStr">
        <is>
          <t>$128.00</t>
        </is>
      </c>
      <c r="G891" s="7" t="inlineStr">
        <is>
          <t>$64.00</t>
        </is>
      </c>
      <c r="H891" s="7" t="inlineStr">
        <is>
          <t>Rainforest Green</t>
        </is>
      </c>
      <c r="I891" s="7">
        <f>IMAGE("https://images.lululemon.com/is/image/lululemon/49106",1)</f>
        <v/>
      </c>
      <c r="J891" s="7" t="inlineStr">
        <is>
          <t>M/L</t>
        </is>
      </c>
      <c r="K891" s="7" t="inlineStr">
        <is>
          <t>451/12367</t>
        </is>
      </c>
      <c r="L891" s="7" t="inlineStr">
        <is>
          <t>Yes</t>
        </is>
      </c>
      <c r="M891" s="7" t="inlineStr">
        <is>
          <t>Serious about softness. This funnel-neck half zip is all about fleecy fabric and sinking in to a cozy oversized fit.</t>
        </is>
      </c>
      <c r="N891" s="7" t="inlineStr">
        <is>
          <t>Scuba-Oversized-Funnel-Neck-Long</t>
        </is>
      </c>
      <c r="O891" s="7" t="inlineStr">
        <is>
          <t>Half Zip Sweatshirts, Quarter Zip Sweatshirts</t>
        </is>
      </c>
    </row>
    <row r="892" ht="80" customHeight="1">
      <c r="A892" s="4">
        <f>IMAGE("https://images.lululemon.com/is/image/lululemon/LW3IG8S_032493_1?wid=320&amp;op_usm=0.8",1)</f>
        <v/>
      </c>
      <c r="B892" s="4" t="inlineStr">
        <is>
          <t>Scuba Oversized Funnel-Neck Half Zip *Long</t>
        </is>
      </c>
      <c r="C892" s="4" t="inlineStr">
        <is>
          <t>157704272</t>
        </is>
      </c>
      <c r="D892" s="4" t="inlineStr">
        <is>
          <t>157704272-rainforestgreen</t>
        </is>
      </c>
      <c r="E892" s="4" t="inlineStr">
        <is>
          <t>Scuba Oversized Funnel Neck Half Zip HCUG XS/S</t>
        </is>
      </c>
      <c r="F892" s="4" t="inlineStr">
        <is>
          <t>$128.00</t>
        </is>
      </c>
      <c r="G892" s="4" t="inlineStr">
        <is>
          <t>$64.00</t>
        </is>
      </c>
      <c r="H892" s="4" t="inlineStr">
        <is>
          <t>Rainforest Green</t>
        </is>
      </c>
      <c r="I892" s="4">
        <f>IMAGE("https://images.lululemon.com/is/image/lululemon/49106",1)</f>
        <v/>
      </c>
      <c r="J892" s="4" t="inlineStr">
        <is>
          <t>XL/XXL</t>
        </is>
      </c>
      <c r="K892" s="4" t="inlineStr">
        <is>
          <t>134/12367</t>
        </is>
      </c>
      <c r="L892" s="4" t="inlineStr">
        <is>
          <t>Yes</t>
        </is>
      </c>
      <c r="M892" s="4" t="inlineStr">
        <is>
          <t>Serious about softness. This funnel-neck half zip is all about fleecy fabric and sinking in to a cozy oversized fit.</t>
        </is>
      </c>
      <c r="N892" s="4" t="inlineStr">
        <is>
          <t>Scuba-Oversized-Funnel-Neck-Long</t>
        </is>
      </c>
      <c r="O892" s="4" t="inlineStr">
        <is>
          <t>Half Zip Sweatshirts, Quarter Zip Sweatshirts</t>
        </is>
      </c>
    </row>
    <row r="893" ht="80" customHeight="1">
      <c r="A893" s="7">
        <f>IMAGE("https://images.lululemon.com/is/image/lululemon/LW3IG8S_032493_1?wid=320&amp;op_usm=0.8",1)</f>
        <v/>
      </c>
      <c r="B893" s="7" t="inlineStr">
        <is>
          <t>Scuba Oversized Funnel-Neck Half Zip *Long</t>
        </is>
      </c>
      <c r="C893" s="7" t="inlineStr">
        <is>
          <t>157704326</t>
        </is>
      </c>
      <c r="D893" s="7" t="inlineStr">
        <is>
          <t>157704326-blissfulpink/gold</t>
        </is>
      </c>
      <c r="E893" s="7" t="inlineStr">
        <is>
          <t>Scuba Oversized Funnel Neck Half Zip HCUG XS/S</t>
        </is>
      </c>
      <c r="F893" s="7" t="inlineStr">
        <is>
          <t>$128.00</t>
        </is>
      </c>
      <c r="G893" s="7" t="inlineStr">
        <is>
          <t>$64.00</t>
        </is>
      </c>
      <c r="H893" s="7" t="inlineStr">
        <is>
          <t>Blissful Pink/Gold</t>
        </is>
      </c>
      <c r="I893" s="7">
        <f>IMAGE("https://images.lululemon.com/is/image/lululemon/72478",1)</f>
        <v/>
      </c>
      <c r="J893" s="7" t="inlineStr">
        <is>
          <t>XS/S</t>
        </is>
      </c>
      <c r="K893" s="7" t="inlineStr">
        <is>
          <t>455/12367</t>
        </is>
      </c>
      <c r="L893" s="7" t="inlineStr">
        <is>
          <t>Yes</t>
        </is>
      </c>
      <c r="M893" s="7" t="inlineStr">
        <is>
          <t>Serious about softness. This funnel-neck half zip is all about fleecy fabric and sinking in to a cozy oversized fit.</t>
        </is>
      </c>
      <c r="N893" s="7" t="inlineStr">
        <is>
          <t>Scuba-Oversized-Funnel-Neck-Long</t>
        </is>
      </c>
      <c r="O893" s="7" t="inlineStr">
        <is>
          <t>Half Zip Sweatshirts, Quarter Zip Sweatshirts</t>
        </is>
      </c>
    </row>
    <row r="894" ht="80" customHeight="1">
      <c r="A894" s="4">
        <f>IMAGE("https://images.lululemon.com/is/image/lululemon/LW3IG8S_032493_1?wid=320&amp;op_usm=0.8",1)</f>
        <v/>
      </c>
      <c r="B894" s="4" t="inlineStr">
        <is>
          <t>Scuba Oversized Funnel-Neck Half Zip *Long</t>
        </is>
      </c>
      <c r="C894" s="4" t="inlineStr">
        <is>
          <t>157704322</t>
        </is>
      </c>
      <c r="D894" s="4" t="inlineStr">
        <is>
          <t>157704322-blissfulpink/gold</t>
        </is>
      </c>
      <c r="E894" s="4" t="inlineStr">
        <is>
          <t>Scuba Oversized Funnel Neck Half Zip HCUG XS/S</t>
        </is>
      </c>
      <c r="F894" s="4" t="inlineStr">
        <is>
          <t>$128.00</t>
        </is>
      </c>
      <c r="G894" s="4" t="inlineStr">
        <is>
          <t>$64.00</t>
        </is>
      </c>
      <c r="H894" s="4" t="inlineStr">
        <is>
          <t>Blissful Pink/Gold</t>
        </is>
      </c>
      <c r="I894" s="4">
        <f>IMAGE("https://images.lululemon.com/is/image/lululemon/72478",1)</f>
        <v/>
      </c>
      <c r="J894" s="4" t="inlineStr">
        <is>
          <t>M/L</t>
        </is>
      </c>
      <c r="K894" s="4" t="inlineStr">
        <is>
          <t>446/12367</t>
        </is>
      </c>
      <c r="L894" s="4" t="inlineStr">
        <is>
          <t>Yes</t>
        </is>
      </c>
      <c r="M894" s="4" t="inlineStr">
        <is>
          <t>Serious about softness. This funnel-neck half zip is all about fleecy fabric and sinking in to a cozy oversized fit.</t>
        </is>
      </c>
      <c r="N894" s="4" t="inlineStr">
        <is>
          <t>Scuba-Oversized-Funnel-Neck-Long</t>
        </is>
      </c>
      <c r="O894" s="4" t="inlineStr">
        <is>
          <t>Half Zip Sweatshirts, Quarter Zip Sweatshirts</t>
        </is>
      </c>
    </row>
    <row r="895" ht="80" customHeight="1">
      <c r="A895" s="7">
        <f>IMAGE("https://images.lululemon.com/is/image/lululemon/LW3IG8S_032493_1?wid=320&amp;op_usm=0.8",1)</f>
        <v/>
      </c>
      <c r="B895" s="7" t="inlineStr">
        <is>
          <t>Scuba Oversized Funnel-Neck Half Zip *Long</t>
        </is>
      </c>
      <c r="C895" s="7" t="inlineStr">
        <is>
          <t>157704324</t>
        </is>
      </c>
      <c r="D895" s="7" t="inlineStr">
        <is>
          <t>157704324-blissfulpink/gold</t>
        </is>
      </c>
      <c r="E895" s="7" t="inlineStr">
        <is>
          <t>Scuba Oversized Funnel Neck Half Zip HCUG XS/S</t>
        </is>
      </c>
      <c r="F895" s="7" t="inlineStr">
        <is>
          <t>$128.00</t>
        </is>
      </c>
      <c r="G895" s="7" t="inlineStr">
        <is>
          <t>$64.00</t>
        </is>
      </c>
      <c r="H895" s="7" t="inlineStr">
        <is>
          <t>Blissful Pink/Gold</t>
        </is>
      </c>
      <c r="I895" s="7">
        <f>IMAGE("https://images.lululemon.com/is/image/lululemon/72478",1)</f>
        <v/>
      </c>
      <c r="J895" s="7" t="inlineStr">
        <is>
          <t>XL/XXL</t>
        </is>
      </c>
      <c r="K895" s="7" t="inlineStr">
        <is>
          <t>143/12367</t>
        </is>
      </c>
      <c r="L895" s="7" t="inlineStr">
        <is>
          <t>Yes</t>
        </is>
      </c>
      <c r="M895" s="7" t="inlineStr">
        <is>
          <t>Serious about softness. This funnel-neck half zip is all about fleecy fabric and sinking in to a cozy oversized fit.</t>
        </is>
      </c>
      <c r="N895" s="7" t="inlineStr">
        <is>
          <t>Scuba-Oversized-Funnel-Neck-Long</t>
        </is>
      </c>
      <c r="O895" s="7" t="inlineStr">
        <is>
          <t>Half Zip Sweatshirts, Quarter Zip Sweatshirts</t>
        </is>
      </c>
    </row>
    <row r="896" ht="80" customHeight="1">
      <c r="A896" s="4">
        <f>IMAGE("https://images.lululemon.com/is/image/lululemon/LW3IG8S_032493_1?wid=320&amp;op_usm=0.8",1)</f>
        <v/>
      </c>
      <c r="B896" s="4" t="inlineStr">
        <is>
          <t>Scuba Oversized Funnel-Neck Half Zip *Long</t>
        </is>
      </c>
      <c r="C896" s="4" t="inlineStr">
        <is>
          <t>157704343</t>
        </is>
      </c>
      <c r="D896" s="4" t="inlineStr">
        <is>
          <t>157704343-black/gold</t>
        </is>
      </c>
      <c r="E896" s="4" t="inlineStr">
        <is>
          <t>Scuba Oversized Funnel Neck Half Zip HCUG XS/S</t>
        </is>
      </c>
      <c r="F896" s="4" t="inlineStr">
        <is>
          <t>$128.00</t>
        </is>
      </c>
      <c r="G896" s="4" t="inlineStr">
        <is>
          <t>$64.00</t>
        </is>
      </c>
      <c r="H896" s="4" t="inlineStr">
        <is>
          <t>Black/Gold</t>
        </is>
      </c>
      <c r="I896" s="4">
        <f>IMAGE("https://images.lululemon.com/is/image/lululemon/3385",1)</f>
        <v/>
      </c>
      <c r="J896" s="4" t="inlineStr">
        <is>
          <t>XS/S</t>
        </is>
      </c>
      <c r="K896" s="4" t="inlineStr">
        <is>
          <t>578/12367</t>
        </is>
      </c>
      <c r="L896" s="4" t="inlineStr">
        <is>
          <t>Yes</t>
        </is>
      </c>
      <c r="M896" s="4" t="inlineStr">
        <is>
          <t>Serious about softness. This funnel-neck half zip is all about fleecy fabric and sinking in to a cozy oversized fit.</t>
        </is>
      </c>
      <c r="N896" s="4" t="inlineStr">
        <is>
          <t>Scuba-Oversized-Funnel-Neck-Long</t>
        </is>
      </c>
      <c r="O896" s="4" t="inlineStr">
        <is>
          <t>Half Zip Sweatshirts, Quarter Zip Sweatshirts</t>
        </is>
      </c>
    </row>
    <row r="897" ht="80" customHeight="1">
      <c r="A897" s="7">
        <f>IMAGE("https://images.lululemon.com/is/image/lululemon/LW3IG8S_032493_1?wid=320&amp;op_usm=0.8",1)</f>
        <v/>
      </c>
      <c r="B897" s="7" t="inlineStr">
        <is>
          <t>Scuba Oversized Funnel-Neck Half Zip *Long</t>
        </is>
      </c>
      <c r="C897" s="7" t="inlineStr">
        <is>
          <t>157704340</t>
        </is>
      </c>
      <c r="D897" s="7" t="inlineStr">
        <is>
          <t>157704340-black/gold</t>
        </is>
      </c>
      <c r="E897" s="7" t="inlineStr">
        <is>
          <t>Scuba Oversized Funnel Neck Half Zip HCUG XS/S</t>
        </is>
      </c>
      <c r="F897" s="7" t="inlineStr">
        <is>
          <t>$128.00</t>
        </is>
      </c>
      <c r="G897" s="7" t="inlineStr">
        <is>
          <t>$64.00</t>
        </is>
      </c>
      <c r="H897" s="7" t="inlineStr">
        <is>
          <t>Black/Gold</t>
        </is>
      </c>
      <c r="I897" s="7">
        <f>IMAGE("https://images.lululemon.com/is/image/lululemon/3385",1)</f>
        <v/>
      </c>
      <c r="J897" s="7" t="inlineStr">
        <is>
          <t>M/L</t>
        </is>
      </c>
      <c r="K897" s="7" t="inlineStr">
        <is>
          <t>603/12367</t>
        </is>
      </c>
      <c r="L897" s="7" t="inlineStr">
        <is>
          <t>Yes</t>
        </is>
      </c>
      <c r="M897" s="7" t="inlineStr">
        <is>
          <t>Serious about softness. This funnel-neck half zip is all about fleecy fabric and sinking in to a cozy oversized fit.</t>
        </is>
      </c>
      <c r="N897" s="7" t="inlineStr">
        <is>
          <t>Scuba-Oversized-Funnel-Neck-Long</t>
        </is>
      </c>
      <c r="O897" s="7" t="inlineStr">
        <is>
          <t>Half Zip Sweatshirts, Quarter Zip Sweatshirts</t>
        </is>
      </c>
    </row>
    <row r="898" ht="80" customHeight="1">
      <c r="A898" s="4">
        <f>IMAGE("https://images.lululemon.com/is/image/lululemon/LW3IG8S_032493_1?wid=320&amp;op_usm=0.8",1)</f>
        <v/>
      </c>
      <c r="B898" s="4" t="inlineStr">
        <is>
          <t>Scuba Oversized Funnel-Neck Half Zip *Long</t>
        </is>
      </c>
      <c r="C898" s="4" t="inlineStr">
        <is>
          <t>157704342</t>
        </is>
      </c>
      <c r="D898" s="4" t="inlineStr">
        <is>
          <t>157704342-black/gold</t>
        </is>
      </c>
      <c r="E898" s="4" t="inlineStr">
        <is>
          <t>Scuba Oversized Funnel Neck Half Zip HCUG XS/S</t>
        </is>
      </c>
      <c r="F898" s="4" t="inlineStr">
        <is>
          <t>$128.00</t>
        </is>
      </c>
      <c r="G898" s="4" t="inlineStr">
        <is>
          <t>$64.00</t>
        </is>
      </c>
      <c r="H898" s="4" t="inlineStr">
        <is>
          <t>Black/Gold</t>
        </is>
      </c>
      <c r="I898" s="4">
        <f>IMAGE("https://images.lululemon.com/is/image/lululemon/3385",1)</f>
        <v/>
      </c>
      <c r="J898" s="4" t="inlineStr">
        <is>
          <t>XL/XXL</t>
        </is>
      </c>
      <c r="K898" s="4" t="inlineStr">
        <is>
          <t>175/12367</t>
        </is>
      </c>
      <c r="L898" s="4" t="inlineStr">
        <is>
          <t>Yes</t>
        </is>
      </c>
      <c r="M898" s="4" t="inlineStr">
        <is>
          <t>Serious about softness. This funnel-neck half zip is all about fleecy fabric and sinking in to a cozy oversized fit.</t>
        </is>
      </c>
      <c r="N898" s="4" t="inlineStr">
        <is>
          <t>Scuba-Oversized-Funnel-Neck-Long</t>
        </is>
      </c>
      <c r="O898" s="4" t="inlineStr">
        <is>
          <t>Half Zip Sweatshirts, Quarter Zip Sweatshirts</t>
        </is>
      </c>
    </row>
    <row r="899" ht="80" customHeight="1">
      <c r="A899" s="7">
        <f>IMAGE("https://images.lululemon.com/is/image/lululemon/LW3IG8S_032493_1?wid=320&amp;op_usm=0.8",1)</f>
        <v/>
      </c>
      <c r="B899" s="7" t="inlineStr">
        <is>
          <t>Scuba Oversized Funnel-Neck Half Zip *Long</t>
        </is>
      </c>
      <c r="C899" s="7" t="inlineStr">
        <is>
          <t>158096058</t>
        </is>
      </c>
      <c r="D899" s="7" t="inlineStr">
        <is>
          <t>158096058-riverside/mirrorsilver</t>
        </is>
      </c>
      <c r="E899" s="7" t="inlineStr">
        <is>
          <t>Scuba Oversized Funnel Neck Half Zip HCUG XS/S</t>
        </is>
      </c>
      <c r="F899" s="7" t="inlineStr">
        <is>
          <t>$128.00</t>
        </is>
      </c>
      <c r="G899" s="7" t="inlineStr">
        <is>
          <t>$64.00</t>
        </is>
      </c>
      <c r="H899" s="7" t="inlineStr">
        <is>
          <t>Riverside/Mirror Silver</t>
        </is>
      </c>
      <c r="I899" s="7">
        <f>IMAGE("https://images.lululemon.com/is/image/lululemon/74348",1)</f>
        <v/>
      </c>
      <c r="J899" s="7" t="inlineStr">
        <is>
          <t>XS/S</t>
        </is>
      </c>
      <c r="K899" s="7" t="inlineStr">
        <is>
          <t>453/12367</t>
        </is>
      </c>
      <c r="L899" s="7" t="inlineStr">
        <is>
          <t>Yes</t>
        </is>
      </c>
      <c r="M899" s="7" t="inlineStr">
        <is>
          <t>Serious about softness. This funnel-neck half zip is all about fleecy fabric and sinking in to a cozy oversized fit.</t>
        </is>
      </c>
      <c r="N899" s="7" t="inlineStr">
        <is>
          <t>Scuba-Oversized-Funnel-Neck-Long</t>
        </is>
      </c>
      <c r="O899" s="7" t="inlineStr">
        <is>
          <t>Half Zip Sweatshirts, Quarter Zip Sweatshirts</t>
        </is>
      </c>
    </row>
    <row r="900" ht="80" customHeight="1">
      <c r="A900" s="4">
        <f>IMAGE("https://images.lululemon.com/is/image/lululemon/LW3IG8S_032493_1?wid=320&amp;op_usm=0.8",1)</f>
        <v/>
      </c>
      <c r="B900" s="4" t="inlineStr">
        <is>
          <t>Scuba Oversized Funnel-Neck Half Zip *Long</t>
        </is>
      </c>
      <c r="C900" s="4" t="inlineStr">
        <is>
          <t>158096047</t>
        </is>
      </c>
      <c r="D900" s="4" t="inlineStr">
        <is>
          <t>158096047-riverside/mirrorsilver</t>
        </is>
      </c>
      <c r="E900" s="4" t="inlineStr">
        <is>
          <t>Scuba Oversized Funnel Neck Half Zip HCUG XS/S</t>
        </is>
      </c>
      <c r="F900" s="4" t="inlineStr">
        <is>
          <t>$128.00</t>
        </is>
      </c>
      <c r="G900" s="4" t="inlineStr">
        <is>
          <t>$64.00</t>
        </is>
      </c>
      <c r="H900" s="4" t="inlineStr">
        <is>
          <t>Riverside/Mirror Silver</t>
        </is>
      </c>
      <c r="I900" s="4">
        <f>IMAGE("https://images.lululemon.com/is/image/lululemon/74348",1)</f>
        <v/>
      </c>
      <c r="J900" s="4" t="inlineStr">
        <is>
          <t>M/L</t>
        </is>
      </c>
      <c r="K900" s="4" t="inlineStr">
        <is>
          <t>442/12367</t>
        </is>
      </c>
      <c r="L900" s="4" t="inlineStr">
        <is>
          <t>Yes</t>
        </is>
      </c>
      <c r="M900" s="4" t="inlineStr">
        <is>
          <t>Serious about softness. This funnel-neck half zip is all about fleecy fabric and sinking in to a cozy oversized fit.</t>
        </is>
      </c>
      <c r="N900" s="4" t="inlineStr">
        <is>
          <t>Scuba-Oversized-Funnel-Neck-Long</t>
        </is>
      </c>
      <c r="O900" s="4" t="inlineStr">
        <is>
          <t>Half Zip Sweatshirts, Quarter Zip Sweatshirts</t>
        </is>
      </c>
    </row>
    <row r="901" ht="80" customHeight="1">
      <c r="A901" s="5">
        <f>IMAGE("https://images.lululemon.com/is/image/lululemon/LW3IG8S_032493_1?wid=320&amp;op_usm=0.8",1)</f>
        <v/>
      </c>
      <c r="B901" s="5" t="inlineStr">
        <is>
          <t>Scuba Oversized Funnel-Neck Half Zip *Long</t>
        </is>
      </c>
      <c r="C901" s="5" t="inlineStr">
        <is>
          <t>158096053</t>
        </is>
      </c>
      <c r="D901" s="5" t="inlineStr">
        <is>
          <t>158096053-riverside/mirrorsilver</t>
        </is>
      </c>
      <c r="E901" s="5" t="inlineStr">
        <is>
          <t>Scuba Oversized Funnel Neck Half Zip HCUG XS/S</t>
        </is>
      </c>
      <c r="F901" s="5" t="inlineStr">
        <is>
          <t>$128.00</t>
        </is>
      </c>
      <c r="G901" s="5" t="inlineStr">
        <is>
          <t>$64.00</t>
        </is>
      </c>
      <c r="H901" s="5" t="inlineStr">
        <is>
          <t>Riverside/Mirror Silver</t>
        </is>
      </c>
      <c r="I901" s="5">
        <f>IMAGE("https://images.lululemon.com/is/image/lululemon/74348",1)</f>
        <v/>
      </c>
      <c r="J901" s="5" t="inlineStr">
        <is>
          <t>XL/XXL</t>
        </is>
      </c>
      <c r="K901" s="5" t="inlineStr">
        <is>
          <t>144/12367</t>
        </is>
      </c>
      <c r="L901" s="5" t="inlineStr">
        <is>
          <t>Yes</t>
        </is>
      </c>
      <c r="M901" s="5" t="inlineStr">
        <is>
          <t>Serious about softness. This funnel-neck half zip is all about fleecy fabric and sinking in to a cozy oversized fit.</t>
        </is>
      </c>
      <c r="N901" s="5" t="inlineStr">
        <is>
          <t>Scuba-Oversized-Funnel-Neck-Long</t>
        </is>
      </c>
      <c r="O901" s="5" t="inlineStr">
        <is>
          <t>Half Zip Sweatshirts, Quarter Zip Sweatshirts</t>
        </is>
      </c>
    </row>
    <row r="902" ht="80" customHeight="1">
      <c r="A902" s="6">
        <f>IMAGE("https://images.lululemon.com/is/image/lululemon/LU9CMUS_027401_1?wid=320&amp;op_usm=0.8",1)</f>
        <v/>
      </c>
      <c r="B902" s="6" t="inlineStr">
        <is>
          <t>Back to Life Sport Bottle 24oz Straw Lid *Print</t>
        </is>
      </c>
      <c r="C902" s="6" t="inlineStr">
        <is>
          <t>157768469</t>
        </is>
      </c>
      <c r="D902" s="6" t="inlineStr">
        <is>
          <t>157768469-pelican</t>
        </is>
      </c>
      <c r="E902" s="6" t="inlineStr">
        <is>
          <t>Back to Life Sport Bottle 24oz*Straw Lid PLCN ONE SIZE</t>
        </is>
      </c>
      <c r="F902" s="6" t="inlineStr">
        <is>
          <t>$48.00</t>
        </is>
      </c>
      <c r="G902" s="6" t="inlineStr">
        <is>
          <t>$24.00</t>
        </is>
      </c>
      <c r="H902" s="6" t="inlineStr">
        <is>
          <t>Pelican</t>
        </is>
      </c>
      <c r="I902" s="6">
        <f>IMAGE("https://images.lululemon.com/is/image/lululemon/27401",1)</f>
        <v/>
      </c>
      <c r="J902" s="6" t="inlineStr">
        <is>
          <t>O/S</t>
        </is>
      </c>
      <c r="K902" s="6" t="inlineStr">
        <is>
          <t>174/174</t>
        </is>
      </c>
      <c r="L902" s="6" t="inlineStr">
        <is>
          <t>Yes</t>
        </is>
      </c>
      <c r="M902" s="6" t="inlineStr">
        <is>
          <t>Sport mode: activated. This insulated water bottle has a built-in straw lid and a slip-free texture to make one-handed drinking a breeze.</t>
        </is>
      </c>
      <c r="N902" s="6" t="inlineStr">
        <is>
          <t>Back-to-Life-Sport-Bottle-24oz-Straw-Lid-Print</t>
        </is>
      </c>
      <c r="O902" s="6" t="inlineStr"/>
    </row>
    <row r="903" ht="80" customHeight="1">
      <c r="A903" s="7">
        <f>IMAGE("https://images.lululemon.com/is/image/lululemon/LU9CACS_0001_1?wid=320&amp;op_usm=0.8",1)</f>
        <v/>
      </c>
      <c r="B903" s="7" t="inlineStr">
        <is>
          <t>Slouchy Sling Bag 6L</t>
        </is>
      </c>
      <c r="C903" s="7" t="inlineStr">
        <is>
          <t>153840523</t>
        </is>
      </c>
      <c r="D903" s="7" t="inlineStr">
        <is>
          <t>153840523-black</t>
        </is>
      </c>
      <c r="E903" s="7" t="inlineStr">
        <is>
          <t>Slouchy Sling Bag BLK ONE SIZE</t>
        </is>
      </c>
      <c r="F903" s="7" t="inlineStr">
        <is>
          <t>$68.00</t>
        </is>
      </c>
      <c r="G903" s="7" t="inlineStr">
        <is>
          <t>$34.00</t>
        </is>
      </c>
      <c r="H903" s="7" t="inlineStr">
        <is>
          <t>Black</t>
        </is>
      </c>
      <c r="I903" s="7">
        <f>IMAGE("https://images.lululemon.com/is/image/lululemon/0001",1)</f>
        <v/>
      </c>
      <c r="J903" s="7" t="inlineStr">
        <is>
          <t>O/S</t>
        </is>
      </c>
      <c r="K903" s="7" t="inlineStr">
        <is>
          <t>3/147</t>
        </is>
      </c>
      <c r="L903" s="7" t="inlineStr">
        <is>
          <t>Yes</t>
        </is>
      </c>
      <c r="M903" s="7" t="inlineStr">
        <is>
          <t>No structure, no problem. With a curved silhouette and a surprising amount of space, this slouchy sling tucks close to your frame for comfort and security.</t>
        </is>
      </c>
      <c r="N903" s="7" t="inlineStr">
        <is>
          <t>Slouchy-Sling-Bag-6L</t>
        </is>
      </c>
      <c r="O903" s="7" t="inlineStr">
        <is>
          <t>Crossbody Bags, Shoulder Bags</t>
        </is>
      </c>
    </row>
    <row r="904" ht="80" customHeight="1">
      <c r="A904" s="6">
        <f>IMAGE("https://images.lululemon.com/is/image/lululemon/LU9CACS_0001_1?wid=320&amp;op_usm=0.8",1)</f>
        <v/>
      </c>
      <c r="B904" s="6" t="inlineStr">
        <is>
          <t>Slouchy Sling Bag 6L</t>
        </is>
      </c>
      <c r="C904" s="6" t="inlineStr">
        <is>
          <t>157676118</t>
        </is>
      </c>
      <c r="D904" s="6" t="inlineStr">
        <is>
          <t>157676118-lightivory/gold</t>
        </is>
      </c>
      <c r="E904" s="6" t="inlineStr">
        <is>
          <t>Slouchy Sling Bag BLK ONE SIZE</t>
        </is>
      </c>
      <c r="F904" s="6" t="inlineStr">
        <is>
          <t>$68.00</t>
        </is>
      </c>
      <c r="G904" s="6" t="inlineStr">
        <is>
          <t>$34.00</t>
        </is>
      </c>
      <c r="H904" s="6" t="inlineStr">
        <is>
          <t>Light Ivory/Gold</t>
        </is>
      </c>
      <c r="I904" s="6">
        <f>IMAGE("https://images.lululemon.com/is/image/lululemon/42797",1)</f>
        <v/>
      </c>
      <c r="J904" s="6" t="inlineStr">
        <is>
          <t>O/S</t>
        </is>
      </c>
      <c r="K904" s="6" t="inlineStr">
        <is>
          <t>144/147</t>
        </is>
      </c>
      <c r="L904" s="6" t="inlineStr">
        <is>
          <t>Yes</t>
        </is>
      </c>
      <c r="M904" s="6" t="inlineStr">
        <is>
          <t>No structure, no problem. With a curved silhouette and a surprising amount of space, this slouchy sling tucks close to your frame for comfort and security.</t>
        </is>
      </c>
      <c r="N904" s="6" t="inlineStr">
        <is>
          <t>Slouchy-Sling-Bag-6L</t>
        </is>
      </c>
      <c r="O904" s="6" t="inlineStr">
        <is>
          <t>Crossbody Bags, Shoulder Bags</t>
        </is>
      </c>
    </row>
    <row r="905" ht="80" customHeight="1">
      <c r="A905" s="7">
        <f>IMAGE("https://images.lululemon.com/is/image/lululemon/LU9CPTS_0001_1?wid=320&amp;op_usm=0.8",1)</f>
        <v/>
      </c>
      <c r="B905" s="7" t="inlineStr">
        <is>
          <t>Unisex Power Stride Crew Socks</t>
        </is>
      </c>
      <c r="C905" s="7" t="inlineStr">
        <is>
          <t>156751324</t>
        </is>
      </c>
      <c r="D905" s="7" t="inlineStr">
        <is>
          <t>156751324-black</t>
        </is>
      </c>
      <c r="E905" s="7" t="inlineStr">
        <is>
          <t>Power Stride Socks BLK S</t>
        </is>
      </c>
      <c r="F905" s="7" t="inlineStr">
        <is>
          <t>$18.00</t>
        </is>
      </c>
      <c r="G905" s="7" t="inlineStr">
        <is>
          <t>$9.00</t>
        </is>
      </c>
      <c r="H905" s="7" t="inlineStr">
        <is>
          <t>Black</t>
        </is>
      </c>
      <c r="I905" s="7">
        <f>IMAGE("https://images.lululemon.com/is/image/lululemon/0001",1)</f>
        <v/>
      </c>
      <c r="J905" s="7" t="inlineStr">
        <is>
          <t>S</t>
        </is>
      </c>
      <c r="K905" s="7" t="inlineStr">
        <is>
          <t>65/265</t>
        </is>
      </c>
      <c r="L905" s="7" t="inlineStr">
        <is>
          <t>Yes</t>
        </is>
      </c>
      <c r="M905" s="7" t="inlineStr">
        <is>
          <t>Set the groundwork for a strong workout. We updated our versatile performance socks with intentional cushioning and enhanced breathability so you can move more comfortably.</t>
        </is>
      </c>
      <c r="N905" s="7" t="inlineStr">
        <is>
          <t>Unisex-Power-Stride-Crew-Socks</t>
        </is>
      </c>
      <c r="O905" s="7" t="inlineStr">
        <is>
          <t>Crew Socks</t>
        </is>
      </c>
    </row>
    <row r="906" ht="80" customHeight="1">
      <c r="A906" s="4">
        <f>IMAGE("https://images.lululemon.com/is/image/lululemon/LU9CPTS_0001_1?wid=320&amp;op_usm=0.8",1)</f>
        <v/>
      </c>
      <c r="B906" s="4" t="inlineStr">
        <is>
          <t>Unisex Power Stride Crew Socks</t>
        </is>
      </c>
      <c r="C906" s="4" t="inlineStr">
        <is>
          <t>156751317</t>
        </is>
      </c>
      <c r="D906" s="4" t="inlineStr">
        <is>
          <t>156751317-black</t>
        </is>
      </c>
      <c r="E906" s="4" t="inlineStr">
        <is>
          <t>Power Stride Socks BLK S</t>
        </is>
      </c>
      <c r="F906" s="4" t="inlineStr">
        <is>
          <t>$18.00</t>
        </is>
      </c>
      <c r="G906" s="4" t="inlineStr">
        <is>
          <t>$9.00</t>
        </is>
      </c>
      <c r="H906" s="4" t="inlineStr">
        <is>
          <t>Black</t>
        </is>
      </c>
      <c r="I906" s="4">
        <f>IMAGE("https://images.lululemon.com/is/image/lululemon/0001",1)</f>
        <v/>
      </c>
      <c r="J906" s="4" t="inlineStr">
        <is>
          <t>M</t>
        </is>
      </c>
      <c r="K906" s="4" t="inlineStr">
        <is>
          <t>110/265</t>
        </is>
      </c>
      <c r="L906" s="4" t="inlineStr">
        <is>
          <t>Yes</t>
        </is>
      </c>
      <c r="M906" s="4" t="inlineStr">
        <is>
          <t>Set the groundwork for a strong workout. We updated our versatile performance socks with intentional cushioning and enhanced breathability so you can move more comfortably.</t>
        </is>
      </c>
      <c r="N906" s="4" t="inlineStr">
        <is>
          <t>Unisex-Power-Stride-Crew-Socks</t>
        </is>
      </c>
      <c r="O906" s="4" t="inlineStr">
        <is>
          <t>Crew Socks</t>
        </is>
      </c>
    </row>
    <row r="907" ht="80" customHeight="1">
      <c r="A907" s="7">
        <f>IMAGE("https://images.lululemon.com/is/image/lululemon/LU9CPTS_0001_1?wid=320&amp;op_usm=0.8",1)</f>
        <v/>
      </c>
      <c r="B907" s="7" t="inlineStr">
        <is>
          <t>Unisex Power Stride Crew Socks</t>
        </is>
      </c>
      <c r="C907" s="7" t="inlineStr">
        <is>
          <t>156751309</t>
        </is>
      </c>
      <c r="D907" s="7" t="inlineStr">
        <is>
          <t>156751309-black</t>
        </is>
      </c>
      <c r="E907" s="7" t="inlineStr">
        <is>
          <t>Power Stride Socks BLK S</t>
        </is>
      </c>
      <c r="F907" s="7" t="inlineStr">
        <is>
          <t>$18.00</t>
        </is>
      </c>
      <c r="G907" s="7" t="inlineStr">
        <is>
          <t>$9.00</t>
        </is>
      </c>
      <c r="H907" s="7" t="inlineStr">
        <is>
          <t>Black</t>
        </is>
      </c>
      <c r="I907" s="7">
        <f>IMAGE("https://images.lululemon.com/is/image/lululemon/0001",1)</f>
        <v/>
      </c>
      <c r="J907" s="7" t="inlineStr">
        <is>
          <t>L</t>
        </is>
      </c>
      <c r="K907" s="7" t="inlineStr">
        <is>
          <t>79/265</t>
        </is>
      </c>
      <c r="L907" s="7" t="inlineStr">
        <is>
          <t>Yes</t>
        </is>
      </c>
      <c r="M907" s="7" t="inlineStr">
        <is>
          <t>Set the groundwork for a strong workout. We updated our versatile performance socks with intentional cushioning and enhanced breathability so you can move more comfortably.</t>
        </is>
      </c>
      <c r="N907" s="7" t="inlineStr">
        <is>
          <t>Unisex-Power-Stride-Crew-Socks</t>
        </is>
      </c>
      <c r="O907" s="7" t="inlineStr">
        <is>
          <t>Crew Socks</t>
        </is>
      </c>
    </row>
    <row r="908" ht="80" customHeight="1">
      <c r="A908" s="6">
        <f>IMAGE("https://images.lululemon.com/is/image/lululemon/LU9CPTS_0001_1?wid=320&amp;op_usm=0.8",1)</f>
        <v/>
      </c>
      <c r="B908" s="6" t="inlineStr">
        <is>
          <t>Unisex Power Stride Crew Socks</t>
        </is>
      </c>
      <c r="C908" s="6" t="inlineStr">
        <is>
          <t>156751329</t>
        </is>
      </c>
      <c r="D908" s="6" t="inlineStr">
        <is>
          <t>156751329-black</t>
        </is>
      </c>
      <c r="E908" s="6" t="inlineStr">
        <is>
          <t>Power Stride Socks BLK S</t>
        </is>
      </c>
      <c r="F908" s="6" t="inlineStr">
        <is>
          <t>$18.00</t>
        </is>
      </c>
      <c r="G908" s="6" t="inlineStr">
        <is>
          <t>$9.00</t>
        </is>
      </c>
      <c r="H908" s="6" t="inlineStr">
        <is>
          <t>Black</t>
        </is>
      </c>
      <c r="I908" s="6">
        <f>IMAGE("https://images.lululemon.com/is/image/lululemon/0001",1)</f>
        <v/>
      </c>
      <c r="J908" s="6" t="inlineStr">
        <is>
          <t>XL</t>
        </is>
      </c>
      <c r="K908" s="6" t="inlineStr">
        <is>
          <t>11/265</t>
        </is>
      </c>
      <c r="L908" s="6" t="inlineStr">
        <is>
          <t>Yes</t>
        </is>
      </c>
      <c r="M908" s="6" t="inlineStr">
        <is>
          <t>Set the groundwork for a strong workout. We updated our versatile performance socks with intentional cushioning and enhanced breathability so you can move more comfortably.</t>
        </is>
      </c>
      <c r="N908" s="6" t="inlineStr">
        <is>
          <t>Unisex-Power-Stride-Crew-Socks</t>
        </is>
      </c>
      <c r="O908" s="6" t="inlineStr">
        <is>
          <t>Crew Socks</t>
        </is>
      </c>
    </row>
    <row r="909" ht="80" customHeight="1">
      <c r="A909" s="7">
        <f>IMAGE("https://images.lululemon.com/is/image/lululemon/LW7DDJS_0001_1?wid=320&amp;op_usm=0.8",1)</f>
        <v/>
      </c>
      <c r="B909" s="7" t="inlineStr">
        <is>
          <t>Softstreme High-Rise Short 4"</t>
        </is>
      </c>
      <c r="C909" s="7" t="inlineStr">
        <is>
          <t>153845871</t>
        </is>
      </c>
      <c r="D909" s="7" t="inlineStr">
        <is>
          <t>153845871-black</t>
        </is>
      </c>
      <c r="E909" s="7" t="inlineStr">
        <is>
          <t>Softstreme High-Rise Short 4" BLK 2</t>
        </is>
      </c>
      <c r="F909" s="7" t="inlineStr">
        <is>
          <t>$78.00</t>
        </is>
      </c>
      <c r="G909" s="7" t="inlineStr">
        <is>
          <t>$39.00</t>
        </is>
      </c>
      <c r="H909" s="7" t="inlineStr">
        <is>
          <t>Black</t>
        </is>
      </c>
      <c r="I909" s="7">
        <f>IMAGE("https://images.lululemon.com/is/image/lululemon/0001",1)</f>
        <v/>
      </c>
      <c r="J909" s="7" t="inlineStr">
        <is>
          <t>2</t>
        </is>
      </c>
      <c r="K909" s="7" t="inlineStr">
        <is>
          <t>208/935</t>
        </is>
      </c>
      <c r="L909" s="7" t="inlineStr">
        <is>
          <t>Yes</t>
        </is>
      </c>
      <c r="M909" s="7" t="inlineStr">
        <is>
          <t>Feel it to believe it. These shorts have a peach-fuzz touch that's impossible to resist. Dress them up or down and enjoy the softness all day.</t>
        </is>
      </c>
      <c r="N909" s="7" t="inlineStr">
        <is>
          <t>Softstreme-HR-Short-4</t>
        </is>
      </c>
      <c r="O909" s="7" t="inlineStr">
        <is>
          <t>Sweat Shorts</t>
        </is>
      </c>
    </row>
    <row r="910" ht="80" customHeight="1">
      <c r="A910" s="4">
        <f>IMAGE("https://images.lululemon.com/is/image/lululemon/LW7DDJS_0001_1?wid=320&amp;op_usm=0.8",1)</f>
        <v/>
      </c>
      <c r="B910" s="4" t="inlineStr">
        <is>
          <t>Softstreme High-Rise Short 4"</t>
        </is>
      </c>
      <c r="C910" s="4" t="inlineStr">
        <is>
          <t>153845913</t>
        </is>
      </c>
      <c r="D910" s="4" t="inlineStr">
        <is>
          <t>153845913-black</t>
        </is>
      </c>
      <c r="E910" s="4" t="inlineStr">
        <is>
          <t>Softstreme High-Rise Short 4" BLK 2</t>
        </is>
      </c>
      <c r="F910" s="4" t="inlineStr">
        <is>
          <t>$78.00</t>
        </is>
      </c>
      <c r="G910" s="4" t="inlineStr">
        <is>
          <t>$39.00</t>
        </is>
      </c>
      <c r="H910" s="4" t="inlineStr">
        <is>
          <t>Black</t>
        </is>
      </c>
      <c r="I910" s="4">
        <f>IMAGE("https://images.lululemon.com/is/image/lululemon/0001",1)</f>
        <v/>
      </c>
      <c r="J910" s="4" t="inlineStr">
        <is>
          <t>4</t>
        </is>
      </c>
      <c r="K910" s="4" t="inlineStr">
        <is>
          <t>134/935</t>
        </is>
      </c>
      <c r="L910" s="4" t="inlineStr">
        <is>
          <t>Yes</t>
        </is>
      </c>
      <c r="M910" s="4" t="inlineStr">
        <is>
          <t>Feel it to believe it. These shorts have a peach-fuzz touch that's impossible to resist. Dress them up or down and enjoy the softness all day.</t>
        </is>
      </c>
      <c r="N910" s="4" t="inlineStr">
        <is>
          <t>Softstreme-HR-Short-4</t>
        </is>
      </c>
      <c r="O910" s="4" t="inlineStr">
        <is>
          <t>Sweat Shorts</t>
        </is>
      </c>
    </row>
    <row r="911" ht="80" customHeight="1">
      <c r="A911" s="7">
        <f>IMAGE("https://images.lululemon.com/is/image/lululemon/LW7DDJS_0001_1?wid=320&amp;op_usm=0.8",1)</f>
        <v/>
      </c>
      <c r="B911" s="7" t="inlineStr">
        <is>
          <t>Softstreme High-Rise Short 4"</t>
        </is>
      </c>
      <c r="C911" s="7" t="inlineStr">
        <is>
          <t>153845921</t>
        </is>
      </c>
      <c r="D911" s="7" t="inlineStr">
        <is>
          <t>153845921-black</t>
        </is>
      </c>
      <c r="E911" s="7" t="inlineStr">
        <is>
          <t>Softstreme High-Rise Short 4" BLK 2</t>
        </is>
      </c>
      <c r="F911" s="7" t="inlineStr">
        <is>
          <t>$78.00</t>
        </is>
      </c>
      <c r="G911" s="7" t="inlineStr">
        <is>
          <t>$39.00</t>
        </is>
      </c>
      <c r="H911" s="7" t="inlineStr">
        <is>
          <t>Black</t>
        </is>
      </c>
      <c r="I911" s="7">
        <f>IMAGE("https://images.lululemon.com/is/image/lululemon/0001",1)</f>
        <v/>
      </c>
      <c r="J911" s="7" t="inlineStr">
        <is>
          <t>6</t>
        </is>
      </c>
      <c r="K911" s="7" t="inlineStr">
        <is>
          <t>101/935</t>
        </is>
      </c>
      <c r="L911" s="7" t="inlineStr">
        <is>
          <t>Yes</t>
        </is>
      </c>
      <c r="M911" s="7" t="inlineStr">
        <is>
          <t>Feel it to believe it. These shorts have a peach-fuzz touch that's impossible to resist. Dress them up or down and enjoy the softness all day.</t>
        </is>
      </c>
      <c r="N911" s="7" t="inlineStr">
        <is>
          <t>Softstreme-HR-Short-4</t>
        </is>
      </c>
      <c r="O911" s="7" t="inlineStr">
        <is>
          <t>Sweat Shorts</t>
        </is>
      </c>
    </row>
    <row r="912" ht="80" customHeight="1">
      <c r="A912" s="4">
        <f>IMAGE("https://images.lululemon.com/is/image/lululemon/LW7DDJS_0001_1?wid=320&amp;op_usm=0.8",1)</f>
        <v/>
      </c>
      <c r="B912" s="4" t="inlineStr">
        <is>
          <t>Softstreme High-Rise Short 4"</t>
        </is>
      </c>
      <c r="C912" s="4" t="inlineStr">
        <is>
          <t>153845928</t>
        </is>
      </c>
      <c r="D912" s="4" t="inlineStr">
        <is>
          <t>153845928-black</t>
        </is>
      </c>
      <c r="E912" s="4" t="inlineStr">
        <is>
          <t>Softstreme High-Rise Short 4" BLK 2</t>
        </is>
      </c>
      <c r="F912" s="4" t="inlineStr">
        <is>
          <t>$78.00</t>
        </is>
      </c>
      <c r="G912" s="4" t="inlineStr">
        <is>
          <t>$39.00</t>
        </is>
      </c>
      <c r="H912" s="4" t="inlineStr">
        <is>
          <t>Black</t>
        </is>
      </c>
      <c r="I912" s="4">
        <f>IMAGE("https://images.lululemon.com/is/image/lululemon/0001",1)</f>
        <v/>
      </c>
      <c r="J912" s="4" t="inlineStr">
        <is>
          <t>8</t>
        </is>
      </c>
      <c r="K912" s="4" t="inlineStr">
        <is>
          <t>34/935</t>
        </is>
      </c>
      <c r="L912" s="4" t="inlineStr">
        <is>
          <t>Yes</t>
        </is>
      </c>
      <c r="M912" s="4" t="inlineStr">
        <is>
          <t>Feel it to believe it. These shorts have a peach-fuzz touch that's impossible to resist. Dress them up or down and enjoy the softness all day.</t>
        </is>
      </c>
      <c r="N912" s="4" t="inlineStr">
        <is>
          <t>Softstreme-HR-Short-4</t>
        </is>
      </c>
      <c r="O912" s="4" t="inlineStr">
        <is>
          <t>Sweat Shorts</t>
        </is>
      </c>
    </row>
    <row r="913" ht="80" customHeight="1">
      <c r="A913" s="7">
        <f>IMAGE("https://images.lululemon.com/is/image/lululemon/LW7DDJS_0001_1?wid=320&amp;op_usm=0.8",1)</f>
        <v/>
      </c>
      <c r="B913" s="7" t="inlineStr">
        <is>
          <t>Softstreme High-Rise Short 4"</t>
        </is>
      </c>
      <c r="C913" s="7" t="inlineStr">
        <is>
          <t>153845847</t>
        </is>
      </c>
      <c r="D913" s="7" t="inlineStr">
        <is>
          <t>153845847-black</t>
        </is>
      </c>
      <c r="E913" s="7" t="inlineStr">
        <is>
          <t>Softstreme High-Rise Short 4" BLK 2</t>
        </is>
      </c>
      <c r="F913" s="7" t="inlineStr">
        <is>
          <t>$78.00</t>
        </is>
      </c>
      <c r="G913" s="7" t="inlineStr">
        <is>
          <t>$39.00</t>
        </is>
      </c>
      <c r="H913" s="7" t="inlineStr">
        <is>
          <t>Black</t>
        </is>
      </c>
      <c r="I913" s="7">
        <f>IMAGE("https://images.lululemon.com/is/image/lululemon/0001",1)</f>
        <v/>
      </c>
      <c r="J913" s="7" t="inlineStr">
        <is>
          <t>10</t>
        </is>
      </c>
      <c r="K913" s="7" t="inlineStr">
        <is>
          <t>1/935</t>
        </is>
      </c>
      <c r="L913" s="7" t="inlineStr">
        <is>
          <t>Yes</t>
        </is>
      </c>
      <c r="M913" s="7" t="inlineStr">
        <is>
          <t>Feel it to believe it. These shorts have a peach-fuzz touch that's impossible to resist. Dress them up or down and enjoy the softness all day.</t>
        </is>
      </c>
      <c r="N913" s="7" t="inlineStr">
        <is>
          <t>Softstreme-HR-Short-4</t>
        </is>
      </c>
      <c r="O913" s="7" t="inlineStr">
        <is>
          <t>Sweat Shorts</t>
        </is>
      </c>
    </row>
    <row r="914" ht="80" customHeight="1">
      <c r="A914" s="4">
        <f>IMAGE("https://images.lululemon.com/is/image/lululemon/LW7DDJS_0001_1?wid=320&amp;op_usm=0.8",1)</f>
        <v/>
      </c>
      <c r="B914" s="4" t="inlineStr">
        <is>
          <t>Softstreme High-Rise Short 4"</t>
        </is>
      </c>
      <c r="C914" s="4" t="inlineStr">
        <is>
          <t>153845849</t>
        </is>
      </c>
      <c r="D914" s="4" t="inlineStr">
        <is>
          <t>153845849-black</t>
        </is>
      </c>
      <c r="E914" s="4" t="inlineStr">
        <is>
          <t>Softstreme High-Rise Short 4" BLK 2</t>
        </is>
      </c>
      <c r="F914" s="4" t="inlineStr">
        <is>
          <t>$78.00</t>
        </is>
      </c>
      <c r="G914" s="4" t="inlineStr">
        <is>
          <t>$39.00</t>
        </is>
      </c>
      <c r="H914" s="4" t="inlineStr">
        <is>
          <t>Black</t>
        </is>
      </c>
      <c r="I914" s="4">
        <f>IMAGE("https://images.lululemon.com/is/image/lululemon/0001",1)</f>
        <v/>
      </c>
      <c r="J914" s="4" t="inlineStr">
        <is>
          <t>12</t>
        </is>
      </c>
      <c r="K914" s="4" t="inlineStr">
        <is>
          <t>15/935</t>
        </is>
      </c>
      <c r="L914" s="4" t="inlineStr">
        <is>
          <t>Yes</t>
        </is>
      </c>
      <c r="M914" s="4" t="inlineStr">
        <is>
          <t>Feel it to believe it. These shorts have a peach-fuzz touch that's impossible to resist. Dress them up or down and enjoy the softness all day.</t>
        </is>
      </c>
      <c r="N914" s="4" t="inlineStr">
        <is>
          <t>Softstreme-HR-Short-4</t>
        </is>
      </c>
      <c r="O914" s="4" t="inlineStr">
        <is>
          <t>Sweat Shorts</t>
        </is>
      </c>
    </row>
    <row r="915" ht="80" customHeight="1">
      <c r="A915" s="7">
        <f>IMAGE("https://images.lululemon.com/is/image/lululemon/LW7DDJS_0001_1?wid=320&amp;op_usm=0.8",1)</f>
        <v/>
      </c>
      <c r="B915" s="7" t="inlineStr">
        <is>
          <t>Softstreme High-Rise Short 4"</t>
        </is>
      </c>
      <c r="C915" s="7" t="inlineStr">
        <is>
          <t>155752516</t>
        </is>
      </c>
      <c r="D915" s="7" t="inlineStr">
        <is>
          <t>155752516-sheeroak</t>
        </is>
      </c>
      <c r="E915" s="7" t="inlineStr">
        <is>
          <t>Softstreme High-Rise Short 4" BLK 2</t>
        </is>
      </c>
      <c r="F915" s="7" t="inlineStr">
        <is>
          <t>$78.00</t>
        </is>
      </c>
      <c r="G915" s="7" t="inlineStr">
        <is>
          <t>$39.00</t>
        </is>
      </c>
      <c r="H915" s="7" t="inlineStr">
        <is>
          <t>Sheer Oak</t>
        </is>
      </c>
      <c r="I915" s="7">
        <f>IMAGE("https://images.lululemon.com/is/image/lululemon/68684",1)</f>
        <v/>
      </c>
      <c r="J915" s="7" t="inlineStr">
        <is>
          <t>2</t>
        </is>
      </c>
      <c r="K915" s="7" t="inlineStr">
        <is>
          <t>60/935</t>
        </is>
      </c>
      <c r="L915" s="7" t="inlineStr">
        <is>
          <t>Yes</t>
        </is>
      </c>
      <c r="M915" s="7" t="inlineStr">
        <is>
          <t>Feel it to believe it. These shorts have a peach-fuzz touch that's impossible to resist. Dress them up or down and enjoy the softness all day.</t>
        </is>
      </c>
      <c r="N915" s="7" t="inlineStr">
        <is>
          <t>Softstreme-HR-Short-4</t>
        </is>
      </c>
      <c r="O915" s="7" t="inlineStr">
        <is>
          <t>Sweat Shorts</t>
        </is>
      </c>
    </row>
    <row r="916" ht="80" customHeight="1">
      <c r="A916" s="4">
        <f>IMAGE("https://images.lululemon.com/is/image/lululemon/LW7DDJS_0001_1?wid=320&amp;op_usm=0.8",1)</f>
        <v/>
      </c>
      <c r="B916" s="4" t="inlineStr">
        <is>
          <t>Softstreme High-Rise Short 4"</t>
        </is>
      </c>
      <c r="C916" s="4" t="inlineStr">
        <is>
          <t>155752539</t>
        </is>
      </c>
      <c r="D916" s="4" t="inlineStr">
        <is>
          <t>155752539-sheeroak</t>
        </is>
      </c>
      <c r="E916" s="4" t="inlineStr">
        <is>
          <t>Softstreme High-Rise Short 4" BLK 2</t>
        </is>
      </c>
      <c r="F916" s="4" t="inlineStr">
        <is>
          <t>$78.00</t>
        </is>
      </c>
      <c r="G916" s="4" t="inlineStr">
        <is>
          <t>$39.00</t>
        </is>
      </c>
      <c r="H916" s="4" t="inlineStr">
        <is>
          <t>Sheer Oak</t>
        </is>
      </c>
      <c r="I916" s="4">
        <f>IMAGE("https://images.lululemon.com/is/image/lululemon/68684",1)</f>
        <v/>
      </c>
      <c r="J916" s="4" t="inlineStr">
        <is>
          <t>4</t>
        </is>
      </c>
      <c r="K916" s="4" t="inlineStr">
        <is>
          <t>67/935</t>
        </is>
      </c>
      <c r="L916" s="4" t="inlineStr">
        <is>
          <t>Yes</t>
        </is>
      </c>
      <c r="M916" s="4" t="inlineStr">
        <is>
          <t>Feel it to believe it. These shorts have a peach-fuzz touch that's impossible to resist. Dress them up or down and enjoy the softness all day.</t>
        </is>
      </c>
      <c r="N916" s="4" t="inlineStr">
        <is>
          <t>Softstreme-HR-Short-4</t>
        </is>
      </c>
      <c r="O916" s="4" t="inlineStr">
        <is>
          <t>Sweat Shorts</t>
        </is>
      </c>
    </row>
    <row r="917" ht="80" customHeight="1">
      <c r="A917" s="7">
        <f>IMAGE("https://images.lululemon.com/is/image/lululemon/LW7DDJS_0001_1?wid=320&amp;op_usm=0.8",1)</f>
        <v/>
      </c>
      <c r="B917" s="7" t="inlineStr">
        <is>
          <t>Softstreme High-Rise Short 4"</t>
        </is>
      </c>
      <c r="C917" s="7" t="inlineStr">
        <is>
          <t>155752544</t>
        </is>
      </c>
      <c r="D917" s="7" t="inlineStr">
        <is>
          <t>155752544-sheeroak</t>
        </is>
      </c>
      <c r="E917" s="7" t="inlineStr">
        <is>
          <t>Softstreme High-Rise Short 4" BLK 2</t>
        </is>
      </c>
      <c r="F917" s="7" t="inlineStr">
        <is>
          <t>$78.00</t>
        </is>
      </c>
      <c r="G917" s="7" t="inlineStr">
        <is>
          <t>$39.00</t>
        </is>
      </c>
      <c r="H917" s="7" t="inlineStr">
        <is>
          <t>Sheer Oak</t>
        </is>
      </c>
      <c r="I917" s="7">
        <f>IMAGE("https://images.lululemon.com/is/image/lululemon/68684",1)</f>
        <v/>
      </c>
      <c r="J917" s="7" t="inlineStr">
        <is>
          <t>6</t>
        </is>
      </c>
      <c r="K917" s="7" t="inlineStr">
        <is>
          <t>46/935</t>
        </is>
      </c>
      <c r="L917" s="7" t="inlineStr">
        <is>
          <t>Yes</t>
        </is>
      </c>
      <c r="M917" s="7" t="inlineStr">
        <is>
          <t>Feel it to believe it. These shorts have a peach-fuzz touch that's impossible to resist. Dress them up or down and enjoy the softness all day.</t>
        </is>
      </c>
      <c r="N917" s="7" t="inlineStr">
        <is>
          <t>Softstreme-HR-Short-4</t>
        </is>
      </c>
      <c r="O917" s="7" t="inlineStr">
        <is>
          <t>Sweat Shorts</t>
        </is>
      </c>
    </row>
    <row r="918" ht="80" customHeight="1">
      <c r="A918" s="4">
        <f>IMAGE("https://images.lululemon.com/is/image/lululemon/LW7DDJS_0001_1?wid=320&amp;op_usm=0.8",1)</f>
        <v/>
      </c>
      <c r="B918" s="4" t="inlineStr">
        <is>
          <t>Softstreme High-Rise Short 4"</t>
        </is>
      </c>
      <c r="C918" s="4" t="inlineStr">
        <is>
          <t>155752548</t>
        </is>
      </c>
      <c r="D918" s="4" t="inlineStr">
        <is>
          <t>155752548-sheeroak</t>
        </is>
      </c>
      <c r="E918" s="4" t="inlineStr">
        <is>
          <t>Softstreme High-Rise Short 4" BLK 2</t>
        </is>
      </c>
      <c r="F918" s="4" t="inlineStr">
        <is>
          <t>$78.00</t>
        </is>
      </c>
      <c r="G918" s="4" t="inlineStr">
        <is>
          <t>$39.00</t>
        </is>
      </c>
      <c r="H918" s="4" t="inlineStr">
        <is>
          <t>Sheer Oak</t>
        </is>
      </c>
      <c r="I918" s="4">
        <f>IMAGE("https://images.lululemon.com/is/image/lululemon/68684",1)</f>
        <v/>
      </c>
      <c r="J918" s="4" t="inlineStr">
        <is>
          <t>8</t>
        </is>
      </c>
      <c r="K918" s="4" t="inlineStr">
        <is>
          <t>19/935</t>
        </is>
      </c>
      <c r="L918" s="4" t="inlineStr">
        <is>
          <t>Yes</t>
        </is>
      </c>
      <c r="M918" s="4" t="inlineStr">
        <is>
          <t>Feel it to believe it. These shorts have a peach-fuzz touch that's impossible to resist. Dress them up or down and enjoy the softness all day.</t>
        </is>
      </c>
      <c r="N918" s="4" t="inlineStr">
        <is>
          <t>Softstreme-HR-Short-4</t>
        </is>
      </c>
      <c r="O918" s="4" t="inlineStr">
        <is>
          <t>Sweat Shorts</t>
        </is>
      </c>
    </row>
    <row r="919" ht="80" customHeight="1">
      <c r="A919" s="7">
        <f>IMAGE("https://images.lululemon.com/is/image/lululemon/LW7DDJS_0001_1?wid=320&amp;op_usm=0.8",1)</f>
        <v/>
      </c>
      <c r="B919" s="7" t="inlineStr">
        <is>
          <t>Softstreme High-Rise Short 4"</t>
        </is>
      </c>
      <c r="C919" s="7" t="inlineStr">
        <is>
          <t>155752487</t>
        </is>
      </c>
      <c r="D919" s="7" t="inlineStr">
        <is>
          <t>155752487-sheeroak</t>
        </is>
      </c>
      <c r="E919" s="7" t="inlineStr">
        <is>
          <t>Softstreme High-Rise Short 4" BLK 2</t>
        </is>
      </c>
      <c r="F919" s="7" t="inlineStr">
        <is>
          <t>$78.00</t>
        </is>
      </c>
      <c r="G919" s="7" t="inlineStr">
        <is>
          <t>$39.00</t>
        </is>
      </c>
      <c r="H919" s="7" t="inlineStr">
        <is>
          <t>Sheer Oak</t>
        </is>
      </c>
      <c r="I919" s="7">
        <f>IMAGE("https://images.lululemon.com/is/image/lululemon/68684",1)</f>
        <v/>
      </c>
      <c r="J919" s="7" t="inlineStr">
        <is>
          <t>10</t>
        </is>
      </c>
      <c r="K919" s="7" t="inlineStr">
        <is>
          <t>8/935</t>
        </is>
      </c>
      <c r="L919" s="7" t="inlineStr">
        <is>
          <t>Yes</t>
        </is>
      </c>
      <c r="M919" s="7" t="inlineStr">
        <is>
          <t>Feel it to believe it. These shorts have a peach-fuzz touch that's impossible to resist. Dress them up or down and enjoy the softness all day.</t>
        </is>
      </c>
      <c r="N919" s="7" t="inlineStr">
        <is>
          <t>Softstreme-HR-Short-4</t>
        </is>
      </c>
      <c r="O919" s="7" t="inlineStr">
        <is>
          <t>Sweat Shorts</t>
        </is>
      </c>
    </row>
    <row r="920" ht="80" customHeight="1">
      <c r="A920" s="4">
        <f>IMAGE("https://images.lululemon.com/is/image/lululemon/LW7DDJS_0001_1?wid=320&amp;op_usm=0.8",1)</f>
        <v/>
      </c>
      <c r="B920" s="4" t="inlineStr">
        <is>
          <t>Softstreme High-Rise Short 4"</t>
        </is>
      </c>
      <c r="C920" s="4" t="inlineStr">
        <is>
          <t>155752493</t>
        </is>
      </c>
      <c r="D920" s="4" t="inlineStr">
        <is>
          <t>155752493-sheeroak</t>
        </is>
      </c>
      <c r="E920" s="4" t="inlineStr">
        <is>
          <t>Softstreme High-Rise Short 4" BLK 2</t>
        </is>
      </c>
      <c r="F920" s="4" t="inlineStr">
        <is>
          <t>$78.00</t>
        </is>
      </c>
      <c r="G920" s="4" t="inlineStr">
        <is>
          <t>$39.00</t>
        </is>
      </c>
      <c r="H920" s="4" t="inlineStr">
        <is>
          <t>Sheer Oak</t>
        </is>
      </c>
      <c r="I920" s="4">
        <f>IMAGE("https://images.lululemon.com/is/image/lululemon/68684",1)</f>
        <v/>
      </c>
      <c r="J920" s="4" t="inlineStr">
        <is>
          <t>12</t>
        </is>
      </c>
      <c r="K920" s="4" t="inlineStr">
        <is>
          <t>9/935</t>
        </is>
      </c>
      <c r="L920" s="4" t="inlineStr">
        <is>
          <t>Yes</t>
        </is>
      </c>
      <c r="M920" s="4" t="inlineStr">
        <is>
          <t>Feel it to believe it. These shorts have a peach-fuzz touch that's impossible to resist. Dress them up or down and enjoy the softness all day.</t>
        </is>
      </c>
      <c r="N920" s="4" t="inlineStr">
        <is>
          <t>Softstreme-HR-Short-4</t>
        </is>
      </c>
      <c r="O920" s="4" t="inlineStr">
        <is>
          <t>Sweat Shorts</t>
        </is>
      </c>
    </row>
    <row r="921" ht="80" customHeight="1">
      <c r="A921" s="7">
        <f>IMAGE("https://images.lululemon.com/is/image/lululemon/LW7DDJS_0001_1?wid=320&amp;op_usm=0.8",1)</f>
        <v/>
      </c>
      <c r="B921" s="7" t="inlineStr">
        <is>
          <t>Softstreme High-Rise Short 4"</t>
        </is>
      </c>
      <c r="C921" s="7" t="inlineStr">
        <is>
          <t>155853811</t>
        </is>
      </c>
      <c r="D921" s="7" t="inlineStr">
        <is>
          <t>155853811-lightivory</t>
        </is>
      </c>
      <c r="E921" s="7" t="inlineStr">
        <is>
          <t>Softstreme High-Rise Short 4" BLK 2</t>
        </is>
      </c>
      <c r="F921" s="7" t="inlineStr">
        <is>
          <t>$78.00</t>
        </is>
      </c>
      <c r="G921" s="7" t="inlineStr">
        <is>
          <t>$39.00</t>
        </is>
      </c>
      <c r="H921" s="7" t="inlineStr">
        <is>
          <t>Light Ivory</t>
        </is>
      </c>
      <c r="I921" s="7">
        <f>IMAGE("https://images.lululemon.com/is/image/lululemon/33454",1)</f>
        <v/>
      </c>
      <c r="J921" s="7" t="inlineStr">
        <is>
          <t>XS</t>
        </is>
      </c>
      <c r="K921" s="7" t="inlineStr">
        <is>
          <t>4/935</t>
        </is>
      </c>
      <c r="L921" s="7" t="inlineStr">
        <is>
          <t>Yes</t>
        </is>
      </c>
      <c r="M921" s="7" t="inlineStr">
        <is>
          <t>Feel it to believe it. These shorts have a peach-fuzz touch that's impossible to resist. Dress them up or down and enjoy the softness all day.</t>
        </is>
      </c>
      <c r="N921" s="7" t="inlineStr">
        <is>
          <t>Softstreme-HR-Short-4</t>
        </is>
      </c>
      <c r="O921" s="7" t="inlineStr">
        <is>
          <t>Sweat Shorts</t>
        </is>
      </c>
    </row>
    <row r="922" ht="80" customHeight="1">
      <c r="A922" s="4">
        <f>IMAGE("https://images.lululemon.com/is/image/lululemon/LW7DDJS_0001_1?wid=320&amp;op_usm=0.8",1)</f>
        <v/>
      </c>
      <c r="B922" s="4" t="inlineStr">
        <is>
          <t>Softstreme High-Rise Short 4"</t>
        </is>
      </c>
      <c r="C922" s="4" t="inlineStr">
        <is>
          <t>155853798</t>
        </is>
      </c>
      <c r="D922" s="4" t="inlineStr">
        <is>
          <t>155853798-lightivory</t>
        </is>
      </c>
      <c r="E922" s="4" t="inlineStr">
        <is>
          <t>Softstreme High-Rise Short 4" BLK 2</t>
        </is>
      </c>
      <c r="F922" s="4" t="inlineStr">
        <is>
          <t>$78.00</t>
        </is>
      </c>
      <c r="G922" s="4" t="inlineStr">
        <is>
          <t>$39.00</t>
        </is>
      </c>
      <c r="H922" s="4" t="inlineStr">
        <is>
          <t>Light Ivory</t>
        </is>
      </c>
      <c r="I922" s="4">
        <f>IMAGE("https://images.lululemon.com/is/image/lululemon/33454",1)</f>
        <v/>
      </c>
      <c r="J922" s="4" t="inlineStr">
        <is>
          <t>S</t>
        </is>
      </c>
      <c r="K922" s="4" t="inlineStr">
        <is>
          <t>32/935</t>
        </is>
      </c>
      <c r="L922" s="4" t="inlineStr">
        <is>
          <t>Yes</t>
        </is>
      </c>
      <c r="M922" s="4" t="inlineStr">
        <is>
          <t>Feel it to believe it. These shorts have a peach-fuzz touch that's impossible to resist. Dress them up or down and enjoy the softness all day.</t>
        </is>
      </c>
      <c r="N922" s="4" t="inlineStr">
        <is>
          <t>Softstreme-HR-Short-4</t>
        </is>
      </c>
      <c r="O922" s="4" t="inlineStr">
        <is>
          <t>Sweat Shorts</t>
        </is>
      </c>
    </row>
    <row r="923" ht="80" customHeight="1">
      <c r="A923" s="7">
        <f>IMAGE("https://images.lululemon.com/is/image/lululemon/LW7DDJS_0001_1?wid=320&amp;op_usm=0.8",1)</f>
        <v/>
      </c>
      <c r="B923" s="7" t="inlineStr">
        <is>
          <t>Softstreme High-Rise Short 4"</t>
        </is>
      </c>
      <c r="C923" s="7" t="inlineStr">
        <is>
          <t>155853792</t>
        </is>
      </c>
      <c r="D923" s="7" t="inlineStr">
        <is>
          <t>155853792-lightivory</t>
        </is>
      </c>
      <c r="E923" s="7" t="inlineStr">
        <is>
          <t>Softstreme High-Rise Short 4" BLK 2</t>
        </is>
      </c>
      <c r="F923" s="7" t="inlineStr">
        <is>
          <t>$78.00</t>
        </is>
      </c>
      <c r="G923" s="7" t="inlineStr">
        <is>
          <t>$39.00</t>
        </is>
      </c>
      <c r="H923" s="7" t="inlineStr">
        <is>
          <t>Light Ivory</t>
        </is>
      </c>
      <c r="I923" s="7">
        <f>IMAGE("https://images.lululemon.com/is/image/lululemon/33454",1)</f>
        <v/>
      </c>
      <c r="J923" s="7" t="inlineStr">
        <is>
          <t>M</t>
        </is>
      </c>
      <c r="K923" s="7" t="inlineStr">
        <is>
          <t>53/935</t>
        </is>
      </c>
      <c r="L923" s="7" t="inlineStr">
        <is>
          <t>Yes</t>
        </is>
      </c>
      <c r="M923" s="7" t="inlineStr">
        <is>
          <t>Feel it to believe it. These shorts have a peach-fuzz touch that's impossible to resist. Dress them up or down and enjoy the softness all day.</t>
        </is>
      </c>
      <c r="N923" s="7" t="inlineStr">
        <is>
          <t>Softstreme-HR-Short-4</t>
        </is>
      </c>
      <c r="O923" s="7" t="inlineStr">
        <is>
          <t>Sweat Shorts</t>
        </is>
      </c>
    </row>
    <row r="924" ht="80" customHeight="1">
      <c r="A924" s="4">
        <f>IMAGE("https://images.lululemon.com/is/image/lululemon/LW7DDJS_0001_1?wid=320&amp;op_usm=0.8",1)</f>
        <v/>
      </c>
      <c r="B924" s="4" t="inlineStr">
        <is>
          <t>Softstreme High-Rise Short 4"</t>
        </is>
      </c>
      <c r="C924" s="4" t="inlineStr">
        <is>
          <t>155853783</t>
        </is>
      </c>
      <c r="D924" s="4" t="inlineStr">
        <is>
          <t>155853783-lightivory</t>
        </is>
      </c>
      <c r="E924" s="4" t="inlineStr">
        <is>
          <t>Softstreme High-Rise Short 4" BLK 2</t>
        </is>
      </c>
      <c r="F924" s="4" t="inlineStr">
        <is>
          <t>$78.00</t>
        </is>
      </c>
      <c r="G924" s="4" t="inlineStr">
        <is>
          <t>$39.00</t>
        </is>
      </c>
      <c r="H924" s="4" t="inlineStr">
        <is>
          <t>Light Ivory</t>
        </is>
      </c>
      <c r="I924" s="4">
        <f>IMAGE("https://images.lululemon.com/is/image/lululemon/33454",1)</f>
        <v/>
      </c>
      <c r="J924" s="4" t="inlineStr">
        <is>
          <t>L</t>
        </is>
      </c>
      <c r="K924" s="4" t="inlineStr">
        <is>
          <t>47/935</t>
        </is>
      </c>
      <c r="L924" s="4" t="inlineStr">
        <is>
          <t>Yes</t>
        </is>
      </c>
      <c r="M924" s="4" t="inlineStr">
        <is>
          <t>Feel it to believe it. These shorts have a peach-fuzz touch that's impossible to resist. Dress them up or down and enjoy the softness all day.</t>
        </is>
      </c>
      <c r="N924" s="4" t="inlineStr">
        <is>
          <t>Softstreme-HR-Short-4</t>
        </is>
      </c>
      <c r="O924" s="4" t="inlineStr">
        <is>
          <t>Sweat Shorts</t>
        </is>
      </c>
    </row>
    <row r="925" ht="80" customHeight="1">
      <c r="A925" s="7">
        <f>IMAGE("https://images.lululemon.com/is/image/lululemon/LW7DDJS_0001_1?wid=320&amp;op_usm=0.8",1)</f>
        <v/>
      </c>
      <c r="B925" s="7" t="inlineStr">
        <is>
          <t>Softstreme High-Rise Short 4"</t>
        </is>
      </c>
      <c r="C925" s="7" t="inlineStr">
        <is>
          <t>155853803</t>
        </is>
      </c>
      <c r="D925" s="7" t="inlineStr">
        <is>
          <t>155853803-lightivory</t>
        </is>
      </c>
      <c r="E925" s="7" t="inlineStr">
        <is>
          <t>Softstreme High-Rise Short 4" BLK 2</t>
        </is>
      </c>
      <c r="F925" s="7" t="inlineStr">
        <is>
          <t>$78.00</t>
        </is>
      </c>
      <c r="G925" s="7" t="inlineStr">
        <is>
          <t>$39.00</t>
        </is>
      </c>
      <c r="H925" s="7" t="inlineStr">
        <is>
          <t>Light Ivory</t>
        </is>
      </c>
      <c r="I925" s="7">
        <f>IMAGE("https://images.lululemon.com/is/image/lululemon/33454",1)</f>
        <v/>
      </c>
      <c r="J925" s="7" t="inlineStr">
        <is>
          <t>XL</t>
        </is>
      </c>
      <c r="K925" s="7" t="inlineStr">
        <is>
          <t>39/935</t>
        </is>
      </c>
      <c r="L925" s="7" t="inlineStr">
        <is>
          <t>Yes</t>
        </is>
      </c>
      <c r="M925" s="7" t="inlineStr">
        <is>
          <t>Feel it to believe it. These shorts have a peach-fuzz touch that's impossible to resist. Dress them up or down and enjoy the softness all day.</t>
        </is>
      </c>
      <c r="N925" s="7" t="inlineStr">
        <is>
          <t>Softstreme-HR-Short-4</t>
        </is>
      </c>
      <c r="O925" s="7" t="inlineStr">
        <is>
          <t>Sweat Shorts</t>
        </is>
      </c>
    </row>
    <row r="926" ht="80" customHeight="1">
      <c r="A926" s="4">
        <f>IMAGE("https://images.lululemon.com/is/image/lululemon/LW7DDJS_0001_1?wid=320&amp;op_usm=0.8",1)</f>
        <v/>
      </c>
      <c r="B926" s="4" t="inlineStr">
        <is>
          <t>Softstreme High-Rise Short 4"</t>
        </is>
      </c>
      <c r="C926" s="4" t="inlineStr">
        <is>
          <t>158022661</t>
        </is>
      </c>
      <c r="D926" s="4" t="inlineStr">
        <is>
          <t>158022661-grapemist</t>
        </is>
      </c>
      <c r="E926" s="4" t="inlineStr">
        <is>
          <t>Softstreme High-Rise Short 4" BLK 2</t>
        </is>
      </c>
      <c r="F926" s="4" t="inlineStr">
        <is>
          <t>$78.00</t>
        </is>
      </c>
      <c r="G926" s="4" t="inlineStr">
        <is>
          <t>$39.00</t>
        </is>
      </c>
      <c r="H926" s="4" t="inlineStr">
        <is>
          <t>Grape Mist</t>
        </is>
      </c>
      <c r="I926" s="4">
        <f>IMAGE("https://images.lululemon.com/is/image/lululemon/0554",1)</f>
        <v/>
      </c>
      <c r="J926" s="4" t="inlineStr">
        <is>
          <t>XS</t>
        </is>
      </c>
      <c r="K926" s="4" t="inlineStr">
        <is>
          <t>9/935</t>
        </is>
      </c>
      <c r="L926" s="4" t="inlineStr">
        <is>
          <t>Yes</t>
        </is>
      </c>
      <c r="M926" s="4" t="inlineStr">
        <is>
          <t>Feel it to believe it. These shorts have a peach-fuzz touch that's impossible to resist. Dress them up or down and enjoy the softness all day.</t>
        </is>
      </c>
      <c r="N926" s="4" t="inlineStr">
        <is>
          <t>Softstreme-HR-Short-4</t>
        </is>
      </c>
      <c r="O926" s="4" t="inlineStr">
        <is>
          <t>Sweat Shorts</t>
        </is>
      </c>
    </row>
    <row r="927" ht="80" customHeight="1">
      <c r="A927" s="7">
        <f>IMAGE("https://images.lululemon.com/is/image/lululemon/LW7DDJS_0001_1?wid=320&amp;op_usm=0.8",1)</f>
        <v/>
      </c>
      <c r="B927" s="7" t="inlineStr">
        <is>
          <t>Softstreme High-Rise Short 4"</t>
        </is>
      </c>
      <c r="C927" s="7" t="inlineStr">
        <is>
          <t>158022652</t>
        </is>
      </c>
      <c r="D927" s="7" t="inlineStr">
        <is>
          <t>158022652-grapemist</t>
        </is>
      </c>
      <c r="E927" s="7" t="inlineStr">
        <is>
          <t>Softstreme High-Rise Short 4" BLK 2</t>
        </is>
      </c>
      <c r="F927" s="7" t="inlineStr">
        <is>
          <t>$78.00</t>
        </is>
      </c>
      <c r="G927" s="7" t="inlineStr">
        <is>
          <t>$39.00</t>
        </is>
      </c>
      <c r="H927" s="7" t="inlineStr">
        <is>
          <t>Grape Mist</t>
        </is>
      </c>
      <c r="I927" s="7">
        <f>IMAGE("https://images.lululemon.com/is/image/lululemon/0554",1)</f>
        <v/>
      </c>
      <c r="J927" s="7" t="inlineStr">
        <is>
          <t>S</t>
        </is>
      </c>
      <c r="K927" s="7" t="inlineStr">
        <is>
          <t>17/935</t>
        </is>
      </c>
      <c r="L927" s="7" t="inlineStr">
        <is>
          <t>Yes</t>
        </is>
      </c>
      <c r="M927" s="7" t="inlineStr">
        <is>
          <t>Feel it to believe it. These shorts have a peach-fuzz touch that's impossible to resist. Dress them up or down and enjoy the softness all day.</t>
        </is>
      </c>
      <c r="N927" s="7" t="inlineStr">
        <is>
          <t>Softstreme-HR-Short-4</t>
        </is>
      </c>
      <c r="O927" s="7" t="inlineStr">
        <is>
          <t>Sweat Shorts</t>
        </is>
      </c>
    </row>
    <row r="928" ht="80" customHeight="1">
      <c r="A928" s="4">
        <f>IMAGE("https://images.lululemon.com/is/image/lululemon/LW7DDJS_0001_1?wid=320&amp;op_usm=0.8",1)</f>
        <v/>
      </c>
      <c r="B928" s="4" t="inlineStr">
        <is>
          <t>Softstreme High-Rise Short 4"</t>
        </is>
      </c>
      <c r="C928" s="4" t="inlineStr">
        <is>
          <t>158022648</t>
        </is>
      </c>
      <c r="D928" s="4" t="inlineStr">
        <is>
          <t>158022648-grapemist</t>
        </is>
      </c>
      <c r="E928" s="4" t="inlineStr">
        <is>
          <t>Softstreme High-Rise Short 4" BLK 2</t>
        </is>
      </c>
      <c r="F928" s="4" t="inlineStr">
        <is>
          <t>$78.00</t>
        </is>
      </c>
      <c r="G928" s="4" t="inlineStr">
        <is>
          <t>$39.00</t>
        </is>
      </c>
      <c r="H928" s="4" t="inlineStr">
        <is>
          <t>Grape Mist</t>
        </is>
      </c>
      <c r="I928" s="4">
        <f>IMAGE("https://images.lululemon.com/is/image/lululemon/0554",1)</f>
        <v/>
      </c>
      <c r="J928" s="4" t="inlineStr">
        <is>
          <t>M</t>
        </is>
      </c>
      <c r="K928" s="4" t="inlineStr">
        <is>
          <t>16/935</t>
        </is>
      </c>
      <c r="L928" s="4" t="inlineStr">
        <is>
          <t>Yes</t>
        </is>
      </c>
      <c r="M928" s="4" t="inlineStr">
        <is>
          <t>Feel it to believe it. These shorts have a peach-fuzz touch that's impossible to resist. Dress them up or down and enjoy the softness all day.</t>
        </is>
      </c>
      <c r="N928" s="4" t="inlineStr">
        <is>
          <t>Softstreme-HR-Short-4</t>
        </is>
      </c>
      <c r="O928" s="4" t="inlineStr">
        <is>
          <t>Sweat Shorts</t>
        </is>
      </c>
    </row>
    <row r="929" ht="80" customHeight="1">
      <c r="A929" s="7">
        <f>IMAGE("https://images.lululemon.com/is/image/lululemon/LW7DDJS_0001_1?wid=320&amp;op_usm=0.8",1)</f>
        <v/>
      </c>
      <c r="B929" s="7" t="inlineStr">
        <is>
          <t>Softstreme High-Rise Short 4"</t>
        </is>
      </c>
      <c r="C929" s="7" t="inlineStr">
        <is>
          <t>158022645</t>
        </is>
      </c>
      <c r="D929" s="7" t="inlineStr">
        <is>
          <t>158022645-grapemist</t>
        </is>
      </c>
      <c r="E929" s="7" t="inlineStr">
        <is>
          <t>Softstreme High-Rise Short 4" BLK 2</t>
        </is>
      </c>
      <c r="F929" s="7" t="inlineStr">
        <is>
          <t>$78.00</t>
        </is>
      </c>
      <c r="G929" s="7" t="inlineStr">
        <is>
          <t>$39.00</t>
        </is>
      </c>
      <c r="H929" s="7" t="inlineStr">
        <is>
          <t>Grape Mist</t>
        </is>
      </c>
      <c r="I929" s="7">
        <f>IMAGE("https://images.lululemon.com/is/image/lululemon/0554",1)</f>
        <v/>
      </c>
      <c r="J929" s="7" t="inlineStr">
        <is>
          <t>L</t>
        </is>
      </c>
      <c r="K929" s="7" t="inlineStr">
        <is>
          <t>11/935</t>
        </is>
      </c>
      <c r="L929" s="7" t="inlineStr">
        <is>
          <t>Yes</t>
        </is>
      </c>
      <c r="M929" s="7" t="inlineStr">
        <is>
          <t>Feel it to believe it. These shorts have a peach-fuzz touch that's impossible to resist. Dress them up or down and enjoy the softness all day.</t>
        </is>
      </c>
      <c r="N929" s="7" t="inlineStr">
        <is>
          <t>Softstreme-HR-Short-4</t>
        </is>
      </c>
      <c r="O929" s="7" t="inlineStr">
        <is>
          <t>Sweat Shorts</t>
        </is>
      </c>
    </row>
    <row r="930" ht="80" customHeight="1">
      <c r="A930" s="6">
        <f>IMAGE("https://images.lululemon.com/is/image/lululemon/LW7DDJS_0001_1?wid=320&amp;op_usm=0.8",1)</f>
        <v/>
      </c>
      <c r="B930" s="6" t="inlineStr">
        <is>
          <t>Softstreme High-Rise Short 4"</t>
        </is>
      </c>
      <c r="C930" s="6" t="inlineStr">
        <is>
          <t>158022657</t>
        </is>
      </c>
      <c r="D930" s="6" t="inlineStr">
        <is>
          <t>158022657-grapemist</t>
        </is>
      </c>
      <c r="E930" s="6" t="inlineStr">
        <is>
          <t>Softstreme High-Rise Short 4" BLK 2</t>
        </is>
      </c>
      <c r="F930" s="6" t="inlineStr">
        <is>
          <t>$78.00</t>
        </is>
      </c>
      <c r="G930" s="6" t="inlineStr">
        <is>
          <t>$39.00</t>
        </is>
      </c>
      <c r="H930" s="6" t="inlineStr">
        <is>
          <t>Grape Mist</t>
        </is>
      </c>
      <c r="I930" s="6">
        <f>IMAGE("https://images.lululemon.com/is/image/lululemon/0554",1)</f>
        <v/>
      </c>
      <c r="J930" s="6" t="inlineStr">
        <is>
          <t>XL</t>
        </is>
      </c>
      <c r="K930" s="6" t="inlineStr">
        <is>
          <t>5/935</t>
        </is>
      </c>
      <c r="L930" s="6" t="inlineStr">
        <is>
          <t>Yes</t>
        </is>
      </c>
      <c r="M930" s="6" t="inlineStr">
        <is>
          <t>Feel it to believe it. These shorts have a peach-fuzz touch that's impossible to resist. Dress them up or down and enjoy the softness all day.</t>
        </is>
      </c>
      <c r="N930" s="6" t="inlineStr">
        <is>
          <t>Softstreme-HR-Short-4</t>
        </is>
      </c>
      <c r="O930" s="6" t="inlineStr">
        <is>
          <t>Sweat Shorts</t>
        </is>
      </c>
    </row>
    <row r="931" ht="80" customHeight="1">
      <c r="A931" s="7">
        <f>IMAGE("https://images.lululemon.com/is/image/lululemon/LW1EU8S_025461_1?wid=320&amp;op_usm=0.8",1)</f>
        <v/>
      </c>
      <c r="B931" s="7" t="inlineStr">
        <is>
          <t>lululemon Align™ Cami Strap Dress</t>
        </is>
      </c>
      <c r="C931" s="7" t="inlineStr">
        <is>
          <t>156509060</t>
        </is>
      </c>
      <c r="D931" s="7" t="inlineStr">
        <is>
          <t>156509060-pinkorganza</t>
        </is>
      </c>
      <c r="E931" s="7" t="inlineStr">
        <is>
          <t>lululemon Align™ Cami Strap Dress PNKO 2</t>
        </is>
      </c>
      <c r="F931" s="7" t="inlineStr">
        <is>
          <t>$148.00</t>
        </is>
      </c>
      <c r="G931" s="7" t="inlineStr">
        <is>
          <t>$74.00</t>
        </is>
      </c>
      <c r="H931" s="7" t="inlineStr">
        <is>
          <t>Pink Organza</t>
        </is>
      </c>
      <c r="I931" s="7">
        <f>IMAGE("https://images.lululemon.com/is/image/lululemon/70105",1)</f>
        <v/>
      </c>
      <c r="J931" s="7" t="inlineStr">
        <is>
          <t>2</t>
        </is>
      </c>
      <c r="K931" s="7" t="inlineStr">
        <is>
          <t>62/1583</t>
        </is>
      </c>
      <c r="L931" s="7" t="inlineStr">
        <is>
          <t>Yes</t>
        </is>
      </c>
      <c r="M931" s="7" t="inlineStr">
        <is>
          <t>Get the buttery softness of lululemon Align™ in a dress. Powered by Nulu™ fabric and made with a built-in shorts liner, your poses and postures have never felt this free.</t>
        </is>
      </c>
      <c r="N931" s="7" t="inlineStr">
        <is>
          <t>Align-Cami-Strap-Dress</t>
        </is>
      </c>
      <c r="O931" s="7" t="inlineStr">
        <is>
          <t>Bodycon Dresses</t>
        </is>
      </c>
    </row>
    <row r="932" ht="80" customHeight="1">
      <c r="A932" s="4">
        <f>IMAGE("https://images.lululemon.com/is/image/lululemon/LW1EU8S_025461_1?wid=320&amp;op_usm=0.8",1)</f>
        <v/>
      </c>
      <c r="B932" s="4" t="inlineStr">
        <is>
          <t>lululemon Align™ Cami Strap Dress</t>
        </is>
      </c>
      <c r="C932" s="4" t="inlineStr">
        <is>
          <t>156509080</t>
        </is>
      </c>
      <c r="D932" s="4" t="inlineStr">
        <is>
          <t>156509080-pinkorganza</t>
        </is>
      </c>
      <c r="E932" s="4" t="inlineStr">
        <is>
          <t>lululemon Align™ Cami Strap Dress PNKO 2</t>
        </is>
      </c>
      <c r="F932" s="4" t="inlineStr">
        <is>
          <t>$148.00</t>
        </is>
      </c>
      <c r="G932" s="4" t="inlineStr">
        <is>
          <t>$74.00</t>
        </is>
      </c>
      <c r="H932" s="4" t="inlineStr">
        <is>
          <t>Pink Organza</t>
        </is>
      </c>
      <c r="I932" s="4">
        <f>IMAGE("https://images.lululemon.com/is/image/lululemon/70105",1)</f>
        <v/>
      </c>
      <c r="J932" s="4" t="inlineStr">
        <is>
          <t>4</t>
        </is>
      </c>
      <c r="K932" s="4" t="inlineStr">
        <is>
          <t>251/1583</t>
        </is>
      </c>
      <c r="L932" s="4" t="inlineStr">
        <is>
          <t>Yes</t>
        </is>
      </c>
      <c r="M932" s="4" t="inlineStr">
        <is>
          <t>Get the buttery softness of lululemon Align™ in a dress. Powered by Nulu™ fabric and made with a built-in shorts liner, your poses and postures have never felt this free.</t>
        </is>
      </c>
      <c r="N932" s="4" t="inlineStr">
        <is>
          <t>Align-Cami-Strap-Dress</t>
        </is>
      </c>
      <c r="O932" s="4" t="inlineStr">
        <is>
          <t>Bodycon Dresses</t>
        </is>
      </c>
    </row>
    <row r="933" ht="80" customHeight="1">
      <c r="A933" s="7">
        <f>IMAGE("https://images.lululemon.com/is/image/lululemon/LW1EU8S_025461_1?wid=320&amp;op_usm=0.8",1)</f>
        <v/>
      </c>
      <c r="B933" s="7" t="inlineStr">
        <is>
          <t>lululemon Align™ Cami Strap Dress</t>
        </is>
      </c>
      <c r="C933" s="7" t="inlineStr">
        <is>
          <t>156509084</t>
        </is>
      </c>
      <c r="D933" s="7" t="inlineStr">
        <is>
          <t>156509084-pinkorganza</t>
        </is>
      </c>
      <c r="E933" s="7" t="inlineStr">
        <is>
          <t>lululemon Align™ Cami Strap Dress PNKO 2</t>
        </is>
      </c>
      <c r="F933" s="7" t="inlineStr">
        <is>
          <t>$148.00</t>
        </is>
      </c>
      <c r="G933" s="7" t="inlineStr">
        <is>
          <t>$74.00</t>
        </is>
      </c>
      <c r="H933" s="7" t="inlineStr">
        <is>
          <t>Pink Organza</t>
        </is>
      </c>
      <c r="I933" s="7">
        <f>IMAGE("https://images.lululemon.com/is/image/lululemon/70105",1)</f>
        <v/>
      </c>
      <c r="J933" s="7" t="inlineStr">
        <is>
          <t>6</t>
        </is>
      </c>
      <c r="K933" s="7" t="inlineStr">
        <is>
          <t>354/1583</t>
        </is>
      </c>
      <c r="L933" s="7" t="inlineStr">
        <is>
          <t>Yes</t>
        </is>
      </c>
      <c r="M933" s="7" t="inlineStr">
        <is>
          <t>Get the buttery softness of lululemon Align™ in a dress. Powered by Nulu™ fabric and made with a built-in shorts liner, your poses and postures have never felt this free.</t>
        </is>
      </c>
      <c r="N933" s="7" t="inlineStr">
        <is>
          <t>Align-Cami-Strap-Dress</t>
        </is>
      </c>
      <c r="O933" s="7" t="inlineStr">
        <is>
          <t>Bodycon Dresses</t>
        </is>
      </c>
    </row>
    <row r="934" ht="80" customHeight="1">
      <c r="A934" s="4">
        <f>IMAGE("https://images.lululemon.com/is/image/lululemon/LW1EU8S_025461_1?wid=320&amp;op_usm=0.8",1)</f>
        <v/>
      </c>
      <c r="B934" s="4" t="inlineStr">
        <is>
          <t>lululemon Align™ Cami Strap Dress</t>
        </is>
      </c>
      <c r="C934" s="4" t="inlineStr">
        <is>
          <t>156509089</t>
        </is>
      </c>
      <c r="D934" s="4" t="inlineStr">
        <is>
          <t>156509089-pinkorganza</t>
        </is>
      </c>
      <c r="E934" s="4" t="inlineStr">
        <is>
          <t>lululemon Align™ Cami Strap Dress PNKO 2</t>
        </is>
      </c>
      <c r="F934" s="4" t="inlineStr">
        <is>
          <t>$148.00</t>
        </is>
      </c>
      <c r="G934" s="4" t="inlineStr">
        <is>
          <t>$74.00</t>
        </is>
      </c>
      <c r="H934" s="4" t="inlineStr">
        <is>
          <t>Pink Organza</t>
        </is>
      </c>
      <c r="I934" s="4">
        <f>IMAGE("https://images.lululemon.com/is/image/lululemon/70105",1)</f>
        <v/>
      </c>
      <c r="J934" s="4" t="inlineStr">
        <is>
          <t>8</t>
        </is>
      </c>
      <c r="K934" s="4" t="inlineStr">
        <is>
          <t>301/1583</t>
        </is>
      </c>
      <c r="L934" s="4" t="inlineStr">
        <is>
          <t>Yes</t>
        </is>
      </c>
      <c r="M934" s="4" t="inlineStr">
        <is>
          <t>Get the buttery softness of lululemon Align™ in a dress. Powered by Nulu™ fabric and made with a built-in shorts liner, your poses and postures have never felt this free.</t>
        </is>
      </c>
      <c r="N934" s="4" t="inlineStr">
        <is>
          <t>Align-Cami-Strap-Dress</t>
        </is>
      </c>
      <c r="O934" s="4" t="inlineStr">
        <is>
          <t>Bodycon Dresses</t>
        </is>
      </c>
    </row>
    <row r="935" ht="80" customHeight="1">
      <c r="A935" s="7">
        <f>IMAGE("https://images.lululemon.com/is/image/lululemon/LW1EU8S_025461_1?wid=320&amp;op_usm=0.8",1)</f>
        <v/>
      </c>
      <c r="B935" s="7" t="inlineStr">
        <is>
          <t>lululemon Align™ Cami Strap Dress</t>
        </is>
      </c>
      <c r="C935" s="7" t="inlineStr">
        <is>
          <t>156509039</t>
        </is>
      </c>
      <c r="D935" s="7" t="inlineStr">
        <is>
          <t>156509039-pinkorganza</t>
        </is>
      </c>
      <c r="E935" s="7" t="inlineStr">
        <is>
          <t>lululemon Align™ Cami Strap Dress PNKO 2</t>
        </is>
      </c>
      <c r="F935" s="7" t="inlineStr">
        <is>
          <t>$148.00</t>
        </is>
      </c>
      <c r="G935" s="7" t="inlineStr">
        <is>
          <t>$74.00</t>
        </is>
      </c>
      <c r="H935" s="7" t="inlineStr">
        <is>
          <t>Pink Organza</t>
        </is>
      </c>
      <c r="I935" s="7">
        <f>IMAGE("https://images.lululemon.com/is/image/lululemon/70105",1)</f>
        <v/>
      </c>
      <c r="J935" s="7" t="inlineStr">
        <is>
          <t>10</t>
        </is>
      </c>
      <c r="K935" s="7" t="inlineStr">
        <is>
          <t>159/1583</t>
        </is>
      </c>
      <c r="L935" s="7" t="inlineStr">
        <is>
          <t>Yes</t>
        </is>
      </c>
      <c r="M935" s="7" t="inlineStr">
        <is>
          <t>Get the buttery softness of lululemon Align™ in a dress. Powered by Nulu™ fabric and made with a built-in shorts liner, your poses and postures have never felt this free.</t>
        </is>
      </c>
      <c r="N935" s="7" t="inlineStr">
        <is>
          <t>Align-Cami-Strap-Dress</t>
        </is>
      </c>
      <c r="O935" s="7" t="inlineStr">
        <is>
          <t>Bodycon Dresses</t>
        </is>
      </c>
    </row>
    <row r="936" ht="80" customHeight="1">
      <c r="A936" s="4">
        <f>IMAGE("https://images.lululemon.com/is/image/lululemon/LW1EU8S_025461_1?wid=320&amp;op_usm=0.8",1)</f>
        <v/>
      </c>
      <c r="B936" s="4" t="inlineStr">
        <is>
          <t>lululemon Align™ Cami Strap Dress</t>
        </is>
      </c>
      <c r="C936" s="4" t="inlineStr">
        <is>
          <t>156509043</t>
        </is>
      </c>
      <c r="D936" s="4" t="inlineStr">
        <is>
          <t>156509043-pinkorganza</t>
        </is>
      </c>
      <c r="E936" s="4" t="inlineStr">
        <is>
          <t>lululemon Align™ Cami Strap Dress PNKO 2</t>
        </is>
      </c>
      <c r="F936" s="4" t="inlineStr">
        <is>
          <t>$148.00</t>
        </is>
      </c>
      <c r="G936" s="4" t="inlineStr">
        <is>
          <t>$74.00</t>
        </is>
      </c>
      <c r="H936" s="4" t="inlineStr">
        <is>
          <t>Pink Organza</t>
        </is>
      </c>
      <c r="I936" s="4">
        <f>IMAGE("https://images.lululemon.com/is/image/lululemon/70105",1)</f>
        <v/>
      </c>
      <c r="J936" s="4" t="inlineStr">
        <is>
          <t>12</t>
        </is>
      </c>
      <c r="K936" s="4" t="inlineStr">
        <is>
          <t>54/1583</t>
        </is>
      </c>
      <c r="L936" s="4" t="inlineStr">
        <is>
          <t>Yes</t>
        </is>
      </c>
      <c r="M936" s="4" t="inlineStr">
        <is>
          <t>Get the buttery softness of lululemon Align™ in a dress. Powered by Nulu™ fabric and made with a built-in shorts liner, your poses and postures have never felt this free.</t>
        </is>
      </c>
      <c r="N936" s="4" t="inlineStr">
        <is>
          <t>Align-Cami-Strap-Dress</t>
        </is>
      </c>
      <c r="O936" s="4" t="inlineStr">
        <is>
          <t>Bodycon Dresses</t>
        </is>
      </c>
    </row>
    <row r="937" ht="80" customHeight="1">
      <c r="A937" s="7">
        <f>IMAGE("https://images.lululemon.com/is/image/lululemon/LW1EU8S_025461_1?wid=320&amp;op_usm=0.8",1)</f>
        <v/>
      </c>
      <c r="B937" s="7" t="inlineStr">
        <is>
          <t>lululemon Align™ Cami Strap Dress</t>
        </is>
      </c>
      <c r="C937" s="7" t="inlineStr">
        <is>
          <t>156509022</t>
        </is>
      </c>
      <c r="D937" s="7" t="inlineStr">
        <is>
          <t>156509022-poolparty</t>
        </is>
      </c>
      <c r="E937" s="7" t="inlineStr">
        <is>
          <t>lululemon Align™ Cami Strap Dress PNKO 2</t>
        </is>
      </c>
      <c r="F937" s="7" t="inlineStr">
        <is>
          <t>$148.00</t>
        </is>
      </c>
      <c r="G937" s="7" t="inlineStr">
        <is>
          <t>$74.00</t>
        </is>
      </c>
      <c r="H937" s="7" t="inlineStr">
        <is>
          <t>Pool Party</t>
        </is>
      </c>
      <c r="I937" s="7">
        <f>IMAGE("https://images.lululemon.com/is/image/lululemon/25461",1)</f>
        <v/>
      </c>
      <c r="J937" s="7" t="inlineStr">
        <is>
          <t>4</t>
        </is>
      </c>
      <c r="K937" s="7" t="inlineStr">
        <is>
          <t>74/1583</t>
        </is>
      </c>
      <c r="L937" s="7" t="inlineStr">
        <is>
          <t>Yes</t>
        </is>
      </c>
      <c r="M937" s="7" t="inlineStr">
        <is>
          <t>Get the buttery softness of lululemon Align™ in a dress. Powered by Nulu™ fabric and made with a built-in shorts liner, your poses and postures have never felt this free.</t>
        </is>
      </c>
      <c r="N937" s="7" t="inlineStr">
        <is>
          <t>Align-Cami-Strap-Dress</t>
        </is>
      </c>
      <c r="O937" s="7" t="inlineStr">
        <is>
          <t>Bodycon Dresses</t>
        </is>
      </c>
    </row>
    <row r="938" ht="80" customHeight="1">
      <c r="A938" s="4">
        <f>IMAGE("https://images.lululemon.com/is/image/lululemon/LW1EU8S_025461_1?wid=320&amp;op_usm=0.8",1)</f>
        <v/>
      </c>
      <c r="B938" s="4" t="inlineStr">
        <is>
          <t>lululemon Align™ Cami Strap Dress</t>
        </is>
      </c>
      <c r="C938" s="4" t="inlineStr">
        <is>
          <t>156509026</t>
        </is>
      </c>
      <c r="D938" s="4" t="inlineStr">
        <is>
          <t>156509026-poolparty</t>
        </is>
      </c>
      <c r="E938" s="4" t="inlineStr">
        <is>
          <t>lululemon Align™ Cami Strap Dress PNKO 2</t>
        </is>
      </c>
      <c r="F938" s="4" t="inlineStr">
        <is>
          <t>$148.00</t>
        </is>
      </c>
      <c r="G938" s="4" t="inlineStr">
        <is>
          <t>$74.00</t>
        </is>
      </c>
      <c r="H938" s="4" t="inlineStr">
        <is>
          <t>Pool Party</t>
        </is>
      </c>
      <c r="I938" s="4">
        <f>IMAGE("https://images.lululemon.com/is/image/lululemon/25461",1)</f>
        <v/>
      </c>
      <c r="J938" s="4" t="inlineStr">
        <is>
          <t>6</t>
        </is>
      </c>
      <c r="K938" s="4" t="inlineStr">
        <is>
          <t>150/1583</t>
        </is>
      </c>
      <c r="L938" s="4" t="inlineStr">
        <is>
          <t>Yes</t>
        </is>
      </c>
      <c r="M938" s="4" t="inlineStr">
        <is>
          <t>Get the buttery softness of lululemon Align™ in a dress. Powered by Nulu™ fabric and made with a built-in shorts liner, your poses and postures have never felt this free.</t>
        </is>
      </c>
      <c r="N938" s="4" t="inlineStr">
        <is>
          <t>Align-Cami-Strap-Dress</t>
        </is>
      </c>
      <c r="O938" s="4" t="inlineStr">
        <is>
          <t>Bodycon Dresses</t>
        </is>
      </c>
    </row>
    <row r="939" ht="80" customHeight="1">
      <c r="A939" s="7">
        <f>IMAGE("https://images.lululemon.com/is/image/lululemon/LW1EU8S_025461_1?wid=320&amp;op_usm=0.8",1)</f>
        <v/>
      </c>
      <c r="B939" s="7" t="inlineStr">
        <is>
          <t>lululemon Align™ Cami Strap Dress</t>
        </is>
      </c>
      <c r="C939" s="7" t="inlineStr">
        <is>
          <t>156509030</t>
        </is>
      </c>
      <c r="D939" s="7" t="inlineStr">
        <is>
          <t>156509030-poolparty</t>
        </is>
      </c>
      <c r="E939" s="7" t="inlineStr">
        <is>
          <t>lululemon Align™ Cami Strap Dress PNKO 2</t>
        </is>
      </c>
      <c r="F939" s="7" t="inlineStr">
        <is>
          <t>$148.00</t>
        </is>
      </c>
      <c r="G939" s="7" t="inlineStr">
        <is>
          <t>$74.00</t>
        </is>
      </c>
      <c r="H939" s="7" t="inlineStr">
        <is>
          <t>Pool Party</t>
        </is>
      </c>
      <c r="I939" s="7">
        <f>IMAGE("https://images.lululemon.com/is/image/lululemon/25461",1)</f>
        <v/>
      </c>
      <c r="J939" s="7" t="inlineStr">
        <is>
          <t>8</t>
        </is>
      </c>
      <c r="K939" s="7" t="inlineStr">
        <is>
          <t>107/1583</t>
        </is>
      </c>
      <c r="L939" s="7" t="inlineStr">
        <is>
          <t>Yes</t>
        </is>
      </c>
      <c r="M939" s="7" t="inlineStr">
        <is>
          <t>Get the buttery softness of lululemon Align™ in a dress. Powered by Nulu™ fabric and made with a built-in shorts liner, your poses and postures have never felt this free.</t>
        </is>
      </c>
      <c r="N939" s="7" t="inlineStr">
        <is>
          <t>Align-Cami-Strap-Dress</t>
        </is>
      </c>
      <c r="O939" s="7" t="inlineStr">
        <is>
          <t>Bodycon Dresses</t>
        </is>
      </c>
    </row>
    <row r="940" ht="80" customHeight="1">
      <c r="A940" s="4">
        <f>IMAGE("https://images.lululemon.com/is/image/lululemon/LW1EU8S_025461_1?wid=320&amp;op_usm=0.8",1)</f>
        <v/>
      </c>
      <c r="B940" s="4" t="inlineStr">
        <is>
          <t>lululemon Align™ Cami Strap Dress</t>
        </is>
      </c>
      <c r="C940" s="4" t="inlineStr">
        <is>
          <t>156508977</t>
        </is>
      </c>
      <c r="D940" s="4" t="inlineStr">
        <is>
          <t>156508977-poolparty</t>
        </is>
      </c>
      <c r="E940" s="4" t="inlineStr">
        <is>
          <t>lululemon Align™ Cami Strap Dress PNKO 2</t>
        </is>
      </c>
      <c r="F940" s="4" t="inlineStr">
        <is>
          <t>$148.00</t>
        </is>
      </c>
      <c r="G940" s="4" t="inlineStr">
        <is>
          <t>$74.00</t>
        </is>
      </c>
      <c r="H940" s="4" t="inlineStr">
        <is>
          <t>Pool Party</t>
        </is>
      </c>
      <c r="I940" s="4">
        <f>IMAGE("https://images.lululemon.com/is/image/lululemon/25461",1)</f>
        <v/>
      </c>
      <c r="J940" s="4" t="inlineStr">
        <is>
          <t>10</t>
        </is>
      </c>
      <c r="K940" s="4" t="inlineStr">
        <is>
          <t>56/1583</t>
        </is>
      </c>
      <c r="L940" s="4" t="inlineStr">
        <is>
          <t>Yes</t>
        </is>
      </c>
      <c r="M940" s="4" t="inlineStr">
        <is>
          <t>Get the buttery softness of lululemon Align™ in a dress. Powered by Nulu™ fabric and made with a built-in shorts liner, your poses and postures have never felt this free.</t>
        </is>
      </c>
      <c r="N940" s="4" t="inlineStr">
        <is>
          <t>Align-Cami-Strap-Dress</t>
        </is>
      </c>
      <c r="O940" s="4" t="inlineStr">
        <is>
          <t>Bodycon Dresses</t>
        </is>
      </c>
    </row>
    <row r="941" ht="80" customHeight="1">
      <c r="A941" s="5">
        <f>IMAGE("https://images.lululemon.com/is/image/lululemon/LW1EU8S_025461_1?wid=320&amp;op_usm=0.8",1)</f>
        <v/>
      </c>
      <c r="B941" s="5" t="inlineStr">
        <is>
          <t>lululemon Align™ Cami Strap Dress</t>
        </is>
      </c>
      <c r="C941" s="5" t="inlineStr">
        <is>
          <t>156508982</t>
        </is>
      </c>
      <c r="D941" s="5" t="inlineStr">
        <is>
          <t>156508982-poolparty</t>
        </is>
      </c>
      <c r="E941" s="5" t="inlineStr">
        <is>
          <t>lululemon Align™ Cami Strap Dress PNKO 2</t>
        </is>
      </c>
      <c r="F941" s="5" t="inlineStr">
        <is>
          <t>$148.00</t>
        </is>
      </c>
      <c r="G941" s="5" t="inlineStr">
        <is>
          <t>$74.00</t>
        </is>
      </c>
      <c r="H941" s="5" t="inlineStr">
        <is>
          <t>Pool Party</t>
        </is>
      </c>
      <c r="I941" s="5">
        <f>IMAGE("https://images.lululemon.com/is/image/lululemon/25461",1)</f>
        <v/>
      </c>
      <c r="J941" s="5" t="inlineStr">
        <is>
          <t>12</t>
        </is>
      </c>
      <c r="K941" s="5" t="inlineStr">
        <is>
          <t>15/1583</t>
        </is>
      </c>
      <c r="L941" s="5" t="inlineStr">
        <is>
          <t>Yes</t>
        </is>
      </c>
      <c r="M941" s="5" t="inlineStr">
        <is>
          <t>Get the buttery softness of lululemon Align™ in a dress. Powered by Nulu™ fabric and made with a built-in shorts liner, your poses and postures have never felt this free.</t>
        </is>
      </c>
      <c r="N941" s="5" t="inlineStr">
        <is>
          <t>Align-Cami-Strap-Dress</t>
        </is>
      </c>
      <c r="O941" s="5" t="inlineStr">
        <is>
          <t>Bodycon Dresses</t>
        </is>
      </c>
    </row>
    <row r="942" ht="80" customHeight="1">
      <c r="A942" s="4">
        <f>IMAGE("https://images.lululemon.com/is/image/lululemon/LW2ESGS_0002_1?wid=320&amp;op_usm=0.8",1)</f>
        <v/>
      </c>
      <c r="B942" s="4" t="inlineStr">
        <is>
          <t>Wunder Train Strappy Wrapped Bra *Light Support, A/B Cup</t>
        </is>
      </c>
      <c r="C942" s="4" t="inlineStr">
        <is>
          <t>157708598</t>
        </is>
      </c>
      <c r="D942" s="4" t="inlineStr">
        <is>
          <t>157708598-white</t>
        </is>
      </c>
      <c r="E942" s="4" t="inlineStr">
        <is>
          <t>Wunder Train Strappy Wrapped Bra A/B WHT 2</t>
        </is>
      </c>
      <c r="F942" s="4" t="inlineStr">
        <is>
          <t>$58.00</t>
        </is>
      </c>
      <c r="G942" s="4" t="inlineStr">
        <is>
          <t>$29.00</t>
        </is>
      </c>
      <c r="H942" s="4" t="inlineStr">
        <is>
          <t>White</t>
        </is>
      </c>
      <c r="I942" s="4">
        <f>IMAGE("https://images.lululemon.com/is/image/lululemon/0002",1)</f>
        <v/>
      </c>
      <c r="J942" s="4" t="inlineStr">
        <is>
          <t>2</t>
        </is>
      </c>
      <c r="K942" s="4" t="inlineStr">
        <is>
          <t>16/127</t>
        </is>
      </c>
      <c r="L942" s="4" t="inlineStr">
        <is>
          <t>Yes</t>
        </is>
      </c>
      <c r="M942" s="4" t="inlineStr">
        <is>
          <t>This longline edition of our narrow-strap sports bra gives you the same lightweight feel with a crossover underband detail.</t>
        </is>
      </c>
      <c r="N942" s="4" t="inlineStr">
        <is>
          <t>Wunder-Train-Strappy-Wrapped-Bra-Light-Support-AB</t>
        </is>
      </c>
      <c r="O942" s="4" t="inlineStr">
        <is>
          <t>Strappy Bras, Longline Bras, Bralettes</t>
        </is>
      </c>
    </row>
    <row r="943" ht="80" customHeight="1">
      <c r="A943" s="7">
        <f>IMAGE("https://images.lululemon.com/is/image/lululemon/LW2ESGS_0002_1?wid=320&amp;op_usm=0.8",1)</f>
        <v/>
      </c>
      <c r="B943" s="7" t="inlineStr">
        <is>
          <t>Wunder Train Strappy Wrapped Bra *Light Support, A/B Cup</t>
        </is>
      </c>
      <c r="C943" s="7" t="inlineStr">
        <is>
          <t>157708603</t>
        </is>
      </c>
      <c r="D943" s="7" t="inlineStr">
        <is>
          <t>157708603-white</t>
        </is>
      </c>
      <c r="E943" s="7" t="inlineStr">
        <is>
          <t>Wunder Train Strappy Wrapped Bra A/B WHT 2</t>
        </is>
      </c>
      <c r="F943" s="7" t="inlineStr">
        <is>
          <t>$58.00</t>
        </is>
      </c>
      <c r="G943" s="7" t="inlineStr">
        <is>
          <t>$29.00</t>
        </is>
      </c>
      <c r="H943" s="7" t="inlineStr">
        <is>
          <t>White</t>
        </is>
      </c>
      <c r="I943" s="7">
        <f>IMAGE("https://images.lululemon.com/is/image/lululemon/0002",1)</f>
        <v/>
      </c>
      <c r="J943" s="7" t="inlineStr">
        <is>
          <t>4</t>
        </is>
      </c>
      <c r="K943" s="7" t="inlineStr">
        <is>
          <t>22/127</t>
        </is>
      </c>
      <c r="L943" s="7" t="inlineStr">
        <is>
          <t>Yes</t>
        </is>
      </c>
      <c r="M943" s="7" t="inlineStr">
        <is>
          <t>This longline edition of our narrow-strap sports bra gives you the same lightweight feel with a crossover underband detail.</t>
        </is>
      </c>
      <c r="N943" s="7" t="inlineStr">
        <is>
          <t>Wunder-Train-Strappy-Wrapped-Bra-Light-Support-AB</t>
        </is>
      </c>
      <c r="O943" s="7" t="inlineStr">
        <is>
          <t>Strappy Bras, Longline Bras, Bralettes</t>
        </is>
      </c>
    </row>
    <row r="944" ht="80" customHeight="1">
      <c r="A944" s="4">
        <f>IMAGE("https://images.lululemon.com/is/image/lululemon/LW2ESGS_0002_1?wid=320&amp;op_usm=0.8",1)</f>
        <v/>
      </c>
      <c r="B944" s="4" t="inlineStr">
        <is>
          <t>Wunder Train Strappy Wrapped Bra *Light Support, A/B Cup</t>
        </is>
      </c>
      <c r="C944" s="4" t="inlineStr">
        <is>
          <t>157708615</t>
        </is>
      </c>
      <c r="D944" s="4" t="inlineStr">
        <is>
          <t>157708615-white</t>
        </is>
      </c>
      <c r="E944" s="4" t="inlineStr">
        <is>
          <t>Wunder Train Strappy Wrapped Bra A/B WHT 2</t>
        </is>
      </c>
      <c r="F944" s="4" t="inlineStr">
        <is>
          <t>$58.00</t>
        </is>
      </c>
      <c r="G944" s="4" t="inlineStr">
        <is>
          <t>$29.00</t>
        </is>
      </c>
      <c r="H944" s="4" t="inlineStr">
        <is>
          <t>White</t>
        </is>
      </c>
      <c r="I944" s="4">
        <f>IMAGE("https://images.lululemon.com/is/image/lululemon/0002",1)</f>
        <v/>
      </c>
      <c r="J944" s="4" t="inlineStr">
        <is>
          <t>8</t>
        </is>
      </c>
      <c r="K944" s="4" t="inlineStr">
        <is>
          <t>49/127</t>
        </is>
      </c>
      <c r="L944" s="4" t="inlineStr">
        <is>
          <t>Yes</t>
        </is>
      </c>
      <c r="M944" s="4" t="inlineStr">
        <is>
          <t>This longline edition of our narrow-strap sports bra gives you the same lightweight feel with a crossover underband detail.</t>
        </is>
      </c>
      <c r="N944" s="4" t="inlineStr">
        <is>
          <t>Wunder-Train-Strappy-Wrapped-Bra-Light-Support-AB</t>
        </is>
      </c>
      <c r="O944" s="4" t="inlineStr">
        <is>
          <t>Strappy Bras, Longline Bras, Bralettes</t>
        </is>
      </c>
    </row>
    <row r="945" ht="80" customHeight="1">
      <c r="A945" s="7">
        <f>IMAGE("https://images.lululemon.com/is/image/lululemon/LW2ESGS_0002_1?wid=320&amp;op_usm=0.8",1)</f>
        <v/>
      </c>
      <c r="B945" s="7" t="inlineStr">
        <is>
          <t>Wunder Train Strappy Wrapped Bra *Light Support, A/B Cup</t>
        </is>
      </c>
      <c r="C945" s="7" t="inlineStr">
        <is>
          <t>157708582</t>
        </is>
      </c>
      <c r="D945" s="7" t="inlineStr">
        <is>
          <t>157708582-white</t>
        </is>
      </c>
      <c r="E945" s="7" t="inlineStr">
        <is>
          <t>Wunder Train Strappy Wrapped Bra A/B WHT 2</t>
        </is>
      </c>
      <c r="F945" s="7" t="inlineStr">
        <is>
          <t>$58.00</t>
        </is>
      </c>
      <c r="G945" s="7" t="inlineStr">
        <is>
          <t>$29.00</t>
        </is>
      </c>
      <c r="H945" s="7" t="inlineStr">
        <is>
          <t>White</t>
        </is>
      </c>
      <c r="I945" s="7">
        <f>IMAGE("https://images.lululemon.com/is/image/lululemon/0002",1)</f>
        <v/>
      </c>
      <c r="J945" s="7" t="inlineStr">
        <is>
          <t>10</t>
        </is>
      </c>
      <c r="K945" s="7" t="inlineStr">
        <is>
          <t>33/127</t>
        </is>
      </c>
      <c r="L945" s="7" t="inlineStr">
        <is>
          <t>Yes</t>
        </is>
      </c>
      <c r="M945" s="7" t="inlineStr">
        <is>
          <t>This longline edition of our narrow-strap sports bra gives you the same lightweight feel with a crossover underband detail.</t>
        </is>
      </c>
      <c r="N945" s="7" t="inlineStr">
        <is>
          <t>Wunder-Train-Strappy-Wrapped-Bra-Light-Support-AB</t>
        </is>
      </c>
      <c r="O945" s="7" t="inlineStr">
        <is>
          <t>Strappy Bras, Longline Bras, Bralettes</t>
        </is>
      </c>
    </row>
    <row r="946" ht="80" customHeight="1">
      <c r="A946" s="4">
        <f>IMAGE("https://images.lululemon.com/is/image/lululemon/LW2ESGS_0002_1?wid=320&amp;op_usm=0.8",1)</f>
        <v/>
      </c>
      <c r="B946" s="4" t="inlineStr">
        <is>
          <t>Wunder Train Strappy Wrapped Bra *Light Support, A/B Cup</t>
        </is>
      </c>
      <c r="C946" s="4" t="inlineStr">
        <is>
          <t>157708094</t>
        </is>
      </c>
      <c r="D946" s="4" t="inlineStr">
        <is>
          <t>157708094-warmashgrey</t>
        </is>
      </c>
      <c r="E946" s="4" t="inlineStr">
        <is>
          <t>Wunder Train Strappy Wrapped Bra A/B WHT 2</t>
        </is>
      </c>
      <c r="F946" s="4" t="inlineStr">
        <is>
          <t>$58.00</t>
        </is>
      </c>
      <c r="G946" s="4" t="inlineStr">
        <is>
          <t>$29.00</t>
        </is>
      </c>
      <c r="H946" s="4" t="inlineStr">
        <is>
          <t>Warm Ash Grey</t>
        </is>
      </c>
      <c r="I946" s="4">
        <f>IMAGE("https://images.lululemon.com/is/image/lululemon/70108",1)</f>
        <v/>
      </c>
      <c r="J946" s="4" t="inlineStr">
        <is>
          <t>6</t>
        </is>
      </c>
      <c r="K946" s="4" t="inlineStr">
        <is>
          <t>1/127</t>
        </is>
      </c>
      <c r="L946" s="4" t="inlineStr">
        <is>
          <t>Yes</t>
        </is>
      </c>
      <c r="M946" s="4" t="inlineStr">
        <is>
          <t>This longline edition of our narrow-strap sports bra gives you the same lightweight feel with a crossover underband detail.</t>
        </is>
      </c>
      <c r="N946" s="4" t="inlineStr">
        <is>
          <t>Wunder-Train-Strappy-Wrapped-Bra-Light-Support-AB</t>
        </is>
      </c>
      <c r="O946" s="4" t="inlineStr">
        <is>
          <t>Strappy Bras, Longline Bras, Bralettes</t>
        </is>
      </c>
    </row>
    <row r="947" ht="80" customHeight="1">
      <c r="A947" s="5">
        <f>IMAGE("https://images.lululemon.com/is/image/lululemon/LW2ESGS_0002_1?wid=320&amp;op_usm=0.8",1)</f>
        <v/>
      </c>
      <c r="B947" s="5" t="inlineStr">
        <is>
          <t>Wunder Train Strappy Wrapped Bra *Light Support, A/B Cup</t>
        </is>
      </c>
      <c r="C947" s="5" t="inlineStr">
        <is>
          <t>157708052</t>
        </is>
      </c>
      <c r="D947" s="5" t="inlineStr">
        <is>
          <t>157708052-warmashgrey</t>
        </is>
      </c>
      <c r="E947" s="5" t="inlineStr">
        <is>
          <t>Wunder Train Strappy Wrapped Bra A/B WHT 2</t>
        </is>
      </c>
      <c r="F947" s="5" t="inlineStr">
        <is>
          <t>$58.00</t>
        </is>
      </c>
      <c r="G947" s="5" t="inlineStr">
        <is>
          <t>$29.00</t>
        </is>
      </c>
      <c r="H947" s="5" t="inlineStr">
        <is>
          <t>Warm Ash Grey</t>
        </is>
      </c>
      <c r="I947" s="5">
        <f>IMAGE("https://images.lululemon.com/is/image/lululemon/70108",1)</f>
        <v/>
      </c>
      <c r="J947" s="5" t="inlineStr">
        <is>
          <t>10</t>
        </is>
      </c>
      <c r="K947" s="5" t="inlineStr">
        <is>
          <t>6/127</t>
        </is>
      </c>
      <c r="L947" s="5" t="inlineStr">
        <is>
          <t>Yes</t>
        </is>
      </c>
      <c r="M947" s="5" t="inlineStr">
        <is>
          <t>This longline edition of our narrow-strap sports bra gives you the same lightweight feel with a crossover underband detail.</t>
        </is>
      </c>
      <c r="N947" s="5" t="inlineStr">
        <is>
          <t>Wunder-Train-Strappy-Wrapped-Bra-Light-Support-AB</t>
        </is>
      </c>
      <c r="O947" s="5" t="inlineStr">
        <is>
          <t>Strappy Bras, Longline Bras, Bralettes</t>
        </is>
      </c>
    </row>
    <row r="948" ht="80" customHeight="1">
      <c r="A948" s="4">
        <f>IMAGE("https://images.lululemon.com/is/image/lululemon/LW3HQUS_0001_1?wid=320&amp;op_usm=0.8",1)</f>
        <v/>
      </c>
      <c r="B948" s="4" t="inlineStr">
        <is>
          <t>Jersey Training Short-Sleeve Shirt</t>
        </is>
      </c>
      <c r="C948" s="4" t="inlineStr">
        <is>
          <t>153826083</t>
        </is>
      </c>
      <c r="D948" s="4" t="inlineStr">
        <is>
          <t>153826083-white</t>
        </is>
      </c>
      <c r="E948" s="4" t="inlineStr">
        <is>
          <t>Jersey Training Short Sleeve WHT 2</t>
        </is>
      </c>
      <c r="F948" s="4" t="inlineStr">
        <is>
          <t>$58.00</t>
        </is>
      </c>
      <c r="G948" s="4" t="inlineStr">
        <is>
          <t>$29.00</t>
        </is>
      </c>
      <c r="H948" s="4" t="inlineStr">
        <is>
          <t>White</t>
        </is>
      </c>
      <c r="I948" s="4">
        <f>IMAGE("https://images.lululemon.com/is/image/lululemon/0002",1)</f>
        <v/>
      </c>
      <c r="J948" s="4" t="inlineStr">
        <is>
          <t>2</t>
        </is>
      </c>
      <c r="K948" s="4" t="inlineStr">
        <is>
          <t>50/1145</t>
        </is>
      </c>
      <c r="L948" s="4" t="inlineStr">
        <is>
          <t>Yes</t>
        </is>
      </c>
      <c r="M948" s="4" t="inlineStr">
        <is>
          <t>It's giving versatility. This training shirt combines technical performance with the ultra-soft feel of your favourite lounge top.</t>
        </is>
      </c>
      <c r="N948" s="4" t="inlineStr">
        <is>
          <t>Jersey-Training-SS-Shirt</t>
        </is>
      </c>
      <c r="O948" s="4" t="inlineStr"/>
    </row>
    <row r="949" ht="80" customHeight="1">
      <c r="A949" s="7">
        <f>IMAGE("https://images.lululemon.com/is/image/lululemon/LW3HQUS_0001_1?wid=320&amp;op_usm=0.8",1)</f>
        <v/>
      </c>
      <c r="B949" s="7" t="inlineStr">
        <is>
          <t>Jersey Training Short-Sleeve Shirt</t>
        </is>
      </c>
      <c r="C949" s="7" t="inlineStr">
        <is>
          <t>153826100</t>
        </is>
      </c>
      <c r="D949" s="7" t="inlineStr">
        <is>
          <t>153826100-white</t>
        </is>
      </c>
      <c r="E949" s="7" t="inlineStr">
        <is>
          <t>Jersey Training Short Sleeve WHT 2</t>
        </is>
      </c>
      <c r="F949" s="7" t="inlineStr">
        <is>
          <t>$58.00</t>
        </is>
      </c>
      <c r="G949" s="7" t="inlineStr">
        <is>
          <t>$29.00</t>
        </is>
      </c>
      <c r="H949" s="7" t="inlineStr">
        <is>
          <t>White</t>
        </is>
      </c>
      <c r="I949" s="7">
        <f>IMAGE("https://images.lululemon.com/is/image/lululemon/0002",1)</f>
        <v/>
      </c>
      <c r="J949" s="7" t="inlineStr">
        <is>
          <t>4</t>
        </is>
      </c>
      <c r="K949" s="7" t="inlineStr">
        <is>
          <t>144/1145</t>
        </is>
      </c>
      <c r="L949" s="7" t="inlineStr">
        <is>
          <t>Yes</t>
        </is>
      </c>
      <c r="M949" s="7" t="inlineStr">
        <is>
          <t>It's giving versatility. This training shirt combines technical performance with the ultra-soft feel of your favourite lounge top.</t>
        </is>
      </c>
      <c r="N949" s="7" t="inlineStr">
        <is>
          <t>Jersey-Training-SS-Shirt</t>
        </is>
      </c>
      <c r="O949" s="7" t="inlineStr"/>
    </row>
    <row r="950" ht="80" customHeight="1">
      <c r="A950" s="4">
        <f>IMAGE("https://images.lululemon.com/is/image/lululemon/LW3HQUS_0001_1?wid=320&amp;op_usm=0.8",1)</f>
        <v/>
      </c>
      <c r="B950" s="4" t="inlineStr">
        <is>
          <t>Jersey Training Short-Sleeve Shirt</t>
        </is>
      </c>
      <c r="C950" s="4" t="inlineStr">
        <is>
          <t>153826103</t>
        </is>
      </c>
      <c r="D950" s="4" t="inlineStr">
        <is>
          <t>153826103-white</t>
        </is>
      </c>
      <c r="E950" s="4" t="inlineStr">
        <is>
          <t>Jersey Training Short Sleeve WHT 2</t>
        </is>
      </c>
      <c r="F950" s="4" t="inlineStr">
        <is>
          <t>$58.00</t>
        </is>
      </c>
      <c r="G950" s="4" t="inlineStr">
        <is>
          <t>$29.00</t>
        </is>
      </c>
      <c r="H950" s="4" t="inlineStr">
        <is>
          <t>White</t>
        </is>
      </c>
      <c r="I950" s="4">
        <f>IMAGE("https://images.lululemon.com/is/image/lululemon/0002",1)</f>
        <v/>
      </c>
      <c r="J950" s="4" t="inlineStr">
        <is>
          <t>6</t>
        </is>
      </c>
      <c r="K950" s="4" t="inlineStr">
        <is>
          <t>190/1145</t>
        </is>
      </c>
      <c r="L950" s="4" t="inlineStr">
        <is>
          <t>Yes</t>
        </is>
      </c>
      <c r="M950" s="4" t="inlineStr">
        <is>
          <t>It's giving versatility. This training shirt combines technical performance with the ultra-soft feel of your favourite lounge top.</t>
        </is>
      </c>
      <c r="N950" s="4" t="inlineStr">
        <is>
          <t>Jersey-Training-SS-Shirt</t>
        </is>
      </c>
      <c r="O950" s="4" t="inlineStr"/>
    </row>
    <row r="951" ht="80" customHeight="1">
      <c r="A951" s="7">
        <f>IMAGE("https://images.lululemon.com/is/image/lululemon/LW3HQUS_0001_1?wid=320&amp;op_usm=0.8",1)</f>
        <v/>
      </c>
      <c r="B951" s="7" t="inlineStr">
        <is>
          <t>Jersey Training Short-Sleeve Shirt</t>
        </is>
      </c>
      <c r="C951" s="7" t="inlineStr">
        <is>
          <t>153826106</t>
        </is>
      </c>
      <c r="D951" s="7" t="inlineStr">
        <is>
          <t>153826106-white</t>
        </is>
      </c>
      <c r="E951" s="7" t="inlineStr">
        <is>
          <t>Jersey Training Short Sleeve WHT 2</t>
        </is>
      </c>
      <c r="F951" s="7" t="inlineStr">
        <is>
          <t>$58.00</t>
        </is>
      </c>
      <c r="G951" s="7" t="inlineStr">
        <is>
          <t>$29.00</t>
        </is>
      </c>
      <c r="H951" s="7" t="inlineStr">
        <is>
          <t>White</t>
        </is>
      </c>
      <c r="I951" s="7">
        <f>IMAGE("https://images.lululemon.com/is/image/lululemon/0002",1)</f>
        <v/>
      </c>
      <c r="J951" s="7" t="inlineStr">
        <is>
          <t>8</t>
        </is>
      </c>
      <c r="K951" s="7" t="inlineStr">
        <is>
          <t>156/1145</t>
        </is>
      </c>
      <c r="L951" s="7" t="inlineStr">
        <is>
          <t>Yes</t>
        </is>
      </c>
      <c r="M951" s="7" t="inlineStr">
        <is>
          <t>It's giving versatility. This training shirt combines technical performance with the ultra-soft feel of your favourite lounge top.</t>
        </is>
      </c>
      <c r="N951" s="7" t="inlineStr">
        <is>
          <t>Jersey-Training-SS-Shirt</t>
        </is>
      </c>
      <c r="O951" s="7" t="inlineStr"/>
    </row>
    <row r="952" ht="80" customHeight="1">
      <c r="A952" s="4">
        <f>IMAGE("https://images.lululemon.com/is/image/lululemon/LW3HQUS_0001_1?wid=320&amp;op_usm=0.8",1)</f>
        <v/>
      </c>
      <c r="B952" s="4" t="inlineStr">
        <is>
          <t>Jersey Training Short-Sleeve Shirt</t>
        </is>
      </c>
      <c r="C952" s="4" t="inlineStr">
        <is>
          <t>153826063</t>
        </is>
      </c>
      <c r="D952" s="4" t="inlineStr">
        <is>
          <t>153826063-white</t>
        </is>
      </c>
      <c r="E952" s="4" t="inlineStr">
        <is>
          <t>Jersey Training Short Sleeve WHT 2</t>
        </is>
      </c>
      <c r="F952" s="4" t="inlineStr">
        <is>
          <t>$58.00</t>
        </is>
      </c>
      <c r="G952" s="4" t="inlineStr">
        <is>
          <t>$29.00</t>
        </is>
      </c>
      <c r="H952" s="4" t="inlineStr">
        <is>
          <t>White</t>
        </is>
      </c>
      <c r="I952" s="4">
        <f>IMAGE("https://images.lululemon.com/is/image/lululemon/0002",1)</f>
        <v/>
      </c>
      <c r="J952" s="4" t="inlineStr">
        <is>
          <t>10</t>
        </is>
      </c>
      <c r="K952" s="4" t="inlineStr">
        <is>
          <t>83/1145</t>
        </is>
      </c>
      <c r="L952" s="4" t="inlineStr">
        <is>
          <t>Yes</t>
        </is>
      </c>
      <c r="M952" s="4" t="inlineStr">
        <is>
          <t>It's giving versatility. This training shirt combines technical performance with the ultra-soft feel of your favourite lounge top.</t>
        </is>
      </c>
      <c r="N952" s="4" t="inlineStr">
        <is>
          <t>Jersey-Training-SS-Shirt</t>
        </is>
      </c>
      <c r="O952" s="4" t="inlineStr"/>
    </row>
    <row r="953" ht="80" customHeight="1">
      <c r="A953" s="7">
        <f>IMAGE("https://images.lululemon.com/is/image/lululemon/LW3HQUS_0001_1?wid=320&amp;op_usm=0.8",1)</f>
        <v/>
      </c>
      <c r="B953" s="7" t="inlineStr">
        <is>
          <t>Jersey Training Short-Sleeve Shirt</t>
        </is>
      </c>
      <c r="C953" s="7" t="inlineStr">
        <is>
          <t>153826068</t>
        </is>
      </c>
      <c r="D953" s="7" t="inlineStr">
        <is>
          <t>153826068-white</t>
        </is>
      </c>
      <c r="E953" s="7" t="inlineStr">
        <is>
          <t>Jersey Training Short Sleeve WHT 2</t>
        </is>
      </c>
      <c r="F953" s="7" t="inlineStr">
        <is>
          <t>$58.00</t>
        </is>
      </c>
      <c r="G953" s="7" t="inlineStr">
        <is>
          <t>$29.00</t>
        </is>
      </c>
      <c r="H953" s="7" t="inlineStr">
        <is>
          <t>White</t>
        </is>
      </c>
      <c r="I953" s="7">
        <f>IMAGE("https://images.lululemon.com/is/image/lululemon/0002",1)</f>
        <v/>
      </c>
      <c r="J953" s="7" t="inlineStr">
        <is>
          <t>12</t>
        </is>
      </c>
      <c r="K953" s="7" t="inlineStr">
        <is>
          <t>26/1145</t>
        </is>
      </c>
      <c r="L953" s="7" t="inlineStr">
        <is>
          <t>Yes</t>
        </is>
      </c>
      <c r="M953" s="7" t="inlineStr">
        <is>
          <t>It's giving versatility. This training shirt combines technical performance with the ultra-soft feel of your favourite lounge top.</t>
        </is>
      </c>
      <c r="N953" s="7" t="inlineStr">
        <is>
          <t>Jersey-Training-SS-Shirt</t>
        </is>
      </c>
      <c r="O953" s="7" t="inlineStr"/>
    </row>
    <row r="954" ht="80" customHeight="1">
      <c r="A954" s="4">
        <f>IMAGE("https://images.lululemon.com/is/image/lululemon/LW3HQUS_0001_1?wid=320&amp;op_usm=0.8",1)</f>
        <v/>
      </c>
      <c r="B954" s="4" t="inlineStr">
        <is>
          <t>Jersey Training Short-Sleeve Shirt</t>
        </is>
      </c>
      <c r="C954" s="4" t="inlineStr">
        <is>
          <t>157682632</t>
        </is>
      </c>
      <c r="D954" s="4" t="inlineStr">
        <is>
          <t>157682632-bluetwill</t>
        </is>
      </c>
      <c r="E954" s="4" t="inlineStr">
        <is>
          <t>Jersey Training Short Sleeve WHT 2</t>
        </is>
      </c>
      <c r="F954" s="4" t="inlineStr">
        <is>
          <t>$58.00</t>
        </is>
      </c>
      <c r="G954" s="4" t="inlineStr">
        <is>
          <t>$29.00</t>
        </is>
      </c>
      <c r="H954" s="4" t="inlineStr">
        <is>
          <t>Blue Twill</t>
        </is>
      </c>
      <c r="I954" s="4">
        <f>IMAGE("https://images.lululemon.com/is/image/lululemon/71150",1)</f>
        <v/>
      </c>
      <c r="J954" s="4" t="inlineStr">
        <is>
          <t>2</t>
        </is>
      </c>
      <c r="K954" s="4" t="inlineStr">
        <is>
          <t>15/1145</t>
        </is>
      </c>
      <c r="L954" s="4" t="inlineStr">
        <is>
          <t>Yes</t>
        </is>
      </c>
      <c r="M954" s="4" t="inlineStr">
        <is>
          <t>It's giving versatility. This training shirt combines technical performance with the ultra-soft feel of your favourite lounge top.</t>
        </is>
      </c>
      <c r="N954" s="4" t="inlineStr">
        <is>
          <t>Jersey-Training-SS-Shirt</t>
        </is>
      </c>
      <c r="O954" s="4" t="inlineStr"/>
    </row>
    <row r="955" ht="80" customHeight="1">
      <c r="A955" s="7">
        <f>IMAGE("https://images.lululemon.com/is/image/lululemon/LW3HQUS_0001_1?wid=320&amp;op_usm=0.8",1)</f>
        <v/>
      </c>
      <c r="B955" s="7" t="inlineStr">
        <is>
          <t>Jersey Training Short-Sleeve Shirt</t>
        </is>
      </c>
      <c r="C955" s="7" t="inlineStr">
        <is>
          <t>157682646</t>
        </is>
      </c>
      <c r="D955" s="7" t="inlineStr">
        <is>
          <t>157682646-bluetwill</t>
        </is>
      </c>
      <c r="E955" s="7" t="inlineStr">
        <is>
          <t>Jersey Training Short Sleeve WHT 2</t>
        </is>
      </c>
      <c r="F955" s="7" t="inlineStr">
        <is>
          <t>$58.00</t>
        </is>
      </c>
      <c r="G955" s="7" t="inlineStr">
        <is>
          <t>$29.00</t>
        </is>
      </c>
      <c r="H955" s="7" t="inlineStr">
        <is>
          <t>Blue Twill</t>
        </is>
      </c>
      <c r="I955" s="7">
        <f>IMAGE("https://images.lululemon.com/is/image/lululemon/71150",1)</f>
        <v/>
      </c>
      <c r="J955" s="7" t="inlineStr">
        <is>
          <t>4</t>
        </is>
      </c>
      <c r="K955" s="7" t="inlineStr">
        <is>
          <t>19/1145</t>
        </is>
      </c>
      <c r="L955" s="7" t="inlineStr">
        <is>
          <t>Yes</t>
        </is>
      </c>
      <c r="M955" s="7" t="inlineStr">
        <is>
          <t>It's giving versatility. This training shirt combines technical performance with the ultra-soft feel of your favourite lounge top.</t>
        </is>
      </c>
      <c r="N955" s="7" t="inlineStr">
        <is>
          <t>Jersey-Training-SS-Shirt</t>
        </is>
      </c>
      <c r="O955" s="7" t="inlineStr"/>
    </row>
    <row r="956" ht="80" customHeight="1">
      <c r="A956" s="4">
        <f>IMAGE("https://images.lululemon.com/is/image/lululemon/LW3HQUS_0001_1?wid=320&amp;op_usm=0.8",1)</f>
        <v/>
      </c>
      <c r="B956" s="4" t="inlineStr">
        <is>
          <t>Jersey Training Short-Sleeve Shirt</t>
        </is>
      </c>
      <c r="C956" s="4" t="inlineStr">
        <is>
          <t>157682658</t>
        </is>
      </c>
      <c r="D956" s="4" t="inlineStr">
        <is>
          <t>157682658-bluetwill</t>
        </is>
      </c>
      <c r="E956" s="4" t="inlineStr">
        <is>
          <t>Jersey Training Short Sleeve WHT 2</t>
        </is>
      </c>
      <c r="F956" s="4" t="inlineStr">
        <is>
          <t>$58.00</t>
        </is>
      </c>
      <c r="G956" s="4" t="inlineStr">
        <is>
          <t>$29.00</t>
        </is>
      </c>
      <c r="H956" s="4" t="inlineStr">
        <is>
          <t>Blue Twill</t>
        </is>
      </c>
      <c r="I956" s="4">
        <f>IMAGE("https://images.lululemon.com/is/image/lululemon/71150",1)</f>
        <v/>
      </c>
      <c r="J956" s="4" t="inlineStr">
        <is>
          <t>6</t>
        </is>
      </c>
      <c r="K956" s="4" t="inlineStr">
        <is>
          <t>23/1145</t>
        </is>
      </c>
      <c r="L956" s="4" t="inlineStr">
        <is>
          <t>Yes</t>
        </is>
      </c>
      <c r="M956" s="4" t="inlineStr">
        <is>
          <t>It's giving versatility. This training shirt combines technical performance with the ultra-soft feel of your favourite lounge top.</t>
        </is>
      </c>
      <c r="N956" s="4" t="inlineStr">
        <is>
          <t>Jersey-Training-SS-Shirt</t>
        </is>
      </c>
      <c r="O956" s="4" t="inlineStr"/>
    </row>
    <row r="957" ht="80" customHeight="1">
      <c r="A957" s="7">
        <f>IMAGE("https://images.lululemon.com/is/image/lululemon/LW3HQUS_0001_1?wid=320&amp;op_usm=0.8",1)</f>
        <v/>
      </c>
      <c r="B957" s="7" t="inlineStr">
        <is>
          <t>Jersey Training Short-Sleeve Shirt</t>
        </is>
      </c>
      <c r="C957" s="7" t="inlineStr">
        <is>
          <t>157682670</t>
        </is>
      </c>
      <c r="D957" s="7" t="inlineStr">
        <is>
          <t>157682670-bluetwill</t>
        </is>
      </c>
      <c r="E957" s="7" t="inlineStr">
        <is>
          <t>Jersey Training Short Sleeve WHT 2</t>
        </is>
      </c>
      <c r="F957" s="7" t="inlineStr">
        <is>
          <t>$58.00</t>
        </is>
      </c>
      <c r="G957" s="7" t="inlineStr">
        <is>
          <t>$29.00</t>
        </is>
      </c>
      <c r="H957" s="7" t="inlineStr">
        <is>
          <t>Blue Twill</t>
        </is>
      </c>
      <c r="I957" s="7">
        <f>IMAGE("https://images.lululemon.com/is/image/lululemon/71150",1)</f>
        <v/>
      </c>
      <c r="J957" s="7" t="inlineStr">
        <is>
          <t>8</t>
        </is>
      </c>
      <c r="K957" s="7" t="inlineStr">
        <is>
          <t>15/1145</t>
        </is>
      </c>
      <c r="L957" s="7" t="inlineStr">
        <is>
          <t>Yes</t>
        </is>
      </c>
      <c r="M957" s="7" t="inlineStr">
        <is>
          <t>It's giving versatility. This training shirt combines technical performance with the ultra-soft feel of your favourite lounge top.</t>
        </is>
      </c>
      <c r="N957" s="7" t="inlineStr">
        <is>
          <t>Jersey-Training-SS-Shirt</t>
        </is>
      </c>
      <c r="O957" s="7" t="inlineStr"/>
    </row>
    <row r="958" ht="80" customHeight="1">
      <c r="A958" s="4">
        <f>IMAGE("https://images.lululemon.com/is/image/lululemon/LW3HQUS_0001_1?wid=320&amp;op_usm=0.8",1)</f>
        <v/>
      </c>
      <c r="B958" s="4" t="inlineStr">
        <is>
          <t>Jersey Training Short-Sleeve Shirt</t>
        </is>
      </c>
      <c r="C958" s="4" t="inlineStr">
        <is>
          <t>157682590</t>
        </is>
      </c>
      <c r="D958" s="4" t="inlineStr">
        <is>
          <t>157682590-bluetwill</t>
        </is>
      </c>
      <c r="E958" s="4" t="inlineStr">
        <is>
          <t>Jersey Training Short Sleeve WHT 2</t>
        </is>
      </c>
      <c r="F958" s="4" t="inlineStr">
        <is>
          <t>$58.00</t>
        </is>
      </c>
      <c r="G958" s="4" t="inlineStr">
        <is>
          <t>$29.00</t>
        </is>
      </c>
      <c r="H958" s="4" t="inlineStr">
        <is>
          <t>Blue Twill</t>
        </is>
      </c>
      <c r="I958" s="4">
        <f>IMAGE("https://images.lululemon.com/is/image/lululemon/71150",1)</f>
        <v/>
      </c>
      <c r="J958" s="4" t="inlineStr">
        <is>
          <t>10</t>
        </is>
      </c>
      <c r="K958" s="4" t="inlineStr">
        <is>
          <t>7/1145</t>
        </is>
      </c>
      <c r="L958" s="4" t="inlineStr">
        <is>
          <t>Yes</t>
        </is>
      </c>
      <c r="M958" s="4" t="inlineStr">
        <is>
          <t>It's giving versatility. This training shirt combines technical performance with the ultra-soft feel of your favourite lounge top.</t>
        </is>
      </c>
      <c r="N958" s="4" t="inlineStr">
        <is>
          <t>Jersey-Training-SS-Shirt</t>
        </is>
      </c>
      <c r="O958" s="4" t="inlineStr"/>
    </row>
    <row r="959" ht="80" customHeight="1">
      <c r="A959" s="7">
        <f>IMAGE("https://images.lululemon.com/is/image/lululemon/LW3HQUS_0001_1?wid=320&amp;op_usm=0.8",1)</f>
        <v/>
      </c>
      <c r="B959" s="7" t="inlineStr">
        <is>
          <t>Jersey Training Short-Sleeve Shirt</t>
        </is>
      </c>
      <c r="C959" s="7" t="inlineStr">
        <is>
          <t>157682604</t>
        </is>
      </c>
      <c r="D959" s="7" t="inlineStr">
        <is>
          <t>157682604-bluetwill</t>
        </is>
      </c>
      <c r="E959" s="7" t="inlineStr">
        <is>
          <t>Jersey Training Short Sleeve WHT 2</t>
        </is>
      </c>
      <c r="F959" s="7" t="inlineStr">
        <is>
          <t>$58.00</t>
        </is>
      </c>
      <c r="G959" s="7" t="inlineStr">
        <is>
          <t>$29.00</t>
        </is>
      </c>
      <c r="H959" s="7" t="inlineStr">
        <is>
          <t>Blue Twill</t>
        </is>
      </c>
      <c r="I959" s="7">
        <f>IMAGE("https://images.lululemon.com/is/image/lululemon/71150",1)</f>
        <v/>
      </c>
      <c r="J959" s="7" t="inlineStr">
        <is>
          <t>12</t>
        </is>
      </c>
      <c r="K959" s="7" t="inlineStr">
        <is>
          <t>15/1145</t>
        </is>
      </c>
      <c r="L959" s="7" t="inlineStr">
        <is>
          <t>Yes</t>
        </is>
      </c>
      <c r="M959" s="7" t="inlineStr">
        <is>
          <t>It's giving versatility. This training shirt combines technical performance with the ultra-soft feel of your favourite lounge top.</t>
        </is>
      </c>
      <c r="N959" s="7" t="inlineStr">
        <is>
          <t>Jersey-Training-SS-Shirt</t>
        </is>
      </c>
      <c r="O959" s="7" t="inlineStr"/>
    </row>
    <row r="960" ht="80" customHeight="1">
      <c r="A960" s="4">
        <f>IMAGE("https://images.lululemon.com/is/image/lululemon/LW3HQUS_0001_1?wid=320&amp;op_usm=0.8",1)</f>
        <v/>
      </c>
      <c r="B960" s="4" t="inlineStr">
        <is>
          <t>Jersey Training Short-Sleeve Shirt</t>
        </is>
      </c>
      <c r="C960" s="4" t="inlineStr">
        <is>
          <t>158094923</t>
        </is>
      </c>
      <c r="D960" s="4" t="inlineStr">
        <is>
          <t>158094923-brilliantblue</t>
        </is>
      </c>
      <c r="E960" s="4" t="inlineStr">
        <is>
          <t>Jersey Training Short Sleeve WHT 2</t>
        </is>
      </c>
      <c r="F960" s="4" t="inlineStr">
        <is>
          <t>$58.00</t>
        </is>
      </c>
      <c r="G960" s="4" t="inlineStr">
        <is>
          <t>$29.00</t>
        </is>
      </c>
      <c r="H960" s="4" t="inlineStr">
        <is>
          <t>Brilliant Blue</t>
        </is>
      </c>
      <c r="I960" s="4">
        <f>IMAGE("https://images.lululemon.com/is/image/lululemon/33190",1)</f>
        <v/>
      </c>
      <c r="J960" s="4" t="inlineStr">
        <is>
          <t>2</t>
        </is>
      </c>
      <c r="K960" s="4" t="inlineStr">
        <is>
          <t>9/1145</t>
        </is>
      </c>
      <c r="L960" s="4" t="inlineStr">
        <is>
          <t>Yes</t>
        </is>
      </c>
      <c r="M960" s="4" t="inlineStr">
        <is>
          <t>It's giving versatility. This training shirt combines technical performance with the ultra-soft feel of your favourite lounge top.</t>
        </is>
      </c>
      <c r="N960" s="4" t="inlineStr">
        <is>
          <t>Jersey-Training-SS-Shirt</t>
        </is>
      </c>
      <c r="O960" s="4" t="inlineStr"/>
    </row>
    <row r="961" ht="80" customHeight="1">
      <c r="A961" s="7">
        <f>IMAGE("https://images.lululemon.com/is/image/lululemon/LW3HQUS_0001_1?wid=320&amp;op_usm=0.8",1)</f>
        <v/>
      </c>
      <c r="B961" s="7" t="inlineStr">
        <is>
          <t>Jersey Training Short-Sleeve Shirt</t>
        </is>
      </c>
      <c r="C961" s="7" t="inlineStr">
        <is>
          <t>158094934</t>
        </is>
      </c>
      <c r="D961" s="7" t="inlineStr">
        <is>
          <t>158094934-brilliantblue</t>
        </is>
      </c>
      <c r="E961" s="7" t="inlineStr">
        <is>
          <t>Jersey Training Short Sleeve WHT 2</t>
        </is>
      </c>
      <c r="F961" s="7" t="inlineStr">
        <is>
          <t>$58.00</t>
        </is>
      </c>
      <c r="G961" s="7" t="inlineStr">
        <is>
          <t>$29.00</t>
        </is>
      </c>
      <c r="H961" s="7" t="inlineStr">
        <is>
          <t>Brilliant Blue</t>
        </is>
      </c>
      <c r="I961" s="7">
        <f>IMAGE("https://images.lululemon.com/is/image/lululemon/33190",1)</f>
        <v/>
      </c>
      <c r="J961" s="7" t="inlineStr">
        <is>
          <t>4</t>
        </is>
      </c>
      <c r="K961" s="7" t="inlineStr">
        <is>
          <t>20/1145</t>
        </is>
      </c>
      <c r="L961" s="7" t="inlineStr">
        <is>
          <t>Yes</t>
        </is>
      </c>
      <c r="M961" s="7" t="inlineStr">
        <is>
          <t>It's giving versatility. This training shirt combines technical performance with the ultra-soft feel of your favourite lounge top.</t>
        </is>
      </c>
      <c r="N961" s="7" t="inlineStr">
        <is>
          <t>Jersey-Training-SS-Shirt</t>
        </is>
      </c>
      <c r="O961" s="7" t="inlineStr"/>
    </row>
    <row r="962" ht="80" customHeight="1">
      <c r="A962" s="4">
        <f>IMAGE("https://images.lululemon.com/is/image/lululemon/LW3HQUS_0001_1?wid=320&amp;op_usm=0.8",1)</f>
        <v/>
      </c>
      <c r="B962" s="4" t="inlineStr">
        <is>
          <t>Jersey Training Short-Sleeve Shirt</t>
        </is>
      </c>
      <c r="C962" s="4" t="inlineStr">
        <is>
          <t>158094944</t>
        </is>
      </c>
      <c r="D962" s="4" t="inlineStr">
        <is>
          <t>158094944-brilliantblue</t>
        </is>
      </c>
      <c r="E962" s="4" t="inlineStr">
        <is>
          <t>Jersey Training Short Sleeve WHT 2</t>
        </is>
      </c>
      <c r="F962" s="4" t="inlineStr">
        <is>
          <t>$58.00</t>
        </is>
      </c>
      <c r="G962" s="4" t="inlineStr">
        <is>
          <t>$29.00</t>
        </is>
      </c>
      <c r="H962" s="4" t="inlineStr">
        <is>
          <t>Brilliant Blue</t>
        </is>
      </c>
      <c r="I962" s="4">
        <f>IMAGE("https://images.lululemon.com/is/image/lululemon/33190",1)</f>
        <v/>
      </c>
      <c r="J962" s="4" t="inlineStr">
        <is>
          <t>6</t>
        </is>
      </c>
      <c r="K962" s="4" t="inlineStr">
        <is>
          <t>27/1145</t>
        </is>
      </c>
      <c r="L962" s="4" t="inlineStr">
        <is>
          <t>Yes</t>
        </is>
      </c>
      <c r="M962" s="4" t="inlineStr">
        <is>
          <t>It's giving versatility. This training shirt combines technical performance with the ultra-soft feel of your favourite lounge top.</t>
        </is>
      </c>
      <c r="N962" s="4" t="inlineStr">
        <is>
          <t>Jersey-Training-SS-Shirt</t>
        </is>
      </c>
      <c r="O962" s="4" t="inlineStr"/>
    </row>
    <row r="963" ht="80" customHeight="1">
      <c r="A963" s="7">
        <f>IMAGE("https://images.lululemon.com/is/image/lululemon/LW3HQUS_0001_1?wid=320&amp;op_usm=0.8",1)</f>
        <v/>
      </c>
      <c r="B963" s="7" t="inlineStr">
        <is>
          <t>Jersey Training Short-Sleeve Shirt</t>
        </is>
      </c>
      <c r="C963" s="7" t="inlineStr">
        <is>
          <t>158094955</t>
        </is>
      </c>
      <c r="D963" s="7" t="inlineStr">
        <is>
          <t>158094955-brilliantblue</t>
        </is>
      </c>
      <c r="E963" s="7" t="inlineStr">
        <is>
          <t>Jersey Training Short Sleeve WHT 2</t>
        </is>
      </c>
      <c r="F963" s="7" t="inlineStr">
        <is>
          <t>$58.00</t>
        </is>
      </c>
      <c r="G963" s="7" t="inlineStr">
        <is>
          <t>$29.00</t>
        </is>
      </c>
      <c r="H963" s="7" t="inlineStr">
        <is>
          <t>Brilliant Blue</t>
        </is>
      </c>
      <c r="I963" s="7">
        <f>IMAGE("https://images.lululemon.com/is/image/lululemon/33190",1)</f>
        <v/>
      </c>
      <c r="J963" s="7" t="inlineStr">
        <is>
          <t>8</t>
        </is>
      </c>
      <c r="K963" s="7" t="inlineStr">
        <is>
          <t>24/1145</t>
        </is>
      </c>
      <c r="L963" s="7" t="inlineStr">
        <is>
          <t>Yes</t>
        </is>
      </c>
      <c r="M963" s="7" t="inlineStr">
        <is>
          <t>It's giving versatility. This training shirt combines technical performance with the ultra-soft feel of your favourite lounge top.</t>
        </is>
      </c>
      <c r="N963" s="7" t="inlineStr">
        <is>
          <t>Jersey-Training-SS-Shirt</t>
        </is>
      </c>
      <c r="O963" s="7" t="inlineStr"/>
    </row>
    <row r="964" ht="80" customHeight="1">
      <c r="A964" s="4">
        <f>IMAGE("https://images.lululemon.com/is/image/lululemon/LW3HQUS_0001_1?wid=320&amp;op_usm=0.8",1)</f>
        <v/>
      </c>
      <c r="B964" s="4" t="inlineStr">
        <is>
          <t>Jersey Training Short-Sleeve Shirt</t>
        </is>
      </c>
      <c r="C964" s="4" t="inlineStr">
        <is>
          <t>158094888</t>
        </is>
      </c>
      <c r="D964" s="4" t="inlineStr">
        <is>
          <t>158094888-brilliantblue</t>
        </is>
      </c>
      <c r="E964" s="4" t="inlineStr">
        <is>
          <t>Jersey Training Short Sleeve WHT 2</t>
        </is>
      </c>
      <c r="F964" s="4" t="inlineStr">
        <is>
          <t>$58.00</t>
        </is>
      </c>
      <c r="G964" s="4" t="inlineStr">
        <is>
          <t>$29.00</t>
        </is>
      </c>
      <c r="H964" s="4" t="inlineStr">
        <is>
          <t>Brilliant Blue</t>
        </is>
      </c>
      <c r="I964" s="4">
        <f>IMAGE("https://images.lululemon.com/is/image/lululemon/33190",1)</f>
        <v/>
      </c>
      <c r="J964" s="4" t="inlineStr">
        <is>
          <t>10</t>
        </is>
      </c>
      <c r="K964" s="4" t="inlineStr">
        <is>
          <t>16/1145</t>
        </is>
      </c>
      <c r="L964" s="4" t="inlineStr">
        <is>
          <t>Yes</t>
        </is>
      </c>
      <c r="M964" s="4" t="inlineStr">
        <is>
          <t>It's giving versatility. This training shirt combines technical performance with the ultra-soft feel of your favourite lounge top.</t>
        </is>
      </c>
      <c r="N964" s="4" t="inlineStr">
        <is>
          <t>Jersey-Training-SS-Shirt</t>
        </is>
      </c>
      <c r="O964" s="4" t="inlineStr"/>
    </row>
    <row r="965" ht="80" customHeight="1">
      <c r="A965" s="7">
        <f>IMAGE("https://images.lululemon.com/is/image/lululemon/LW3HQUS_0001_1?wid=320&amp;op_usm=0.8",1)</f>
        <v/>
      </c>
      <c r="B965" s="7" t="inlineStr">
        <is>
          <t>Jersey Training Short-Sleeve Shirt</t>
        </is>
      </c>
      <c r="C965" s="7" t="inlineStr">
        <is>
          <t>158094899</t>
        </is>
      </c>
      <c r="D965" s="7" t="inlineStr">
        <is>
          <t>158094899-brilliantblue</t>
        </is>
      </c>
      <c r="E965" s="7" t="inlineStr">
        <is>
          <t>Jersey Training Short Sleeve WHT 2</t>
        </is>
      </c>
      <c r="F965" s="7" t="inlineStr">
        <is>
          <t>$58.00</t>
        </is>
      </c>
      <c r="G965" s="7" t="inlineStr">
        <is>
          <t>$29.00</t>
        </is>
      </c>
      <c r="H965" s="7" t="inlineStr">
        <is>
          <t>Brilliant Blue</t>
        </is>
      </c>
      <c r="I965" s="7">
        <f>IMAGE("https://images.lululemon.com/is/image/lululemon/33190",1)</f>
        <v/>
      </c>
      <c r="J965" s="7" t="inlineStr">
        <is>
          <t>12</t>
        </is>
      </c>
      <c r="K965" s="7" t="inlineStr">
        <is>
          <t>10/1145</t>
        </is>
      </c>
      <c r="L965" s="7" t="inlineStr">
        <is>
          <t>Yes</t>
        </is>
      </c>
      <c r="M965" s="7" t="inlineStr">
        <is>
          <t>It's giving versatility. This training shirt combines technical performance with the ultra-soft feel of your favourite lounge top.</t>
        </is>
      </c>
      <c r="N965" s="7" t="inlineStr">
        <is>
          <t>Jersey-Training-SS-Shirt</t>
        </is>
      </c>
      <c r="O965" s="7" t="inlineStr"/>
    </row>
    <row r="966" ht="80" customHeight="1">
      <c r="A966" s="4">
        <f>IMAGE("https://images.lululemon.com/is/image/lululemon/LW3HQUS_0001_1?wid=320&amp;op_usm=0.8",1)</f>
        <v/>
      </c>
      <c r="B966" s="4" t="inlineStr">
        <is>
          <t>Jersey Training Short-Sleeve Shirt</t>
        </is>
      </c>
      <c r="C966" s="4" t="inlineStr">
        <is>
          <t>158095096</t>
        </is>
      </c>
      <c r="D966" s="4" t="inlineStr">
        <is>
          <t>158095096-rainforestgreen</t>
        </is>
      </c>
      <c r="E966" s="4" t="inlineStr">
        <is>
          <t>Jersey Training Short Sleeve WHT 2</t>
        </is>
      </c>
      <c r="F966" s="4" t="inlineStr">
        <is>
          <t>$58.00</t>
        </is>
      </c>
      <c r="G966" s="4" t="inlineStr">
        <is>
          <t>$29.00</t>
        </is>
      </c>
      <c r="H966" s="4" t="inlineStr">
        <is>
          <t>Rainforest Green</t>
        </is>
      </c>
      <c r="I966" s="4">
        <f>IMAGE("https://images.lululemon.com/is/image/lululemon/49106",1)</f>
        <v/>
      </c>
      <c r="J966" s="4" t="inlineStr">
        <is>
          <t>2</t>
        </is>
      </c>
      <c r="K966" s="4" t="inlineStr">
        <is>
          <t>32/1145</t>
        </is>
      </c>
      <c r="L966" s="4" t="inlineStr">
        <is>
          <t>Yes</t>
        </is>
      </c>
      <c r="M966" s="4" t="inlineStr">
        <is>
          <t>It's giving versatility. This training shirt combines technical performance with the ultra-soft feel of your favourite lounge top.</t>
        </is>
      </c>
      <c r="N966" s="4" t="inlineStr">
        <is>
          <t>Jersey-Training-SS-Shirt</t>
        </is>
      </c>
      <c r="O966" s="4" t="inlineStr"/>
    </row>
    <row r="967" ht="80" customHeight="1">
      <c r="A967" s="7">
        <f>IMAGE("https://images.lululemon.com/is/image/lululemon/LW3HQUS_0001_1?wid=320&amp;op_usm=0.8",1)</f>
        <v/>
      </c>
      <c r="B967" s="7" t="inlineStr">
        <is>
          <t>Jersey Training Short-Sleeve Shirt</t>
        </is>
      </c>
      <c r="C967" s="7" t="inlineStr">
        <is>
          <t>158095106</t>
        </is>
      </c>
      <c r="D967" s="7" t="inlineStr">
        <is>
          <t>158095106-rainforestgreen</t>
        </is>
      </c>
      <c r="E967" s="7" t="inlineStr">
        <is>
          <t>Jersey Training Short Sleeve WHT 2</t>
        </is>
      </c>
      <c r="F967" s="7" t="inlineStr">
        <is>
          <t>$58.00</t>
        </is>
      </c>
      <c r="G967" s="7" t="inlineStr">
        <is>
          <t>$29.00</t>
        </is>
      </c>
      <c r="H967" s="7" t="inlineStr">
        <is>
          <t>Rainforest Green</t>
        </is>
      </c>
      <c r="I967" s="7">
        <f>IMAGE("https://images.lululemon.com/is/image/lululemon/49106",1)</f>
        <v/>
      </c>
      <c r="J967" s="7" t="inlineStr">
        <is>
          <t>4</t>
        </is>
      </c>
      <c r="K967" s="7" t="inlineStr">
        <is>
          <t>63/1145</t>
        </is>
      </c>
      <c r="L967" s="7" t="inlineStr">
        <is>
          <t>Yes</t>
        </is>
      </c>
      <c r="M967" s="7" t="inlineStr">
        <is>
          <t>It's giving versatility. This training shirt combines technical performance with the ultra-soft feel of your favourite lounge top.</t>
        </is>
      </c>
      <c r="N967" s="7" t="inlineStr">
        <is>
          <t>Jersey-Training-SS-Shirt</t>
        </is>
      </c>
      <c r="O967" s="7" t="inlineStr"/>
    </row>
    <row r="968" ht="80" customHeight="1">
      <c r="A968" s="4">
        <f>IMAGE("https://images.lululemon.com/is/image/lululemon/LW3HQUS_0001_1?wid=320&amp;op_usm=0.8",1)</f>
        <v/>
      </c>
      <c r="B968" s="4" t="inlineStr">
        <is>
          <t>Jersey Training Short-Sleeve Shirt</t>
        </is>
      </c>
      <c r="C968" s="4" t="inlineStr">
        <is>
          <t>158095118</t>
        </is>
      </c>
      <c r="D968" s="4" t="inlineStr">
        <is>
          <t>158095118-rainforestgreen</t>
        </is>
      </c>
      <c r="E968" s="4" t="inlineStr">
        <is>
          <t>Jersey Training Short Sleeve WHT 2</t>
        </is>
      </c>
      <c r="F968" s="4" t="inlineStr">
        <is>
          <t>$58.00</t>
        </is>
      </c>
      <c r="G968" s="4" t="inlineStr">
        <is>
          <t>$29.00</t>
        </is>
      </c>
      <c r="H968" s="4" t="inlineStr">
        <is>
          <t>Rainforest Green</t>
        </is>
      </c>
      <c r="I968" s="4">
        <f>IMAGE("https://images.lululemon.com/is/image/lululemon/49106",1)</f>
        <v/>
      </c>
      <c r="J968" s="4" t="inlineStr">
        <is>
          <t>6</t>
        </is>
      </c>
      <c r="K968" s="4" t="inlineStr">
        <is>
          <t>61/1145</t>
        </is>
      </c>
      <c r="L968" s="4" t="inlineStr">
        <is>
          <t>Yes</t>
        </is>
      </c>
      <c r="M968" s="4" t="inlineStr">
        <is>
          <t>It's giving versatility. This training shirt combines technical performance with the ultra-soft feel of your favourite lounge top.</t>
        </is>
      </c>
      <c r="N968" s="4" t="inlineStr">
        <is>
          <t>Jersey-Training-SS-Shirt</t>
        </is>
      </c>
      <c r="O968" s="4" t="inlineStr"/>
    </row>
    <row r="969" ht="80" customHeight="1">
      <c r="A969" s="7">
        <f>IMAGE("https://images.lululemon.com/is/image/lululemon/LW3HQUS_0001_1?wid=320&amp;op_usm=0.8",1)</f>
        <v/>
      </c>
      <c r="B969" s="7" t="inlineStr">
        <is>
          <t>Jersey Training Short-Sleeve Shirt</t>
        </is>
      </c>
      <c r="C969" s="7" t="inlineStr">
        <is>
          <t>158095129</t>
        </is>
      </c>
      <c r="D969" s="7" t="inlineStr">
        <is>
          <t>158095129-rainforestgreen</t>
        </is>
      </c>
      <c r="E969" s="7" t="inlineStr">
        <is>
          <t>Jersey Training Short Sleeve WHT 2</t>
        </is>
      </c>
      <c r="F969" s="7" t="inlineStr">
        <is>
          <t>$58.00</t>
        </is>
      </c>
      <c r="G969" s="7" t="inlineStr">
        <is>
          <t>$29.00</t>
        </is>
      </c>
      <c r="H969" s="7" t="inlineStr">
        <is>
          <t>Rainforest Green</t>
        </is>
      </c>
      <c r="I969" s="7">
        <f>IMAGE("https://images.lululemon.com/is/image/lululemon/49106",1)</f>
        <v/>
      </c>
      <c r="J969" s="7" t="inlineStr">
        <is>
          <t>8</t>
        </is>
      </c>
      <c r="K969" s="7" t="inlineStr">
        <is>
          <t>59/1145</t>
        </is>
      </c>
      <c r="L969" s="7" t="inlineStr">
        <is>
          <t>Yes</t>
        </is>
      </c>
      <c r="M969" s="7" t="inlineStr">
        <is>
          <t>It's giving versatility. This training shirt combines technical performance with the ultra-soft feel of your favourite lounge top.</t>
        </is>
      </c>
      <c r="N969" s="7" t="inlineStr">
        <is>
          <t>Jersey-Training-SS-Shirt</t>
        </is>
      </c>
      <c r="O969" s="7" t="inlineStr"/>
    </row>
    <row r="970" ht="80" customHeight="1">
      <c r="A970" s="4">
        <f>IMAGE("https://images.lululemon.com/is/image/lululemon/LW3HQUS_0001_1?wid=320&amp;op_usm=0.8",1)</f>
        <v/>
      </c>
      <c r="B970" s="4" t="inlineStr">
        <is>
          <t>Jersey Training Short-Sleeve Shirt</t>
        </is>
      </c>
      <c r="C970" s="4" t="inlineStr">
        <is>
          <t>158095066</t>
        </is>
      </c>
      <c r="D970" s="4" t="inlineStr">
        <is>
          <t>158095066-rainforestgreen</t>
        </is>
      </c>
      <c r="E970" s="4" t="inlineStr">
        <is>
          <t>Jersey Training Short Sleeve WHT 2</t>
        </is>
      </c>
      <c r="F970" s="4" t="inlineStr">
        <is>
          <t>$58.00</t>
        </is>
      </c>
      <c r="G970" s="4" t="inlineStr">
        <is>
          <t>$29.00</t>
        </is>
      </c>
      <c r="H970" s="4" t="inlineStr">
        <is>
          <t>Rainforest Green</t>
        </is>
      </c>
      <c r="I970" s="4">
        <f>IMAGE("https://images.lululemon.com/is/image/lululemon/49106",1)</f>
        <v/>
      </c>
      <c r="J970" s="4" t="inlineStr">
        <is>
          <t>10</t>
        </is>
      </c>
      <c r="K970" s="4" t="inlineStr">
        <is>
          <t>24/1145</t>
        </is>
      </c>
      <c r="L970" s="4" t="inlineStr">
        <is>
          <t>Yes</t>
        </is>
      </c>
      <c r="M970" s="4" t="inlineStr">
        <is>
          <t>It's giving versatility. This training shirt combines technical performance with the ultra-soft feel of your favourite lounge top.</t>
        </is>
      </c>
      <c r="N970" s="4" t="inlineStr">
        <is>
          <t>Jersey-Training-SS-Shirt</t>
        </is>
      </c>
      <c r="O970" s="4" t="inlineStr"/>
    </row>
    <row r="971" ht="80" customHeight="1">
      <c r="A971" s="7">
        <f>IMAGE("https://images.lululemon.com/is/image/lululemon/LW3HQUS_0001_1?wid=320&amp;op_usm=0.8",1)</f>
        <v/>
      </c>
      <c r="B971" s="7" t="inlineStr">
        <is>
          <t>Jersey Training Short-Sleeve Shirt</t>
        </is>
      </c>
      <c r="C971" s="7" t="inlineStr">
        <is>
          <t>158095075</t>
        </is>
      </c>
      <c r="D971" s="7" t="inlineStr">
        <is>
          <t>158095075-rainforestgreen</t>
        </is>
      </c>
      <c r="E971" s="7" t="inlineStr">
        <is>
          <t>Jersey Training Short Sleeve WHT 2</t>
        </is>
      </c>
      <c r="F971" s="7" t="inlineStr">
        <is>
          <t>$58.00</t>
        </is>
      </c>
      <c r="G971" s="7" t="inlineStr">
        <is>
          <t>$29.00</t>
        </is>
      </c>
      <c r="H971" s="7" t="inlineStr">
        <is>
          <t>Rainforest Green</t>
        </is>
      </c>
      <c r="I971" s="7">
        <f>IMAGE("https://images.lululemon.com/is/image/lululemon/49106",1)</f>
        <v/>
      </c>
      <c r="J971" s="7" t="inlineStr">
        <is>
          <t>12</t>
        </is>
      </c>
      <c r="K971" s="7" t="inlineStr">
        <is>
          <t>12/1145</t>
        </is>
      </c>
      <c r="L971" s="7" t="inlineStr">
        <is>
          <t>Yes</t>
        </is>
      </c>
      <c r="M971" s="7" t="inlineStr">
        <is>
          <t>It's giving versatility. This training shirt combines technical performance with the ultra-soft feel of your favourite lounge top.</t>
        </is>
      </c>
      <c r="N971" s="7" t="inlineStr">
        <is>
          <t>Jersey-Training-SS-Shirt</t>
        </is>
      </c>
      <c r="O971" s="7" t="inlineStr"/>
    </row>
    <row r="972" ht="80" customHeight="1">
      <c r="A972" s="4">
        <f>IMAGE("https://images.lululemon.com/is/image/lululemon/LW3HQUS_0001_1?wid=320&amp;op_usm=0.8",1)</f>
        <v/>
      </c>
      <c r="B972" s="4" t="inlineStr">
        <is>
          <t>Jersey Training Short-Sleeve Shirt</t>
        </is>
      </c>
      <c r="C972" s="4" t="inlineStr">
        <is>
          <t>153826047</t>
        </is>
      </c>
      <c r="D972" s="4" t="inlineStr">
        <is>
          <t>153826047-black</t>
        </is>
      </c>
      <c r="E972" s="4" t="inlineStr">
        <is>
          <t>Jersey Training Short Sleeve WHT 2</t>
        </is>
      </c>
      <c r="F972" s="4" t="inlineStr">
        <is>
          <t>$58.00</t>
        </is>
      </c>
      <c r="G972" s="4" t="inlineStr">
        <is>
          <t>$29.00</t>
        </is>
      </c>
      <c r="H972" s="4" t="inlineStr">
        <is>
          <t>Black</t>
        </is>
      </c>
      <c r="I972" s="4">
        <f>IMAGE("https://images.lululemon.com/is/image/lululemon/0001",1)</f>
        <v/>
      </c>
      <c r="J972" s="4" t="inlineStr">
        <is>
          <t>4</t>
        </is>
      </c>
      <c r="K972" s="4" t="inlineStr">
        <is>
          <t>30/1145</t>
        </is>
      </c>
      <c r="L972" s="4" t="inlineStr">
        <is>
          <t>Yes</t>
        </is>
      </c>
      <c r="M972" s="4" t="inlineStr">
        <is>
          <t>It's giving versatility. This training shirt combines technical performance with the ultra-soft feel of your favourite lounge top.</t>
        </is>
      </c>
      <c r="N972" s="4" t="inlineStr">
        <is>
          <t>Jersey-Training-SS-Shirt</t>
        </is>
      </c>
      <c r="O972" s="4" t="inlineStr"/>
    </row>
    <row r="973" ht="80" customHeight="1">
      <c r="A973" s="7">
        <f>IMAGE("https://images.lululemon.com/is/image/lululemon/LW3HQUS_0001_1?wid=320&amp;op_usm=0.8",1)</f>
        <v/>
      </c>
      <c r="B973" s="7" t="inlineStr">
        <is>
          <t>Jersey Training Short-Sleeve Shirt</t>
        </is>
      </c>
      <c r="C973" s="7" t="inlineStr">
        <is>
          <t>153826051</t>
        </is>
      </c>
      <c r="D973" s="7" t="inlineStr">
        <is>
          <t>153826051-black</t>
        </is>
      </c>
      <c r="E973" s="7" t="inlineStr">
        <is>
          <t>Jersey Training Short Sleeve WHT 2</t>
        </is>
      </c>
      <c r="F973" s="7" t="inlineStr">
        <is>
          <t>$58.00</t>
        </is>
      </c>
      <c r="G973" s="7" t="inlineStr">
        <is>
          <t>$29.00</t>
        </is>
      </c>
      <c r="H973" s="7" t="inlineStr">
        <is>
          <t>Black</t>
        </is>
      </c>
      <c r="I973" s="7">
        <f>IMAGE("https://images.lululemon.com/is/image/lululemon/0001",1)</f>
        <v/>
      </c>
      <c r="J973" s="7" t="inlineStr">
        <is>
          <t>6</t>
        </is>
      </c>
      <c r="K973" s="7" t="inlineStr">
        <is>
          <t>3/1145</t>
        </is>
      </c>
      <c r="L973" s="7" t="inlineStr">
        <is>
          <t>Yes</t>
        </is>
      </c>
      <c r="M973" s="7" t="inlineStr">
        <is>
          <t>It's giving versatility. This training shirt combines technical performance with the ultra-soft feel of your favourite lounge top.</t>
        </is>
      </c>
      <c r="N973" s="7" t="inlineStr">
        <is>
          <t>Jersey-Training-SS-Shirt</t>
        </is>
      </c>
      <c r="O973" s="7" t="inlineStr"/>
    </row>
    <row r="974" ht="80" customHeight="1">
      <c r="A974" s="4">
        <f>IMAGE("https://images.lululemon.com/is/image/lululemon/LW3HQUS_0001_1?wid=320&amp;op_usm=0.8",1)</f>
        <v/>
      </c>
      <c r="B974" s="4" t="inlineStr">
        <is>
          <t>Jersey Training Short-Sleeve Shirt</t>
        </is>
      </c>
      <c r="C974" s="4" t="inlineStr">
        <is>
          <t>153826055</t>
        </is>
      </c>
      <c r="D974" s="4" t="inlineStr">
        <is>
          <t>153826055-black</t>
        </is>
      </c>
      <c r="E974" s="4" t="inlineStr">
        <is>
          <t>Jersey Training Short Sleeve WHT 2</t>
        </is>
      </c>
      <c r="F974" s="4" t="inlineStr">
        <is>
          <t>$58.00</t>
        </is>
      </c>
      <c r="G974" s="4" t="inlineStr">
        <is>
          <t>$29.00</t>
        </is>
      </c>
      <c r="H974" s="4" t="inlineStr">
        <is>
          <t>Black</t>
        </is>
      </c>
      <c r="I974" s="4">
        <f>IMAGE("https://images.lululemon.com/is/image/lululemon/0001",1)</f>
        <v/>
      </c>
      <c r="J974" s="4" t="inlineStr">
        <is>
          <t>8</t>
        </is>
      </c>
      <c r="K974" s="4" t="inlineStr">
        <is>
          <t>6/1145</t>
        </is>
      </c>
      <c r="L974" s="4" t="inlineStr">
        <is>
          <t>Yes</t>
        </is>
      </c>
      <c r="M974" s="4" t="inlineStr">
        <is>
          <t>It's giving versatility. This training shirt combines technical performance with the ultra-soft feel of your favourite lounge top.</t>
        </is>
      </c>
      <c r="N974" s="4" t="inlineStr">
        <is>
          <t>Jersey-Training-SS-Shirt</t>
        </is>
      </c>
      <c r="O974" s="4" t="inlineStr"/>
    </row>
    <row r="975" ht="80" customHeight="1">
      <c r="A975" s="7">
        <f>IMAGE("https://images.lululemon.com/is/image/lululemon/LW3HQUS_0001_1?wid=320&amp;op_usm=0.8",1)</f>
        <v/>
      </c>
      <c r="B975" s="7" t="inlineStr">
        <is>
          <t>Jersey Training Short-Sleeve Shirt</t>
        </is>
      </c>
      <c r="C975" s="7" t="inlineStr">
        <is>
          <t>153826005</t>
        </is>
      </c>
      <c r="D975" s="7" t="inlineStr">
        <is>
          <t>153826005-black</t>
        </is>
      </c>
      <c r="E975" s="7" t="inlineStr">
        <is>
          <t>Jersey Training Short Sleeve WHT 2</t>
        </is>
      </c>
      <c r="F975" s="7" t="inlineStr">
        <is>
          <t>$58.00</t>
        </is>
      </c>
      <c r="G975" s="7" t="inlineStr">
        <is>
          <t>$29.00</t>
        </is>
      </c>
      <c r="H975" s="7" t="inlineStr">
        <is>
          <t>Black</t>
        </is>
      </c>
      <c r="I975" s="7">
        <f>IMAGE("https://images.lululemon.com/is/image/lululemon/0001",1)</f>
        <v/>
      </c>
      <c r="J975" s="7" t="inlineStr">
        <is>
          <t>10</t>
        </is>
      </c>
      <c r="K975" s="7" t="inlineStr">
        <is>
          <t>3/1145</t>
        </is>
      </c>
      <c r="L975" s="7" t="inlineStr">
        <is>
          <t>Yes</t>
        </is>
      </c>
      <c r="M975" s="7" t="inlineStr">
        <is>
          <t>It's giving versatility. This training shirt combines technical performance with the ultra-soft feel of your favourite lounge top.</t>
        </is>
      </c>
      <c r="N975" s="7" t="inlineStr">
        <is>
          <t>Jersey-Training-SS-Shirt</t>
        </is>
      </c>
      <c r="O975" s="7" t="inlineStr"/>
    </row>
    <row r="976" ht="80" customHeight="1">
      <c r="A976" s="6">
        <f>IMAGE("https://images.lululemon.com/is/image/lululemon/LW3HQUS_0001_1?wid=320&amp;op_usm=0.8",1)</f>
        <v/>
      </c>
      <c r="B976" s="6" t="inlineStr">
        <is>
          <t>Jersey Training Short-Sleeve Shirt</t>
        </is>
      </c>
      <c r="C976" s="6" t="inlineStr">
        <is>
          <t>153826009</t>
        </is>
      </c>
      <c r="D976" s="6" t="inlineStr">
        <is>
          <t>153826009-black</t>
        </is>
      </c>
      <c r="E976" s="6" t="inlineStr">
        <is>
          <t>Jersey Training Short Sleeve WHT 2</t>
        </is>
      </c>
      <c r="F976" s="6" t="inlineStr">
        <is>
          <t>$58.00</t>
        </is>
      </c>
      <c r="G976" s="6" t="inlineStr">
        <is>
          <t>$29.00</t>
        </is>
      </c>
      <c r="H976" s="6" t="inlineStr">
        <is>
          <t>Black</t>
        </is>
      </c>
      <c r="I976" s="6">
        <f>IMAGE("https://images.lululemon.com/is/image/lululemon/0001",1)</f>
        <v/>
      </c>
      <c r="J976" s="6" t="inlineStr">
        <is>
          <t>12</t>
        </is>
      </c>
      <c r="K976" s="6" t="inlineStr">
        <is>
          <t>3/1145</t>
        </is>
      </c>
      <c r="L976" s="6" t="inlineStr">
        <is>
          <t>Yes</t>
        </is>
      </c>
      <c r="M976" s="6" t="inlineStr">
        <is>
          <t>It's giving versatility. This training shirt combines technical performance with the ultra-soft feel of your favourite lounge top.</t>
        </is>
      </c>
      <c r="N976" s="6" t="inlineStr">
        <is>
          <t>Jersey-Training-SS-Shirt</t>
        </is>
      </c>
      <c r="O976" s="6" t="inlineStr"/>
    </row>
    <row r="977" ht="80" customHeight="1">
      <c r="A977" s="7">
        <f>IMAGE("https://images.lululemon.com/is/image/lululemon/LW2731S_0002_1?wid=320&amp;op_usm=0.8",1)</f>
        <v/>
      </c>
      <c r="B977" s="7" t="inlineStr">
        <is>
          <t>Free to Be Bra - Wild *Light Support, A/B Cup</t>
        </is>
      </c>
      <c r="C977" s="7" t="inlineStr">
        <is>
          <t>3598591</t>
        </is>
      </c>
      <c r="D977" s="7" t="inlineStr">
        <is>
          <t>3598591-white</t>
        </is>
      </c>
      <c r="E977" s="7" t="inlineStr">
        <is>
          <t>Free to Be Bra *Wild WHT 8</t>
        </is>
      </c>
      <c r="F977" s="7" t="inlineStr">
        <is>
          <t>$48.00</t>
        </is>
      </c>
      <c r="G977" s="7" t="inlineStr">
        <is>
          <t>$24.00</t>
        </is>
      </c>
      <c r="H977" s="7" t="inlineStr">
        <is>
          <t>White</t>
        </is>
      </c>
      <c r="I977" s="7">
        <f>IMAGE("https://images.lululemon.com/is/image/lululemon/0002",1)</f>
        <v/>
      </c>
      <c r="J977" s="7" t="inlineStr">
        <is>
          <t>8</t>
        </is>
      </c>
      <c r="K977" s="7" t="inlineStr">
        <is>
          <t>57/105</t>
        </is>
      </c>
      <c r="L977" s="7" t="inlineStr">
        <is>
          <t>Yes</t>
        </is>
      </c>
      <c r="M977" s="7" t="inlineStr">
        <is>
          <t>Meet you at yoga? This strappy open-back bra is ready for all the ways you move, stretch, and open.</t>
        </is>
      </c>
      <c r="N977" s="7" t="inlineStr">
        <is>
          <t>Free-To-Be-Bra-Wild</t>
        </is>
      </c>
      <c r="O977" s="7" t="inlineStr">
        <is>
          <t>Strappy Bras, Bralettes</t>
        </is>
      </c>
    </row>
    <row r="978" ht="80" customHeight="1">
      <c r="A978" s="4">
        <f>IMAGE("https://images.lululemon.com/is/image/lululemon/LW2731S_0002_1?wid=320&amp;op_usm=0.8",1)</f>
        <v/>
      </c>
      <c r="B978" s="4" t="inlineStr">
        <is>
          <t>Free to Be Bra - Wild *Light Support, A/B Cup</t>
        </is>
      </c>
      <c r="C978" s="4" t="inlineStr">
        <is>
          <t>3598585</t>
        </is>
      </c>
      <c r="D978" s="4" t="inlineStr">
        <is>
          <t>3598585-white</t>
        </is>
      </c>
      <c r="E978" s="4" t="inlineStr">
        <is>
          <t>Free to Be Bra *Wild WHT 8</t>
        </is>
      </c>
      <c r="F978" s="4" t="inlineStr">
        <is>
          <t>$48.00</t>
        </is>
      </c>
      <c r="G978" s="4" t="inlineStr">
        <is>
          <t>$24.00</t>
        </is>
      </c>
      <c r="H978" s="4" t="inlineStr">
        <is>
          <t>White</t>
        </is>
      </c>
      <c r="I978" s="4">
        <f>IMAGE("https://images.lululemon.com/is/image/lululemon/0002",1)</f>
        <v/>
      </c>
      <c r="J978" s="4" t="inlineStr">
        <is>
          <t>10</t>
        </is>
      </c>
      <c r="K978" s="4" t="inlineStr">
        <is>
          <t>26/105</t>
        </is>
      </c>
      <c r="L978" s="4" t="inlineStr">
        <is>
          <t>Yes</t>
        </is>
      </c>
      <c r="M978" s="4" t="inlineStr">
        <is>
          <t>Meet you at yoga? This strappy open-back bra is ready for all the ways you move, stretch, and open.</t>
        </is>
      </c>
      <c r="N978" s="4" t="inlineStr">
        <is>
          <t>Free-To-Be-Bra-Wild</t>
        </is>
      </c>
      <c r="O978" s="4" t="inlineStr">
        <is>
          <t>Strappy Bras, Bralettes</t>
        </is>
      </c>
    </row>
    <row r="979" ht="80" customHeight="1">
      <c r="A979" s="5">
        <f>IMAGE("https://images.lululemon.com/is/image/lululemon/LW2731S_0002_1?wid=320&amp;op_usm=0.8",1)</f>
        <v/>
      </c>
      <c r="B979" s="5" t="inlineStr">
        <is>
          <t>Free to Be Bra - Wild *Light Support, A/B Cup</t>
        </is>
      </c>
      <c r="C979" s="5" t="inlineStr">
        <is>
          <t>3598586</t>
        </is>
      </c>
      <c r="D979" s="5" t="inlineStr">
        <is>
          <t>3598586-white</t>
        </is>
      </c>
      <c r="E979" s="5" t="inlineStr">
        <is>
          <t>Free to Be Bra *Wild WHT 8</t>
        </is>
      </c>
      <c r="F979" s="5" t="inlineStr">
        <is>
          <t>$48.00</t>
        </is>
      </c>
      <c r="G979" s="5" t="inlineStr">
        <is>
          <t>$24.00</t>
        </is>
      </c>
      <c r="H979" s="5" t="inlineStr">
        <is>
          <t>White</t>
        </is>
      </c>
      <c r="I979" s="5">
        <f>IMAGE("https://images.lululemon.com/is/image/lululemon/0002",1)</f>
        <v/>
      </c>
      <c r="J979" s="5" t="inlineStr">
        <is>
          <t>12</t>
        </is>
      </c>
      <c r="K979" s="5" t="inlineStr">
        <is>
          <t>22/105</t>
        </is>
      </c>
      <c r="L979" s="5" t="inlineStr">
        <is>
          <t>Yes</t>
        </is>
      </c>
      <c r="M979" s="5" t="inlineStr">
        <is>
          <t>Meet you at yoga? This strappy open-back bra is ready for all the ways you move, stretch, and open.</t>
        </is>
      </c>
      <c r="N979" s="5" t="inlineStr">
        <is>
          <t>Free-To-Be-Bra-Wild</t>
        </is>
      </c>
      <c r="O979" s="5" t="inlineStr">
        <is>
          <t>Strappy Bras, Bralettes</t>
        </is>
      </c>
    </row>
    <row r="980" ht="80" customHeight="1">
      <c r="A980" s="4">
        <f>IMAGE("https://images.lululemon.com/is/image/lululemon/LU9AYKS_0001_1?wid=320&amp;op_usm=0.8",1)</f>
        <v/>
      </c>
      <c r="B980" s="4" t="inlineStr">
        <is>
          <t>Fast and Free Running Armband</t>
        </is>
      </c>
      <c r="C980" s="4" t="inlineStr">
        <is>
          <t>144355704</t>
        </is>
      </c>
      <c r="D980" s="4" t="inlineStr">
        <is>
          <t>144355704-black</t>
        </is>
      </c>
      <c r="E980" s="4" t="inlineStr">
        <is>
          <t>Fast and Free Run Armband BLK S/M</t>
        </is>
      </c>
      <c r="F980" s="4" t="inlineStr">
        <is>
          <t>$38.00</t>
        </is>
      </c>
      <c r="G980" s="4" t="inlineStr">
        <is>
          <t>$19.00</t>
        </is>
      </c>
      <c r="H980" s="4" t="inlineStr">
        <is>
          <t>Black</t>
        </is>
      </c>
      <c r="I980" s="4">
        <f>IMAGE("https://images.lululemon.com/is/image/lululemon/0001",1)</f>
        <v/>
      </c>
      <c r="J980" s="4" t="inlineStr">
        <is>
          <t>S/M</t>
        </is>
      </c>
      <c r="K980" s="4" t="inlineStr">
        <is>
          <t>42/121</t>
        </is>
      </c>
      <c r="L980" s="4" t="inlineStr">
        <is>
          <t>Yes</t>
        </is>
      </c>
      <c r="M980" s="4" t="inlineStr">
        <is>
          <t>Go the distance while staying connected. This low-profile armband is lightweight and breathable, making it perfect for long runs.</t>
        </is>
      </c>
      <c r="N980" s="4" t="inlineStr">
        <is>
          <t>Fast-and-Free-Run-Arm-Band</t>
        </is>
      </c>
      <c r="O980" s="4" t="inlineStr"/>
    </row>
    <row r="981" ht="80" customHeight="1">
      <c r="A981" s="5">
        <f>IMAGE("https://images.lululemon.com/is/image/lululemon/LU9AYKS_0001_1?wid=320&amp;op_usm=0.8",1)</f>
        <v/>
      </c>
      <c r="B981" s="5" t="inlineStr">
        <is>
          <t>Fast and Free Running Armband</t>
        </is>
      </c>
      <c r="C981" s="5" t="inlineStr">
        <is>
          <t>144355702</t>
        </is>
      </c>
      <c r="D981" s="5" t="inlineStr">
        <is>
          <t>144355702-black</t>
        </is>
      </c>
      <c r="E981" s="5" t="inlineStr">
        <is>
          <t>Fast and Free Run Armband BLK S/M</t>
        </is>
      </c>
      <c r="F981" s="5" t="inlineStr">
        <is>
          <t>$38.00</t>
        </is>
      </c>
      <c r="G981" s="5" t="inlineStr">
        <is>
          <t>$19.00</t>
        </is>
      </c>
      <c r="H981" s="5" t="inlineStr">
        <is>
          <t>Black</t>
        </is>
      </c>
      <c r="I981" s="5">
        <f>IMAGE("https://images.lululemon.com/is/image/lululemon/0001",1)</f>
        <v/>
      </c>
      <c r="J981" s="5" t="inlineStr">
        <is>
          <t>L/XL</t>
        </is>
      </c>
      <c r="K981" s="5" t="inlineStr">
        <is>
          <t>79/121</t>
        </is>
      </c>
      <c r="L981" s="5" t="inlineStr">
        <is>
          <t>Yes</t>
        </is>
      </c>
      <c r="M981" s="5" t="inlineStr">
        <is>
          <t>Go the distance while staying connected. This low-profile armband is lightweight and breathable, making it perfect for long runs.</t>
        </is>
      </c>
      <c r="N981" s="5" t="inlineStr">
        <is>
          <t>Fast-and-Free-Run-Arm-Band</t>
        </is>
      </c>
      <c r="O981" s="5" t="inlineStr"/>
    </row>
    <row r="982" ht="80" customHeight="1">
      <c r="A982" s="4">
        <f>IMAGE("https://images.lululemon.com/is/image/lululemon/LW7DDRS_0001_1?wid=320&amp;op_usm=0.8",1)</f>
        <v/>
      </c>
      <c r="B982" s="4" t="inlineStr">
        <is>
          <t>Fast and Free High-Rise Classic-Fit Split Short 3"</t>
        </is>
      </c>
      <c r="C982" s="4" t="inlineStr">
        <is>
          <t>155703139</t>
        </is>
      </c>
      <c r="D982" s="4" t="inlineStr">
        <is>
          <t>155703139-black</t>
        </is>
      </c>
      <c r="E982" s="4" t="inlineStr">
        <is>
          <t>Fast and Free High-Rise Split Short 3" BLK XXXS</t>
        </is>
      </c>
      <c r="F982" s="4" t="inlineStr">
        <is>
          <t>$78.00</t>
        </is>
      </c>
      <c r="G982" s="4" t="inlineStr">
        <is>
          <t>$39.00</t>
        </is>
      </c>
      <c r="H982" s="4" t="inlineStr">
        <is>
          <t>Black</t>
        </is>
      </c>
      <c r="I982" s="4">
        <f>IMAGE("https://images.lululemon.com/is/image/lululemon/0001",1)</f>
        <v/>
      </c>
      <c r="J982" s="4" t="inlineStr">
        <is>
          <t>XXXS</t>
        </is>
      </c>
      <c r="K982" s="4" t="inlineStr">
        <is>
          <t>6/4015</t>
        </is>
      </c>
      <c r="L982" s="4" t="inlineStr">
        <is>
          <t>Yes</t>
        </is>
      </c>
      <c r="M982" s="4" t="inlineStr">
        <is>
          <t>100% pure running freedom. These shorts pair lightweight performance fabric with streamlined waistband storage to keep you feeling fast and free.</t>
        </is>
      </c>
      <c r="N982" s="4" t="inlineStr">
        <is>
          <t>Fast-and-Free-High-Rise-Classic-Fit-Split-Short-3</t>
        </is>
      </c>
      <c r="O982" s="4" t="inlineStr">
        <is>
          <t>Athletic Shorts, Liner Shorts, Track Shorts</t>
        </is>
      </c>
    </row>
    <row r="983" ht="80" customHeight="1">
      <c r="A983" s="7">
        <f>IMAGE("https://images.lululemon.com/is/image/lululemon/LW7DDRS_0001_1?wid=320&amp;op_usm=0.8",1)</f>
        <v/>
      </c>
      <c r="B983" s="7" t="inlineStr">
        <is>
          <t>Fast and Free High-Rise Classic-Fit Split Short 3"</t>
        </is>
      </c>
      <c r="C983" s="7" t="inlineStr">
        <is>
          <t>155703131</t>
        </is>
      </c>
      <c r="D983" s="7" t="inlineStr">
        <is>
          <t>155703131-black</t>
        </is>
      </c>
      <c r="E983" s="7" t="inlineStr">
        <is>
          <t>Fast and Free High-Rise Split Short 3" BLK XXXS</t>
        </is>
      </c>
      <c r="F983" s="7" t="inlineStr">
        <is>
          <t>$78.00</t>
        </is>
      </c>
      <c r="G983" s="7" t="inlineStr">
        <is>
          <t>$39.00</t>
        </is>
      </c>
      <c r="H983" s="7" t="inlineStr">
        <is>
          <t>Black</t>
        </is>
      </c>
      <c r="I983" s="7">
        <f>IMAGE("https://images.lululemon.com/is/image/lululemon/0001",1)</f>
        <v/>
      </c>
      <c r="J983" s="7" t="inlineStr">
        <is>
          <t>XXS</t>
        </is>
      </c>
      <c r="K983" s="7" t="inlineStr">
        <is>
          <t>36/4015</t>
        </is>
      </c>
      <c r="L983" s="7" t="inlineStr">
        <is>
          <t>Yes</t>
        </is>
      </c>
      <c r="M983" s="7" t="inlineStr">
        <is>
          <t>100% pure running freedom. These shorts pair lightweight performance fabric with streamlined waistband storage to keep you feeling fast and free.</t>
        </is>
      </c>
      <c r="N983" s="7" t="inlineStr">
        <is>
          <t>Fast-and-Free-High-Rise-Classic-Fit-Split-Short-3</t>
        </is>
      </c>
      <c r="O983" s="7" t="inlineStr">
        <is>
          <t>Athletic Shorts, Liner Shorts, Track Shorts</t>
        </is>
      </c>
    </row>
    <row r="984" ht="80" customHeight="1">
      <c r="A984" s="4">
        <f>IMAGE("https://images.lululemon.com/is/image/lululemon/LW7DDRS_0001_1?wid=320&amp;op_usm=0.8",1)</f>
        <v/>
      </c>
      <c r="B984" s="4" t="inlineStr">
        <is>
          <t>Fast and Free High-Rise Classic-Fit Split Short 3"</t>
        </is>
      </c>
      <c r="C984" s="4" t="inlineStr">
        <is>
          <t>155703125</t>
        </is>
      </c>
      <c r="D984" s="4" t="inlineStr">
        <is>
          <t>155703125-black</t>
        </is>
      </c>
      <c r="E984" s="4" t="inlineStr">
        <is>
          <t>Fast and Free High-Rise Split Short 3" BLK XXXS</t>
        </is>
      </c>
      <c r="F984" s="4" t="inlineStr">
        <is>
          <t>$78.00</t>
        </is>
      </c>
      <c r="G984" s="4" t="inlineStr">
        <is>
          <t>$39.00</t>
        </is>
      </c>
      <c r="H984" s="4" t="inlineStr">
        <is>
          <t>Black</t>
        </is>
      </c>
      <c r="I984" s="4">
        <f>IMAGE("https://images.lululemon.com/is/image/lululemon/0001",1)</f>
        <v/>
      </c>
      <c r="J984" s="4" t="inlineStr">
        <is>
          <t>XS</t>
        </is>
      </c>
      <c r="K984" s="4" t="inlineStr">
        <is>
          <t>222/4015</t>
        </is>
      </c>
      <c r="L984" s="4" t="inlineStr">
        <is>
          <t>Yes</t>
        </is>
      </c>
      <c r="M984" s="4" t="inlineStr">
        <is>
          <t>100% pure running freedom. These shorts pair lightweight performance fabric with streamlined waistband storage to keep you feeling fast and free.</t>
        </is>
      </c>
      <c r="N984" s="4" t="inlineStr">
        <is>
          <t>Fast-and-Free-High-Rise-Classic-Fit-Split-Short-3</t>
        </is>
      </c>
      <c r="O984" s="4" t="inlineStr">
        <is>
          <t>Athletic Shorts, Liner Shorts, Track Shorts</t>
        </is>
      </c>
    </row>
    <row r="985" ht="80" customHeight="1">
      <c r="A985" s="7">
        <f>IMAGE("https://images.lululemon.com/is/image/lululemon/LW7DDRS_0001_1?wid=320&amp;op_usm=0.8",1)</f>
        <v/>
      </c>
      <c r="B985" s="7" t="inlineStr">
        <is>
          <t>Fast and Free High-Rise Classic-Fit Split Short 3"</t>
        </is>
      </c>
      <c r="C985" s="7" t="inlineStr">
        <is>
          <t>155703111</t>
        </is>
      </c>
      <c r="D985" s="7" t="inlineStr">
        <is>
          <t>155703111-black</t>
        </is>
      </c>
      <c r="E985" s="7" t="inlineStr">
        <is>
          <t>Fast and Free High-Rise Split Short 3" BLK XXXS</t>
        </is>
      </c>
      <c r="F985" s="7" t="inlineStr">
        <is>
          <t>$78.00</t>
        </is>
      </c>
      <c r="G985" s="7" t="inlineStr">
        <is>
          <t>$39.00</t>
        </is>
      </c>
      <c r="H985" s="7" t="inlineStr">
        <is>
          <t>Black</t>
        </is>
      </c>
      <c r="I985" s="7">
        <f>IMAGE("https://images.lululemon.com/is/image/lululemon/0001",1)</f>
        <v/>
      </c>
      <c r="J985" s="7" t="inlineStr">
        <is>
          <t>S</t>
        </is>
      </c>
      <c r="K985" s="7" t="inlineStr">
        <is>
          <t>648/4015</t>
        </is>
      </c>
      <c r="L985" s="7" t="inlineStr">
        <is>
          <t>Yes</t>
        </is>
      </c>
      <c r="M985" s="7" t="inlineStr">
        <is>
          <t>100% pure running freedom. These shorts pair lightweight performance fabric with streamlined waistband storage to keep you feeling fast and free.</t>
        </is>
      </c>
      <c r="N985" s="7" t="inlineStr">
        <is>
          <t>Fast-and-Free-High-Rise-Classic-Fit-Split-Short-3</t>
        </is>
      </c>
      <c r="O985" s="7" t="inlineStr">
        <is>
          <t>Athletic Shorts, Liner Shorts, Track Shorts</t>
        </is>
      </c>
    </row>
    <row r="986" ht="80" customHeight="1">
      <c r="A986" s="4">
        <f>IMAGE("https://images.lululemon.com/is/image/lululemon/LW7DDRS_0001_1?wid=320&amp;op_usm=0.8",1)</f>
        <v/>
      </c>
      <c r="B986" s="4" t="inlineStr">
        <is>
          <t>Fast and Free High-Rise Classic-Fit Split Short 3"</t>
        </is>
      </c>
      <c r="C986" s="4" t="inlineStr">
        <is>
          <t>155703105</t>
        </is>
      </c>
      <c r="D986" s="4" t="inlineStr">
        <is>
          <t>155703105-black</t>
        </is>
      </c>
      <c r="E986" s="4" t="inlineStr">
        <is>
          <t>Fast and Free High-Rise Split Short 3" BLK XXXS</t>
        </is>
      </c>
      <c r="F986" s="4" t="inlineStr">
        <is>
          <t>$78.00</t>
        </is>
      </c>
      <c r="G986" s="4" t="inlineStr">
        <is>
          <t>$39.00</t>
        </is>
      </c>
      <c r="H986" s="4" t="inlineStr">
        <is>
          <t>Black</t>
        </is>
      </c>
      <c r="I986" s="4">
        <f>IMAGE("https://images.lululemon.com/is/image/lululemon/0001",1)</f>
        <v/>
      </c>
      <c r="J986" s="4" t="inlineStr">
        <is>
          <t>M</t>
        </is>
      </c>
      <c r="K986" s="4" t="inlineStr">
        <is>
          <t>834/4015</t>
        </is>
      </c>
      <c r="L986" s="4" t="inlineStr">
        <is>
          <t>Yes</t>
        </is>
      </c>
      <c r="M986" s="4" t="inlineStr">
        <is>
          <t>100% pure running freedom. These shorts pair lightweight performance fabric with streamlined waistband storage to keep you feeling fast and free.</t>
        </is>
      </c>
      <c r="N986" s="4" t="inlineStr">
        <is>
          <t>Fast-and-Free-High-Rise-Classic-Fit-Split-Short-3</t>
        </is>
      </c>
      <c r="O986" s="4" t="inlineStr">
        <is>
          <t>Athletic Shorts, Liner Shorts, Track Shorts</t>
        </is>
      </c>
    </row>
    <row r="987" ht="80" customHeight="1">
      <c r="A987" s="7">
        <f>IMAGE("https://images.lululemon.com/is/image/lululemon/LW7DDRS_0001_1?wid=320&amp;op_usm=0.8",1)</f>
        <v/>
      </c>
      <c r="B987" s="7" t="inlineStr">
        <is>
          <t>Fast and Free High-Rise Classic-Fit Split Short 3"</t>
        </is>
      </c>
      <c r="C987" s="7" t="inlineStr">
        <is>
          <t>155703100</t>
        </is>
      </c>
      <c r="D987" s="7" t="inlineStr">
        <is>
          <t>155703100-black</t>
        </is>
      </c>
      <c r="E987" s="7" t="inlineStr">
        <is>
          <t>Fast and Free High-Rise Split Short 3" BLK XXXS</t>
        </is>
      </c>
      <c r="F987" s="7" t="inlineStr">
        <is>
          <t>$78.00</t>
        </is>
      </c>
      <c r="G987" s="7" t="inlineStr">
        <is>
          <t>$39.00</t>
        </is>
      </c>
      <c r="H987" s="7" t="inlineStr">
        <is>
          <t>Black</t>
        </is>
      </c>
      <c r="I987" s="7">
        <f>IMAGE("https://images.lululemon.com/is/image/lululemon/0001",1)</f>
        <v/>
      </c>
      <c r="J987" s="7" t="inlineStr">
        <is>
          <t>L</t>
        </is>
      </c>
      <c r="K987" s="7" t="inlineStr">
        <is>
          <t>577/4015</t>
        </is>
      </c>
      <c r="L987" s="7" t="inlineStr">
        <is>
          <t>Yes</t>
        </is>
      </c>
      <c r="M987" s="7" t="inlineStr">
        <is>
          <t>100% pure running freedom. These shorts pair lightweight performance fabric with streamlined waistband storage to keep you feeling fast and free.</t>
        </is>
      </c>
      <c r="N987" s="7" t="inlineStr">
        <is>
          <t>Fast-and-Free-High-Rise-Classic-Fit-Split-Short-3</t>
        </is>
      </c>
      <c r="O987" s="7" t="inlineStr">
        <is>
          <t>Athletic Shorts, Liner Shorts, Track Shorts</t>
        </is>
      </c>
    </row>
    <row r="988" ht="80" customHeight="1">
      <c r="A988" s="4">
        <f>IMAGE("https://images.lululemon.com/is/image/lululemon/LW7DDRS_0001_1?wid=320&amp;op_usm=0.8",1)</f>
        <v/>
      </c>
      <c r="B988" s="4" t="inlineStr">
        <is>
          <t>Fast and Free High-Rise Classic-Fit Split Short 3"</t>
        </is>
      </c>
      <c r="C988" s="4" t="inlineStr">
        <is>
          <t>155703119</t>
        </is>
      </c>
      <c r="D988" s="4" t="inlineStr">
        <is>
          <t>155703119-black</t>
        </is>
      </c>
      <c r="E988" s="4" t="inlineStr">
        <is>
          <t>Fast and Free High-Rise Split Short 3" BLK XXXS</t>
        </is>
      </c>
      <c r="F988" s="4" t="inlineStr">
        <is>
          <t>$78.00</t>
        </is>
      </c>
      <c r="G988" s="4" t="inlineStr">
        <is>
          <t>$39.00</t>
        </is>
      </c>
      <c r="H988" s="4" t="inlineStr">
        <is>
          <t>Black</t>
        </is>
      </c>
      <c r="I988" s="4">
        <f>IMAGE("https://images.lululemon.com/is/image/lululemon/0001",1)</f>
        <v/>
      </c>
      <c r="J988" s="4" t="inlineStr">
        <is>
          <t>XL</t>
        </is>
      </c>
      <c r="K988" s="4" t="inlineStr">
        <is>
          <t>409/4015</t>
        </is>
      </c>
      <c r="L988" s="4" t="inlineStr">
        <is>
          <t>Yes</t>
        </is>
      </c>
      <c r="M988" s="4" t="inlineStr">
        <is>
          <t>100% pure running freedom. These shorts pair lightweight performance fabric with streamlined waistband storage to keep you feeling fast and free.</t>
        </is>
      </c>
      <c r="N988" s="4" t="inlineStr">
        <is>
          <t>Fast-and-Free-High-Rise-Classic-Fit-Split-Short-3</t>
        </is>
      </c>
      <c r="O988" s="4" t="inlineStr">
        <is>
          <t>Athletic Shorts, Liner Shorts, Track Shorts</t>
        </is>
      </c>
    </row>
    <row r="989" ht="80" customHeight="1">
      <c r="A989" s="7">
        <f>IMAGE("https://images.lululemon.com/is/image/lululemon/LW7DDRS_0001_1?wid=320&amp;op_usm=0.8",1)</f>
        <v/>
      </c>
      <c r="B989" s="7" t="inlineStr">
        <is>
          <t>Fast and Free High-Rise Classic-Fit Split Short 3"</t>
        </is>
      </c>
      <c r="C989" s="7" t="inlineStr">
        <is>
          <t>157682873</t>
        </is>
      </c>
      <c r="D989" s="7" t="inlineStr">
        <is>
          <t>157682873-rainforestgreen</t>
        </is>
      </c>
      <c r="E989" s="7" t="inlineStr">
        <is>
          <t>Fast and Free High-Rise Split Short 3" BLK XXXS</t>
        </is>
      </c>
      <c r="F989" s="7" t="inlineStr">
        <is>
          <t>$78.00</t>
        </is>
      </c>
      <c r="G989" s="7" t="inlineStr">
        <is>
          <t>$39.00</t>
        </is>
      </c>
      <c r="H989" s="7" t="inlineStr">
        <is>
          <t>Rainforest Green</t>
        </is>
      </c>
      <c r="I989" s="7">
        <f>IMAGE("https://images.lululemon.com/is/image/lululemon/49106",1)</f>
        <v/>
      </c>
      <c r="J989" s="7" t="inlineStr">
        <is>
          <t>XS</t>
        </is>
      </c>
      <c r="K989" s="7" t="inlineStr">
        <is>
          <t>13/4015</t>
        </is>
      </c>
      <c r="L989" s="7" t="inlineStr">
        <is>
          <t>Yes</t>
        </is>
      </c>
      <c r="M989" s="7" t="inlineStr">
        <is>
          <t>100% pure running freedom. These shorts pair lightweight performance fabric with streamlined waistband storage to keep you feeling fast and free.</t>
        </is>
      </c>
      <c r="N989" s="7" t="inlineStr">
        <is>
          <t>Fast-and-Free-High-Rise-Classic-Fit-Split-Short-3</t>
        </is>
      </c>
      <c r="O989" s="7" t="inlineStr">
        <is>
          <t>Athletic Shorts, Liner Shorts, Track Shorts</t>
        </is>
      </c>
    </row>
    <row r="990" ht="80" customHeight="1">
      <c r="A990" s="4">
        <f>IMAGE("https://images.lululemon.com/is/image/lululemon/LW7DDRS_0001_1?wid=320&amp;op_usm=0.8",1)</f>
        <v/>
      </c>
      <c r="B990" s="4" t="inlineStr">
        <is>
          <t>Fast and Free High-Rise Classic-Fit Split Short 3"</t>
        </is>
      </c>
      <c r="C990" s="4" t="inlineStr">
        <is>
          <t>157682868</t>
        </is>
      </c>
      <c r="D990" s="4" t="inlineStr">
        <is>
          <t>157682868-rainforestgreen</t>
        </is>
      </c>
      <c r="E990" s="4" t="inlineStr">
        <is>
          <t>Fast and Free High-Rise Split Short 3" BLK XXXS</t>
        </is>
      </c>
      <c r="F990" s="4" t="inlineStr">
        <is>
          <t>$78.00</t>
        </is>
      </c>
      <c r="G990" s="4" t="inlineStr">
        <is>
          <t>$39.00</t>
        </is>
      </c>
      <c r="H990" s="4" t="inlineStr">
        <is>
          <t>Rainforest Green</t>
        </is>
      </c>
      <c r="I990" s="4">
        <f>IMAGE("https://images.lululemon.com/is/image/lululemon/49106",1)</f>
        <v/>
      </c>
      <c r="J990" s="4" t="inlineStr">
        <is>
          <t>S</t>
        </is>
      </c>
      <c r="K990" s="4" t="inlineStr">
        <is>
          <t>34/4015</t>
        </is>
      </c>
      <c r="L990" s="4" t="inlineStr">
        <is>
          <t>Yes</t>
        </is>
      </c>
      <c r="M990" s="4" t="inlineStr">
        <is>
          <t>100% pure running freedom. These shorts pair lightweight performance fabric with streamlined waistband storage to keep you feeling fast and free.</t>
        </is>
      </c>
      <c r="N990" s="4" t="inlineStr">
        <is>
          <t>Fast-and-Free-High-Rise-Classic-Fit-Split-Short-3</t>
        </is>
      </c>
      <c r="O990" s="4" t="inlineStr">
        <is>
          <t>Athletic Shorts, Liner Shorts, Track Shorts</t>
        </is>
      </c>
    </row>
    <row r="991" ht="80" customHeight="1">
      <c r="A991" s="7">
        <f>IMAGE("https://images.lululemon.com/is/image/lululemon/LW7DDRS_0001_1?wid=320&amp;op_usm=0.8",1)</f>
        <v/>
      </c>
      <c r="B991" s="7" t="inlineStr">
        <is>
          <t>Fast and Free High-Rise Classic-Fit Split Short 3"</t>
        </is>
      </c>
      <c r="C991" s="7" t="inlineStr">
        <is>
          <t>157682865</t>
        </is>
      </c>
      <c r="D991" s="7" t="inlineStr">
        <is>
          <t>157682865-rainforestgreen</t>
        </is>
      </c>
      <c r="E991" s="7" t="inlineStr">
        <is>
          <t>Fast and Free High-Rise Split Short 3" BLK XXXS</t>
        </is>
      </c>
      <c r="F991" s="7" t="inlineStr">
        <is>
          <t>$78.00</t>
        </is>
      </c>
      <c r="G991" s="7" t="inlineStr">
        <is>
          <t>$39.00</t>
        </is>
      </c>
      <c r="H991" s="7" t="inlineStr">
        <is>
          <t>Rainforest Green</t>
        </is>
      </c>
      <c r="I991" s="7">
        <f>IMAGE("https://images.lululemon.com/is/image/lululemon/49106",1)</f>
        <v/>
      </c>
      <c r="J991" s="7" t="inlineStr">
        <is>
          <t>M</t>
        </is>
      </c>
      <c r="K991" s="7" t="inlineStr">
        <is>
          <t>53/4015</t>
        </is>
      </c>
      <c r="L991" s="7" t="inlineStr">
        <is>
          <t>Yes</t>
        </is>
      </c>
      <c r="M991" s="7" t="inlineStr">
        <is>
          <t>100% pure running freedom. These shorts pair lightweight performance fabric with streamlined waistband storage to keep you feeling fast and free.</t>
        </is>
      </c>
      <c r="N991" s="7" t="inlineStr">
        <is>
          <t>Fast-and-Free-High-Rise-Classic-Fit-Split-Short-3</t>
        </is>
      </c>
      <c r="O991" s="7" t="inlineStr">
        <is>
          <t>Athletic Shorts, Liner Shorts, Track Shorts</t>
        </is>
      </c>
    </row>
    <row r="992" ht="80" customHeight="1">
      <c r="A992" s="4">
        <f>IMAGE("https://images.lululemon.com/is/image/lululemon/LW7DDRS_0001_1?wid=320&amp;op_usm=0.8",1)</f>
        <v/>
      </c>
      <c r="B992" s="4" t="inlineStr">
        <is>
          <t>Fast and Free High-Rise Classic-Fit Split Short 3"</t>
        </is>
      </c>
      <c r="C992" s="4" t="inlineStr">
        <is>
          <t>157682862</t>
        </is>
      </c>
      <c r="D992" s="4" t="inlineStr">
        <is>
          <t>157682862-rainforestgreen</t>
        </is>
      </c>
      <c r="E992" s="4" t="inlineStr">
        <is>
          <t>Fast and Free High-Rise Split Short 3" BLK XXXS</t>
        </is>
      </c>
      <c r="F992" s="4" t="inlineStr">
        <is>
          <t>$78.00</t>
        </is>
      </c>
      <c r="G992" s="4" t="inlineStr">
        <is>
          <t>$39.00</t>
        </is>
      </c>
      <c r="H992" s="4" t="inlineStr">
        <is>
          <t>Rainforest Green</t>
        </is>
      </c>
      <c r="I992" s="4">
        <f>IMAGE("https://images.lululemon.com/is/image/lululemon/49106",1)</f>
        <v/>
      </c>
      <c r="J992" s="4" t="inlineStr">
        <is>
          <t>L</t>
        </is>
      </c>
      <c r="K992" s="4" t="inlineStr">
        <is>
          <t>45/4015</t>
        </is>
      </c>
      <c r="L992" s="4" t="inlineStr">
        <is>
          <t>Yes</t>
        </is>
      </c>
      <c r="M992" s="4" t="inlineStr">
        <is>
          <t>100% pure running freedom. These shorts pair lightweight performance fabric with streamlined waistband storage to keep you feeling fast and free.</t>
        </is>
      </c>
      <c r="N992" s="4" t="inlineStr">
        <is>
          <t>Fast-and-Free-High-Rise-Classic-Fit-Split-Short-3</t>
        </is>
      </c>
      <c r="O992" s="4" t="inlineStr">
        <is>
          <t>Athletic Shorts, Liner Shorts, Track Shorts</t>
        </is>
      </c>
    </row>
    <row r="993" ht="80" customHeight="1">
      <c r="A993" s="7">
        <f>IMAGE("https://images.lululemon.com/is/image/lululemon/LW7DDRS_0001_1?wid=320&amp;op_usm=0.8",1)</f>
        <v/>
      </c>
      <c r="B993" s="7" t="inlineStr">
        <is>
          <t>Fast and Free High-Rise Classic-Fit Split Short 3"</t>
        </is>
      </c>
      <c r="C993" s="7" t="inlineStr">
        <is>
          <t>157682870</t>
        </is>
      </c>
      <c r="D993" s="7" t="inlineStr">
        <is>
          <t>157682870-rainforestgreen</t>
        </is>
      </c>
      <c r="E993" s="7" t="inlineStr">
        <is>
          <t>Fast and Free High-Rise Split Short 3" BLK XXXS</t>
        </is>
      </c>
      <c r="F993" s="7" t="inlineStr">
        <is>
          <t>$78.00</t>
        </is>
      </c>
      <c r="G993" s="7" t="inlineStr">
        <is>
          <t>$39.00</t>
        </is>
      </c>
      <c r="H993" s="7" t="inlineStr">
        <is>
          <t>Rainforest Green</t>
        </is>
      </c>
      <c r="I993" s="7">
        <f>IMAGE("https://images.lululemon.com/is/image/lululemon/49106",1)</f>
        <v/>
      </c>
      <c r="J993" s="7" t="inlineStr">
        <is>
          <t>XL</t>
        </is>
      </c>
      <c r="K993" s="7" t="inlineStr">
        <is>
          <t>33/4015</t>
        </is>
      </c>
      <c r="L993" s="7" t="inlineStr">
        <is>
          <t>Yes</t>
        </is>
      </c>
      <c r="M993" s="7" t="inlineStr">
        <is>
          <t>100% pure running freedom. These shorts pair lightweight performance fabric with streamlined waistband storage to keep you feeling fast and free.</t>
        </is>
      </c>
      <c r="N993" s="7" t="inlineStr">
        <is>
          <t>Fast-and-Free-High-Rise-Classic-Fit-Split-Short-3</t>
        </is>
      </c>
      <c r="O993" s="7" t="inlineStr">
        <is>
          <t>Athletic Shorts, Liner Shorts, Track Shorts</t>
        </is>
      </c>
    </row>
    <row r="994" ht="80" customHeight="1">
      <c r="A994" s="4">
        <f>IMAGE("https://images.lululemon.com/is/image/lululemon/LW7DDRS_0001_1?wid=320&amp;op_usm=0.8",1)</f>
        <v/>
      </c>
      <c r="B994" s="4" t="inlineStr">
        <is>
          <t>Fast and Free High-Rise Classic-Fit Split Short 3"</t>
        </is>
      </c>
      <c r="C994" s="4" t="inlineStr">
        <is>
          <t>155850950</t>
        </is>
      </c>
      <c r="D994" s="4" t="inlineStr">
        <is>
          <t>155850950-truenavy</t>
        </is>
      </c>
      <c r="E994" s="4" t="inlineStr">
        <is>
          <t>Fast and Free High-Rise Split Short 3" BLK XXXS</t>
        </is>
      </c>
      <c r="F994" s="4" t="inlineStr">
        <is>
          <t>$78.00</t>
        </is>
      </c>
      <c r="G994" s="4" t="inlineStr">
        <is>
          <t>$39.00</t>
        </is>
      </c>
      <c r="H994" s="4" t="inlineStr">
        <is>
          <t>True Navy</t>
        </is>
      </c>
      <c r="I994" s="4">
        <f>IMAGE("https://images.lululemon.com/is/image/lululemon/31382",1)</f>
        <v/>
      </c>
      <c r="J994" s="4" t="inlineStr">
        <is>
          <t>XS</t>
        </is>
      </c>
      <c r="K994" s="4" t="inlineStr">
        <is>
          <t>111/4015</t>
        </is>
      </c>
      <c r="L994" s="4" t="inlineStr">
        <is>
          <t>Yes</t>
        </is>
      </c>
      <c r="M994" s="4" t="inlineStr">
        <is>
          <t>100% pure running freedom. These shorts pair lightweight performance fabric with streamlined waistband storage to keep you feeling fast and free.</t>
        </is>
      </c>
      <c r="N994" s="4" t="inlineStr">
        <is>
          <t>Fast-and-Free-High-Rise-Classic-Fit-Split-Short-3</t>
        </is>
      </c>
      <c r="O994" s="4" t="inlineStr">
        <is>
          <t>Athletic Shorts, Liner Shorts, Track Shorts</t>
        </is>
      </c>
    </row>
    <row r="995" ht="80" customHeight="1">
      <c r="A995" s="7">
        <f>IMAGE("https://images.lululemon.com/is/image/lululemon/LW7DDRS_0001_1?wid=320&amp;op_usm=0.8",1)</f>
        <v/>
      </c>
      <c r="B995" s="7" t="inlineStr">
        <is>
          <t>Fast and Free High-Rise Classic-Fit Split Short 3"</t>
        </is>
      </c>
      <c r="C995" s="7" t="inlineStr">
        <is>
          <t>155850925</t>
        </is>
      </c>
      <c r="D995" s="7" t="inlineStr">
        <is>
          <t>155850925-truenavy</t>
        </is>
      </c>
      <c r="E995" s="7" t="inlineStr">
        <is>
          <t>Fast and Free High-Rise Split Short 3" BLK XXXS</t>
        </is>
      </c>
      <c r="F995" s="7" t="inlineStr">
        <is>
          <t>$78.00</t>
        </is>
      </c>
      <c r="G995" s="7" t="inlineStr">
        <is>
          <t>$39.00</t>
        </is>
      </c>
      <c r="H995" s="7" t="inlineStr">
        <is>
          <t>True Navy</t>
        </is>
      </c>
      <c r="I995" s="7">
        <f>IMAGE("https://images.lululemon.com/is/image/lululemon/31382",1)</f>
        <v/>
      </c>
      <c r="J995" s="7" t="inlineStr">
        <is>
          <t>S</t>
        </is>
      </c>
      <c r="K995" s="7" t="inlineStr">
        <is>
          <t>175/4015</t>
        </is>
      </c>
      <c r="L995" s="7" t="inlineStr">
        <is>
          <t>Yes</t>
        </is>
      </c>
      <c r="M995" s="7" t="inlineStr">
        <is>
          <t>100% pure running freedom. These shorts pair lightweight performance fabric with streamlined waistband storage to keep you feeling fast and free.</t>
        </is>
      </c>
      <c r="N995" s="7" t="inlineStr">
        <is>
          <t>Fast-and-Free-High-Rise-Classic-Fit-Split-Short-3</t>
        </is>
      </c>
      <c r="O995" s="7" t="inlineStr">
        <is>
          <t>Athletic Shorts, Liner Shorts, Track Shorts</t>
        </is>
      </c>
    </row>
    <row r="996" ht="80" customHeight="1">
      <c r="A996" s="4">
        <f>IMAGE("https://images.lululemon.com/is/image/lululemon/LW7DDRS_0001_1?wid=320&amp;op_usm=0.8",1)</f>
        <v/>
      </c>
      <c r="B996" s="4" t="inlineStr">
        <is>
          <t>Fast and Free High-Rise Classic-Fit Split Short 3"</t>
        </is>
      </c>
      <c r="C996" s="4" t="inlineStr">
        <is>
          <t>155850909</t>
        </is>
      </c>
      <c r="D996" s="4" t="inlineStr">
        <is>
          <t>155850909-truenavy</t>
        </is>
      </c>
      <c r="E996" s="4" t="inlineStr">
        <is>
          <t>Fast and Free High-Rise Split Short 3" BLK XXXS</t>
        </is>
      </c>
      <c r="F996" s="4" t="inlineStr">
        <is>
          <t>$78.00</t>
        </is>
      </c>
      <c r="G996" s="4" t="inlineStr">
        <is>
          <t>$39.00</t>
        </is>
      </c>
      <c r="H996" s="4" t="inlineStr">
        <is>
          <t>True Navy</t>
        </is>
      </c>
      <c r="I996" s="4">
        <f>IMAGE("https://images.lululemon.com/is/image/lululemon/31382",1)</f>
        <v/>
      </c>
      <c r="J996" s="4" t="inlineStr">
        <is>
          <t>M</t>
        </is>
      </c>
      <c r="K996" s="4" t="inlineStr">
        <is>
          <t>178/4015</t>
        </is>
      </c>
      <c r="L996" s="4" t="inlineStr">
        <is>
          <t>Yes</t>
        </is>
      </c>
      <c r="M996" s="4" t="inlineStr">
        <is>
          <t>100% pure running freedom. These shorts pair lightweight performance fabric with streamlined waistband storage to keep you feeling fast and free.</t>
        </is>
      </c>
      <c r="N996" s="4" t="inlineStr">
        <is>
          <t>Fast-and-Free-High-Rise-Classic-Fit-Split-Short-3</t>
        </is>
      </c>
      <c r="O996" s="4" t="inlineStr">
        <is>
          <t>Athletic Shorts, Liner Shorts, Track Shorts</t>
        </is>
      </c>
    </row>
    <row r="997" ht="80" customHeight="1">
      <c r="A997" s="7">
        <f>IMAGE("https://images.lululemon.com/is/image/lululemon/LW7DDRS_0001_1?wid=320&amp;op_usm=0.8",1)</f>
        <v/>
      </c>
      <c r="B997" s="7" t="inlineStr">
        <is>
          <t>Fast and Free High-Rise Classic-Fit Split Short 3"</t>
        </is>
      </c>
      <c r="C997" s="7" t="inlineStr">
        <is>
          <t>155850895</t>
        </is>
      </c>
      <c r="D997" s="7" t="inlineStr">
        <is>
          <t>155850895-truenavy</t>
        </is>
      </c>
      <c r="E997" s="7" t="inlineStr">
        <is>
          <t>Fast and Free High-Rise Split Short 3" BLK XXXS</t>
        </is>
      </c>
      <c r="F997" s="7" t="inlineStr">
        <is>
          <t>$78.00</t>
        </is>
      </c>
      <c r="G997" s="7" t="inlineStr">
        <is>
          <t>$39.00</t>
        </is>
      </c>
      <c r="H997" s="7" t="inlineStr">
        <is>
          <t>True Navy</t>
        </is>
      </c>
      <c r="I997" s="7">
        <f>IMAGE("https://images.lululemon.com/is/image/lululemon/31382",1)</f>
        <v/>
      </c>
      <c r="J997" s="7" t="inlineStr">
        <is>
          <t>L</t>
        </is>
      </c>
      <c r="K997" s="7" t="inlineStr">
        <is>
          <t>110/4015</t>
        </is>
      </c>
      <c r="L997" s="7" t="inlineStr">
        <is>
          <t>Yes</t>
        </is>
      </c>
      <c r="M997" s="7" t="inlineStr">
        <is>
          <t>100% pure running freedom. These shorts pair lightweight performance fabric with streamlined waistband storage to keep you feeling fast and free.</t>
        </is>
      </c>
      <c r="N997" s="7" t="inlineStr">
        <is>
          <t>Fast-and-Free-High-Rise-Classic-Fit-Split-Short-3</t>
        </is>
      </c>
      <c r="O997" s="7" t="inlineStr">
        <is>
          <t>Athletic Shorts, Liner Shorts, Track Shorts</t>
        </is>
      </c>
    </row>
    <row r="998" ht="80" customHeight="1">
      <c r="A998" s="4">
        <f>IMAGE("https://images.lululemon.com/is/image/lululemon/LW7DDRS_0001_1?wid=320&amp;op_usm=0.8",1)</f>
        <v/>
      </c>
      <c r="B998" s="4" t="inlineStr">
        <is>
          <t>Fast and Free High-Rise Classic-Fit Split Short 3"</t>
        </is>
      </c>
      <c r="C998" s="4" t="inlineStr">
        <is>
          <t>155850937</t>
        </is>
      </c>
      <c r="D998" s="4" t="inlineStr">
        <is>
          <t>155850937-truenavy</t>
        </is>
      </c>
      <c r="E998" s="4" t="inlineStr">
        <is>
          <t>Fast and Free High-Rise Split Short 3" BLK XXXS</t>
        </is>
      </c>
      <c r="F998" s="4" t="inlineStr">
        <is>
          <t>$78.00</t>
        </is>
      </c>
      <c r="G998" s="4" t="inlineStr">
        <is>
          <t>$39.00</t>
        </is>
      </c>
      <c r="H998" s="4" t="inlineStr">
        <is>
          <t>True Navy</t>
        </is>
      </c>
      <c r="I998" s="4">
        <f>IMAGE("https://images.lululemon.com/is/image/lululemon/31382",1)</f>
        <v/>
      </c>
      <c r="J998" s="4" t="inlineStr">
        <is>
          <t>XL</t>
        </is>
      </c>
      <c r="K998" s="4" t="inlineStr">
        <is>
          <t>50/4015</t>
        </is>
      </c>
      <c r="L998" s="4" t="inlineStr">
        <is>
          <t>Yes</t>
        </is>
      </c>
      <c r="M998" s="4" t="inlineStr">
        <is>
          <t>100% pure running freedom. These shorts pair lightweight performance fabric with streamlined waistband storage to keep you feeling fast and free.</t>
        </is>
      </c>
      <c r="N998" s="4" t="inlineStr">
        <is>
          <t>Fast-and-Free-High-Rise-Classic-Fit-Split-Short-3</t>
        </is>
      </c>
      <c r="O998" s="4" t="inlineStr">
        <is>
          <t>Athletic Shorts, Liner Shorts, Track Shorts</t>
        </is>
      </c>
    </row>
    <row r="999" ht="80" customHeight="1">
      <c r="A999" s="7">
        <f>IMAGE("https://images.lululemon.com/is/image/lululemon/LW7DDRS_0001_1?wid=320&amp;op_usm=0.8",1)</f>
        <v/>
      </c>
      <c r="B999" s="7" t="inlineStr">
        <is>
          <t>Fast and Free High-Rise Classic-Fit Split Short 3"</t>
        </is>
      </c>
      <c r="C999" s="7" t="inlineStr">
        <is>
          <t>158035094</t>
        </is>
      </c>
      <c r="D999" s="7" t="inlineStr">
        <is>
          <t>158035094-brilliantblue</t>
        </is>
      </c>
      <c r="E999" s="7" t="inlineStr">
        <is>
          <t>Fast and Free High-Rise Split Short 3" BLK XXXS</t>
        </is>
      </c>
      <c r="F999" s="7" t="inlineStr">
        <is>
          <t>$78.00</t>
        </is>
      </c>
      <c r="G999" s="7" t="inlineStr">
        <is>
          <t>$39.00</t>
        </is>
      </c>
      <c r="H999" s="7" t="inlineStr">
        <is>
          <t>Brilliant Blue</t>
        </is>
      </c>
      <c r="I999" s="7">
        <f>IMAGE("https://images.lululemon.com/is/image/lululemon/33190",1)</f>
        <v/>
      </c>
      <c r="J999" s="7" t="inlineStr">
        <is>
          <t>XS</t>
        </is>
      </c>
      <c r="K999" s="7" t="inlineStr">
        <is>
          <t>81/4015</t>
        </is>
      </c>
      <c r="L999" s="7" t="inlineStr">
        <is>
          <t>Yes</t>
        </is>
      </c>
      <c r="M999" s="7" t="inlineStr">
        <is>
          <t>100% pure running freedom. These shorts pair lightweight performance fabric with streamlined waistband storage to keep you feeling fast and free.</t>
        </is>
      </c>
      <c r="N999" s="7" t="inlineStr">
        <is>
          <t>Fast-and-Free-High-Rise-Classic-Fit-Split-Short-3</t>
        </is>
      </c>
      <c r="O999" s="7" t="inlineStr">
        <is>
          <t>Athletic Shorts, Liner Shorts, Track Shorts</t>
        </is>
      </c>
    </row>
    <row r="1000" ht="80" customHeight="1">
      <c r="A1000" s="4">
        <f>IMAGE("https://images.lululemon.com/is/image/lululemon/LW7DDRS_0001_1?wid=320&amp;op_usm=0.8",1)</f>
        <v/>
      </c>
      <c r="B1000" s="4" t="inlineStr">
        <is>
          <t>Fast and Free High-Rise Classic-Fit Split Short 3"</t>
        </is>
      </c>
      <c r="C1000" s="4" t="inlineStr">
        <is>
          <t>158035090</t>
        </is>
      </c>
      <c r="D1000" s="4" t="inlineStr">
        <is>
          <t>158035090-brilliantblue</t>
        </is>
      </c>
      <c r="E1000" s="4" t="inlineStr">
        <is>
          <t>Fast and Free High-Rise Split Short 3" BLK XXXS</t>
        </is>
      </c>
      <c r="F1000" s="4" t="inlineStr">
        <is>
          <t>$78.00</t>
        </is>
      </c>
      <c r="G1000" s="4" t="inlineStr">
        <is>
          <t>$39.00</t>
        </is>
      </c>
      <c r="H1000" s="4" t="inlineStr">
        <is>
          <t>Brilliant Blue</t>
        </is>
      </c>
      <c r="I1000" s="4">
        <f>IMAGE("https://images.lululemon.com/is/image/lululemon/33190",1)</f>
        <v/>
      </c>
      <c r="J1000" s="4" t="inlineStr">
        <is>
          <t>S</t>
        </is>
      </c>
      <c r="K1000" s="4" t="inlineStr">
        <is>
          <t>136/4015</t>
        </is>
      </c>
      <c r="L1000" s="4" t="inlineStr">
        <is>
          <t>Yes</t>
        </is>
      </c>
      <c r="M1000" s="4" t="inlineStr">
        <is>
          <t>100% pure running freedom. These shorts pair lightweight performance fabric with streamlined waistband storage to keep you feeling fast and free.</t>
        </is>
      </c>
      <c r="N1000" s="4" t="inlineStr">
        <is>
          <t>Fast-and-Free-High-Rise-Classic-Fit-Split-Short-3</t>
        </is>
      </c>
      <c r="O1000" s="4" t="inlineStr">
        <is>
          <t>Athletic Shorts, Liner Shorts, Track Shorts</t>
        </is>
      </c>
    </row>
    <row r="1001" ht="80" customHeight="1">
      <c r="A1001" s="7">
        <f>IMAGE("https://images.lululemon.com/is/image/lululemon/LW7DDRS_0001_1?wid=320&amp;op_usm=0.8",1)</f>
        <v/>
      </c>
      <c r="B1001" s="7" t="inlineStr">
        <is>
          <t>Fast and Free High-Rise Classic-Fit Split Short 3"</t>
        </is>
      </c>
      <c r="C1001" s="7" t="inlineStr">
        <is>
          <t>158035088</t>
        </is>
      </c>
      <c r="D1001" s="7" t="inlineStr">
        <is>
          <t>158035088-brilliantblue</t>
        </is>
      </c>
      <c r="E1001" s="7" t="inlineStr">
        <is>
          <t>Fast and Free High-Rise Split Short 3" BLK XXXS</t>
        </is>
      </c>
      <c r="F1001" s="7" t="inlineStr">
        <is>
          <t>$78.00</t>
        </is>
      </c>
      <c r="G1001" s="7" t="inlineStr">
        <is>
          <t>$39.00</t>
        </is>
      </c>
      <c r="H1001" s="7" t="inlineStr">
        <is>
          <t>Brilliant Blue</t>
        </is>
      </c>
      <c r="I1001" s="7">
        <f>IMAGE("https://images.lululemon.com/is/image/lululemon/33190",1)</f>
        <v/>
      </c>
      <c r="J1001" s="7" t="inlineStr">
        <is>
          <t>M</t>
        </is>
      </c>
      <c r="K1001" s="7" t="inlineStr">
        <is>
          <t>138/4015</t>
        </is>
      </c>
      <c r="L1001" s="7" t="inlineStr">
        <is>
          <t>Yes</t>
        </is>
      </c>
      <c r="M1001" s="7" t="inlineStr">
        <is>
          <t>100% pure running freedom. These shorts pair lightweight performance fabric with streamlined waistband storage to keep you feeling fast and free.</t>
        </is>
      </c>
      <c r="N1001" s="7" t="inlineStr">
        <is>
          <t>Fast-and-Free-High-Rise-Classic-Fit-Split-Short-3</t>
        </is>
      </c>
      <c r="O1001" s="7" t="inlineStr">
        <is>
          <t>Athletic Shorts, Liner Shorts, Track Shorts</t>
        </is>
      </c>
    </row>
    <row r="1002" ht="80" customHeight="1">
      <c r="A1002" s="4">
        <f>IMAGE("https://images.lululemon.com/is/image/lululemon/LW7DDRS_0001_1?wid=320&amp;op_usm=0.8",1)</f>
        <v/>
      </c>
      <c r="B1002" s="4" t="inlineStr">
        <is>
          <t>Fast and Free High-Rise Classic-Fit Split Short 3"</t>
        </is>
      </c>
      <c r="C1002" s="4" t="inlineStr">
        <is>
          <t>158035086</t>
        </is>
      </c>
      <c r="D1002" s="4" t="inlineStr">
        <is>
          <t>158035086-brilliantblue</t>
        </is>
      </c>
      <c r="E1002" s="4" t="inlineStr">
        <is>
          <t>Fast and Free High-Rise Split Short 3" BLK XXXS</t>
        </is>
      </c>
      <c r="F1002" s="4" t="inlineStr">
        <is>
          <t>$78.00</t>
        </is>
      </c>
      <c r="G1002" s="4" t="inlineStr">
        <is>
          <t>$39.00</t>
        </is>
      </c>
      <c r="H1002" s="4" t="inlineStr">
        <is>
          <t>Brilliant Blue</t>
        </is>
      </c>
      <c r="I1002" s="4">
        <f>IMAGE("https://images.lululemon.com/is/image/lululemon/33190",1)</f>
        <v/>
      </c>
      <c r="J1002" s="4" t="inlineStr">
        <is>
          <t>L</t>
        </is>
      </c>
      <c r="K1002" s="4" t="inlineStr">
        <is>
          <t>90/4015</t>
        </is>
      </c>
      <c r="L1002" s="4" t="inlineStr">
        <is>
          <t>Yes</t>
        </is>
      </c>
      <c r="M1002" s="4" t="inlineStr">
        <is>
          <t>100% pure running freedom. These shorts pair lightweight performance fabric with streamlined waistband storage to keep you feeling fast and free.</t>
        </is>
      </c>
      <c r="N1002" s="4" t="inlineStr">
        <is>
          <t>Fast-and-Free-High-Rise-Classic-Fit-Split-Short-3</t>
        </is>
      </c>
      <c r="O1002" s="4" t="inlineStr">
        <is>
          <t>Athletic Shorts, Liner Shorts, Track Shorts</t>
        </is>
      </c>
    </row>
    <row r="1003" ht="80" customHeight="1">
      <c r="A1003" s="5">
        <f>IMAGE("https://images.lululemon.com/is/image/lululemon/LW7DDRS_0001_1?wid=320&amp;op_usm=0.8",1)</f>
        <v/>
      </c>
      <c r="B1003" s="5" t="inlineStr">
        <is>
          <t>Fast and Free High-Rise Classic-Fit Split Short 3"</t>
        </is>
      </c>
      <c r="C1003" s="5" t="inlineStr">
        <is>
          <t>158035092</t>
        </is>
      </c>
      <c r="D1003" s="5" t="inlineStr">
        <is>
          <t>158035092-brilliantblue</t>
        </is>
      </c>
      <c r="E1003" s="5" t="inlineStr">
        <is>
          <t>Fast and Free High-Rise Split Short 3" BLK XXXS</t>
        </is>
      </c>
      <c r="F1003" s="5" t="inlineStr">
        <is>
          <t>$78.00</t>
        </is>
      </c>
      <c r="G1003" s="5" t="inlineStr">
        <is>
          <t>$39.00</t>
        </is>
      </c>
      <c r="H1003" s="5" t="inlineStr">
        <is>
          <t>Brilliant Blue</t>
        </is>
      </c>
      <c r="I1003" s="5">
        <f>IMAGE("https://images.lululemon.com/is/image/lululemon/33190",1)</f>
        <v/>
      </c>
      <c r="J1003" s="5" t="inlineStr">
        <is>
          <t>XL</t>
        </is>
      </c>
      <c r="K1003" s="5" t="inlineStr">
        <is>
          <t>36/4015</t>
        </is>
      </c>
      <c r="L1003" s="5" t="inlineStr">
        <is>
          <t>Yes</t>
        </is>
      </c>
      <c r="M1003" s="5" t="inlineStr">
        <is>
          <t>100% pure running freedom. These shorts pair lightweight performance fabric with streamlined waistband storage to keep you feeling fast and free.</t>
        </is>
      </c>
      <c r="N1003" s="5" t="inlineStr">
        <is>
          <t>Fast-and-Free-High-Rise-Classic-Fit-Split-Short-3</t>
        </is>
      </c>
      <c r="O1003" s="5" t="inlineStr">
        <is>
          <t>Athletic Shorts, Liner Shorts, Track Shorts</t>
        </is>
      </c>
    </row>
    <row r="1004" ht="80" customHeight="1">
      <c r="A1004" s="4">
        <f>IMAGE("https://images.lululemon.com/is/image/lululemon/LW3IGAS_020392_1?wid=320&amp;op_usm=0.8",1)</f>
        <v/>
      </c>
      <c r="B1004" s="4" t="inlineStr">
        <is>
          <t>Hold Tight Straight-Hem Cropped T-Shirt</t>
        </is>
      </c>
      <c r="C1004" s="4" t="inlineStr">
        <is>
          <t>157687372</t>
        </is>
      </c>
      <c r="D1004" s="4" t="inlineStr">
        <is>
          <t>157687372-minkberry</t>
        </is>
      </c>
      <c r="E1004" s="4" t="inlineStr">
        <is>
          <t>Hold Tight Straight Hem Cropped T-Shirt MINK 2</t>
        </is>
      </c>
      <c r="F1004" s="4" t="inlineStr">
        <is>
          <t>$58.00</t>
        </is>
      </c>
      <c r="G1004" s="4" t="inlineStr">
        <is>
          <t>$29.00</t>
        </is>
      </c>
      <c r="H1004" s="4" t="inlineStr">
        <is>
          <t>Mink Berry</t>
        </is>
      </c>
      <c r="I1004" s="4">
        <f>IMAGE("https://images.lululemon.com/is/image/lululemon/20392",1)</f>
        <v/>
      </c>
      <c r="J1004" s="4" t="inlineStr">
        <is>
          <t>2</t>
        </is>
      </c>
      <c r="K1004" s="4" t="inlineStr">
        <is>
          <t>42/382</t>
        </is>
      </c>
      <c r="L1004" s="4" t="inlineStr">
        <is>
          <t>Yes</t>
        </is>
      </c>
      <c r="M1004" s="4" t="inlineStr">
        <is>
          <t>Super soft and loves to layer. This lightweight cropped t-shirt delivers just-right stretch and a second-skin fit that wears well on its own or under a hoodie or a button up.</t>
        </is>
      </c>
      <c r="N1004" s="4" t="inlineStr">
        <is>
          <t>Hold-Tight-Straight-Hem-Cropped-T</t>
        </is>
      </c>
      <c r="O1004" s="4" t="inlineStr"/>
    </row>
    <row r="1005" ht="80" customHeight="1">
      <c r="A1005" s="7">
        <f>IMAGE("https://images.lululemon.com/is/image/lululemon/LW3IGAS_020392_1?wid=320&amp;op_usm=0.8",1)</f>
        <v/>
      </c>
      <c r="B1005" s="7" t="inlineStr">
        <is>
          <t>Hold Tight Straight-Hem Cropped T-Shirt</t>
        </is>
      </c>
      <c r="C1005" s="7" t="inlineStr">
        <is>
          <t>157687379</t>
        </is>
      </c>
      <c r="D1005" s="7" t="inlineStr">
        <is>
          <t>157687379-minkberry</t>
        </is>
      </c>
      <c r="E1005" s="7" t="inlineStr">
        <is>
          <t>Hold Tight Straight Hem Cropped T-Shirt MINK 2</t>
        </is>
      </c>
      <c r="F1005" s="7" t="inlineStr">
        <is>
          <t>$58.00</t>
        </is>
      </c>
      <c r="G1005" s="7" t="inlineStr">
        <is>
          <t>$29.00</t>
        </is>
      </c>
      <c r="H1005" s="7" t="inlineStr">
        <is>
          <t>Mink Berry</t>
        </is>
      </c>
      <c r="I1005" s="7">
        <f>IMAGE("https://images.lululemon.com/is/image/lululemon/20392",1)</f>
        <v/>
      </c>
      <c r="J1005" s="7" t="inlineStr">
        <is>
          <t>4</t>
        </is>
      </c>
      <c r="K1005" s="7" t="inlineStr">
        <is>
          <t>76/382</t>
        </is>
      </c>
      <c r="L1005" s="7" t="inlineStr">
        <is>
          <t>Yes</t>
        </is>
      </c>
      <c r="M1005" s="7" t="inlineStr">
        <is>
          <t>Super soft and loves to layer. This lightweight cropped t-shirt delivers just-right stretch and a second-skin fit that wears well on its own or under a hoodie or a button up.</t>
        </is>
      </c>
      <c r="N1005" s="7" t="inlineStr">
        <is>
          <t>Hold-Tight-Straight-Hem-Cropped-T</t>
        </is>
      </c>
      <c r="O1005" s="7" t="inlineStr"/>
    </row>
    <row r="1006" ht="80" customHeight="1">
      <c r="A1006" s="4">
        <f>IMAGE("https://images.lululemon.com/is/image/lululemon/LW3IGAS_020392_1?wid=320&amp;op_usm=0.8",1)</f>
        <v/>
      </c>
      <c r="B1006" s="4" t="inlineStr">
        <is>
          <t>Hold Tight Straight-Hem Cropped T-Shirt</t>
        </is>
      </c>
      <c r="C1006" s="4" t="inlineStr">
        <is>
          <t>157687390</t>
        </is>
      </c>
      <c r="D1006" s="4" t="inlineStr">
        <is>
          <t>157687390-minkberry</t>
        </is>
      </c>
      <c r="E1006" s="4" t="inlineStr">
        <is>
          <t>Hold Tight Straight Hem Cropped T-Shirt MINK 2</t>
        </is>
      </c>
      <c r="F1006" s="4" t="inlineStr">
        <is>
          <t>$58.00</t>
        </is>
      </c>
      <c r="G1006" s="4" t="inlineStr">
        <is>
          <t>$29.00</t>
        </is>
      </c>
      <c r="H1006" s="4" t="inlineStr">
        <is>
          <t>Mink Berry</t>
        </is>
      </c>
      <c r="I1006" s="4">
        <f>IMAGE("https://images.lululemon.com/is/image/lululemon/20392",1)</f>
        <v/>
      </c>
      <c r="J1006" s="4" t="inlineStr">
        <is>
          <t>6</t>
        </is>
      </c>
      <c r="K1006" s="4" t="inlineStr">
        <is>
          <t>96/382</t>
        </is>
      </c>
      <c r="L1006" s="4" t="inlineStr">
        <is>
          <t>Yes</t>
        </is>
      </c>
      <c r="M1006" s="4" t="inlineStr">
        <is>
          <t>Super soft and loves to layer. This lightweight cropped t-shirt delivers just-right stretch and a second-skin fit that wears well on its own or under a hoodie or a button up.</t>
        </is>
      </c>
      <c r="N1006" s="4" t="inlineStr">
        <is>
          <t>Hold-Tight-Straight-Hem-Cropped-T</t>
        </is>
      </c>
      <c r="O1006" s="4" t="inlineStr"/>
    </row>
    <row r="1007" ht="80" customHeight="1">
      <c r="A1007" s="7">
        <f>IMAGE("https://images.lululemon.com/is/image/lululemon/LW3IGAS_020392_1?wid=320&amp;op_usm=0.8",1)</f>
        <v/>
      </c>
      <c r="B1007" s="7" t="inlineStr">
        <is>
          <t>Hold Tight Straight-Hem Cropped T-Shirt</t>
        </is>
      </c>
      <c r="C1007" s="7" t="inlineStr">
        <is>
          <t>157687399</t>
        </is>
      </c>
      <c r="D1007" s="7" t="inlineStr">
        <is>
          <t>157687399-minkberry</t>
        </is>
      </c>
      <c r="E1007" s="7" t="inlineStr">
        <is>
          <t>Hold Tight Straight Hem Cropped T-Shirt MINK 2</t>
        </is>
      </c>
      <c r="F1007" s="7" t="inlineStr">
        <is>
          <t>$58.00</t>
        </is>
      </c>
      <c r="G1007" s="7" t="inlineStr">
        <is>
          <t>$29.00</t>
        </is>
      </c>
      <c r="H1007" s="7" t="inlineStr">
        <is>
          <t>Mink Berry</t>
        </is>
      </c>
      <c r="I1007" s="7">
        <f>IMAGE("https://images.lululemon.com/is/image/lululemon/20392",1)</f>
        <v/>
      </c>
      <c r="J1007" s="7" t="inlineStr">
        <is>
          <t>8</t>
        </is>
      </c>
      <c r="K1007" s="7" t="inlineStr">
        <is>
          <t>83/382</t>
        </is>
      </c>
      <c r="L1007" s="7" t="inlineStr">
        <is>
          <t>Yes</t>
        </is>
      </c>
      <c r="M1007" s="7" t="inlineStr">
        <is>
          <t>Super soft and loves to layer. This lightweight cropped t-shirt delivers just-right stretch and a second-skin fit that wears well on its own or under a hoodie or a button up.</t>
        </is>
      </c>
      <c r="N1007" s="7" t="inlineStr">
        <is>
          <t>Hold-Tight-Straight-Hem-Cropped-T</t>
        </is>
      </c>
      <c r="O1007" s="7" t="inlineStr"/>
    </row>
    <row r="1008" ht="80" customHeight="1">
      <c r="A1008" s="4">
        <f>IMAGE("https://images.lululemon.com/is/image/lululemon/LW3IGAS_020392_1?wid=320&amp;op_usm=0.8",1)</f>
        <v/>
      </c>
      <c r="B1008" s="4" t="inlineStr">
        <is>
          <t>Hold Tight Straight-Hem Cropped T-Shirt</t>
        </is>
      </c>
      <c r="C1008" s="4" t="inlineStr">
        <is>
          <t>157687342</t>
        </is>
      </c>
      <c r="D1008" s="4" t="inlineStr">
        <is>
          <t>157687342-minkberry</t>
        </is>
      </c>
      <c r="E1008" s="4" t="inlineStr">
        <is>
          <t>Hold Tight Straight Hem Cropped T-Shirt MINK 2</t>
        </is>
      </c>
      <c r="F1008" s="4" t="inlineStr">
        <is>
          <t>$58.00</t>
        </is>
      </c>
      <c r="G1008" s="4" t="inlineStr">
        <is>
          <t>$29.00</t>
        </is>
      </c>
      <c r="H1008" s="4" t="inlineStr">
        <is>
          <t>Mink Berry</t>
        </is>
      </c>
      <c r="I1008" s="4">
        <f>IMAGE("https://images.lululemon.com/is/image/lululemon/20392",1)</f>
        <v/>
      </c>
      <c r="J1008" s="4" t="inlineStr">
        <is>
          <t>10</t>
        </is>
      </c>
      <c r="K1008" s="4" t="inlineStr">
        <is>
          <t>53/382</t>
        </is>
      </c>
      <c r="L1008" s="4" t="inlineStr">
        <is>
          <t>Yes</t>
        </is>
      </c>
      <c r="M1008" s="4" t="inlineStr">
        <is>
          <t>Super soft and loves to layer. This lightweight cropped t-shirt delivers just-right stretch and a second-skin fit that wears well on its own or under a hoodie or a button up.</t>
        </is>
      </c>
      <c r="N1008" s="4" t="inlineStr">
        <is>
          <t>Hold-Tight-Straight-Hem-Cropped-T</t>
        </is>
      </c>
      <c r="O1008" s="4" t="inlineStr"/>
    </row>
    <row r="1009" ht="80" customHeight="1">
      <c r="A1009" s="5">
        <f>IMAGE("https://images.lululemon.com/is/image/lululemon/LW3IGAS_020392_1?wid=320&amp;op_usm=0.8",1)</f>
        <v/>
      </c>
      <c r="B1009" s="5" t="inlineStr">
        <is>
          <t>Hold Tight Straight-Hem Cropped T-Shirt</t>
        </is>
      </c>
      <c r="C1009" s="5" t="inlineStr">
        <is>
          <t>157687352</t>
        </is>
      </c>
      <c r="D1009" s="5" t="inlineStr">
        <is>
          <t>157687352-minkberry</t>
        </is>
      </c>
      <c r="E1009" s="5" t="inlineStr">
        <is>
          <t>Hold Tight Straight Hem Cropped T-Shirt MINK 2</t>
        </is>
      </c>
      <c r="F1009" s="5" t="inlineStr">
        <is>
          <t>$58.00</t>
        </is>
      </c>
      <c r="G1009" s="5" t="inlineStr">
        <is>
          <t>$29.00</t>
        </is>
      </c>
      <c r="H1009" s="5" t="inlineStr">
        <is>
          <t>Mink Berry</t>
        </is>
      </c>
      <c r="I1009" s="5">
        <f>IMAGE("https://images.lululemon.com/is/image/lululemon/20392",1)</f>
        <v/>
      </c>
      <c r="J1009" s="5" t="inlineStr">
        <is>
          <t>12</t>
        </is>
      </c>
      <c r="K1009" s="5" t="inlineStr">
        <is>
          <t>32/382</t>
        </is>
      </c>
      <c r="L1009" s="5" t="inlineStr">
        <is>
          <t>Yes</t>
        </is>
      </c>
      <c r="M1009" s="5" t="inlineStr">
        <is>
          <t>Super soft and loves to layer. This lightweight cropped t-shirt delivers just-right stretch and a second-skin fit that wears well on its own or under a hoodie or a button up.</t>
        </is>
      </c>
      <c r="N1009" s="5" t="inlineStr">
        <is>
          <t>Hold-Tight-Straight-Hem-Cropped-T</t>
        </is>
      </c>
      <c r="O1009" s="5" t="inlineStr"/>
    </row>
    <row r="1010" ht="80" customHeight="1">
      <c r="A1010" s="4">
        <f>IMAGE("https://images.lululemon.com/is/image/lululemon/LW3DZBS_4780_1?wid=320&amp;op_usm=0.8",1)</f>
        <v/>
      </c>
      <c r="B1010" s="4" t="inlineStr">
        <is>
          <t>Swiftly Tech Short-Sleeve Shirt 2.0 *Waist Length</t>
        </is>
      </c>
      <c r="C1010" s="4" t="inlineStr">
        <is>
          <t>157715378</t>
        </is>
      </c>
      <c r="D1010" s="4" t="inlineStr">
        <is>
          <t>157715378-bayleaf/bayleaf</t>
        </is>
      </c>
      <c r="E1010" s="4" t="inlineStr">
        <is>
          <t>Swiftly Tech Short Sleeve 2.0 *Race BALF/BALF 0</t>
        </is>
      </c>
      <c r="F1010" s="4" t="inlineStr">
        <is>
          <t>$68.00</t>
        </is>
      </c>
      <c r="G1010" s="4" t="inlineStr">
        <is>
          <t>$34.00</t>
        </is>
      </c>
      <c r="H1010" s="4" t="inlineStr">
        <is>
          <t>Bay Leaf/Bay Leaf</t>
        </is>
      </c>
      <c r="I1010" s="4">
        <f>IMAGE("https://images.lululemon.com/is/image/lululemon/71154",1)</f>
        <v/>
      </c>
      <c r="J1010" s="4" t="inlineStr">
        <is>
          <t>0</t>
        </is>
      </c>
      <c r="K1010" s="4" t="inlineStr">
        <is>
          <t>22/4881</t>
        </is>
      </c>
      <c r="L1010" s="4" t="inlineStr">
        <is>
          <t>Yes</t>
        </is>
      </c>
      <c r="M1010" s="4" t="inlineStr">
        <is>
          <t>Go ahead, get sweaty. The Swiftly collection is all about high-performing fabric that seamlessly adapts to you and your workout.</t>
        </is>
      </c>
      <c r="N1010" s="4" t="inlineStr">
        <is>
          <t>Swiftly-Tech-Short-Sleeve-2-Race</t>
        </is>
      </c>
      <c r="O1010" s="4" t="inlineStr"/>
    </row>
    <row r="1011" ht="80" customHeight="1">
      <c r="A1011" s="7">
        <f>IMAGE("https://images.lululemon.com/is/image/lululemon/LW3DZBS_4780_1?wid=320&amp;op_usm=0.8",1)</f>
        <v/>
      </c>
      <c r="B1011" s="7" t="inlineStr">
        <is>
          <t>Swiftly Tech Short-Sleeve Shirt 2.0 *Waist Length</t>
        </is>
      </c>
      <c r="C1011" s="7" t="inlineStr">
        <is>
          <t>157715384</t>
        </is>
      </c>
      <c r="D1011" s="7" t="inlineStr">
        <is>
          <t>157715384-bayleaf/bayleaf</t>
        </is>
      </c>
      <c r="E1011" s="7" t="inlineStr">
        <is>
          <t>Swiftly Tech Short Sleeve 2.0 *Race BALF/BALF 0</t>
        </is>
      </c>
      <c r="F1011" s="7" t="inlineStr">
        <is>
          <t>$68.00</t>
        </is>
      </c>
      <c r="G1011" s="7" t="inlineStr">
        <is>
          <t>$34.00</t>
        </is>
      </c>
      <c r="H1011" s="7" t="inlineStr">
        <is>
          <t>Bay Leaf/Bay Leaf</t>
        </is>
      </c>
      <c r="I1011" s="7">
        <f>IMAGE("https://images.lululemon.com/is/image/lululemon/71154",1)</f>
        <v/>
      </c>
      <c r="J1011" s="7" t="inlineStr">
        <is>
          <t>2</t>
        </is>
      </c>
      <c r="K1011" s="7" t="inlineStr">
        <is>
          <t>56/4881</t>
        </is>
      </c>
      <c r="L1011" s="7" t="inlineStr">
        <is>
          <t>Yes</t>
        </is>
      </c>
      <c r="M1011" s="7" t="inlineStr">
        <is>
          <t>Go ahead, get sweaty. The Swiftly collection is all about high-performing fabric that seamlessly adapts to you and your workout.</t>
        </is>
      </c>
      <c r="N1011" s="7" t="inlineStr">
        <is>
          <t>Swiftly-Tech-Short-Sleeve-2-Race</t>
        </is>
      </c>
      <c r="O1011" s="7" t="inlineStr"/>
    </row>
    <row r="1012" ht="80" customHeight="1">
      <c r="A1012" s="4">
        <f>IMAGE("https://images.lululemon.com/is/image/lululemon/LW3DZBS_4780_1?wid=320&amp;op_usm=0.8",1)</f>
        <v/>
      </c>
      <c r="B1012" s="4" t="inlineStr">
        <is>
          <t>Swiftly Tech Short-Sleeve Shirt 2.0 *Waist Length</t>
        </is>
      </c>
      <c r="C1012" s="4" t="inlineStr">
        <is>
          <t>157715386</t>
        </is>
      </c>
      <c r="D1012" s="4" t="inlineStr">
        <is>
          <t>157715386-bayleaf/bayleaf</t>
        </is>
      </c>
      <c r="E1012" s="4" t="inlineStr">
        <is>
          <t>Swiftly Tech Short Sleeve 2.0 *Race BALF/BALF 0</t>
        </is>
      </c>
      <c r="F1012" s="4" t="inlineStr">
        <is>
          <t>$68.00</t>
        </is>
      </c>
      <c r="G1012" s="4" t="inlineStr">
        <is>
          <t>$34.00</t>
        </is>
      </c>
      <c r="H1012" s="4" t="inlineStr">
        <is>
          <t>Bay Leaf/Bay Leaf</t>
        </is>
      </c>
      <c r="I1012" s="4">
        <f>IMAGE("https://images.lululemon.com/is/image/lululemon/71154",1)</f>
        <v/>
      </c>
      <c r="J1012" s="4" t="inlineStr">
        <is>
          <t>4</t>
        </is>
      </c>
      <c r="K1012" s="4" t="inlineStr">
        <is>
          <t>116/4881</t>
        </is>
      </c>
      <c r="L1012" s="4" t="inlineStr">
        <is>
          <t>Yes</t>
        </is>
      </c>
      <c r="M1012" s="4" t="inlineStr">
        <is>
          <t>Go ahead, get sweaty. The Swiftly collection is all about high-performing fabric that seamlessly adapts to you and your workout.</t>
        </is>
      </c>
      <c r="N1012" s="4" t="inlineStr">
        <is>
          <t>Swiftly-Tech-Short-Sleeve-2-Race</t>
        </is>
      </c>
      <c r="O1012" s="4" t="inlineStr"/>
    </row>
    <row r="1013" ht="80" customHeight="1">
      <c r="A1013" s="7">
        <f>IMAGE("https://images.lululemon.com/is/image/lululemon/LW3DZBS_4780_1?wid=320&amp;op_usm=0.8",1)</f>
        <v/>
      </c>
      <c r="B1013" s="7" t="inlineStr">
        <is>
          <t>Swiftly Tech Short-Sleeve Shirt 2.0 *Waist Length</t>
        </is>
      </c>
      <c r="C1013" s="7" t="inlineStr">
        <is>
          <t>157715387</t>
        </is>
      </c>
      <c r="D1013" s="7" t="inlineStr">
        <is>
          <t>157715387-bayleaf/bayleaf</t>
        </is>
      </c>
      <c r="E1013" s="7" t="inlineStr">
        <is>
          <t>Swiftly Tech Short Sleeve 2.0 *Race BALF/BALF 0</t>
        </is>
      </c>
      <c r="F1013" s="7" t="inlineStr">
        <is>
          <t>$68.00</t>
        </is>
      </c>
      <c r="G1013" s="7" t="inlineStr">
        <is>
          <t>$34.00</t>
        </is>
      </c>
      <c r="H1013" s="7" t="inlineStr">
        <is>
          <t>Bay Leaf/Bay Leaf</t>
        </is>
      </c>
      <c r="I1013" s="7">
        <f>IMAGE("https://images.lululemon.com/is/image/lululemon/71154",1)</f>
        <v/>
      </c>
      <c r="J1013" s="7" t="inlineStr">
        <is>
          <t>6</t>
        </is>
      </c>
      <c r="K1013" s="7" t="inlineStr">
        <is>
          <t>165/4881</t>
        </is>
      </c>
      <c r="L1013" s="7" t="inlineStr">
        <is>
          <t>Yes</t>
        </is>
      </c>
      <c r="M1013" s="7" t="inlineStr">
        <is>
          <t>Go ahead, get sweaty. The Swiftly collection is all about high-performing fabric that seamlessly adapts to you and your workout.</t>
        </is>
      </c>
      <c r="N1013" s="7" t="inlineStr">
        <is>
          <t>Swiftly-Tech-Short-Sleeve-2-Race</t>
        </is>
      </c>
      <c r="O1013" s="7" t="inlineStr"/>
    </row>
    <row r="1014" ht="80" customHeight="1">
      <c r="A1014" s="4">
        <f>IMAGE("https://images.lululemon.com/is/image/lululemon/LW3DZBS_4780_1?wid=320&amp;op_usm=0.8",1)</f>
        <v/>
      </c>
      <c r="B1014" s="4" t="inlineStr">
        <is>
          <t>Swiftly Tech Short-Sleeve Shirt 2.0 *Waist Length</t>
        </is>
      </c>
      <c r="C1014" s="4" t="inlineStr">
        <is>
          <t>157715388</t>
        </is>
      </c>
      <c r="D1014" s="4" t="inlineStr">
        <is>
          <t>157715388-bayleaf/bayleaf</t>
        </is>
      </c>
      <c r="E1014" s="4" t="inlineStr">
        <is>
          <t>Swiftly Tech Short Sleeve 2.0 *Race BALF/BALF 0</t>
        </is>
      </c>
      <c r="F1014" s="4" t="inlineStr">
        <is>
          <t>$68.00</t>
        </is>
      </c>
      <c r="G1014" s="4" t="inlineStr">
        <is>
          <t>$34.00</t>
        </is>
      </c>
      <c r="H1014" s="4" t="inlineStr">
        <is>
          <t>Bay Leaf/Bay Leaf</t>
        </is>
      </c>
      <c r="I1014" s="4">
        <f>IMAGE("https://images.lululemon.com/is/image/lululemon/71154",1)</f>
        <v/>
      </c>
      <c r="J1014" s="4" t="inlineStr">
        <is>
          <t>8</t>
        </is>
      </c>
      <c r="K1014" s="4" t="inlineStr">
        <is>
          <t>141/4881</t>
        </is>
      </c>
      <c r="L1014" s="4" t="inlineStr">
        <is>
          <t>Yes</t>
        </is>
      </c>
      <c r="M1014" s="4" t="inlineStr">
        <is>
          <t>Go ahead, get sweaty. The Swiftly collection is all about high-performing fabric that seamlessly adapts to you and your workout.</t>
        </is>
      </c>
      <c r="N1014" s="4" t="inlineStr">
        <is>
          <t>Swiftly-Tech-Short-Sleeve-2-Race</t>
        </is>
      </c>
      <c r="O1014" s="4" t="inlineStr"/>
    </row>
    <row r="1015" ht="80" customHeight="1">
      <c r="A1015" s="7">
        <f>IMAGE("https://images.lululemon.com/is/image/lululemon/LW3DZBS_4780_1?wid=320&amp;op_usm=0.8",1)</f>
        <v/>
      </c>
      <c r="B1015" s="7" t="inlineStr">
        <is>
          <t>Swiftly Tech Short-Sleeve Shirt 2.0 *Waist Length</t>
        </is>
      </c>
      <c r="C1015" s="7" t="inlineStr">
        <is>
          <t>157715379</t>
        </is>
      </c>
      <c r="D1015" s="7" t="inlineStr">
        <is>
          <t>157715379-bayleaf/bayleaf</t>
        </is>
      </c>
      <c r="E1015" s="7" t="inlineStr">
        <is>
          <t>Swiftly Tech Short Sleeve 2.0 *Race BALF/BALF 0</t>
        </is>
      </c>
      <c r="F1015" s="7" t="inlineStr">
        <is>
          <t>$68.00</t>
        </is>
      </c>
      <c r="G1015" s="7" t="inlineStr">
        <is>
          <t>$34.00</t>
        </is>
      </c>
      <c r="H1015" s="7" t="inlineStr">
        <is>
          <t>Bay Leaf/Bay Leaf</t>
        </is>
      </c>
      <c r="I1015" s="7">
        <f>IMAGE("https://images.lululemon.com/is/image/lululemon/71154",1)</f>
        <v/>
      </c>
      <c r="J1015" s="7" t="inlineStr">
        <is>
          <t>10</t>
        </is>
      </c>
      <c r="K1015" s="7" t="inlineStr">
        <is>
          <t>98/4881</t>
        </is>
      </c>
      <c r="L1015" s="7" t="inlineStr">
        <is>
          <t>Yes</t>
        </is>
      </c>
      <c r="M1015" s="7" t="inlineStr">
        <is>
          <t>Go ahead, get sweaty. The Swiftly collection is all about high-performing fabric that seamlessly adapts to you and your workout.</t>
        </is>
      </c>
      <c r="N1015" s="7" t="inlineStr">
        <is>
          <t>Swiftly-Tech-Short-Sleeve-2-Race</t>
        </is>
      </c>
      <c r="O1015" s="7" t="inlineStr"/>
    </row>
    <row r="1016" ht="80" customHeight="1">
      <c r="A1016" s="4">
        <f>IMAGE("https://images.lululemon.com/is/image/lululemon/LW3DZBS_4780_1?wid=320&amp;op_usm=0.8",1)</f>
        <v/>
      </c>
      <c r="B1016" s="4" t="inlineStr">
        <is>
          <t>Swiftly Tech Short-Sleeve Shirt 2.0 *Waist Length</t>
        </is>
      </c>
      <c r="C1016" s="4" t="inlineStr">
        <is>
          <t>157715380</t>
        </is>
      </c>
      <c r="D1016" s="4" t="inlineStr">
        <is>
          <t>157715380-bayleaf/bayleaf</t>
        </is>
      </c>
      <c r="E1016" s="4" t="inlineStr">
        <is>
          <t>Swiftly Tech Short Sleeve 2.0 *Race BALF/BALF 0</t>
        </is>
      </c>
      <c r="F1016" s="4" t="inlineStr">
        <is>
          <t>$68.00</t>
        </is>
      </c>
      <c r="G1016" s="4" t="inlineStr">
        <is>
          <t>$34.00</t>
        </is>
      </c>
      <c r="H1016" s="4" t="inlineStr">
        <is>
          <t>Bay Leaf/Bay Leaf</t>
        </is>
      </c>
      <c r="I1016" s="4">
        <f>IMAGE("https://images.lululemon.com/is/image/lululemon/71154",1)</f>
        <v/>
      </c>
      <c r="J1016" s="4" t="inlineStr">
        <is>
          <t>12</t>
        </is>
      </c>
      <c r="K1016" s="4" t="inlineStr">
        <is>
          <t>53/4881</t>
        </is>
      </c>
      <c r="L1016" s="4" t="inlineStr">
        <is>
          <t>Yes</t>
        </is>
      </c>
      <c r="M1016" s="4" t="inlineStr">
        <is>
          <t>Go ahead, get sweaty. The Swiftly collection is all about high-performing fabric that seamlessly adapts to you and your workout.</t>
        </is>
      </c>
      <c r="N1016" s="4" t="inlineStr">
        <is>
          <t>Swiftly-Tech-Short-Sleeve-2-Race</t>
        </is>
      </c>
      <c r="O1016" s="4" t="inlineStr"/>
    </row>
    <row r="1017" ht="80" customHeight="1">
      <c r="A1017" s="7">
        <f>IMAGE("https://images.lululemon.com/is/image/lululemon/LW3DZBS_4780_1?wid=320&amp;op_usm=0.8",1)</f>
        <v/>
      </c>
      <c r="B1017" s="7" t="inlineStr">
        <is>
          <t>Swiftly Tech Short-Sleeve Shirt 2.0 *Waist Length</t>
        </is>
      </c>
      <c r="C1017" s="7" t="inlineStr">
        <is>
          <t>157715381</t>
        </is>
      </c>
      <c r="D1017" s="7" t="inlineStr">
        <is>
          <t>157715381-bayleaf/bayleaf</t>
        </is>
      </c>
      <c r="E1017" s="7" t="inlineStr">
        <is>
          <t>Swiftly Tech Short Sleeve 2.0 *Race BALF/BALF 0</t>
        </is>
      </c>
      <c r="F1017" s="7" t="inlineStr">
        <is>
          <t>$68.00</t>
        </is>
      </c>
      <c r="G1017" s="7" t="inlineStr">
        <is>
          <t>$34.00</t>
        </is>
      </c>
      <c r="H1017" s="7" t="inlineStr">
        <is>
          <t>Bay Leaf/Bay Leaf</t>
        </is>
      </c>
      <c r="I1017" s="7">
        <f>IMAGE("https://images.lululemon.com/is/image/lululemon/71154",1)</f>
        <v/>
      </c>
      <c r="J1017" s="7" t="inlineStr">
        <is>
          <t>14</t>
        </is>
      </c>
      <c r="K1017" s="7" t="inlineStr">
        <is>
          <t>28/4881</t>
        </is>
      </c>
      <c r="L1017" s="7" t="inlineStr">
        <is>
          <t>Yes</t>
        </is>
      </c>
      <c r="M1017" s="7" t="inlineStr">
        <is>
          <t>Go ahead, get sweaty. The Swiftly collection is all about high-performing fabric that seamlessly adapts to you and your workout.</t>
        </is>
      </c>
      <c r="N1017" s="7" t="inlineStr">
        <is>
          <t>Swiftly-Tech-Short-Sleeve-2-Race</t>
        </is>
      </c>
      <c r="O1017" s="7" t="inlineStr"/>
    </row>
    <row r="1018" ht="80" customHeight="1">
      <c r="A1018" s="4">
        <f>IMAGE("https://images.lululemon.com/is/image/lululemon/LW3DZBS_4780_1?wid=320&amp;op_usm=0.8",1)</f>
        <v/>
      </c>
      <c r="B1018" s="4" t="inlineStr">
        <is>
          <t>Swiftly Tech Short-Sleeve Shirt 2.0 *Waist Length</t>
        </is>
      </c>
      <c r="C1018" s="4" t="inlineStr">
        <is>
          <t>157715382</t>
        </is>
      </c>
      <c r="D1018" s="4" t="inlineStr">
        <is>
          <t>157715382-bayleaf/bayleaf</t>
        </is>
      </c>
      <c r="E1018" s="4" t="inlineStr">
        <is>
          <t>Swiftly Tech Short Sleeve 2.0 *Race BALF/BALF 0</t>
        </is>
      </c>
      <c r="F1018" s="4" t="inlineStr">
        <is>
          <t>$68.00</t>
        </is>
      </c>
      <c r="G1018" s="4" t="inlineStr">
        <is>
          <t>$34.00</t>
        </is>
      </c>
      <c r="H1018" s="4" t="inlineStr">
        <is>
          <t>Bay Leaf/Bay Leaf</t>
        </is>
      </c>
      <c r="I1018" s="4">
        <f>IMAGE("https://images.lululemon.com/is/image/lululemon/71154",1)</f>
        <v/>
      </c>
      <c r="J1018" s="4" t="inlineStr">
        <is>
          <t>16</t>
        </is>
      </c>
      <c r="K1018" s="4" t="inlineStr">
        <is>
          <t>4/4881</t>
        </is>
      </c>
      <c r="L1018" s="4" t="inlineStr">
        <is>
          <t>Yes</t>
        </is>
      </c>
      <c r="M1018" s="4" t="inlineStr">
        <is>
          <t>Go ahead, get sweaty. The Swiftly collection is all about high-performing fabric that seamlessly adapts to you and your workout.</t>
        </is>
      </c>
      <c r="N1018" s="4" t="inlineStr">
        <is>
          <t>Swiftly-Tech-Short-Sleeve-2-Race</t>
        </is>
      </c>
      <c r="O1018" s="4" t="inlineStr"/>
    </row>
    <row r="1019" ht="80" customHeight="1">
      <c r="A1019" s="7">
        <f>IMAGE("https://images.lululemon.com/is/image/lululemon/LW3DZBS_4780_1?wid=320&amp;op_usm=0.8",1)</f>
        <v/>
      </c>
      <c r="B1019" s="7" t="inlineStr">
        <is>
          <t>Swiftly Tech Short-Sleeve Shirt 2.0 *Waist Length</t>
        </is>
      </c>
      <c r="C1019" s="7" t="inlineStr">
        <is>
          <t>157715383</t>
        </is>
      </c>
      <c r="D1019" s="7" t="inlineStr">
        <is>
          <t>157715383-bayleaf/bayleaf</t>
        </is>
      </c>
      <c r="E1019" s="7" t="inlineStr">
        <is>
          <t>Swiftly Tech Short Sleeve 2.0 *Race BALF/BALF 0</t>
        </is>
      </c>
      <c r="F1019" s="7" t="inlineStr">
        <is>
          <t>$68.00</t>
        </is>
      </c>
      <c r="G1019" s="7" t="inlineStr">
        <is>
          <t>$34.00</t>
        </is>
      </c>
      <c r="H1019" s="7" t="inlineStr">
        <is>
          <t>Bay Leaf/Bay Leaf</t>
        </is>
      </c>
      <c r="I1019" s="7">
        <f>IMAGE("https://images.lululemon.com/is/image/lululemon/71154",1)</f>
        <v/>
      </c>
      <c r="J1019" s="7" t="inlineStr">
        <is>
          <t>18</t>
        </is>
      </c>
      <c r="K1019" s="7" t="inlineStr">
        <is>
          <t>5/4881</t>
        </is>
      </c>
      <c r="L1019" s="7" t="inlineStr">
        <is>
          <t>Yes</t>
        </is>
      </c>
      <c r="M1019" s="7" t="inlineStr">
        <is>
          <t>Go ahead, get sweaty. The Swiftly collection is all about high-performing fabric that seamlessly adapts to you and your workout.</t>
        </is>
      </c>
      <c r="N1019" s="7" t="inlineStr">
        <is>
          <t>Swiftly-Tech-Short-Sleeve-2-Race</t>
        </is>
      </c>
      <c r="O1019" s="7" t="inlineStr"/>
    </row>
    <row r="1020" ht="80" customHeight="1">
      <c r="A1020" s="4">
        <f>IMAGE("https://images.lululemon.com/is/image/lululemon/LW3DZBS_4780_1?wid=320&amp;op_usm=0.8",1)</f>
        <v/>
      </c>
      <c r="B1020" s="4" t="inlineStr">
        <is>
          <t>Swiftly Tech Short-Sleeve Shirt 2.0 *Waist Length</t>
        </is>
      </c>
      <c r="C1020" s="4" t="inlineStr">
        <is>
          <t>158034006</t>
        </is>
      </c>
      <c r="D1020" s="4" t="inlineStr">
        <is>
          <t>158034006-grapemist/atmosphericpurple</t>
        </is>
      </c>
      <c r="E1020" s="4" t="inlineStr">
        <is>
          <t>Swiftly Tech Short Sleeve 2.0 *Race BALF/BALF 0</t>
        </is>
      </c>
      <c r="F1020" s="4" t="inlineStr">
        <is>
          <t>$68.00</t>
        </is>
      </c>
      <c r="G1020" s="4" t="inlineStr">
        <is>
          <t>$34.00</t>
        </is>
      </c>
      <c r="H1020" s="4" t="inlineStr">
        <is>
          <t>Grape Mist/ATMOSPHERIC PURPLE</t>
        </is>
      </c>
      <c r="I1020" s="4">
        <f>IMAGE("https://images.lululemon.com/is/image/lululemon/72600",1)</f>
        <v/>
      </c>
      <c r="J1020" s="4" t="inlineStr">
        <is>
          <t>2</t>
        </is>
      </c>
      <c r="K1020" s="4" t="inlineStr">
        <is>
          <t>80/4881</t>
        </is>
      </c>
      <c r="L1020" s="4" t="inlineStr">
        <is>
          <t>Yes</t>
        </is>
      </c>
      <c r="M1020" s="4" t="inlineStr">
        <is>
          <t>Go ahead, get sweaty. The Swiftly collection is all about high-performing fabric that seamlessly adapts to you and your workout.</t>
        </is>
      </c>
      <c r="N1020" s="4" t="inlineStr">
        <is>
          <t>Swiftly-Tech-Short-Sleeve-2-Race</t>
        </is>
      </c>
      <c r="O1020" s="4" t="inlineStr"/>
    </row>
    <row r="1021" ht="80" customHeight="1">
      <c r="A1021" s="7">
        <f>IMAGE("https://images.lululemon.com/is/image/lululemon/LW3DZBS_4780_1?wid=320&amp;op_usm=0.8",1)</f>
        <v/>
      </c>
      <c r="B1021" s="7" t="inlineStr">
        <is>
          <t>Swiftly Tech Short-Sleeve Shirt 2.0 *Waist Length</t>
        </is>
      </c>
      <c r="C1021" s="7" t="inlineStr">
        <is>
          <t>158034009</t>
        </is>
      </c>
      <c r="D1021" s="7" t="inlineStr">
        <is>
          <t>158034009-grapemist/atmosphericpurple</t>
        </is>
      </c>
      <c r="E1021" s="7" t="inlineStr">
        <is>
          <t>Swiftly Tech Short Sleeve 2.0 *Race BALF/BALF 0</t>
        </is>
      </c>
      <c r="F1021" s="7" t="inlineStr">
        <is>
          <t>$68.00</t>
        </is>
      </c>
      <c r="G1021" s="7" t="inlineStr">
        <is>
          <t>$34.00</t>
        </is>
      </c>
      <c r="H1021" s="7" t="inlineStr">
        <is>
          <t>Grape Mist/ATMOSPHERIC PURPLE</t>
        </is>
      </c>
      <c r="I1021" s="7">
        <f>IMAGE("https://images.lululemon.com/is/image/lululemon/72600",1)</f>
        <v/>
      </c>
      <c r="J1021" s="7" t="inlineStr">
        <is>
          <t>4</t>
        </is>
      </c>
      <c r="K1021" s="7" t="inlineStr">
        <is>
          <t>180/4881</t>
        </is>
      </c>
      <c r="L1021" s="7" t="inlineStr">
        <is>
          <t>Yes</t>
        </is>
      </c>
      <c r="M1021" s="7" t="inlineStr">
        <is>
          <t>Go ahead, get sweaty. The Swiftly collection is all about high-performing fabric that seamlessly adapts to you and your workout.</t>
        </is>
      </c>
      <c r="N1021" s="7" t="inlineStr">
        <is>
          <t>Swiftly-Tech-Short-Sleeve-2-Race</t>
        </is>
      </c>
      <c r="O1021" s="7" t="inlineStr"/>
    </row>
    <row r="1022" ht="80" customHeight="1">
      <c r="A1022" s="4">
        <f>IMAGE("https://images.lululemon.com/is/image/lululemon/LW3DZBS_4780_1?wid=320&amp;op_usm=0.8",1)</f>
        <v/>
      </c>
      <c r="B1022" s="4" t="inlineStr">
        <is>
          <t>Swiftly Tech Short-Sleeve Shirt 2.0 *Waist Length</t>
        </is>
      </c>
      <c r="C1022" s="4" t="inlineStr">
        <is>
          <t>158034011</t>
        </is>
      </c>
      <c r="D1022" s="4" t="inlineStr">
        <is>
          <t>158034011-grapemist/atmosphericpurple</t>
        </is>
      </c>
      <c r="E1022" s="4" t="inlineStr">
        <is>
          <t>Swiftly Tech Short Sleeve 2.0 *Race BALF/BALF 0</t>
        </is>
      </c>
      <c r="F1022" s="4" t="inlineStr">
        <is>
          <t>$68.00</t>
        </is>
      </c>
      <c r="G1022" s="4" t="inlineStr">
        <is>
          <t>$34.00</t>
        </is>
      </c>
      <c r="H1022" s="4" t="inlineStr">
        <is>
          <t>Grape Mist/ATMOSPHERIC PURPLE</t>
        </is>
      </c>
      <c r="I1022" s="4">
        <f>IMAGE("https://images.lululemon.com/is/image/lululemon/72600",1)</f>
        <v/>
      </c>
      <c r="J1022" s="4" t="inlineStr">
        <is>
          <t>6</t>
        </is>
      </c>
      <c r="K1022" s="4" t="inlineStr">
        <is>
          <t>217/4881</t>
        </is>
      </c>
      <c r="L1022" s="4" t="inlineStr">
        <is>
          <t>Yes</t>
        </is>
      </c>
      <c r="M1022" s="4" t="inlineStr">
        <is>
          <t>Go ahead, get sweaty. The Swiftly collection is all about high-performing fabric that seamlessly adapts to you and your workout.</t>
        </is>
      </c>
      <c r="N1022" s="4" t="inlineStr">
        <is>
          <t>Swiftly-Tech-Short-Sleeve-2-Race</t>
        </is>
      </c>
      <c r="O1022" s="4" t="inlineStr"/>
    </row>
    <row r="1023" ht="80" customHeight="1">
      <c r="A1023" s="7">
        <f>IMAGE("https://images.lululemon.com/is/image/lululemon/LW3DZBS_4780_1?wid=320&amp;op_usm=0.8",1)</f>
        <v/>
      </c>
      <c r="B1023" s="7" t="inlineStr">
        <is>
          <t>Swiftly Tech Short-Sleeve Shirt 2.0 *Waist Length</t>
        </is>
      </c>
      <c r="C1023" s="7" t="inlineStr">
        <is>
          <t>158034012</t>
        </is>
      </c>
      <c r="D1023" s="7" t="inlineStr">
        <is>
          <t>158034012-grapemist/atmosphericpurple</t>
        </is>
      </c>
      <c r="E1023" s="7" t="inlineStr">
        <is>
          <t>Swiftly Tech Short Sleeve 2.0 *Race BALF/BALF 0</t>
        </is>
      </c>
      <c r="F1023" s="7" t="inlineStr">
        <is>
          <t>$68.00</t>
        </is>
      </c>
      <c r="G1023" s="7" t="inlineStr">
        <is>
          <t>$34.00</t>
        </is>
      </c>
      <c r="H1023" s="7" t="inlineStr">
        <is>
          <t>Grape Mist/ATMOSPHERIC PURPLE</t>
        </is>
      </c>
      <c r="I1023" s="7">
        <f>IMAGE("https://images.lululemon.com/is/image/lululemon/72600",1)</f>
        <v/>
      </c>
      <c r="J1023" s="7" t="inlineStr">
        <is>
          <t>8</t>
        </is>
      </c>
      <c r="K1023" s="7" t="inlineStr">
        <is>
          <t>188/4881</t>
        </is>
      </c>
      <c r="L1023" s="7" t="inlineStr">
        <is>
          <t>Yes</t>
        </is>
      </c>
      <c r="M1023" s="7" t="inlineStr">
        <is>
          <t>Go ahead, get sweaty. The Swiftly collection is all about high-performing fabric that seamlessly adapts to you and your workout.</t>
        </is>
      </c>
      <c r="N1023" s="7" t="inlineStr">
        <is>
          <t>Swiftly-Tech-Short-Sleeve-2-Race</t>
        </is>
      </c>
      <c r="O1023" s="7" t="inlineStr"/>
    </row>
    <row r="1024" ht="80" customHeight="1">
      <c r="A1024" s="4">
        <f>IMAGE("https://images.lululemon.com/is/image/lululemon/LW3DZBS_4780_1?wid=320&amp;op_usm=0.8",1)</f>
        <v/>
      </c>
      <c r="B1024" s="4" t="inlineStr">
        <is>
          <t>Swiftly Tech Short-Sleeve Shirt 2.0 *Waist Length</t>
        </is>
      </c>
      <c r="C1024" s="4" t="inlineStr">
        <is>
          <t>158033997</t>
        </is>
      </c>
      <c r="D1024" s="4" t="inlineStr">
        <is>
          <t>158033997-grapemist/atmosphericpurple</t>
        </is>
      </c>
      <c r="E1024" s="4" t="inlineStr">
        <is>
          <t>Swiftly Tech Short Sleeve 2.0 *Race BALF/BALF 0</t>
        </is>
      </c>
      <c r="F1024" s="4" t="inlineStr">
        <is>
          <t>$68.00</t>
        </is>
      </c>
      <c r="G1024" s="4" t="inlineStr">
        <is>
          <t>$34.00</t>
        </is>
      </c>
      <c r="H1024" s="4" t="inlineStr">
        <is>
          <t>Grape Mist/ATMOSPHERIC PURPLE</t>
        </is>
      </c>
      <c r="I1024" s="4">
        <f>IMAGE("https://images.lululemon.com/is/image/lululemon/72600",1)</f>
        <v/>
      </c>
      <c r="J1024" s="4" t="inlineStr">
        <is>
          <t>10</t>
        </is>
      </c>
      <c r="K1024" s="4" t="inlineStr">
        <is>
          <t>107/4881</t>
        </is>
      </c>
      <c r="L1024" s="4" t="inlineStr">
        <is>
          <t>Yes</t>
        </is>
      </c>
      <c r="M1024" s="4" t="inlineStr">
        <is>
          <t>Go ahead, get sweaty. The Swiftly collection is all about high-performing fabric that seamlessly adapts to you and your workout.</t>
        </is>
      </c>
      <c r="N1024" s="4" t="inlineStr">
        <is>
          <t>Swiftly-Tech-Short-Sleeve-2-Race</t>
        </is>
      </c>
      <c r="O1024" s="4" t="inlineStr"/>
    </row>
    <row r="1025" ht="80" customHeight="1">
      <c r="A1025" s="7">
        <f>IMAGE("https://images.lululemon.com/is/image/lululemon/LW3DZBS_4780_1?wid=320&amp;op_usm=0.8",1)</f>
        <v/>
      </c>
      <c r="B1025" s="7" t="inlineStr">
        <is>
          <t>Swiftly Tech Short-Sleeve Shirt 2.0 *Waist Length</t>
        </is>
      </c>
      <c r="C1025" s="7" t="inlineStr">
        <is>
          <t>158033999</t>
        </is>
      </c>
      <c r="D1025" s="7" t="inlineStr">
        <is>
          <t>158033999-grapemist/atmosphericpurple</t>
        </is>
      </c>
      <c r="E1025" s="7" t="inlineStr">
        <is>
          <t>Swiftly Tech Short Sleeve 2.0 *Race BALF/BALF 0</t>
        </is>
      </c>
      <c r="F1025" s="7" t="inlineStr">
        <is>
          <t>$68.00</t>
        </is>
      </c>
      <c r="G1025" s="7" t="inlineStr">
        <is>
          <t>$34.00</t>
        </is>
      </c>
      <c r="H1025" s="7" t="inlineStr">
        <is>
          <t>Grape Mist/ATMOSPHERIC PURPLE</t>
        </is>
      </c>
      <c r="I1025" s="7">
        <f>IMAGE("https://images.lululemon.com/is/image/lululemon/72600",1)</f>
        <v/>
      </c>
      <c r="J1025" s="7" t="inlineStr">
        <is>
          <t>12</t>
        </is>
      </c>
      <c r="K1025" s="7" t="inlineStr">
        <is>
          <t>54/4881</t>
        </is>
      </c>
      <c r="L1025" s="7" t="inlineStr">
        <is>
          <t>Yes</t>
        </is>
      </c>
      <c r="M1025" s="7" t="inlineStr">
        <is>
          <t>Go ahead, get sweaty. The Swiftly collection is all about high-performing fabric that seamlessly adapts to you and your workout.</t>
        </is>
      </c>
      <c r="N1025" s="7" t="inlineStr">
        <is>
          <t>Swiftly-Tech-Short-Sleeve-2-Race</t>
        </is>
      </c>
      <c r="O1025" s="7" t="inlineStr"/>
    </row>
    <row r="1026" ht="80" customHeight="1">
      <c r="A1026" s="4">
        <f>IMAGE("https://images.lululemon.com/is/image/lululemon/LW3DZBS_4780_1?wid=320&amp;op_usm=0.8",1)</f>
        <v/>
      </c>
      <c r="B1026" s="4" t="inlineStr">
        <is>
          <t>Swiftly Tech Short-Sleeve Shirt 2.0 *Waist Length</t>
        </is>
      </c>
      <c r="C1026" s="4" t="inlineStr">
        <is>
          <t>158098422</t>
        </is>
      </c>
      <c r="D1026" s="4" t="inlineStr">
        <is>
          <t>158098422-berryrumble/berryrumble</t>
        </is>
      </c>
      <c r="E1026" s="4" t="inlineStr">
        <is>
          <t>Swiftly Tech Short Sleeve 2.0 *Race BALF/BALF 0</t>
        </is>
      </c>
      <c r="F1026" s="4" t="inlineStr">
        <is>
          <t>$68.00</t>
        </is>
      </c>
      <c r="G1026" s="4" t="inlineStr">
        <is>
          <t>$34.00</t>
        </is>
      </c>
      <c r="H1026" s="4" t="inlineStr">
        <is>
          <t>Berry Rumble/Berry Rumble</t>
        </is>
      </c>
      <c r="I1026" s="4">
        <f>IMAGE("https://images.lululemon.com/is/image/lululemon/21861",1)</f>
        <v/>
      </c>
      <c r="J1026" s="4" t="inlineStr">
        <is>
          <t>2</t>
        </is>
      </c>
      <c r="K1026" s="4" t="inlineStr">
        <is>
          <t>130/4881</t>
        </is>
      </c>
      <c r="L1026" s="4" t="inlineStr">
        <is>
          <t>Yes</t>
        </is>
      </c>
      <c r="M1026" s="4" t="inlineStr">
        <is>
          <t>Go ahead, get sweaty. The Swiftly collection is all about high-performing fabric that seamlessly adapts to you and your workout.</t>
        </is>
      </c>
      <c r="N1026" s="4" t="inlineStr">
        <is>
          <t>Swiftly-Tech-Short-Sleeve-2-Race</t>
        </is>
      </c>
      <c r="O1026" s="4" t="inlineStr"/>
    </row>
    <row r="1027" ht="80" customHeight="1">
      <c r="A1027" s="7">
        <f>IMAGE("https://images.lululemon.com/is/image/lululemon/LW3DZBS_4780_1?wid=320&amp;op_usm=0.8",1)</f>
        <v/>
      </c>
      <c r="B1027" s="7" t="inlineStr">
        <is>
          <t>Swiftly Tech Short-Sleeve Shirt 2.0 *Waist Length</t>
        </is>
      </c>
      <c r="C1027" s="7" t="inlineStr">
        <is>
          <t>158098432</t>
        </is>
      </c>
      <c r="D1027" s="7" t="inlineStr">
        <is>
          <t>158098432-berryrumble/berryrumble</t>
        </is>
      </c>
      <c r="E1027" s="7" t="inlineStr">
        <is>
          <t>Swiftly Tech Short Sleeve 2.0 *Race BALF/BALF 0</t>
        </is>
      </c>
      <c r="F1027" s="7" t="inlineStr">
        <is>
          <t>$68.00</t>
        </is>
      </c>
      <c r="G1027" s="7" t="inlineStr">
        <is>
          <t>$34.00</t>
        </is>
      </c>
      <c r="H1027" s="7" t="inlineStr">
        <is>
          <t>Berry Rumble/Berry Rumble</t>
        </is>
      </c>
      <c r="I1027" s="7">
        <f>IMAGE("https://images.lululemon.com/is/image/lululemon/21861",1)</f>
        <v/>
      </c>
      <c r="J1027" s="7" t="inlineStr">
        <is>
          <t>4</t>
        </is>
      </c>
      <c r="K1027" s="7" t="inlineStr">
        <is>
          <t>271/4881</t>
        </is>
      </c>
      <c r="L1027" s="7" t="inlineStr">
        <is>
          <t>Yes</t>
        </is>
      </c>
      <c r="M1027" s="7" t="inlineStr">
        <is>
          <t>Go ahead, get sweaty. The Swiftly collection is all about high-performing fabric that seamlessly adapts to you and your workout.</t>
        </is>
      </c>
      <c r="N1027" s="7" t="inlineStr">
        <is>
          <t>Swiftly-Tech-Short-Sleeve-2-Race</t>
        </is>
      </c>
      <c r="O1027" s="7" t="inlineStr"/>
    </row>
    <row r="1028" ht="80" customHeight="1">
      <c r="A1028" s="4">
        <f>IMAGE("https://images.lululemon.com/is/image/lululemon/LW3DZBS_4780_1?wid=320&amp;op_usm=0.8",1)</f>
        <v/>
      </c>
      <c r="B1028" s="4" t="inlineStr">
        <is>
          <t>Swiftly Tech Short-Sleeve Shirt 2.0 *Waist Length</t>
        </is>
      </c>
      <c r="C1028" s="4" t="inlineStr">
        <is>
          <t>158098437</t>
        </is>
      </c>
      <c r="D1028" s="4" t="inlineStr">
        <is>
          <t>158098437-berryrumble/berryrumble</t>
        </is>
      </c>
      <c r="E1028" s="4" t="inlineStr">
        <is>
          <t>Swiftly Tech Short Sleeve 2.0 *Race BALF/BALF 0</t>
        </is>
      </c>
      <c r="F1028" s="4" t="inlineStr">
        <is>
          <t>$68.00</t>
        </is>
      </c>
      <c r="G1028" s="4" t="inlineStr">
        <is>
          <t>$34.00</t>
        </is>
      </c>
      <c r="H1028" s="4" t="inlineStr">
        <is>
          <t>Berry Rumble/Berry Rumble</t>
        </is>
      </c>
      <c r="I1028" s="4">
        <f>IMAGE("https://images.lululemon.com/is/image/lululemon/21861",1)</f>
        <v/>
      </c>
      <c r="J1028" s="4" t="inlineStr">
        <is>
          <t>6</t>
        </is>
      </c>
      <c r="K1028" s="4" t="inlineStr">
        <is>
          <t>325/4881</t>
        </is>
      </c>
      <c r="L1028" s="4" t="inlineStr">
        <is>
          <t>Yes</t>
        </is>
      </c>
      <c r="M1028" s="4" t="inlineStr">
        <is>
          <t>Go ahead, get sweaty. The Swiftly collection is all about high-performing fabric that seamlessly adapts to you and your workout.</t>
        </is>
      </c>
      <c r="N1028" s="4" t="inlineStr">
        <is>
          <t>Swiftly-Tech-Short-Sleeve-2-Race</t>
        </is>
      </c>
      <c r="O1028" s="4" t="inlineStr"/>
    </row>
    <row r="1029" ht="80" customHeight="1">
      <c r="A1029" s="7">
        <f>IMAGE("https://images.lululemon.com/is/image/lululemon/LW3DZBS_4780_1?wid=320&amp;op_usm=0.8",1)</f>
        <v/>
      </c>
      <c r="B1029" s="7" t="inlineStr">
        <is>
          <t>Swiftly Tech Short-Sleeve Shirt 2.0 *Waist Length</t>
        </is>
      </c>
      <c r="C1029" s="7" t="inlineStr">
        <is>
          <t>158098443</t>
        </is>
      </c>
      <c r="D1029" s="7" t="inlineStr">
        <is>
          <t>158098443-berryrumble/berryrumble</t>
        </is>
      </c>
      <c r="E1029" s="7" t="inlineStr">
        <is>
          <t>Swiftly Tech Short Sleeve 2.0 *Race BALF/BALF 0</t>
        </is>
      </c>
      <c r="F1029" s="7" t="inlineStr">
        <is>
          <t>$68.00</t>
        </is>
      </c>
      <c r="G1029" s="7" t="inlineStr">
        <is>
          <t>$34.00</t>
        </is>
      </c>
      <c r="H1029" s="7" t="inlineStr">
        <is>
          <t>Berry Rumble/Berry Rumble</t>
        </is>
      </c>
      <c r="I1029" s="7">
        <f>IMAGE("https://images.lululemon.com/is/image/lululemon/21861",1)</f>
        <v/>
      </c>
      <c r="J1029" s="7" t="inlineStr">
        <is>
          <t>8</t>
        </is>
      </c>
      <c r="K1029" s="7" t="inlineStr">
        <is>
          <t>279/4881</t>
        </is>
      </c>
      <c r="L1029" s="7" t="inlineStr">
        <is>
          <t>Yes</t>
        </is>
      </c>
      <c r="M1029" s="7" t="inlineStr">
        <is>
          <t>Go ahead, get sweaty. The Swiftly collection is all about high-performing fabric that seamlessly adapts to you and your workout.</t>
        </is>
      </c>
      <c r="N1029" s="7" t="inlineStr">
        <is>
          <t>Swiftly-Tech-Short-Sleeve-2-Race</t>
        </is>
      </c>
      <c r="O1029" s="7" t="inlineStr"/>
    </row>
    <row r="1030" ht="80" customHeight="1">
      <c r="A1030" s="4">
        <f>IMAGE("https://images.lululemon.com/is/image/lululemon/LW3DZBS_4780_1?wid=320&amp;op_usm=0.8",1)</f>
        <v/>
      </c>
      <c r="B1030" s="4" t="inlineStr">
        <is>
          <t>Swiftly Tech Short-Sleeve Shirt 2.0 *Waist Length</t>
        </is>
      </c>
      <c r="C1030" s="4" t="inlineStr">
        <is>
          <t>158098387</t>
        </is>
      </c>
      <c r="D1030" s="4" t="inlineStr">
        <is>
          <t>158098387-berryrumble/berryrumble</t>
        </is>
      </c>
      <c r="E1030" s="4" t="inlineStr">
        <is>
          <t>Swiftly Tech Short Sleeve 2.0 *Race BALF/BALF 0</t>
        </is>
      </c>
      <c r="F1030" s="4" t="inlineStr">
        <is>
          <t>$68.00</t>
        </is>
      </c>
      <c r="G1030" s="4" t="inlineStr">
        <is>
          <t>$34.00</t>
        </is>
      </c>
      <c r="H1030" s="4" t="inlineStr">
        <is>
          <t>Berry Rumble/Berry Rumble</t>
        </is>
      </c>
      <c r="I1030" s="4">
        <f>IMAGE("https://images.lululemon.com/is/image/lululemon/21861",1)</f>
        <v/>
      </c>
      <c r="J1030" s="4" t="inlineStr">
        <is>
          <t>10</t>
        </is>
      </c>
      <c r="K1030" s="4" t="inlineStr">
        <is>
          <t>164/4881</t>
        </is>
      </c>
      <c r="L1030" s="4" t="inlineStr">
        <is>
          <t>Yes</t>
        </is>
      </c>
      <c r="M1030" s="4" t="inlineStr">
        <is>
          <t>Go ahead, get sweaty. The Swiftly collection is all about high-performing fabric that seamlessly adapts to you and your workout.</t>
        </is>
      </c>
      <c r="N1030" s="4" t="inlineStr">
        <is>
          <t>Swiftly-Tech-Short-Sleeve-2-Race</t>
        </is>
      </c>
      <c r="O1030" s="4" t="inlineStr"/>
    </row>
    <row r="1031" ht="80" customHeight="1">
      <c r="A1031" s="7">
        <f>IMAGE("https://images.lululemon.com/is/image/lululemon/LW3DZBS_4780_1?wid=320&amp;op_usm=0.8",1)</f>
        <v/>
      </c>
      <c r="B1031" s="7" t="inlineStr">
        <is>
          <t>Swiftly Tech Short-Sleeve Shirt 2.0 *Waist Length</t>
        </is>
      </c>
      <c r="C1031" s="7" t="inlineStr">
        <is>
          <t>158098395</t>
        </is>
      </c>
      <c r="D1031" s="7" t="inlineStr">
        <is>
          <t>158098395-berryrumble/berryrumble</t>
        </is>
      </c>
      <c r="E1031" s="7" t="inlineStr">
        <is>
          <t>Swiftly Tech Short Sleeve 2.0 *Race BALF/BALF 0</t>
        </is>
      </c>
      <c r="F1031" s="7" t="inlineStr">
        <is>
          <t>$68.00</t>
        </is>
      </c>
      <c r="G1031" s="7" t="inlineStr">
        <is>
          <t>$34.00</t>
        </is>
      </c>
      <c r="H1031" s="7" t="inlineStr">
        <is>
          <t>Berry Rumble/Berry Rumble</t>
        </is>
      </c>
      <c r="I1031" s="7">
        <f>IMAGE("https://images.lululemon.com/is/image/lululemon/21861",1)</f>
        <v/>
      </c>
      <c r="J1031" s="7" t="inlineStr">
        <is>
          <t>12</t>
        </is>
      </c>
      <c r="K1031" s="7" t="inlineStr">
        <is>
          <t>81/4881</t>
        </is>
      </c>
      <c r="L1031" s="7" t="inlineStr">
        <is>
          <t>Yes</t>
        </is>
      </c>
      <c r="M1031" s="7" t="inlineStr">
        <is>
          <t>Go ahead, get sweaty. The Swiftly collection is all about high-performing fabric that seamlessly adapts to you and your workout.</t>
        </is>
      </c>
      <c r="N1031" s="7" t="inlineStr">
        <is>
          <t>Swiftly-Tech-Short-Sleeve-2-Race</t>
        </is>
      </c>
      <c r="O1031" s="7" t="inlineStr"/>
    </row>
    <row r="1032" ht="80" customHeight="1">
      <c r="A1032" s="4">
        <f>IMAGE("https://images.lululemon.com/is/image/lululemon/LW3DZBS_4780_1?wid=320&amp;op_usm=0.8",1)</f>
        <v/>
      </c>
      <c r="B1032" s="4" t="inlineStr">
        <is>
          <t>Swiftly Tech Short-Sleeve Shirt 2.0 *Waist Length</t>
        </is>
      </c>
      <c r="C1032" s="4" t="inlineStr">
        <is>
          <t>158098458</t>
        </is>
      </c>
      <c r="D1032" s="4" t="inlineStr">
        <is>
          <t>158098458-indochineblue/indochineblue</t>
        </is>
      </c>
      <c r="E1032" s="4" t="inlineStr">
        <is>
          <t>Swiftly Tech Short Sleeve 2.0 *Race BALF/BALF 0</t>
        </is>
      </c>
      <c r="F1032" s="4" t="inlineStr">
        <is>
          <t>$68.00</t>
        </is>
      </c>
      <c r="G1032" s="4" t="inlineStr">
        <is>
          <t>$34.00</t>
        </is>
      </c>
      <c r="H1032" s="4" t="inlineStr">
        <is>
          <t>Indochine Blue/Indochine Blue</t>
        </is>
      </c>
      <c r="I1032" s="4">
        <f>IMAGE("https://images.lululemon.com/is/image/lululemon/72654",1)</f>
        <v/>
      </c>
      <c r="J1032" s="4" t="inlineStr">
        <is>
          <t>2</t>
        </is>
      </c>
      <c r="K1032" s="4" t="inlineStr">
        <is>
          <t>80/4881</t>
        </is>
      </c>
      <c r="L1032" s="4" t="inlineStr">
        <is>
          <t>Yes</t>
        </is>
      </c>
      <c r="M1032" s="4" t="inlineStr">
        <is>
          <t>Go ahead, get sweaty. The Swiftly collection is all about high-performing fabric that seamlessly adapts to you and your workout.</t>
        </is>
      </c>
      <c r="N1032" s="4" t="inlineStr">
        <is>
          <t>Swiftly-Tech-Short-Sleeve-2-Race</t>
        </is>
      </c>
      <c r="O1032" s="4" t="inlineStr"/>
    </row>
    <row r="1033" ht="80" customHeight="1">
      <c r="A1033" s="7">
        <f>IMAGE("https://images.lululemon.com/is/image/lululemon/LW3DZBS_4780_1?wid=320&amp;op_usm=0.8",1)</f>
        <v/>
      </c>
      <c r="B1033" s="7" t="inlineStr">
        <is>
          <t>Swiftly Tech Short-Sleeve Shirt 2.0 *Waist Length</t>
        </is>
      </c>
      <c r="C1033" s="7" t="inlineStr">
        <is>
          <t>158098462</t>
        </is>
      </c>
      <c r="D1033" s="7" t="inlineStr">
        <is>
          <t>158098462-indochineblue/indochineblue</t>
        </is>
      </c>
      <c r="E1033" s="7" t="inlineStr">
        <is>
          <t>Swiftly Tech Short Sleeve 2.0 *Race BALF/BALF 0</t>
        </is>
      </c>
      <c r="F1033" s="7" t="inlineStr">
        <is>
          <t>$68.00</t>
        </is>
      </c>
      <c r="G1033" s="7" t="inlineStr">
        <is>
          <t>$34.00</t>
        </is>
      </c>
      <c r="H1033" s="7" t="inlineStr">
        <is>
          <t>Indochine Blue/Indochine Blue</t>
        </is>
      </c>
      <c r="I1033" s="7">
        <f>IMAGE("https://images.lululemon.com/is/image/lululemon/72654",1)</f>
        <v/>
      </c>
      <c r="J1033" s="7" t="inlineStr">
        <is>
          <t>4</t>
        </is>
      </c>
      <c r="K1033" s="7" t="inlineStr">
        <is>
          <t>176/4881</t>
        </is>
      </c>
      <c r="L1033" s="7" t="inlineStr">
        <is>
          <t>Yes</t>
        </is>
      </c>
      <c r="M1033" s="7" t="inlineStr">
        <is>
          <t>Go ahead, get sweaty. The Swiftly collection is all about high-performing fabric that seamlessly adapts to you and your workout.</t>
        </is>
      </c>
      <c r="N1033" s="7" t="inlineStr">
        <is>
          <t>Swiftly-Tech-Short-Sleeve-2-Race</t>
        </is>
      </c>
      <c r="O1033" s="7" t="inlineStr"/>
    </row>
    <row r="1034" ht="80" customHeight="1">
      <c r="A1034" s="4">
        <f>IMAGE("https://images.lululemon.com/is/image/lululemon/LW3DZBS_4780_1?wid=320&amp;op_usm=0.8",1)</f>
        <v/>
      </c>
      <c r="B1034" s="4" t="inlineStr">
        <is>
          <t>Swiftly Tech Short-Sleeve Shirt 2.0 *Waist Length</t>
        </is>
      </c>
      <c r="C1034" s="4" t="inlineStr">
        <is>
          <t>158098466</t>
        </is>
      </c>
      <c r="D1034" s="4" t="inlineStr">
        <is>
          <t>158098466-indochineblue/indochineblue</t>
        </is>
      </c>
      <c r="E1034" s="4" t="inlineStr">
        <is>
          <t>Swiftly Tech Short Sleeve 2.0 *Race BALF/BALF 0</t>
        </is>
      </c>
      <c r="F1034" s="4" t="inlineStr">
        <is>
          <t>$68.00</t>
        </is>
      </c>
      <c r="G1034" s="4" t="inlineStr">
        <is>
          <t>$34.00</t>
        </is>
      </c>
      <c r="H1034" s="4" t="inlineStr">
        <is>
          <t>Indochine Blue/Indochine Blue</t>
        </is>
      </c>
      <c r="I1034" s="4">
        <f>IMAGE("https://images.lululemon.com/is/image/lululemon/72654",1)</f>
        <v/>
      </c>
      <c r="J1034" s="4" t="inlineStr">
        <is>
          <t>6</t>
        </is>
      </c>
      <c r="K1034" s="4" t="inlineStr">
        <is>
          <t>214/4881</t>
        </is>
      </c>
      <c r="L1034" s="4" t="inlineStr">
        <is>
          <t>Yes</t>
        </is>
      </c>
      <c r="M1034" s="4" t="inlineStr">
        <is>
          <t>Go ahead, get sweaty. The Swiftly collection is all about high-performing fabric that seamlessly adapts to you and your workout.</t>
        </is>
      </c>
      <c r="N1034" s="4" t="inlineStr">
        <is>
          <t>Swiftly-Tech-Short-Sleeve-2-Race</t>
        </is>
      </c>
      <c r="O1034" s="4" t="inlineStr"/>
    </row>
    <row r="1035" ht="80" customHeight="1">
      <c r="A1035" s="7">
        <f>IMAGE("https://images.lululemon.com/is/image/lululemon/LW3DZBS_4780_1?wid=320&amp;op_usm=0.8",1)</f>
        <v/>
      </c>
      <c r="B1035" s="7" t="inlineStr">
        <is>
          <t>Swiftly Tech Short-Sleeve Shirt 2.0 *Waist Length</t>
        </is>
      </c>
      <c r="C1035" s="7" t="inlineStr">
        <is>
          <t>158098470</t>
        </is>
      </c>
      <c r="D1035" s="7" t="inlineStr">
        <is>
          <t>158098470-indochineblue/indochineblue</t>
        </is>
      </c>
      <c r="E1035" s="7" t="inlineStr">
        <is>
          <t>Swiftly Tech Short Sleeve 2.0 *Race BALF/BALF 0</t>
        </is>
      </c>
      <c r="F1035" s="7" t="inlineStr">
        <is>
          <t>$68.00</t>
        </is>
      </c>
      <c r="G1035" s="7" t="inlineStr">
        <is>
          <t>$34.00</t>
        </is>
      </c>
      <c r="H1035" s="7" t="inlineStr">
        <is>
          <t>Indochine Blue/Indochine Blue</t>
        </is>
      </c>
      <c r="I1035" s="7">
        <f>IMAGE("https://images.lululemon.com/is/image/lululemon/72654",1)</f>
        <v/>
      </c>
      <c r="J1035" s="7" t="inlineStr">
        <is>
          <t>8</t>
        </is>
      </c>
      <c r="K1035" s="7" t="inlineStr">
        <is>
          <t>184/4881</t>
        </is>
      </c>
      <c r="L1035" s="7" t="inlineStr">
        <is>
          <t>Yes</t>
        </is>
      </c>
      <c r="M1035" s="7" t="inlineStr">
        <is>
          <t>Go ahead, get sweaty. The Swiftly collection is all about high-performing fabric that seamlessly adapts to you and your workout.</t>
        </is>
      </c>
      <c r="N1035" s="7" t="inlineStr">
        <is>
          <t>Swiftly-Tech-Short-Sleeve-2-Race</t>
        </is>
      </c>
      <c r="O1035" s="7" t="inlineStr"/>
    </row>
    <row r="1036" ht="80" customHeight="1">
      <c r="A1036" s="4">
        <f>IMAGE("https://images.lululemon.com/is/image/lululemon/LW3DZBS_4780_1?wid=320&amp;op_usm=0.8",1)</f>
        <v/>
      </c>
      <c r="B1036" s="4" t="inlineStr">
        <is>
          <t>Swiftly Tech Short-Sleeve Shirt 2.0 *Waist Length</t>
        </is>
      </c>
      <c r="C1036" s="4" t="inlineStr">
        <is>
          <t>158098448</t>
        </is>
      </c>
      <c r="D1036" s="4" t="inlineStr">
        <is>
          <t>158098448-indochineblue/indochineblue</t>
        </is>
      </c>
      <c r="E1036" s="4" t="inlineStr">
        <is>
          <t>Swiftly Tech Short Sleeve 2.0 *Race BALF/BALF 0</t>
        </is>
      </c>
      <c r="F1036" s="4" t="inlineStr">
        <is>
          <t>$68.00</t>
        </is>
      </c>
      <c r="G1036" s="4" t="inlineStr">
        <is>
          <t>$34.00</t>
        </is>
      </c>
      <c r="H1036" s="4" t="inlineStr">
        <is>
          <t>Indochine Blue/Indochine Blue</t>
        </is>
      </c>
      <c r="I1036" s="4">
        <f>IMAGE("https://images.lululemon.com/is/image/lululemon/72654",1)</f>
        <v/>
      </c>
      <c r="J1036" s="4" t="inlineStr">
        <is>
          <t>10</t>
        </is>
      </c>
      <c r="K1036" s="4" t="inlineStr">
        <is>
          <t>105/4881</t>
        </is>
      </c>
      <c r="L1036" s="4" t="inlineStr">
        <is>
          <t>Yes</t>
        </is>
      </c>
      <c r="M1036" s="4" t="inlineStr">
        <is>
          <t>Go ahead, get sweaty. The Swiftly collection is all about high-performing fabric that seamlessly adapts to you and your workout.</t>
        </is>
      </c>
      <c r="N1036" s="4" t="inlineStr">
        <is>
          <t>Swiftly-Tech-Short-Sleeve-2-Race</t>
        </is>
      </c>
      <c r="O1036" s="4" t="inlineStr"/>
    </row>
    <row r="1037" ht="80" customHeight="1">
      <c r="A1037" s="7">
        <f>IMAGE("https://images.lululemon.com/is/image/lululemon/LW3DZBS_4780_1?wid=320&amp;op_usm=0.8",1)</f>
        <v/>
      </c>
      <c r="B1037" s="7" t="inlineStr">
        <is>
          <t>Swiftly Tech Short-Sleeve Shirt 2.0 *Waist Length</t>
        </is>
      </c>
      <c r="C1037" s="7" t="inlineStr">
        <is>
          <t>158098453</t>
        </is>
      </c>
      <c r="D1037" s="7" t="inlineStr">
        <is>
          <t>158098453-indochineblue/indochineblue</t>
        </is>
      </c>
      <c r="E1037" s="7" t="inlineStr">
        <is>
          <t>Swiftly Tech Short Sleeve 2.0 *Race BALF/BALF 0</t>
        </is>
      </c>
      <c r="F1037" s="7" t="inlineStr">
        <is>
          <t>$68.00</t>
        </is>
      </c>
      <c r="G1037" s="7" t="inlineStr">
        <is>
          <t>$34.00</t>
        </is>
      </c>
      <c r="H1037" s="7" t="inlineStr">
        <is>
          <t>Indochine Blue/Indochine Blue</t>
        </is>
      </c>
      <c r="I1037" s="7">
        <f>IMAGE("https://images.lululemon.com/is/image/lululemon/72654",1)</f>
        <v/>
      </c>
      <c r="J1037" s="7" t="inlineStr">
        <is>
          <t>12</t>
        </is>
      </c>
      <c r="K1037" s="7" t="inlineStr">
        <is>
          <t>53/4881</t>
        </is>
      </c>
      <c r="L1037" s="7" t="inlineStr">
        <is>
          <t>Yes</t>
        </is>
      </c>
      <c r="M1037" s="7" t="inlineStr">
        <is>
          <t>Go ahead, get sweaty. The Swiftly collection is all about high-performing fabric that seamlessly adapts to you and your workout.</t>
        </is>
      </c>
      <c r="N1037" s="7" t="inlineStr">
        <is>
          <t>Swiftly-Tech-Short-Sleeve-2-Race</t>
        </is>
      </c>
      <c r="O1037" s="7" t="inlineStr"/>
    </row>
    <row r="1038" ht="80" customHeight="1">
      <c r="A1038" s="4">
        <f>IMAGE("https://images.lululemon.com/is/image/lululemon/LW3DZBS_4780_1?wid=320&amp;op_usm=0.8",1)</f>
        <v/>
      </c>
      <c r="B1038" s="4" t="inlineStr">
        <is>
          <t>Swiftly Tech Short-Sleeve Shirt 2.0 *Waist Length</t>
        </is>
      </c>
      <c r="C1038" s="4" t="inlineStr">
        <is>
          <t>157715364</t>
        </is>
      </c>
      <c r="D1038" s="4" t="inlineStr">
        <is>
          <t>157715364-sereneblue/sereneblue</t>
        </is>
      </c>
      <c r="E1038" s="4" t="inlineStr">
        <is>
          <t>Swiftly Tech Short Sleeve 2.0 *Race BALF/BALF 0</t>
        </is>
      </c>
      <c r="F1038" s="4" t="inlineStr">
        <is>
          <t>$68.00</t>
        </is>
      </c>
      <c r="G1038" s="4" t="inlineStr">
        <is>
          <t>$34.00</t>
        </is>
      </c>
      <c r="H1038" s="4" t="inlineStr">
        <is>
          <t>Serene Blue/Serene Blue</t>
        </is>
      </c>
      <c r="I1038" s="4">
        <f>IMAGE("https://images.lululemon.com/is/image/lululemon/36949",1)</f>
        <v/>
      </c>
      <c r="J1038" s="4" t="inlineStr">
        <is>
          <t>4</t>
        </is>
      </c>
      <c r="K1038" s="4" t="inlineStr">
        <is>
          <t>43/4881</t>
        </is>
      </c>
      <c r="L1038" s="4" t="inlineStr">
        <is>
          <t>Yes</t>
        </is>
      </c>
      <c r="M1038" s="4" t="inlineStr">
        <is>
          <t>Go ahead, get sweaty. The Swiftly collection is all about high-performing fabric that seamlessly adapts to you and your workout.</t>
        </is>
      </c>
      <c r="N1038" s="4" t="inlineStr">
        <is>
          <t>Swiftly-Tech-Short-Sleeve-2-Race</t>
        </is>
      </c>
      <c r="O1038" s="4" t="inlineStr"/>
    </row>
    <row r="1039" ht="80" customHeight="1">
      <c r="A1039" s="7">
        <f>IMAGE("https://images.lululemon.com/is/image/lululemon/LW3DZBS_4780_1?wid=320&amp;op_usm=0.8",1)</f>
        <v/>
      </c>
      <c r="B1039" s="7" t="inlineStr">
        <is>
          <t>Swiftly Tech Short-Sleeve Shirt 2.0 *Waist Length</t>
        </is>
      </c>
      <c r="C1039" s="7" t="inlineStr">
        <is>
          <t>157715365</t>
        </is>
      </c>
      <c r="D1039" s="7" t="inlineStr">
        <is>
          <t>157715365-sereneblue/sereneblue</t>
        </is>
      </c>
      <c r="E1039" s="7" t="inlineStr">
        <is>
          <t>Swiftly Tech Short Sleeve 2.0 *Race BALF/BALF 0</t>
        </is>
      </c>
      <c r="F1039" s="7" t="inlineStr">
        <is>
          <t>$68.00</t>
        </is>
      </c>
      <c r="G1039" s="7" t="inlineStr">
        <is>
          <t>$34.00</t>
        </is>
      </c>
      <c r="H1039" s="7" t="inlineStr">
        <is>
          <t>Serene Blue/Serene Blue</t>
        </is>
      </c>
      <c r="I1039" s="7">
        <f>IMAGE("https://images.lululemon.com/is/image/lululemon/36949",1)</f>
        <v/>
      </c>
      <c r="J1039" s="7" t="inlineStr">
        <is>
          <t>6</t>
        </is>
      </c>
      <c r="K1039" s="7" t="inlineStr">
        <is>
          <t>64/4881</t>
        </is>
      </c>
      <c r="L1039" s="7" t="inlineStr">
        <is>
          <t>Yes</t>
        </is>
      </c>
      <c r="M1039" s="7" t="inlineStr">
        <is>
          <t>Go ahead, get sweaty. The Swiftly collection is all about high-performing fabric that seamlessly adapts to you and your workout.</t>
        </is>
      </c>
      <c r="N1039" s="7" t="inlineStr">
        <is>
          <t>Swiftly-Tech-Short-Sleeve-2-Race</t>
        </is>
      </c>
      <c r="O1039" s="7" t="inlineStr"/>
    </row>
    <row r="1040" ht="80" customHeight="1">
      <c r="A1040" s="4">
        <f>IMAGE("https://images.lululemon.com/is/image/lululemon/LW3DZBS_4780_1?wid=320&amp;op_usm=0.8",1)</f>
        <v/>
      </c>
      <c r="B1040" s="4" t="inlineStr">
        <is>
          <t>Swiftly Tech Short-Sleeve Shirt 2.0 *Waist Length</t>
        </is>
      </c>
      <c r="C1040" s="4" t="inlineStr">
        <is>
          <t>157715366</t>
        </is>
      </c>
      <c r="D1040" s="4" t="inlineStr">
        <is>
          <t>157715366-sereneblue/sereneblue</t>
        </is>
      </c>
      <c r="E1040" s="4" t="inlineStr">
        <is>
          <t>Swiftly Tech Short Sleeve 2.0 *Race BALF/BALF 0</t>
        </is>
      </c>
      <c r="F1040" s="4" t="inlineStr">
        <is>
          <t>$68.00</t>
        </is>
      </c>
      <c r="G1040" s="4" t="inlineStr">
        <is>
          <t>$34.00</t>
        </is>
      </c>
      <c r="H1040" s="4" t="inlineStr">
        <is>
          <t>Serene Blue/Serene Blue</t>
        </is>
      </c>
      <c r="I1040" s="4">
        <f>IMAGE("https://images.lululemon.com/is/image/lululemon/36949",1)</f>
        <v/>
      </c>
      <c r="J1040" s="4" t="inlineStr">
        <is>
          <t>8</t>
        </is>
      </c>
      <c r="K1040" s="4" t="inlineStr">
        <is>
          <t>74/4881</t>
        </is>
      </c>
      <c r="L1040" s="4" t="inlineStr">
        <is>
          <t>Yes</t>
        </is>
      </c>
      <c r="M1040" s="4" t="inlineStr">
        <is>
          <t>Go ahead, get sweaty. The Swiftly collection is all about high-performing fabric that seamlessly adapts to you and your workout.</t>
        </is>
      </c>
      <c r="N1040" s="4" t="inlineStr">
        <is>
          <t>Swiftly-Tech-Short-Sleeve-2-Race</t>
        </is>
      </c>
      <c r="O1040" s="4" t="inlineStr"/>
    </row>
    <row r="1041" ht="80" customHeight="1">
      <c r="A1041" s="7">
        <f>IMAGE("https://images.lululemon.com/is/image/lululemon/LW3DZBS_4780_1?wid=320&amp;op_usm=0.8",1)</f>
        <v/>
      </c>
      <c r="B1041" s="7" t="inlineStr">
        <is>
          <t>Swiftly Tech Short-Sleeve Shirt 2.0 *Waist Length</t>
        </is>
      </c>
      <c r="C1041" s="7" t="inlineStr">
        <is>
          <t>157715357</t>
        </is>
      </c>
      <c r="D1041" s="7" t="inlineStr">
        <is>
          <t>157715357-sereneblue/sereneblue</t>
        </is>
      </c>
      <c r="E1041" s="7" t="inlineStr">
        <is>
          <t>Swiftly Tech Short Sleeve 2.0 *Race BALF/BALF 0</t>
        </is>
      </c>
      <c r="F1041" s="7" t="inlineStr">
        <is>
          <t>$68.00</t>
        </is>
      </c>
      <c r="G1041" s="7" t="inlineStr">
        <is>
          <t>$34.00</t>
        </is>
      </c>
      <c r="H1041" s="7" t="inlineStr">
        <is>
          <t>Serene Blue/Serene Blue</t>
        </is>
      </c>
      <c r="I1041" s="7">
        <f>IMAGE("https://images.lululemon.com/is/image/lululemon/36949",1)</f>
        <v/>
      </c>
      <c r="J1041" s="7" t="inlineStr">
        <is>
          <t>10</t>
        </is>
      </c>
      <c r="K1041" s="7" t="inlineStr">
        <is>
          <t>54/4881</t>
        </is>
      </c>
      <c r="L1041" s="7" t="inlineStr">
        <is>
          <t>Yes</t>
        </is>
      </c>
      <c r="M1041" s="7" t="inlineStr">
        <is>
          <t>Go ahead, get sweaty. The Swiftly collection is all about high-performing fabric that seamlessly adapts to you and your workout.</t>
        </is>
      </c>
      <c r="N1041" s="7" t="inlineStr">
        <is>
          <t>Swiftly-Tech-Short-Sleeve-2-Race</t>
        </is>
      </c>
      <c r="O1041" s="7" t="inlineStr"/>
    </row>
    <row r="1042" ht="80" customHeight="1">
      <c r="A1042" s="4">
        <f>IMAGE("https://images.lululemon.com/is/image/lululemon/LW3DZBS_4780_1?wid=320&amp;op_usm=0.8",1)</f>
        <v/>
      </c>
      <c r="B1042" s="4" t="inlineStr">
        <is>
          <t>Swiftly Tech Short-Sleeve Shirt 2.0 *Waist Length</t>
        </is>
      </c>
      <c r="C1042" s="4" t="inlineStr">
        <is>
          <t>157715359</t>
        </is>
      </c>
      <c r="D1042" s="4" t="inlineStr">
        <is>
          <t>157715359-sereneblue/sereneblue</t>
        </is>
      </c>
      <c r="E1042" s="4" t="inlineStr">
        <is>
          <t>Swiftly Tech Short Sleeve 2.0 *Race BALF/BALF 0</t>
        </is>
      </c>
      <c r="F1042" s="4" t="inlineStr">
        <is>
          <t>$68.00</t>
        </is>
      </c>
      <c r="G1042" s="4" t="inlineStr">
        <is>
          <t>$34.00</t>
        </is>
      </c>
      <c r="H1042" s="4" t="inlineStr">
        <is>
          <t>Serene Blue/Serene Blue</t>
        </is>
      </c>
      <c r="I1042" s="4">
        <f>IMAGE("https://images.lululemon.com/is/image/lululemon/36949",1)</f>
        <v/>
      </c>
      <c r="J1042" s="4" t="inlineStr">
        <is>
          <t>14</t>
        </is>
      </c>
      <c r="K1042" s="4" t="inlineStr">
        <is>
          <t>3/4881</t>
        </is>
      </c>
      <c r="L1042" s="4" t="inlineStr">
        <is>
          <t>Yes</t>
        </is>
      </c>
      <c r="M1042" s="4" t="inlineStr">
        <is>
          <t>Go ahead, get sweaty. The Swiftly collection is all about high-performing fabric that seamlessly adapts to you and your workout.</t>
        </is>
      </c>
      <c r="N1042" s="4" t="inlineStr">
        <is>
          <t>Swiftly-Tech-Short-Sleeve-2-Race</t>
        </is>
      </c>
      <c r="O1042" s="4" t="inlineStr"/>
    </row>
    <row r="1043" ht="80" customHeight="1">
      <c r="A1043" s="7">
        <f>IMAGE("https://images.lululemon.com/is/image/lululemon/LW3DZBS_4780_1?wid=320&amp;op_usm=0.8",1)</f>
        <v/>
      </c>
      <c r="B1043" s="7" t="inlineStr">
        <is>
          <t>Swiftly Tech Short-Sleeve Shirt 2.0 *Waist Length</t>
        </is>
      </c>
      <c r="C1043" s="7" t="inlineStr">
        <is>
          <t>151676569</t>
        </is>
      </c>
      <c r="D1043" s="7" t="inlineStr">
        <is>
          <t>151676569-black/black</t>
        </is>
      </c>
      <c r="E1043" s="7" t="inlineStr">
        <is>
          <t>Swiftly Tech Short Sleeve 2.0 *Race BALF/BALF 0</t>
        </is>
      </c>
      <c r="F1043" s="7" t="inlineStr">
        <is>
          <t>$68.00</t>
        </is>
      </c>
      <c r="G1043" s="7" t="inlineStr">
        <is>
          <t>$34.00</t>
        </is>
      </c>
      <c r="H1043" s="7" t="inlineStr">
        <is>
          <t>Black/Black</t>
        </is>
      </c>
      <c r="I1043" s="7">
        <f>IMAGE("https://images.lululemon.com/is/image/lululemon/4780",1)</f>
        <v/>
      </c>
      <c r="J1043" s="7" t="inlineStr">
        <is>
          <t>6</t>
        </is>
      </c>
      <c r="K1043" s="7" t="inlineStr">
        <is>
          <t>117/4881</t>
        </is>
      </c>
      <c r="L1043" s="7" t="inlineStr">
        <is>
          <t>Yes</t>
        </is>
      </c>
      <c r="M1043" s="7" t="inlineStr">
        <is>
          <t>Go ahead, get sweaty. The Swiftly collection is all about high-performing fabric that seamlessly adapts to you and your workout.</t>
        </is>
      </c>
      <c r="N1043" s="7" t="inlineStr">
        <is>
          <t>Swiftly-Tech-Short-Sleeve-2-Race</t>
        </is>
      </c>
      <c r="O1043" s="7" t="inlineStr"/>
    </row>
    <row r="1044" ht="80" customHeight="1">
      <c r="A1044" s="4">
        <f>IMAGE("https://images.lululemon.com/is/image/lululemon/LW3DZBS_4780_1?wid=320&amp;op_usm=0.8",1)</f>
        <v/>
      </c>
      <c r="B1044" s="4" t="inlineStr">
        <is>
          <t>Swiftly Tech Short-Sleeve Shirt 2.0 *Waist Length</t>
        </is>
      </c>
      <c r="C1044" s="4" t="inlineStr">
        <is>
          <t>151676574</t>
        </is>
      </c>
      <c r="D1044" s="4" t="inlineStr">
        <is>
          <t>151676574-black/black</t>
        </is>
      </c>
      <c r="E1044" s="4" t="inlineStr">
        <is>
          <t>Swiftly Tech Short Sleeve 2.0 *Race BALF/BALF 0</t>
        </is>
      </c>
      <c r="F1044" s="4" t="inlineStr">
        <is>
          <t>$68.00</t>
        </is>
      </c>
      <c r="G1044" s="4" t="inlineStr">
        <is>
          <t>$34.00</t>
        </is>
      </c>
      <c r="H1044" s="4" t="inlineStr">
        <is>
          <t>Black/Black</t>
        </is>
      </c>
      <c r="I1044" s="4">
        <f>IMAGE("https://images.lululemon.com/is/image/lululemon/4780",1)</f>
        <v/>
      </c>
      <c r="J1044" s="4" t="inlineStr">
        <is>
          <t>8</t>
        </is>
      </c>
      <c r="K1044" s="4" t="inlineStr">
        <is>
          <t>227/4881</t>
        </is>
      </c>
      <c r="L1044" s="4" t="inlineStr">
        <is>
          <t>Yes</t>
        </is>
      </c>
      <c r="M1044" s="4" t="inlineStr">
        <is>
          <t>Go ahead, get sweaty. The Swiftly collection is all about high-performing fabric that seamlessly adapts to you and your workout.</t>
        </is>
      </c>
      <c r="N1044" s="4" t="inlineStr">
        <is>
          <t>Swiftly-Tech-Short-Sleeve-2-Race</t>
        </is>
      </c>
      <c r="O1044" s="4" t="inlineStr"/>
    </row>
    <row r="1045" ht="80" customHeight="1">
      <c r="A1045" s="7">
        <f>IMAGE("https://images.lululemon.com/is/image/lululemon/LW3DZBS_4780_1?wid=320&amp;op_usm=0.8",1)</f>
        <v/>
      </c>
      <c r="B1045" s="7" t="inlineStr">
        <is>
          <t>Swiftly Tech Short-Sleeve Shirt 2.0 *Waist Length</t>
        </is>
      </c>
      <c r="C1045" s="7" t="inlineStr">
        <is>
          <t>124975474</t>
        </is>
      </c>
      <c r="D1045" s="7" t="inlineStr">
        <is>
          <t>124975474-black/black</t>
        </is>
      </c>
      <c r="E1045" s="7" t="inlineStr">
        <is>
          <t>Swiftly Tech Short Sleeve 2.0 *Race BALF/BALF 0</t>
        </is>
      </c>
      <c r="F1045" s="7" t="inlineStr">
        <is>
          <t>$68.00</t>
        </is>
      </c>
      <c r="G1045" s="7" t="inlineStr">
        <is>
          <t>$34.00</t>
        </is>
      </c>
      <c r="H1045" s="7" t="inlineStr">
        <is>
          <t>Black/Black</t>
        </is>
      </c>
      <c r="I1045" s="7">
        <f>IMAGE("https://images.lululemon.com/is/image/lululemon/4780",1)</f>
        <v/>
      </c>
      <c r="J1045" s="7" t="inlineStr">
        <is>
          <t>10</t>
        </is>
      </c>
      <c r="K1045" s="7" t="inlineStr">
        <is>
          <t>207/4881</t>
        </is>
      </c>
      <c r="L1045" s="7" t="inlineStr">
        <is>
          <t>Yes</t>
        </is>
      </c>
      <c r="M1045" s="7" t="inlineStr">
        <is>
          <t>Go ahead, get sweaty. The Swiftly collection is all about high-performing fabric that seamlessly adapts to you and your workout.</t>
        </is>
      </c>
      <c r="N1045" s="7" t="inlineStr">
        <is>
          <t>Swiftly-Tech-Short-Sleeve-2-Race</t>
        </is>
      </c>
      <c r="O1045" s="7" t="inlineStr"/>
    </row>
    <row r="1046" ht="80" customHeight="1">
      <c r="A1046" s="4">
        <f>IMAGE("https://images.lululemon.com/is/image/lululemon/LW3DZBS_4780_1?wid=320&amp;op_usm=0.8",1)</f>
        <v/>
      </c>
      <c r="B1046" s="4" t="inlineStr">
        <is>
          <t>Swiftly Tech Short-Sleeve Shirt 2.0 *Waist Length</t>
        </is>
      </c>
      <c r="C1046" s="4" t="inlineStr">
        <is>
          <t>151676543</t>
        </is>
      </c>
      <c r="D1046" s="4" t="inlineStr">
        <is>
          <t>151676543-black/black</t>
        </is>
      </c>
      <c r="E1046" s="4" t="inlineStr">
        <is>
          <t>Swiftly Tech Short Sleeve 2.0 *Race BALF/BALF 0</t>
        </is>
      </c>
      <c r="F1046" s="4" t="inlineStr">
        <is>
          <t>$68.00</t>
        </is>
      </c>
      <c r="G1046" s="4" t="inlineStr">
        <is>
          <t>$34.00</t>
        </is>
      </c>
      <c r="H1046" s="4" t="inlineStr">
        <is>
          <t>Black/Black</t>
        </is>
      </c>
      <c r="I1046" s="4">
        <f>IMAGE("https://images.lululemon.com/is/image/lululemon/4780",1)</f>
        <v/>
      </c>
      <c r="J1046" s="4" t="inlineStr">
        <is>
          <t>12</t>
        </is>
      </c>
      <c r="K1046" s="4" t="inlineStr">
        <is>
          <t>59/4881</t>
        </is>
      </c>
      <c r="L1046" s="4" t="inlineStr">
        <is>
          <t>Yes</t>
        </is>
      </c>
      <c r="M1046" s="4" t="inlineStr">
        <is>
          <t>Go ahead, get sweaty. The Swiftly collection is all about high-performing fabric that seamlessly adapts to you and your workout.</t>
        </is>
      </c>
      <c r="N1046" s="4" t="inlineStr">
        <is>
          <t>Swiftly-Tech-Short-Sleeve-2-Race</t>
        </is>
      </c>
      <c r="O1046" s="4" t="inlineStr"/>
    </row>
    <row r="1047" ht="80" customHeight="1">
      <c r="A1047" s="7">
        <f>IMAGE("https://images.lululemon.com/is/image/lululemon/LW3DZBS_4780_1?wid=320&amp;op_usm=0.8",1)</f>
        <v/>
      </c>
      <c r="B1047" s="7" t="inlineStr">
        <is>
          <t>Swiftly Tech Short-Sleeve Shirt 2.0 *Waist Length</t>
        </is>
      </c>
      <c r="C1047" s="7" t="inlineStr">
        <is>
          <t>144450175</t>
        </is>
      </c>
      <c r="D1047" s="7" t="inlineStr">
        <is>
          <t>144450175-white/white</t>
        </is>
      </c>
      <c r="E1047" s="7" t="inlineStr">
        <is>
          <t>Swiftly Tech Short Sleeve 2.0 *Race BALF/BALF 0</t>
        </is>
      </c>
      <c r="F1047" s="7" t="inlineStr">
        <is>
          <t>$68.00</t>
        </is>
      </c>
      <c r="G1047" s="7" t="inlineStr">
        <is>
          <t>$34.00</t>
        </is>
      </c>
      <c r="H1047" s="7" t="inlineStr">
        <is>
          <t>White/White</t>
        </is>
      </c>
      <c r="I1047" s="7">
        <f>IMAGE("https://images.lululemon.com/is/image/lululemon/12826",1)</f>
        <v/>
      </c>
      <c r="J1047" s="7" t="inlineStr">
        <is>
          <t>8</t>
        </is>
      </c>
      <c r="K1047" s="7" t="inlineStr">
        <is>
          <t>101/4881</t>
        </is>
      </c>
      <c r="L1047" s="7" t="inlineStr">
        <is>
          <t>Yes</t>
        </is>
      </c>
      <c r="M1047" s="7" t="inlineStr">
        <is>
          <t>Go ahead, get sweaty. The Swiftly collection is all about high-performing fabric that seamlessly adapts to you and your workout.</t>
        </is>
      </c>
      <c r="N1047" s="7" t="inlineStr">
        <is>
          <t>Swiftly-Tech-Short-Sleeve-2-Race</t>
        </is>
      </c>
      <c r="O1047" s="7" t="inlineStr"/>
    </row>
    <row r="1048" ht="80" customHeight="1">
      <c r="A1048" s="4">
        <f>IMAGE("https://images.lululemon.com/is/image/lululemon/LW3DZBS_4780_1?wid=320&amp;op_usm=0.8",1)</f>
        <v/>
      </c>
      <c r="B1048" s="4" t="inlineStr">
        <is>
          <t>Swiftly Tech Short-Sleeve Shirt 2.0 *Waist Length</t>
        </is>
      </c>
      <c r="C1048" s="4" t="inlineStr">
        <is>
          <t>144450163</t>
        </is>
      </c>
      <c r="D1048" s="4" t="inlineStr">
        <is>
          <t>144450163-white/white</t>
        </is>
      </c>
      <c r="E1048" s="4" t="inlineStr">
        <is>
          <t>Swiftly Tech Short Sleeve 2.0 *Race BALF/BALF 0</t>
        </is>
      </c>
      <c r="F1048" s="4" t="inlineStr">
        <is>
          <t>$68.00</t>
        </is>
      </c>
      <c r="G1048" s="4" t="inlineStr">
        <is>
          <t>$34.00</t>
        </is>
      </c>
      <c r="H1048" s="4" t="inlineStr">
        <is>
          <t>White/White</t>
        </is>
      </c>
      <c r="I1048" s="4">
        <f>IMAGE("https://images.lululemon.com/is/image/lululemon/12826",1)</f>
        <v/>
      </c>
      <c r="J1048" s="4" t="inlineStr">
        <is>
          <t>10</t>
        </is>
      </c>
      <c r="K1048" s="4" t="inlineStr">
        <is>
          <t>208/4881</t>
        </is>
      </c>
      <c r="L1048" s="4" t="inlineStr">
        <is>
          <t>Yes</t>
        </is>
      </c>
      <c r="M1048" s="4" t="inlineStr">
        <is>
          <t>Go ahead, get sweaty. The Swiftly collection is all about high-performing fabric that seamlessly adapts to you and your workout.</t>
        </is>
      </c>
      <c r="N1048" s="4" t="inlineStr">
        <is>
          <t>Swiftly-Tech-Short-Sleeve-2-Race</t>
        </is>
      </c>
      <c r="O1048" s="4" t="inlineStr"/>
    </row>
    <row r="1049" ht="80" customHeight="1">
      <c r="A1049" s="7">
        <f>IMAGE("https://images.lululemon.com/is/image/lululemon/LW3DZBS_4780_1?wid=320&amp;op_usm=0.8",1)</f>
        <v/>
      </c>
      <c r="B1049" s="7" t="inlineStr">
        <is>
          <t>Swiftly Tech Short-Sleeve Shirt 2.0 *Waist Length</t>
        </is>
      </c>
      <c r="C1049" s="7" t="inlineStr">
        <is>
          <t>144450164</t>
        </is>
      </c>
      <c r="D1049" s="7" t="inlineStr">
        <is>
          <t>144450164-white/white</t>
        </is>
      </c>
      <c r="E1049" s="7" t="inlineStr">
        <is>
          <t>Swiftly Tech Short Sleeve 2.0 *Race BALF/BALF 0</t>
        </is>
      </c>
      <c r="F1049" s="7" t="inlineStr">
        <is>
          <t>$68.00</t>
        </is>
      </c>
      <c r="G1049" s="7" t="inlineStr">
        <is>
          <t>$34.00</t>
        </is>
      </c>
      <c r="H1049" s="7" t="inlineStr">
        <is>
          <t>White/White</t>
        </is>
      </c>
      <c r="I1049" s="7">
        <f>IMAGE("https://images.lululemon.com/is/image/lululemon/12826",1)</f>
        <v/>
      </c>
      <c r="J1049" s="7" t="inlineStr">
        <is>
          <t>12</t>
        </is>
      </c>
      <c r="K1049" s="7" t="inlineStr">
        <is>
          <t>136/4881</t>
        </is>
      </c>
      <c r="L1049" s="7" t="inlineStr">
        <is>
          <t>Yes</t>
        </is>
      </c>
      <c r="M1049" s="7" t="inlineStr">
        <is>
          <t>Go ahead, get sweaty. The Swiftly collection is all about high-performing fabric that seamlessly adapts to you and your workout.</t>
        </is>
      </c>
      <c r="N1049" s="7" t="inlineStr">
        <is>
          <t>Swiftly-Tech-Short-Sleeve-2-Race</t>
        </is>
      </c>
      <c r="O1049" s="7" t="inlineStr"/>
    </row>
    <row r="1050" ht="80" customHeight="1">
      <c r="A1050" s="4">
        <f>IMAGE("https://images.lululemon.com/is/image/lululemon/LW3DZBS_4780_1?wid=320&amp;op_usm=0.8",1)</f>
        <v/>
      </c>
      <c r="B1050" s="4" t="inlineStr">
        <is>
          <t>Swiftly Tech Short-Sleeve Shirt 2.0 *Waist Length</t>
        </is>
      </c>
      <c r="C1050" s="4" t="inlineStr">
        <is>
          <t>144450166</t>
        </is>
      </c>
      <c r="D1050" s="4" t="inlineStr">
        <is>
          <t>144450166-white/white</t>
        </is>
      </c>
      <c r="E1050" s="4" t="inlineStr">
        <is>
          <t>Swiftly Tech Short Sleeve 2.0 *Race BALF/BALF 0</t>
        </is>
      </c>
      <c r="F1050" s="4" t="inlineStr">
        <is>
          <t>$68.00</t>
        </is>
      </c>
      <c r="G1050" s="4" t="inlineStr">
        <is>
          <t>$34.00</t>
        </is>
      </c>
      <c r="H1050" s="4" t="inlineStr">
        <is>
          <t>White/White</t>
        </is>
      </c>
      <c r="I1050" s="4">
        <f>IMAGE("https://images.lululemon.com/is/image/lululemon/12826",1)</f>
        <v/>
      </c>
      <c r="J1050" s="4" t="inlineStr">
        <is>
          <t>16</t>
        </is>
      </c>
      <c r="K1050" s="4" t="inlineStr">
        <is>
          <t>6/4881</t>
        </is>
      </c>
      <c r="L1050" s="4" t="inlineStr">
        <is>
          <t>Yes</t>
        </is>
      </c>
      <c r="M1050" s="4" t="inlineStr">
        <is>
          <t>Go ahead, get sweaty. The Swiftly collection is all about high-performing fabric that seamlessly adapts to you and your workout.</t>
        </is>
      </c>
      <c r="N1050" s="4" t="inlineStr">
        <is>
          <t>Swiftly-Tech-Short-Sleeve-2-Race</t>
        </is>
      </c>
      <c r="O1050" s="4" t="inlineStr"/>
    </row>
    <row r="1051" ht="80" customHeight="1">
      <c r="A1051" s="5">
        <f>IMAGE("https://images.lululemon.com/is/image/lululemon/LW3DZBS_4780_1?wid=320&amp;op_usm=0.8",1)</f>
        <v/>
      </c>
      <c r="B1051" s="5" t="inlineStr">
        <is>
          <t>Swiftly Tech Short-Sleeve Shirt 2.0 *Waist Length</t>
        </is>
      </c>
      <c r="C1051" s="5" t="inlineStr">
        <is>
          <t>144450167</t>
        </is>
      </c>
      <c r="D1051" s="5" t="inlineStr">
        <is>
          <t>144450167-white/white</t>
        </is>
      </c>
      <c r="E1051" s="5" t="inlineStr">
        <is>
          <t>Swiftly Tech Short Sleeve 2.0 *Race BALF/BALF 0</t>
        </is>
      </c>
      <c r="F1051" s="5" t="inlineStr">
        <is>
          <t>$68.00</t>
        </is>
      </c>
      <c r="G1051" s="5" t="inlineStr">
        <is>
          <t>$34.00</t>
        </is>
      </c>
      <c r="H1051" s="5" t="inlineStr">
        <is>
          <t>White/White</t>
        </is>
      </c>
      <c r="I1051" s="5">
        <f>IMAGE("https://images.lululemon.com/is/image/lululemon/12826",1)</f>
        <v/>
      </c>
      <c r="J1051" s="5" t="inlineStr">
        <is>
          <t>18</t>
        </is>
      </c>
      <c r="K1051" s="5" t="inlineStr">
        <is>
          <t>6/4881</t>
        </is>
      </c>
      <c r="L1051" s="5" t="inlineStr">
        <is>
          <t>Yes</t>
        </is>
      </c>
      <c r="M1051" s="5" t="inlineStr">
        <is>
          <t>Go ahead, get sweaty. The Swiftly collection is all about high-performing fabric that seamlessly adapts to you and your workout.</t>
        </is>
      </c>
      <c r="N1051" s="5" t="inlineStr">
        <is>
          <t>Swiftly-Tech-Short-Sleeve-2-Race</t>
        </is>
      </c>
      <c r="O1051" s="5" t="inlineStr"/>
    </row>
    <row r="1052" ht="80" customHeight="1">
      <c r="A1052" s="4">
        <f>IMAGE("https://images.lululemon.com/is/image/lululemon/LW5HFES_072338_1?wid=320&amp;op_usm=0.8",1)</f>
        <v/>
      </c>
      <c r="B1052" s="4" t="inlineStr">
        <is>
          <t>lululemon Align™ High-Rise Pant 25" *Jacquard</t>
        </is>
      </c>
      <c r="C1052" s="4" t="inlineStr">
        <is>
          <t>157685176</t>
        </is>
      </c>
      <c r="D1052" s="4" t="inlineStr">
        <is>
          <t>157685176-squareheartjacquardjavasequoia</t>
        </is>
      </c>
      <c r="E1052" s="4" t="inlineStr">
        <is>
          <t>lululemon Align™ HR Pant 25" *Jacquard SHJS 2</t>
        </is>
      </c>
      <c r="F1052" s="4" t="inlineStr">
        <is>
          <t>$98.00</t>
        </is>
      </c>
      <c r="G1052" s="4" t="inlineStr">
        <is>
          <t>$49.00</t>
        </is>
      </c>
      <c r="H1052" s="4" t="inlineStr">
        <is>
          <t>Square Heart Jacquard Java Sequoia</t>
        </is>
      </c>
      <c r="I1052" s="4">
        <f>IMAGE("https://images.lululemon.com/is/image/lululemon/72338",1)</f>
        <v/>
      </c>
      <c r="J1052" s="4" t="inlineStr">
        <is>
          <t>2</t>
        </is>
      </c>
      <c r="K1052" s="4" t="inlineStr">
        <is>
          <t>22/338</t>
        </is>
      </c>
      <c r="L1052" s="4" t="inlineStr">
        <is>
          <t>Yes</t>
        </is>
      </c>
      <c r="M1052" s="4" t="inlineStr">
        <is>
          <t>When feeling nothing is everything. The lululemon Align™ collection is so weightless and buttery soft, all you feel is your practice.</t>
        </is>
      </c>
      <c r="N1052" s="4" t="inlineStr">
        <is>
          <t>lululemon-Align-High-Rise-Pant-25-Jacquard</t>
        </is>
      </c>
      <c r="O1052" s="4" t="inlineStr"/>
    </row>
    <row r="1053" ht="80" customHeight="1">
      <c r="A1053" s="7">
        <f>IMAGE("https://images.lululemon.com/is/image/lululemon/LW5HFES_072338_1?wid=320&amp;op_usm=0.8",1)</f>
        <v/>
      </c>
      <c r="B1053" s="7" t="inlineStr">
        <is>
          <t>lululemon Align™ High-Rise Pant 25" *Jacquard</t>
        </is>
      </c>
      <c r="C1053" s="7" t="inlineStr">
        <is>
          <t>157685180</t>
        </is>
      </c>
      <c r="D1053" s="7" t="inlineStr">
        <is>
          <t>157685180-squareheartjacquardjavasequoia</t>
        </is>
      </c>
      <c r="E1053" s="7" t="inlineStr">
        <is>
          <t>lululemon Align™ HR Pant 25" *Jacquard SHJS 2</t>
        </is>
      </c>
      <c r="F1053" s="7" t="inlineStr">
        <is>
          <t>$98.00</t>
        </is>
      </c>
      <c r="G1053" s="7" t="inlineStr">
        <is>
          <t>$49.00</t>
        </is>
      </c>
      <c r="H1053" s="7" t="inlineStr">
        <is>
          <t>Square Heart Jacquard Java Sequoia</t>
        </is>
      </c>
      <c r="I1053" s="7">
        <f>IMAGE("https://images.lululemon.com/is/image/lululemon/72338",1)</f>
        <v/>
      </c>
      <c r="J1053" s="7" t="inlineStr">
        <is>
          <t>4</t>
        </is>
      </c>
      <c r="K1053" s="7" t="inlineStr">
        <is>
          <t>47/338</t>
        </is>
      </c>
      <c r="L1053" s="7" t="inlineStr">
        <is>
          <t>Yes</t>
        </is>
      </c>
      <c r="M1053" s="7" t="inlineStr">
        <is>
          <t>When feeling nothing is everything. The lululemon Align™ collection is so weightless and buttery soft, all you feel is your practice.</t>
        </is>
      </c>
      <c r="N1053" s="7" t="inlineStr">
        <is>
          <t>lululemon-Align-High-Rise-Pant-25-Jacquard</t>
        </is>
      </c>
      <c r="O1053" s="7" t="inlineStr"/>
    </row>
    <row r="1054" ht="80" customHeight="1">
      <c r="A1054" s="4">
        <f>IMAGE("https://images.lululemon.com/is/image/lululemon/LW5HFES_072338_1?wid=320&amp;op_usm=0.8",1)</f>
        <v/>
      </c>
      <c r="B1054" s="4" t="inlineStr">
        <is>
          <t>lululemon Align™ High-Rise Pant 25" *Jacquard</t>
        </is>
      </c>
      <c r="C1054" s="4" t="inlineStr">
        <is>
          <t>157685183</t>
        </is>
      </c>
      <c r="D1054" s="4" t="inlineStr">
        <is>
          <t>157685183-squareheartjacquardjavasequoia</t>
        </is>
      </c>
      <c r="E1054" s="4" t="inlineStr">
        <is>
          <t>lululemon Align™ HR Pant 25" *Jacquard SHJS 2</t>
        </is>
      </c>
      <c r="F1054" s="4" t="inlineStr">
        <is>
          <t>$98.00</t>
        </is>
      </c>
      <c r="G1054" s="4" t="inlineStr">
        <is>
          <t>$49.00</t>
        </is>
      </c>
      <c r="H1054" s="4" t="inlineStr">
        <is>
          <t>Square Heart Jacquard Java Sequoia</t>
        </is>
      </c>
      <c r="I1054" s="4">
        <f>IMAGE("https://images.lululemon.com/is/image/lululemon/72338",1)</f>
        <v/>
      </c>
      <c r="J1054" s="4" t="inlineStr">
        <is>
          <t>6</t>
        </is>
      </c>
      <c r="K1054" s="4" t="inlineStr">
        <is>
          <t>75/338</t>
        </is>
      </c>
      <c r="L1054" s="4" t="inlineStr">
        <is>
          <t>Yes</t>
        </is>
      </c>
      <c r="M1054" s="4" t="inlineStr">
        <is>
          <t>When feeling nothing is everything. The lululemon Align™ collection is so weightless and buttery soft, all you feel is your practice.</t>
        </is>
      </c>
      <c r="N1054" s="4" t="inlineStr">
        <is>
          <t>lululemon-Align-High-Rise-Pant-25-Jacquard</t>
        </is>
      </c>
      <c r="O1054" s="4" t="inlineStr"/>
    </row>
    <row r="1055" ht="80" customHeight="1">
      <c r="A1055" s="7">
        <f>IMAGE("https://images.lululemon.com/is/image/lululemon/LW5HFES_072338_1?wid=320&amp;op_usm=0.8",1)</f>
        <v/>
      </c>
      <c r="B1055" s="7" t="inlineStr">
        <is>
          <t>lululemon Align™ High-Rise Pant 25" *Jacquard</t>
        </is>
      </c>
      <c r="C1055" s="7" t="inlineStr">
        <is>
          <t>157685187</t>
        </is>
      </c>
      <c r="D1055" s="7" t="inlineStr">
        <is>
          <t>157685187-squareheartjacquardjavasequoia</t>
        </is>
      </c>
      <c r="E1055" s="7" t="inlineStr">
        <is>
          <t>lululemon Align™ HR Pant 25" *Jacquard SHJS 2</t>
        </is>
      </c>
      <c r="F1055" s="7" t="inlineStr">
        <is>
          <t>$98.00</t>
        </is>
      </c>
      <c r="G1055" s="7" t="inlineStr">
        <is>
          <t>$49.00</t>
        </is>
      </c>
      <c r="H1055" s="7" t="inlineStr">
        <is>
          <t>Square Heart Jacquard Java Sequoia</t>
        </is>
      </c>
      <c r="I1055" s="7">
        <f>IMAGE("https://images.lululemon.com/is/image/lululemon/72338",1)</f>
        <v/>
      </c>
      <c r="J1055" s="7" t="inlineStr">
        <is>
          <t>8</t>
        </is>
      </c>
      <c r="K1055" s="7" t="inlineStr">
        <is>
          <t>85/338</t>
        </is>
      </c>
      <c r="L1055" s="7" t="inlineStr">
        <is>
          <t>Yes</t>
        </is>
      </c>
      <c r="M1055" s="7" t="inlineStr">
        <is>
          <t>When feeling nothing is everything. The lululemon Align™ collection is so weightless and buttery soft, all you feel is your practice.</t>
        </is>
      </c>
      <c r="N1055" s="7" t="inlineStr">
        <is>
          <t>lululemon-Align-High-Rise-Pant-25-Jacquard</t>
        </is>
      </c>
      <c r="O1055" s="7" t="inlineStr"/>
    </row>
    <row r="1056" ht="80" customHeight="1">
      <c r="A1056" s="4">
        <f>IMAGE("https://images.lululemon.com/is/image/lululemon/LW5HFES_072338_1?wid=320&amp;op_usm=0.8",1)</f>
        <v/>
      </c>
      <c r="B1056" s="4" t="inlineStr">
        <is>
          <t>lululemon Align™ High-Rise Pant 25" *Jacquard</t>
        </is>
      </c>
      <c r="C1056" s="4" t="inlineStr">
        <is>
          <t>157685165</t>
        </is>
      </c>
      <c r="D1056" s="4" t="inlineStr">
        <is>
          <t>157685165-squareheartjacquardjavasequoia</t>
        </is>
      </c>
      <c r="E1056" s="4" t="inlineStr">
        <is>
          <t>lululemon Align™ HR Pant 25" *Jacquard SHJS 2</t>
        </is>
      </c>
      <c r="F1056" s="4" t="inlineStr">
        <is>
          <t>$98.00</t>
        </is>
      </c>
      <c r="G1056" s="4" t="inlineStr">
        <is>
          <t>$49.00</t>
        </is>
      </c>
      <c r="H1056" s="4" t="inlineStr">
        <is>
          <t>Square Heart Jacquard Java Sequoia</t>
        </is>
      </c>
      <c r="I1056" s="4">
        <f>IMAGE("https://images.lululemon.com/is/image/lululemon/72338",1)</f>
        <v/>
      </c>
      <c r="J1056" s="4" t="inlineStr">
        <is>
          <t>10</t>
        </is>
      </c>
      <c r="K1056" s="4" t="inlineStr">
        <is>
          <t>75/338</t>
        </is>
      </c>
      <c r="L1056" s="4" t="inlineStr">
        <is>
          <t>Yes</t>
        </is>
      </c>
      <c r="M1056" s="4" t="inlineStr">
        <is>
          <t>When feeling nothing is everything. The lululemon Align™ collection is so weightless and buttery soft, all you feel is your practice.</t>
        </is>
      </c>
      <c r="N1056" s="4" t="inlineStr">
        <is>
          <t>lululemon-Align-High-Rise-Pant-25-Jacquard</t>
        </is>
      </c>
      <c r="O1056" s="4" t="inlineStr"/>
    </row>
    <row r="1057" ht="80" customHeight="1">
      <c r="A1057" s="5">
        <f>IMAGE("https://images.lululemon.com/is/image/lululemon/LW5HFES_072338_1?wid=320&amp;op_usm=0.8",1)</f>
        <v/>
      </c>
      <c r="B1057" s="5" t="inlineStr">
        <is>
          <t>lululemon Align™ High-Rise Pant 25" *Jacquard</t>
        </is>
      </c>
      <c r="C1057" s="5" t="inlineStr">
        <is>
          <t>157685170</t>
        </is>
      </c>
      <c r="D1057" s="5" t="inlineStr">
        <is>
          <t>157685170-squareheartjacquardjavasequoia</t>
        </is>
      </c>
      <c r="E1057" s="5" t="inlineStr">
        <is>
          <t>lululemon Align™ HR Pant 25" *Jacquard SHJS 2</t>
        </is>
      </c>
      <c r="F1057" s="5" t="inlineStr">
        <is>
          <t>$98.00</t>
        </is>
      </c>
      <c r="G1057" s="5" t="inlineStr">
        <is>
          <t>$49.00</t>
        </is>
      </c>
      <c r="H1057" s="5" t="inlineStr">
        <is>
          <t>Square Heart Jacquard Java Sequoia</t>
        </is>
      </c>
      <c r="I1057" s="5">
        <f>IMAGE("https://images.lululemon.com/is/image/lululemon/72338",1)</f>
        <v/>
      </c>
      <c r="J1057" s="5" t="inlineStr">
        <is>
          <t>12</t>
        </is>
      </c>
      <c r="K1057" s="5" t="inlineStr">
        <is>
          <t>34/338</t>
        </is>
      </c>
      <c r="L1057" s="5" t="inlineStr">
        <is>
          <t>Yes</t>
        </is>
      </c>
      <c r="M1057" s="5" t="inlineStr">
        <is>
          <t>When feeling nothing is everything. The lululemon Align™ collection is so weightless and buttery soft, all you feel is your practice.</t>
        </is>
      </c>
      <c r="N1057" s="5" t="inlineStr">
        <is>
          <t>lululemon-Align-High-Rise-Pant-25-Jacquard</t>
        </is>
      </c>
      <c r="O1057" s="5" t="inlineStr"/>
    </row>
    <row r="1058" ht="80" customHeight="1">
      <c r="A1058" s="4">
        <f>IMAGE("https://images.lululemon.com/is/image/lululemon/LW3JKQS_0001_1?wid=320&amp;op_usm=0.8",1)</f>
        <v/>
      </c>
      <c r="B1058" s="4" t="inlineStr">
        <is>
          <t>Brushed Softstreme Funnel Neck</t>
        </is>
      </c>
      <c r="C1058" s="4" t="inlineStr">
        <is>
          <t>158030608</t>
        </is>
      </c>
      <c r="D1058" s="4" t="inlineStr">
        <is>
          <t>158030608-black</t>
        </is>
      </c>
      <c r="E1058" s="4" t="inlineStr">
        <is>
          <t>Brushed Softstreme Funnel Neck BLK XS</t>
        </is>
      </c>
      <c r="F1058" s="4" t="inlineStr">
        <is>
          <t>$128.00</t>
        </is>
      </c>
      <c r="G1058" s="4" t="inlineStr">
        <is>
          <t>$64.00</t>
        </is>
      </c>
      <c r="H1058" s="4" t="inlineStr">
        <is>
          <t>Black</t>
        </is>
      </c>
      <c r="I1058" s="4">
        <f>IMAGE("https://images.lululemon.com/is/image/lululemon/0001",1)</f>
        <v/>
      </c>
      <c r="J1058" s="4" t="inlineStr">
        <is>
          <t>XS</t>
        </is>
      </c>
      <c r="K1058" s="4" t="inlineStr">
        <is>
          <t>689/5479</t>
        </is>
      </c>
      <c r="L1058" s="4" t="inlineStr">
        <is>
          <t>Yes</t>
        </is>
      </c>
      <c r="M1058" s="4" t="inlineStr">
        <is>
          <t>Just peachy. With a brushed interior, this Softstreme™ funnel neck is the layer you'll want to wear with everything.</t>
        </is>
      </c>
      <c r="N1058" s="4" t="inlineStr">
        <is>
          <t>Brushed-Softstreme-Funnel-Neck</t>
        </is>
      </c>
      <c r="O1058" s="4" t="inlineStr">
        <is>
          <t>Pullover Sweaters</t>
        </is>
      </c>
    </row>
    <row r="1059" ht="80" customHeight="1">
      <c r="A1059" s="7">
        <f>IMAGE("https://images.lululemon.com/is/image/lululemon/LW3JKQS_0001_1?wid=320&amp;op_usm=0.8",1)</f>
        <v/>
      </c>
      <c r="B1059" s="7" t="inlineStr">
        <is>
          <t>Brushed Softstreme Funnel Neck</t>
        </is>
      </c>
      <c r="C1059" s="7" t="inlineStr">
        <is>
          <t>158030602</t>
        </is>
      </c>
      <c r="D1059" s="7" t="inlineStr">
        <is>
          <t>158030602-black</t>
        </is>
      </c>
      <c r="E1059" s="7" t="inlineStr">
        <is>
          <t>Brushed Softstreme Funnel Neck BLK XS</t>
        </is>
      </c>
      <c r="F1059" s="7" t="inlineStr">
        <is>
          <t>$128.00</t>
        </is>
      </c>
      <c r="G1059" s="7" t="inlineStr">
        <is>
          <t>$64.00</t>
        </is>
      </c>
      <c r="H1059" s="7" t="inlineStr">
        <is>
          <t>Black</t>
        </is>
      </c>
      <c r="I1059" s="7">
        <f>IMAGE("https://images.lululemon.com/is/image/lululemon/0001",1)</f>
        <v/>
      </c>
      <c r="J1059" s="7" t="inlineStr">
        <is>
          <t>S</t>
        </is>
      </c>
      <c r="K1059" s="7" t="inlineStr">
        <is>
          <t>613/5479</t>
        </is>
      </c>
      <c r="L1059" s="7" t="inlineStr">
        <is>
          <t>Yes</t>
        </is>
      </c>
      <c r="M1059" s="7" t="inlineStr">
        <is>
          <t>Just peachy. With a brushed interior, this Softstreme™ funnel neck is the layer you'll want to wear with everything.</t>
        </is>
      </c>
      <c r="N1059" s="7" t="inlineStr">
        <is>
          <t>Brushed-Softstreme-Funnel-Neck</t>
        </is>
      </c>
      <c r="O1059" s="7" t="inlineStr">
        <is>
          <t>Pullover Sweaters</t>
        </is>
      </c>
    </row>
    <row r="1060" ht="80" customHeight="1">
      <c r="A1060" s="4">
        <f>IMAGE("https://images.lululemon.com/is/image/lululemon/LW3JKQS_0001_1?wid=320&amp;op_usm=0.8",1)</f>
        <v/>
      </c>
      <c r="B1060" s="4" t="inlineStr">
        <is>
          <t>Brushed Softstreme Funnel Neck</t>
        </is>
      </c>
      <c r="C1060" s="4" t="inlineStr">
        <is>
          <t>158030597</t>
        </is>
      </c>
      <c r="D1060" s="4" t="inlineStr">
        <is>
          <t>158030597-black</t>
        </is>
      </c>
      <c r="E1060" s="4" t="inlineStr">
        <is>
          <t>Brushed Softstreme Funnel Neck BLK XS</t>
        </is>
      </c>
      <c r="F1060" s="4" t="inlineStr">
        <is>
          <t>$128.00</t>
        </is>
      </c>
      <c r="G1060" s="4" t="inlineStr">
        <is>
          <t>$64.00</t>
        </is>
      </c>
      <c r="H1060" s="4" t="inlineStr">
        <is>
          <t>Black</t>
        </is>
      </c>
      <c r="I1060" s="4">
        <f>IMAGE("https://images.lululemon.com/is/image/lululemon/0001",1)</f>
        <v/>
      </c>
      <c r="J1060" s="4" t="inlineStr">
        <is>
          <t>M</t>
        </is>
      </c>
      <c r="K1060" s="4" t="inlineStr">
        <is>
          <t>407/5479</t>
        </is>
      </c>
      <c r="L1060" s="4" t="inlineStr">
        <is>
          <t>Yes</t>
        </is>
      </c>
      <c r="M1060" s="4" t="inlineStr">
        <is>
          <t>Just peachy. With a brushed interior, this Softstreme™ funnel neck is the layer you'll want to wear with everything.</t>
        </is>
      </c>
      <c r="N1060" s="4" t="inlineStr">
        <is>
          <t>Brushed-Softstreme-Funnel-Neck</t>
        </is>
      </c>
      <c r="O1060" s="4" t="inlineStr">
        <is>
          <t>Pullover Sweaters</t>
        </is>
      </c>
    </row>
    <row r="1061" ht="80" customHeight="1">
      <c r="A1061" s="7">
        <f>IMAGE("https://images.lululemon.com/is/image/lululemon/LW3JKQS_0001_1?wid=320&amp;op_usm=0.8",1)</f>
        <v/>
      </c>
      <c r="B1061" s="7" t="inlineStr">
        <is>
          <t>Brushed Softstreme Funnel Neck</t>
        </is>
      </c>
      <c r="C1061" s="7" t="inlineStr">
        <is>
          <t>158030595</t>
        </is>
      </c>
      <c r="D1061" s="7" t="inlineStr">
        <is>
          <t>158030595-black</t>
        </is>
      </c>
      <c r="E1061" s="7" t="inlineStr">
        <is>
          <t>Brushed Softstreme Funnel Neck BLK XS</t>
        </is>
      </c>
      <c r="F1061" s="7" t="inlineStr">
        <is>
          <t>$128.00</t>
        </is>
      </c>
      <c r="G1061" s="7" t="inlineStr">
        <is>
          <t>$64.00</t>
        </is>
      </c>
      <c r="H1061" s="7" t="inlineStr">
        <is>
          <t>Black</t>
        </is>
      </c>
      <c r="I1061" s="7">
        <f>IMAGE("https://images.lululemon.com/is/image/lululemon/0001",1)</f>
        <v/>
      </c>
      <c r="J1061" s="7" t="inlineStr">
        <is>
          <t>L</t>
        </is>
      </c>
      <c r="K1061" s="7" t="inlineStr">
        <is>
          <t>244/5479</t>
        </is>
      </c>
      <c r="L1061" s="7" t="inlineStr">
        <is>
          <t>Yes</t>
        </is>
      </c>
      <c r="M1061" s="7" t="inlineStr">
        <is>
          <t>Just peachy. With a brushed interior, this Softstreme™ funnel neck is the layer you'll want to wear with everything.</t>
        </is>
      </c>
      <c r="N1061" s="7" t="inlineStr">
        <is>
          <t>Brushed-Softstreme-Funnel-Neck</t>
        </is>
      </c>
      <c r="O1061" s="7" t="inlineStr">
        <is>
          <t>Pullover Sweaters</t>
        </is>
      </c>
    </row>
    <row r="1062" ht="80" customHeight="1">
      <c r="A1062" s="4">
        <f>IMAGE("https://images.lululemon.com/is/image/lululemon/LW3JKQS_0001_1?wid=320&amp;op_usm=0.8",1)</f>
        <v/>
      </c>
      <c r="B1062" s="4" t="inlineStr">
        <is>
          <t>Brushed Softstreme Funnel Neck</t>
        </is>
      </c>
      <c r="C1062" s="4" t="inlineStr">
        <is>
          <t>158030604</t>
        </is>
      </c>
      <c r="D1062" s="4" t="inlineStr">
        <is>
          <t>158030604-black</t>
        </is>
      </c>
      <c r="E1062" s="4" t="inlineStr">
        <is>
          <t>Brushed Softstreme Funnel Neck BLK XS</t>
        </is>
      </c>
      <c r="F1062" s="4" t="inlineStr">
        <is>
          <t>$128.00</t>
        </is>
      </c>
      <c r="G1062" s="4" t="inlineStr">
        <is>
          <t>$64.00</t>
        </is>
      </c>
      <c r="H1062" s="4" t="inlineStr">
        <is>
          <t>Black</t>
        </is>
      </c>
      <c r="I1062" s="4">
        <f>IMAGE("https://images.lululemon.com/is/image/lululemon/0001",1)</f>
        <v/>
      </c>
      <c r="J1062" s="4" t="inlineStr">
        <is>
          <t>XL</t>
        </is>
      </c>
      <c r="K1062" s="4" t="inlineStr">
        <is>
          <t>170/5479</t>
        </is>
      </c>
      <c r="L1062" s="4" t="inlineStr">
        <is>
          <t>Yes</t>
        </is>
      </c>
      <c r="M1062" s="4" t="inlineStr">
        <is>
          <t>Just peachy. With a brushed interior, this Softstreme™ funnel neck is the layer you'll want to wear with everything.</t>
        </is>
      </c>
      <c r="N1062" s="4" t="inlineStr">
        <is>
          <t>Brushed-Softstreme-Funnel-Neck</t>
        </is>
      </c>
      <c r="O1062" s="4" t="inlineStr">
        <is>
          <t>Pullover Sweaters</t>
        </is>
      </c>
    </row>
    <row r="1063" ht="80" customHeight="1">
      <c r="A1063" s="7">
        <f>IMAGE("https://images.lululemon.com/is/image/lululemon/LW3JKQS_0001_1?wid=320&amp;op_usm=0.8",1)</f>
        <v/>
      </c>
      <c r="B1063" s="7" t="inlineStr">
        <is>
          <t>Brushed Softstreme Funnel Neck</t>
        </is>
      </c>
      <c r="C1063" s="7" t="inlineStr">
        <is>
          <t>158030629</t>
        </is>
      </c>
      <c r="D1063" s="7" t="inlineStr">
        <is>
          <t>158030629-lightivory</t>
        </is>
      </c>
      <c r="E1063" s="7" t="inlineStr">
        <is>
          <t>Brushed Softstreme Funnel Neck BLK XS</t>
        </is>
      </c>
      <c r="F1063" s="7" t="inlineStr">
        <is>
          <t>$128.00</t>
        </is>
      </c>
      <c r="G1063" s="7" t="inlineStr">
        <is>
          <t>$64.00</t>
        </is>
      </c>
      <c r="H1063" s="7" t="inlineStr">
        <is>
          <t>Light Ivory</t>
        </is>
      </c>
      <c r="I1063" s="7">
        <f>IMAGE("https://images.lululemon.com/is/image/lululemon/33454",1)</f>
        <v/>
      </c>
      <c r="J1063" s="7" t="inlineStr">
        <is>
          <t>XS</t>
        </is>
      </c>
      <c r="K1063" s="7" t="inlineStr">
        <is>
          <t>993/5479</t>
        </is>
      </c>
      <c r="L1063" s="7" t="inlineStr">
        <is>
          <t>Yes</t>
        </is>
      </c>
      <c r="M1063" s="7" t="inlineStr">
        <is>
          <t>Just peachy. With a brushed interior, this Softstreme™ funnel neck is the layer you'll want to wear with everything.</t>
        </is>
      </c>
      <c r="N1063" s="7" t="inlineStr">
        <is>
          <t>Brushed-Softstreme-Funnel-Neck</t>
        </is>
      </c>
      <c r="O1063" s="7" t="inlineStr">
        <is>
          <t>Pullover Sweaters</t>
        </is>
      </c>
    </row>
    <row r="1064" ht="80" customHeight="1">
      <c r="A1064" s="4">
        <f>IMAGE("https://images.lululemon.com/is/image/lululemon/LW3JKQS_0001_1?wid=320&amp;op_usm=0.8",1)</f>
        <v/>
      </c>
      <c r="B1064" s="4" t="inlineStr">
        <is>
          <t>Brushed Softstreme Funnel Neck</t>
        </is>
      </c>
      <c r="C1064" s="4" t="inlineStr">
        <is>
          <t>158030621</t>
        </is>
      </c>
      <c r="D1064" s="4" t="inlineStr">
        <is>
          <t>158030621-lightivory</t>
        </is>
      </c>
      <c r="E1064" s="4" t="inlineStr">
        <is>
          <t>Brushed Softstreme Funnel Neck BLK XS</t>
        </is>
      </c>
      <c r="F1064" s="4" t="inlineStr">
        <is>
          <t>$128.00</t>
        </is>
      </c>
      <c r="G1064" s="4" t="inlineStr">
        <is>
          <t>$64.00</t>
        </is>
      </c>
      <c r="H1064" s="4" t="inlineStr">
        <is>
          <t>Light Ivory</t>
        </is>
      </c>
      <c r="I1064" s="4">
        <f>IMAGE("https://images.lululemon.com/is/image/lululemon/33454",1)</f>
        <v/>
      </c>
      <c r="J1064" s="4" t="inlineStr">
        <is>
          <t>S</t>
        </is>
      </c>
      <c r="K1064" s="4" t="inlineStr">
        <is>
          <t>951/5479</t>
        </is>
      </c>
      <c r="L1064" s="4" t="inlineStr">
        <is>
          <t>Yes</t>
        </is>
      </c>
      <c r="M1064" s="4" t="inlineStr">
        <is>
          <t>Just peachy. With a brushed interior, this Softstreme™ funnel neck is the layer you'll want to wear with everything.</t>
        </is>
      </c>
      <c r="N1064" s="4" t="inlineStr">
        <is>
          <t>Brushed-Softstreme-Funnel-Neck</t>
        </is>
      </c>
      <c r="O1064" s="4" t="inlineStr">
        <is>
          <t>Pullover Sweaters</t>
        </is>
      </c>
    </row>
    <row r="1065" ht="80" customHeight="1">
      <c r="A1065" s="7">
        <f>IMAGE("https://images.lululemon.com/is/image/lululemon/LW3JKQS_0001_1?wid=320&amp;op_usm=0.8",1)</f>
        <v/>
      </c>
      <c r="B1065" s="7" t="inlineStr">
        <is>
          <t>Brushed Softstreme Funnel Neck</t>
        </is>
      </c>
      <c r="C1065" s="7" t="inlineStr">
        <is>
          <t>158030620</t>
        </is>
      </c>
      <c r="D1065" s="7" t="inlineStr">
        <is>
          <t>158030620-lightivory</t>
        </is>
      </c>
      <c r="E1065" s="7" t="inlineStr">
        <is>
          <t>Brushed Softstreme Funnel Neck BLK XS</t>
        </is>
      </c>
      <c r="F1065" s="7" t="inlineStr">
        <is>
          <t>$128.00</t>
        </is>
      </c>
      <c r="G1065" s="7" t="inlineStr">
        <is>
          <t>$64.00</t>
        </is>
      </c>
      <c r="H1065" s="7" t="inlineStr">
        <is>
          <t>Light Ivory</t>
        </is>
      </c>
      <c r="I1065" s="7">
        <f>IMAGE("https://images.lululemon.com/is/image/lululemon/33454",1)</f>
        <v/>
      </c>
      <c r="J1065" s="7" t="inlineStr">
        <is>
          <t>M</t>
        </is>
      </c>
      <c r="K1065" s="7" t="inlineStr">
        <is>
          <t>690/5479</t>
        </is>
      </c>
      <c r="L1065" s="7" t="inlineStr">
        <is>
          <t>Yes</t>
        </is>
      </c>
      <c r="M1065" s="7" t="inlineStr">
        <is>
          <t>Just peachy. With a brushed interior, this Softstreme™ funnel neck is the layer you'll want to wear with everything.</t>
        </is>
      </c>
      <c r="N1065" s="7" t="inlineStr">
        <is>
          <t>Brushed-Softstreme-Funnel-Neck</t>
        </is>
      </c>
      <c r="O1065" s="7" t="inlineStr">
        <is>
          <t>Pullover Sweaters</t>
        </is>
      </c>
    </row>
    <row r="1066" ht="80" customHeight="1">
      <c r="A1066" s="4">
        <f>IMAGE("https://images.lululemon.com/is/image/lululemon/LW3JKQS_0001_1?wid=320&amp;op_usm=0.8",1)</f>
        <v/>
      </c>
      <c r="B1066" s="4" t="inlineStr">
        <is>
          <t>Brushed Softstreme Funnel Neck</t>
        </is>
      </c>
      <c r="C1066" s="4" t="inlineStr">
        <is>
          <t>158030615</t>
        </is>
      </c>
      <c r="D1066" s="4" t="inlineStr">
        <is>
          <t>158030615-lightivory</t>
        </is>
      </c>
      <c r="E1066" s="4" t="inlineStr">
        <is>
          <t>Brushed Softstreme Funnel Neck BLK XS</t>
        </is>
      </c>
      <c r="F1066" s="4" t="inlineStr">
        <is>
          <t>$128.00</t>
        </is>
      </c>
      <c r="G1066" s="4" t="inlineStr">
        <is>
          <t>$64.00</t>
        </is>
      </c>
      <c r="H1066" s="4" t="inlineStr">
        <is>
          <t>Light Ivory</t>
        </is>
      </c>
      <c r="I1066" s="4">
        <f>IMAGE("https://images.lululemon.com/is/image/lululemon/33454",1)</f>
        <v/>
      </c>
      <c r="J1066" s="4" t="inlineStr">
        <is>
          <t>L</t>
        </is>
      </c>
      <c r="K1066" s="4" t="inlineStr">
        <is>
          <t>435/5479</t>
        </is>
      </c>
      <c r="L1066" s="4" t="inlineStr">
        <is>
          <t>Yes</t>
        </is>
      </c>
      <c r="M1066" s="4" t="inlineStr">
        <is>
          <t>Just peachy. With a brushed interior, this Softstreme™ funnel neck is the layer you'll want to wear with everything.</t>
        </is>
      </c>
      <c r="N1066" s="4" t="inlineStr">
        <is>
          <t>Brushed-Softstreme-Funnel-Neck</t>
        </is>
      </c>
      <c r="O1066" s="4" t="inlineStr">
        <is>
          <t>Pullover Sweaters</t>
        </is>
      </c>
    </row>
    <row r="1067" ht="80" customHeight="1">
      <c r="A1067" s="5">
        <f>IMAGE("https://images.lululemon.com/is/image/lululemon/LW3JKQS_0001_1?wid=320&amp;op_usm=0.8",1)</f>
        <v/>
      </c>
      <c r="B1067" s="5" t="inlineStr">
        <is>
          <t>Brushed Softstreme Funnel Neck</t>
        </is>
      </c>
      <c r="C1067" s="5" t="inlineStr">
        <is>
          <t>158030626</t>
        </is>
      </c>
      <c r="D1067" s="5" t="inlineStr">
        <is>
          <t>158030626-lightivory</t>
        </is>
      </c>
      <c r="E1067" s="5" t="inlineStr">
        <is>
          <t>Brushed Softstreme Funnel Neck BLK XS</t>
        </is>
      </c>
      <c r="F1067" s="5" t="inlineStr">
        <is>
          <t>$128.00</t>
        </is>
      </c>
      <c r="G1067" s="5" t="inlineStr">
        <is>
          <t>$64.00</t>
        </is>
      </c>
      <c r="H1067" s="5" t="inlineStr">
        <is>
          <t>Light Ivory</t>
        </is>
      </c>
      <c r="I1067" s="5">
        <f>IMAGE("https://images.lululemon.com/is/image/lululemon/33454",1)</f>
        <v/>
      </c>
      <c r="J1067" s="5" t="inlineStr">
        <is>
          <t>XL</t>
        </is>
      </c>
      <c r="K1067" s="5" t="inlineStr">
        <is>
          <t>287/5479</t>
        </is>
      </c>
      <c r="L1067" s="5" t="inlineStr">
        <is>
          <t>Yes</t>
        </is>
      </c>
      <c r="M1067" s="5" t="inlineStr">
        <is>
          <t>Just peachy. With a brushed interior, this Softstreme™ funnel neck is the layer you'll want to wear with everything.</t>
        </is>
      </c>
      <c r="N1067" s="5" t="inlineStr">
        <is>
          <t>Brushed-Softstreme-Funnel-Neck</t>
        </is>
      </c>
      <c r="O1067" s="5" t="inlineStr">
        <is>
          <t>Pullover Sweaters</t>
        </is>
      </c>
    </row>
    <row r="1068" ht="80" customHeight="1">
      <c r="A1068" s="4">
        <f>IMAGE("https://images.lululemon.com/is/image/lululemon/LW4CMES_0001_1?wid=320&amp;op_usm=0.8",1)</f>
        <v/>
      </c>
      <c r="B1068" s="4" t="inlineStr">
        <is>
          <t>Insulated Back-Vent Running Jacket</t>
        </is>
      </c>
      <c r="C1068" s="4" t="inlineStr">
        <is>
          <t>158119789</t>
        </is>
      </c>
      <c r="D1068" s="4" t="inlineStr">
        <is>
          <t>158119789-black</t>
        </is>
      </c>
      <c r="E1068" s="4" t="inlineStr">
        <is>
          <t>Insulated Back-Vent Running Jacket BLK XXS</t>
        </is>
      </c>
      <c r="F1068" s="4" t="inlineStr">
        <is>
          <t>$198.00</t>
        </is>
      </c>
      <c r="G1068" s="4" t="inlineStr">
        <is>
          <t>$99.00</t>
        </is>
      </c>
      <c r="H1068" s="4" t="inlineStr">
        <is>
          <t>Black</t>
        </is>
      </c>
      <c r="I1068" s="4">
        <f>IMAGE("https://images.lululemon.com/is/image/lululemon/0001",1)</f>
        <v/>
      </c>
      <c r="J1068" s="4" t="inlineStr">
        <is>
          <t>XXS</t>
        </is>
      </c>
      <c r="K1068" s="4" t="inlineStr">
        <is>
          <t>3/271</t>
        </is>
      </c>
      <c r="L1068" s="4" t="inlineStr">
        <is>
          <t>Yes</t>
        </is>
      </c>
      <c r="M1068" s="4" t="inlineStr">
        <is>
          <t>When your pace is as brisk as the weather. This running jacket combines lightweight insulation with integrated ventilation for warmth without overheating.</t>
        </is>
      </c>
      <c r="N1068" s="4" t="inlineStr">
        <is>
          <t>Insulated-Back-Vent-Running-Jacket</t>
        </is>
      </c>
      <c r="O1068" s="4" t="inlineStr">
        <is>
          <t>Athletic Jackets</t>
        </is>
      </c>
    </row>
    <row r="1069" ht="80" customHeight="1">
      <c r="A1069" s="7">
        <f>IMAGE("https://images.lululemon.com/is/image/lululemon/LW4CMES_0001_1?wid=320&amp;op_usm=0.8",1)</f>
        <v/>
      </c>
      <c r="B1069" s="7" t="inlineStr">
        <is>
          <t>Insulated Back-Vent Running Jacket</t>
        </is>
      </c>
      <c r="C1069" s="7" t="inlineStr">
        <is>
          <t>158119759</t>
        </is>
      </c>
      <c r="D1069" s="7" t="inlineStr">
        <is>
          <t>158119759-black</t>
        </is>
      </c>
      <c r="E1069" s="7" t="inlineStr">
        <is>
          <t>Insulated Back-Vent Running Jacket BLK XXS</t>
        </is>
      </c>
      <c r="F1069" s="7" t="inlineStr">
        <is>
          <t>$198.00</t>
        </is>
      </c>
      <c r="G1069" s="7" t="inlineStr">
        <is>
          <t>$99.00</t>
        </is>
      </c>
      <c r="H1069" s="7" t="inlineStr">
        <is>
          <t>Black</t>
        </is>
      </c>
      <c r="I1069" s="7">
        <f>IMAGE("https://images.lululemon.com/is/image/lululemon/0001",1)</f>
        <v/>
      </c>
      <c r="J1069" s="7" t="inlineStr">
        <is>
          <t>XS</t>
        </is>
      </c>
      <c r="K1069" s="7" t="inlineStr">
        <is>
          <t>26/271</t>
        </is>
      </c>
      <c r="L1069" s="7" t="inlineStr">
        <is>
          <t>Yes</t>
        </is>
      </c>
      <c r="M1069" s="7" t="inlineStr">
        <is>
          <t>When your pace is as brisk as the weather. This running jacket combines lightweight insulation with integrated ventilation for warmth without overheating.</t>
        </is>
      </c>
      <c r="N1069" s="7" t="inlineStr">
        <is>
          <t>Insulated-Back-Vent-Running-Jacket</t>
        </is>
      </c>
      <c r="O1069" s="7" t="inlineStr">
        <is>
          <t>Athletic Jackets</t>
        </is>
      </c>
    </row>
    <row r="1070" ht="80" customHeight="1">
      <c r="A1070" s="4">
        <f>IMAGE("https://images.lululemon.com/is/image/lululemon/LW4CMES_0001_1?wid=320&amp;op_usm=0.8",1)</f>
        <v/>
      </c>
      <c r="B1070" s="4" t="inlineStr">
        <is>
          <t>Insulated Back-Vent Running Jacket</t>
        </is>
      </c>
      <c r="C1070" s="4" t="inlineStr">
        <is>
          <t>158119742</t>
        </is>
      </c>
      <c r="D1070" s="4" t="inlineStr">
        <is>
          <t>158119742-black</t>
        </is>
      </c>
      <c r="E1070" s="4" t="inlineStr">
        <is>
          <t>Insulated Back-Vent Running Jacket BLK XXS</t>
        </is>
      </c>
      <c r="F1070" s="4" t="inlineStr">
        <is>
          <t>$198.00</t>
        </is>
      </c>
      <c r="G1070" s="4" t="inlineStr">
        <is>
          <t>$99.00</t>
        </is>
      </c>
      <c r="H1070" s="4" t="inlineStr">
        <is>
          <t>Black</t>
        </is>
      </c>
      <c r="I1070" s="4">
        <f>IMAGE("https://images.lululemon.com/is/image/lululemon/0001",1)</f>
        <v/>
      </c>
      <c r="J1070" s="4" t="inlineStr">
        <is>
          <t>S</t>
        </is>
      </c>
      <c r="K1070" s="4" t="inlineStr">
        <is>
          <t>68/271</t>
        </is>
      </c>
      <c r="L1070" s="4" t="inlineStr">
        <is>
          <t>Yes</t>
        </is>
      </c>
      <c r="M1070" s="4" t="inlineStr">
        <is>
          <t>When your pace is as brisk as the weather. This running jacket combines lightweight insulation with integrated ventilation for warmth without overheating.</t>
        </is>
      </c>
      <c r="N1070" s="4" t="inlineStr">
        <is>
          <t>Insulated-Back-Vent-Running-Jacket</t>
        </is>
      </c>
      <c r="O1070" s="4" t="inlineStr">
        <is>
          <t>Athletic Jackets</t>
        </is>
      </c>
    </row>
    <row r="1071" ht="80" customHeight="1">
      <c r="A1071" s="7">
        <f>IMAGE("https://images.lululemon.com/is/image/lululemon/LW4CMES_0001_1?wid=320&amp;op_usm=0.8",1)</f>
        <v/>
      </c>
      <c r="B1071" s="7" t="inlineStr">
        <is>
          <t>Insulated Back-Vent Running Jacket</t>
        </is>
      </c>
      <c r="C1071" s="7" t="inlineStr">
        <is>
          <t>158119736</t>
        </is>
      </c>
      <c r="D1071" s="7" t="inlineStr">
        <is>
          <t>158119736-black</t>
        </is>
      </c>
      <c r="E1071" s="7" t="inlineStr">
        <is>
          <t>Insulated Back-Vent Running Jacket BLK XXS</t>
        </is>
      </c>
      <c r="F1071" s="7" t="inlineStr">
        <is>
          <t>$198.00</t>
        </is>
      </c>
      <c r="G1071" s="7" t="inlineStr">
        <is>
          <t>$99.00</t>
        </is>
      </c>
      <c r="H1071" s="7" t="inlineStr">
        <is>
          <t>Black</t>
        </is>
      </c>
      <c r="I1071" s="7">
        <f>IMAGE("https://images.lululemon.com/is/image/lululemon/0001",1)</f>
        <v/>
      </c>
      <c r="J1071" s="7" t="inlineStr">
        <is>
          <t>M</t>
        </is>
      </c>
      <c r="K1071" s="7" t="inlineStr">
        <is>
          <t>83/271</t>
        </is>
      </c>
      <c r="L1071" s="7" t="inlineStr">
        <is>
          <t>Yes</t>
        </is>
      </c>
      <c r="M1071" s="7" t="inlineStr">
        <is>
          <t>When your pace is as brisk as the weather. This running jacket combines lightweight insulation with integrated ventilation for warmth without overheating.</t>
        </is>
      </c>
      <c r="N1071" s="7" t="inlineStr">
        <is>
          <t>Insulated-Back-Vent-Running-Jacket</t>
        </is>
      </c>
      <c r="O1071" s="7" t="inlineStr">
        <is>
          <t>Athletic Jackets</t>
        </is>
      </c>
    </row>
    <row r="1072" ht="80" customHeight="1">
      <c r="A1072" s="4">
        <f>IMAGE("https://images.lululemon.com/is/image/lululemon/LW4CMES_0001_1?wid=320&amp;op_usm=0.8",1)</f>
        <v/>
      </c>
      <c r="B1072" s="4" t="inlineStr">
        <is>
          <t>Insulated Back-Vent Running Jacket</t>
        </is>
      </c>
      <c r="C1072" s="4" t="inlineStr">
        <is>
          <t>158119728</t>
        </is>
      </c>
      <c r="D1072" s="4" t="inlineStr">
        <is>
          <t>158119728-black</t>
        </is>
      </c>
      <c r="E1072" s="4" t="inlineStr">
        <is>
          <t>Insulated Back-Vent Running Jacket BLK XXS</t>
        </is>
      </c>
      <c r="F1072" s="4" t="inlineStr">
        <is>
          <t>$198.00</t>
        </is>
      </c>
      <c r="G1072" s="4" t="inlineStr">
        <is>
          <t>$99.00</t>
        </is>
      </c>
      <c r="H1072" s="4" t="inlineStr">
        <is>
          <t>Black</t>
        </is>
      </c>
      <c r="I1072" s="4">
        <f>IMAGE("https://images.lululemon.com/is/image/lululemon/0001",1)</f>
        <v/>
      </c>
      <c r="J1072" s="4" t="inlineStr">
        <is>
          <t>L</t>
        </is>
      </c>
      <c r="K1072" s="4" t="inlineStr">
        <is>
          <t>63/271</t>
        </is>
      </c>
      <c r="L1072" s="4" t="inlineStr">
        <is>
          <t>Yes</t>
        </is>
      </c>
      <c r="M1072" s="4" t="inlineStr">
        <is>
          <t>When your pace is as brisk as the weather. This running jacket combines lightweight insulation with integrated ventilation for warmth without overheating.</t>
        </is>
      </c>
      <c r="N1072" s="4" t="inlineStr">
        <is>
          <t>Insulated-Back-Vent-Running-Jacket</t>
        </is>
      </c>
      <c r="O1072" s="4" t="inlineStr">
        <is>
          <t>Athletic Jackets</t>
        </is>
      </c>
    </row>
    <row r="1073" ht="80" customHeight="1">
      <c r="A1073" s="5">
        <f>IMAGE("https://images.lululemon.com/is/image/lululemon/LW4CMES_0001_1?wid=320&amp;op_usm=0.8",1)</f>
        <v/>
      </c>
      <c r="B1073" s="5" t="inlineStr">
        <is>
          <t>Insulated Back-Vent Running Jacket</t>
        </is>
      </c>
      <c r="C1073" s="5" t="inlineStr">
        <is>
          <t>158119751</t>
        </is>
      </c>
      <c r="D1073" s="5" t="inlineStr">
        <is>
          <t>158119751-black</t>
        </is>
      </c>
      <c r="E1073" s="5" t="inlineStr">
        <is>
          <t>Insulated Back-Vent Running Jacket BLK XXS</t>
        </is>
      </c>
      <c r="F1073" s="5" t="inlineStr">
        <is>
          <t>$198.00</t>
        </is>
      </c>
      <c r="G1073" s="5" t="inlineStr">
        <is>
          <t>$99.00</t>
        </is>
      </c>
      <c r="H1073" s="5" t="inlineStr">
        <is>
          <t>Black</t>
        </is>
      </c>
      <c r="I1073" s="5">
        <f>IMAGE("https://images.lululemon.com/is/image/lululemon/0001",1)</f>
        <v/>
      </c>
      <c r="J1073" s="5" t="inlineStr">
        <is>
          <t>XL</t>
        </is>
      </c>
      <c r="K1073" s="5" t="inlineStr">
        <is>
          <t>28/271</t>
        </is>
      </c>
      <c r="L1073" s="5" t="inlineStr">
        <is>
          <t>Yes</t>
        </is>
      </c>
      <c r="M1073" s="5" t="inlineStr">
        <is>
          <t>When your pace is as brisk as the weather. This running jacket combines lightweight insulation with integrated ventilation for warmth without overheating.</t>
        </is>
      </c>
      <c r="N1073" s="5" t="inlineStr">
        <is>
          <t>Insulated-Back-Vent-Running-Jacket</t>
        </is>
      </c>
      <c r="O1073" s="5" t="inlineStr">
        <is>
          <t>Athletic Jackets</t>
        </is>
      </c>
    </row>
    <row r="1074" ht="80" customHeight="1">
      <c r="A1074" s="4">
        <f>IMAGE("https://images.lululemon.com/is/image/lululemon/LW8ALXS_0002_1?wid=320&amp;op_usm=0.8",1)</f>
        <v/>
      </c>
      <c r="B1074" s="4" t="inlineStr">
        <is>
          <t>High-Rise Pleated Tennis Skirt</t>
        </is>
      </c>
      <c r="C1074" s="4" t="inlineStr">
        <is>
          <t>153100917</t>
        </is>
      </c>
      <c r="D1074" s="4" t="inlineStr">
        <is>
          <t>153100917-black</t>
        </is>
      </c>
      <c r="E1074" s="4" t="inlineStr">
        <is>
          <t>High-Rise Pleated Tennis Skirt BLK 2</t>
        </is>
      </c>
      <c r="F1074" s="4" t="inlineStr">
        <is>
          <t>$68.00</t>
        </is>
      </c>
      <c r="G1074" s="4" t="inlineStr">
        <is>
          <t>$34.00</t>
        </is>
      </c>
      <c r="H1074" s="4" t="inlineStr">
        <is>
          <t>Black</t>
        </is>
      </c>
      <c r="I1074" s="4">
        <f>IMAGE("https://images.lululemon.com/is/image/lululemon/0001",1)</f>
        <v/>
      </c>
      <c r="J1074" s="4" t="inlineStr">
        <is>
          <t>2</t>
        </is>
      </c>
      <c r="K1074" s="4" t="inlineStr">
        <is>
          <t>99/1232</t>
        </is>
      </c>
      <c r="L1074" s="4" t="inlineStr">
        <is>
          <t>Yes</t>
        </is>
      </c>
      <c r="M1074" s="4" t="inlineStr">
        <is>
          <t>Game on. The lightweight, quick-drying fabric on this pleated tennis skirt will keep you cool and comfortable from first serve to match point.</t>
        </is>
      </c>
      <c r="N1074" s="4" t="inlineStr">
        <is>
          <t>High-Rise-Pleated-Tennis-Skirt</t>
        </is>
      </c>
      <c r="O1074" s="4" t="inlineStr">
        <is>
          <t>Skorts, Athletic Skirts</t>
        </is>
      </c>
    </row>
    <row r="1075" ht="80" customHeight="1">
      <c r="A1075" s="7">
        <f>IMAGE("https://images.lululemon.com/is/image/lululemon/LW8ALXS_0002_1?wid=320&amp;op_usm=0.8",1)</f>
        <v/>
      </c>
      <c r="B1075" s="7" t="inlineStr">
        <is>
          <t>High-Rise Pleated Tennis Skirt</t>
        </is>
      </c>
      <c r="C1075" s="7" t="inlineStr">
        <is>
          <t>153100937</t>
        </is>
      </c>
      <c r="D1075" s="7" t="inlineStr">
        <is>
          <t>153100937-black</t>
        </is>
      </c>
      <c r="E1075" s="7" t="inlineStr">
        <is>
          <t>High-Rise Pleated Tennis Skirt BLK 2</t>
        </is>
      </c>
      <c r="F1075" s="7" t="inlineStr">
        <is>
          <t>$68.00</t>
        </is>
      </c>
      <c r="G1075" s="7" t="inlineStr">
        <is>
          <t>$34.00</t>
        </is>
      </c>
      <c r="H1075" s="7" t="inlineStr">
        <is>
          <t>Black</t>
        </is>
      </c>
      <c r="I1075" s="7">
        <f>IMAGE("https://images.lululemon.com/is/image/lululemon/0001",1)</f>
        <v/>
      </c>
      <c r="J1075" s="7" t="inlineStr">
        <is>
          <t>4</t>
        </is>
      </c>
      <c r="K1075" s="7" t="inlineStr">
        <is>
          <t>38/1232</t>
        </is>
      </c>
      <c r="L1075" s="7" t="inlineStr">
        <is>
          <t>Yes</t>
        </is>
      </c>
      <c r="M1075" s="7" t="inlineStr">
        <is>
          <t>Game on. The lightweight, quick-drying fabric on this pleated tennis skirt will keep you cool and comfortable from first serve to match point.</t>
        </is>
      </c>
      <c r="N1075" s="7" t="inlineStr">
        <is>
          <t>High-Rise-Pleated-Tennis-Skirt</t>
        </is>
      </c>
      <c r="O1075" s="7" t="inlineStr">
        <is>
          <t>Skorts, Athletic Skirts</t>
        </is>
      </c>
    </row>
    <row r="1076" ht="80" customHeight="1">
      <c r="A1076" s="4">
        <f>IMAGE("https://images.lululemon.com/is/image/lululemon/LW8ALXS_0002_1?wid=320&amp;op_usm=0.8",1)</f>
        <v/>
      </c>
      <c r="B1076" s="4" t="inlineStr">
        <is>
          <t>High-Rise Pleated Tennis Skirt</t>
        </is>
      </c>
      <c r="C1076" s="4" t="inlineStr">
        <is>
          <t>153100942</t>
        </is>
      </c>
      <c r="D1076" s="4" t="inlineStr">
        <is>
          <t>153100942-black</t>
        </is>
      </c>
      <c r="E1076" s="4" t="inlineStr">
        <is>
          <t>High-Rise Pleated Tennis Skirt BLK 2</t>
        </is>
      </c>
      <c r="F1076" s="4" t="inlineStr">
        <is>
          <t>$68.00</t>
        </is>
      </c>
      <c r="G1076" s="4" t="inlineStr">
        <is>
          <t>$34.00</t>
        </is>
      </c>
      <c r="H1076" s="4" t="inlineStr">
        <is>
          <t>Black</t>
        </is>
      </c>
      <c r="I1076" s="4">
        <f>IMAGE("https://images.lululemon.com/is/image/lululemon/0001",1)</f>
        <v/>
      </c>
      <c r="J1076" s="4" t="inlineStr">
        <is>
          <t>6</t>
        </is>
      </c>
      <c r="K1076" s="4" t="inlineStr">
        <is>
          <t>22/1232</t>
        </is>
      </c>
      <c r="L1076" s="4" t="inlineStr">
        <is>
          <t>Yes</t>
        </is>
      </c>
      <c r="M1076" s="4" t="inlineStr">
        <is>
          <t>Game on. The lightweight, quick-drying fabric on this pleated tennis skirt will keep you cool and comfortable from first serve to match point.</t>
        </is>
      </c>
      <c r="N1076" s="4" t="inlineStr">
        <is>
          <t>High-Rise-Pleated-Tennis-Skirt</t>
        </is>
      </c>
      <c r="O1076" s="4" t="inlineStr">
        <is>
          <t>Skorts, Athletic Skirts</t>
        </is>
      </c>
    </row>
    <row r="1077" ht="80" customHeight="1">
      <c r="A1077" s="7">
        <f>IMAGE("https://images.lululemon.com/is/image/lululemon/LW8ALXS_0002_1?wid=320&amp;op_usm=0.8",1)</f>
        <v/>
      </c>
      <c r="B1077" s="7" t="inlineStr">
        <is>
          <t>High-Rise Pleated Tennis Skirt</t>
        </is>
      </c>
      <c r="C1077" s="7" t="inlineStr">
        <is>
          <t>153100895</t>
        </is>
      </c>
      <c r="D1077" s="7" t="inlineStr">
        <is>
          <t>153100895-black</t>
        </is>
      </c>
      <c r="E1077" s="7" t="inlineStr">
        <is>
          <t>High-Rise Pleated Tennis Skirt BLK 2</t>
        </is>
      </c>
      <c r="F1077" s="7" t="inlineStr">
        <is>
          <t>$68.00</t>
        </is>
      </c>
      <c r="G1077" s="7" t="inlineStr">
        <is>
          <t>$34.00</t>
        </is>
      </c>
      <c r="H1077" s="7" t="inlineStr">
        <is>
          <t>Black</t>
        </is>
      </c>
      <c r="I1077" s="7">
        <f>IMAGE("https://images.lululemon.com/is/image/lululemon/0001",1)</f>
        <v/>
      </c>
      <c r="J1077" s="7" t="inlineStr">
        <is>
          <t>10</t>
        </is>
      </c>
      <c r="K1077" s="7" t="inlineStr">
        <is>
          <t>4/1232</t>
        </is>
      </c>
      <c r="L1077" s="7" t="inlineStr">
        <is>
          <t>Yes</t>
        </is>
      </c>
      <c r="M1077" s="7" t="inlineStr">
        <is>
          <t>Game on. The lightweight, quick-drying fabric on this pleated tennis skirt will keep you cool and comfortable from first serve to match point.</t>
        </is>
      </c>
      <c r="N1077" s="7" t="inlineStr">
        <is>
          <t>High-Rise-Pleated-Tennis-Skirt</t>
        </is>
      </c>
      <c r="O1077" s="7" t="inlineStr">
        <is>
          <t>Skorts, Athletic Skirts</t>
        </is>
      </c>
    </row>
    <row r="1078" ht="80" customHeight="1">
      <c r="A1078" s="4">
        <f>IMAGE("https://images.lululemon.com/is/image/lululemon/LW8ALXS_0002_1?wid=320&amp;op_usm=0.8",1)</f>
        <v/>
      </c>
      <c r="B1078" s="4" t="inlineStr">
        <is>
          <t>High-Rise Pleated Tennis Skirt</t>
        </is>
      </c>
      <c r="C1078" s="4" t="inlineStr">
        <is>
          <t>153100964</t>
        </is>
      </c>
      <c r="D1078" s="4" t="inlineStr">
        <is>
          <t>153100964-white</t>
        </is>
      </c>
      <c r="E1078" s="4" t="inlineStr">
        <is>
          <t>High-Rise Pleated Tennis Skirt BLK 2</t>
        </is>
      </c>
      <c r="F1078" s="4" t="inlineStr">
        <is>
          <t>$68.00</t>
        </is>
      </c>
      <c r="G1078" s="4" t="inlineStr">
        <is>
          <t>$34.00</t>
        </is>
      </c>
      <c r="H1078" s="4" t="inlineStr">
        <is>
          <t>White</t>
        </is>
      </c>
      <c r="I1078" s="4">
        <f>IMAGE("https://images.lululemon.com/is/image/lululemon/0002",1)</f>
        <v/>
      </c>
      <c r="J1078" s="4" t="inlineStr">
        <is>
          <t>2</t>
        </is>
      </c>
      <c r="K1078" s="4" t="inlineStr">
        <is>
          <t>269/1232</t>
        </is>
      </c>
      <c r="L1078" s="4" t="inlineStr">
        <is>
          <t>Yes</t>
        </is>
      </c>
      <c r="M1078" s="4" t="inlineStr">
        <is>
          <t>Game on. The lightweight, quick-drying fabric on this pleated tennis skirt will keep you cool and comfortable from first serve to match point.</t>
        </is>
      </c>
      <c r="N1078" s="4" t="inlineStr">
        <is>
          <t>High-Rise-Pleated-Tennis-Skirt</t>
        </is>
      </c>
      <c r="O1078" s="4" t="inlineStr">
        <is>
          <t>Skorts, Athletic Skirts</t>
        </is>
      </c>
    </row>
    <row r="1079" ht="80" customHeight="1">
      <c r="A1079" s="7">
        <f>IMAGE("https://images.lululemon.com/is/image/lululemon/LW8ALXS_0002_1?wid=320&amp;op_usm=0.8",1)</f>
        <v/>
      </c>
      <c r="B1079" s="7" t="inlineStr">
        <is>
          <t>High-Rise Pleated Tennis Skirt</t>
        </is>
      </c>
      <c r="C1079" s="7" t="inlineStr">
        <is>
          <t>153100975</t>
        </is>
      </c>
      <c r="D1079" s="7" t="inlineStr">
        <is>
          <t>153100975-white</t>
        </is>
      </c>
      <c r="E1079" s="7" t="inlineStr">
        <is>
          <t>High-Rise Pleated Tennis Skirt BLK 2</t>
        </is>
      </c>
      <c r="F1079" s="7" t="inlineStr">
        <is>
          <t>$68.00</t>
        </is>
      </c>
      <c r="G1079" s="7" t="inlineStr">
        <is>
          <t>$34.00</t>
        </is>
      </c>
      <c r="H1079" s="7" t="inlineStr">
        <is>
          <t>White</t>
        </is>
      </c>
      <c r="I1079" s="7">
        <f>IMAGE("https://images.lululemon.com/is/image/lululemon/0002",1)</f>
        <v/>
      </c>
      <c r="J1079" s="7" t="inlineStr">
        <is>
          <t>4</t>
        </is>
      </c>
      <c r="K1079" s="7" t="inlineStr">
        <is>
          <t>281/1232</t>
        </is>
      </c>
      <c r="L1079" s="7" t="inlineStr">
        <is>
          <t>Yes</t>
        </is>
      </c>
      <c r="M1079" s="7" t="inlineStr">
        <is>
          <t>Game on. The lightweight, quick-drying fabric on this pleated tennis skirt will keep you cool and comfortable from first serve to match point.</t>
        </is>
      </c>
      <c r="N1079" s="7" t="inlineStr">
        <is>
          <t>High-Rise-Pleated-Tennis-Skirt</t>
        </is>
      </c>
      <c r="O1079" s="7" t="inlineStr">
        <is>
          <t>Skorts, Athletic Skirts</t>
        </is>
      </c>
    </row>
    <row r="1080" ht="80" customHeight="1">
      <c r="A1080" s="4">
        <f>IMAGE("https://images.lululemon.com/is/image/lululemon/LW8ALXS_0002_1?wid=320&amp;op_usm=0.8",1)</f>
        <v/>
      </c>
      <c r="B1080" s="4" t="inlineStr">
        <is>
          <t>High-Rise Pleated Tennis Skirt</t>
        </is>
      </c>
      <c r="C1080" s="4" t="inlineStr">
        <is>
          <t>153100977</t>
        </is>
      </c>
      <c r="D1080" s="4" t="inlineStr">
        <is>
          <t>153100977-white</t>
        </is>
      </c>
      <c r="E1080" s="4" t="inlineStr">
        <is>
          <t>High-Rise Pleated Tennis Skirt BLK 2</t>
        </is>
      </c>
      <c r="F1080" s="4" t="inlineStr">
        <is>
          <t>$68.00</t>
        </is>
      </c>
      <c r="G1080" s="4" t="inlineStr">
        <is>
          <t>$34.00</t>
        </is>
      </c>
      <c r="H1080" s="4" t="inlineStr">
        <is>
          <t>White</t>
        </is>
      </c>
      <c r="I1080" s="4">
        <f>IMAGE("https://images.lululemon.com/is/image/lululemon/0002",1)</f>
        <v/>
      </c>
      <c r="J1080" s="4" t="inlineStr">
        <is>
          <t>6</t>
        </is>
      </c>
      <c r="K1080" s="4" t="inlineStr">
        <is>
          <t>278/1232</t>
        </is>
      </c>
      <c r="L1080" s="4" t="inlineStr">
        <is>
          <t>Yes</t>
        </is>
      </c>
      <c r="M1080" s="4" t="inlineStr">
        <is>
          <t>Game on. The lightweight, quick-drying fabric on this pleated tennis skirt will keep you cool and comfortable from first serve to match point.</t>
        </is>
      </c>
      <c r="N1080" s="4" t="inlineStr">
        <is>
          <t>High-Rise-Pleated-Tennis-Skirt</t>
        </is>
      </c>
      <c r="O1080" s="4" t="inlineStr">
        <is>
          <t>Skorts, Athletic Skirts</t>
        </is>
      </c>
    </row>
    <row r="1081" ht="80" customHeight="1">
      <c r="A1081" s="7">
        <f>IMAGE("https://images.lululemon.com/is/image/lululemon/LW8ALXS_0002_1?wid=320&amp;op_usm=0.8",1)</f>
        <v/>
      </c>
      <c r="B1081" s="7" t="inlineStr">
        <is>
          <t>High-Rise Pleated Tennis Skirt</t>
        </is>
      </c>
      <c r="C1081" s="7" t="inlineStr">
        <is>
          <t>153100978</t>
        </is>
      </c>
      <c r="D1081" s="7" t="inlineStr">
        <is>
          <t>153100978-white</t>
        </is>
      </c>
      <c r="E1081" s="7" t="inlineStr">
        <is>
          <t>High-Rise Pleated Tennis Skirt BLK 2</t>
        </is>
      </c>
      <c r="F1081" s="7" t="inlineStr">
        <is>
          <t>$68.00</t>
        </is>
      </c>
      <c r="G1081" s="7" t="inlineStr">
        <is>
          <t>$34.00</t>
        </is>
      </c>
      <c r="H1081" s="7" t="inlineStr">
        <is>
          <t>White</t>
        </is>
      </c>
      <c r="I1081" s="7">
        <f>IMAGE("https://images.lululemon.com/is/image/lululemon/0002",1)</f>
        <v/>
      </c>
      <c r="J1081" s="7" t="inlineStr">
        <is>
          <t>8</t>
        </is>
      </c>
      <c r="K1081" s="7" t="inlineStr">
        <is>
          <t>75/1232</t>
        </is>
      </c>
      <c r="L1081" s="7" t="inlineStr">
        <is>
          <t>Yes</t>
        </is>
      </c>
      <c r="M1081" s="7" t="inlineStr">
        <is>
          <t>Game on. The lightweight, quick-drying fabric on this pleated tennis skirt will keep you cool and comfortable from first serve to match point.</t>
        </is>
      </c>
      <c r="N1081" s="7" t="inlineStr">
        <is>
          <t>High-Rise-Pleated-Tennis-Skirt</t>
        </is>
      </c>
      <c r="O1081" s="7" t="inlineStr">
        <is>
          <t>Skorts, Athletic Skirts</t>
        </is>
      </c>
    </row>
    <row r="1082" ht="80" customHeight="1">
      <c r="A1082" s="4">
        <f>IMAGE("https://images.lululemon.com/is/image/lululemon/LW8ALXS_0002_1?wid=320&amp;op_usm=0.8",1)</f>
        <v/>
      </c>
      <c r="B1082" s="4" t="inlineStr">
        <is>
          <t>High-Rise Pleated Tennis Skirt</t>
        </is>
      </c>
      <c r="C1082" s="4" t="inlineStr">
        <is>
          <t>153100951</t>
        </is>
      </c>
      <c r="D1082" s="4" t="inlineStr">
        <is>
          <t>153100951-white</t>
        </is>
      </c>
      <c r="E1082" s="4" t="inlineStr">
        <is>
          <t>High-Rise Pleated Tennis Skirt BLK 2</t>
        </is>
      </c>
      <c r="F1082" s="4" t="inlineStr">
        <is>
          <t>$68.00</t>
        </is>
      </c>
      <c r="G1082" s="4" t="inlineStr">
        <is>
          <t>$34.00</t>
        </is>
      </c>
      <c r="H1082" s="4" t="inlineStr">
        <is>
          <t>White</t>
        </is>
      </c>
      <c r="I1082" s="4">
        <f>IMAGE("https://images.lululemon.com/is/image/lululemon/0002",1)</f>
        <v/>
      </c>
      <c r="J1082" s="4" t="inlineStr">
        <is>
          <t>10</t>
        </is>
      </c>
      <c r="K1082" s="4" t="inlineStr">
        <is>
          <t>76/1232</t>
        </is>
      </c>
      <c r="L1082" s="4" t="inlineStr">
        <is>
          <t>Yes</t>
        </is>
      </c>
      <c r="M1082" s="4" t="inlineStr">
        <is>
          <t>Game on. The lightweight, quick-drying fabric on this pleated tennis skirt will keep you cool and comfortable from first serve to match point.</t>
        </is>
      </c>
      <c r="N1082" s="4" t="inlineStr">
        <is>
          <t>High-Rise-Pleated-Tennis-Skirt</t>
        </is>
      </c>
      <c r="O1082" s="4" t="inlineStr">
        <is>
          <t>Skorts, Athletic Skirts</t>
        </is>
      </c>
    </row>
    <row r="1083" ht="80" customHeight="1">
      <c r="A1083" s="7">
        <f>IMAGE("https://images.lululemon.com/is/image/lululemon/LW8ALXS_0002_1?wid=320&amp;op_usm=0.8",1)</f>
        <v/>
      </c>
      <c r="B1083" s="7" t="inlineStr">
        <is>
          <t>High-Rise Pleated Tennis Skirt</t>
        </is>
      </c>
      <c r="C1083" s="7" t="inlineStr">
        <is>
          <t>153100954</t>
        </is>
      </c>
      <c r="D1083" s="7" t="inlineStr">
        <is>
          <t>153100954-white</t>
        </is>
      </c>
      <c r="E1083" s="7" t="inlineStr">
        <is>
          <t>High-Rise Pleated Tennis Skirt BLK 2</t>
        </is>
      </c>
      <c r="F1083" s="7" t="inlineStr">
        <is>
          <t>$68.00</t>
        </is>
      </c>
      <c r="G1083" s="7" t="inlineStr">
        <is>
          <t>$34.00</t>
        </is>
      </c>
      <c r="H1083" s="7" t="inlineStr">
        <is>
          <t>White</t>
        </is>
      </c>
      <c r="I1083" s="7">
        <f>IMAGE("https://images.lululemon.com/is/image/lululemon/0002",1)</f>
        <v/>
      </c>
      <c r="J1083" s="7" t="inlineStr">
        <is>
          <t>12</t>
        </is>
      </c>
      <c r="K1083" s="7" t="inlineStr">
        <is>
          <t>47/1232</t>
        </is>
      </c>
      <c r="L1083" s="7" t="inlineStr">
        <is>
          <t>Yes</t>
        </is>
      </c>
      <c r="M1083" s="7" t="inlineStr">
        <is>
          <t>Game on. The lightweight, quick-drying fabric on this pleated tennis skirt will keep you cool and comfortable from first serve to match point.</t>
        </is>
      </c>
      <c r="N1083" s="7" t="inlineStr">
        <is>
          <t>High-Rise-Pleated-Tennis-Skirt</t>
        </is>
      </c>
      <c r="O1083" s="7" t="inlineStr">
        <is>
          <t>Skorts, Athletic Skirts</t>
        </is>
      </c>
    </row>
    <row r="1084" ht="80" customHeight="1">
      <c r="A1084" s="4">
        <f>IMAGE("https://images.lululemon.com/is/image/lululemon/LW8ALXS_0002_1?wid=320&amp;op_usm=0.8",1)</f>
        <v/>
      </c>
      <c r="B1084" s="4" t="inlineStr">
        <is>
          <t>High-Rise Pleated Tennis Skirt</t>
        </is>
      </c>
      <c r="C1084" s="4" t="inlineStr">
        <is>
          <t>155750556</t>
        </is>
      </c>
      <c r="D1084" s="4" t="inlineStr">
        <is>
          <t>155750556-starchblue</t>
        </is>
      </c>
      <c r="E1084" s="4" t="inlineStr">
        <is>
          <t>High-Rise Pleated Tennis Skirt BLK 2</t>
        </is>
      </c>
      <c r="F1084" s="4" t="inlineStr">
        <is>
          <t>$68.00</t>
        </is>
      </c>
      <c r="G1084" s="4" t="inlineStr">
        <is>
          <t>$34.00</t>
        </is>
      </c>
      <c r="H1084" s="4" t="inlineStr">
        <is>
          <t>Starch Blue</t>
        </is>
      </c>
      <c r="I1084" s="4">
        <f>IMAGE("https://images.lululemon.com/is/image/lululemon/68839",1)</f>
        <v/>
      </c>
      <c r="J1084" s="4" t="inlineStr">
        <is>
          <t>2</t>
        </is>
      </c>
      <c r="K1084" s="4" t="inlineStr">
        <is>
          <t>37/1232</t>
        </is>
      </c>
      <c r="L1084" s="4" t="inlineStr">
        <is>
          <t>Yes</t>
        </is>
      </c>
      <c r="M1084" s="4" t="inlineStr">
        <is>
          <t>Game on. The lightweight, quick-drying fabric on this pleated tennis skirt will keep you cool and comfortable from first serve to match point.</t>
        </is>
      </c>
      <c r="N1084" s="4" t="inlineStr">
        <is>
          <t>High-Rise-Pleated-Tennis-Skirt</t>
        </is>
      </c>
      <c r="O1084" s="4" t="inlineStr">
        <is>
          <t>Skorts, Athletic Skirts</t>
        </is>
      </c>
    </row>
    <row r="1085" ht="80" customHeight="1">
      <c r="A1085" s="5">
        <f>IMAGE("https://images.lululemon.com/is/image/lululemon/LW8ALXS_0002_1?wid=320&amp;op_usm=0.8",1)</f>
        <v/>
      </c>
      <c r="B1085" s="5" t="inlineStr">
        <is>
          <t>High-Rise Pleated Tennis Skirt</t>
        </is>
      </c>
      <c r="C1085" s="5" t="inlineStr">
        <is>
          <t>155750654</t>
        </is>
      </c>
      <c r="D1085" s="5" t="inlineStr">
        <is>
          <t>155750654-starchblue</t>
        </is>
      </c>
      <c r="E1085" s="5" t="inlineStr">
        <is>
          <t>High-Rise Pleated Tennis Skirt BLK 2</t>
        </is>
      </c>
      <c r="F1085" s="5" t="inlineStr">
        <is>
          <t>$68.00</t>
        </is>
      </c>
      <c r="G1085" s="5" t="inlineStr">
        <is>
          <t>$34.00</t>
        </is>
      </c>
      <c r="H1085" s="5" t="inlineStr">
        <is>
          <t>Starch Blue</t>
        </is>
      </c>
      <c r="I1085" s="5">
        <f>IMAGE("https://images.lululemon.com/is/image/lululemon/68839",1)</f>
        <v/>
      </c>
      <c r="J1085" s="5" t="inlineStr">
        <is>
          <t>4</t>
        </is>
      </c>
      <c r="K1085" s="5" t="inlineStr">
        <is>
          <t>6/1232</t>
        </is>
      </c>
      <c r="L1085" s="5" t="inlineStr">
        <is>
          <t>Yes</t>
        </is>
      </c>
      <c r="M1085" s="5" t="inlineStr">
        <is>
          <t>Game on. The lightweight, quick-drying fabric on this pleated tennis skirt will keep you cool and comfortable from first serve to match point.</t>
        </is>
      </c>
      <c r="N1085" s="5" t="inlineStr">
        <is>
          <t>High-Rise-Pleated-Tennis-Skirt</t>
        </is>
      </c>
      <c r="O1085" s="5" t="inlineStr">
        <is>
          <t>Skorts, Athletic Skirts</t>
        </is>
      </c>
    </row>
    <row r="1086" ht="80" customHeight="1">
      <c r="A1086" s="4">
        <f>IMAGE("https://images.lululemon.com/is/image/lululemon/LW5HMSS_068215_1?wid=320&amp;op_usm=0.8",1)</f>
        <v/>
      </c>
      <c r="B1086" s="4" t="inlineStr">
        <is>
          <t>Softy Suedey Cross-Waist Tight 25"</t>
        </is>
      </c>
      <c r="C1086" s="4" t="inlineStr">
        <is>
          <t>158027946</t>
        </is>
      </c>
      <c r="D1086" s="4" t="inlineStr">
        <is>
          <t>158027946-crescentmoon/white</t>
        </is>
      </c>
      <c r="E1086" s="4" t="inlineStr">
        <is>
          <t>Softy Suedey Cross-Waist Tight 25" CMON/WHT 2</t>
        </is>
      </c>
      <c r="F1086" s="4" t="inlineStr">
        <is>
          <t>$108.00</t>
        </is>
      </c>
      <c r="G1086" s="4" t="inlineStr">
        <is>
          <t>$54.00</t>
        </is>
      </c>
      <c r="H1086" s="4" t="inlineStr">
        <is>
          <t>Crescent Moon/White</t>
        </is>
      </c>
      <c r="I1086" s="4">
        <f>IMAGE("https://images.lululemon.com/is/image/lululemon/68215",1)</f>
        <v/>
      </c>
      <c r="J1086" s="4" t="inlineStr">
        <is>
          <t>2</t>
        </is>
      </c>
      <c r="K1086" s="4" t="inlineStr">
        <is>
          <t>7/416</t>
        </is>
      </c>
      <c r="L1086" s="4" t="inlineStr">
        <is>
          <t>Yes</t>
        </is>
      </c>
      <c r="M1086" s="4" t="inlineStr">
        <is>
          <t>Calling in cozy. These tights with a crossover waist are made from sueded performance fabric to deliver a soft, warm texture that's comforting when it's chilly out.</t>
        </is>
      </c>
      <c r="N1086" s="4" t="inlineStr">
        <is>
          <t>Softy-Suedey-Cross-Waist-Tight-25</t>
        </is>
      </c>
      <c r="O1086" s="4" t="inlineStr"/>
    </row>
    <row r="1087" ht="80" customHeight="1">
      <c r="A1087" s="7">
        <f>IMAGE("https://images.lululemon.com/is/image/lululemon/LW5HMSS_068215_1?wid=320&amp;op_usm=0.8",1)</f>
        <v/>
      </c>
      <c r="B1087" s="7" t="inlineStr">
        <is>
          <t>Softy Suedey Cross-Waist Tight 25"</t>
        </is>
      </c>
      <c r="C1087" s="7" t="inlineStr">
        <is>
          <t>158027954</t>
        </is>
      </c>
      <c r="D1087" s="7" t="inlineStr">
        <is>
          <t>158027954-crescentmoon/white</t>
        </is>
      </c>
      <c r="E1087" s="7" t="inlineStr">
        <is>
          <t>Softy Suedey Cross-Waist Tight 25" CMON/WHT 2</t>
        </is>
      </c>
      <c r="F1087" s="7" t="inlineStr">
        <is>
          <t>$108.00</t>
        </is>
      </c>
      <c r="G1087" s="7" t="inlineStr">
        <is>
          <t>$54.00</t>
        </is>
      </c>
      <c r="H1087" s="7" t="inlineStr">
        <is>
          <t>Crescent Moon/White</t>
        </is>
      </c>
      <c r="I1087" s="7">
        <f>IMAGE("https://images.lululemon.com/is/image/lululemon/68215",1)</f>
        <v/>
      </c>
      <c r="J1087" s="7" t="inlineStr">
        <is>
          <t>4</t>
        </is>
      </c>
      <c r="K1087" s="7" t="inlineStr">
        <is>
          <t>36/416</t>
        </is>
      </c>
      <c r="L1087" s="7" t="inlineStr">
        <is>
          <t>Yes</t>
        </is>
      </c>
      <c r="M1087" s="7" t="inlineStr">
        <is>
          <t>Calling in cozy. These tights with a crossover waist are made from sueded performance fabric to deliver a soft, warm texture that's comforting when it's chilly out.</t>
        </is>
      </c>
      <c r="N1087" s="7" t="inlineStr">
        <is>
          <t>Softy-Suedey-Cross-Waist-Tight-25</t>
        </is>
      </c>
      <c r="O1087" s="7" t="inlineStr"/>
    </row>
    <row r="1088" ht="80" customHeight="1">
      <c r="A1088" s="4">
        <f>IMAGE("https://images.lululemon.com/is/image/lululemon/LW5HMSS_068215_1?wid=320&amp;op_usm=0.8",1)</f>
        <v/>
      </c>
      <c r="B1088" s="4" t="inlineStr">
        <is>
          <t>Softy Suedey Cross-Waist Tight 25"</t>
        </is>
      </c>
      <c r="C1088" s="4" t="inlineStr">
        <is>
          <t>158027966</t>
        </is>
      </c>
      <c r="D1088" s="4" t="inlineStr">
        <is>
          <t>158027966-crescentmoon/white</t>
        </is>
      </c>
      <c r="E1088" s="4" t="inlineStr">
        <is>
          <t>Softy Suedey Cross-Waist Tight 25" CMON/WHT 2</t>
        </is>
      </c>
      <c r="F1088" s="4" t="inlineStr">
        <is>
          <t>$108.00</t>
        </is>
      </c>
      <c r="G1088" s="4" t="inlineStr">
        <is>
          <t>$54.00</t>
        </is>
      </c>
      <c r="H1088" s="4" t="inlineStr">
        <is>
          <t>Crescent Moon/White</t>
        </is>
      </c>
      <c r="I1088" s="4">
        <f>IMAGE("https://images.lululemon.com/is/image/lululemon/68215",1)</f>
        <v/>
      </c>
      <c r="J1088" s="4" t="inlineStr">
        <is>
          <t>6</t>
        </is>
      </c>
      <c r="K1088" s="4" t="inlineStr">
        <is>
          <t>72/416</t>
        </is>
      </c>
      <c r="L1088" s="4" t="inlineStr">
        <is>
          <t>Yes</t>
        </is>
      </c>
      <c r="M1088" s="4" t="inlineStr">
        <is>
          <t>Calling in cozy. These tights with a crossover waist are made from sueded performance fabric to deliver a soft, warm texture that's comforting when it's chilly out.</t>
        </is>
      </c>
      <c r="N1088" s="4" t="inlineStr">
        <is>
          <t>Softy-Suedey-Cross-Waist-Tight-25</t>
        </is>
      </c>
      <c r="O1088" s="4" t="inlineStr"/>
    </row>
    <row r="1089" ht="80" customHeight="1">
      <c r="A1089" s="7">
        <f>IMAGE("https://images.lululemon.com/is/image/lululemon/LW5HMSS_068215_1?wid=320&amp;op_usm=0.8",1)</f>
        <v/>
      </c>
      <c r="B1089" s="7" t="inlineStr">
        <is>
          <t>Softy Suedey Cross-Waist Tight 25"</t>
        </is>
      </c>
      <c r="C1089" s="7" t="inlineStr">
        <is>
          <t>158027971</t>
        </is>
      </c>
      <c r="D1089" s="7" t="inlineStr">
        <is>
          <t>158027971-crescentmoon/white</t>
        </is>
      </c>
      <c r="E1089" s="7" t="inlineStr">
        <is>
          <t>Softy Suedey Cross-Waist Tight 25" CMON/WHT 2</t>
        </is>
      </c>
      <c r="F1089" s="7" t="inlineStr">
        <is>
          <t>$108.00</t>
        </is>
      </c>
      <c r="G1089" s="7" t="inlineStr">
        <is>
          <t>$54.00</t>
        </is>
      </c>
      <c r="H1089" s="7" t="inlineStr">
        <is>
          <t>Crescent Moon/White</t>
        </is>
      </c>
      <c r="I1089" s="7">
        <f>IMAGE("https://images.lululemon.com/is/image/lululemon/68215",1)</f>
        <v/>
      </c>
      <c r="J1089" s="7" t="inlineStr">
        <is>
          <t>8</t>
        </is>
      </c>
      <c r="K1089" s="7" t="inlineStr">
        <is>
          <t>57/416</t>
        </is>
      </c>
      <c r="L1089" s="7" t="inlineStr">
        <is>
          <t>Yes</t>
        </is>
      </c>
      <c r="M1089" s="7" t="inlineStr">
        <is>
          <t>Calling in cozy. These tights with a crossover waist are made from sueded performance fabric to deliver a soft, warm texture that's comforting when it's chilly out.</t>
        </is>
      </c>
      <c r="N1089" s="7" t="inlineStr">
        <is>
          <t>Softy-Suedey-Cross-Waist-Tight-25</t>
        </is>
      </c>
      <c r="O1089" s="7" t="inlineStr"/>
    </row>
    <row r="1090" ht="80" customHeight="1">
      <c r="A1090" s="4">
        <f>IMAGE("https://images.lululemon.com/is/image/lululemon/LW5HMSS_068215_1?wid=320&amp;op_usm=0.8",1)</f>
        <v/>
      </c>
      <c r="B1090" s="4" t="inlineStr">
        <is>
          <t>Softy Suedey Cross-Waist Tight 25"</t>
        </is>
      </c>
      <c r="C1090" s="4" t="inlineStr">
        <is>
          <t>158027920</t>
        </is>
      </c>
      <c r="D1090" s="4" t="inlineStr">
        <is>
          <t>158027920-crescentmoon/white</t>
        </is>
      </c>
      <c r="E1090" s="4" t="inlineStr">
        <is>
          <t>Softy Suedey Cross-Waist Tight 25" CMON/WHT 2</t>
        </is>
      </c>
      <c r="F1090" s="4" t="inlineStr">
        <is>
          <t>$108.00</t>
        </is>
      </c>
      <c r="G1090" s="4" t="inlineStr">
        <is>
          <t>$54.00</t>
        </is>
      </c>
      <c r="H1090" s="4" t="inlineStr">
        <is>
          <t>Crescent Moon/White</t>
        </is>
      </c>
      <c r="I1090" s="4">
        <f>IMAGE("https://images.lululemon.com/is/image/lululemon/68215",1)</f>
        <v/>
      </c>
      <c r="J1090" s="4" t="inlineStr">
        <is>
          <t>10</t>
        </is>
      </c>
      <c r="K1090" s="4" t="inlineStr">
        <is>
          <t>33/416</t>
        </is>
      </c>
      <c r="L1090" s="4" t="inlineStr">
        <is>
          <t>Yes</t>
        </is>
      </c>
      <c r="M1090" s="4" t="inlineStr">
        <is>
          <t>Calling in cozy. These tights with a crossover waist are made from sueded performance fabric to deliver a soft, warm texture that's comforting when it's chilly out.</t>
        </is>
      </c>
      <c r="N1090" s="4" t="inlineStr">
        <is>
          <t>Softy-Suedey-Cross-Waist-Tight-25</t>
        </is>
      </c>
      <c r="O1090" s="4" t="inlineStr"/>
    </row>
    <row r="1091" ht="80" customHeight="1">
      <c r="A1091" s="7">
        <f>IMAGE("https://images.lululemon.com/is/image/lululemon/LW5HMSS_068215_1?wid=320&amp;op_usm=0.8",1)</f>
        <v/>
      </c>
      <c r="B1091" s="7" t="inlineStr">
        <is>
          <t>Softy Suedey Cross-Waist Tight 25"</t>
        </is>
      </c>
      <c r="C1091" s="7" t="inlineStr">
        <is>
          <t>158027926</t>
        </is>
      </c>
      <c r="D1091" s="7" t="inlineStr">
        <is>
          <t>158027926-crescentmoon/white</t>
        </is>
      </c>
      <c r="E1091" s="7" t="inlineStr">
        <is>
          <t>Softy Suedey Cross-Waist Tight 25" CMON/WHT 2</t>
        </is>
      </c>
      <c r="F1091" s="7" t="inlineStr">
        <is>
          <t>$108.00</t>
        </is>
      </c>
      <c r="G1091" s="7" t="inlineStr">
        <is>
          <t>$54.00</t>
        </is>
      </c>
      <c r="H1091" s="7" t="inlineStr">
        <is>
          <t>Crescent Moon/White</t>
        </is>
      </c>
      <c r="I1091" s="7">
        <f>IMAGE("https://images.lululemon.com/is/image/lululemon/68215",1)</f>
        <v/>
      </c>
      <c r="J1091" s="7" t="inlineStr">
        <is>
          <t>12</t>
        </is>
      </c>
      <c r="K1091" s="7" t="inlineStr">
        <is>
          <t>14/416</t>
        </is>
      </c>
      <c r="L1091" s="7" t="inlineStr">
        <is>
          <t>Yes</t>
        </is>
      </c>
      <c r="M1091" s="7" t="inlineStr">
        <is>
          <t>Calling in cozy. These tights with a crossover waist are made from sueded performance fabric to deliver a soft, warm texture that's comforting when it's chilly out.</t>
        </is>
      </c>
      <c r="N1091" s="7" t="inlineStr">
        <is>
          <t>Softy-Suedey-Cross-Waist-Tight-25</t>
        </is>
      </c>
      <c r="O1091" s="7" t="inlineStr"/>
    </row>
    <row r="1092" ht="80" customHeight="1">
      <c r="A1092" s="4">
        <f>IMAGE("https://images.lululemon.com/is/image/lululemon/LW5HMSS_068215_1?wid=320&amp;op_usm=0.8",1)</f>
        <v/>
      </c>
      <c r="B1092" s="4" t="inlineStr">
        <is>
          <t>Softy Suedey Cross-Waist Tight 25"</t>
        </is>
      </c>
      <c r="C1092" s="4" t="inlineStr">
        <is>
          <t>158027936</t>
        </is>
      </c>
      <c r="D1092" s="4" t="inlineStr">
        <is>
          <t>158027936-crescentmoon/white</t>
        </is>
      </c>
      <c r="E1092" s="4" t="inlineStr">
        <is>
          <t>Softy Suedey Cross-Waist Tight 25" CMON/WHT 2</t>
        </is>
      </c>
      <c r="F1092" s="4" t="inlineStr">
        <is>
          <t>$108.00</t>
        </is>
      </c>
      <c r="G1092" s="4" t="inlineStr">
        <is>
          <t>$54.00</t>
        </is>
      </c>
      <c r="H1092" s="4" t="inlineStr">
        <is>
          <t>Crescent Moon/White</t>
        </is>
      </c>
      <c r="I1092" s="4">
        <f>IMAGE("https://images.lululemon.com/is/image/lululemon/68215",1)</f>
        <v/>
      </c>
      <c r="J1092" s="4" t="inlineStr">
        <is>
          <t>14</t>
        </is>
      </c>
      <c r="K1092" s="4" t="inlineStr">
        <is>
          <t>6/416</t>
        </is>
      </c>
      <c r="L1092" s="4" t="inlineStr">
        <is>
          <t>Yes</t>
        </is>
      </c>
      <c r="M1092" s="4" t="inlineStr">
        <is>
          <t>Calling in cozy. These tights with a crossover waist are made from sueded performance fabric to deliver a soft, warm texture that's comforting when it's chilly out.</t>
        </is>
      </c>
      <c r="N1092" s="4" t="inlineStr">
        <is>
          <t>Softy-Suedey-Cross-Waist-Tight-25</t>
        </is>
      </c>
      <c r="O1092" s="4" t="inlineStr"/>
    </row>
    <row r="1093" ht="80" customHeight="1">
      <c r="A1093" s="7">
        <f>IMAGE("https://images.lululemon.com/is/image/lululemon/LW5HMSS_068215_1?wid=320&amp;op_usm=0.8",1)</f>
        <v/>
      </c>
      <c r="B1093" s="7" t="inlineStr">
        <is>
          <t>Softy Suedey Cross-Waist Tight 25"</t>
        </is>
      </c>
      <c r="C1093" s="7" t="inlineStr">
        <is>
          <t>158028017</t>
        </is>
      </c>
      <c r="D1093" s="7" t="inlineStr">
        <is>
          <t>158028017-foggreen/white</t>
        </is>
      </c>
      <c r="E1093" s="7" t="inlineStr">
        <is>
          <t>Softy Suedey Cross-Waist Tight 25" CMON/WHT 2</t>
        </is>
      </c>
      <c r="F1093" s="7" t="inlineStr">
        <is>
          <t>$108.00</t>
        </is>
      </c>
      <c r="G1093" s="7" t="inlineStr">
        <is>
          <t>$54.00</t>
        </is>
      </c>
      <c r="H1093" s="7" t="inlineStr">
        <is>
          <t>Fog Green/White</t>
        </is>
      </c>
      <c r="I1093" s="7">
        <f>IMAGE("https://images.lululemon.com/is/image/lululemon/71595",1)</f>
        <v/>
      </c>
      <c r="J1093" s="7" t="inlineStr">
        <is>
          <t>2</t>
        </is>
      </c>
      <c r="K1093" s="7" t="inlineStr">
        <is>
          <t>17/416</t>
        </is>
      </c>
      <c r="L1093" s="7" t="inlineStr">
        <is>
          <t>Yes</t>
        </is>
      </c>
      <c r="M1093" s="7" t="inlineStr">
        <is>
          <t>Calling in cozy. These tights with a crossover waist are made from sueded performance fabric to deliver a soft, warm texture that's comforting when it's chilly out.</t>
        </is>
      </c>
      <c r="N1093" s="7" t="inlineStr">
        <is>
          <t>Softy-Suedey-Cross-Waist-Tight-25</t>
        </is>
      </c>
      <c r="O1093" s="7" t="inlineStr"/>
    </row>
    <row r="1094" ht="80" customHeight="1">
      <c r="A1094" s="4">
        <f>IMAGE("https://images.lululemon.com/is/image/lululemon/LW5HMSS_068215_1?wid=320&amp;op_usm=0.8",1)</f>
        <v/>
      </c>
      <c r="B1094" s="4" t="inlineStr">
        <is>
          <t>Softy Suedey Cross-Waist Tight 25"</t>
        </is>
      </c>
      <c r="C1094" s="4" t="inlineStr">
        <is>
          <t>158028028</t>
        </is>
      </c>
      <c r="D1094" s="4" t="inlineStr">
        <is>
          <t>158028028-foggreen/white</t>
        </is>
      </c>
      <c r="E1094" s="4" t="inlineStr">
        <is>
          <t>Softy Suedey Cross-Waist Tight 25" CMON/WHT 2</t>
        </is>
      </c>
      <c r="F1094" s="4" t="inlineStr">
        <is>
          <t>$108.00</t>
        </is>
      </c>
      <c r="G1094" s="4" t="inlineStr">
        <is>
          <t>$54.00</t>
        </is>
      </c>
      <c r="H1094" s="4" t="inlineStr">
        <is>
          <t>Fog Green/White</t>
        </is>
      </c>
      <c r="I1094" s="4">
        <f>IMAGE("https://images.lululemon.com/is/image/lululemon/71595",1)</f>
        <v/>
      </c>
      <c r="J1094" s="4" t="inlineStr">
        <is>
          <t>4</t>
        </is>
      </c>
      <c r="K1094" s="4" t="inlineStr">
        <is>
          <t>43/416</t>
        </is>
      </c>
      <c r="L1094" s="4" t="inlineStr">
        <is>
          <t>Yes</t>
        </is>
      </c>
      <c r="M1094" s="4" t="inlineStr">
        <is>
          <t>Calling in cozy. These tights with a crossover waist are made from sueded performance fabric to deliver a soft, warm texture that's comforting when it's chilly out.</t>
        </is>
      </c>
      <c r="N1094" s="4" t="inlineStr">
        <is>
          <t>Softy-Suedey-Cross-Waist-Tight-25</t>
        </is>
      </c>
      <c r="O1094" s="4" t="inlineStr"/>
    </row>
    <row r="1095" ht="80" customHeight="1">
      <c r="A1095" s="7">
        <f>IMAGE("https://images.lululemon.com/is/image/lululemon/LW5HMSS_068215_1?wid=320&amp;op_usm=0.8",1)</f>
        <v/>
      </c>
      <c r="B1095" s="7" t="inlineStr">
        <is>
          <t>Softy Suedey Cross-Waist Tight 25"</t>
        </is>
      </c>
      <c r="C1095" s="7" t="inlineStr">
        <is>
          <t>158028035</t>
        </is>
      </c>
      <c r="D1095" s="7" t="inlineStr">
        <is>
          <t>158028035-foggreen/white</t>
        </is>
      </c>
      <c r="E1095" s="7" t="inlineStr">
        <is>
          <t>Softy Suedey Cross-Waist Tight 25" CMON/WHT 2</t>
        </is>
      </c>
      <c r="F1095" s="7" t="inlineStr">
        <is>
          <t>$108.00</t>
        </is>
      </c>
      <c r="G1095" s="7" t="inlineStr">
        <is>
          <t>$54.00</t>
        </is>
      </c>
      <c r="H1095" s="7" t="inlineStr">
        <is>
          <t>Fog Green/White</t>
        </is>
      </c>
      <c r="I1095" s="7">
        <f>IMAGE("https://images.lululemon.com/is/image/lululemon/71595",1)</f>
        <v/>
      </c>
      <c r="J1095" s="7" t="inlineStr">
        <is>
          <t>6</t>
        </is>
      </c>
      <c r="K1095" s="7" t="inlineStr">
        <is>
          <t>52/416</t>
        </is>
      </c>
      <c r="L1095" s="7" t="inlineStr">
        <is>
          <t>Yes</t>
        </is>
      </c>
      <c r="M1095" s="7" t="inlineStr">
        <is>
          <t>Calling in cozy. These tights with a crossover waist are made from sueded performance fabric to deliver a soft, warm texture that's comforting when it's chilly out.</t>
        </is>
      </c>
      <c r="N1095" s="7" t="inlineStr">
        <is>
          <t>Softy-Suedey-Cross-Waist-Tight-25</t>
        </is>
      </c>
      <c r="O1095" s="7" t="inlineStr"/>
    </row>
    <row r="1096" ht="80" customHeight="1">
      <c r="A1096" s="4">
        <f>IMAGE("https://images.lululemon.com/is/image/lululemon/LW5HMSS_068215_1?wid=320&amp;op_usm=0.8",1)</f>
        <v/>
      </c>
      <c r="B1096" s="4" t="inlineStr">
        <is>
          <t>Softy Suedey Cross-Waist Tight 25"</t>
        </is>
      </c>
      <c r="C1096" s="4" t="inlineStr">
        <is>
          <t>158028046</t>
        </is>
      </c>
      <c r="D1096" s="4" t="inlineStr">
        <is>
          <t>158028046-foggreen/white</t>
        </is>
      </c>
      <c r="E1096" s="4" t="inlineStr">
        <is>
          <t>Softy Suedey Cross-Waist Tight 25" CMON/WHT 2</t>
        </is>
      </c>
      <c r="F1096" s="4" t="inlineStr">
        <is>
          <t>$108.00</t>
        </is>
      </c>
      <c r="G1096" s="4" t="inlineStr">
        <is>
          <t>$54.00</t>
        </is>
      </c>
      <c r="H1096" s="4" t="inlineStr">
        <is>
          <t>Fog Green/White</t>
        </is>
      </c>
      <c r="I1096" s="4">
        <f>IMAGE("https://images.lululemon.com/is/image/lululemon/71595",1)</f>
        <v/>
      </c>
      <c r="J1096" s="4" t="inlineStr">
        <is>
          <t>8</t>
        </is>
      </c>
      <c r="K1096" s="4" t="inlineStr">
        <is>
          <t>42/416</t>
        </is>
      </c>
      <c r="L1096" s="4" t="inlineStr">
        <is>
          <t>Yes</t>
        </is>
      </c>
      <c r="M1096" s="4" t="inlineStr">
        <is>
          <t>Calling in cozy. These tights with a crossover waist are made from sueded performance fabric to deliver a soft, warm texture that's comforting when it's chilly out.</t>
        </is>
      </c>
      <c r="N1096" s="4" t="inlineStr">
        <is>
          <t>Softy-Suedey-Cross-Waist-Tight-25</t>
        </is>
      </c>
      <c r="O1096" s="4" t="inlineStr"/>
    </row>
    <row r="1097" ht="80" customHeight="1">
      <c r="A1097" s="7">
        <f>IMAGE("https://images.lululemon.com/is/image/lululemon/LW5HMSS_068215_1?wid=320&amp;op_usm=0.8",1)</f>
        <v/>
      </c>
      <c r="B1097" s="7" t="inlineStr">
        <is>
          <t>Softy Suedey Cross-Waist Tight 25"</t>
        </is>
      </c>
      <c r="C1097" s="7" t="inlineStr">
        <is>
          <t>158027990</t>
        </is>
      </c>
      <c r="D1097" s="7" t="inlineStr">
        <is>
          <t>158027990-foggreen/white</t>
        </is>
      </c>
      <c r="E1097" s="7" t="inlineStr">
        <is>
          <t>Softy Suedey Cross-Waist Tight 25" CMON/WHT 2</t>
        </is>
      </c>
      <c r="F1097" s="7" t="inlineStr">
        <is>
          <t>$108.00</t>
        </is>
      </c>
      <c r="G1097" s="7" t="inlineStr">
        <is>
          <t>$54.00</t>
        </is>
      </c>
      <c r="H1097" s="7" t="inlineStr">
        <is>
          <t>Fog Green/White</t>
        </is>
      </c>
      <c r="I1097" s="7">
        <f>IMAGE("https://images.lululemon.com/is/image/lululemon/71595",1)</f>
        <v/>
      </c>
      <c r="J1097" s="7" t="inlineStr">
        <is>
          <t>10</t>
        </is>
      </c>
      <c r="K1097" s="7" t="inlineStr">
        <is>
          <t>25/416</t>
        </is>
      </c>
      <c r="L1097" s="7" t="inlineStr">
        <is>
          <t>Yes</t>
        </is>
      </c>
      <c r="M1097" s="7" t="inlineStr">
        <is>
          <t>Calling in cozy. These tights with a crossover waist are made from sueded performance fabric to deliver a soft, warm texture that's comforting when it's chilly out.</t>
        </is>
      </c>
      <c r="N1097" s="7" t="inlineStr">
        <is>
          <t>Softy-Suedey-Cross-Waist-Tight-25</t>
        </is>
      </c>
      <c r="O1097" s="7" t="inlineStr"/>
    </row>
    <row r="1098" ht="80" customHeight="1">
      <c r="A1098" s="6">
        <f>IMAGE("https://images.lululemon.com/is/image/lululemon/LW5HMSS_068215_1?wid=320&amp;op_usm=0.8",1)</f>
        <v/>
      </c>
      <c r="B1098" s="6" t="inlineStr">
        <is>
          <t>Softy Suedey Cross-Waist Tight 25"</t>
        </is>
      </c>
      <c r="C1098" s="6" t="inlineStr">
        <is>
          <t>158028002</t>
        </is>
      </c>
      <c r="D1098" s="6" t="inlineStr">
        <is>
          <t>158028002-foggreen/white</t>
        </is>
      </c>
      <c r="E1098" s="6" t="inlineStr">
        <is>
          <t>Softy Suedey Cross-Waist Tight 25" CMON/WHT 2</t>
        </is>
      </c>
      <c r="F1098" s="6" t="inlineStr">
        <is>
          <t>$108.00</t>
        </is>
      </c>
      <c r="G1098" s="6" t="inlineStr">
        <is>
          <t>$54.00</t>
        </is>
      </c>
      <c r="H1098" s="6" t="inlineStr">
        <is>
          <t>Fog Green/White</t>
        </is>
      </c>
      <c r="I1098" s="6">
        <f>IMAGE("https://images.lululemon.com/is/image/lululemon/71595",1)</f>
        <v/>
      </c>
      <c r="J1098" s="6" t="inlineStr">
        <is>
          <t>12</t>
        </is>
      </c>
      <c r="K1098" s="6" t="inlineStr">
        <is>
          <t>12/416</t>
        </is>
      </c>
      <c r="L1098" s="6" t="inlineStr">
        <is>
          <t>Yes</t>
        </is>
      </c>
      <c r="M1098" s="6" t="inlineStr">
        <is>
          <t>Calling in cozy. These tights with a crossover waist are made from sueded performance fabric to deliver a soft, warm texture that's comforting when it's chilly out.</t>
        </is>
      </c>
      <c r="N1098" s="6" t="inlineStr">
        <is>
          <t>Softy-Suedey-Cross-Waist-Tight-25</t>
        </is>
      </c>
      <c r="O1098" s="6" t="inlineStr"/>
    </row>
    <row r="1099" ht="80" customHeight="1">
      <c r="A1099" s="7">
        <f>IMAGE("https://images.lululemon.com/is/image/lululemon/LU9DDSS_036168_1?wid=320&amp;op_usm=0.8",1)</f>
        <v/>
      </c>
      <c r="B1099" s="7" t="inlineStr">
        <is>
          <t>Warm Revelation Beanie *Wordmark</t>
        </is>
      </c>
      <c r="C1099" s="7" t="inlineStr">
        <is>
          <t>157702281</t>
        </is>
      </c>
      <c r="D1099" s="7" t="inlineStr">
        <is>
          <t>157702281-heatheredlightivory</t>
        </is>
      </c>
      <c r="E1099" s="7" t="inlineStr">
        <is>
          <t>Warm Revelation Beanie HRLI ONE SIZE</t>
        </is>
      </c>
      <c r="F1099" s="7" t="inlineStr">
        <is>
          <t>$48.00</t>
        </is>
      </c>
      <c r="G1099" s="7" t="inlineStr">
        <is>
          <t>$24.00</t>
        </is>
      </c>
      <c r="H1099" s="7" t="inlineStr">
        <is>
          <t>Heathered Light Ivory</t>
        </is>
      </c>
      <c r="I1099" s="7">
        <f>IMAGE("https://images.lululemon.com/is/image/lululemon/36168",1)</f>
        <v/>
      </c>
      <c r="J1099" s="7" t="inlineStr">
        <is>
          <t>O/S</t>
        </is>
      </c>
      <c r="K1099" s="7" t="inlineStr">
        <is>
          <t>750/904</t>
        </is>
      </c>
      <c r="L1099" s="7" t="inlineStr">
        <is>
          <t>Yes</t>
        </is>
      </c>
      <c r="M1099" s="7" t="inlineStr">
        <is>
          <t>Pop on this merino wool-blend beanie when the temperature drops to help keep you cozy on chilly days.</t>
        </is>
      </c>
      <c r="N1099" s="7" t="inlineStr">
        <is>
          <t>Warm-Revelation-Beanie-Wordmark</t>
        </is>
      </c>
      <c r="O1099" s="7" t="inlineStr">
        <is>
          <t>Beanies</t>
        </is>
      </c>
    </row>
    <row r="1100" ht="80" customHeight="1">
      <c r="A1100" s="6">
        <f>IMAGE("https://images.lululemon.com/is/image/lululemon/LU9DDSS_036168_1?wid=320&amp;op_usm=0.8",1)</f>
        <v/>
      </c>
      <c r="B1100" s="6" t="inlineStr">
        <is>
          <t>Warm Revelation Beanie *Wordmark</t>
        </is>
      </c>
      <c r="C1100" s="6" t="inlineStr">
        <is>
          <t>158019186</t>
        </is>
      </c>
      <c r="D1100" s="6" t="inlineStr">
        <is>
          <t>158019186-faintlavender/grapemist</t>
        </is>
      </c>
      <c r="E1100" s="6" t="inlineStr">
        <is>
          <t>Warm Revelation Beanie HRLI ONE SIZE</t>
        </is>
      </c>
      <c r="F1100" s="6" t="inlineStr">
        <is>
          <t>$48.00</t>
        </is>
      </c>
      <c r="G1100" s="6" t="inlineStr">
        <is>
          <t>$24.00</t>
        </is>
      </c>
      <c r="H1100" s="6" t="inlineStr">
        <is>
          <t>Faint Lavender/Grape Mist</t>
        </is>
      </c>
      <c r="I1100" s="6">
        <f>IMAGE("https://images.lululemon.com/is/image/lululemon/73461",1)</f>
        <v/>
      </c>
      <c r="J1100" s="6" t="inlineStr">
        <is>
          <t>O/S</t>
        </is>
      </c>
      <c r="K1100" s="6" t="inlineStr">
        <is>
          <t>154/904</t>
        </is>
      </c>
      <c r="L1100" s="6" t="inlineStr">
        <is>
          <t>Yes</t>
        </is>
      </c>
      <c r="M1100" s="6" t="inlineStr">
        <is>
          <t>Pop on this merino wool-blend beanie when the temperature drops to help keep you cozy on chilly days.</t>
        </is>
      </c>
      <c r="N1100" s="6" t="inlineStr">
        <is>
          <t>Warm-Revelation-Beanie-Wordmark</t>
        </is>
      </c>
      <c r="O1100" s="6" t="inlineStr">
        <is>
          <t>Beanies</t>
        </is>
      </c>
    </row>
    <row r="1101" ht="80" customHeight="1">
      <c r="A1101" s="7">
        <f>IMAGE("https://images.lululemon.com/is/image/lululemon/LW8AQJS_031382_1?wid=320&amp;op_usm=0.8",1)</f>
        <v/>
      </c>
      <c r="B1101" s="7" t="inlineStr">
        <is>
          <t>Lightweight High-Rise Tennis Skirt</t>
        </is>
      </c>
      <c r="C1101" s="7" t="inlineStr">
        <is>
          <t>149451816</t>
        </is>
      </c>
      <c r="D1101" s="7" t="inlineStr">
        <is>
          <t>149451816-truenavy</t>
        </is>
      </c>
      <c r="E1101" s="7" t="inlineStr">
        <is>
          <t>Lightweight High-Rise Tennis Skirt TRNV 2</t>
        </is>
      </c>
      <c r="F1101" s="7" t="inlineStr">
        <is>
          <t>$78.00</t>
        </is>
      </c>
      <c r="G1101" s="7" t="inlineStr">
        <is>
          <t>$39.00</t>
        </is>
      </c>
      <c r="H1101" s="7" t="inlineStr">
        <is>
          <t>True Navy</t>
        </is>
      </c>
      <c r="I1101" s="7">
        <f>IMAGE("https://images.lululemon.com/is/image/lululemon/31382",1)</f>
        <v/>
      </c>
      <c r="J1101" s="7" t="inlineStr">
        <is>
          <t>2</t>
        </is>
      </c>
      <c r="K1101" s="7" t="inlineStr">
        <is>
          <t>183/8395</t>
        </is>
      </c>
      <c r="L1101" s="7" t="inlineStr">
        <is>
          <t>Yes</t>
        </is>
      </c>
      <c r="M1101" s="7" t="inlineStr">
        <is>
          <t>Made to move. This lightweight tennis skirt features quick-drying Swift fabric and built-in shorts to match your momentum on and off the court.</t>
        </is>
      </c>
      <c r="N1101" s="7" t="inlineStr">
        <is>
          <t>Lightweight-High-Rise-Tennis-Skirt</t>
        </is>
      </c>
      <c r="O1101" s="7" t="inlineStr">
        <is>
          <t>Skorts, Athletic Skirts</t>
        </is>
      </c>
    </row>
    <row r="1102" ht="80" customHeight="1">
      <c r="A1102" s="4">
        <f>IMAGE("https://images.lululemon.com/is/image/lululemon/LW8AQJS_031382_1?wid=320&amp;op_usm=0.8",1)</f>
        <v/>
      </c>
      <c r="B1102" s="4" t="inlineStr">
        <is>
          <t>Lightweight High-Rise Tennis Skirt</t>
        </is>
      </c>
      <c r="C1102" s="4" t="inlineStr">
        <is>
          <t>149451834</t>
        </is>
      </c>
      <c r="D1102" s="4" t="inlineStr">
        <is>
          <t>149451834-truenavy</t>
        </is>
      </c>
      <c r="E1102" s="4" t="inlineStr">
        <is>
          <t>Lightweight High-Rise Tennis Skirt TRNV 2</t>
        </is>
      </c>
      <c r="F1102" s="4" t="inlineStr">
        <is>
          <t>$78.00</t>
        </is>
      </c>
      <c r="G1102" s="4" t="inlineStr">
        <is>
          <t>$39.00</t>
        </is>
      </c>
      <c r="H1102" s="4" t="inlineStr">
        <is>
          <t>True Navy</t>
        </is>
      </c>
      <c r="I1102" s="4">
        <f>IMAGE("https://images.lululemon.com/is/image/lululemon/31382",1)</f>
        <v/>
      </c>
      <c r="J1102" s="4" t="inlineStr">
        <is>
          <t>4</t>
        </is>
      </c>
      <c r="K1102" s="4" t="inlineStr">
        <is>
          <t>125/8395</t>
        </is>
      </c>
      <c r="L1102" s="4" t="inlineStr">
        <is>
          <t>Yes</t>
        </is>
      </c>
      <c r="M1102" s="4" t="inlineStr">
        <is>
          <t>Made to move. This lightweight tennis skirt features quick-drying Swift fabric and built-in shorts to match your momentum on and off the court.</t>
        </is>
      </c>
      <c r="N1102" s="4" t="inlineStr">
        <is>
          <t>Lightweight-High-Rise-Tennis-Skirt</t>
        </is>
      </c>
      <c r="O1102" s="4" t="inlineStr">
        <is>
          <t>Skorts, Athletic Skirts</t>
        </is>
      </c>
    </row>
    <row r="1103" ht="80" customHeight="1">
      <c r="A1103" s="7">
        <f>IMAGE("https://images.lululemon.com/is/image/lululemon/LW8AQJS_031382_1?wid=320&amp;op_usm=0.8",1)</f>
        <v/>
      </c>
      <c r="B1103" s="7" t="inlineStr">
        <is>
          <t>Lightweight High-Rise Tennis Skirt</t>
        </is>
      </c>
      <c r="C1103" s="7" t="inlineStr">
        <is>
          <t>149451838</t>
        </is>
      </c>
      <c r="D1103" s="7" t="inlineStr">
        <is>
          <t>149451838-truenavy</t>
        </is>
      </c>
      <c r="E1103" s="7" t="inlineStr">
        <is>
          <t>Lightweight High-Rise Tennis Skirt TRNV 2</t>
        </is>
      </c>
      <c r="F1103" s="7" t="inlineStr">
        <is>
          <t>$78.00</t>
        </is>
      </c>
      <c r="G1103" s="7" t="inlineStr">
        <is>
          <t>$39.00</t>
        </is>
      </c>
      <c r="H1103" s="7" t="inlineStr">
        <is>
          <t>True Navy</t>
        </is>
      </c>
      <c r="I1103" s="7">
        <f>IMAGE("https://images.lululemon.com/is/image/lululemon/31382",1)</f>
        <v/>
      </c>
      <c r="J1103" s="7" t="inlineStr">
        <is>
          <t>6</t>
        </is>
      </c>
      <c r="K1103" s="7" t="inlineStr">
        <is>
          <t>145/8395</t>
        </is>
      </c>
      <c r="L1103" s="7" t="inlineStr">
        <is>
          <t>Yes</t>
        </is>
      </c>
      <c r="M1103" s="7" t="inlineStr">
        <is>
          <t>Made to move. This lightweight tennis skirt features quick-drying Swift fabric and built-in shorts to match your momentum on and off the court.</t>
        </is>
      </c>
      <c r="N1103" s="7" t="inlineStr">
        <is>
          <t>Lightweight-High-Rise-Tennis-Skirt</t>
        </is>
      </c>
      <c r="O1103" s="7" t="inlineStr">
        <is>
          <t>Skorts, Athletic Skirts</t>
        </is>
      </c>
    </row>
    <row r="1104" ht="80" customHeight="1">
      <c r="A1104" s="4">
        <f>IMAGE("https://images.lululemon.com/is/image/lululemon/LW8AQJS_031382_1?wid=320&amp;op_usm=0.8",1)</f>
        <v/>
      </c>
      <c r="B1104" s="4" t="inlineStr">
        <is>
          <t>Lightweight High-Rise Tennis Skirt</t>
        </is>
      </c>
      <c r="C1104" s="4" t="inlineStr">
        <is>
          <t>157681610</t>
        </is>
      </c>
      <c r="D1104" s="4" t="inlineStr">
        <is>
          <t>157681610-truenavy</t>
        </is>
      </c>
      <c r="E1104" s="4" t="inlineStr">
        <is>
          <t>Lightweight High-Rise Tennis Skirt TRNV 2</t>
        </is>
      </c>
      <c r="F1104" s="4" t="inlineStr">
        <is>
          <t>$78.00</t>
        </is>
      </c>
      <c r="G1104" s="4" t="inlineStr">
        <is>
          <t>$39.00</t>
        </is>
      </c>
      <c r="H1104" s="4" t="inlineStr">
        <is>
          <t>True Navy</t>
        </is>
      </c>
      <c r="I1104" s="4">
        <f>IMAGE("https://images.lululemon.com/is/image/lululemon/31382",1)</f>
        <v/>
      </c>
      <c r="J1104" s="4" t="inlineStr">
        <is>
          <t>8</t>
        </is>
      </c>
      <c r="K1104" s="4" t="inlineStr">
        <is>
          <t>43/8395</t>
        </is>
      </c>
      <c r="L1104" s="4" t="inlineStr">
        <is>
          <t>Yes</t>
        </is>
      </c>
      <c r="M1104" s="4" t="inlineStr">
        <is>
          <t>Made to move. This lightweight tennis skirt features quick-drying Swift fabric and built-in shorts to match your momentum on and off the court.</t>
        </is>
      </c>
      <c r="N1104" s="4" t="inlineStr">
        <is>
          <t>Lightweight-High-Rise-Tennis-Skirt</t>
        </is>
      </c>
      <c r="O1104" s="4" t="inlineStr">
        <is>
          <t>Skorts, Athletic Skirts</t>
        </is>
      </c>
    </row>
    <row r="1105" ht="80" customHeight="1">
      <c r="A1105" s="7">
        <f>IMAGE("https://images.lululemon.com/is/image/lululemon/LW8AQJS_031382_1?wid=320&amp;op_usm=0.8",1)</f>
        <v/>
      </c>
      <c r="B1105" s="7" t="inlineStr">
        <is>
          <t>Lightweight High-Rise Tennis Skirt</t>
        </is>
      </c>
      <c r="C1105" s="7" t="inlineStr">
        <is>
          <t>149451798</t>
        </is>
      </c>
      <c r="D1105" s="7" t="inlineStr">
        <is>
          <t>149451798-truenavy</t>
        </is>
      </c>
      <c r="E1105" s="7" t="inlineStr">
        <is>
          <t>Lightweight High-Rise Tennis Skirt TRNV 2</t>
        </is>
      </c>
      <c r="F1105" s="7" t="inlineStr">
        <is>
          <t>$78.00</t>
        </is>
      </c>
      <c r="G1105" s="7" t="inlineStr">
        <is>
          <t>$39.00</t>
        </is>
      </c>
      <c r="H1105" s="7" t="inlineStr">
        <is>
          <t>True Navy</t>
        </is>
      </c>
      <c r="I1105" s="7">
        <f>IMAGE("https://images.lululemon.com/is/image/lululemon/31382",1)</f>
        <v/>
      </c>
      <c r="J1105" s="7" t="inlineStr">
        <is>
          <t>10</t>
        </is>
      </c>
      <c r="K1105" s="7" t="inlineStr">
        <is>
          <t>81/8395</t>
        </is>
      </c>
      <c r="L1105" s="7" t="inlineStr">
        <is>
          <t>Yes</t>
        </is>
      </c>
      <c r="M1105" s="7" t="inlineStr">
        <is>
          <t>Made to move. This lightweight tennis skirt features quick-drying Swift fabric and built-in shorts to match your momentum on and off the court.</t>
        </is>
      </c>
      <c r="N1105" s="7" t="inlineStr">
        <is>
          <t>Lightweight-High-Rise-Tennis-Skirt</t>
        </is>
      </c>
      <c r="O1105" s="7" t="inlineStr">
        <is>
          <t>Skorts, Athletic Skirts</t>
        </is>
      </c>
    </row>
    <row r="1106" ht="80" customHeight="1">
      <c r="A1106" s="4">
        <f>IMAGE("https://images.lululemon.com/is/image/lululemon/LW8AQJS_031382_1?wid=320&amp;op_usm=0.8",1)</f>
        <v/>
      </c>
      <c r="B1106" s="4" t="inlineStr">
        <is>
          <t>Lightweight High-Rise Tennis Skirt</t>
        </is>
      </c>
      <c r="C1106" s="4" t="inlineStr">
        <is>
          <t>149451802</t>
        </is>
      </c>
      <c r="D1106" s="4" t="inlineStr">
        <is>
          <t>149451802-truenavy</t>
        </is>
      </c>
      <c r="E1106" s="4" t="inlineStr">
        <is>
          <t>Lightweight High-Rise Tennis Skirt TRNV 2</t>
        </is>
      </c>
      <c r="F1106" s="4" t="inlineStr">
        <is>
          <t>$78.00</t>
        </is>
      </c>
      <c r="G1106" s="4" t="inlineStr">
        <is>
          <t>$39.00</t>
        </is>
      </c>
      <c r="H1106" s="4" t="inlineStr">
        <is>
          <t>True Navy</t>
        </is>
      </c>
      <c r="I1106" s="4">
        <f>IMAGE("https://images.lululemon.com/is/image/lululemon/31382",1)</f>
        <v/>
      </c>
      <c r="J1106" s="4" t="inlineStr">
        <is>
          <t>12</t>
        </is>
      </c>
      <c r="K1106" s="4" t="inlineStr">
        <is>
          <t>71/8395</t>
        </is>
      </c>
      <c r="L1106" s="4" t="inlineStr">
        <is>
          <t>Yes</t>
        </is>
      </c>
      <c r="M1106" s="4" t="inlineStr">
        <is>
          <t>Made to move. This lightweight tennis skirt features quick-drying Swift fabric and built-in shorts to match your momentum on and off the court.</t>
        </is>
      </c>
      <c r="N1106" s="4" t="inlineStr">
        <is>
          <t>Lightweight-High-Rise-Tennis-Skirt</t>
        </is>
      </c>
      <c r="O1106" s="4" t="inlineStr">
        <is>
          <t>Skorts, Athletic Skirts</t>
        </is>
      </c>
    </row>
    <row r="1107" ht="80" customHeight="1">
      <c r="A1107" s="7">
        <f>IMAGE("https://images.lululemon.com/is/image/lululemon/LW8AQJS_031382_1?wid=320&amp;op_usm=0.8",1)</f>
        <v/>
      </c>
      <c r="B1107" s="7" t="inlineStr">
        <is>
          <t>Lightweight High-Rise Tennis Skirt</t>
        </is>
      </c>
      <c r="C1107" s="7" t="inlineStr">
        <is>
          <t>149451807</t>
        </is>
      </c>
      <c r="D1107" s="7" t="inlineStr">
        <is>
          <t>149451807-truenavy</t>
        </is>
      </c>
      <c r="E1107" s="7" t="inlineStr">
        <is>
          <t>Lightweight High-Rise Tennis Skirt TRNV 2</t>
        </is>
      </c>
      <c r="F1107" s="7" t="inlineStr">
        <is>
          <t>$78.00</t>
        </is>
      </c>
      <c r="G1107" s="7" t="inlineStr">
        <is>
          <t>$39.00</t>
        </is>
      </c>
      <c r="H1107" s="7" t="inlineStr">
        <is>
          <t>True Navy</t>
        </is>
      </c>
      <c r="I1107" s="7">
        <f>IMAGE("https://images.lululemon.com/is/image/lululemon/31382",1)</f>
        <v/>
      </c>
      <c r="J1107" s="7" t="inlineStr">
        <is>
          <t>14</t>
        </is>
      </c>
      <c r="K1107" s="7" t="inlineStr">
        <is>
          <t>50/8395</t>
        </is>
      </c>
      <c r="L1107" s="7" t="inlineStr">
        <is>
          <t>Yes</t>
        </is>
      </c>
      <c r="M1107" s="7" t="inlineStr">
        <is>
          <t>Made to move. This lightweight tennis skirt features quick-drying Swift fabric and built-in shorts to match your momentum on and off the court.</t>
        </is>
      </c>
      <c r="N1107" s="7" t="inlineStr">
        <is>
          <t>Lightweight-High-Rise-Tennis-Skirt</t>
        </is>
      </c>
      <c r="O1107" s="7" t="inlineStr">
        <is>
          <t>Skorts, Athletic Skirts</t>
        </is>
      </c>
    </row>
    <row r="1108" ht="80" customHeight="1">
      <c r="A1108" s="4">
        <f>IMAGE("https://images.lululemon.com/is/image/lululemon/LW8AQJS_031382_1?wid=320&amp;op_usm=0.8",1)</f>
        <v/>
      </c>
      <c r="B1108" s="4" t="inlineStr">
        <is>
          <t>Lightweight High-Rise Tennis Skirt</t>
        </is>
      </c>
      <c r="C1108" s="4" t="inlineStr">
        <is>
          <t>149451708</t>
        </is>
      </c>
      <c r="D1108" s="4" t="inlineStr">
        <is>
          <t>149451708-white</t>
        </is>
      </c>
      <c r="E1108" s="4" t="inlineStr">
        <is>
          <t>Lightweight High-Rise Tennis Skirt TRNV 2</t>
        </is>
      </c>
      <c r="F1108" s="4" t="inlineStr">
        <is>
          <t>$78.00</t>
        </is>
      </c>
      <c r="G1108" s="4" t="inlineStr">
        <is>
          <t>$39.00</t>
        </is>
      </c>
      <c r="H1108" s="4" t="inlineStr">
        <is>
          <t>White</t>
        </is>
      </c>
      <c r="I1108" s="4">
        <f>IMAGE("https://images.lululemon.com/is/image/lululemon/0002",1)</f>
        <v/>
      </c>
      <c r="J1108" s="4" t="inlineStr">
        <is>
          <t>2</t>
        </is>
      </c>
      <c r="K1108" s="4" t="inlineStr">
        <is>
          <t>649/8395</t>
        </is>
      </c>
      <c r="L1108" s="4" t="inlineStr">
        <is>
          <t>Yes</t>
        </is>
      </c>
      <c r="M1108" s="4" t="inlineStr">
        <is>
          <t>Made to move. This lightweight tennis skirt features quick-drying Swift fabric and built-in shorts to match your momentum on and off the court.</t>
        </is>
      </c>
      <c r="N1108" s="4" t="inlineStr">
        <is>
          <t>Lightweight-High-Rise-Tennis-Skirt</t>
        </is>
      </c>
      <c r="O1108" s="4" t="inlineStr">
        <is>
          <t>Skorts, Athletic Skirts</t>
        </is>
      </c>
    </row>
    <row r="1109" ht="80" customHeight="1">
      <c r="A1109" s="7">
        <f>IMAGE("https://images.lululemon.com/is/image/lululemon/LW8AQJS_031382_1?wid=320&amp;op_usm=0.8",1)</f>
        <v/>
      </c>
      <c r="B1109" s="7" t="inlineStr">
        <is>
          <t>Lightweight High-Rise Tennis Skirt</t>
        </is>
      </c>
      <c r="C1109" s="7" t="inlineStr">
        <is>
          <t>149451728</t>
        </is>
      </c>
      <c r="D1109" s="7" t="inlineStr">
        <is>
          <t>149451728-white</t>
        </is>
      </c>
      <c r="E1109" s="7" t="inlineStr">
        <is>
          <t>Lightweight High-Rise Tennis Skirt TRNV 2</t>
        </is>
      </c>
      <c r="F1109" s="7" t="inlineStr">
        <is>
          <t>$78.00</t>
        </is>
      </c>
      <c r="G1109" s="7" t="inlineStr">
        <is>
          <t>$39.00</t>
        </is>
      </c>
      <c r="H1109" s="7" t="inlineStr">
        <is>
          <t>White</t>
        </is>
      </c>
      <c r="I1109" s="7">
        <f>IMAGE("https://images.lululemon.com/is/image/lululemon/0002",1)</f>
        <v/>
      </c>
      <c r="J1109" s="7" t="inlineStr">
        <is>
          <t>4</t>
        </is>
      </c>
      <c r="K1109" s="7" t="inlineStr">
        <is>
          <t>1013/8395</t>
        </is>
      </c>
      <c r="L1109" s="7" t="inlineStr">
        <is>
          <t>Yes</t>
        </is>
      </c>
      <c r="M1109" s="7" t="inlineStr">
        <is>
          <t>Made to move. This lightweight tennis skirt features quick-drying Swift fabric and built-in shorts to match your momentum on and off the court.</t>
        </is>
      </c>
      <c r="N1109" s="7" t="inlineStr">
        <is>
          <t>Lightweight-High-Rise-Tennis-Skirt</t>
        </is>
      </c>
      <c r="O1109" s="7" t="inlineStr">
        <is>
          <t>Skorts, Athletic Skirts</t>
        </is>
      </c>
    </row>
    <row r="1110" ht="80" customHeight="1">
      <c r="A1110" s="4">
        <f>IMAGE("https://images.lululemon.com/is/image/lululemon/LW8AQJS_031382_1?wid=320&amp;op_usm=0.8",1)</f>
        <v/>
      </c>
      <c r="B1110" s="4" t="inlineStr">
        <is>
          <t>Lightweight High-Rise Tennis Skirt</t>
        </is>
      </c>
      <c r="C1110" s="4" t="inlineStr">
        <is>
          <t>149451732</t>
        </is>
      </c>
      <c r="D1110" s="4" t="inlineStr">
        <is>
          <t>149451732-white</t>
        </is>
      </c>
      <c r="E1110" s="4" t="inlineStr">
        <is>
          <t>Lightweight High-Rise Tennis Skirt TRNV 2</t>
        </is>
      </c>
      <c r="F1110" s="4" t="inlineStr">
        <is>
          <t>$78.00</t>
        </is>
      </c>
      <c r="G1110" s="4" t="inlineStr">
        <is>
          <t>$39.00</t>
        </is>
      </c>
      <c r="H1110" s="4" t="inlineStr">
        <is>
          <t>White</t>
        </is>
      </c>
      <c r="I1110" s="4">
        <f>IMAGE("https://images.lululemon.com/is/image/lululemon/0002",1)</f>
        <v/>
      </c>
      <c r="J1110" s="4" t="inlineStr">
        <is>
          <t>6</t>
        </is>
      </c>
      <c r="K1110" s="4" t="inlineStr">
        <is>
          <t>1078/8395</t>
        </is>
      </c>
      <c r="L1110" s="4" t="inlineStr">
        <is>
          <t>Yes</t>
        </is>
      </c>
      <c r="M1110" s="4" t="inlineStr">
        <is>
          <t>Made to move. This lightweight tennis skirt features quick-drying Swift fabric and built-in shorts to match your momentum on and off the court.</t>
        </is>
      </c>
      <c r="N1110" s="4" t="inlineStr">
        <is>
          <t>Lightweight-High-Rise-Tennis-Skirt</t>
        </is>
      </c>
      <c r="O1110" s="4" t="inlineStr">
        <is>
          <t>Skorts, Athletic Skirts</t>
        </is>
      </c>
    </row>
    <row r="1111" ht="80" customHeight="1">
      <c r="A1111" s="7">
        <f>IMAGE("https://images.lululemon.com/is/image/lululemon/LW8AQJS_031382_1?wid=320&amp;op_usm=0.8",1)</f>
        <v/>
      </c>
      <c r="B1111" s="7" t="inlineStr">
        <is>
          <t>Lightweight High-Rise Tennis Skirt</t>
        </is>
      </c>
      <c r="C1111" s="7" t="inlineStr">
        <is>
          <t>149451734</t>
        </is>
      </c>
      <c r="D1111" s="7" t="inlineStr">
        <is>
          <t>149451734-white</t>
        </is>
      </c>
      <c r="E1111" s="7" t="inlineStr">
        <is>
          <t>Lightweight High-Rise Tennis Skirt TRNV 2</t>
        </is>
      </c>
      <c r="F1111" s="7" t="inlineStr">
        <is>
          <t>$78.00</t>
        </is>
      </c>
      <c r="G1111" s="7" t="inlineStr">
        <is>
          <t>$39.00</t>
        </is>
      </c>
      <c r="H1111" s="7" t="inlineStr">
        <is>
          <t>White</t>
        </is>
      </c>
      <c r="I1111" s="7">
        <f>IMAGE("https://images.lululemon.com/is/image/lululemon/0002",1)</f>
        <v/>
      </c>
      <c r="J1111" s="7" t="inlineStr">
        <is>
          <t>8</t>
        </is>
      </c>
      <c r="K1111" s="7" t="inlineStr">
        <is>
          <t>593/8395</t>
        </is>
      </c>
      <c r="L1111" s="7" t="inlineStr">
        <is>
          <t>Yes</t>
        </is>
      </c>
      <c r="M1111" s="7" t="inlineStr">
        <is>
          <t>Made to move. This lightweight tennis skirt features quick-drying Swift fabric and built-in shorts to match your momentum on and off the court.</t>
        </is>
      </c>
      <c r="N1111" s="7" t="inlineStr">
        <is>
          <t>Lightweight-High-Rise-Tennis-Skirt</t>
        </is>
      </c>
      <c r="O1111" s="7" t="inlineStr">
        <is>
          <t>Skorts, Athletic Skirts</t>
        </is>
      </c>
    </row>
    <row r="1112" ht="80" customHeight="1">
      <c r="A1112" s="4">
        <f>IMAGE("https://images.lululemon.com/is/image/lululemon/LW8AQJS_031382_1?wid=320&amp;op_usm=0.8",1)</f>
        <v/>
      </c>
      <c r="B1112" s="4" t="inlineStr">
        <is>
          <t>Lightweight High-Rise Tennis Skirt</t>
        </is>
      </c>
      <c r="C1112" s="4" t="inlineStr">
        <is>
          <t>149451689</t>
        </is>
      </c>
      <c r="D1112" s="4" t="inlineStr">
        <is>
          <t>149451689-white</t>
        </is>
      </c>
      <c r="E1112" s="4" t="inlineStr">
        <is>
          <t>Lightweight High-Rise Tennis Skirt TRNV 2</t>
        </is>
      </c>
      <c r="F1112" s="4" t="inlineStr">
        <is>
          <t>$78.00</t>
        </is>
      </c>
      <c r="G1112" s="4" t="inlineStr">
        <is>
          <t>$39.00</t>
        </is>
      </c>
      <c r="H1112" s="4" t="inlineStr">
        <is>
          <t>White</t>
        </is>
      </c>
      <c r="I1112" s="4">
        <f>IMAGE("https://images.lululemon.com/is/image/lululemon/0002",1)</f>
        <v/>
      </c>
      <c r="J1112" s="4" t="inlineStr">
        <is>
          <t>10</t>
        </is>
      </c>
      <c r="K1112" s="4" t="inlineStr">
        <is>
          <t>322/8395</t>
        </is>
      </c>
      <c r="L1112" s="4" t="inlineStr">
        <is>
          <t>Yes</t>
        </is>
      </c>
      <c r="M1112" s="4" t="inlineStr">
        <is>
          <t>Made to move. This lightweight tennis skirt features quick-drying Swift fabric and built-in shorts to match your momentum on and off the court.</t>
        </is>
      </c>
      <c r="N1112" s="4" t="inlineStr">
        <is>
          <t>Lightweight-High-Rise-Tennis-Skirt</t>
        </is>
      </c>
      <c r="O1112" s="4" t="inlineStr">
        <is>
          <t>Skorts, Athletic Skirts</t>
        </is>
      </c>
    </row>
    <row r="1113" ht="80" customHeight="1">
      <c r="A1113" s="7">
        <f>IMAGE("https://images.lululemon.com/is/image/lululemon/LW8AQJS_031382_1?wid=320&amp;op_usm=0.8",1)</f>
        <v/>
      </c>
      <c r="B1113" s="7" t="inlineStr">
        <is>
          <t>Lightweight High-Rise Tennis Skirt</t>
        </is>
      </c>
      <c r="C1113" s="7" t="inlineStr">
        <is>
          <t>149451692</t>
        </is>
      </c>
      <c r="D1113" s="7" t="inlineStr">
        <is>
          <t>149451692-white</t>
        </is>
      </c>
      <c r="E1113" s="7" t="inlineStr">
        <is>
          <t>Lightweight High-Rise Tennis Skirt TRNV 2</t>
        </is>
      </c>
      <c r="F1113" s="7" t="inlineStr">
        <is>
          <t>$78.00</t>
        </is>
      </c>
      <c r="G1113" s="7" t="inlineStr">
        <is>
          <t>$39.00</t>
        </is>
      </c>
      <c r="H1113" s="7" t="inlineStr">
        <is>
          <t>White</t>
        </is>
      </c>
      <c r="I1113" s="7">
        <f>IMAGE("https://images.lululemon.com/is/image/lululemon/0002",1)</f>
        <v/>
      </c>
      <c r="J1113" s="7" t="inlineStr">
        <is>
          <t>12</t>
        </is>
      </c>
      <c r="K1113" s="7" t="inlineStr">
        <is>
          <t>153/8395</t>
        </is>
      </c>
      <c r="L1113" s="7" t="inlineStr">
        <is>
          <t>Yes</t>
        </is>
      </c>
      <c r="M1113" s="7" t="inlineStr">
        <is>
          <t>Made to move. This lightweight tennis skirt features quick-drying Swift fabric and built-in shorts to match your momentum on and off the court.</t>
        </is>
      </c>
      <c r="N1113" s="7" t="inlineStr">
        <is>
          <t>Lightweight-High-Rise-Tennis-Skirt</t>
        </is>
      </c>
      <c r="O1113" s="7" t="inlineStr">
        <is>
          <t>Skorts, Athletic Skirts</t>
        </is>
      </c>
    </row>
    <row r="1114" ht="80" customHeight="1">
      <c r="A1114" s="4">
        <f>IMAGE("https://images.lululemon.com/is/image/lululemon/LW8AQJS_031382_1?wid=320&amp;op_usm=0.8",1)</f>
        <v/>
      </c>
      <c r="B1114" s="4" t="inlineStr">
        <is>
          <t>Lightweight High-Rise Tennis Skirt</t>
        </is>
      </c>
      <c r="C1114" s="4" t="inlineStr">
        <is>
          <t>149451697</t>
        </is>
      </c>
      <c r="D1114" s="4" t="inlineStr">
        <is>
          <t>149451697-white</t>
        </is>
      </c>
      <c r="E1114" s="4" t="inlineStr">
        <is>
          <t>Lightweight High-Rise Tennis Skirt TRNV 2</t>
        </is>
      </c>
      <c r="F1114" s="4" t="inlineStr">
        <is>
          <t>$78.00</t>
        </is>
      </c>
      <c r="G1114" s="4" t="inlineStr">
        <is>
          <t>$39.00</t>
        </is>
      </c>
      <c r="H1114" s="4" t="inlineStr">
        <is>
          <t>White</t>
        </is>
      </c>
      <c r="I1114" s="4">
        <f>IMAGE("https://images.lululemon.com/is/image/lululemon/0002",1)</f>
        <v/>
      </c>
      <c r="J1114" s="4" t="inlineStr">
        <is>
          <t>14</t>
        </is>
      </c>
      <c r="K1114" s="4" t="inlineStr">
        <is>
          <t>6/8395</t>
        </is>
      </c>
      <c r="L1114" s="4" t="inlineStr">
        <is>
          <t>Yes</t>
        </is>
      </c>
      <c r="M1114" s="4" t="inlineStr">
        <is>
          <t>Made to move. This lightweight tennis skirt features quick-drying Swift fabric and built-in shorts to match your momentum on and off the court.</t>
        </is>
      </c>
      <c r="N1114" s="4" t="inlineStr">
        <is>
          <t>Lightweight-High-Rise-Tennis-Skirt</t>
        </is>
      </c>
      <c r="O1114" s="4" t="inlineStr">
        <is>
          <t>Skorts, Athletic Skirts</t>
        </is>
      </c>
    </row>
    <row r="1115" ht="80" customHeight="1">
      <c r="A1115" s="7">
        <f>IMAGE("https://images.lululemon.com/is/image/lululemon/LW8AQJS_031382_1?wid=320&amp;op_usm=0.8",1)</f>
        <v/>
      </c>
      <c r="B1115" s="7" t="inlineStr">
        <is>
          <t>Lightweight High-Rise Tennis Skirt</t>
        </is>
      </c>
      <c r="C1115" s="7" t="inlineStr">
        <is>
          <t>151502683</t>
        </is>
      </c>
      <c r="D1115" s="7" t="inlineStr">
        <is>
          <t>151502683-black</t>
        </is>
      </c>
      <c r="E1115" s="7" t="inlineStr">
        <is>
          <t>Lightweight High-Rise Tennis Skirt TRNV 2</t>
        </is>
      </c>
      <c r="F1115" s="7" t="inlineStr">
        <is>
          <t>$78.00</t>
        </is>
      </c>
      <c r="G1115" s="7" t="inlineStr">
        <is>
          <t>$39.00</t>
        </is>
      </c>
      <c r="H1115" s="7" t="inlineStr">
        <is>
          <t>Black</t>
        </is>
      </c>
      <c r="I1115" s="7">
        <f>IMAGE("https://images.lululemon.com/is/image/lululemon/0001",1)</f>
        <v/>
      </c>
      <c r="J1115" s="7" t="inlineStr">
        <is>
          <t>2</t>
        </is>
      </c>
      <c r="K1115" s="7" t="inlineStr">
        <is>
          <t>402/8395</t>
        </is>
      </c>
      <c r="L1115" s="7" t="inlineStr">
        <is>
          <t>Yes</t>
        </is>
      </c>
      <c r="M1115" s="7" t="inlineStr">
        <is>
          <t>Made to move. This lightweight tennis skirt features quick-drying Swift fabric and built-in shorts to match your momentum on and off the court.</t>
        </is>
      </c>
      <c r="N1115" s="7" t="inlineStr">
        <is>
          <t>Lightweight-High-Rise-Tennis-Skirt</t>
        </is>
      </c>
      <c r="O1115" s="7" t="inlineStr">
        <is>
          <t>Skorts, Athletic Skirts</t>
        </is>
      </c>
    </row>
    <row r="1116" ht="80" customHeight="1">
      <c r="A1116" s="4">
        <f>IMAGE("https://images.lululemon.com/is/image/lululemon/LW8AQJS_031382_1?wid=320&amp;op_usm=0.8",1)</f>
        <v/>
      </c>
      <c r="B1116" s="4" t="inlineStr">
        <is>
          <t>Lightweight High-Rise Tennis Skirt</t>
        </is>
      </c>
      <c r="C1116" s="4" t="inlineStr">
        <is>
          <t>151502710</t>
        </is>
      </c>
      <c r="D1116" s="4" t="inlineStr">
        <is>
          <t>151502710-black</t>
        </is>
      </c>
      <c r="E1116" s="4" t="inlineStr">
        <is>
          <t>Lightweight High-Rise Tennis Skirt TRNV 2</t>
        </is>
      </c>
      <c r="F1116" s="4" t="inlineStr">
        <is>
          <t>$78.00</t>
        </is>
      </c>
      <c r="G1116" s="4" t="inlineStr">
        <is>
          <t>$39.00</t>
        </is>
      </c>
      <c r="H1116" s="4" t="inlineStr">
        <is>
          <t>Black</t>
        </is>
      </c>
      <c r="I1116" s="4">
        <f>IMAGE("https://images.lululemon.com/is/image/lululemon/0001",1)</f>
        <v/>
      </c>
      <c r="J1116" s="4" t="inlineStr">
        <is>
          <t>4</t>
        </is>
      </c>
      <c r="K1116" s="4" t="inlineStr">
        <is>
          <t>959/8395</t>
        </is>
      </c>
      <c r="L1116" s="4" t="inlineStr">
        <is>
          <t>Yes</t>
        </is>
      </c>
      <c r="M1116" s="4" t="inlineStr">
        <is>
          <t>Made to move. This lightweight tennis skirt features quick-drying Swift fabric and built-in shorts to match your momentum on and off the court.</t>
        </is>
      </c>
      <c r="N1116" s="4" t="inlineStr">
        <is>
          <t>Lightweight-High-Rise-Tennis-Skirt</t>
        </is>
      </c>
      <c r="O1116" s="4" t="inlineStr">
        <is>
          <t>Skorts, Athletic Skirts</t>
        </is>
      </c>
    </row>
    <row r="1117" ht="80" customHeight="1">
      <c r="A1117" s="7">
        <f>IMAGE("https://images.lululemon.com/is/image/lululemon/LW8AQJS_031382_1?wid=320&amp;op_usm=0.8",1)</f>
        <v/>
      </c>
      <c r="B1117" s="7" t="inlineStr">
        <is>
          <t>Lightweight High-Rise Tennis Skirt</t>
        </is>
      </c>
      <c r="C1117" s="7" t="inlineStr">
        <is>
          <t>151502714</t>
        </is>
      </c>
      <c r="D1117" s="7" t="inlineStr">
        <is>
          <t>151502714-black</t>
        </is>
      </c>
      <c r="E1117" s="7" t="inlineStr">
        <is>
          <t>Lightweight High-Rise Tennis Skirt TRNV 2</t>
        </is>
      </c>
      <c r="F1117" s="7" t="inlineStr">
        <is>
          <t>$78.00</t>
        </is>
      </c>
      <c r="G1117" s="7" t="inlineStr">
        <is>
          <t>$39.00</t>
        </is>
      </c>
      <c r="H1117" s="7" t="inlineStr">
        <is>
          <t>Black</t>
        </is>
      </c>
      <c r="I1117" s="7">
        <f>IMAGE("https://images.lululemon.com/is/image/lululemon/0001",1)</f>
        <v/>
      </c>
      <c r="J1117" s="7" t="inlineStr">
        <is>
          <t>6</t>
        </is>
      </c>
      <c r="K1117" s="7" t="inlineStr">
        <is>
          <t>1154/8395</t>
        </is>
      </c>
      <c r="L1117" s="7" t="inlineStr">
        <is>
          <t>Yes</t>
        </is>
      </c>
      <c r="M1117" s="7" t="inlineStr">
        <is>
          <t>Made to move. This lightweight tennis skirt features quick-drying Swift fabric and built-in shorts to match your momentum on and off the court.</t>
        </is>
      </c>
      <c r="N1117" s="7" t="inlineStr">
        <is>
          <t>Lightweight-High-Rise-Tennis-Skirt</t>
        </is>
      </c>
      <c r="O1117" s="7" t="inlineStr">
        <is>
          <t>Skorts, Athletic Skirts</t>
        </is>
      </c>
    </row>
    <row r="1118" ht="80" customHeight="1">
      <c r="A1118" s="4">
        <f>IMAGE("https://images.lululemon.com/is/image/lululemon/LW8AQJS_031382_1?wid=320&amp;op_usm=0.8",1)</f>
        <v/>
      </c>
      <c r="B1118" s="4" t="inlineStr">
        <is>
          <t>Lightweight High-Rise Tennis Skirt</t>
        </is>
      </c>
      <c r="C1118" s="4" t="inlineStr">
        <is>
          <t>151502721</t>
        </is>
      </c>
      <c r="D1118" s="4" t="inlineStr">
        <is>
          <t>151502721-black</t>
        </is>
      </c>
      <c r="E1118" s="4" t="inlineStr">
        <is>
          <t>Lightweight High-Rise Tennis Skirt TRNV 2</t>
        </is>
      </c>
      <c r="F1118" s="4" t="inlineStr">
        <is>
          <t>$78.00</t>
        </is>
      </c>
      <c r="G1118" s="4" t="inlineStr">
        <is>
          <t>$39.00</t>
        </is>
      </c>
      <c r="H1118" s="4" t="inlineStr">
        <is>
          <t>Black</t>
        </is>
      </c>
      <c r="I1118" s="4">
        <f>IMAGE("https://images.lululemon.com/is/image/lululemon/0001",1)</f>
        <v/>
      </c>
      <c r="J1118" s="4" t="inlineStr">
        <is>
          <t>8</t>
        </is>
      </c>
      <c r="K1118" s="4" t="inlineStr">
        <is>
          <t>865/8395</t>
        </is>
      </c>
      <c r="L1118" s="4" t="inlineStr">
        <is>
          <t>Yes</t>
        </is>
      </c>
      <c r="M1118" s="4" t="inlineStr">
        <is>
          <t>Made to move. This lightweight tennis skirt features quick-drying Swift fabric and built-in shorts to match your momentum on and off the court.</t>
        </is>
      </c>
      <c r="N1118" s="4" t="inlineStr">
        <is>
          <t>Lightweight-High-Rise-Tennis-Skirt</t>
        </is>
      </c>
      <c r="O1118" s="4" t="inlineStr">
        <is>
          <t>Skorts, Athletic Skirts</t>
        </is>
      </c>
    </row>
    <row r="1119" ht="80" customHeight="1">
      <c r="A1119" s="7">
        <f>IMAGE("https://images.lululemon.com/is/image/lululemon/LW8AQJS_031382_1?wid=320&amp;op_usm=0.8",1)</f>
        <v/>
      </c>
      <c r="B1119" s="7" t="inlineStr">
        <is>
          <t>Lightweight High-Rise Tennis Skirt</t>
        </is>
      </c>
      <c r="C1119" s="7" t="inlineStr">
        <is>
          <t>157700639</t>
        </is>
      </c>
      <c r="D1119" s="7" t="inlineStr">
        <is>
          <t>157700639-black</t>
        </is>
      </c>
      <c r="E1119" s="7" t="inlineStr">
        <is>
          <t>Lightweight High-Rise Tennis Skirt TRNV 2</t>
        </is>
      </c>
      <c r="F1119" s="7" t="inlineStr">
        <is>
          <t>$78.00</t>
        </is>
      </c>
      <c r="G1119" s="7" t="inlineStr">
        <is>
          <t>$39.00</t>
        </is>
      </c>
      <c r="H1119" s="7" t="inlineStr">
        <is>
          <t>Black</t>
        </is>
      </c>
      <c r="I1119" s="7">
        <f>IMAGE("https://images.lululemon.com/is/image/lululemon/0001",1)</f>
        <v/>
      </c>
      <c r="J1119" s="7" t="inlineStr">
        <is>
          <t>10</t>
        </is>
      </c>
      <c r="K1119" s="7" t="inlineStr">
        <is>
          <t>147/8395</t>
        </is>
      </c>
      <c r="L1119" s="7" t="inlineStr">
        <is>
          <t>Yes</t>
        </is>
      </c>
      <c r="M1119" s="7" t="inlineStr">
        <is>
          <t>Made to move. This lightweight tennis skirt features quick-drying Swift fabric and built-in shorts to match your momentum on and off the court.</t>
        </is>
      </c>
      <c r="N1119" s="7" t="inlineStr">
        <is>
          <t>Lightweight-High-Rise-Tennis-Skirt</t>
        </is>
      </c>
      <c r="O1119" s="7" t="inlineStr">
        <is>
          <t>Skorts, Athletic Skirts</t>
        </is>
      </c>
    </row>
    <row r="1120" ht="80" customHeight="1">
      <c r="A1120" s="4">
        <f>IMAGE("https://images.lululemon.com/is/image/lululemon/LW8AQJS_031382_1?wid=320&amp;op_usm=0.8",1)</f>
        <v/>
      </c>
      <c r="B1120" s="4" t="inlineStr">
        <is>
          <t>Lightweight High-Rise Tennis Skirt</t>
        </is>
      </c>
      <c r="C1120" s="4" t="inlineStr">
        <is>
          <t>151502661</t>
        </is>
      </c>
      <c r="D1120" s="4" t="inlineStr">
        <is>
          <t>151502661-black</t>
        </is>
      </c>
      <c r="E1120" s="4" t="inlineStr">
        <is>
          <t>Lightweight High-Rise Tennis Skirt TRNV 2</t>
        </is>
      </c>
      <c r="F1120" s="4" t="inlineStr">
        <is>
          <t>$78.00</t>
        </is>
      </c>
      <c r="G1120" s="4" t="inlineStr">
        <is>
          <t>$39.00</t>
        </is>
      </c>
      <c r="H1120" s="4" t="inlineStr">
        <is>
          <t>Black</t>
        </is>
      </c>
      <c r="I1120" s="4">
        <f>IMAGE("https://images.lululemon.com/is/image/lululemon/0001",1)</f>
        <v/>
      </c>
      <c r="J1120" s="4" t="inlineStr">
        <is>
          <t>12</t>
        </is>
      </c>
      <c r="K1120" s="4" t="inlineStr">
        <is>
          <t>166/8395</t>
        </is>
      </c>
      <c r="L1120" s="4" t="inlineStr">
        <is>
          <t>Yes</t>
        </is>
      </c>
      <c r="M1120" s="4" t="inlineStr">
        <is>
          <t>Made to move. This lightweight tennis skirt features quick-drying Swift fabric and built-in shorts to match your momentum on and off the court.</t>
        </is>
      </c>
      <c r="N1120" s="4" t="inlineStr">
        <is>
          <t>Lightweight-High-Rise-Tennis-Skirt</t>
        </is>
      </c>
      <c r="O1120" s="4" t="inlineStr">
        <is>
          <t>Skorts, Athletic Skirts</t>
        </is>
      </c>
    </row>
    <row r="1121" ht="80" customHeight="1">
      <c r="A1121" s="7">
        <f>IMAGE("https://images.lululemon.com/is/image/lululemon/LW8AQJS_031382_1?wid=320&amp;op_usm=0.8",1)</f>
        <v/>
      </c>
      <c r="B1121" s="7" t="inlineStr">
        <is>
          <t>Lightweight High-Rise Tennis Skirt</t>
        </is>
      </c>
      <c r="C1121" s="7" t="inlineStr">
        <is>
          <t>157681436</t>
        </is>
      </c>
      <c r="D1121" s="7" t="inlineStr">
        <is>
          <t>157681436-black</t>
        </is>
      </c>
      <c r="E1121" s="7" t="inlineStr">
        <is>
          <t>Lightweight High-Rise Tennis Skirt TRNV 2</t>
        </is>
      </c>
      <c r="F1121" s="7" t="inlineStr">
        <is>
          <t>$78.00</t>
        </is>
      </c>
      <c r="G1121" s="7" t="inlineStr">
        <is>
          <t>$39.00</t>
        </is>
      </c>
      <c r="H1121" s="7" t="inlineStr">
        <is>
          <t>Black</t>
        </is>
      </c>
      <c r="I1121" s="7">
        <f>IMAGE("https://images.lululemon.com/is/image/lululemon/0001",1)</f>
        <v/>
      </c>
      <c r="J1121" s="7" t="inlineStr">
        <is>
          <t>14</t>
        </is>
      </c>
      <c r="K1121" s="7" t="inlineStr">
        <is>
          <t>6/8395</t>
        </is>
      </c>
      <c r="L1121" s="7" t="inlineStr">
        <is>
          <t>Yes</t>
        </is>
      </c>
      <c r="M1121" s="7" t="inlineStr">
        <is>
          <t>Made to move. This lightweight tennis skirt features quick-drying Swift fabric and built-in shorts to match your momentum on and off the court.</t>
        </is>
      </c>
      <c r="N1121" s="7" t="inlineStr">
        <is>
          <t>Lightweight-High-Rise-Tennis-Skirt</t>
        </is>
      </c>
      <c r="O1121" s="7" t="inlineStr">
        <is>
          <t>Skorts, Athletic Skirts</t>
        </is>
      </c>
    </row>
    <row r="1122" ht="80" customHeight="1">
      <c r="A1122" s="4">
        <f>IMAGE("https://images.lululemon.com/is/image/lululemon/LW8AQJS_031382_1?wid=320&amp;op_usm=0.8",1)</f>
        <v/>
      </c>
      <c r="B1122" s="4" t="inlineStr">
        <is>
          <t>Lightweight High-Rise Tennis Skirt</t>
        </is>
      </c>
      <c r="C1122" s="4" t="inlineStr">
        <is>
          <t>157682053</t>
        </is>
      </c>
      <c r="D1122" s="4" t="inlineStr">
        <is>
          <t>157682053-clubblue</t>
        </is>
      </c>
      <c r="E1122" s="4" t="inlineStr">
        <is>
          <t>Lightweight High-Rise Tennis Skirt TRNV 2</t>
        </is>
      </c>
      <c r="F1122" s="4" t="inlineStr">
        <is>
          <t>$78.00</t>
        </is>
      </c>
      <c r="G1122" s="4" t="inlineStr">
        <is>
          <t>$39.00</t>
        </is>
      </c>
      <c r="H1122" s="4" t="inlineStr">
        <is>
          <t>Club Blue</t>
        </is>
      </c>
      <c r="I1122" s="4">
        <f>IMAGE("https://images.lululemon.com/is/image/lululemon/68578",1)</f>
        <v/>
      </c>
      <c r="J1122" s="4" t="inlineStr">
        <is>
          <t>2</t>
        </is>
      </c>
      <c r="K1122" s="4" t="inlineStr">
        <is>
          <t>8/8395</t>
        </is>
      </c>
      <c r="L1122" s="4" t="inlineStr">
        <is>
          <t>Yes</t>
        </is>
      </c>
      <c r="M1122" s="4" t="inlineStr">
        <is>
          <t>Made to move. This lightweight tennis skirt features quick-drying Swift fabric and built-in shorts to match your momentum on and off the court.</t>
        </is>
      </c>
      <c r="N1122" s="4" t="inlineStr">
        <is>
          <t>Lightweight-High-Rise-Tennis-Skirt</t>
        </is>
      </c>
      <c r="O1122" s="4" t="inlineStr">
        <is>
          <t>Skorts, Athletic Skirts</t>
        </is>
      </c>
    </row>
    <row r="1123" ht="80" customHeight="1">
      <c r="A1123" s="7">
        <f>IMAGE("https://images.lululemon.com/is/image/lululemon/LW8AQJS_031382_1?wid=320&amp;op_usm=0.8",1)</f>
        <v/>
      </c>
      <c r="B1123" s="7" t="inlineStr">
        <is>
          <t>Lightweight High-Rise Tennis Skirt</t>
        </is>
      </c>
      <c r="C1123" s="7" t="inlineStr">
        <is>
          <t>157682066</t>
        </is>
      </c>
      <c r="D1123" s="7" t="inlineStr">
        <is>
          <t>157682066-clubblue</t>
        </is>
      </c>
      <c r="E1123" s="7" t="inlineStr">
        <is>
          <t>Lightweight High-Rise Tennis Skirt TRNV 2</t>
        </is>
      </c>
      <c r="F1123" s="7" t="inlineStr">
        <is>
          <t>$78.00</t>
        </is>
      </c>
      <c r="G1123" s="7" t="inlineStr">
        <is>
          <t>$39.00</t>
        </is>
      </c>
      <c r="H1123" s="7" t="inlineStr">
        <is>
          <t>Club Blue</t>
        </is>
      </c>
      <c r="I1123" s="7">
        <f>IMAGE("https://images.lululemon.com/is/image/lululemon/68578",1)</f>
        <v/>
      </c>
      <c r="J1123" s="7" t="inlineStr">
        <is>
          <t>4</t>
        </is>
      </c>
      <c r="K1123" s="7" t="inlineStr">
        <is>
          <t>21/8395</t>
        </is>
      </c>
      <c r="L1123" s="7" t="inlineStr">
        <is>
          <t>Yes</t>
        </is>
      </c>
      <c r="M1123" s="7" t="inlineStr">
        <is>
          <t>Made to move. This lightweight tennis skirt features quick-drying Swift fabric and built-in shorts to match your momentum on and off the court.</t>
        </is>
      </c>
      <c r="N1123" s="7" t="inlineStr">
        <is>
          <t>Lightweight-High-Rise-Tennis-Skirt</t>
        </is>
      </c>
      <c r="O1123" s="7" t="inlineStr">
        <is>
          <t>Skorts, Athletic Skirts</t>
        </is>
      </c>
    </row>
    <row r="1124" ht="80" customHeight="1">
      <c r="A1124" s="4">
        <f>IMAGE("https://images.lululemon.com/is/image/lululemon/LW8AQJS_031382_1?wid=320&amp;op_usm=0.8",1)</f>
        <v/>
      </c>
      <c r="B1124" s="4" t="inlineStr">
        <is>
          <t>Lightweight High-Rise Tennis Skirt</t>
        </is>
      </c>
      <c r="C1124" s="4" t="inlineStr">
        <is>
          <t>157682078</t>
        </is>
      </c>
      <c r="D1124" s="4" t="inlineStr">
        <is>
          <t>157682078-clubblue</t>
        </is>
      </c>
      <c r="E1124" s="4" t="inlineStr">
        <is>
          <t>Lightweight High-Rise Tennis Skirt TRNV 2</t>
        </is>
      </c>
      <c r="F1124" s="4" t="inlineStr">
        <is>
          <t>$78.00</t>
        </is>
      </c>
      <c r="G1124" s="4" t="inlineStr">
        <is>
          <t>$39.00</t>
        </is>
      </c>
      <c r="H1124" s="4" t="inlineStr">
        <is>
          <t>Club Blue</t>
        </is>
      </c>
      <c r="I1124" s="4">
        <f>IMAGE("https://images.lululemon.com/is/image/lululemon/68578",1)</f>
        <v/>
      </c>
      <c r="J1124" s="4" t="inlineStr">
        <is>
          <t>6</t>
        </is>
      </c>
      <c r="K1124" s="4" t="inlineStr">
        <is>
          <t>19/8395</t>
        </is>
      </c>
      <c r="L1124" s="4" t="inlineStr">
        <is>
          <t>Yes</t>
        </is>
      </c>
      <c r="M1124" s="4" t="inlineStr">
        <is>
          <t>Made to move. This lightweight tennis skirt features quick-drying Swift fabric and built-in shorts to match your momentum on and off the court.</t>
        </is>
      </c>
      <c r="N1124" s="4" t="inlineStr">
        <is>
          <t>Lightweight-High-Rise-Tennis-Skirt</t>
        </is>
      </c>
      <c r="O1124" s="4" t="inlineStr">
        <is>
          <t>Skorts, Athletic Skirts</t>
        </is>
      </c>
    </row>
    <row r="1125" ht="80" customHeight="1">
      <c r="A1125" s="7">
        <f>IMAGE("https://images.lululemon.com/is/image/lululemon/LW8AQJS_031382_1?wid=320&amp;op_usm=0.8",1)</f>
        <v/>
      </c>
      <c r="B1125" s="7" t="inlineStr">
        <is>
          <t>Lightweight High-Rise Tennis Skirt</t>
        </is>
      </c>
      <c r="C1125" s="7" t="inlineStr">
        <is>
          <t>157682089</t>
        </is>
      </c>
      <c r="D1125" s="7" t="inlineStr">
        <is>
          <t>157682089-clubblue</t>
        </is>
      </c>
      <c r="E1125" s="7" t="inlineStr">
        <is>
          <t>Lightweight High-Rise Tennis Skirt TRNV 2</t>
        </is>
      </c>
      <c r="F1125" s="7" t="inlineStr">
        <is>
          <t>$78.00</t>
        </is>
      </c>
      <c r="G1125" s="7" t="inlineStr">
        <is>
          <t>$39.00</t>
        </is>
      </c>
      <c r="H1125" s="7" t="inlineStr">
        <is>
          <t>Club Blue</t>
        </is>
      </c>
      <c r="I1125" s="7">
        <f>IMAGE("https://images.lululemon.com/is/image/lululemon/68578",1)</f>
        <v/>
      </c>
      <c r="J1125" s="7" t="inlineStr">
        <is>
          <t>8</t>
        </is>
      </c>
      <c r="K1125" s="7" t="inlineStr">
        <is>
          <t>18/8395</t>
        </is>
      </c>
      <c r="L1125" s="7" t="inlineStr">
        <is>
          <t>Yes</t>
        </is>
      </c>
      <c r="M1125" s="7" t="inlineStr">
        <is>
          <t>Made to move. This lightweight tennis skirt features quick-drying Swift fabric and built-in shorts to match your momentum on and off the court.</t>
        </is>
      </c>
      <c r="N1125" s="7" t="inlineStr">
        <is>
          <t>Lightweight-High-Rise-Tennis-Skirt</t>
        </is>
      </c>
      <c r="O1125" s="7" t="inlineStr">
        <is>
          <t>Skorts, Athletic Skirts</t>
        </is>
      </c>
    </row>
    <row r="1126" ht="80" customHeight="1">
      <c r="A1126" s="4">
        <f>IMAGE("https://images.lululemon.com/is/image/lululemon/LW8AQJS_031382_1?wid=320&amp;op_usm=0.8",1)</f>
        <v/>
      </c>
      <c r="B1126" s="4" t="inlineStr">
        <is>
          <t>Lightweight High-Rise Tennis Skirt</t>
        </is>
      </c>
      <c r="C1126" s="4" t="inlineStr">
        <is>
          <t>157682014</t>
        </is>
      </c>
      <c r="D1126" s="4" t="inlineStr">
        <is>
          <t>157682014-clubblue</t>
        </is>
      </c>
      <c r="E1126" s="4" t="inlineStr">
        <is>
          <t>Lightweight High-Rise Tennis Skirt TRNV 2</t>
        </is>
      </c>
      <c r="F1126" s="4" t="inlineStr">
        <is>
          <t>$78.00</t>
        </is>
      </c>
      <c r="G1126" s="4" t="inlineStr">
        <is>
          <t>$39.00</t>
        </is>
      </c>
      <c r="H1126" s="4" t="inlineStr">
        <is>
          <t>Club Blue</t>
        </is>
      </c>
      <c r="I1126" s="4">
        <f>IMAGE("https://images.lululemon.com/is/image/lululemon/68578",1)</f>
        <v/>
      </c>
      <c r="J1126" s="4" t="inlineStr">
        <is>
          <t>10</t>
        </is>
      </c>
      <c r="K1126" s="4" t="inlineStr">
        <is>
          <t>10/8395</t>
        </is>
      </c>
      <c r="L1126" s="4" t="inlineStr">
        <is>
          <t>Yes</t>
        </is>
      </c>
      <c r="M1126" s="4" t="inlineStr">
        <is>
          <t>Made to move. This lightweight tennis skirt features quick-drying Swift fabric and built-in shorts to match your momentum on and off the court.</t>
        </is>
      </c>
      <c r="N1126" s="4" t="inlineStr">
        <is>
          <t>Lightweight-High-Rise-Tennis-Skirt</t>
        </is>
      </c>
      <c r="O1126" s="4" t="inlineStr">
        <is>
          <t>Skorts, Athletic Skirts</t>
        </is>
      </c>
    </row>
    <row r="1127" ht="80" customHeight="1">
      <c r="A1127" s="7">
        <f>IMAGE("https://images.lululemon.com/is/image/lululemon/LW8AQJS_031382_1?wid=320&amp;op_usm=0.8",1)</f>
        <v/>
      </c>
      <c r="B1127" s="7" t="inlineStr">
        <is>
          <t>Lightweight High-Rise Tennis Skirt</t>
        </is>
      </c>
      <c r="C1127" s="7" t="inlineStr">
        <is>
          <t>157682028</t>
        </is>
      </c>
      <c r="D1127" s="7" t="inlineStr">
        <is>
          <t>157682028-clubblue</t>
        </is>
      </c>
      <c r="E1127" s="7" t="inlineStr">
        <is>
          <t>Lightweight High-Rise Tennis Skirt TRNV 2</t>
        </is>
      </c>
      <c r="F1127" s="7" t="inlineStr">
        <is>
          <t>$78.00</t>
        </is>
      </c>
      <c r="G1127" s="7" t="inlineStr">
        <is>
          <t>$39.00</t>
        </is>
      </c>
      <c r="H1127" s="7" t="inlineStr">
        <is>
          <t>Club Blue</t>
        </is>
      </c>
      <c r="I1127" s="7">
        <f>IMAGE("https://images.lululemon.com/is/image/lululemon/68578",1)</f>
        <v/>
      </c>
      <c r="J1127" s="7" t="inlineStr">
        <is>
          <t>12</t>
        </is>
      </c>
      <c r="K1127" s="7" t="inlineStr">
        <is>
          <t>4/8395</t>
        </is>
      </c>
      <c r="L1127" s="7" t="inlineStr">
        <is>
          <t>Yes</t>
        </is>
      </c>
      <c r="M1127" s="7" t="inlineStr">
        <is>
          <t>Made to move. This lightweight tennis skirt features quick-drying Swift fabric and built-in shorts to match your momentum on and off the court.</t>
        </is>
      </c>
      <c r="N1127" s="7" t="inlineStr">
        <is>
          <t>Lightweight-High-Rise-Tennis-Skirt</t>
        </is>
      </c>
      <c r="O1127" s="7" t="inlineStr">
        <is>
          <t>Skorts, Athletic Skirts</t>
        </is>
      </c>
    </row>
    <row r="1128" ht="80" customHeight="1">
      <c r="A1128" s="4">
        <f>IMAGE("https://images.lululemon.com/is/image/lululemon/LW8AQJS_031382_1?wid=320&amp;op_usm=0.8",1)</f>
        <v/>
      </c>
      <c r="B1128" s="4" t="inlineStr">
        <is>
          <t>Lightweight High-Rise Tennis Skirt</t>
        </is>
      </c>
      <c r="C1128" s="4" t="inlineStr">
        <is>
          <t>158020403</t>
        </is>
      </c>
      <c r="D1128" s="4" t="inlineStr">
        <is>
          <t>158020403-pelican</t>
        </is>
      </c>
      <c r="E1128" s="4" t="inlineStr">
        <is>
          <t>Lightweight High-Rise Tennis Skirt TRNV 2</t>
        </is>
      </c>
      <c r="F1128" s="4" t="inlineStr">
        <is>
          <t>$78.00</t>
        </is>
      </c>
      <c r="G1128" s="4" t="inlineStr">
        <is>
          <t>$39.00</t>
        </is>
      </c>
      <c r="H1128" s="4" t="inlineStr">
        <is>
          <t>Pelican</t>
        </is>
      </c>
      <c r="I1128" s="4">
        <f>IMAGE("https://images.lululemon.com/is/image/lululemon/27401",1)</f>
        <v/>
      </c>
      <c r="J1128" s="4" t="inlineStr">
        <is>
          <t>2</t>
        </is>
      </c>
      <c r="K1128" s="4" t="inlineStr">
        <is>
          <t>19/8395</t>
        </is>
      </c>
      <c r="L1128" s="4" t="inlineStr">
        <is>
          <t>Yes</t>
        </is>
      </c>
      <c r="M1128" s="4" t="inlineStr">
        <is>
          <t>Made to move. This lightweight tennis skirt features quick-drying Swift fabric and built-in shorts to match your momentum on and off the court.</t>
        </is>
      </c>
      <c r="N1128" s="4" t="inlineStr">
        <is>
          <t>Lightweight-High-Rise-Tennis-Skirt</t>
        </is>
      </c>
      <c r="O1128" s="4" t="inlineStr">
        <is>
          <t>Skorts, Athletic Skirts</t>
        </is>
      </c>
    </row>
    <row r="1129" ht="80" customHeight="1">
      <c r="A1129" s="7">
        <f>IMAGE("https://images.lululemon.com/is/image/lululemon/LW8AQJS_031382_1?wid=320&amp;op_usm=0.8",1)</f>
        <v/>
      </c>
      <c r="B1129" s="7" t="inlineStr">
        <is>
          <t>Lightweight High-Rise Tennis Skirt</t>
        </is>
      </c>
      <c r="C1129" s="7" t="inlineStr">
        <is>
          <t>158020414</t>
        </is>
      </c>
      <c r="D1129" s="7" t="inlineStr">
        <is>
          <t>158020414-pelican</t>
        </is>
      </c>
      <c r="E1129" s="7" t="inlineStr">
        <is>
          <t>Lightweight High-Rise Tennis Skirt TRNV 2</t>
        </is>
      </c>
      <c r="F1129" s="7" t="inlineStr">
        <is>
          <t>$78.00</t>
        </is>
      </c>
      <c r="G1129" s="7" t="inlineStr">
        <is>
          <t>$39.00</t>
        </is>
      </c>
      <c r="H1129" s="7" t="inlineStr">
        <is>
          <t>Pelican</t>
        </is>
      </c>
      <c r="I1129" s="7">
        <f>IMAGE("https://images.lululemon.com/is/image/lululemon/27401",1)</f>
        <v/>
      </c>
      <c r="J1129" s="7" t="inlineStr">
        <is>
          <t>4</t>
        </is>
      </c>
      <c r="K1129" s="7" t="inlineStr">
        <is>
          <t>23/8395</t>
        </is>
      </c>
      <c r="L1129" s="7" t="inlineStr">
        <is>
          <t>Yes</t>
        </is>
      </c>
      <c r="M1129" s="7" t="inlineStr">
        <is>
          <t>Made to move. This lightweight tennis skirt features quick-drying Swift fabric and built-in shorts to match your momentum on and off the court.</t>
        </is>
      </c>
      <c r="N1129" s="7" t="inlineStr">
        <is>
          <t>Lightweight-High-Rise-Tennis-Skirt</t>
        </is>
      </c>
      <c r="O1129" s="7" t="inlineStr">
        <is>
          <t>Skorts, Athletic Skirts</t>
        </is>
      </c>
    </row>
    <row r="1130" ht="80" customHeight="1">
      <c r="A1130" s="4">
        <f>IMAGE("https://images.lululemon.com/is/image/lululemon/LW8AQJS_031382_1?wid=320&amp;op_usm=0.8",1)</f>
        <v/>
      </c>
      <c r="B1130" s="4" t="inlineStr">
        <is>
          <t>Lightweight High-Rise Tennis Skirt</t>
        </is>
      </c>
      <c r="C1130" s="4" t="inlineStr">
        <is>
          <t>158020425</t>
        </is>
      </c>
      <c r="D1130" s="4" t="inlineStr">
        <is>
          <t>158020425-pelican</t>
        </is>
      </c>
      <c r="E1130" s="4" t="inlineStr">
        <is>
          <t>Lightweight High-Rise Tennis Skirt TRNV 2</t>
        </is>
      </c>
      <c r="F1130" s="4" t="inlineStr">
        <is>
          <t>$78.00</t>
        </is>
      </c>
      <c r="G1130" s="4" t="inlineStr">
        <is>
          <t>$39.00</t>
        </is>
      </c>
      <c r="H1130" s="4" t="inlineStr">
        <is>
          <t>Pelican</t>
        </is>
      </c>
      <c r="I1130" s="4">
        <f>IMAGE("https://images.lululemon.com/is/image/lululemon/27401",1)</f>
        <v/>
      </c>
      <c r="J1130" s="4" t="inlineStr">
        <is>
          <t>6</t>
        </is>
      </c>
      <c r="K1130" s="4" t="inlineStr">
        <is>
          <t>28/8395</t>
        </is>
      </c>
      <c r="L1130" s="4" t="inlineStr">
        <is>
          <t>Yes</t>
        </is>
      </c>
      <c r="M1130" s="4" t="inlineStr">
        <is>
          <t>Made to move. This lightweight tennis skirt features quick-drying Swift fabric and built-in shorts to match your momentum on and off the court.</t>
        </is>
      </c>
      <c r="N1130" s="4" t="inlineStr">
        <is>
          <t>Lightweight-High-Rise-Tennis-Skirt</t>
        </is>
      </c>
      <c r="O1130" s="4" t="inlineStr">
        <is>
          <t>Skorts, Athletic Skirts</t>
        </is>
      </c>
    </row>
    <row r="1131" ht="80" customHeight="1">
      <c r="A1131" s="7">
        <f>IMAGE("https://images.lululemon.com/is/image/lululemon/LW8AQJS_031382_1?wid=320&amp;op_usm=0.8",1)</f>
        <v/>
      </c>
      <c r="B1131" s="7" t="inlineStr">
        <is>
          <t>Lightweight High-Rise Tennis Skirt</t>
        </is>
      </c>
      <c r="C1131" s="7" t="inlineStr">
        <is>
          <t>158020438</t>
        </is>
      </c>
      <c r="D1131" s="7" t="inlineStr">
        <is>
          <t>158020438-pelican</t>
        </is>
      </c>
      <c r="E1131" s="7" t="inlineStr">
        <is>
          <t>Lightweight High-Rise Tennis Skirt TRNV 2</t>
        </is>
      </c>
      <c r="F1131" s="7" t="inlineStr">
        <is>
          <t>$78.00</t>
        </is>
      </c>
      <c r="G1131" s="7" t="inlineStr">
        <is>
          <t>$39.00</t>
        </is>
      </c>
      <c r="H1131" s="7" t="inlineStr">
        <is>
          <t>Pelican</t>
        </is>
      </c>
      <c r="I1131" s="7">
        <f>IMAGE("https://images.lululemon.com/is/image/lululemon/27401",1)</f>
        <v/>
      </c>
      <c r="J1131" s="7" t="inlineStr">
        <is>
          <t>8</t>
        </is>
      </c>
      <c r="K1131" s="7" t="inlineStr">
        <is>
          <t>18/8395</t>
        </is>
      </c>
      <c r="L1131" s="7" t="inlineStr">
        <is>
          <t>Yes</t>
        </is>
      </c>
      <c r="M1131" s="7" t="inlineStr">
        <is>
          <t>Made to move. This lightweight tennis skirt features quick-drying Swift fabric and built-in shorts to match your momentum on and off the court.</t>
        </is>
      </c>
      <c r="N1131" s="7" t="inlineStr">
        <is>
          <t>Lightweight-High-Rise-Tennis-Skirt</t>
        </is>
      </c>
      <c r="O1131" s="7" t="inlineStr">
        <is>
          <t>Skorts, Athletic Skirts</t>
        </is>
      </c>
    </row>
    <row r="1132" ht="80" customHeight="1">
      <c r="A1132" s="4">
        <f>IMAGE("https://images.lululemon.com/is/image/lululemon/LW8AQJS_031382_1?wid=320&amp;op_usm=0.8",1)</f>
        <v/>
      </c>
      <c r="B1132" s="4" t="inlineStr">
        <is>
          <t>Lightweight High-Rise Tennis Skirt</t>
        </is>
      </c>
      <c r="C1132" s="4" t="inlineStr">
        <is>
          <t>158020365</t>
        </is>
      </c>
      <c r="D1132" s="4" t="inlineStr">
        <is>
          <t>158020365-pelican</t>
        </is>
      </c>
      <c r="E1132" s="4" t="inlineStr">
        <is>
          <t>Lightweight High-Rise Tennis Skirt TRNV 2</t>
        </is>
      </c>
      <c r="F1132" s="4" t="inlineStr">
        <is>
          <t>$78.00</t>
        </is>
      </c>
      <c r="G1132" s="4" t="inlineStr">
        <is>
          <t>$39.00</t>
        </is>
      </c>
      <c r="H1132" s="4" t="inlineStr">
        <is>
          <t>Pelican</t>
        </is>
      </c>
      <c r="I1132" s="4">
        <f>IMAGE("https://images.lululemon.com/is/image/lululemon/27401",1)</f>
        <v/>
      </c>
      <c r="J1132" s="4" t="inlineStr">
        <is>
          <t>10</t>
        </is>
      </c>
      <c r="K1132" s="4" t="inlineStr">
        <is>
          <t>10/8395</t>
        </is>
      </c>
      <c r="L1132" s="4" t="inlineStr">
        <is>
          <t>Yes</t>
        </is>
      </c>
      <c r="M1132" s="4" t="inlineStr">
        <is>
          <t>Made to move. This lightweight tennis skirt features quick-drying Swift fabric and built-in shorts to match your momentum on and off the court.</t>
        </is>
      </c>
      <c r="N1132" s="4" t="inlineStr">
        <is>
          <t>Lightweight-High-Rise-Tennis-Skirt</t>
        </is>
      </c>
      <c r="O1132" s="4" t="inlineStr">
        <is>
          <t>Skorts, Athletic Skirts</t>
        </is>
      </c>
    </row>
    <row r="1133" ht="80" customHeight="1">
      <c r="A1133" s="5">
        <f>IMAGE("https://images.lululemon.com/is/image/lululemon/LW8AQJS_031382_1?wid=320&amp;op_usm=0.8",1)</f>
        <v/>
      </c>
      <c r="B1133" s="5" t="inlineStr">
        <is>
          <t>Lightweight High-Rise Tennis Skirt</t>
        </is>
      </c>
      <c r="C1133" s="5" t="inlineStr">
        <is>
          <t>158020378</t>
        </is>
      </c>
      <c r="D1133" s="5" t="inlineStr">
        <is>
          <t>158020378-pelican</t>
        </is>
      </c>
      <c r="E1133" s="5" t="inlineStr">
        <is>
          <t>Lightweight High-Rise Tennis Skirt TRNV 2</t>
        </is>
      </c>
      <c r="F1133" s="5" t="inlineStr">
        <is>
          <t>$78.00</t>
        </is>
      </c>
      <c r="G1133" s="5" t="inlineStr">
        <is>
          <t>$39.00</t>
        </is>
      </c>
      <c r="H1133" s="5" t="inlineStr">
        <is>
          <t>Pelican</t>
        </is>
      </c>
      <c r="I1133" s="5">
        <f>IMAGE("https://images.lululemon.com/is/image/lululemon/27401",1)</f>
        <v/>
      </c>
      <c r="J1133" s="5" t="inlineStr">
        <is>
          <t>12</t>
        </is>
      </c>
      <c r="K1133" s="5" t="inlineStr">
        <is>
          <t>6/8395</t>
        </is>
      </c>
      <c r="L1133" s="5" t="inlineStr">
        <is>
          <t>Yes</t>
        </is>
      </c>
      <c r="M1133" s="5" t="inlineStr">
        <is>
          <t>Made to move. This lightweight tennis skirt features quick-drying Swift fabric and built-in shorts to match your momentum on and off the court.</t>
        </is>
      </c>
      <c r="N1133" s="5" t="inlineStr">
        <is>
          <t>Lightweight-High-Rise-Tennis-Skirt</t>
        </is>
      </c>
      <c r="O1133" s="5" t="inlineStr">
        <is>
          <t>Skorts, Athletic Skirts</t>
        </is>
      </c>
    </row>
    <row r="1134" ht="80" customHeight="1">
      <c r="A1134" s="4">
        <f>IMAGE("https://images.lululemon.com/is/image/lululemon/LW2E01S_0001_1?wid=320&amp;op_usm=0.8",1)</f>
        <v/>
      </c>
      <c r="B1134" s="4" t="inlineStr">
        <is>
          <t>lululemon Go Further Bra with Support Code Technology *High Impact, C/D Cup</t>
        </is>
      </c>
      <c r="C1134" s="4" t="inlineStr">
        <is>
          <t>153825647</t>
        </is>
      </c>
      <c r="D1134" s="4" t="inlineStr">
        <is>
          <t>153825647-black</t>
        </is>
      </c>
      <c r="E1134" s="4" t="inlineStr">
        <is>
          <t>lululemon Go Further Bra w Support Code Technology High Impact C/D BLK XS</t>
        </is>
      </c>
      <c r="F1134" s="4" t="inlineStr">
        <is>
          <t>$98.00</t>
        </is>
      </c>
      <c r="G1134" s="4" t="inlineStr">
        <is>
          <t>$49.00</t>
        </is>
      </c>
      <c r="H1134" s="4" t="inlineStr">
        <is>
          <t>Black</t>
        </is>
      </c>
      <c r="I1134" s="4">
        <f>IMAGE("https://images.lululemon.com/is/image/lululemon/0001",1)</f>
        <v/>
      </c>
      <c r="J1134" s="4" t="inlineStr">
        <is>
          <t>XS</t>
        </is>
      </c>
      <c r="K1134" s="4" t="inlineStr">
        <is>
          <t>7/221</t>
        </is>
      </c>
      <c r="L1134" s="4" t="inlineStr">
        <is>
          <t>Yes</t>
        </is>
      </c>
      <c r="M1134" s="4" t="inlineStr">
        <is>
          <t>Motion-activated support. Designed to offer lightweight comfort while you run, this bra's high-impact support kicks in as your pace quickens.</t>
        </is>
      </c>
      <c r="N1134" s="4" t="inlineStr">
        <is>
          <t>Go-Further-Bra-Support-Code-High-Impact-CD-Cup</t>
        </is>
      </c>
      <c r="O1134" s="4" t="inlineStr">
        <is>
          <t>Racerback Bras, Longline Bras</t>
        </is>
      </c>
    </row>
    <row r="1135" ht="80" customHeight="1">
      <c r="A1135" s="7">
        <f>IMAGE("https://images.lululemon.com/is/image/lululemon/LW2E01S_0001_1?wid=320&amp;op_usm=0.8",1)</f>
        <v/>
      </c>
      <c r="B1135" s="7" t="inlineStr">
        <is>
          <t>lululemon Go Further Bra with Support Code Technology *High Impact, C/D Cup</t>
        </is>
      </c>
      <c r="C1135" s="7" t="inlineStr">
        <is>
          <t>153825639</t>
        </is>
      </c>
      <c r="D1135" s="7" t="inlineStr">
        <is>
          <t>153825639-black</t>
        </is>
      </c>
      <c r="E1135" s="7" t="inlineStr">
        <is>
          <t>lululemon Go Further Bra w Support Code Technology High Impact C/D BLK XS</t>
        </is>
      </c>
      <c r="F1135" s="7" t="inlineStr">
        <is>
          <t>$98.00</t>
        </is>
      </c>
      <c r="G1135" s="7" t="inlineStr">
        <is>
          <t>$49.00</t>
        </is>
      </c>
      <c r="H1135" s="7" t="inlineStr">
        <is>
          <t>Black</t>
        </is>
      </c>
      <c r="I1135" s="7">
        <f>IMAGE("https://images.lululemon.com/is/image/lululemon/0001",1)</f>
        <v/>
      </c>
      <c r="J1135" s="7" t="inlineStr">
        <is>
          <t>S</t>
        </is>
      </c>
      <c r="K1135" s="7" t="inlineStr">
        <is>
          <t>55/221</t>
        </is>
      </c>
      <c r="L1135" s="7" t="inlineStr">
        <is>
          <t>Yes</t>
        </is>
      </c>
      <c r="M1135" s="7" t="inlineStr">
        <is>
          <t>Motion-activated support. Designed to offer lightweight comfort while you run, this bra's high-impact support kicks in as your pace quickens.</t>
        </is>
      </c>
      <c r="N1135" s="7" t="inlineStr">
        <is>
          <t>Go-Further-Bra-Support-Code-High-Impact-CD-Cup</t>
        </is>
      </c>
      <c r="O1135" s="7" t="inlineStr">
        <is>
          <t>Racerback Bras, Longline Bras</t>
        </is>
      </c>
    </row>
    <row r="1136" ht="80" customHeight="1">
      <c r="A1136" s="4">
        <f>IMAGE("https://images.lululemon.com/is/image/lululemon/LW2E01S_0001_1?wid=320&amp;op_usm=0.8",1)</f>
        <v/>
      </c>
      <c r="B1136" s="4" t="inlineStr">
        <is>
          <t>lululemon Go Further Bra with Support Code Technology *High Impact, C/D Cup</t>
        </is>
      </c>
      <c r="C1136" s="4" t="inlineStr">
        <is>
          <t>153825635</t>
        </is>
      </c>
      <c r="D1136" s="4" t="inlineStr">
        <is>
          <t>153825635-black</t>
        </is>
      </c>
      <c r="E1136" s="4" t="inlineStr">
        <is>
          <t>lululemon Go Further Bra w Support Code Technology High Impact C/D BLK XS</t>
        </is>
      </c>
      <c r="F1136" s="4" t="inlineStr">
        <is>
          <t>$98.00</t>
        </is>
      </c>
      <c r="G1136" s="4" t="inlineStr">
        <is>
          <t>$49.00</t>
        </is>
      </c>
      <c r="H1136" s="4" t="inlineStr">
        <is>
          <t>Black</t>
        </is>
      </c>
      <c r="I1136" s="4">
        <f>IMAGE("https://images.lululemon.com/is/image/lululemon/0001",1)</f>
        <v/>
      </c>
      <c r="J1136" s="4" t="inlineStr">
        <is>
          <t>M</t>
        </is>
      </c>
      <c r="K1136" s="4" t="inlineStr">
        <is>
          <t>97/221</t>
        </is>
      </c>
      <c r="L1136" s="4" t="inlineStr">
        <is>
          <t>Yes</t>
        </is>
      </c>
      <c r="M1136" s="4" t="inlineStr">
        <is>
          <t>Motion-activated support. Designed to offer lightweight comfort while you run, this bra's high-impact support kicks in as your pace quickens.</t>
        </is>
      </c>
      <c r="N1136" s="4" t="inlineStr">
        <is>
          <t>Go-Further-Bra-Support-Code-High-Impact-CD-Cup</t>
        </is>
      </c>
      <c r="O1136" s="4" t="inlineStr">
        <is>
          <t>Racerback Bras, Longline Bras</t>
        </is>
      </c>
    </row>
    <row r="1137" ht="80" customHeight="1">
      <c r="A1137" s="7">
        <f>IMAGE("https://images.lululemon.com/is/image/lululemon/LW2E01S_0001_1?wid=320&amp;op_usm=0.8",1)</f>
        <v/>
      </c>
      <c r="B1137" s="7" t="inlineStr">
        <is>
          <t>lululemon Go Further Bra with Support Code Technology *High Impact, C/D Cup</t>
        </is>
      </c>
      <c r="C1137" s="7" t="inlineStr">
        <is>
          <t>153825631</t>
        </is>
      </c>
      <c r="D1137" s="7" t="inlineStr">
        <is>
          <t>153825631-black</t>
        </is>
      </c>
      <c r="E1137" s="7" t="inlineStr">
        <is>
          <t>lululemon Go Further Bra w Support Code Technology High Impact C/D BLK XS</t>
        </is>
      </c>
      <c r="F1137" s="7" t="inlineStr">
        <is>
          <t>$98.00</t>
        </is>
      </c>
      <c r="G1137" s="7" t="inlineStr">
        <is>
          <t>$49.00</t>
        </is>
      </c>
      <c r="H1137" s="7" t="inlineStr">
        <is>
          <t>Black</t>
        </is>
      </c>
      <c r="I1137" s="7">
        <f>IMAGE("https://images.lululemon.com/is/image/lululemon/0001",1)</f>
        <v/>
      </c>
      <c r="J1137" s="7" t="inlineStr">
        <is>
          <t>L</t>
        </is>
      </c>
      <c r="K1137" s="7" t="inlineStr">
        <is>
          <t>31/221</t>
        </is>
      </c>
      <c r="L1137" s="7" t="inlineStr">
        <is>
          <t>Yes</t>
        </is>
      </c>
      <c r="M1137" s="7" t="inlineStr">
        <is>
          <t>Motion-activated support. Designed to offer lightweight comfort while you run, this bra's high-impact support kicks in as your pace quickens.</t>
        </is>
      </c>
      <c r="N1137" s="7" t="inlineStr">
        <is>
          <t>Go-Further-Bra-Support-Code-High-Impact-CD-Cup</t>
        </is>
      </c>
      <c r="O1137" s="7" t="inlineStr">
        <is>
          <t>Racerback Bras, Longline Bras</t>
        </is>
      </c>
    </row>
    <row r="1138" ht="80" customHeight="1">
      <c r="A1138" s="6">
        <f>IMAGE("https://images.lululemon.com/is/image/lululemon/LW2E01S_0001_1?wid=320&amp;op_usm=0.8",1)</f>
        <v/>
      </c>
      <c r="B1138" s="6" t="inlineStr">
        <is>
          <t>lululemon Go Further Bra with Support Code Technology *High Impact, C/D Cup</t>
        </is>
      </c>
      <c r="C1138" s="6" t="inlineStr">
        <is>
          <t>153825644</t>
        </is>
      </c>
      <c r="D1138" s="6" t="inlineStr">
        <is>
          <t>153825644-black</t>
        </is>
      </c>
      <c r="E1138" s="6" t="inlineStr">
        <is>
          <t>lululemon Go Further Bra w Support Code Technology High Impact C/D BLK XS</t>
        </is>
      </c>
      <c r="F1138" s="6" t="inlineStr">
        <is>
          <t>$98.00</t>
        </is>
      </c>
      <c r="G1138" s="6" t="inlineStr">
        <is>
          <t>$49.00</t>
        </is>
      </c>
      <c r="H1138" s="6" t="inlineStr">
        <is>
          <t>Black</t>
        </is>
      </c>
      <c r="I1138" s="6">
        <f>IMAGE("https://images.lululemon.com/is/image/lululemon/0001",1)</f>
        <v/>
      </c>
      <c r="J1138" s="6" t="inlineStr">
        <is>
          <t>XL</t>
        </is>
      </c>
      <c r="K1138" s="6" t="inlineStr">
        <is>
          <t>31/221</t>
        </is>
      </c>
      <c r="L1138" s="6" t="inlineStr">
        <is>
          <t>Yes</t>
        </is>
      </c>
      <c r="M1138" s="6" t="inlineStr">
        <is>
          <t>Motion-activated support. Designed to offer lightweight comfort while you run, this bra's high-impact support kicks in as your pace quickens.</t>
        </is>
      </c>
      <c r="N1138" s="6" t="inlineStr">
        <is>
          <t>Go-Further-Bra-Support-Code-High-Impact-CD-Cup</t>
        </is>
      </c>
      <c r="O1138" s="6" t="inlineStr">
        <is>
          <t>Racerback Bras, Longline Bras</t>
        </is>
      </c>
    </row>
    <row r="1139" ht="80" customHeight="1">
      <c r="A1139" s="7">
        <f>IMAGE("https://images.lululemon.com/is/image/lululemon/LW5DJ0S_0001_1?wid=320&amp;op_usm=0.8",1)</f>
        <v/>
      </c>
      <c r="B1139" s="7" t="inlineStr">
        <is>
          <t>Wunder Train High-Rise Tight 28"</t>
        </is>
      </c>
      <c r="C1139" s="7" t="inlineStr">
        <is>
          <t>127600048</t>
        </is>
      </c>
      <c r="D1139" s="7" t="inlineStr">
        <is>
          <t>127600048-black</t>
        </is>
      </c>
      <c r="E1139" s="7" t="inlineStr">
        <is>
          <t>Wunder Train HR Tight 28" BLK 0</t>
        </is>
      </c>
      <c r="F1139" s="7" t="inlineStr">
        <is>
          <t>$98.00</t>
        </is>
      </c>
      <c r="G1139" s="7" t="inlineStr">
        <is>
          <t>$49.00</t>
        </is>
      </c>
      <c r="H1139" s="7" t="inlineStr">
        <is>
          <t>Black</t>
        </is>
      </c>
      <c r="I1139" s="7">
        <f>IMAGE("https://images.lululemon.com/is/image/lululemon/0001",1)</f>
        <v/>
      </c>
      <c r="J1139" s="7" t="inlineStr">
        <is>
          <t>0</t>
        </is>
      </c>
      <c r="K1139" s="7" t="inlineStr">
        <is>
          <t>8/2498</t>
        </is>
      </c>
      <c r="L1139" s="7" t="inlineStr">
        <is>
          <t>Yes</t>
        </is>
      </c>
      <c r="M1139" s="7" t="inlineStr">
        <is>
          <t>Train hard, not hot. Made from Everlux™, the Wunder Train collection is highly breathable and quickly wicks sweat so you feel less sweaty during (and after) your workout.</t>
        </is>
      </c>
      <c r="N1139" s="7" t="inlineStr">
        <is>
          <t>Wunder-Train-HR-Tight-28</t>
        </is>
      </c>
      <c r="O1139" s="7" t="inlineStr"/>
    </row>
    <row r="1140" ht="80" customHeight="1">
      <c r="A1140" s="4">
        <f>IMAGE("https://images.lululemon.com/is/image/lululemon/LW5DJ0S_0001_1?wid=320&amp;op_usm=0.8",1)</f>
        <v/>
      </c>
      <c r="B1140" s="4" t="inlineStr">
        <is>
          <t>Wunder Train High-Rise Tight 28"</t>
        </is>
      </c>
      <c r="C1140" s="4" t="inlineStr">
        <is>
          <t>127600095</t>
        </is>
      </c>
      <c r="D1140" s="4" t="inlineStr">
        <is>
          <t>127600095-black</t>
        </is>
      </c>
      <c r="E1140" s="4" t="inlineStr">
        <is>
          <t>Wunder Train HR Tight 28" BLK 0</t>
        </is>
      </c>
      <c r="F1140" s="4" t="inlineStr">
        <is>
          <t>$98.00</t>
        </is>
      </c>
      <c r="G1140" s="4" t="inlineStr">
        <is>
          <t>$49.00</t>
        </is>
      </c>
      <c r="H1140" s="4" t="inlineStr">
        <is>
          <t>Black</t>
        </is>
      </c>
      <c r="I1140" s="4">
        <f>IMAGE("https://images.lululemon.com/is/image/lululemon/0001",1)</f>
        <v/>
      </c>
      <c r="J1140" s="4" t="inlineStr">
        <is>
          <t>2</t>
        </is>
      </c>
      <c r="K1140" s="4" t="inlineStr">
        <is>
          <t>49/2498</t>
        </is>
      </c>
      <c r="L1140" s="4" t="inlineStr">
        <is>
          <t>Yes</t>
        </is>
      </c>
      <c r="M1140" s="4" t="inlineStr">
        <is>
          <t>Train hard, not hot. Made from Everlux™, the Wunder Train collection is highly breathable and quickly wicks sweat so you feel less sweaty during (and after) your workout.</t>
        </is>
      </c>
      <c r="N1140" s="4" t="inlineStr">
        <is>
          <t>Wunder-Train-HR-Tight-28</t>
        </is>
      </c>
      <c r="O1140" s="4" t="inlineStr"/>
    </row>
    <row r="1141" ht="80" customHeight="1">
      <c r="A1141" s="7">
        <f>IMAGE("https://images.lululemon.com/is/image/lululemon/LW5DJ0S_0001_1?wid=320&amp;op_usm=0.8",1)</f>
        <v/>
      </c>
      <c r="B1141" s="7" t="inlineStr">
        <is>
          <t>Wunder Train High-Rise Tight 28"</t>
        </is>
      </c>
      <c r="C1141" s="7" t="inlineStr">
        <is>
          <t>127600130</t>
        </is>
      </c>
      <c r="D1141" s="7" t="inlineStr">
        <is>
          <t>127600130-black</t>
        </is>
      </c>
      <c r="E1141" s="7" t="inlineStr">
        <is>
          <t>Wunder Train HR Tight 28" BLK 0</t>
        </is>
      </c>
      <c r="F1141" s="7" t="inlineStr">
        <is>
          <t>$98.00</t>
        </is>
      </c>
      <c r="G1141" s="7" t="inlineStr">
        <is>
          <t>$49.00</t>
        </is>
      </c>
      <c r="H1141" s="7" t="inlineStr">
        <is>
          <t>Black</t>
        </is>
      </c>
      <c r="I1141" s="7">
        <f>IMAGE("https://images.lululemon.com/is/image/lululemon/0001",1)</f>
        <v/>
      </c>
      <c r="J1141" s="7" t="inlineStr">
        <is>
          <t>4</t>
        </is>
      </c>
      <c r="K1141" s="7" t="inlineStr">
        <is>
          <t>146/2498</t>
        </is>
      </c>
      <c r="L1141" s="7" t="inlineStr">
        <is>
          <t>Yes</t>
        </is>
      </c>
      <c r="M1141" s="7" t="inlineStr">
        <is>
          <t>Train hard, not hot. Made from Everlux™, the Wunder Train collection is highly breathable and quickly wicks sweat so you feel less sweaty during (and after) your workout.</t>
        </is>
      </c>
      <c r="N1141" s="7" t="inlineStr">
        <is>
          <t>Wunder-Train-HR-Tight-28</t>
        </is>
      </c>
      <c r="O1141" s="7" t="inlineStr"/>
    </row>
    <row r="1142" ht="80" customHeight="1">
      <c r="A1142" s="4">
        <f>IMAGE("https://images.lululemon.com/is/image/lululemon/LW5DJ0S_0001_1?wid=320&amp;op_usm=0.8",1)</f>
        <v/>
      </c>
      <c r="B1142" s="4" t="inlineStr">
        <is>
          <t>Wunder Train High-Rise Tight 28"</t>
        </is>
      </c>
      <c r="C1142" s="4" t="inlineStr">
        <is>
          <t>127600135</t>
        </is>
      </c>
      <c r="D1142" s="4" t="inlineStr">
        <is>
          <t>127600135-black</t>
        </is>
      </c>
      <c r="E1142" s="4" t="inlineStr">
        <is>
          <t>Wunder Train HR Tight 28" BLK 0</t>
        </is>
      </c>
      <c r="F1142" s="4" t="inlineStr">
        <is>
          <t>$98.00</t>
        </is>
      </c>
      <c r="G1142" s="4" t="inlineStr">
        <is>
          <t>$49.00</t>
        </is>
      </c>
      <c r="H1142" s="4" t="inlineStr">
        <is>
          <t>Black</t>
        </is>
      </c>
      <c r="I1142" s="4">
        <f>IMAGE("https://images.lululemon.com/is/image/lululemon/0001",1)</f>
        <v/>
      </c>
      <c r="J1142" s="4" t="inlineStr">
        <is>
          <t>6</t>
        </is>
      </c>
      <c r="K1142" s="4" t="inlineStr">
        <is>
          <t>245/2498</t>
        </is>
      </c>
      <c r="L1142" s="4" t="inlineStr">
        <is>
          <t>Yes</t>
        </is>
      </c>
      <c r="M1142" s="4" t="inlineStr">
        <is>
          <t>Train hard, not hot. Made from Everlux™, the Wunder Train collection is highly breathable and quickly wicks sweat so you feel less sweaty during (and after) your workout.</t>
        </is>
      </c>
      <c r="N1142" s="4" t="inlineStr">
        <is>
          <t>Wunder-Train-HR-Tight-28</t>
        </is>
      </c>
      <c r="O1142" s="4" t="inlineStr"/>
    </row>
    <row r="1143" ht="80" customHeight="1">
      <c r="A1143" s="7">
        <f>IMAGE("https://images.lululemon.com/is/image/lululemon/LW5DJ0S_0001_1?wid=320&amp;op_usm=0.8",1)</f>
        <v/>
      </c>
      <c r="B1143" s="7" t="inlineStr">
        <is>
          <t>Wunder Train High-Rise Tight 28"</t>
        </is>
      </c>
      <c r="C1143" s="7" t="inlineStr">
        <is>
          <t>127600139</t>
        </is>
      </c>
      <c r="D1143" s="7" t="inlineStr">
        <is>
          <t>127600139-black</t>
        </is>
      </c>
      <c r="E1143" s="7" t="inlineStr">
        <is>
          <t>Wunder Train HR Tight 28" BLK 0</t>
        </is>
      </c>
      <c r="F1143" s="7" t="inlineStr">
        <is>
          <t>$98.00</t>
        </is>
      </c>
      <c r="G1143" s="7" t="inlineStr">
        <is>
          <t>$49.00</t>
        </is>
      </c>
      <c r="H1143" s="7" t="inlineStr">
        <is>
          <t>Black</t>
        </is>
      </c>
      <c r="I1143" s="7">
        <f>IMAGE("https://images.lululemon.com/is/image/lululemon/0001",1)</f>
        <v/>
      </c>
      <c r="J1143" s="7" t="inlineStr">
        <is>
          <t>8</t>
        </is>
      </c>
      <c r="K1143" s="7" t="inlineStr">
        <is>
          <t>229/2498</t>
        </is>
      </c>
      <c r="L1143" s="7" t="inlineStr">
        <is>
          <t>Yes</t>
        </is>
      </c>
      <c r="M1143" s="7" t="inlineStr">
        <is>
          <t>Train hard, not hot. Made from Everlux™, the Wunder Train collection is highly breathable and quickly wicks sweat so you feel less sweaty during (and after) your workout.</t>
        </is>
      </c>
      <c r="N1143" s="7" t="inlineStr">
        <is>
          <t>Wunder-Train-HR-Tight-28</t>
        </is>
      </c>
      <c r="O1143" s="7" t="inlineStr"/>
    </row>
    <row r="1144" ht="80" customHeight="1">
      <c r="A1144" s="4">
        <f>IMAGE("https://images.lululemon.com/is/image/lululemon/LW5DJ0S_0001_1?wid=320&amp;op_usm=0.8",1)</f>
        <v/>
      </c>
      <c r="B1144" s="4" t="inlineStr">
        <is>
          <t>Wunder Train High-Rise Tight 28"</t>
        </is>
      </c>
      <c r="C1144" s="4" t="inlineStr">
        <is>
          <t>127600059</t>
        </is>
      </c>
      <c r="D1144" s="4" t="inlineStr">
        <is>
          <t>127600059-black</t>
        </is>
      </c>
      <c r="E1144" s="4" t="inlineStr">
        <is>
          <t>Wunder Train HR Tight 28" BLK 0</t>
        </is>
      </c>
      <c r="F1144" s="4" t="inlineStr">
        <is>
          <t>$98.00</t>
        </is>
      </c>
      <c r="G1144" s="4" t="inlineStr">
        <is>
          <t>$49.00</t>
        </is>
      </c>
      <c r="H1144" s="4" t="inlineStr">
        <is>
          <t>Black</t>
        </is>
      </c>
      <c r="I1144" s="4">
        <f>IMAGE("https://images.lululemon.com/is/image/lululemon/0001",1)</f>
        <v/>
      </c>
      <c r="J1144" s="4" t="inlineStr">
        <is>
          <t>10</t>
        </is>
      </c>
      <c r="K1144" s="4" t="inlineStr">
        <is>
          <t>122/2498</t>
        </is>
      </c>
      <c r="L1144" s="4" t="inlineStr">
        <is>
          <t>Yes</t>
        </is>
      </c>
      <c r="M1144" s="4" t="inlineStr">
        <is>
          <t>Train hard, not hot. Made from Everlux™, the Wunder Train collection is highly breathable and quickly wicks sweat so you feel less sweaty during (and after) your workout.</t>
        </is>
      </c>
      <c r="N1144" s="4" t="inlineStr">
        <is>
          <t>Wunder-Train-HR-Tight-28</t>
        </is>
      </c>
      <c r="O1144" s="4" t="inlineStr"/>
    </row>
    <row r="1145" ht="80" customHeight="1">
      <c r="A1145" s="7">
        <f>IMAGE("https://images.lululemon.com/is/image/lululemon/LW5DJ0S_0001_1?wid=320&amp;op_usm=0.8",1)</f>
        <v/>
      </c>
      <c r="B1145" s="7" t="inlineStr">
        <is>
          <t>Wunder Train High-Rise Tight 28"</t>
        </is>
      </c>
      <c r="C1145" s="7" t="inlineStr">
        <is>
          <t>127600067</t>
        </is>
      </c>
      <c r="D1145" s="7" t="inlineStr">
        <is>
          <t>127600067-black</t>
        </is>
      </c>
      <c r="E1145" s="7" t="inlineStr">
        <is>
          <t>Wunder Train HR Tight 28" BLK 0</t>
        </is>
      </c>
      <c r="F1145" s="7" t="inlineStr">
        <is>
          <t>$98.00</t>
        </is>
      </c>
      <c r="G1145" s="7" t="inlineStr">
        <is>
          <t>$49.00</t>
        </is>
      </c>
      <c r="H1145" s="7" t="inlineStr">
        <is>
          <t>Black</t>
        </is>
      </c>
      <c r="I1145" s="7">
        <f>IMAGE("https://images.lululemon.com/is/image/lululemon/0001",1)</f>
        <v/>
      </c>
      <c r="J1145" s="7" t="inlineStr">
        <is>
          <t>12</t>
        </is>
      </c>
      <c r="K1145" s="7" t="inlineStr">
        <is>
          <t>49/2498</t>
        </is>
      </c>
      <c r="L1145" s="7" t="inlineStr">
        <is>
          <t>Yes</t>
        </is>
      </c>
      <c r="M1145" s="7" t="inlineStr">
        <is>
          <t>Train hard, not hot. Made from Everlux™, the Wunder Train collection is highly breathable and quickly wicks sweat so you feel less sweaty during (and after) your workout.</t>
        </is>
      </c>
      <c r="N1145" s="7" t="inlineStr">
        <is>
          <t>Wunder-Train-HR-Tight-28</t>
        </is>
      </c>
      <c r="O1145" s="7" t="inlineStr"/>
    </row>
    <row r="1146" ht="80" customHeight="1">
      <c r="A1146" s="4">
        <f>IMAGE("https://images.lululemon.com/is/image/lululemon/LW5DJ0S_0001_1?wid=320&amp;op_usm=0.8",1)</f>
        <v/>
      </c>
      <c r="B1146" s="4" t="inlineStr">
        <is>
          <t>Wunder Train High-Rise Tight 28"</t>
        </is>
      </c>
      <c r="C1146" s="4" t="inlineStr">
        <is>
          <t>127600074</t>
        </is>
      </c>
      <c r="D1146" s="4" t="inlineStr">
        <is>
          <t>127600074-black</t>
        </is>
      </c>
      <c r="E1146" s="4" t="inlineStr">
        <is>
          <t>Wunder Train HR Tight 28" BLK 0</t>
        </is>
      </c>
      <c r="F1146" s="4" t="inlineStr">
        <is>
          <t>$98.00</t>
        </is>
      </c>
      <c r="G1146" s="4" t="inlineStr">
        <is>
          <t>$49.00</t>
        </is>
      </c>
      <c r="H1146" s="4" t="inlineStr">
        <is>
          <t>Black</t>
        </is>
      </c>
      <c r="I1146" s="4">
        <f>IMAGE("https://images.lululemon.com/is/image/lululemon/0001",1)</f>
        <v/>
      </c>
      <c r="J1146" s="4" t="inlineStr">
        <is>
          <t>14</t>
        </is>
      </c>
      <c r="K1146" s="4" t="inlineStr">
        <is>
          <t>7/2498</t>
        </is>
      </c>
      <c r="L1146" s="4" t="inlineStr">
        <is>
          <t>Yes</t>
        </is>
      </c>
      <c r="M1146" s="4" t="inlineStr">
        <is>
          <t>Train hard, not hot. Made from Everlux™, the Wunder Train collection is highly breathable and quickly wicks sweat so you feel less sweaty during (and after) your workout.</t>
        </is>
      </c>
      <c r="N1146" s="4" t="inlineStr">
        <is>
          <t>Wunder-Train-HR-Tight-28</t>
        </is>
      </c>
      <c r="O1146" s="4" t="inlineStr"/>
    </row>
    <row r="1147" ht="80" customHeight="1">
      <c r="A1147" s="7">
        <f>IMAGE("https://images.lululemon.com/is/image/lululemon/LW5DJ0S_0001_1?wid=320&amp;op_usm=0.8",1)</f>
        <v/>
      </c>
      <c r="B1147" s="7" t="inlineStr">
        <is>
          <t>Wunder Train High-Rise Tight 28"</t>
        </is>
      </c>
      <c r="C1147" s="7" t="inlineStr">
        <is>
          <t>127600081</t>
        </is>
      </c>
      <c r="D1147" s="7" t="inlineStr">
        <is>
          <t>127600081-black</t>
        </is>
      </c>
      <c r="E1147" s="7" t="inlineStr">
        <is>
          <t>Wunder Train HR Tight 28" BLK 0</t>
        </is>
      </c>
      <c r="F1147" s="7" t="inlineStr">
        <is>
          <t>$98.00</t>
        </is>
      </c>
      <c r="G1147" s="7" t="inlineStr">
        <is>
          <t>$49.00</t>
        </is>
      </c>
      <c r="H1147" s="7" t="inlineStr">
        <is>
          <t>Black</t>
        </is>
      </c>
      <c r="I1147" s="7">
        <f>IMAGE("https://images.lululemon.com/is/image/lululemon/0001",1)</f>
        <v/>
      </c>
      <c r="J1147" s="7" t="inlineStr">
        <is>
          <t>16</t>
        </is>
      </c>
      <c r="K1147" s="7" t="inlineStr">
        <is>
          <t>35/2498</t>
        </is>
      </c>
      <c r="L1147" s="7" t="inlineStr">
        <is>
          <t>Yes</t>
        </is>
      </c>
      <c r="M1147" s="7" t="inlineStr">
        <is>
          <t>Train hard, not hot. Made from Everlux™, the Wunder Train collection is highly breathable and quickly wicks sweat so you feel less sweaty during (and after) your workout.</t>
        </is>
      </c>
      <c r="N1147" s="7" t="inlineStr">
        <is>
          <t>Wunder-Train-HR-Tight-28</t>
        </is>
      </c>
      <c r="O1147" s="7" t="inlineStr"/>
    </row>
    <row r="1148" ht="80" customHeight="1">
      <c r="A1148" s="4">
        <f>IMAGE("https://images.lululemon.com/is/image/lululemon/LW5DJ0S_0001_1?wid=320&amp;op_usm=0.8",1)</f>
        <v/>
      </c>
      <c r="B1148" s="4" t="inlineStr">
        <is>
          <t>Wunder Train High-Rise Tight 28"</t>
        </is>
      </c>
      <c r="C1148" s="4" t="inlineStr">
        <is>
          <t>127600090</t>
        </is>
      </c>
      <c r="D1148" s="4" t="inlineStr">
        <is>
          <t>127600090-black</t>
        </is>
      </c>
      <c r="E1148" s="4" t="inlineStr">
        <is>
          <t>Wunder Train HR Tight 28" BLK 0</t>
        </is>
      </c>
      <c r="F1148" s="4" t="inlineStr">
        <is>
          <t>$98.00</t>
        </is>
      </c>
      <c r="G1148" s="4" t="inlineStr">
        <is>
          <t>$49.00</t>
        </is>
      </c>
      <c r="H1148" s="4" t="inlineStr">
        <is>
          <t>Black</t>
        </is>
      </c>
      <c r="I1148" s="4">
        <f>IMAGE("https://images.lululemon.com/is/image/lululemon/0001",1)</f>
        <v/>
      </c>
      <c r="J1148" s="4" t="inlineStr">
        <is>
          <t>18</t>
        </is>
      </c>
      <c r="K1148" s="4" t="inlineStr">
        <is>
          <t>20/2498</t>
        </is>
      </c>
      <c r="L1148" s="4" t="inlineStr">
        <is>
          <t>Yes</t>
        </is>
      </c>
      <c r="M1148" s="4" t="inlineStr">
        <is>
          <t>Train hard, not hot. Made from Everlux™, the Wunder Train collection is highly breathable and quickly wicks sweat so you feel less sweaty during (and after) your workout.</t>
        </is>
      </c>
      <c r="N1148" s="4" t="inlineStr">
        <is>
          <t>Wunder-Train-HR-Tight-28</t>
        </is>
      </c>
      <c r="O1148" s="4" t="inlineStr"/>
    </row>
    <row r="1149" ht="80" customHeight="1">
      <c r="A1149" s="7">
        <f>IMAGE("https://images.lululemon.com/is/image/lululemon/LW5DJ0S_0001_1?wid=320&amp;op_usm=0.8",1)</f>
        <v/>
      </c>
      <c r="B1149" s="7" t="inlineStr">
        <is>
          <t>Wunder Train High-Rise Tight 28"</t>
        </is>
      </c>
      <c r="C1149" s="7" t="inlineStr">
        <is>
          <t>127600103</t>
        </is>
      </c>
      <c r="D1149" s="7" t="inlineStr">
        <is>
          <t>127600103-black</t>
        </is>
      </c>
      <c r="E1149" s="7" t="inlineStr">
        <is>
          <t>Wunder Train HR Tight 28" BLK 0</t>
        </is>
      </c>
      <c r="F1149" s="7" t="inlineStr">
        <is>
          <t>$98.00</t>
        </is>
      </c>
      <c r="G1149" s="7" t="inlineStr">
        <is>
          <t>$49.00</t>
        </is>
      </c>
      <c r="H1149" s="7" t="inlineStr">
        <is>
          <t>Black</t>
        </is>
      </c>
      <c r="I1149" s="7">
        <f>IMAGE("https://images.lululemon.com/is/image/lululemon/0001",1)</f>
        <v/>
      </c>
      <c r="J1149" s="7" t="inlineStr">
        <is>
          <t>20</t>
        </is>
      </c>
      <c r="K1149" s="7" t="inlineStr">
        <is>
          <t>18/2498</t>
        </is>
      </c>
      <c r="L1149" s="7" t="inlineStr">
        <is>
          <t>Yes</t>
        </is>
      </c>
      <c r="M1149" s="7" t="inlineStr">
        <is>
          <t>Train hard, not hot. Made from Everlux™, the Wunder Train collection is highly breathable and quickly wicks sweat so you feel less sweaty during (and after) your workout.</t>
        </is>
      </c>
      <c r="N1149" s="7" t="inlineStr">
        <is>
          <t>Wunder-Train-HR-Tight-28</t>
        </is>
      </c>
      <c r="O1149" s="7" t="inlineStr"/>
    </row>
    <row r="1150" ht="80" customHeight="1">
      <c r="A1150" s="4">
        <f>IMAGE("https://images.lululemon.com/is/image/lululemon/LW5DJ0S_0001_1?wid=320&amp;op_usm=0.8",1)</f>
        <v/>
      </c>
      <c r="B1150" s="4" t="inlineStr">
        <is>
          <t>Wunder Train High-Rise Tight 28"</t>
        </is>
      </c>
      <c r="C1150" s="4" t="inlineStr">
        <is>
          <t>157683825</t>
        </is>
      </c>
      <c r="D1150" s="4" t="inlineStr">
        <is>
          <t>157683825-bayleaf</t>
        </is>
      </c>
      <c r="E1150" s="4" t="inlineStr">
        <is>
          <t>Wunder Train HR Tight 28" BLK 0</t>
        </is>
      </c>
      <c r="F1150" s="4" t="inlineStr">
        <is>
          <t>$98.00</t>
        </is>
      </c>
      <c r="G1150" s="4" t="inlineStr">
        <is>
          <t>$49.00</t>
        </is>
      </c>
      <c r="H1150" s="4" t="inlineStr">
        <is>
          <t>Bay Leaf</t>
        </is>
      </c>
      <c r="I1150" s="4">
        <f>IMAGE("https://images.lululemon.com/is/image/lululemon/62214",1)</f>
        <v/>
      </c>
      <c r="J1150" s="4" t="inlineStr">
        <is>
          <t>0</t>
        </is>
      </c>
      <c r="K1150" s="4" t="inlineStr">
        <is>
          <t>8/2498</t>
        </is>
      </c>
      <c r="L1150" s="4" t="inlineStr">
        <is>
          <t>Yes</t>
        </is>
      </c>
      <c r="M1150" s="4" t="inlineStr">
        <is>
          <t>Train hard, not hot. Made from Everlux™, the Wunder Train collection is highly breathable and quickly wicks sweat so you feel less sweaty during (and after) your workout.</t>
        </is>
      </c>
      <c r="N1150" s="4" t="inlineStr">
        <is>
          <t>Wunder-Train-HR-Tight-28</t>
        </is>
      </c>
      <c r="O1150" s="4" t="inlineStr"/>
    </row>
    <row r="1151" ht="80" customHeight="1">
      <c r="A1151" s="7">
        <f>IMAGE("https://images.lululemon.com/is/image/lululemon/LW5DJ0S_0001_1?wid=320&amp;op_usm=0.8",1)</f>
        <v/>
      </c>
      <c r="B1151" s="7" t="inlineStr">
        <is>
          <t>Wunder Train High-Rise Tight 28"</t>
        </is>
      </c>
      <c r="C1151" s="7" t="inlineStr">
        <is>
          <t>157683863</t>
        </is>
      </c>
      <c r="D1151" s="7" t="inlineStr">
        <is>
          <t>157683863-bayleaf</t>
        </is>
      </c>
      <c r="E1151" s="7" t="inlineStr">
        <is>
          <t>Wunder Train HR Tight 28" BLK 0</t>
        </is>
      </c>
      <c r="F1151" s="7" t="inlineStr">
        <is>
          <t>$98.00</t>
        </is>
      </c>
      <c r="G1151" s="7" t="inlineStr">
        <is>
          <t>$49.00</t>
        </is>
      </c>
      <c r="H1151" s="7" t="inlineStr">
        <is>
          <t>Bay Leaf</t>
        </is>
      </c>
      <c r="I1151" s="7">
        <f>IMAGE("https://images.lululemon.com/is/image/lululemon/62214",1)</f>
        <v/>
      </c>
      <c r="J1151" s="7" t="inlineStr">
        <is>
          <t>6</t>
        </is>
      </c>
      <c r="K1151" s="7" t="inlineStr">
        <is>
          <t>86/2498</t>
        </is>
      </c>
      <c r="L1151" s="7" t="inlineStr">
        <is>
          <t>Yes</t>
        </is>
      </c>
      <c r="M1151" s="7" t="inlineStr">
        <is>
          <t>Train hard, not hot. Made from Everlux™, the Wunder Train collection is highly breathable and quickly wicks sweat so you feel less sweaty during (and after) your workout.</t>
        </is>
      </c>
      <c r="N1151" s="7" t="inlineStr">
        <is>
          <t>Wunder-Train-HR-Tight-28</t>
        </is>
      </c>
      <c r="O1151" s="7" t="inlineStr"/>
    </row>
    <row r="1152" ht="80" customHeight="1">
      <c r="A1152" s="4">
        <f>IMAGE("https://images.lululemon.com/is/image/lululemon/LW5DJ0S_0001_1?wid=320&amp;op_usm=0.8",1)</f>
        <v/>
      </c>
      <c r="B1152" s="4" t="inlineStr">
        <is>
          <t>Wunder Train High-Rise Tight 28"</t>
        </is>
      </c>
      <c r="C1152" s="4" t="inlineStr">
        <is>
          <t>157683830</t>
        </is>
      </c>
      <c r="D1152" s="4" t="inlineStr">
        <is>
          <t>157683830-bayleaf</t>
        </is>
      </c>
      <c r="E1152" s="4" t="inlineStr">
        <is>
          <t>Wunder Train HR Tight 28" BLK 0</t>
        </is>
      </c>
      <c r="F1152" s="4" t="inlineStr">
        <is>
          <t>$98.00</t>
        </is>
      </c>
      <c r="G1152" s="4" t="inlineStr">
        <is>
          <t>$49.00</t>
        </is>
      </c>
      <c r="H1152" s="4" t="inlineStr">
        <is>
          <t>Bay Leaf</t>
        </is>
      </c>
      <c r="I1152" s="4">
        <f>IMAGE("https://images.lululemon.com/is/image/lululemon/62214",1)</f>
        <v/>
      </c>
      <c r="J1152" s="4" t="inlineStr">
        <is>
          <t>10</t>
        </is>
      </c>
      <c r="K1152" s="4" t="inlineStr">
        <is>
          <t>3/2498</t>
        </is>
      </c>
      <c r="L1152" s="4" t="inlineStr">
        <is>
          <t>Yes</t>
        </is>
      </c>
      <c r="M1152" s="4" t="inlineStr">
        <is>
          <t>Train hard, not hot. Made from Everlux™, the Wunder Train collection is highly breathable and quickly wicks sweat so you feel less sweaty during (and after) your workout.</t>
        </is>
      </c>
      <c r="N1152" s="4" t="inlineStr">
        <is>
          <t>Wunder-Train-HR-Tight-28</t>
        </is>
      </c>
      <c r="O1152" s="4" t="inlineStr"/>
    </row>
    <row r="1153" ht="80" customHeight="1">
      <c r="A1153" s="7">
        <f>IMAGE("https://images.lululemon.com/is/image/lululemon/LW5DJ0S_0001_1?wid=320&amp;op_usm=0.8",1)</f>
        <v/>
      </c>
      <c r="B1153" s="7" t="inlineStr">
        <is>
          <t>Wunder Train High-Rise Tight 28"</t>
        </is>
      </c>
      <c r="C1153" s="7" t="inlineStr">
        <is>
          <t>157683835</t>
        </is>
      </c>
      <c r="D1153" s="7" t="inlineStr">
        <is>
          <t>157683835-bayleaf</t>
        </is>
      </c>
      <c r="E1153" s="7" t="inlineStr">
        <is>
          <t>Wunder Train HR Tight 28" BLK 0</t>
        </is>
      </c>
      <c r="F1153" s="7" t="inlineStr">
        <is>
          <t>$98.00</t>
        </is>
      </c>
      <c r="G1153" s="7" t="inlineStr">
        <is>
          <t>$49.00</t>
        </is>
      </c>
      <c r="H1153" s="7" t="inlineStr">
        <is>
          <t>Bay Leaf</t>
        </is>
      </c>
      <c r="I1153" s="7">
        <f>IMAGE("https://images.lululemon.com/is/image/lululemon/62214",1)</f>
        <v/>
      </c>
      <c r="J1153" s="7" t="inlineStr">
        <is>
          <t>12</t>
        </is>
      </c>
      <c r="K1153" s="7" t="inlineStr">
        <is>
          <t>21/2498</t>
        </is>
      </c>
      <c r="L1153" s="7" t="inlineStr">
        <is>
          <t>Yes</t>
        </is>
      </c>
      <c r="M1153" s="7" t="inlineStr">
        <is>
          <t>Train hard, not hot. Made from Everlux™, the Wunder Train collection is highly breathable and quickly wicks sweat so you feel less sweaty during (and after) your workout.</t>
        </is>
      </c>
      <c r="N1153" s="7" t="inlineStr">
        <is>
          <t>Wunder-Train-HR-Tight-28</t>
        </is>
      </c>
      <c r="O1153" s="7" t="inlineStr"/>
    </row>
    <row r="1154" ht="80" customHeight="1">
      <c r="A1154" s="4">
        <f>IMAGE("https://images.lululemon.com/is/image/lululemon/LW5DJ0S_0001_1?wid=320&amp;op_usm=0.8",1)</f>
        <v/>
      </c>
      <c r="B1154" s="4" t="inlineStr">
        <is>
          <t>Wunder Train High-Rise Tight 28"</t>
        </is>
      </c>
      <c r="C1154" s="4" t="inlineStr">
        <is>
          <t>157683840</t>
        </is>
      </c>
      <c r="D1154" s="4" t="inlineStr">
        <is>
          <t>157683840-bayleaf</t>
        </is>
      </c>
      <c r="E1154" s="4" t="inlineStr">
        <is>
          <t>Wunder Train HR Tight 28" BLK 0</t>
        </is>
      </c>
      <c r="F1154" s="4" t="inlineStr">
        <is>
          <t>$98.00</t>
        </is>
      </c>
      <c r="G1154" s="4" t="inlineStr">
        <is>
          <t>$49.00</t>
        </is>
      </c>
      <c r="H1154" s="4" t="inlineStr">
        <is>
          <t>Bay Leaf</t>
        </is>
      </c>
      <c r="I1154" s="4">
        <f>IMAGE("https://images.lululemon.com/is/image/lululemon/62214",1)</f>
        <v/>
      </c>
      <c r="J1154" s="4" t="inlineStr">
        <is>
          <t>14</t>
        </is>
      </c>
      <c r="K1154" s="4" t="inlineStr">
        <is>
          <t>7/2498</t>
        </is>
      </c>
      <c r="L1154" s="4" t="inlineStr">
        <is>
          <t>Yes</t>
        </is>
      </c>
      <c r="M1154" s="4" t="inlineStr">
        <is>
          <t>Train hard, not hot. Made from Everlux™, the Wunder Train collection is highly breathable and quickly wicks sweat so you feel less sweaty during (and after) your workout.</t>
        </is>
      </c>
      <c r="N1154" s="4" t="inlineStr">
        <is>
          <t>Wunder-Train-HR-Tight-28</t>
        </is>
      </c>
      <c r="O1154" s="4" t="inlineStr"/>
    </row>
    <row r="1155" ht="80" customHeight="1">
      <c r="A1155" s="7">
        <f>IMAGE("https://images.lululemon.com/is/image/lululemon/LW5DJ0S_0001_1?wid=320&amp;op_usm=0.8",1)</f>
        <v/>
      </c>
      <c r="B1155" s="7" t="inlineStr">
        <is>
          <t>Wunder Train High-Rise Tight 28"</t>
        </is>
      </c>
      <c r="C1155" s="7" t="inlineStr">
        <is>
          <t>157683845</t>
        </is>
      </c>
      <c r="D1155" s="7" t="inlineStr">
        <is>
          <t>157683845-bayleaf</t>
        </is>
      </c>
      <c r="E1155" s="7" t="inlineStr">
        <is>
          <t>Wunder Train HR Tight 28" BLK 0</t>
        </is>
      </c>
      <c r="F1155" s="7" t="inlineStr">
        <is>
          <t>$98.00</t>
        </is>
      </c>
      <c r="G1155" s="7" t="inlineStr">
        <is>
          <t>$49.00</t>
        </is>
      </c>
      <c r="H1155" s="7" t="inlineStr">
        <is>
          <t>Bay Leaf</t>
        </is>
      </c>
      <c r="I1155" s="7">
        <f>IMAGE("https://images.lululemon.com/is/image/lululemon/62214",1)</f>
        <v/>
      </c>
      <c r="J1155" s="7" t="inlineStr">
        <is>
          <t>16</t>
        </is>
      </c>
      <c r="K1155" s="7" t="inlineStr">
        <is>
          <t>3/2498</t>
        </is>
      </c>
      <c r="L1155" s="7" t="inlineStr">
        <is>
          <t>Yes</t>
        </is>
      </c>
      <c r="M1155" s="7" t="inlineStr">
        <is>
          <t>Train hard, not hot. Made from Everlux™, the Wunder Train collection is highly breathable and quickly wicks sweat so you feel less sweaty during (and after) your workout.</t>
        </is>
      </c>
      <c r="N1155" s="7" t="inlineStr">
        <is>
          <t>Wunder-Train-HR-Tight-28</t>
        </is>
      </c>
      <c r="O1155" s="7" t="inlineStr"/>
    </row>
    <row r="1156" ht="80" customHeight="1">
      <c r="A1156" s="4">
        <f>IMAGE("https://images.lululemon.com/is/image/lululemon/LW5DJ0S_0001_1?wid=320&amp;op_usm=0.8",1)</f>
        <v/>
      </c>
      <c r="B1156" s="4" t="inlineStr">
        <is>
          <t>Wunder Train High-Rise Tight 28"</t>
        </is>
      </c>
      <c r="C1156" s="4" t="inlineStr">
        <is>
          <t>157683849</t>
        </is>
      </c>
      <c r="D1156" s="4" t="inlineStr">
        <is>
          <t>157683849-bayleaf</t>
        </is>
      </c>
      <c r="E1156" s="4" t="inlineStr">
        <is>
          <t>Wunder Train HR Tight 28" BLK 0</t>
        </is>
      </c>
      <c r="F1156" s="4" t="inlineStr">
        <is>
          <t>$98.00</t>
        </is>
      </c>
      <c r="G1156" s="4" t="inlineStr">
        <is>
          <t>$49.00</t>
        </is>
      </c>
      <c r="H1156" s="4" t="inlineStr">
        <is>
          <t>Bay Leaf</t>
        </is>
      </c>
      <c r="I1156" s="4">
        <f>IMAGE("https://images.lululemon.com/is/image/lululemon/62214",1)</f>
        <v/>
      </c>
      <c r="J1156" s="4" t="inlineStr">
        <is>
          <t>18</t>
        </is>
      </c>
      <c r="K1156" s="4" t="inlineStr">
        <is>
          <t>1/2498</t>
        </is>
      </c>
      <c r="L1156" s="4" t="inlineStr">
        <is>
          <t>Yes</t>
        </is>
      </c>
      <c r="M1156" s="4" t="inlineStr">
        <is>
          <t>Train hard, not hot. Made from Everlux™, the Wunder Train collection is highly breathable and quickly wicks sweat so you feel less sweaty during (and after) your workout.</t>
        </is>
      </c>
      <c r="N1156" s="4" t="inlineStr">
        <is>
          <t>Wunder-Train-HR-Tight-28</t>
        </is>
      </c>
      <c r="O1156" s="4" t="inlineStr"/>
    </row>
    <row r="1157" ht="80" customHeight="1">
      <c r="A1157" s="7">
        <f>IMAGE("https://images.lululemon.com/is/image/lululemon/LW5DJ0S_0001_1?wid=320&amp;op_usm=0.8",1)</f>
        <v/>
      </c>
      <c r="B1157" s="7" t="inlineStr">
        <is>
          <t>Wunder Train High-Rise Tight 28"</t>
        </is>
      </c>
      <c r="C1157" s="7" t="inlineStr">
        <is>
          <t>157683857</t>
        </is>
      </c>
      <c r="D1157" s="7" t="inlineStr">
        <is>
          <t>157683857-bayleaf</t>
        </is>
      </c>
      <c r="E1157" s="7" t="inlineStr">
        <is>
          <t>Wunder Train HR Tight 28" BLK 0</t>
        </is>
      </c>
      <c r="F1157" s="7" t="inlineStr">
        <is>
          <t>$98.00</t>
        </is>
      </c>
      <c r="G1157" s="7" t="inlineStr">
        <is>
          <t>$49.00</t>
        </is>
      </c>
      <c r="H1157" s="7" t="inlineStr">
        <is>
          <t>Bay Leaf</t>
        </is>
      </c>
      <c r="I1157" s="7">
        <f>IMAGE("https://images.lululemon.com/is/image/lululemon/62214",1)</f>
        <v/>
      </c>
      <c r="J1157" s="7" t="inlineStr">
        <is>
          <t>20</t>
        </is>
      </c>
      <c r="K1157" s="7" t="inlineStr">
        <is>
          <t>1/2498</t>
        </is>
      </c>
      <c r="L1157" s="7" t="inlineStr">
        <is>
          <t>Yes</t>
        </is>
      </c>
      <c r="M1157" s="7" t="inlineStr">
        <is>
          <t>Train hard, not hot. Made from Everlux™, the Wunder Train collection is highly breathable and quickly wicks sweat so you feel less sweaty during (and after) your workout.</t>
        </is>
      </c>
      <c r="N1157" s="7" t="inlineStr">
        <is>
          <t>Wunder-Train-HR-Tight-28</t>
        </is>
      </c>
      <c r="O1157" s="7" t="inlineStr"/>
    </row>
    <row r="1158" ht="80" customHeight="1">
      <c r="A1158" s="4">
        <f>IMAGE("https://images.lululemon.com/is/image/lululemon/LW5DJ0S_0001_1?wid=320&amp;op_usm=0.8",1)</f>
        <v/>
      </c>
      <c r="B1158" s="4" t="inlineStr">
        <is>
          <t>Wunder Train High-Rise Tight 28"</t>
        </is>
      </c>
      <c r="C1158" s="4" t="inlineStr">
        <is>
          <t>154834641</t>
        </is>
      </c>
      <c r="D1158" s="4" t="inlineStr">
        <is>
          <t>154834641-truenavy</t>
        </is>
      </c>
      <c r="E1158" s="4" t="inlineStr">
        <is>
          <t>Wunder Train HR Tight 28" BLK 0</t>
        </is>
      </c>
      <c r="F1158" s="4" t="inlineStr">
        <is>
          <t>$98.00</t>
        </is>
      </c>
      <c r="G1158" s="4" t="inlineStr">
        <is>
          <t>$49.00</t>
        </is>
      </c>
      <c r="H1158" s="4" t="inlineStr">
        <is>
          <t>True Navy</t>
        </is>
      </c>
      <c r="I1158" s="4">
        <f>IMAGE("https://images.lululemon.com/is/image/lululemon/31382",1)</f>
        <v/>
      </c>
      <c r="J1158" s="4" t="inlineStr">
        <is>
          <t>2</t>
        </is>
      </c>
      <c r="K1158" s="4" t="inlineStr">
        <is>
          <t>86/2498</t>
        </is>
      </c>
      <c r="L1158" s="4" t="inlineStr">
        <is>
          <t>Yes</t>
        </is>
      </c>
      <c r="M1158" s="4" t="inlineStr">
        <is>
          <t>Train hard, not hot. Made from Everlux™, the Wunder Train collection is highly breathable and quickly wicks sweat so you feel less sweaty during (and after) your workout.</t>
        </is>
      </c>
      <c r="N1158" s="4" t="inlineStr">
        <is>
          <t>Wunder-Train-HR-Tight-28</t>
        </is>
      </c>
      <c r="O1158" s="4" t="inlineStr"/>
    </row>
    <row r="1159" ht="80" customHeight="1">
      <c r="A1159" s="7">
        <f>IMAGE("https://images.lululemon.com/is/image/lululemon/LW5DJ0S_0001_1?wid=320&amp;op_usm=0.8",1)</f>
        <v/>
      </c>
      <c r="B1159" s="7" t="inlineStr">
        <is>
          <t>Wunder Train High-Rise Tight 28"</t>
        </is>
      </c>
      <c r="C1159" s="7" t="inlineStr">
        <is>
          <t>154834669</t>
        </is>
      </c>
      <c r="D1159" s="7" t="inlineStr">
        <is>
          <t>154834669-truenavy</t>
        </is>
      </c>
      <c r="E1159" s="7" t="inlineStr">
        <is>
          <t>Wunder Train HR Tight 28" BLK 0</t>
        </is>
      </c>
      <c r="F1159" s="7" t="inlineStr">
        <is>
          <t>$98.00</t>
        </is>
      </c>
      <c r="G1159" s="7" t="inlineStr">
        <is>
          <t>$49.00</t>
        </is>
      </c>
      <c r="H1159" s="7" t="inlineStr">
        <is>
          <t>True Navy</t>
        </is>
      </c>
      <c r="I1159" s="7">
        <f>IMAGE("https://images.lululemon.com/is/image/lululemon/31382",1)</f>
        <v/>
      </c>
      <c r="J1159" s="7" t="inlineStr">
        <is>
          <t>4</t>
        </is>
      </c>
      <c r="K1159" s="7" t="inlineStr">
        <is>
          <t>177/2498</t>
        </is>
      </c>
      <c r="L1159" s="7" t="inlineStr">
        <is>
          <t>Yes</t>
        </is>
      </c>
      <c r="M1159" s="7" t="inlineStr">
        <is>
          <t>Train hard, not hot. Made from Everlux™, the Wunder Train collection is highly breathable and quickly wicks sweat so you feel less sweaty during (and after) your workout.</t>
        </is>
      </c>
      <c r="N1159" s="7" t="inlineStr">
        <is>
          <t>Wunder-Train-HR-Tight-28</t>
        </is>
      </c>
      <c r="O1159" s="7" t="inlineStr"/>
    </row>
    <row r="1160" ht="80" customHeight="1">
      <c r="A1160" s="4">
        <f>IMAGE("https://images.lululemon.com/is/image/lululemon/LW5DJ0S_0001_1?wid=320&amp;op_usm=0.8",1)</f>
        <v/>
      </c>
      <c r="B1160" s="4" t="inlineStr">
        <is>
          <t>Wunder Train High-Rise Tight 28"</t>
        </is>
      </c>
      <c r="C1160" s="4" t="inlineStr">
        <is>
          <t>154834672</t>
        </is>
      </c>
      <c r="D1160" s="4" t="inlineStr">
        <is>
          <t>154834672-truenavy</t>
        </is>
      </c>
      <c r="E1160" s="4" t="inlineStr">
        <is>
          <t>Wunder Train HR Tight 28" BLK 0</t>
        </is>
      </c>
      <c r="F1160" s="4" t="inlineStr">
        <is>
          <t>$98.00</t>
        </is>
      </c>
      <c r="G1160" s="4" t="inlineStr">
        <is>
          <t>$49.00</t>
        </is>
      </c>
      <c r="H1160" s="4" t="inlineStr">
        <is>
          <t>True Navy</t>
        </is>
      </c>
      <c r="I1160" s="4">
        <f>IMAGE("https://images.lululemon.com/is/image/lululemon/31382",1)</f>
        <v/>
      </c>
      <c r="J1160" s="4" t="inlineStr">
        <is>
          <t>6</t>
        </is>
      </c>
      <c r="K1160" s="4" t="inlineStr">
        <is>
          <t>239/2498</t>
        </is>
      </c>
      <c r="L1160" s="4" t="inlineStr">
        <is>
          <t>Yes</t>
        </is>
      </c>
      <c r="M1160" s="4" t="inlineStr">
        <is>
          <t>Train hard, not hot. Made from Everlux™, the Wunder Train collection is highly breathable and quickly wicks sweat so you feel less sweaty during (and after) your workout.</t>
        </is>
      </c>
      <c r="N1160" s="4" t="inlineStr">
        <is>
          <t>Wunder-Train-HR-Tight-28</t>
        </is>
      </c>
      <c r="O1160" s="4" t="inlineStr"/>
    </row>
    <row r="1161" ht="80" customHeight="1">
      <c r="A1161" s="7">
        <f>IMAGE("https://images.lululemon.com/is/image/lululemon/LW5DJ0S_0001_1?wid=320&amp;op_usm=0.8",1)</f>
        <v/>
      </c>
      <c r="B1161" s="7" t="inlineStr">
        <is>
          <t>Wunder Train High-Rise Tight 28"</t>
        </is>
      </c>
      <c r="C1161" s="7" t="inlineStr">
        <is>
          <t>154834675</t>
        </is>
      </c>
      <c r="D1161" s="7" t="inlineStr">
        <is>
          <t>154834675-truenavy</t>
        </is>
      </c>
      <c r="E1161" s="7" t="inlineStr">
        <is>
          <t>Wunder Train HR Tight 28" BLK 0</t>
        </is>
      </c>
      <c r="F1161" s="7" t="inlineStr">
        <is>
          <t>$98.00</t>
        </is>
      </c>
      <c r="G1161" s="7" t="inlineStr">
        <is>
          <t>$49.00</t>
        </is>
      </c>
      <c r="H1161" s="7" t="inlineStr">
        <is>
          <t>True Navy</t>
        </is>
      </c>
      <c r="I1161" s="7">
        <f>IMAGE("https://images.lululemon.com/is/image/lululemon/31382",1)</f>
        <v/>
      </c>
      <c r="J1161" s="7" t="inlineStr">
        <is>
          <t>8</t>
        </is>
      </c>
      <c r="K1161" s="7" t="inlineStr">
        <is>
          <t>216/2498</t>
        </is>
      </c>
      <c r="L1161" s="7" t="inlineStr">
        <is>
          <t>Yes</t>
        </is>
      </c>
      <c r="M1161" s="7" t="inlineStr">
        <is>
          <t>Train hard, not hot. Made from Everlux™, the Wunder Train collection is highly breathable and quickly wicks sweat so you feel less sweaty during (and after) your workout.</t>
        </is>
      </c>
      <c r="N1161" s="7" t="inlineStr">
        <is>
          <t>Wunder-Train-HR-Tight-28</t>
        </is>
      </c>
      <c r="O1161" s="7" t="inlineStr"/>
    </row>
    <row r="1162" ht="80" customHeight="1">
      <c r="A1162" s="4">
        <f>IMAGE("https://images.lululemon.com/is/image/lululemon/LW5DJ0S_0001_1?wid=320&amp;op_usm=0.8",1)</f>
        <v/>
      </c>
      <c r="B1162" s="4" t="inlineStr">
        <is>
          <t>Wunder Train High-Rise Tight 28"</t>
        </is>
      </c>
      <c r="C1162" s="4" t="inlineStr">
        <is>
          <t>154834616</t>
        </is>
      </c>
      <c r="D1162" s="4" t="inlineStr">
        <is>
          <t>154834616-truenavy</t>
        </is>
      </c>
      <c r="E1162" s="4" t="inlineStr">
        <is>
          <t>Wunder Train HR Tight 28" BLK 0</t>
        </is>
      </c>
      <c r="F1162" s="4" t="inlineStr">
        <is>
          <t>$98.00</t>
        </is>
      </c>
      <c r="G1162" s="4" t="inlineStr">
        <is>
          <t>$49.00</t>
        </is>
      </c>
      <c r="H1162" s="4" t="inlineStr">
        <is>
          <t>True Navy</t>
        </is>
      </c>
      <c r="I1162" s="4">
        <f>IMAGE("https://images.lululemon.com/is/image/lululemon/31382",1)</f>
        <v/>
      </c>
      <c r="J1162" s="4" t="inlineStr">
        <is>
          <t>10</t>
        </is>
      </c>
      <c r="K1162" s="4" t="inlineStr">
        <is>
          <t>93/2498</t>
        </is>
      </c>
      <c r="L1162" s="4" t="inlineStr">
        <is>
          <t>Yes</t>
        </is>
      </c>
      <c r="M1162" s="4" t="inlineStr">
        <is>
          <t>Train hard, not hot. Made from Everlux™, the Wunder Train collection is highly breathable and quickly wicks sweat so you feel less sweaty during (and after) your workout.</t>
        </is>
      </c>
      <c r="N1162" s="4" t="inlineStr">
        <is>
          <t>Wunder-Train-HR-Tight-28</t>
        </is>
      </c>
      <c r="O1162" s="4" t="inlineStr"/>
    </row>
    <row r="1163" ht="80" customHeight="1">
      <c r="A1163" s="7">
        <f>IMAGE("https://images.lululemon.com/is/image/lululemon/LW5DJ0S_0001_1?wid=320&amp;op_usm=0.8",1)</f>
        <v/>
      </c>
      <c r="B1163" s="7" t="inlineStr">
        <is>
          <t>Wunder Train High-Rise Tight 28"</t>
        </is>
      </c>
      <c r="C1163" s="7" t="inlineStr">
        <is>
          <t>154834620</t>
        </is>
      </c>
      <c r="D1163" s="7" t="inlineStr">
        <is>
          <t>154834620-truenavy</t>
        </is>
      </c>
      <c r="E1163" s="7" t="inlineStr">
        <is>
          <t>Wunder Train HR Tight 28" BLK 0</t>
        </is>
      </c>
      <c r="F1163" s="7" t="inlineStr">
        <is>
          <t>$98.00</t>
        </is>
      </c>
      <c r="G1163" s="7" t="inlineStr">
        <is>
          <t>$49.00</t>
        </is>
      </c>
      <c r="H1163" s="7" t="inlineStr">
        <is>
          <t>True Navy</t>
        </is>
      </c>
      <c r="I1163" s="7">
        <f>IMAGE("https://images.lululemon.com/is/image/lululemon/31382",1)</f>
        <v/>
      </c>
      <c r="J1163" s="7" t="inlineStr">
        <is>
          <t>12</t>
        </is>
      </c>
      <c r="K1163" s="7" t="inlineStr">
        <is>
          <t>45/2498</t>
        </is>
      </c>
      <c r="L1163" s="7" t="inlineStr">
        <is>
          <t>Yes</t>
        </is>
      </c>
      <c r="M1163" s="7" t="inlineStr">
        <is>
          <t>Train hard, not hot. Made from Everlux™, the Wunder Train collection is highly breathable and quickly wicks sweat so you feel less sweaty during (and after) your workout.</t>
        </is>
      </c>
      <c r="N1163" s="7" t="inlineStr">
        <is>
          <t>Wunder-Train-HR-Tight-28</t>
        </is>
      </c>
      <c r="O1163" s="7" t="inlineStr"/>
    </row>
    <row r="1164" ht="80" customHeight="1">
      <c r="A1164" s="4">
        <f>IMAGE("https://images.lululemon.com/is/image/lululemon/LW5DJ0S_0001_1?wid=320&amp;op_usm=0.8",1)</f>
        <v/>
      </c>
      <c r="B1164" s="4" t="inlineStr">
        <is>
          <t>Wunder Train High-Rise Tight 28"</t>
        </is>
      </c>
      <c r="C1164" s="4" t="inlineStr">
        <is>
          <t>154834626</t>
        </is>
      </c>
      <c r="D1164" s="4" t="inlineStr">
        <is>
          <t>154834626-truenavy</t>
        </is>
      </c>
      <c r="E1164" s="4" t="inlineStr">
        <is>
          <t>Wunder Train HR Tight 28" BLK 0</t>
        </is>
      </c>
      <c r="F1164" s="4" t="inlineStr">
        <is>
          <t>$98.00</t>
        </is>
      </c>
      <c r="G1164" s="4" t="inlineStr">
        <is>
          <t>$49.00</t>
        </is>
      </c>
      <c r="H1164" s="4" t="inlineStr">
        <is>
          <t>True Navy</t>
        </is>
      </c>
      <c r="I1164" s="4">
        <f>IMAGE("https://images.lululemon.com/is/image/lululemon/31382",1)</f>
        <v/>
      </c>
      <c r="J1164" s="4" t="inlineStr">
        <is>
          <t>14</t>
        </is>
      </c>
      <c r="K1164" s="4" t="inlineStr">
        <is>
          <t>7/2498</t>
        </is>
      </c>
      <c r="L1164" s="4" t="inlineStr">
        <is>
          <t>Yes</t>
        </is>
      </c>
      <c r="M1164" s="4" t="inlineStr">
        <is>
          <t>Train hard, not hot. Made from Everlux™, the Wunder Train collection is highly breathable and quickly wicks sweat so you feel less sweaty during (and after) your workout.</t>
        </is>
      </c>
      <c r="N1164" s="4" t="inlineStr">
        <is>
          <t>Wunder-Train-HR-Tight-28</t>
        </is>
      </c>
      <c r="O1164" s="4" t="inlineStr"/>
    </row>
    <row r="1165" ht="80" customHeight="1">
      <c r="A1165" s="7">
        <f>IMAGE("https://images.lululemon.com/is/image/lululemon/LW5DJ0S_0001_1?wid=320&amp;op_usm=0.8",1)</f>
        <v/>
      </c>
      <c r="B1165" s="7" t="inlineStr">
        <is>
          <t>Wunder Train High-Rise Tight 28"</t>
        </is>
      </c>
      <c r="C1165" s="7" t="inlineStr">
        <is>
          <t>127600227</t>
        </is>
      </c>
      <c r="D1165" s="7" t="inlineStr">
        <is>
          <t>127600227-truenavy</t>
        </is>
      </c>
      <c r="E1165" s="7" t="inlineStr">
        <is>
          <t>Wunder Train HR Tight 28" BLK 0</t>
        </is>
      </c>
      <c r="F1165" s="7" t="inlineStr">
        <is>
          <t>$98.00</t>
        </is>
      </c>
      <c r="G1165" s="7" t="inlineStr">
        <is>
          <t>$49.00</t>
        </is>
      </c>
      <c r="H1165" s="7" t="inlineStr">
        <is>
          <t>True Navy</t>
        </is>
      </c>
      <c r="I1165" s="7">
        <f>IMAGE("https://images.lululemon.com/is/image/lululemon/31382",1)</f>
        <v/>
      </c>
      <c r="J1165" s="7" t="inlineStr">
        <is>
          <t>16</t>
        </is>
      </c>
      <c r="K1165" s="7" t="inlineStr">
        <is>
          <t>6/2498</t>
        </is>
      </c>
      <c r="L1165" s="7" t="inlineStr">
        <is>
          <t>Yes</t>
        </is>
      </c>
      <c r="M1165" s="7" t="inlineStr">
        <is>
          <t>Train hard, not hot. Made from Everlux™, the Wunder Train collection is highly breathable and quickly wicks sweat so you feel less sweaty during (and after) your workout.</t>
        </is>
      </c>
      <c r="N1165" s="7" t="inlineStr">
        <is>
          <t>Wunder-Train-HR-Tight-28</t>
        </is>
      </c>
      <c r="O1165" s="7" t="inlineStr"/>
    </row>
    <row r="1166" ht="80" customHeight="1">
      <c r="A1166" s="4">
        <f>IMAGE("https://images.lululemon.com/is/image/lululemon/LW5DJ0S_0001_1?wid=320&amp;op_usm=0.8",1)</f>
        <v/>
      </c>
      <c r="B1166" s="4" t="inlineStr">
        <is>
          <t>Wunder Train High-Rise Tight 28"</t>
        </is>
      </c>
      <c r="C1166" s="4" t="inlineStr">
        <is>
          <t>158024725</t>
        </is>
      </c>
      <c r="D1166" s="4" t="inlineStr">
        <is>
          <t>158024725-blackplum</t>
        </is>
      </c>
      <c r="E1166" s="4" t="inlineStr">
        <is>
          <t>Wunder Train HR Tight 28" BLK 0</t>
        </is>
      </c>
      <c r="F1166" s="4" t="inlineStr">
        <is>
          <t>$98.00</t>
        </is>
      </c>
      <c r="G1166" s="4" t="inlineStr">
        <is>
          <t>$49.00</t>
        </is>
      </c>
      <c r="H1166" s="4" t="inlineStr">
        <is>
          <t>Black Plum</t>
        </is>
      </c>
      <c r="I1166" s="4">
        <f>IMAGE("https://images.lululemon.com/is/image/lululemon/34697",1)</f>
        <v/>
      </c>
      <c r="J1166" s="4" t="inlineStr">
        <is>
          <t>2</t>
        </is>
      </c>
      <c r="K1166" s="4" t="inlineStr">
        <is>
          <t>16/2498</t>
        </is>
      </c>
      <c r="L1166" s="4" t="inlineStr">
        <is>
          <t>Yes</t>
        </is>
      </c>
      <c r="M1166" s="4" t="inlineStr">
        <is>
          <t>Train hard, not hot. Made from Everlux™, the Wunder Train collection is highly breathable and quickly wicks sweat so you feel less sweaty during (and after) your workout.</t>
        </is>
      </c>
      <c r="N1166" s="4" t="inlineStr">
        <is>
          <t>Wunder-Train-HR-Tight-28</t>
        </is>
      </c>
      <c r="O1166" s="4" t="inlineStr"/>
    </row>
    <row r="1167" ht="80" customHeight="1">
      <c r="A1167" s="7">
        <f>IMAGE("https://images.lululemon.com/is/image/lululemon/LW5DJ0S_0001_1?wid=320&amp;op_usm=0.8",1)</f>
        <v/>
      </c>
      <c r="B1167" s="7" t="inlineStr">
        <is>
          <t>Wunder Train High-Rise Tight 28"</t>
        </is>
      </c>
      <c r="C1167" s="7" t="inlineStr">
        <is>
          <t>158024727</t>
        </is>
      </c>
      <c r="D1167" s="7" t="inlineStr">
        <is>
          <t>158024727-blackplum</t>
        </is>
      </c>
      <c r="E1167" s="7" t="inlineStr">
        <is>
          <t>Wunder Train HR Tight 28" BLK 0</t>
        </is>
      </c>
      <c r="F1167" s="7" t="inlineStr">
        <is>
          <t>$98.00</t>
        </is>
      </c>
      <c r="G1167" s="7" t="inlineStr">
        <is>
          <t>$49.00</t>
        </is>
      </c>
      <c r="H1167" s="7" t="inlineStr">
        <is>
          <t>Black Plum</t>
        </is>
      </c>
      <c r="I1167" s="7">
        <f>IMAGE("https://images.lululemon.com/is/image/lululemon/34697",1)</f>
        <v/>
      </c>
      <c r="J1167" s="7" t="inlineStr">
        <is>
          <t>4</t>
        </is>
      </c>
      <c r="K1167" s="7" t="inlineStr">
        <is>
          <t>24/2498</t>
        </is>
      </c>
      <c r="L1167" s="7" t="inlineStr">
        <is>
          <t>Yes</t>
        </is>
      </c>
      <c r="M1167" s="7" t="inlineStr">
        <is>
          <t>Train hard, not hot. Made from Everlux™, the Wunder Train collection is highly breathable and quickly wicks sweat so you feel less sweaty during (and after) your workout.</t>
        </is>
      </c>
      <c r="N1167" s="7" t="inlineStr">
        <is>
          <t>Wunder-Train-HR-Tight-28</t>
        </is>
      </c>
      <c r="O1167" s="7" t="inlineStr"/>
    </row>
    <row r="1168" ht="80" customHeight="1">
      <c r="A1168" s="4">
        <f>IMAGE("https://images.lululemon.com/is/image/lululemon/LW5DJ0S_0001_1?wid=320&amp;op_usm=0.8",1)</f>
        <v/>
      </c>
      <c r="B1168" s="4" t="inlineStr">
        <is>
          <t>Wunder Train High-Rise Tight 28"</t>
        </is>
      </c>
      <c r="C1168" s="4" t="inlineStr">
        <is>
          <t>158024728</t>
        </is>
      </c>
      <c r="D1168" s="4" t="inlineStr">
        <is>
          <t>158024728-blackplum</t>
        </is>
      </c>
      <c r="E1168" s="4" t="inlineStr">
        <is>
          <t>Wunder Train HR Tight 28" BLK 0</t>
        </is>
      </c>
      <c r="F1168" s="4" t="inlineStr">
        <is>
          <t>$98.00</t>
        </is>
      </c>
      <c r="G1168" s="4" t="inlineStr">
        <is>
          <t>$49.00</t>
        </is>
      </c>
      <c r="H1168" s="4" t="inlineStr">
        <is>
          <t>Black Plum</t>
        </is>
      </c>
      <c r="I1168" s="4">
        <f>IMAGE("https://images.lululemon.com/is/image/lululemon/34697",1)</f>
        <v/>
      </c>
      <c r="J1168" s="4" t="inlineStr">
        <is>
          <t>6</t>
        </is>
      </c>
      <c r="K1168" s="4" t="inlineStr">
        <is>
          <t>28/2498</t>
        </is>
      </c>
      <c r="L1168" s="4" t="inlineStr">
        <is>
          <t>Yes</t>
        </is>
      </c>
      <c r="M1168" s="4" t="inlineStr">
        <is>
          <t>Train hard, not hot. Made from Everlux™, the Wunder Train collection is highly breathable and quickly wicks sweat so you feel less sweaty during (and after) your workout.</t>
        </is>
      </c>
      <c r="N1168" s="4" t="inlineStr">
        <is>
          <t>Wunder-Train-HR-Tight-28</t>
        </is>
      </c>
      <c r="O1168" s="4" t="inlineStr"/>
    </row>
    <row r="1169" ht="80" customHeight="1">
      <c r="A1169" s="7">
        <f>IMAGE("https://images.lululemon.com/is/image/lululemon/LW5DJ0S_0001_1?wid=320&amp;op_usm=0.8",1)</f>
        <v/>
      </c>
      <c r="B1169" s="7" t="inlineStr">
        <is>
          <t>Wunder Train High-Rise Tight 28"</t>
        </is>
      </c>
      <c r="C1169" s="7" t="inlineStr">
        <is>
          <t>158024729</t>
        </is>
      </c>
      <c r="D1169" s="7" t="inlineStr">
        <is>
          <t>158024729-blackplum</t>
        </is>
      </c>
      <c r="E1169" s="7" t="inlineStr">
        <is>
          <t>Wunder Train HR Tight 28" BLK 0</t>
        </is>
      </c>
      <c r="F1169" s="7" t="inlineStr">
        <is>
          <t>$98.00</t>
        </is>
      </c>
      <c r="G1169" s="7" t="inlineStr">
        <is>
          <t>$49.00</t>
        </is>
      </c>
      <c r="H1169" s="7" t="inlineStr">
        <is>
          <t>Black Plum</t>
        </is>
      </c>
      <c r="I1169" s="7">
        <f>IMAGE("https://images.lululemon.com/is/image/lululemon/34697",1)</f>
        <v/>
      </c>
      <c r="J1169" s="7" t="inlineStr">
        <is>
          <t>8</t>
        </is>
      </c>
      <c r="K1169" s="7" t="inlineStr">
        <is>
          <t>28/2498</t>
        </is>
      </c>
      <c r="L1169" s="7" t="inlineStr">
        <is>
          <t>Yes</t>
        </is>
      </c>
      <c r="M1169" s="7" t="inlineStr">
        <is>
          <t>Train hard, not hot. Made from Everlux™, the Wunder Train collection is highly breathable and quickly wicks sweat so you feel less sweaty during (and after) your workout.</t>
        </is>
      </c>
      <c r="N1169" s="7" t="inlineStr">
        <is>
          <t>Wunder-Train-HR-Tight-28</t>
        </is>
      </c>
      <c r="O1169" s="7" t="inlineStr"/>
    </row>
    <row r="1170" ht="80" customHeight="1">
      <c r="A1170" s="4">
        <f>IMAGE("https://images.lululemon.com/is/image/lululemon/LW5DJ0S_0001_1?wid=320&amp;op_usm=0.8",1)</f>
        <v/>
      </c>
      <c r="B1170" s="4" t="inlineStr">
        <is>
          <t>Wunder Train High-Rise Tight 28"</t>
        </is>
      </c>
      <c r="C1170" s="4" t="inlineStr">
        <is>
          <t>158024714</t>
        </is>
      </c>
      <c r="D1170" s="4" t="inlineStr">
        <is>
          <t>158024714-blackplum</t>
        </is>
      </c>
      <c r="E1170" s="4" t="inlineStr">
        <is>
          <t>Wunder Train HR Tight 28" BLK 0</t>
        </is>
      </c>
      <c r="F1170" s="4" t="inlineStr">
        <is>
          <t>$98.00</t>
        </is>
      </c>
      <c r="G1170" s="4" t="inlineStr">
        <is>
          <t>$49.00</t>
        </is>
      </c>
      <c r="H1170" s="4" t="inlineStr">
        <is>
          <t>Black Plum</t>
        </is>
      </c>
      <c r="I1170" s="4">
        <f>IMAGE("https://images.lululemon.com/is/image/lululemon/34697",1)</f>
        <v/>
      </c>
      <c r="J1170" s="4" t="inlineStr">
        <is>
          <t>10</t>
        </is>
      </c>
      <c r="K1170" s="4" t="inlineStr">
        <is>
          <t>16/2498</t>
        </is>
      </c>
      <c r="L1170" s="4" t="inlineStr">
        <is>
          <t>Yes</t>
        </is>
      </c>
      <c r="M1170" s="4" t="inlineStr">
        <is>
          <t>Train hard, not hot. Made from Everlux™, the Wunder Train collection is highly breathable and quickly wicks sweat so you feel less sweaty during (and after) your workout.</t>
        </is>
      </c>
      <c r="N1170" s="4" t="inlineStr">
        <is>
          <t>Wunder-Train-HR-Tight-28</t>
        </is>
      </c>
      <c r="O1170" s="4" t="inlineStr"/>
    </row>
    <row r="1171" ht="80" customHeight="1">
      <c r="A1171" s="7">
        <f>IMAGE("https://images.lululemon.com/is/image/lululemon/LW5DJ0S_0001_1?wid=320&amp;op_usm=0.8",1)</f>
        <v/>
      </c>
      <c r="B1171" s="7" t="inlineStr">
        <is>
          <t>Wunder Train High-Rise Tight 28"</t>
        </is>
      </c>
      <c r="C1171" s="7" t="inlineStr">
        <is>
          <t>158024718</t>
        </is>
      </c>
      <c r="D1171" s="7" t="inlineStr">
        <is>
          <t>158024718-blackplum</t>
        </is>
      </c>
      <c r="E1171" s="7" t="inlineStr">
        <is>
          <t>Wunder Train HR Tight 28" BLK 0</t>
        </is>
      </c>
      <c r="F1171" s="7" t="inlineStr">
        <is>
          <t>$98.00</t>
        </is>
      </c>
      <c r="G1171" s="7" t="inlineStr">
        <is>
          <t>$49.00</t>
        </is>
      </c>
      <c r="H1171" s="7" t="inlineStr">
        <is>
          <t>Black Plum</t>
        </is>
      </c>
      <c r="I1171" s="7">
        <f>IMAGE("https://images.lululemon.com/is/image/lululemon/34697",1)</f>
        <v/>
      </c>
      <c r="J1171" s="7" t="inlineStr">
        <is>
          <t>12</t>
        </is>
      </c>
      <c r="K1171" s="7" t="inlineStr">
        <is>
          <t>11/2498</t>
        </is>
      </c>
      <c r="L1171" s="7" t="inlineStr">
        <is>
          <t>Yes</t>
        </is>
      </c>
      <c r="M1171" s="7" t="inlineStr">
        <is>
          <t>Train hard, not hot. Made from Everlux™, the Wunder Train collection is highly breathable and quickly wicks sweat so you feel less sweaty during (and after) your workout.</t>
        </is>
      </c>
      <c r="N1171" s="7" t="inlineStr">
        <is>
          <t>Wunder-Train-HR-Tight-28</t>
        </is>
      </c>
      <c r="O1171" s="7" t="inlineStr"/>
    </row>
    <row r="1172" ht="80" customHeight="1">
      <c r="A1172" s="4">
        <f>IMAGE("https://images.lululemon.com/is/image/lululemon/LW5DJ0S_0001_1?wid=320&amp;op_usm=0.8",1)</f>
        <v/>
      </c>
      <c r="B1172" s="4" t="inlineStr">
        <is>
          <t>Wunder Train High-Rise Tight 28"</t>
        </is>
      </c>
      <c r="C1172" s="4" t="inlineStr">
        <is>
          <t>158024736</t>
        </is>
      </c>
      <c r="D1172" s="4" t="inlineStr">
        <is>
          <t>158024736-grapemist</t>
        </is>
      </c>
      <c r="E1172" s="4" t="inlineStr">
        <is>
          <t>Wunder Train HR Tight 28" BLK 0</t>
        </is>
      </c>
      <c r="F1172" s="4" t="inlineStr">
        <is>
          <t>$98.00</t>
        </is>
      </c>
      <c r="G1172" s="4" t="inlineStr">
        <is>
          <t>$49.00</t>
        </is>
      </c>
      <c r="H1172" s="4" t="inlineStr">
        <is>
          <t>Grape Mist</t>
        </is>
      </c>
      <c r="I1172" s="4">
        <f>IMAGE("https://images.lululemon.com/is/image/lululemon/0554",1)</f>
        <v/>
      </c>
      <c r="J1172" s="4" t="inlineStr">
        <is>
          <t>2</t>
        </is>
      </c>
      <c r="K1172" s="4" t="inlineStr">
        <is>
          <t>45/2498</t>
        </is>
      </c>
      <c r="L1172" s="4" t="inlineStr">
        <is>
          <t>Yes</t>
        </is>
      </c>
      <c r="M1172" s="4" t="inlineStr">
        <is>
          <t>Train hard, not hot. Made from Everlux™, the Wunder Train collection is highly breathable and quickly wicks sweat so you feel less sweaty during (and after) your workout.</t>
        </is>
      </c>
      <c r="N1172" s="4" t="inlineStr">
        <is>
          <t>Wunder-Train-HR-Tight-28</t>
        </is>
      </c>
      <c r="O1172" s="4" t="inlineStr"/>
    </row>
    <row r="1173" ht="80" customHeight="1">
      <c r="A1173" s="7">
        <f>IMAGE("https://images.lululemon.com/is/image/lululemon/LW5DJ0S_0001_1?wid=320&amp;op_usm=0.8",1)</f>
        <v/>
      </c>
      <c r="B1173" s="7" t="inlineStr">
        <is>
          <t>Wunder Train High-Rise Tight 28"</t>
        </is>
      </c>
      <c r="C1173" s="7" t="inlineStr">
        <is>
          <t>158024738</t>
        </is>
      </c>
      <c r="D1173" s="7" t="inlineStr">
        <is>
          <t>158024738-grapemist</t>
        </is>
      </c>
      <c r="E1173" s="7" t="inlineStr">
        <is>
          <t>Wunder Train HR Tight 28" BLK 0</t>
        </is>
      </c>
      <c r="F1173" s="7" t="inlineStr">
        <is>
          <t>$98.00</t>
        </is>
      </c>
      <c r="G1173" s="7" t="inlineStr">
        <is>
          <t>$49.00</t>
        </is>
      </c>
      <c r="H1173" s="7" t="inlineStr">
        <is>
          <t>Grape Mist</t>
        </is>
      </c>
      <c r="I1173" s="7">
        <f>IMAGE("https://images.lululemon.com/is/image/lululemon/0554",1)</f>
        <v/>
      </c>
      <c r="J1173" s="7" t="inlineStr">
        <is>
          <t>4</t>
        </is>
      </c>
      <c r="K1173" s="7" t="inlineStr">
        <is>
          <t>104/2498</t>
        </is>
      </c>
      <c r="L1173" s="7" t="inlineStr">
        <is>
          <t>Yes</t>
        </is>
      </c>
      <c r="M1173" s="7" t="inlineStr">
        <is>
          <t>Train hard, not hot. Made from Everlux™, the Wunder Train collection is highly breathable and quickly wicks sweat so you feel less sweaty during (and after) your workout.</t>
        </is>
      </c>
      <c r="N1173" s="7" t="inlineStr">
        <is>
          <t>Wunder-Train-HR-Tight-28</t>
        </is>
      </c>
      <c r="O1173" s="7" t="inlineStr"/>
    </row>
    <row r="1174" ht="80" customHeight="1">
      <c r="A1174" s="4">
        <f>IMAGE("https://images.lululemon.com/is/image/lululemon/LW5DJ0S_0001_1?wid=320&amp;op_usm=0.8",1)</f>
        <v/>
      </c>
      <c r="B1174" s="4" t="inlineStr">
        <is>
          <t>Wunder Train High-Rise Tight 28"</t>
        </is>
      </c>
      <c r="C1174" s="4" t="inlineStr">
        <is>
          <t>158024739</t>
        </is>
      </c>
      <c r="D1174" s="4" t="inlineStr">
        <is>
          <t>158024739-grapemist</t>
        </is>
      </c>
      <c r="E1174" s="4" t="inlineStr">
        <is>
          <t>Wunder Train HR Tight 28" BLK 0</t>
        </is>
      </c>
      <c r="F1174" s="4" t="inlineStr">
        <is>
          <t>$98.00</t>
        </is>
      </c>
      <c r="G1174" s="4" t="inlineStr">
        <is>
          <t>$49.00</t>
        </is>
      </c>
      <c r="H1174" s="4" t="inlineStr">
        <is>
          <t>Grape Mist</t>
        </is>
      </c>
      <c r="I1174" s="4">
        <f>IMAGE("https://images.lululemon.com/is/image/lululemon/0554",1)</f>
        <v/>
      </c>
      <c r="J1174" s="4" t="inlineStr">
        <is>
          <t>6</t>
        </is>
      </c>
      <c r="K1174" s="4" t="inlineStr">
        <is>
          <t>119/2498</t>
        </is>
      </c>
      <c r="L1174" s="4" t="inlineStr">
        <is>
          <t>Yes</t>
        </is>
      </c>
      <c r="M1174" s="4" t="inlineStr">
        <is>
          <t>Train hard, not hot. Made from Everlux™, the Wunder Train collection is highly breathable and quickly wicks sweat so you feel less sweaty during (and after) your workout.</t>
        </is>
      </c>
      <c r="N1174" s="4" t="inlineStr">
        <is>
          <t>Wunder-Train-HR-Tight-28</t>
        </is>
      </c>
      <c r="O1174" s="4" t="inlineStr"/>
    </row>
    <row r="1175" ht="80" customHeight="1">
      <c r="A1175" s="7">
        <f>IMAGE("https://images.lululemon.com/is/image/lululemon/LW5DJ0S_0001_1?wid=320&amp;op_usm=0.8",1)</f>
        <v/>
      </c>
      <c r="B1175" s="7" t="inlineStr">
        <is>
          <t>Wunder Train High-Rise Tight 28"</t>
        </is>
      </c>
      <c r="C1175" s="7" t="inlineStr">
        <is>
          <t>158024740</t>
        </is>
      </c>
      <c r="D1175" s="7" t="inlineStr">
        <is>
          <t>158024740-grapemist</t>
        </is>
      </c>
      <c r="E1175" s="7" t="inlineStr">
        <is>
          <t>Wunder Train HR Tight 28" BLK 0</t>
        </is>
      </c>
      <c r="F1175" s="7" t="inlineStr">
        <is>
          <t>$98.00</t>
        </is>
      </c>
      <c r="G1175" s="7" t="inlineStr">
        <is>
          <t>$49.00</t>
        </is>
      </c>
      <c r="H1175" s="7" t="inlineStr">
        <is>
          <t>Grape Mist</t>
        </is>
      </c>
      <c r="I1175" s="7">
        <f>IMAGE("https://images.lululemon.com/is/image/lululemon/0554",1)</f>
        <v/>
      </c>
      <c r="J1175" s="7" t="inlineStr">
        <is>
          <t>8</t>
        </is>
      </c>
      <c r="K1175" s="7" t="inlineStr">
        <is>
          <t>94/2498</t>
        </is>
      </c>
      <c r="L1175" s="7" t="inlineStr">
        <is>
          <t>Yes</t>
        </is>
      </c>
      <c r="M1175" s="7" t="inlineStr">
        <is>
          <t>Train hard, not hot. Made from Everlux™, the Wunder Train collection is highly breathable and quickly wicks sweat so you feel less sweaty during (and after) your workout.</t>
        </is>
      </c>
      <c r="N1175" s="7" t="inlineStr">
        <is>
          <t>Wunder-Train-HR-Tight-28</t>
        </is>
      </c>
      <c r="O1175" s="7" t="inlineStr"/>
    </row>
    <row r="1176" ht="80" customHeight="1">
      <c r="A1176" s="4">
        <f>IMAGE("https://images.lululemon.com/is/image/lululemon/LW5DJ0S_0001_1?wid=320&amp;op_usm=0.8",1)</f>
        <v/>
      </c>
      <c r="B1176" s="4" t="inlineStr">
        <is>
          <t>Wunder Train High-Rise Tight 28"</t>
        </is>
      </c>
      <c r="C1176" s="4" t="inlineStr">
        <is>
          <t>158024731</t>
        </is>
      </c>
      <c r="D1176" s="4" t="inlineStr">
        <is>
          <t>158024731-grapemist</t>
        </is>
      </c>
      <c r="E1176" s="4" t="inlineStr">
        <is>
          <t>Wunder Train HR Tight 28" BLK 0</t>
        </is>
      </c>
      <c r="F1176" s="4" t="inlineStr">
        <is>
          <t>$98.00</t>
        </is>
      </c>
      <c r="G1176" s="4" t="inlineStr">
        <is>
          <t>$49.00</t>
        </is>
      </c>
      <c r="H1176" s="4" t="inlineStr">
        <is>
          <t>Grape Mist</t>
        </is>
      </c>
      <c r="I1176" s="4">
        <f>IMAGE("https://images.lululemon.com/is/image/lululemon/0554",1)</f>
        <v/>
      </c>
      <c r="J1176" s="4" t="inlineStr">
        <is>
          <t>10</t>
        </is>
      </c>
      <c r="K1176" s="4" t="inlineStr">
        <is>
          <t>54/2498</t>
        </is>
      </c>
      <c r="L1176" s="4" t="inlineStr">
        <is>
          <t>Yes</t>
        </is>
      </c>
      <c r="M1176" s="4" t="inlineStr">
        <is>
          <t>Train hard, not hot. Made from Everlux™, the Wunder Train collection is highly breathable and quickly wicks sweat so you feel less sweaty during (and after) your workout.</t>
        </is>
      </c>
      <c r="N1176" s="4" t="inlineStr">
        <is>
          <t>Wunder-Train-HR-Tight-28</t>
        </is>
      </c>
      <c r="O1176" s="4" t="inlineStr"/>
    </row>
    <row r="1177" ht="80" customHeight="1">
      <c r="A1177" s="7">
        <f>IMAGE("https://images.lululemon.com/is/image/lululemon/LW5DJ0S_0001_1?wid=320&amp;op_usm=0.8",1)</f>
        <v/>
      </c>
      <c r="B1177" s="7" t="inlineStr">
        <is>
          <t>Wunder Train High-Rise Tight 28"</t>
        </is>
      </c>
      <c r="C1177" s="7" t="inlineStr">
        <is>
          <t>158024732</t>
        </is>
      </c>
      <c r="D1177" s="7" t="inlineStr">
        <is>
          <t>158024732-grapemist</t>
        </is>
      </c>
      <c r="E1177" s="7" t="inlineStr">
        <is>
          <t>Wunder Train HR Tight 28" BLK 0</t>
        </is>
      </c>
      <c r="F1177" s="7" t="inlineStr">
        <is>
          <t>$98.00</t>
        </is>
      </c>
      <c r="G1177" s="7" t="inlineStr">
        <is>
          <t>$49.00</t>
        </is>
      </c>
      <c r="H1177" s="7" t="inlineStr">
        <is>
          <t>Grape Mist</t>
        </is>
      </c>
      <c r="I1177" s="7">
        <f>IMAGE("https://images.lululemon.com/is/image/lululemon/0554",1)</f>
        <v/>
      </c>
      <c r="J1177" s="7" t="inlineStr">
        <is>
          <t>12</t>
        </is>
      </c>
      <c r="K1177" s="7" t="inlineStr">
        <is>
          <t>22/2498</t>
        </is>
      </c>
      <c r="L1177" s="7" t="inlineStr">
        <is>
          <t>Yes</t>
        </is>
      </c>
      <c r="M1177" s="7" t="inlineStr">
        <is>
          <t>Train hard, not hot. Made from Everlux™, the Wunder Train collection is highly breathable and quickly wicks sweat so you feel less sweaty during (and after) your workout.</t>
        </is>
      </c>
      <c r="N1177" s="7" t="inlineStr">
        <is>
          <t>Wunder-Train-HR-Tight-28</t>
        </is>
      </c>
      <c r="O1177" s="7" t="inlineStr"/>
    </row>
    <row r="1178" ht="80" customHeight="1">
      <c r="A1178" s="6">
        <f>IMAGE("https://images.lululemon.com/is/image/lululemon/LW5DJ0S_0001_1?wid=320&amp;op_usm=0.8",1)</f>
        <v/>
      </c>
      <c r="B1178" s="6" t="inlineStr">
        <is>
          <t>Wunder Train High-Rise Tight 28"</t>
        </is>
      </c>
      <c r="C1178" s="6" t="inlineStr">
        <is>
          <t>157708601</t>
        </is>
      </c>
      <c r="D1178" s="6" t="inlineStr">
        <is>
          <t>157708601-midnighthazeblackmulti</t>
        </is>
      </c>
      <c r="E1178" s="6" t="inlineStr">
        <is>
          <t>Wunder Train HR Tight 28" BLK 0</t>
        </is>
      </c>
      <c r="F1178" s="6" t="inlineStr">
        <is>
          <t>$98.00</t>
        </is>
      </c>
      <c r="G1178" s="6" t="inlineStr">
        <is>
          <t>$49.00</t>
        </is>
      </c>
      <c r="H1178" s="6" t="inlineStr">
        <is>
          <t>Midnight Haze Black Multi</t>
        </is>
      </c>
      <c r="I1178" s="6">
        <f>IMAGE("https://images.lululemon.com/is/image/lululemon/70282",1)</f>
        <v/>
      </c>
      <c r="J1178" s="6" t="inlineStr">
        <is>
          <t>12</t>
        </is>
      </c>
      <c r="K1178" s="6" t="inlineStr">
        <is>
          <t>10/2498</t>
        </is>
      </c>
      <c r="L1178" s="6" t="inlineStr">
        <is>
          <t>Yes</t>
        </is>
      </c>
      <c r="M1178" s="6" t="inlineStr">
        <is>
          <t>Train hard, not hot. Made from Everlux™, the Wunder Train collection is highly breathable and quickly wicks sweat so you feel less sweaty during (and after) your workout.</t>
        </is>
      </c>
      <c r="N1178" s="6" t="inlineStr">
        <is>
          <t>Wunder-Train-HR-Tight-28</t>
        </is>
      </c>
      <c r="O1178" s="6" t="inlineStr"/>
    </row>
    <row r="1179" ht="80" customHeight="1">
      <c r="A1179" s="7">
        <f>IMAGE("https://images.lululemon.com/is/image/lululemon/LW6BGLS_032507_1?wid=320&amp;op_usm=0.8",1)</f>
        <v/>
      </c>
      <c r="B1179" s="7" t="inlineStr">
        <is>
          <t>lululemon Align™ High-Rise Crop 23"</t>
        </is>
      </c>
      <c r="C1179" s="7" t="inlineStr">
        <is>
          <t>157709796</t>
        </is>
      </c>
      <c r="D1179" s="7" t="inlineStr">
        <is>
          <t>157709796-sereneblue</t>
        </is>
      </c>
      <c r="E1179" s="7" t="inlineStr">
        <is>
          <t>lululemon Align™ High-Rise Crop 23" SRNB 2</t>
        </is>
      </c>
      <c r="F1179" s="7" t="inlineStr">
        <is>
          <t>$98.00</t>
        </is>
      </c>
      <c r="G1179" s="7" t="inlineStr">
        <is>
          <t>$49.00</t>
        </is>
      </c>
      <c r="H1179" s="7" t="inlineStr">
        <is>
          <t>Serene Blue</t>
        </is>
      </c>
      <c r="I1179" s="7">
        <f>IMAGE("https://images.lululemon.com/is/image/lululemon/32507",1)</f>
        <v/>
      </c>
      <c r="J1179" s="7" t="inlineStr">
        <is>
          <t>2</t>
        </is>
      </c>
      <c r="K1179" s="7" t="inlineStr">
        <is>
          <t>1/19</t>
        </is>
      </c>
      <c r="L1179" s="7" t="inlineStr">
        <is>
          <t>Yes</t>
        </is>
      </c>
      <c r="M1179" s="7" t="inlineStr">
        <is>
          <t>When feeling nothing is everything. The lululemon Align™ collection is so weightless and buttery soft, all you feel is your practice.</t>
        </is>
      </c>
      <c r="N1179" s="7" t="inlineStr">
        <is>
          <t>Align-Crop-23</t>
        </is>
      </c>
      <c r="O1179" s="7" t="inlineStr"/>
    </row>
    <row r="1180" ht="80" customHeight="1">
      <c r="A1180" s="4">
        <f>IMAGE("https://images.lululemon.com/is/image/lululemon/LW6BGLS_032507_1?wid=320&amp;op_usm=0.8",1)</f>
        <v/>
      </c>
      <c r="B1180" s="4" t="inlineStr">
        <is>
          <t>lululemon Align™ High-Rise Crop 23"</t>
        </is>
      </c>
      <c r="C1180" s="4" t="inlineStr">
        <is>
          <t>157709808</t>
        </is>
      </c>
      <c r="D1180" s="4" t="inlineStr">
        <is>
          <t>157709808-sereneblue</t>
        </is>
      </c>
      <c r="E1180" s="4" t="inlineStr">
        <is>
          <t>lululemon Align™ High-Rise Crop 23" SRNB 2</t>
        </is>
      </c>
      <c r="F1180" s="4" t="inlineStr">
        <is>
          <t>$98.00</t>
        </is>
      </c>
      <c r="G1180" s="4" t="inlineStr">
        <is>
          <t>$49.00</t>
        </is>
      </c>
      <c r="H1180" s="4" t="inlineStr">
        <is>
          <t>Serene Blue</t>
        </is>
      </c>
      <c r="I1180" s="4">
        <f>IMAGE("https://images.lululemon.com/is/image/lululemon/32507",1)</f>
        <v/>
      </c>
      <c r="J1180" s="4" t="inlineStr">
        <is>
          <t>4</t>
        </is>
      </c>
      <c r="K1180" s="4" t="inlineStr">
        <is>
          <t>4/19</t>
        </is>
      </c>
      <c r="L1180" s="4" t="inlineStr">
        <is>
          <t>Yes</t>
        </is>
      </c>
      <c r="M1180" s="4" t="inlineStr">
        <is>
          <t>When feeling nothing is everything. The lululemon Align™ collection is so weightless and buttery soft, all you feel is your practice.</t>
        </is>
      </c>
      <c r="N1180" s="4" t="inlineStr">
        <is>
          <t>Align-Crop-23</t>
        </is>
      </c>
      <c r="O1180" s="4" t="inlineStr"/>
    </row>
    <row r="1181" ht="80" customHeight="1">
      <c r="A1181" s="7">
        <f>IMAGE("https://images.lululemon.com/is/image/lululemon/LW6BGLS_032507_1?wid=320&amp;op_usm=0.8",1)</f>
        <v/>
      </c>
      <c r="B1181" s="7" t="inlineStr">
        <is>
          <t>lululemon Align™ High-Rise Crop 23"</t>
        </is>
      </c>
      <c r="C1181" s="7" t="inlineStr">
        <is>
          <t>157709818</t>
        </is>
      </c>
      <c r="D1181" s="7" t="inlineStr">
        <is>
          <t>157709818-sereneblue</t>
        </is>
      </c>
      <c r="E1181" s="7" t="inlineStr">
        <is>
          <t>lululemon Align™ High-Rise Crop 23" SRNB 2</t>
        </is>
      </c>
      <c r="F1181" s="7" t="inlineStr">
        <is>
          <t>$98.00</t>
        </is>
      </c>
      <c r="G1181" s="7" t="inlineStr">
        <is>
          <t>$49.00</t>
        </is>
      </c>
      <c r="H1181" s="7" t="inlineStr">
        <is>
          <t>Serene Blue</t>
        </is>
      </c>
      <c r="I1181" s="7">
        <f>IMAGE("https://images.lululemon.com/is/image/lululemon/32507",1)</f>
        <v/>
      </c>
      <c r="J1181" s="7" t="inlineStr">
        <is>
          <t>6</t>
        </is>
      </c>
      <c r="K1181" s="7" t="inlineStr">
        <is>
          <t>9/19</t>
        </is>
      </c>
      <c r="L1181" s="7" t="inlineStr">
        <is>
          <t>Yes</t>
        </is>
      </c>
      <c r="M1181" s="7" t="inlineStr">
        <is>
          <t>When feeling nothing is everything. The lululemon Align™ collection is so weightless and buttery soft, all you feel is your practice.</t>
        </is>
      </c>
      <c r="N1181" s="7" t="inlineStr">
        <is>
          <t>Align-Crop-23</t>
        </is>
      </c>
      <c r="O1181" s="7" t="inlineStr"/>
    </row>
    <row r="1182" ht="80" customHeight="1">
      <c r="A1182" s="4">
        <f>IMAGE("https://images.lululemon.com/is/image/lululemon/LW6BGLS_032507_1?wid=320&amp;op_usm=0.8",1)</f>
        <v/>
      </c>
      <c r="B1182" s="4" t="inlineStr">
        <is>
          <t>lululemon Align™ High-Rise Crop 23"</t>
        </is>
      </c>
      <c r="C1182" s="4" t="inlineStr">
        <is>
          <t>157709832</t>
        </is>
      </c>
      <c r="D1182" s="4" t="inlineStr">
        <is>
          <t>157709832-sereneblue</t>
        </is>
      </c>
      <c r="E1182" s="4" t="inlineStr">
        <is>
          <t>lululemon Align™ High-Rise Crop 23" SRNB 2</t>
        </is>
      </c>
      <c r="F1182" s="4" t="inlineStr">
        <is>
          <t>$98.00</t>
        </is>
      </c>
      <c r="G1182" s="4" t="inlineStr">
        <is>
          <t>$49.00</t>
        </is>
      </c>
      <c r="H1182" s="4" t="inlineStr">
        <is>
          <t>Serene Blue</t>
        </is>
      </c>
      <c r="I1182" s="4">
        <f>IMAGE("https://images.lululemon.com/is/image/lululemon/32507",1)</f>
        <v/>
      </c>
      <c r="J1182" s="4" t="inlineStr">
        <is>
          <t>8</t>
        </is>
      </c>
      <c r="K1182" s="4" t="inlineStr">
        <is>
          <t>2/19</t>
        </is>
      </c>
      <c r="L1182" s="4" t="inlineStr">
        <is>
          <t>Yes</t>
        </is>
      </c>
      <c r="M1182" s="4" t="inlineStr">
        <is>
          <t>When feeling nothing is everything. The lululemon Align™ collection is so weightless and buttery soft, all you feel is your practice.</t>
        </is>
      </c>
      <c r="N1182" s="4" t="inlineStr">
        <is>
          <t>Align-Crop-23</t>
        </is>
      </c>
      <c r="O1182" s="4" t="inlineStr"/>
    </row>
    <row r="1183" ht="80" customHeight="1">
      <c r="A1183" s="5">
        <f>IMAGE("https://images.lululemon.com/is/image/lululemon/LW6BGLS_032507_1?wid=320&amp;op_usm=0.8",1)</f>
        <v/>
      </c>
      <c r="B1183" s="5" t="inlineStr">
        <is>
          <t>lululemon Align™ High-Rise Crop 23"</t>
        </is>
      </c>
      <c r="C1183" s="5" t="inlineStr">
        <is>
          <t>157709773</t>
        </is>
      </c>
      <c r="D1183" s="5" t="inlineStr">
        <is>
          <t>157709773-sereneblue</t>
        </is>
      </c>
      <c r="E1183" s="5" t="inlineStr">
        <is>
          <t>lululemon Align™ High-Rise Crop 23" SRNB 2</t>
        </is>
      </c>
      <c r="F1183" s="5" t="inlineStr">
        <is>
          <t>$98.00</t>
        </is>
      </c>
      <c r="G1183" s="5" t="inlineStr">
        <is>
          <t>$49.00</t>
        </is>
      </c>
      <c r="H1183" s="5" t="inlineStr">
        <is>
          <t>Serene Blue</t>
        </is>
      </c>
      <c r="I1183" s="5">
        <f>IMAGE("https://images.lululemon.com/is/image/lululemon/32507",1)</f>
        <v/>
      </c>
      <c r="J1183" s="5" t="inlineStr">
        <is>
          <t>12</t>
        </is>
      </c>
      <c r="K1183" s="5" t="inlineStr">
        <is>
          <t>3/19</t>
        </is>
      </c>
      <c r="L1183" s="5" t="inlineStr">
        <is>
          <t>Yes</t>
        </is>
      </c>
      <c r="M1183" s="5" t="inlineStr">
        <is>
          <t>When feeling nothing is everything. The lululemon Align™ collection is so weightless and buttery soft, all you feel is your practice.</t>
        </is>
      </c>
      <c r="N1183" s="5" t="inlineStr">
        <is>
          <t>Align-Crop-23</t>
        </is>
      </c>
      <c r="O1183" s="5" t="inlineStr"/>
    </row>
    <row r="1184" ht="80" customHeight="1">
      <c r="A1184" s="4">
        <f>IMAGE("https://images.lululemon.com/is/image/lululemon/LW8A78R_0001_1?wid=320&amp;op_usm=0.8",1)</f>
        <v/>
      </c>
      <c r="B1184" s="4" t="inlineStr">
        <is>
          <t>Pace Rival Mid-Rise Skirt</t>
        </is>
      </c>
      <c r="C1184" s="4" t="inlineStr">
        <is>
          <t>104458118</t>
        </is>
      </c>
      <c r="D1184" s="4" t="inlineStr">
        <is>
          <t>104458118-black</t>
        </is>
      </c>
      <c r="E1184" s="4" t="inlineStr">
        <is>
          <t>Pace Rival MR Skirt BLK 4</t>
        </is>
      </c>
      <c r="F1184" s="4" t="inlineStr">
        <is>
          <t>$78.00</t>
        </is>
      </c>
      <c r="G1184" s="4" t="inlineStr">
        <is>
          <t>$39.00</t>
        </is>
      </c>
      <c r="H1184" s="4" t="inlineStr">
        <is>
          <t>Black</t>
        </is>
      </c>
      <c r="I1184" s="4">
        <f>IMAGE("https://images.lululemon.com/is/image/lululemon/0001",1)</f>
        <v/>
      </c>
      <c r="J1184" s="4" t="inlineStr">
        <is>
          <t>4</t>
        </is>
      </c>
      <c r="K1184" s="4" t="inlineStr">
        <is>
          <t>186/2875</t>
        </is>
      </c>
      <c r="L1184" s="4" t="inlineStr">
        <is>
          <t>Yes</t>
        </is>
      </c>
      <c r="M1184" s="4" t="inlineStr">
        <is>
          <t>Pockets in your skirt, that's a yes. From tennis to trail running, drop-in pockets let you keep essentials close.</t>
        </is>
      </c>
      <c r="N1184" s="4" t="inlineStr">
        <is>
          <t>Pace-Rival-Skirt</t>
        </is>
      </c>
      <c r="O1184" s="4" t="inlineStr">
        <is>
          <t>Athletic Skirts, Skorts</t>
        </is>
      </c>
    </row>
    <row r="1185" ht="80" customHeight="1">
      <c r="A1185" s="7">
        <f>IMAGE("https://images.lululemon.com/is/image/lululemon/LW8A78R_0001_1?wid=320&amp;op_usm=0.8",1)</f>
        <v/>
      </c>
      <c r="B1185" s="7" t="inlineStr">
        <is>
          <t>Pace Rival Mid-Rise Skirt</t>
        </is>
      </c>
      <c r="C1185" s="7" t="inlineStr">
        <is>
          <t>104458120</t>
        </is>
      </c>
      <c r="D1185" s="7" t="inlineStr">
        <is>
          <t>104458120-black</t>
        </is>
      </c>
      <c r="E1185" s="7" t="inlineStr">
        <is>
          <t>Pace Rival MR Skirt BLK 4</t>
        </is>
      </c>
      <c r="F1185" s="7" t="inlineStr">
        <is>
          <t>$78.00</t>
        </is>
      </c>
      <c r="G1185" s="7" t="inlineStr">
        <is>
          <t>$39.00</t>
        </is>
      </c>
      <c r="H1185" s="7" t="inlineStr">
        <is>
          <t>Black</t>
        </is>
      </c>
      <c r="I1185" s="7">
        <f>IMAGE("https://images.lululemon.com/is/image/lululemon/0001",1)</f>
        <v/>
      </c>
      <c r="J1185" s="7" t="inlineStr">
        <is>
          <t>6</t>
        </is>
      </c>
      <c r="K1185" s="7" t="inlineStr">
        <is>
          <t>1368/2875</t>
        </is>
      </c>
      <c r="L1185" s="7" t="inlineStr">
        <is>
          <t>Yes</t>
        </is>
      </c>
      <c r="M1185" s="7" t="inlineStr">
        <is>
          <t>Pockets in your skirt, that's a yes. From tennis to trail running, drop-in pockets let you keep essentials close.</t>
        </is>
      </c>
      <c r="N1185" s="7" t="inlineStr">
        <is>
          <t>Pace-Rival-Skirt</t>
        </is>
      </c>
      <c r="O1185" s="7" t="inlineStr">
        <is>
          <t>Athletic Skirts, Skorts</t>
        </is>
      </c>
    </row>
    <row r="1186" ht="80" customHeight="1">
      <c r="A1186" s="4">
        <f>IMAGE("https://images.lululemon.com/is/image/lululemon/LW8A78R_0001_1?wid=320&amp;op_usm=0.8",1)</f>
        <v/>
      </c>
      <c r="B1186" s="4" t="inlineStr">
        <is>
          <t>Pace Rival Mid-Rise Skirt</t>
        </is>
      </c>
      <c r="C1186" s="4" t="inlineStr">
        <is>
          <t>104458121</t>
        </is>
      </c>
      <c r="D1186" s="4" t="inlineStr">
        <is>
          <t>104458121-black</t>
        </is>
      </c>
      <c r="E1186" s="4" t="inlineStr">
        <is>
          <t>Pace Rival MR Skirt BLK 4</t>
        </is>
      </c>
      <c r="F1186" s="4" t="inlineStr">
        <is>
          <t>$78.00</t>
        </is>
      </c>
      <c r="G1186" s="4" t="inlineStr">
        <is>
          <t>$39.00</t>
        </is>
      </c>
      <c r="H1186" s="4" t="inlineStr">
        <is>
          <t>Black</t>
        </is>
      </c>
      <c r="I1186" s="4">
        <f>IMAGE("https://images.lululemon.com/is/image/lululemon/0001",1)</f>
        <v/>
      </c>
      <c r="J1186" s="4" t="inlineStr">
        <is>
          <t>8</t>
        </is>
      </c>
      <c r="K1186" s="4" t="inlineStr">
        <is>
          <t>978/2875</t>
        </is>
      </c>
      <c r="L1186" s="4" t="inlineStr">
        <is>
          <t>Yes</t>
        </is>
      </c>
      <c r="M1186" s="4" t="inlineStr">
        <is>
          <t>Pockets in your skirt, that's a yes. From tennis to trail running, drop-in pockets let you keep essentials close.</t>
        </is>
      </c>
      <c r="N1186" s="4" t="inlineStr">
        <is>
          <t>Pace-Rival-Skirt</t>
        </is>
      </c>
      <c r="O1186" s="4" t="inlineStr">
        <is>
          <t>Athletic Skirts, Skorts</t>
        </is>
      </c>
    </row>
    <row r="1187" ht="80" customHeight="1">
      <c r="A1187" s="7">
        <f>IMAGE("https://images.lululemon.com/is/image/lululemon/LW8A78R_0001_1?wid=320&amp;op_usm=0.8",1)</f>
        <v/>
      </c>
      <c r="B1187" s="7" t="inlineStr">
        <is>
          <t>Pace Rival Mid-Rise Skirt</t>
        </is>
      </c>
      <c r="C1187" s="7" t="inlineStr">
        <is>
          <t>104458110</t>
        </is>
      </c>
      <c r="D1187" s="7" t="inlineStr">
        <is>
          <t>104458110-black</t>
        </is>
      </c>
      <c r="E1187" s="7" t="inlineStr">
        <is>
          <t>Pace Rival MR Skirt BLK 4</t>
        </is>
      </c>
      <c r="F1187" s="7" t="inlineStr">
        <is>
          <t>$78.00</t>
        </is>
      </c>
      <c r="G1187" s="7" t="inlineStr">
        <is>
          <t>$39.00</t>
        </is>
      </c>
      <c r="H1187" s="7" t="inlineStr">
        <is>
          <t>Black</t>
        </is>
      </c>
      <c r="I1187" s="7">
        <f>IMAGE("https://images.lululemon.com/is/image/lululemon/0001",1)</f>
        <v/>
      </c>
      <c r="J1187" s="7" t="inlineStr">
        <is>
          <t>10</t>
        </is>
      </c>
      <c r="K1187" s="7" t="inlineStr">
        <is>
          <t>107/2875</t>
        </is>
      </c>
      <c r="L1187" s="7" t="inlineStr">
        <is>
          <t>Yes</t>
        </is>
      </c>
      <c r="M1187" s="7" t="inlineStr">
        <is>
          <t>Pockets in your skirt, that's a yes. From tennis to trail running, drop-in pockets let you keep essentials close.</t>
        </is>
      </c>
      <c r="N1187" s="7" t="inlineStr">
        <is>
          <t>Pace-Rival-Skirt</t>
        </is>
      </c>
      <c r="O1187" s="7" t="inlineStr">
        <is>
          <t>Athletic Skirts, Skorts</t>
        </is>
      </c>
    </row>
    <row r="1188" ht="80" customHeight="1">
      <c r="A1188" s="4">
        <f>IMAGE("https://images.lululemon.com/is/image/lululemon/LW8A78R_0001_1?wid=320&amp;op_usm=0.8",1)</f>
        <v/>
      </c>
      <c r="B1188" s="4" t="inlineStr">
        <is>
          <t>Pace Rival Mid-Rise Skirt</t>
        </is>
      </c>
      <c r="C1188" s="4" t="inlineStr">
        <is>
          <t>104458112</t>
        </is>
      </c>
      <c r="D1188" s="4" t="inlineStr">
        <is>
          <t>104458112-black</t>
        </is>
      </c>
      <c r="E1188" s="4" t="inlineStr">
        <is>
          <t>Pace Rival MR Skirt BLK 4</t>
        </is>
      </c>
      <c r="F1188" s="4" t="inlineStr">
        <is>
          <t>$78.00</t>
        </is>
      </c>
      <c r="G1188" s="4" t="inlineStr">
        <is>
          <t>$39.00</t>
        </is>
      </c>
      <c r="H1188" s="4" t="inlineStr">
        <is>
          <t>Black</t>
        </is>
      </c>
      <c r="I1188" s="4">
        <f>IMAGE("https://images.lululemon.com/is/image/lululemon/0001",1)</f>
        <v/>
      </c>
      <c r="J1188" s="4" t="inlineStr">
        <is>
          <t>12</t>
        </is>
      </c>
      <c r="K1188" s="4" t="inlineStr">
        <is>
          <t>216/2875</t>
        </is>
      </c>
      <c r="L1188" s="4" t="inlineStr">
        <is>
          <t>Yes</t>
        </is>
      </c>
      <c r="M1188" s="4" t="inlineStr">
        <is>
          <t>Pockets in your skirt, that's a yes. From tennis to trail running, drop-in pockets let you keep essentials close.</t>
        </is>
      </c>
      <c r="N1188" s="4" t="inlineStr">
        <is>
          <t>Pace-Rival-Skirt</t>
        </is>
      </c>
      <c r="O1188" s="4" t="inlineStr">
        <is>
          <t>Athletic Skirts, Skorts</t>
        </is>
      </c>
    </row>
    <row r="1189" ht="80" customHeight="1">
      <c r="A1189" s="5">
        <f>IMAGE("https://images.lululemon.com/is/image/lululemon/LW8A78R_0001_1?wid=320&amp;op_usm=0.8",1)</f>
        <v/>
      </c>
      <c r="B1189" s="5" t="inlineStr">
        <is>
          <t>Pace Rival Mid-Rise Skirt</t>
        </is>
      </c>
      <c r="C1189" s="5" t="inlineStr">
        <is>
          <t>104458113</t>
        </is>
      </c>
      <c r="D1189" s="5" t="inlineStr">
        <is>
          <t>104458113-black</t>
        </is>
      </c>
      <c r="E1189" s="5" t="inlineStr">
        <is>
          <t>Pace Rival MR Skirt BLK 4</t>
        </is>
      </c>
      <c r="F1189" s="5" t="inlineStr">
        <is>
          <t>$78.00</t>
        </is>
      </c>
      <c r="G1189" s="5" t="inlineStr">
        <is>
          <t>$39.00</t>
        </is>
      </c>
      <c r="H1189" s="5" t="inlineStr">
        <is>
          <t>Black</t>
        </is>
      </c>
      <c r="I1189" s="5">
        <f>IMAGE("https://images.lululemon.com/is/image/lululemon/0001",1)</f>
        <v/>
      </c>
      <c r="J1189" s="5" t="inlineStr">
        <is>
          <t>14</t>
        </is>
      </c>
      <c r="K1189" s="5" t="inlineStr">
        <is>
          <t>20/2875</t>
        </is>
      </c>
      <c r="L1189" s="5" t="inlineStr">
        <is>
          <t>Yes</t>
        </is>
      </c>
      <c r="M1189" s="5" t="inlineStr">
        <is>
          <t>Pockets in your skirt, that's a yes. From tennis to trail running, drop-in pockets let you keep essentials close.</t>
        </is>
      </c>
      <c r="N1189" s="5" t="inlineStr">
        <is>
          <t>Pace-Rival-Skirt</t>
        </is>
      </c>
      <c r="O1189" s="5" t="inlineStr">
        <is>
          <t>Athletic Skirts, Skorts</t>
        </is>
      </c>
    </row>
    <row r="1190" ht="80" customHeight="1">
      <c r="A1190" s="4">
        <f>IMAGE("https://images.lululemon.com/is/image/lululemon/LW5GY8S_032493_1?wid=320&amp;op_usm=0.8",1)</f>
        <v/>
      </c>
      <c r="B1190" s="4" t="inlineStr">
        <is>
          <t>Scuba Mid-Rise Oversized Jogger *Tall</t>
        </is>
      </c>
      <c r="C1190" s="4" t="inlineStr">
        <is>
          <t>154884467</t>
        </is>
      </c>
      <c r="D1190" s="4" t="inlineStr">
        <is>
          <t>154884467-heatheredcoreultralightgrey</t>
        </is>
      </c>
      <c r="E1190" s="4" t="inlineStr">
        <is>
          <t>Scuba MR Oversized Jogger *Tall HCUG XS</t>
        </is>
      </c>
      <c r="F1190" s="4" t="inlineStr">
        <is>
          <t>$118.00</t>
        </is>
      </c>
      <c r="G1190" s="4" t="inlineStr">
        <is>
          <t>$59.00</t>
        </is>
      </c>
      <c r="H1190" s="4" t="inlineStr">
        <is>
          <t>Heathered Core Ultra Light Grey</t>
        </is>
      </c>
      <c r="I1190" s="4">
        <f>IMAGE("https://images.lululemon.com/is/image/lululemon/32493",1)</f>
        <v/>
      </c>
      <c r="J1190" s="4" t="inlineStr">
        <is>
          <t>XS</t>
        </is>
      </c>
      <c r="K1190" s="4" t="inlineStr">
        <is>
          <t>136/1627</t>
        </is>
      </c>
      <c r="L1190" s="4" t="inlineStr">
        <is>
          <t>Yes</t>
        </is>
      </c>
      <c r="M1190" s="4" t="inlineStr">
        <is>
          <t>Serious about softness. These Scuba sweatpants are all about fleecy fabric and sinking in to a slouchy oversized fit.</t>
        </is>
      </c>
      <c r="N1190" s="4" t="inlineStr">
        <is>
          <t>Scuba-MR-Oversized-Jogger-Tall</t>
        </is>
      </c>
      <c r="O1190" s="4" t="inlineStr"/>
    </row>
    <row r="1191" ht="80" customHeight="1">
      <c r="A1191" s="7">
        <f>IMAGE("https://images.lululemon.com/is/image/lululemon/LW5GY8S_032493_1?wid=320&amp;op_usm=0.8",1)</f>
        <v/>
      </c>
      <c r="B1191" s="7" t="inlineStr">
        <is>
          <t>Scuba Mid-Rise Oversized Jogger *Tall</t>
        </is>
      </c>
      <c r="C1191" s="7" t="inlineStr">
        <is>
          <t>154884455</t>
        </is>
      </c>
      <c r="D1191" s="7" t="inlineStr">
        <is>
          <t>154884455-heatheredcoreultralightgrey</t>
        </is>
      </c>
      <c r="E1191" s="7" t="inlineStr">
        <is>
          <t>Scuba MR Oversized Jogger *Tall HCUG XS</t>
        </is>
      </c>
      <c r="F1191" s="7" t="inlineStr">
        <is>
          <t>$118.00</t>
        </is>
      </c>
      <c r="G1191" s="7" t="inlineStr">
        <is>
          <t>$59.00</t>
        </is>
      </c>
      <c r="H1191" s="7" t="inlineStr">
        <is>
          <t>Heathered Core Ultra Light Grey</t>
        </is>
      </c>
      <c r="I1191" s="7">
        <f>IMAGE("https://images.lululemon.com/is/image/lululemon/32493",1)</f>
        <v/>
      </c>
      <c r="J1191" s="7" t="inlineStr">
        <is>
          <t>S</t>
        </is>
      </c>
      <c r="K1191" s="7" t="inlineStr">
        <is>
          <t>445/1627</t>
        </is>
      </c>
      <c r="L1191" s="7" t="inlineStr">
        <is>
          <t>Yes</t>
        </is>
      </c>
      <c r="M1191" s="7" t="inlineStr">
        <is>
          <t>Serious about softness. These Scuba sweatpants are all about fleecy fabric and sinking in to a slouchy oversized fit.</t>
        </is>
      </c>
      <c r="N1191" s="7" t="inlineStr">
        <is>
          <t>Scuba-MR-Oversized-Jogger-Tall</t>
        </is>
      </c>
      <c r="O1191" s="7" t="inlineStr"/>
    </row>
    <row r="1192" ht="80" customHeight="1">
      <c r="A1192" s="4">
        <f>IMAGE("https://images.lululemon.com/is/image/lululemon/LW5GY8S_032493_1?wid=320&amp;op_usm=0.8",1)</f>
        <v/>
      </c>
      <c r="B1192" s="4" t="inlineStr">
        <is>
          <t>Scuba Mid-Rise Oversized Jogger *Tall</t>
        </is>
      </c>
      <c r="C1192" s="4" t="inlineStr">
        <is>
          <t>154884451</t>
        </is>
      </c>
      <c r="D1192" s="4" t="inlineStr">
        <is>
          <t>154884451-heatheredcoreultralightgrey</t>
        </is>
      </c>
      <c r="E1192" s="4" t="inlineStr">
        <is>
          <t>Scuba MR Oversized Jogger *Tall HCUG XS</t>
        </is>
      </c>
      <c r="F1192" s="4" t="inlineStr">
        <is>
          <t>$118.00</t>
        </is>
      </c>
      <c r="G1192" s="4" t="inlineStr">
        <is>
          <t>$59.00</t>
        </is>
      </c>
      <c r="H1192" s="4" t="inlineStr">
        <is>
          <t>Heathered Core Ultra Light Grey</t>
        </is>
      </c>
      <c r="I1192" s="4">
        <f>IMAGE("https://images.lululemon.com/is/image/lululemon/32493",1)</f>
        <v/>
      </c>
      <c r="J1192" s="4" t="inlineStr">
        <is>
          <t>M</t>
        </is>
      </c>
      <c r="K1192" s="4" t="inlineStr">
        <is>
          <t>403/1627</t>
        </is>
      </c>
      <c r="L1192" s="4" t="inlineStr">
        <is>
          <t>Yes</t>
        </is>
      </c>
      <c r="M1192" s="4" t="inlineStr">
        <is>
          <t>Serious about softness. These Scuba sweatpants are all about fleecy fabric and sinking in to a slouchy oversized fit.</t>
        </is>
      </c>
      <c r="N1192" s="4" t="inlineStr">
        <is>
          <t>Scuba-MR-Oversized-Jogger-Tall</t>
        </is>
      </c>
      <c r="O1192" s="4" t="inlineStr"/>
    </row>
    <row r="1193" ht="80" customHeight="1">
      <c r="A1193" s="7">
        <f>IMAGE("https://images.lululemon.com/is/image/lululemon/LW5GY8S_032493_1?wid=320&amp;op_usm=0.8",1)</f>
        <v/>
      </c>
      <c r="B1193" s="7" t="inlineStr">
        <is>
          <t>Scuba Mid-Rise Oversized Jogger *Tall</t>
        </is>
      </c>
      <c r="C1193" s="7" t="inlineStr">
        <is>
          <t>154884447</t>
        </is>
      </c>
      <c r="D1193" s="7" t="inlineStr">
        <is>
          <t>154884447-heatheredcoreultralightgrey</t>
        </is>
      </c>
      <c r="E1193" s="7" t="inlineStr">
        <is>
          <t>Scuba MR Oversized Jogger *Tall HCUG XS</t>
        </is>
      </c>
      <c r="F1193" s="7" t="inlineStr">
        <is>
          <t>$118.00</t>
        </is>
      </c>
      <c r="G1193" s="7" t="inlineStr">
        <is>
          <t>$59.00</t>
        </is>
      </c>
      <c r="H1193" s="7" t="inlineStr">
        <is>
          <t>Heathered Core Ultra Light Grey</t>
        </is>
      </c>
      <c r="I1193" s="7">
        <f>IMAGE("https://images.lululemon.com/is/image/lululemon/32493",1)</f>
        <v/>
      </c>
      <c r="J1193" s="7" t="inlineStr">
        <is>
          <t>L</t>
        </is>
      </c>
      <c r="K1193" s="7" t="inlineStr">
        <is>
          <t>387/1627</t>
        </is>
      </c>
      <c r="L1193" s="7" t="inlineStr">
        <is>
          <t>Yes</t>
        </is>
      </c>
      <c r="M1193" s="7" t="inlineStr">
        <is>
          <t>Serious about softness. These Scuba sweatpants are all about fleecy fabric and sinking in to a slouchy oversized fit.</t>
        </is>
      </c>
      <c r="N1193" s="7" t="inlineStr">
        <is>
          <t>Scuba-MR-Oversized-Jogger-Tall</t>
        </is>
      </c>
      <c r="O1193" s="7" t="inlineStr"/>
    </row>
    <row r="1194" ht="80" customHeight="1">
      <c r="A1194" s="6">
        <f>IMAGE("https://images.lululemon.com/is/image/lululemon/LW5GY8S_032493_1?wid=320&amp;op_usm=0.8",1)</f>
        <v/>
      </c>
      <c r="B1194" s="6" t="inlineStr">
        <is>
          <t>Scuba Mid-Rise Oversized Jogger *Tall</t>
        </is>
      </c>
      <c r="C1194" s="6" t="inlineStr">
        <is>
          <t>154884461</t>
        </is>
      </c>
      <c r="D1194" s="6" t="inlineStr">
        <is>
          <t>154884461-heatheredcoreultralightgrey</t>
        </is>
      </c>
      <c r="E1194" s="6" t="inlineStr">
        <is>
          <t>Scuba MR Oversized Jogger *Tall HCUG XS</t>
        </is>
      </c>
      <c r="F1194" s="6" t="inlineStr">
        <is>
          <t>$118.00</t>
        </is>
      </c>
      <c r="G1194" s="6" t="inlineStr">
        <is>
          <t>$59.00</t>
        </is>
      </c>
      <c r="H1194" s="6" t="inlineStr">
        <is>
          <t>Heathered Core Ultra Light Grey</t>
        </is>
      </c>
      <c r="I1194" s="6">
        <f>IMAGE("https://images.lululemon.com/is/image/lululemon/32493",1)</f>
        <v/>
      </c>
      <c r="J1194" s="6" t="inlineStr">
        <is>
          <t>XL</t>
        </is>
      </c>
      <c r="K1194" s="6" t="inlineStr">
        <is>
          <t>256/1627</t>
        </is>
      </c>
      <c r="L1194" s="6" t="inlineStr">
        <is>
          <t>Yes</t>
        </is>
      </c>
      <c r="M1194" s="6" t="inlineStr">
        <is>
          <t>Serious about softness. These Scuba sweatpants are all about fleecy fabric and sinking in to a slouchy oversized fit.</t>
        </is>
      </c>
      <c r="N1194" s="6" t="inlineStr">
        <is>
          <t>Scuba-MR-Oversized-Jogger-Tall</t>
        </is>
      </c>
      <c r="O1194" s="6" t="inlineStr"/>
    </row>
    <row r="1195" ht="80" customHeight="1">
      <c r="A1195" s="7">
        <f>IMAGE("https://images.lululemon.com/is/image/lululemon/LW3IVSS_028022_1?wid=320&amp;op_usm=0.8",1)</f>
        <v/>
      </c>
      <c r="B1195" s="7" t="inlineStr">
        <is>
          <t>Cold Weather Running Half Zip</t>
        </is>
      </c>
      <c r="C1195" s="7" t="inlineStr">
        <is>
          <t>154886041</t>
        </is>
      </c>
      <c r="D1195" s="7" t="inlineStr">
        <is>
          <t>154886041-black</t>
        </is>
      </c>
      <c r="E1195" s="7" t="inlineStr">
        <is>
          <t>Cold Weather Running Half Zip BLK 2</t>
        </is>
      </c>
      <c r="F1195" s="7" t="inlineStr">
        <is>
          <t>$148.00</t>
        </is>
      </c>
      <c r="G1195" s="7" t="inlineStr">
        <is>
          <t>$74.00</t>
        </is>
      </c>
      <c r="H1195" s="7" t="inlineStr">
        <is>
          <t>Black</t>
        </is>
      </c>
      <c r="I1195" s="7">
        <f>IMAGE("https://images.lululemon.com/is/image/lululemon/0001",1)</f>
        <v/>
      </c>
      <c r="J1195" s="7" t="inlineStr">
        <is>
          <t>2</t>
        </is>
      </c>
      <c r="K1195" s="7" t="inlineStr">
        <is>
          <t>49/571</t>
        </is>
      </c>
      <c r="L1195" s="7" t="inlineStr">
        <is>
          <t>Yes</t>
        </is>
      </c>
      <c r="M1195" s="7" t="inlineStr">
        <is>
          <t>Bring the warmth to cold-weather runs. This jacket protects you where it counts with a water-repellent, windproof chest panel.</t>
        </is>
      </c>
      <c r="N1195" s="7" t="inlineStr">
        <is>
          <t>Cold-Weather-Running-Half-Zip</t>
        </is>
      </c>
      <c r="O1195" s="7" t="inlineStr">
        <is>
          <t>Half Zip Sweatshirts, Quarter Zip Sweatshirts</t>
        </is>
      </c>
    </row>
    <row r="1196" ht="80" customHeight="1">
      <c r="A1196" s="4">
        <f>IMAGE("https://images.lululemon.com/is/image/lululemon/LW3IVSS_028022_1?wid=320&amp;op_usm=0.8",1)</f>
        <v/>
      </c>
      <c r="B1196" s="4" t="inlineStr">
        <is>
          <t>Cold Weather Running Half Zip</t>
        </is>
      </c>
      <c r="C1196" s="4" t="inlineStr">
        <is>
          <t>154886057</t>
        </is>
      </c>
      <c r="D1196" s="4" t="inlineStr">
        <is>
          <t>154886057-black</t>
        </is>
      </c>
      <c r="E1196" s="4" t="inlineStr">
        <is>
          <t>Cold Weather Running Half Zip BLK 2</t>
        </is>
      </c>
      <c r="F1196" s="4" t="inlineStr">
        <is>
          <t>$148.00</t>
        </is>
      </c>
      <c r="G1196" s="4" t="inlineStr">
        <is>
          <t>$74.00</t>
        </is>
      </c>
      <c r="H1196" s="4" t="inlineStr">
        <is>
          <t>Black</t>
        </is>
      </c>
      <c r="I1196" s="4">
        <f>IMAGE("https://images.lululemon.com/is/image/lululemon/0001",1)</f>
        <v/>
      </c>
      <c r="J1196" s="4" t="inlineStr">
        <is>
          <t>4</t>
        </is>
      </c>
      <c r="K1196" s="4" t="inlineStr">
        <is>
          <t>99/571</t>
        </is>
      </c>
      <c r="L1196" s="4" t="inlineStr">
        <is>
          <t>Yes</t>
        </is>
      </c>
      <c r="M1196" s="4" t="inlineStr">
        <is>
          <t>Bring the warmth to cold-weather runs. This jacket protects you where it counts with a water-repellent, windproof chest panel.</t>
        </is>
      </c>
      <c r="N1196" s="4" t="inlineStr">
        <is>
          <t>Cold-Weather-Running-Half-Zip</t>
        </is>
      </c>
      <c r="O1196" s="4" t="inlineStr">
        <is>
          <t>Half Zip Sweatshirts, Quarter Zip Sweatshirts</t>
        </is>
      </c>
    </row>
    <row r="1197" ht="80" customHeight="1">
      <c r="A1197" s="7">
        <f>IMAGE("https://images.lululemon.com/is/image/lululemon/LW3IVSS_028022_1?wid=320&amp;op_usm=0.8",1)</f>
        <v/>
      </c>
      <c r="B1197" s="7" t="inlineStr">
        <is>
          <t>Cold Weather Running Half Zip</t>
        </is>
      </c>
      <c r="C1197" s="7" t="inlineStr">
        <is>
          <t>154886060</t>
        </is>
      </c>
      <c r="D1197" s="7" t="inlineStr">
        <is>
          <t>154886060-black</t>
        </is>
      </c>
      <c r="E1197" s="7" t="inlineStr">
        <is>
          <t>Cold Weather Running Half Zip BLK 2</t>
        </is>
      </c>
      <c r="F1197" s="7" t="inlineStr">
        <is>
          <t>$148.00</t>
        </is>
      </c>
      <c r="G1197" s="7" t="inlineStr">
        <is>
          <t>$74.00</t>
        </is>
      </c>
      <c r="H1197" s="7" t="inlineStr">
        <is>
          <t>Black</t>
        </is>
      </c>
      <c r="I1197" s="7">
        <f>IMAGE("https://images.lululemon.com/is/image/lululemon/0001",1)</f>
        <v/>
      </c>
      <c r="J1197" s="7" t="inlineStr">
        <is>
          <t>6</t>
        </is>
      </c>
      <c r="K1197" s="7" t="inlineStr">
        <is>
          <t>125/571</t>
        </is>
      </c>
      <c r="L1197" s="7" t="inlineStr">
        <is>
          <t>Yes</t>
        </is>
      </c>
      <c r="M1197" s="7" t="inlineStr">
        <is>
          <t>Bring the warmth to cold-weather runs. This jacket protects you where it counts with a water-repellent, windproof chest panel.</t>
        </is>
      </c>
      <c r="N1197" s="7" t="inlineStr">
        <is>
          <t>Cold-Weather-Running-Half-Zip</t>
        </is>
      </c>
      <c r="O1197" s="7" t="inlineStr">
        <is>
          <t>Half Zip Sweatshirts, Quarter Zip Sweatshirts</t>
        </is>
      </c>
    </row>
    <row r="1198" ht="80" customHeight="1">
      <c r="A1198" s="4">
        <f>IMAGE("https://images.lululemon.com/is/image/lululemon/LW3IVSS_028022_1?wid=320&amp;op_usm=0.8",1)</f>
        <v/>
      </c>
      <c r="B1198" s="4" t="inlineStr">
        <is>
          <t>Cold Weather Running Half Zip</t>
        </is>
      </c>
      <c r="C1198" s="4" t="inlineStr">
        <is>
          <t>154886063</t>
        </is>
      </c>
      <c r="D1198" s="4" t="inlineStr">
        <is>
          <t>154886063-black</t>
        </is>
      </c>
      <c r="E1198" s="4" t="inlineStr">
        <is>
          <t>Cold Weather Running Half Zip BLK 2</t>
        </is>
      </c>
      <c r="F1198" s="4" t="inlineStr">
        <is>
          <t>$148.00</t>
        </is>
      </c>
      <c r="G1198" s="4" t="inlineStr">
        <is>
          <t>$74.00</t>
        </is>
      </c>
      <c r="H1198" s="4" t="inlineStr">
        <is>
          <t>Black</t>
        </is>
      </c>
      <c r="I1198" s="4">
        <f>IMAGE("https://images.lululemon.com/is/image/lululemon/0001",1)</f>
        <v/>
      </c>
      <c r="J1198" s="4" t="inlineStr">
        <is>
          <t>8</t>
        </is>
      </c>
      <c r="K1198" s="4" t="inlineStr">
        <is>
          <t>113/571</t>
        </is>
      </c>
      <c r="L1198" s="4" t="inlineStr">
        <is>
          <t>Yes</t>
        </is>
      </c>
      <c r="M1198" s="4" t="inlineStr">
        <is>
          <t>Bring the warmth to cold-weather runs. This jacket protects you where it counts with a water-repellent, windproof chest panel.</t>
        </is>
      </c>
      <c r="N1198" s="4" t="inlineStr">
        <is>
          <t>Cold-Weather-Running-Half-Zip</t>
        </is>
      </c>
      <c r="O1198" s="4" t="inlineStr">
        <is>
          <t>Half Zip Sweatshirts, Quarter Zip Sweatshirts</t>
        </is>
      </c>
    </row>
    <row r="1199" ht="80" customHeight="1">
      <c r="A1199" s="7">
        <f>IMAGE("https://images.lululemon.com/is/image/lululemon/LW3IVSS_028022_1?wid=320&amp;op_usm=0.8",1)</f>
        <v/>
      </c>
      <c r="B1199" s="7" t="inlineStr">
        <is>
          <t>Cold Weather Running Half Zip</t>
        </is>
      </c>
      <c r="C1199" s="7" t="inlineStr">
        <is>
          <t>154886024</t>
        </is>
      </c>
      <c r="D1199" s="7" t="inlineStr">
        <is>
          <t>154886024-black</t>
        </is>
      </c>
      <c r="E1199" s="7" t="inlineStr">
        <is>
          <t>Cold Weather Running Half Zip BLK 2</t>
        </is>
      </c>
      <c r="F1199" s="7" t="inlineStr">
        <is>
          <t>$148.00</t>
        </is>
      </c>
      <c r="G1199" s="7" t="inlineStr">
        <is>
          <t>$74.00</t>
        </is>
      </c>
      <c r="H1199" s="7" t="inlineStr">
        <is>
          <t>Black</t>
        </is>
      </c>
      <c r="I1199" s="7">
        <f>IMAGE("https://images.lululemon.com/is/image/lululemon/0001",1)</f>
        <v/>
      </c>
      <c r="J1199" s="7" t="inlineStr">
        <is>
          <t>10</t>
        </is>
      </c>
      <c r="K1199" s="7" t="inlineStr">
        <is>
          <t>78/571</t>
        </is>
      </c>
      <c r="L1199" s="7" t="inlineStr">
        <is>
          <t>Yes</t>
        </is>
      </c>
      <c r="M1199" s="7" t="inlineStr">
        <is>
          <t>Bring the warmth to cold-weather runs. This jacket protects you where it counts with a water-repellent, windproof chest panel.</t>
        </is>
      </c>
      <c r="N1199" s="7" t="inlineStr">
        <is>
          <t>Cold-Weather-Running-Half-Zip</t>
        </is>
      </c>
      <c r="O1199" s="7" t="inlineStr">
        <is>
          <t>Half Zip Sweatshirts, Quarter Zip Sweatshirts</t>
        </is>
      </c>
    </row>
    <row r="1200" ht="80" customHeight="1">
      <c r="A1200" s="4">
        <f>IMAGE("https://images.lululemon.com/is/image/lululemon/LW3IVSS_028022_1?wid=320&amp;op_usm=0.8",1)</f>
        <v/>
      </c>
      <c r="B1200" s="4" t="inlineStr">
        <is>
          <t>Cold Weather Running Half Zip</t>
        </is>
      </c>
      <c r="C1200" s="4" t="inlineStr">
        <is>
          <t>154886026</t>
        </is>
      </c>
      <c r="D1200" s="4" t="inlineStr">
        <is>
          <t>154886026-black</t>
        </is>
      </c>
      <c r="E1200" s="4" t="inlineStr">
        <is>
          <t>Cold Weather Running Half Zip BLK 2</t>
        </is>
      </c>
      <c r="F1200" s="4" t="inlineStr">
        <is>
          <t>$148.00</t>
        </is>
      </c>
      <c r="G1200" s="4" t="inlineStr">
        <is>
          <t>$74.00</t>
        </is>
      </c>
      <c r="H1200" s="4" t="inlineStr">
        <is>
          <t>Black</t>
        </is>
      </c>
      <c r="I1200" s="4">
        <f>IMAGE("https://images.lululemon.com/is/image/lululemon/0001",1)</f>
        <v/>
      </c>
      <c r="J1200" s="4" t="inlineStr">
        <is>
          <t>12</t>
        </is>
      </c>
      <c r="K1200" s="4" t="inlineStr">
        <is>
          <t>42/571</t>
        </is>
      </c>
      <c r="L1200" s="4" t="inlineStr">
        <is>
          <t>Yes</t>
        </is>
      </c>
      <c r="M1200" s="4" t="inlineStr">
        <is>
          <t>Bring the warmth to cold-weather runs. This jacket protects you where it counts with a water-repellent, windproof chest panel.</t>
        </is>
      </c>
      <c r="N1200" s="4" t="inlineStr">
        <is>
          <t>Cold-Weather-Running-Half-Zip</t>
        </is>
      </c>
      <c r="O1200" s="4" t="inlineStr">
        <is>
          <t>Half Zip Sweatshirts, Quarter Zip Sweatshirts</t>
        </is>
      </c>
    </row>
    <row r="1201" ht="80" customHeight="1">
      <c r="A1201" s="7">
        <f>IMAGE("https://images.lululemon.com/is/image/lululemon/LW3IVSS_028022_1?wid=320&amp;op_usm=0.8",1)</f>
        <v/>
      </c>
      <c r="B1201" s="7" t="inlineStr">
        <is>
          <t>Cold Weather Running Half Zip</t>
        </is>
      </c>
      <c r="C1201" s="7" t="inlineStr">
        <is>
          <t>158024480</t>
        </is>
      </c>
      <c r="D1201" s="7" t="inlineStr">
        <is>
          <t>158024480-indochineblue</t>
        </is>
      </c>
      <c r="E1201" s="7" t="inlineStr">
        <is>
          <t>Cold Weather Running Half Zip BLK 2</t>
        </is>
      </c>
      <c r="F1201" s="7" t="inlineStr">
        <is>
          <t>$148.00</t>
        </is>
      </c>
      <c r="G1201" s="7" t="inlineStr">
        <is>
          <t>$74.00</t>
        </is>
      </c>
      <c r="H1201" s="7" t="inlineStr">
        <is>
          <t>Indochine Blue</t>
        </is>
      </c>
      <c r="I1201" s="7">
        <f>IMAGE("https://images.lululemon.com/is/image/lululemon/28022",1)</f>
        <v/>
      </c>
      <c r="J1201" s="7" t="inlineStr">
        <is>
          <t>2</t>
        </is>
      </c>
      <c r="K1201" s="7" t="inlineStr">
        <is>
          <t>15/571</t>
        </is>
      </c>
      <c r="L1201" s="7" t="inlineStr">
        <is>
          <t>Yes</t>
        </is>
      </c>
      <c r="M1201" s="7" t="inlineStr">
        <is>
          <t>Bring the warmth to cold-weather runs. This jacket protects you where it counts with a water-repellent, windproof chest panel.</t>
        </is>
      </c>
      <c r="N1201" s="7" t="inlineStr">
        <is>
          <t>Cold-Weather-Running-Half-Zip</t>
        </is>
      </c>
      <c r="O1201" s="7" t="inlineStr">
        <is>
          <t>Half Zip Sweatshirts, Quarter Zip Sweatshirts</t>
        </is>
      </c>
    </row>
    <row r="1202" ht="80" customHeight="1">
      <c r="A1202" s="4">
        <f>IMAGE("https://images.lululemon.com/is/image/lululemon/LW3IVSS_028022_1?wid=320&amp;op_usm=0.8",1)</f>
        <v/>
      </c>
      <c r="B1202" s="4" t="inlineStr">
        <is>
          <t>Cold Weather Running Half Zip</t>
        </is>
      </c>
      <c r="C1202" s="4" t="inlineStr">
        <is>
          <t>158024486</t>
        </is>
      </c>
      <c r="D1202" s="4" t="inlineStr">
        <is>
          <t>158024486-indochineblue</t>
        </is>
      </c>
      <c r="E1202" s="4" t="inlineStr">
        <is>
          <t>Cold Weather Running Half Zip BLK 2</t>
        </is>
      </c>
      <c r="F1202" s="4" t="inlineStr">
        <is>
          <t>$148.00</t>
        </is>
      </c>
      <c r="G1202" s="4" t="inlineStr">
        <is>
          <t>$74.00</t>
        </is>
      </c>
      <c r="H1202" s="4" t="inlineStr">
        <is>
          <t>Indochine Blue</t>
        </is>
      </c>
      <c r="I1202" s="4">
        <f>IMAGE("https://images.lululemon.com/is/image/lululemon/28022",1)</f>
        <v/>
      </c>
      <c r="J1202" s="4" t="inlineStr">
        <is>
          <t>4</t>
        </is>
      </c>
      <c r="K1202" s="4" t="inlineStr">
        <is>
          <t>19/571</t>
        </is>
      </c>
      <c r="L1202" s="4" t="inlineStr">
        <is>
          <t>Yes</t>
        </is>
      </c>
      <c r="M1202" s="4" t="inlineStr">
        <is>
          <t>Bring the warmth to cold-weather runs. This jacket protects you where it counts with a water-repellent, windproof chest panel.</t>
        </is>
      </c>
      <c r="N1202" s="4" t="inlineStr">
        <is>
          <t>Cold-Weather-Running-Half-Zip</t>
        </is>
      </c>
      <c r="O1202" s="4" t="inlineStr">
        <is>
          <t>Half Zip Sweatshirts, Quarter Zip Sweatshirts</t>
        </is>
      </c>
    </row>
    <row r="1203" ht="80" customHeight="1">
      <c r="A1203" s="7">
        <f>IMAGE("https://images.lululemon.com/is/image/lululemon/LW3IVSS_028022_1?wid=320&amp;op_usm=0.8",1)</f>
        <v/>
      </c>
      <c r="B1203" s="7" t="inlineStr">
        <is>
          <t>Cold Weather Running Half Zip</t>
        </is>
      </c>
      <c r="C1203" s="7" t="inlineStr">
        <is>
          <t>158024492</t>
        </is>
      </c>
      <c r="D1203" s="7" t="inlineStr">
        <is>
          <t>158024492-indochineblue</t>
        </is>
      </c>
      <c r="E1203" s="7" t="inlineStr">
        <is>
          <t>Cold Weather Running Half Zip BLK 2</t>
        </is>
      </c>
      <c r="F1203" s="7" t="inlineStr">
        <is>
          <t>$148.00</t>
        </is>
      </c>
      <c r="G1203" s="7" t="inlineStr">
        <is>
          <t>$74.00</t>
        </is>
      </c>
      <c r="H1203" s="7" t="inlineStr">
        <is>
          <t>Indochine Blue</t>
        </is>
      </c>
      <c r="I1203" s="7">
        <f>IMAGE("https://images.lululemon.com/is/image/lululemon/28022",1)</f>
        <v/>
      </c>
      <c r="J1203" s="7" t="inlineStr">
        <is>
          <t>6</t>
        </is>
      </c>
      <c r="K1203" s="7" t="inlineStr">
        <is>
          <t>13/571</t>
        </is>
      </c>
      <c r="L1203" s="7" t="inlineStr">
        <is>
          <t>Yes</t>
        </is>
      </c>
      <c r="M1203" s="7" t="inlineStr">
        <is>
          <t>Bring the warmth to cold-weather runs. This jacket protects you where it counts with a water-repellent, windproof chest panel.</t>
        </is>
      </c>
      <c r="N1203" s="7" t="inlineStr">
        <is>
          <t>Cold-Weather-Running-Half-Zip</t>
        </is>
      </c>
      <c r="O1203" s="7" t="inlineStr">
        <is>
          <t>Half Zip Sweatshirts, Quarter Zip Sweatshirts</t>
        </is>
      </c>
    </row>
    <row r="1204" ht="80" customHeight="1">
      <c r="A1204" s="4">
        <f>IMAGE("https://images.lululemon.com/is/image/lululemon/LW3IVSS_028022_1?wid=320&amp;op_usm=0.8",1)</f>
        <v/>
      </c>
      <c r="B1204" s="4" t="inlineStr">
        <is>
          <t>Cold Weather Running Half Zip</t>
        </is>
      </c>
      <c r="C1204" s="4" t="inlineStr">
        <is>
          <t>158024499</t>
        </is>
      </c>
      <c r="D1204" s="4" t="inlineStr">
        <is>
          <t>158024499-indochineblue</t>
        </is>
      </c>
      <c r="E1204" s="4" t="inlineStr">
        <is>
          <t>Cold Weather Running Half Zip BLK 2</t>
        </is>
      </c>
      <c r="F1204" s="4" t="inlineStr">
        <is>
          <t>$148.00</t>
        </is>
      </c>
      <c r="G1204" s="4" t="inlineStr">
        <is>
          <t>$74.00</t>
        </is>
      </c>
      <c r="H1204" s="4" t="inlineStr">
        <is>
          <t>Indochine Blue</t>
        </is>
      </c>
      <c r="I1204" s="4">
        <f>IMAGE("https://images.lululemon.com/is/image/lululemon/28022",1)</f>
        <v/>
      </c>
      <c r="J1204" s="4" t="inlineStr">
        <is>
          <t>8</t>
        </is>
      </c>
      <c r="K1204" s="4" t="inlineStr">
        <is>
          <t>6/571</t>
        </is>
      </c>
      <c r="L1204" s="4" t="inlineStr">
        <is>
          <t>Yes</t>
        </is>
      </c>
      <c r="M1204" s="4" t="inlineStr">
        <is>
          <t>Bring the warmth to cold-weather runs. This jacket protects you where it counts with a water-repellent, windproof chest panel.</t>
        </is>
      </c>
      <c r="N1204" s="4" t="inlineStr">
        <is>
          <t>Cold-Weather-Running-Half-Zip</t>
        </is>
      </c>
      <c r="O1204" s="4" t="inlineStr">
        <is>
          <t>Half Zip Sweatshirts, Quarter Zip Sweatshirts</t>
        </is>
      </c>
    </row>
    <row r="1205" ht="80" customHeight="1">
      <c r="A1205" s="7">
        <f>IMAGE("https://images.lululemon.com/is/image/lululemon/LW3IVSS_028022_1?wid=320&amp;op_usm=0.8",1)</f>
        <v/>
      </c>
      <c r="B1205" s="7" t="inlineStr">
        <is>
          <t>Cold Weather Running Half Zip</t>
        </is>
      </c>
      <c r="C1205" s="7" t="inlineStr">
        <is>
          <t>158024461</t>
        </is>
      </c>
      <c r="D1205" s="7" t="inlineStr">
        <is>
          <t>158024461-indochineblue</t>
        </is>
      </c>
      <c r="E1205" s="7" t="inlineStr">
        <is>
          <t>Cold Weather Running Half Zip BLK 2</t>
        </is>
      </c>
      <c r="F1205" s="7" t="inlineStr">
        <is>
          <t>$148.00</t>
        </is>
      </c>
      <c r="G1205" s="7" t="inlineStr">
        <is>
          <t>$74.00</t>
        </is>
      </c>
      <c r="H1205" s="7" t="inlineStr">
        <is>
          <t>Indochine Blue</t>
        </is>
      </c>
      <c r="I1205" s="7">
        <f>IMAGE("https://images.lululemon.com/is/image/lululemon/28022",1)</f>
        <v/>
      </c>
      <c r="J1205" s="7" t="inlineStr">
        <is>
          <t>10</t>
        </is>
      </c>
      <c r="K1205" s="7" t="inlineStr">
        <is>
          <t>4/571</t>
        </is>
      </c>
      <c r="L1205" s="7" t="inlineStr">
        <is>
          <t>Yes</t>
        </is>
      </c>
      <c r="M1205" s="7" t="inlineStr">
        <is>
          <t>Bring the warmth to cold-weather runs. This jacket protects you where it counts with a water-repellent, windproof chest panel.</t>
        </is>
      </c>
      <c r="N1205" s="7" t="inlineStr">
        <is>
          <t>Cold-Weather-Running-Half-Zip</t>
        </is>
      </c>
      <c r="O1205" s="7" t="inlineStr">
        <is>
          <t>Half Zip Sweatshirts, Quarter Zip Sweatshirts</t>
        </is>
      </c>
    </row>
    <row r="1206" ht="80" customHeight="1">
      <c r="A1206" s="6">
        <f>IMAGE("https://images.lululemon.com/is/image/lululemon/LW3IVSS_028022_1?wid=320&amp;op_usm=0.8",1)</f>
        <v/>
      </c>
      <c r="B1206" s="6" t="inlineStr">
        <is>
          <t>Cold Weather Running Half Zip</t>
        </is>
      </c>
      <c r="C1206" s="6" t="inlineStr">
        <is>
          <t>158024468</t>
        </is>
      </c>
      <c r="D1206" s="6" t="inlineStr">
        <is>
          <t>158024468-indochineblue</t>
        </is>
      </c>
      <c r="E1206" s="6" t="inlineStr">
        <is>
          <t>Cold Weather Running Half Zip BLK 2</t>
        </is>
      </c>
      <c r="F1206" s="6" t="inlineStr">
        <is>
          <t>$148.00</t>
        </is>
      </c>
      <c r="G1206" s="6" t="inlineStr">
        <is>
          <t>$74.00</t>
        </is>
      </c>
      <c r="H1206" s="6" t="inlineStr">
        <is>
          <t>Indochine Blue</t>
        </is>
      </c>
      <c r="I1206" s="6">
        <f>IMAGE("https://images.lululemon.com/is/image/lululemon/28022",1)</f>
        <v/>
      </c>
      <c r="J1206" s="6" t="inlineStr">
        <is>
          <t>12</t>
        </is>
      </c>
      <c r="K1206" s="6" t="inlineStr">
        <is>
          <t>8/571</t>
        </is>
      </c>
      <c r="L1206" s="6" t="inlineStr">
        <is>
          <t>Yes</t>
        </is>
      </c>
      <c r="M1206" s="6" t="inlineStr">
        <is>
          <t>Bring the warmth to cold-weather runs. This jacket protects you where it counts with a water-repellent, windproof chest panel.</t>
        </is>
      </c>
      <c r="N1206" s="6" t="inlineStr">
        <is>
          <t>Cold-Weather-Running-Half-Zip</t>
        </is>
      </c>
      <c r="O1206" s="6" t="inlineStr">
        <is>
          <t>Half Zip Sweatshirts, Quarter Zip Sweatshirts</t>
        </is>
      </c>
    </row>
    <row r="1207" ht="80" customHeight="1">
      <c r="A1207" s="7">
        <f>IMAGE("https://images.lululemon.com/is/image/lululemon/LW3JE8S_0572_1?wid=320&amp;op_usm=0.8",1)</f>
        <v/>
      </c>
      <c r="B1207" s="7" t="inlineStr">
        <is>
          <t>Swiftly Relaxed Short-Sleeve Shirt Hip Length *Updated Fit</t>
        </is>
      </c>
      <c r="C1207" s="7" t="inlineStr">
        <is>
          <t>157713398</t>
        </is>
      </c>
      <c r="D1207" s="7" t="inlineStr">
        <is>
          <t>157713398-slate/white</t>
        </is>
      </c>
      <c r="E1207" s="7" t="inlineStr">
        <is>
          <t>Swiftly Relaxed Short Sleeve SLTE/WHT 2</t>
        </is>
      </c>
      <c r="F1207" s="7" t="inlineStr">
        <is>
          <t>$68.00</t>
        </is>
      </c>
      <c r="G1207" s="7" t="inlineStr">
        <is>
          <t>$34.00</t>
        </is>
      </c>
      <c r="H1207" s="7" t="inlineStr">
        <is>
          <t>Slate/White</t>
        </is>
      </c>
      <c r="I1207" s="7">
        <f>IMAGE("https://images.lululemon.com/is/image/lululemon/0572",1)</f>
        <v/>
      </c>
      <c r="J1207" s="7" t="inlineStr">
        <is>
          <t>2</t>
        </is>
      </c>
      <c r="K1207" s="7" t="inlineStr">
        <is>
          <t>13/850</t>
        </is>
      </c>
      <c r="L1207" s="7" t="inlineStr">
        <is>
          <t>Yes</t>
        </is>
      </c>
      <c r="M1207" s="7" t="inlineStr">
        <is>
          <t>Go ahead, get sweaty. The Swiftly Relaxed collection is all about high performing-fabric that seamlessly adapts to you and your workout. An updated fit gives you slightly more room to move.</t>
        </is>
      </c>
      <c r="N1207" s="7" t="inlineStr">
        <is>
          <t>Swiftly-Relaxed-Short-Sleeve-Hip-Length-Updated</t>
        </is>
      </c>
      <c r="O1207" s="7" t="inlineStr"/>
    </row>
    <row r="1208" ht="80" customHeight="1">
      <c r="A1208" s="4">
        <f>IMAGE("https://images.lululemon.com/is/image/lululemon/LW3JE8S_0572_1?wid=320&amp;op_usm=0.8",1)</f>
        <v/>
      </c>
      <c r="B1208" s="4" t="inlineStr">
        <is>
          <t>Swiftly Relaxed Short-Sleeve Shirt Hip Length *Updated Fit</t>
        </is>
      </c>
      <c r="C1208" s="4" t="inlineStr">
        <is>
          <t>157713410</t>
        </is>
      </c>
      <c r="D1208" s="4" t="inlineStr">
        <is>
          <t>157713410-slate/white</t>
        </is>
      </c>
      <c r="E1208" s="4" t="inlineStr">
        <is>
          <t>Swiftly Relaxed Short Sleeve SLTE/WHT 2</t>
        </is>
      </c>
      <c r="F1208" s="4" t="inlineStr">
        <is>
          <t>$68.00</t>
        </is>
      </c>
      <c r="G1208" s="4" t="inlineStr">
        <is>
          <t>$34.00</t>
        </is>
      </c>
      <c r="H1208" s="4" t="inlineStr">
        <is>
          <t>Slate/White</t>
        </is>
      </c>
      <c r="I1208" s="4">
        <f>IMAGE("https://images.lululemon.com/is/image/lululemon/0572",1)</f>
        <v/>
      </c>
      <c r="J1208" s="4" t="inlineStr">
        <is>
          <t>4</t>
        </is>
      </c>
      <c r="K1208" s="4" t="inlineStr">
        <is>
          <t>35/850</t>
        </is>
      </c>
      <c r="L1208" s="4" t="inlineStr">
        <is>
          <t>Yes</t>
        </is>
      </c>
      <c r="M1208" s="4" t="inlineStr">
        <is>
          <t>Go ahead, get sweaty. The Swiftly Relaxed collection is all about high performing-fabric that seamlessly adapts to you and your workout. An updated fit gives you slightly more room to move.</t>
        </is>
      </c>
      <c r="N1208" s="4" t="inlineStr">
        <is>
          <t>Swiftly-Relaxed-Short-Sleeve-Hip-Length-Updated</t>
        </is>
      </c>
      <c r="O1208" s="4" t="inlineStr"/>
    </row>
    <row r="1209" ht="80" customHeight="1">
      <c r="A1209" s="7">
        <f>IMAGE("https://images.lululemon.com/is/image/lululemon/LW3JE8S_0572_1?wid=320&amp;op_usm=0.8",1)</f>
        <v/>
      </c>
      <c r="B1209" s="7" t="inlineStr">
        <is>
          <t>Swiftly Relaxed Short-Sleeve Shirt Hip Length *Updated Fit</t>
        </is>
      </c>
      <c r="C1209" s="7" t="inlineStr">
        <is>
          <t>157713421</t>
        </is>
      </c>
      <c r="D1209" s="7" t="inlineStr">
        <is>
          <t>157713421-slate/white</t>
        </is>
      </c>
      <c r="E1209" s="7" t="inlineStr">
        <is>
          <t>Swiftly Relaxed Short Sleeve SLTE/WHT 2</t>
        </is>
      </c>
      <c r="F1209" s="7" t="inlineStr">
        <is>
          <t>$68.00</t>
        </is>
      </c>
      <c r="G1209" s="7" t="inlineStr">
        <is>
          <t>$34.00</t>
        </is>
      </c>
      <c r="H1209" s="7" t="inlineStr">
        <is>
          <t>Slate/White</t>
        </is>
      </c>
      <c r="I1209" s="7">
        <f>IMAGE("https://images.lululemon.com/is/image/lululemon/0572",1)</f>
        <v/>
      </c>
      <c r="J1209" s="7" t="inlineStr">
        <is>
          <t>6</t>
        </is>
      </c>
      <c r="K1209" s="7" t="inlineStr">
        <is>
          <t>61/850</t>
        </is>
      </c>
      <c r="L1209" s="7" t="inlineStr">
        <is>
          <t>Yes</t>
        </is>
      </c>
      <c r="M1209" s="7" t="inlineStr">
        <is>
          <t>Go ahead, get sweaty. The Swiftly Relaxed collection is all about high performing-fabric that seamlessly adapts to you and your workout. An updated fit gives you slightly more room to move.</t>
        </is>
      </c>
      <c r="N1209" s="7" t="inlineStr">
        <is>
          <t>Swiftly-Relaxed-Short-Sleeve-Hip-Length-Updated</t>
        </is>
      </c>
      <c r="O1209" s="7" t="inlineStr"/>
    </row>
    <row r="1210" ht="80" customHeight="1">
      <c r="A1210" s="4">
        <f>IMAGE("https://images.lululemon.com/is/image/lululemon/LW3JE8S_0572_1?wid=320&amp;op_usm=0.8",1)</f>
        <v/>
      </c>
      <c r="B1210" s="4" t="inlineStr">
        <is>
          <t>Swiftly Relaxed Short-Sleeve Shirt Hip Length *Updated Fit</t>
        </is>
      </c>
      <c r="C1210" s="4" t="inlineStr">
        <is>
          <t>157713434</t>
        </is>
      </c>
      <c r="D1210" s="4" t="inlineStr">
        <is>
          <t>157713434-slate/white</t>
        </is>
      </c>
      <c r="E1210" s="4" t="inlineStr">
        <is>
          <t>Swiftly Relaxed Short Sleeve SLTE/WHT 2</t>
        </is>
      </c>
      <c r="F1210" s="4" t="inlineStr">
        <is>
          <t>$68.00</t>
        </is>
      </c>
      <c r="G1210" s="4" t="inlineStr">
        <is>
          <t>$34.00</t>
        </is>
      </c>
      <c r="H1210" s="4" t="inlineStr">
        <is>
          <t>Slate/White</t>
        </is>
      </c>
      <c r="I1210" s="4">
        <f>IMAGE("https://images.lululemon.com/is/image/lululemon/0572",1)</f>
        <v/>
      </c>
      <c r="J1210" s="4" t="inlineStr">
        <is>
          <t>8</t>
        </is>
      </c>
      <c r="K1210" s="4" t="inlineStr">
        <is>
          <t>11/850</t>
        </is>
      </c>
      <c r="L1210" s="4" t="inlineStr">
        <is>
          <t>Yes</t>
        </is>
      </c>
      <c r="M1210" s="4" t="inlineStr">
        <is>
          <t>Go ahead, get sweaty. The Swiftly Relaxed collection is all about high performing-fabric that seamlessly adapts to you and your workout. An updated fit gives you slightly more room to move.</t>
        </is>
      </c>
      <c r="N1210" s="4" t="inlineStr">
        <is>
          <t>Swiftly-Relaxed-Short-Sleeve-Hip-Length-Updated</t>
        </is>
      </c>
      <c r="O1210" s="4" t="inlineStr"/>
    </row>
    <row r="1211" ht="80" customHeight="1">
      <c r="A1211" s="7">
        <f>IMAGE("https://images.lululemon.com/is/image/lululemon/LW3JE8S_0572_1?wid=320&amp;op_usm=0.8",1)</f>
        <v/>
      </c>
      <c r="B1211" s="7" t="inlineStr">
        <is>
          <t>Swiftly Relaxed Short-Sleeve Shirt Hip Length *Updated Fit</t>
        </is>
      </c>
      <c r="C1211" s="7" t="inlineStr">
        <is>
          <t>157713309</t>
        </is>
      </c>
      <c r="D1211" s="7" t="inlineStr">
        <is>
          <t>157713309-nightmoth/nightmoth</t>
        </is>
      </c>
      <c r="E1211" s="7" t="inlineStr">
        <is>
          <t>Swiftly Relaxed Short Sleeve SLTE/WHT 2</t>
        </is>
      </c>
      <c r="F1211" s="7" t="inlineStr">
        <is>
          <t>$68.00</t>
        </is>
      </c>
      <c r="G1211" s="7" t="inlineStr">
        <is>
          <t>$34.00</t>
        </is>
      </c>
      <c r="H1211" s="7" t="inlineStr">
        <is>
          <t>Nightmoth/Nightmoth</t>
        </is>
      </c>
      <c r="I1211" s="7">
        <f>IMAGE("https://images.lululemon.com/is/image/lululemon/43279",1)</f>
        <v/>
      </c>
      <c r="J1211" s="7" t="inlineStr">
        <is>
          <t>2</t>
        </is>
      </c>
      <c r="K1211" s="7" t="inlineStr">
        <is>
          <t>85/850</t>
        </is>
      </c>
      <c r="L1211" s="7" t="inlineStr">
        <is>
          <t>Yes</t>
        </is>
      </c>
      <c r="M1211" s="7" t="inlineStr">
        <is>
          <t>Go ahead, get sweaty. The Swiftly Relaxed collection is all about high performing-fabric that seamlessly adapts to you and your workout. An updated fit gives you slightly more room to move.</t>
        </is>
      </c>
      <c r="N1211" s="7" t="inlineStr">
        <is>
          <t>Swiftly-Relaxed-Short-Sleeve-Hip-Length-Updated</t>
        </is>
      </c>
      <c r="O1211" s="7" t="inlineStr"/>
    </row>
    <row r="1212" ht="80" customHeight="1">
      <c r="A1212" s="4">
        <f>IMAGE("https://images.lululemon.com/is/image/lululemon/LW3JE8S_0572_1?wid=320&amp;op_usm=0.8",1)</f>
        <v/>
      </c>
      <c r="B1212" s="4" t="inlineStr">
        <is>
          <t>Swiftly Relaxed Short-Sleeve Shirt Hip Length *Updated Fit</t>
        </is>
      </c>
      <c r="C1212" s="4" t="inlineStr">
        <is>
          <t>157713319</t>
        </is>
      </c>
      <c r="D1212" s="4" t="inlineStr">
        <is>
          <t>157713319-nightmoth/nightmoth</t>
        </is>
      </c>
      <c r="E1212" s="4" t="inlineStr">
        <is>
          <t>Swiftly Relaxed Short Sleeve SLTE/WHT 2</t>
        </is>
      </c>
      <c r="F1212" s="4" t="inlineStr">
        <is>
          <t>$68.00</t>
        </is>
      </c>
      <c r="G1212" s="4" t="inlineStr">
        <is>
          <t>$34.00</t>
        </is>
      </c>
      <c r="H1212" s="4" t="inlineStr">
        <is>
          <t>Nightmoth/Nightmoth</t>
        </is>
      </c>
      <c r="I1212" s="4">
        <f>IMAGE("https://images.lululemon.com/is/image/lululemon/43279",1)</f>
        <v/>
      </c>
      <c r="J1212" s="4" t="inlineStr">
        <is>
          <t>4</t>
        </is>
      </c>
      <c r="K1212" s="4" t="inlineStr">
        <is>
          <t>164/850</t>
        </is>
      </c>
      <c r="L1212" s="4" t="inlineStr">
        <is>
          <t>Yes</t>
        </is>
      </c>
      <c r="M1212" s="4" t="inlineStr">
        <is>
          <t>Go ahead, get sweaty. The Swiftly Relaxed collection is all about high performing-fabric that seamlessly adapts to you and your workout. An updated fit gives you slightly more room to move.</t>
        </is>
      </c>
      <c r="N1212" s="4" t="inlineStr">
        <is>
          <t>Swiftly-Relaxed-Short-Sleeve-Hip-Length-Updated</t>
        </is>
      </c>
      <c r="O1212" s="4" t="inlineStr"/>
    </row>
    <row r="1213" ht="80" customHeight="1">
      <c r="A1213" s="7">
        <f>IMAGE("https://images.lululemon.com/is/image/lululemon/LW3JE8S_0572_1?wid=320&amp;op_usm=0.8",1)</f>
        <v/>
      </c>
      <c r="B1213" s="7" t="inlineStr">
        <is>
          <t>Swiftly Relaxed Short-Sleeve Shirt Hip Length *Updated Fit</t>
        </is>
      </c>
      <c r="C1213" s="7" t="inlineStr">
        <is>
          <t>157713333</t>
        </is>
      </c>
      <c r="D1213" s="7" t="inlineStr">
        <is>
          <t>157713333-nightmoth/nightmoth</t>
        </is>
      </c>
      <c r="E1213" s="7" t="inlineStr">
        <is>
          <t>Swiftly Relaxed Short Sleeve SLTE/WHT 2</t>
        </is>
      </c>
      <c r="F1213" s="7" t="inlineStr">
        <is>
          <t>$68.00</t>
        </is>
      </c>
      <c r="G1213" s="7" t="inlineStr">
        <is>
          <t>$34.00</t>
        </is>
      </c>
      <c r="H1213" s="7" t="inlineStr">
        <is>
          <t>Nightmoth/Nightmoth</t>
        </is>
      </c>
      <c r="I1213" s="7">
        <f>IMAGE("https://images.lululemon.com/is/image/lululemon/43279",1)</f>
        <v/>
      </c>
      <c r="J1213" s="7" t="inlineStr">
        <is>
          <t>6</t>
        </is>
      </c>
      <c r="K1213" s="7" t="inlineStr">
        <is>
          <t>192/850</t>
        </is>
      </c>
      <c r="L1213" s="7" t="inlineStr">
        <is>
          <t>Yes</t>
        </is>
      </c>
      <c r="M1213" s="7" t="inlineStr">
        <is>
          <t>Go ahead, get sweaty. The Swiftly Relaxed collection is all about high performing-fabric that seamlessly adapts to you and your workout. An updated fit gives you slightly more room to move.</t>
        </is>
      </c>
      <c r="N1213" s="7" t="inlineStr">
        <is>
          <t>Swiftly-Relaxed-Short-Sleeve-Hip-Length-Updated</t>
        </is>
      </c>
      <c r="O1213" s="7" t="inlineStr"/>
    </row>
    <row r="1214" ht="80" customHeight="1">
      <c r="A1214" s="4">
        <f>IMAGE("https://images.lululemon.com/is/image/lululemon/LW3JE8S_0572_1?wid=320&amp;op_usm=0.8",1)</f>
        <v/>
      </c>
      <c r="B1214" s="4" t="inlineStr">
        <is>
          <t>Swiftly Relaxed Short-Sleeve Shirt Hip Length *Updated Fit</t>
        </is>
      </c>
      <c r="C1214" s="4" t="inlineStr">
        <is>
          <t>157713341</t>
        </is>
      </c>
      <c r="D1214" s="4" t="inlineStr">
        <is>
          <t>157713341-nightmoth/nightmoth</t>
        </is>
      </c>
      <c r="E1214" s="4" t="inlineStr">
        <is>
          <t>Swiftly Relaxed Short Sleeve SLTE/WHT 2</t>
        </is>
      </c>
      <c r="F1214" s="4" t="inlineStr">
        <is>
          <t>$68.00</t>
        </is>
      </c>
      <c r="G1214" s="4" t="inlineStr">
        <is>
          <t>$34.00</t>
        </is>
      </c>
      <c r="H1214" s="4" t="inlineStr">
        <is>
          <t>Nightmoth/Nightmoth</t>
        </is>
      </c>
      <c r="I1214" s="4">
        <f>IMAGE("https://images.lululemon.com/is/image/lululemon/43279",1)</f>
        <v/>
      </c>
      <c r="J1214" s="4" t="inlineStr">
        <is>
          <t>8</t>
        </is>
      </c>
      <c r="K1214" s="4" t="inlineStr">
        <is>
          <t>159/850</t>
        </is>
      </c>
      <c r="L1214" s="4" t="inlineStr">
        <is>
          <t>Yes</t>
        </is>
      </c>
      <c r="M1214" s="4" t="inlineStr">
        <is>
          <t>Go ahead, get sweaty. The Swiftly Relaxed collection is all about high performing-fabric that seamlessly adapts to you and your workout. An updated fit gives you slightly more room to move.</t>
        </is>
      </c>
      <c r="N1214" s="4" t="inlineStr">
        <is>
          <t>Swiftly-Relaxed-Short-Sleeve-Hip-Length-Updated</t>
        </is>
      </c>
      <c r="O1214" s="4" t="inlineStr"/>
    </row>
    <row r="1215" ht="80" customHeight="1">
      <c r="A1215" s="7">
        <f>IMAGE("https://images.lululemon.com/is/image/lululemon/LW3JE8S_0572_1?wid=320&amp;op_usm=0.8",1)</f>
        <v/>
      </c>
      <c r="B1215" s="7" t="inlineStr">
        <is>
          <t>Swiftly Relaxed Short-Sleeve Shirt Hip Length *Updated Fit</t>
        </is>
      </c>
      <c r="C1215" s="7" t="inlineStr">
        <is>
          <t>157713284</t>
        </is>
      </c>
      <c r="D1215" s="7" t="inlineStr">
        <is>
          <t>157713284-nightmoth/nightmoth</t>
        </is>
      </c>
      <c r="E1215" s="7" t="inlineStr">
        <is>
          <t>Swiftly Relaxed Short Sleeve SLTE/WHT 2</t>
        </is>
      </c>
      <c r="F1215" s="7" t="inlineStr">
        <is>
          <t>$68.00</t>
        </is>
      </c>
      <c r="G1215" s="7" t="inlineStr">
        <is>
          <t>$34.00</t>
        </is>
      </c>
      <c r="H1215" s="7" t="inlineStr">
        <is>
          <t>Nightmoth/Nightmoth</t>
        </is>
      </c>
      <c r="I1215" s="7">
        <f>IMAGE("https://images.lululemon.com/is/image/lululemon/43279",1)</f>
        <v/>
      </c>
      <c r="J1215" s="7" t="inlineStr">
        <is>
          <t>10</t>
        </is>
      </c>
      <c r="K1215" s="7" t="inlineStr">
        <is>
          <t>91/850</t>
        </is>
      </c>
      <c r="L1215" s="7" t="inlineStr">
        <is>
          <t>Yes</t>
        </is>
      </c>
      <c r="M1215" s="7" t="inlineStr">
        <is>
          <t>Go ahead, get sweaty. The Swiftly Relaxed collection is all about high performing-fabric that seamlessly adapts to you and your workout. An updated fit gives you slightly more room to move.</t>
        </is>
      </c>
      <c r="N1215" s="7" t="inlineStr">
        <is>
          <t>Swiftly-Relaxed-Short-Sleeve-Hip-Length-Updated</t>
        </is>
      </c>
      <c r="O1215" s="7" t="inlineStr"/>
    </row>
    <row r="1216" ht="80" customHeight="1">
      <c r="A1216" s="6">
        <f>IMAGE("https://images.lululemon.com/is/image/lululemon/LW3JE8S_0572_1?wid=320&amp;op_usm=0.8",1)</f>
        <v/>
      </c>
      <c r="B1216" s="6" t="inlineStr">
        <is>
          <t>Swiftly Relaxed Short-Sleeve Shirt Hip Length *Updated Fit</t>
        </is>
      </c>
      <c r="C1216" s="6" t="inlineStr">
        <is>
          <t>157713296</t>
        </is>
      </c>
      <c r="D1216" s="6" t="inlineStr">
        <is>
          <t>157713296-nightmoth/nightmoth</t>
        </is>
      </c>
      <c r="E1216" s="6" t="inlineStr">
        <is>
          <t>Swiftly Relaxed Short Sleeve SLTE/WHT 2</t>
        </is>
      </c>
      <c r="F1216" s="6" t="inlineStr">
        <is>
          <t>$68.00</t>
        </is>
      </c>
      <c r="G1216" s="6" t="inlineStr">
        <is>
          <t>$34.00</t>
        </is>
      </c>
      <c r="H1216" s="6" t="inlineStr">
        <is>
          <t>Nightmoth/Nightmoth</t>
        </is>
      </c>
      <c r="I1216" s="6">
        <f>IMAGE("https://images.lululemon.com/is/image/lululemon/43279",1)</f>
        <v/>
      </c>
      <c r="J1216" s="6" t="inlineStr">
        <is>
          <t>12</t>
        </is>
      </c>
      <c r="K1216" s="6" t="inlineStr">
        <is>
          <t>39/850</t>
        </is>
      </c>
      <c r="L1216" s="6" t="inlineStr">
        <is>
          <t>Yes</t>
        </is>
      </c>
      <c r="M1216" s="6" t="inlineStr">
        <is>
          <t>Go ahead, get sweaty. The Swiftly Relaxed collection is all about high performing-fabric that seamlessly adapts to you and your workout. An updated fit gives you slightly more room to move.</t>
        </is>
      </c>
      <c r="N1216" s="6" t="inlineStr">
        <is>
          <t>Swiftly-Relaxed-Short-Sleeve-Hip-Length-Updated</t>
        </is>
      </c>
      <c r="O1216" s="6" t="inlineStr"/>
    </row>
    <row r="1217" ht="80" customHeight="1">
      <c r="A1217" s="7">
        <f>IMAGE("https://images.lululemon.com/is/image/lululemon/LW3IDXS_033454_1?wid=320&amp;op_usm=0.8",1)</f>
        <v/>
      </c>
      <c r="B1217" s="7" t="inlineStr">
        <is>
          <t>Brushed Softstreme Half Zip</t>
        </is>
      </c>
      <c r="C1217" s="7" t="inlineStr">
        <is>
          <t>156501758</t>
        </is>
      </c>
      <c r="D1217" s="7" t="inlineStr">
        <is>
          <t>156501758-lightivory</t>
        </is>
      </c>
      <c r="E1217" s="7" t="inlineStr">
        <is>
          <t>Brushed Softstreme™ Half Zip LTIV 2</t>
        </is>
      </c>
      <c r="F1217" s="7" t="inlineStr">
        <is>
          <t>$138.00</t>
        </is>
      </c>
      <c r="G1217" s="7" t="inlineStr">
        <is>
          <t>$69.00</t>
        </is>
      </c>
      <c r="H1217" s="7" t="inlineStr">
        <is>
          <t>Light Ivory</t>
        </is>
      </c>
      <c r="I1217" s="7">
        <f>IMAGE("https://images.lululemon.com/is/image/lululemon/33454",1)</f>
        <v/>
      </c>
      <c r="J1217" s="7" t="inlineStr">
        <is>
          <t>2</t>
        </is>
      </c>
      <c r="K1217" s="7" t="inlineStr">
        <is>
          <t>29/1628</t>
        </is>
      </c>
      <c r="L1217" s="7" t="inlineStr">
        <is>
          <t>Yes</t>
        </is>
      </c>
      <c r="M1217" s="7" t="inlineStr">
        <is>
          <t>Peak comfort, peak softness, peak casual. With a brushed interior, this Softstreme™ half zip is the kind of layer you'll want to wear with everything.</t>
        </is>
      </c>
      <c r="N1217" s="7" t="inlineStr">
        <is>
          <t>Brushed-Softstreme-Half-Zip</t>
        </is>
      </c>
      <c r="O1217" s="7" t="inlineStr">
        <is>
          <t>Half Zip Sweatshirts, Quarter Zip Sweatshirts</t>
        </is>
      </c>
    </row>
    <row r="1218" ht="80" customHeight="1">
      <c r="A1218" s="4">
        <f>IMAGE("https://images.lululemon.com/is/image/lululemon/LW3IDXS_033454_1?wid=320&amp;op_usm=0.8",1)</f>
        <v/>
      </c>
      <c r="B1218" s="4" t="inlineStr">
        <is>
          <t>Brushed Softstreme Half Zip</t>
        </is>
      </c>
      <c r="C1218" s="4" t="inlineStr">
        <is>
          <t>156501778</t>
        </is>
      </c>
      <c r="D1218" s="4" t="inlineStr">
        <is>
          <t>156501778-lightivory</t>
        </is>
      </c>
      <c r="E1218" s="4" t="inlineStr">
        <is>
          <t>Brushed Softstreme™ Half Zip LTIV 2</t>
        </is>
      </c>
      <c r="F1218" s="4" t="inlineStr">
        <is>
          <t>$138.00</t>
        </is>
      </c>
      <c r="G1218" s="4" t="inlineStr">
        <is>
          <t>$69.00</t>
        </is>
      </c>
      <c r="H1218" s="4" t="inlineStr">
        <is>
          <t>Light Ivory</t>
        </is>
      </c>
      <c r="I1218" s="4">
        <f>IMAGE("https://images.lululemon.com/is/image/lululemon/33454",1)</f>
        <v/>
      </c>
      <c r="J1218" s="4" t="inlineStr">
        <is>
          <t>4</t>
        </is>
      </c>
      <c r="K1218" s="4" t="inlineStr">
        <is>
          <t>5/1628</t>
        </is>
      </c>
      <c r="L1218" s="4" t="inlineStr">
        <is>
          <t>Yes</t>
        </is>
      </c>
      <c r="M1218" s="4" t="inlineStr">
        <is>
          <t>Peak comfort, peak softness, peak casual. With a brushed interior, this Softstreme™ half zip is the kind of layer you'll want to wear with everything.</t>
        </is>
      </c>
      <c r="N1218" s="4" t="inlineStr">
        <is>
          <t>Brushed-Softstreme-Half-Zip</t>
        </is>
      </c>
      <c r="O1218" s="4" t="inlineStr">
        <is>
          <t>Half Zip Sweatshirts, Quarter Zip Sweatshirts</t>
        </is>
      </c>
    </row>
    <row r="1219" ht="80" customHeight="1">
      <c r="A1219" s="7">
        <f>IMAGE("https://images.lululemon.com/is/image/lululemon/LW3IDXS_033454_1?wid=320&amp;op_usm=0.8",1)</f>
        <v/>
      </c>
      <c r="B1219" s="7" t="inlineStr">
        <is>
          <t>Brushed Softstreme Half Zip</t>
        </is>
      </c>
      <c r="C1219" s="7" t="inlineStr">
        <is>
          <t>156501782</t>
        </is>
      </c>
      <c r="D1219" s="7" t="inlineStr">
        <is>
          <t>156501782-lightivory</t>
        </is>
      </c>
      <c r="E1219" s="7" t="inlineStr">
        <is>
          <t>Brushed Softstreme™ Half Zip LTIV 2</t>
        </is>
      </c>
      <c r="F1219" s="7" t="inlineStr">
        <is>
          <t>$138.00</t>
        </is>
      </c>
      <c r="G1219" s="7" t="inlineStr">
        <is>
          <t>$69.00</t>
        </is>
      </c>
      <c r="H1219" s="7" t="inlineStr">
        <is>
          <t>Light Ivory</t>
        </is>
      </c>
      <c r="I1219" s="7">
        <f>IMAGE("https://images.lululemon.com/is/image/lululemon/33454",1)</f>
        <v/>
      </c>
      <c r="J1219" s="7" t="inlineStr">
        <is>
          <t>6</t>
        </is>
      </c>
      <c r="K1219" s="7" t="inlineStr">
        <is>
          <t>18/1628</t>
        </is>
      </c>
      <c r="L1219" s="7" t="inlineStr">
        <is>
          <t>Yes</t>
        </is>
      </c>
      <c r="M1219" s="7" t="inlineStr">
        <is>
          <t>Peak comfort, peak softness, peak casual. With a brushed interior, this Softstreme™ half zip is the kind of layer you'll want to wear with everything.</t>
        </is>
      </c>
      <c r="N1219" s="7" t="inlineStr">
        <is>
          <t>Brushed-Softstreme-Half-Zip</t>
        </is>
      </c>
      <c r="O1219" s="7" t="inlineStr">
        <is>
          <t>Half Zip Sweatshirts, Quarter Zip Sweatshirts</t>
        </is>
      </c>
    </row>
    <row r="1220" ht="80" customHeight="1">
      <c r="A1220" s="4">
        <f>IMAGE("https://images.lululemon.com/is/image/lululemon/LW3IDXS_033454_1?wid=320&amp;op_usm=0.8",1)</f>
        <v/>
      </c>
      <c r="B1220" s="4" t="inlineStr">
        <is>
          <t>Brushed Softstreme Half Zip</t>
        </is>
      </c>
      <c r="C1220" s="4" t="inlineStr">
        <is>
          <t>156501786</t>
        </is>
      </c>
      <c r="D1220" s="4" t="inlineStr">
        <is>
          <t>156501786-lightivory</t>
        </is>
      </c>
      <c r="E1220" s="4" t="inlineStr">
        <is>
          <t>Brushed Softstreme™ Half Zip LTIV 2</t>
        </is>
      </c>
      <c r="F1220" s="4" t="inlineStr">
        <is>
          <t>$138.00</t>
        </is>
      </c>
      <c r="G1220" s="4" t="inlineStr">
        <is>
          <t>$69.00</t>
        </is>
      </c>
      <c r="H1220" s="4" t="inlineStr">
        <is>
          <t>Light Ivory</t>
        </is>
      </c>
      <c r="I1220" s="4">
        <f>IMAGE("https://images.lululemon.com/is/image/lululemon/33454",1)</f>
        <v/>
      </c>
      <c r="J1220" s="4" t="inlineStr">
        <is>
          <t>8</t>
        </is>
      </c>
      <c r="K1220" s="4" t="inlineStr">
        <is>
          <t>77/1628</t>
        </is>
      </c>
      <c r="L1220" s="4" t="inlineStr">
        <is>
          <t>Yes</t>
        </is>
      </c>
      <c r="M1220" s="4" t="inlineStr">
        <is>
          <t>Peak comfort, peak softness, peak casual. With a brushed interior, this Softstreme™ half zip is the kind of layer you'll want to wear with everything.</t>
        </is>
      </c>
      <c r="N1220" s="4" t="inlineStr">
        <is>
          <t>Brushed-Softstreme-Half-Zip</t>
        </is>
      </c>
      <c r="O1220" s="4" t="inlineStr">
        <is>
          <t>Half Zip Sweatshirts, Quarter Zip Sweatshirts</t>
        </is>
      </c>
    </row>
    <row r="1221" ht="80" customHeight="1">
      <c r="A1221" s="7">
        <f>IMAGE("https://images.lululemon.com/is/image/lululemon/LW3IDXS_033454_1?wid=320&amp;op_usm=0.8",1)</f>
        <v/>
      </c>
      <c r="B1221" s="7" t="inlineStr">
        <is>
          <t>Brushed Softstreme Half Zip</t>
        </is>
      </c>
      <c r="C1221" s="7" t="inlineStr">
        <is>
          <t>156501731</t>
        </is>
      </c>
      <c r="D1221" s="7" t="inlineStr">
        <is>
          <t>156501731-lightivory</t>
        </is>
      </c>
      <c r="E1221" s="7" t="inlineStr">
        <is>
          <t>Brushed Softstreme™ Half Zip LTIV 2</t>
        </is>
      </c>
      <c r="F1221" s="7" t="inlineStr">
        <is>
          <t>$138.00</t>
        </is>
      </c>
      <c r="G1221" s="7" t="inlineStr">
        <is>
          <t>$69.00</t>
        </is>
      </c>
      <c r="H1221" s="7" t="inlineStr">
        <is>
          <t>Light Ivory</t>
        </is>
      </c>
      <c r="I1221" s="7">
        <f>IMAGE("https://images.lululemon.com/is/image/lululemon/33454",1)</f>
        <v/>
      </c>
      <c r="J1221" s="7" t="inlineStr">
        <is>
          <t>10</t>
        </is>
      </c>
      <c r="K1221" s="7" t="inlineStr">
        <is>
          <t>110/1628</t>
        </is>
      </c>
      <c r="L1221" s="7" t="inlineStr">
        <is>
          <t>Yes</t>
        </is>
      </c>
      <c r="M1221" s="7" t="inlineStr">
        <is>
          <t>Peak comfort, peak softness, peak casual. With a brushed interior, this Softstreme™ half zip is the kind of layer you'll want to wear with everything.</t>
        </is>
      </c>
      <c r="N1221" s="7" t="inlineStr">
        <is>
          <t>Brushed-Softstreme-Half-Zip</t>
        </is>
      </c>
      <c r="O1221" s="7" t="inlineStr">
        <is>
          <t>Half Zip Sweatshirts, Quarter Zip Sweatshirts</t>
        </is>
      </c>
    </row>
    <row r="1222" ht="80" customHeight="1">
      <c r="A1222" s="4">
        <f>IMAGE("https://images.lululemon.com/is/image/lululemon/LW3IDXS_033454_1?wid=320&amp;op_usm=0.8",1)</f>
        <v/>
      </c>
      <c r="B1222" s="4" t="inlineStr">
        <is>
          <t>Brushed Softstreme Half Zip</t>
        </is>
      </c>
      <c r="C1222" s="4" t="inlineStr">
        <is>
          <t>156501736</t>
        </is>
      </c>
      <c r="D1222" s="4" t="inlineStr">
        <is>
          <t>156501736-lightivory</t>
        </is>
      </c>
      <c r="E1222" s="4" t="inlineStr">
        <is>
          <t>Brushed Softstreme™ Half Zip LTIV 2</t>
        </is>
      </c>
      <c r="F1222" s="4" t="inlineStr">
        <is>
          <t>$138.00</t>
        </is>
      </c>
      <c r="G1222" s="4" t="inlineStr">
        <is>
          <t>$69.00</t>
        </is>
      </c>
      <c r="H1222" s="4" t="inlineStr">
        <is>
          <t>Light Ivory</t>
        </is>
      </c>
      <c r="I1222" s="4">
        <f>IMAGE("https://images.lululemon.com/is/image/lululemon/33454",1)</f>
        <v/>
      </c>
      <c r="J1222" s="4" t="inlineStr">
        <is>
          <t>12</t>
        </is>
      </c>
      <c r="K1222" s="4" t="inlineStr">
        <is>
          <t>73/1628</t>
        </is>
      </c>
      <c r="L1222" s="4" t="inlineStr">
        <is>
          <t>Yes</t>
        </is>
      </c>
      <c r="M1222" s="4" t="inlineStr">
        <is>
          <t>Peak comfort, peak softness, peak casual. With a brushed interior, this Softstreme™ half zip is the kind of layer you'll want to wear with everything.</t>
        </is>
      </c>
      <c r="N1222" s="4" t="inlineStr">
        <is>
          <t>Brushed-Softstreme-Half-Zip</t>
        </is>
      </c>
      <c r="O1222" s="4" t="inlineStr">
        <is>
          <t>Half Zip Sweatshirts, Quarter Zip Sweatshirts</t>
        </is>
      </c>
    </row>
    <row r="1223" ht="80" customHeight="1">
      <c r="A1223" s="7">
        <f>IMAGE("https://images.lululemon.com/is/image/lululemon/LW3IDXS_033454_1?wid=320&amp;op_usm=0.8",1)</f>
        <v/>
      </c>
      <c r="B1223" s="7" t="inlineStr">
        <is>
          <t>Brushed Softstreme Half Zip</t>
        </is>
      </c>
      <c r="C1223" s="7" t="inlineStr">
        <is>
          <t>157680819</t>
        </is>
      </c>
      <c r="D1223" s="7" t="inlineStr">
        <is>
          <t>157680819-sereneblue</t>
        </is>
      </c>
      <c r="E1223" s="7" t="inlineStr">
        <is>
          <t>Brushed Softstreme™ Half Zip LTIV 2</t>
        </is>
      </c>
      <c r="F1223" s="7" t="inlineStr">
        <is>
          <t>$138.00</t>
        </is>
      </c>
      <c r="G1223" s="7" t="inlineStr">
        <is>
          <t>$69.00</t>
        </is>
      </c>
      <c r="H1223" s="7" t="inlineStr">
        <is>
          <t>Serene Blue</t>
        </is>
      </c>
      <c r="I1223" s="7">
        <f>IMAGE("https://images.lululemon.com/is/image/lululemon/32507",1)</f>
        <v/>
      </c>
      <c r="J1223" s="7" t="inlineStr">
        <is>
          <t>2</t>
        </is>
      </c>
      <c r="K1223" s="7" t="inlineStr">
        <is>
          <t>141/1628</t>
        </is>
      </c>
      <c r="L1223" s="7" t="inlineStr">
        <is>
          <t>Yes</t>
        </is>
      </c>
      <c r="M1223" s="7" t="inlineStr">
        <is>
          <t>Peak comfort, peak softness, peak casual. With a brushed interior, this Softstreme™ half zip is the kind of layer you'll want to wear with everything.</t>
        </is>
      </c>
      <c r="N1223" s="7" t="inlineStr">
        <is>
          <t>Brushed-Softstreme-Half-Zip</t>
        </is>
      </c>
      <c r="O1223" s="7" t="inlineStr">
        <is>
          <t>Half Zip Sweatshirts, Quarter Zip Sweatshirts</t>
        </is>
      </c>
    </row>
    <row r="1224" ht="80" customHeight="1">
      <c r="A1224" s="4">
        <f>IMAGE("https://images.lululemon.com/is/image/lululemon/LW3IDXS_033454_1?wid=320&amp;op_usm=0.8",1)</f>
        <v/>
      </c>
      <c r="B1224" s="4" t="inlineStr">
        <is>
          <t>Brushed Softstreme Half Zip</t>
        </is>
      </c>
      <c r="C1224" s="4" t="inlineStr">
        <is>
          <t>157680828</t>
        </is>
      </c>
      <c r="D1224" s="4" t="inlineStr">
        <is>
          <t>157680828-sereneblue</t>
        </is>
      </c>
      <c r="E1224" s="4" t="inlineStr">
        <is>
          <t>Brushed Softstreme™ Half Zip LTIV 2</t>
        </is>
      </c>
      <c r="F1224" s="4" t="inlineStr">
        <is>
          <t>$138.00</t>
        </is>
      </c>
      <c r="G1224" s="4" t="inlineStr">
        <is>
          <t>$69.00</t>
        </is>
      </c>
      <c r="H1224" s="4" t="inlineStr">
        <is>
          <t>Serene Blue</t>
        </is>
      </c>
      <c r="I1224" s="4">
        <f>IMAGE("https://images.lululemon.com/is/image/lululemon/32507",1)</f>
        <v/>
      </c>
      <c r="J1224" s="4" t="inlineStr">
        <is>
          <t>4</t>
        </is>
      </c>
      <c r="K1224" s="4" t="inlineStr">
        <is>
          <t>240/1628</t>
        </is>
      </c>
      <c r="L1224" s="4" t="inlineStr">
        <is>
          <t>Yes</t>
        </is>
      </c>
      <c r="M1224" s="4" t="inlineStr">
        <is>
          <t>Peak comfort, peak softness, peak casual. With a brushed interior, this Softstreme™ half zip is the kind of layer you'll want to wear with everything.</t>
        </is>
      </c>
      <c r="N1224" s="4" t="inlineStr">
        <is>
          <t>Brushed-Softstreme-Half-Zip</t>
        </is>
      </c>
      <c r="O1224" s="4" t="inlineStr">
        <is>
          <t>Half Zip Sweatshirts, Quarter Zip Sweatshirts</t>
        </is>
      </c>
    </row>
    <row r="1225" ht="80" customHeight="1">
      <c r="A1225" s="7">
        <f>IMAGE("https://images.lululemon.com/is/image/lululemon/LW3IDXS_033454_1?wid=320&amp;op_usm=0.8",1)</f>
        <v/>
      </c>
      <c r="B1225" s="7" t="inlineStr">
        <is>
          <t>Brushed Softstreme Half Zip</t>
        </is>
      </c>
      <c r="C1225" s="7" t="inlineStr">
        <is>
          <t>157680837</t>
        </is>
      </c>
      <c r="D1225" s="7" t="inlineStr">
        <is>
          <t>157680837-sereneblue</t>
        </is>
      </c>
      <c r="E1225" s="7" t="inlineStr">
        <is>
          <t>Brushed Softstreme™ Half Zip LTIV 2</t>
        </is>
      </c>
      <c r="F1225" s="7" t="inlineStr">
        <is>
          <t>$138.00</t>
        </is>
      </c>
      <c r="G1225" s="7" t="inlineStr">
        <is>
          <t>$69.00</t>
        </is>
      </c>
      <c r="H1225" s="7" t="inlineStr">
        <is>
          <t>Serene Blue</t>
        </is>
      </c>
      <c r="I1225" s="7">
        <f>IMAGE("https://images.lululemon.com/is/image/lululemon/32507",1)</f>
        <v/>
      </c>
      <c r="J1225" s="7" t="inlineStr">
        <is>
          <t>6</t>
        </is>
      </c>
      <c r="K1225" s="7" t="inlineStr">
        <is>
          <t>310/1628</t>
        </is>
      </c>
      <c r="L1225" s="7" t="inlineStr">
        <is>
          <t>Yes</t>
        </is>
      </c>
      <c r="M1225" s="7" t="inlineStr">
        <is>
          <t>Peak comfort, peak softness, peak casual. With a brushed interior, this Softstreme™ half zip is the kind of layer you'll want to wear with everything.</t>
        </is>
      </c>
      <c r="N1225" s="7" t="inlineStr">
        <is>
          <t>Brushed-Softstreme-Half-Zip</t>
        </is>
      </c>
      <c r="O1225" s="7" t="inlineStr">
        <is>
          <t>Half Zip Sweatshirts, Quarter Zip Sweatshirts</t>
        </is>
      </c>
    </row>
    <row r="1226" ht="80" customHeight="1">
      <c r="A1226" s="4">
        <f>IMAGE("https://images.lululemon.com/is/image/lululemon/LW3IDXS_033454_1?wid=320&amp;op_usm=0.8",1)</f>
        <v/>
      </c>
      <c r="B1226" s="4" t="inlineStr">
        <is>
          <t>Brushed Softstreme Half Zip</t>
        </is>
      </c>
      <c r="C1226" s="4" t="inlineStr">
        <is>
          <t>157680847</t>
        </is>
      </c>
      <c r="D1226" s="4" t="inlineStr">
        <is>
          <t>157680847-sereneblue</t>
        </is>
      </c>
      <c r="E1226" s="4" t="inlineStr">
        <is>
          <t>Brushed Softstreme™ Half Zip LTIV 2</t>
        </is>
      </c>
      <c r="F1226" s="4" t="inlineStr">
        <is>
          <t>$138.00</t>
        </is>
      </c>
      <c r="G1226" s="4" t="inlineStr">
        <is>
          <t>$69.00</t>
        </is>
      </c>
      <c r="H1226" s="4" t="inlineStr">
        <is>
          <t>Serene Blue</t>
        </is>
      </c>
      <c r="I1226" s="4">
        <f>IMAGE("https://images.lululemon.com/is/image/lululemon/32507",1)</f>
        <v/>
      </c>
      <c r="J1226" s="4" t="inlineStr">
        <is>
          <t>8</t>
        </is>
      </c>
      <c r="K1226" s="4" t="inlineStr">
        <is>
          <t>268/1628</t>
        </is>
      </c>
      <c r="L1226" s="4" t="inlineStr">
        <is>
          <t>Yes</t>
        </is>
      </c>
      <c r="M1226" s="4" t="inlineStr">
        <is>
          <t>Peak comfort, peak softness, peak casual. With a brushed interior, this Softstreme™ half zip is the kind of layer you'll want to wear with everything.</t>
        </is>
      </c>
      <c r="N1226" s="4" t="inlineStr">
        <is>
          <t>Brushed-Softstreme-Half-Zip</t>
        </is>
      </c>
      <c r="O1226" s="4" t="inlineStr">
        <is>
          <t>Half Zip Sweatshirts, Quarter Zip Sweatshirts</t>
        </is>
      </c>
    </row>
    <row r="1227" ht="80" customHeight="1">
      <c r="A1227" s="7">
        <f>IMAGE("https://images.lululemon.com/is/image/lululemon/LW3IDXS_033454_1?wid=320&amp;op_usm=0.8",1)</f>
        <v/>
      </c>
      <c r="B1227" s="7" t="inlineStr">
        <is>
          <t>Brushed Softstreme Half Zip</t>
        </is>
      </c>
      <c r="C1227" s="7" t="inlineStr">
        <is>
          <t>157680798</t>
        </is>
      </c>
      <c r="D1227" s="7" t="inlineStr">
        <is>
          <t>157680798-sereneblue</t>
        </is>
      </c>
      <c r="E1227" s="7" t="inlineStr">
        <is>
          <t>Brushed Softstreme™ Half Zip LTIV 2</t>
        </is>
      </c>
      <c r="F1227" s="7" t="inlineStr">
        <is>
          <t>$138.00</t>
        </is>
      </c>
      <c r="G1227" s="7" t="inlineStr">
        <is>
          <t>$69.00</t>
        </is>
      </c>
      <c r="H1227" s="7" t="inlineStr">
        <is>
          <t>Serene Blue</t>
        </is>
      </c>
      <c r="I1227" s="7">
        <f>IMAGE("https://images.lululemon.com/is/image/lululemon/32507",1)</f>
        <v/>
      </c>
      <c r="J1227" s="7" t="inlineStr">
        <is>
          <t>10</t>
        </is>
      </c>
      <c r="K1227" s="7" t="inlineStr">
        <is>
          <t>231/1628</t>
        </is>
      </c>
      <c r="L1227" s="7" t="inlineStr">
        <is>
          <t>Yes</t>
        </is>
      </c>
      <c r="M1227" s="7" t="inlineStr">
        <is>
          <t>Peak comfort, peak softness, peak casual. With a brushed interior, this Softstreme™ half zip is the kind of layer you'll want to wear with everything.</t>
        </is>
      </c>
      <c r="N1227" s="7" t="inlineStr">
        <is>
          <t>Brushed-Softstreme-Half-Zip</t>
        </is>
      </c>
      <c r="O1227" s="7" t="inlineStr">
        <is>
          <t>Half Zip Sweatshirts, Quarter Zip Sweatshirts</t>
        </is>
      </c>
    </row>
    <row r="1228" ht="80" customHeight="1">
      <c r="A1228" s="6">
        <f>IMAGE("https://images.lululemon.com/is/image/lululemon/LW3IDXS_033454_1?wid=320&amp;op_usm=0.8",1)</f>
        <v/>
      </c>
      <c r="B1228" s="6" t="inlineStr">
        <is>
          <t>Brushed Softstreme Half Zip</t>
        </is>
      </c>
      <c r="C1228" s="6" t="inlineStr">
        <is>
          <t>157680808</t>
        </is>
      </c>
      <c r="D1228" s="6" t="inlineStr">
        <is>
          <t>157680808-sereneblue</t>
        </is>
      </c>
      <c r="E1228" s="6" t="inlineStr">
        <is>
          <t>Brushed Softstreme™ Half Zip LTIV 2</t>
        </is>
      </c>
      <c r="F1228" s="6" t="inlineStr">
        <is>
          <t>$138.00</t>
        </is>
      </c>
      <c r="G1228" s="6" t="inlineStr">
        <is>
          <t>$69.00</t>
        </is>
      </c>
      <c r="H1228" s="6" t="inlineStr">
        <is>
          <t>Serene Blue</t>
        </is>
      </c>
      <c r="I1228" s="6">
        <f>IMAGE("https://images.lululemon.com/is/image/lululemon/32507",1)</f>
        <v/>
      </c>
      <c r="J1228" s="6" t="inlineStr">
        <is>
          <t>12</t>
        </is>
      </c>
      <c r="K1228" s="6" t="inlineStr">
        <is>
          <t>126/1628</t>
        </is>
      </c>
      <c r="L1228" s="6" t="inlineStr">
        <is>
          <t>Yes</t>
        </is>
      </c>
      <c r="M1228" s="6" t="inlineStr">
        <is>
          <t>Peak comfort, peak softness, peak casual. With a brushed interior, this Softstreme™ half zip is the kind of layer you'll want to wear with everything.</t>
        </is>
      </c>
      <c r="N1228" s="6" t="inlineStr">
        <is>
          <t>Brushed-Softstreme-Half-Zip</t>
        </is>
      </c>
      <c r="O1228" s="6" t="inlineStr">
        <is>
          <t>Half Zip Sweatshirts, Quarter Zip Sweatshirts</t>
        </is>
      </c>
    </row>
    <row r="1229" ht="80" customHeight="1">
      <c r="A1229" s="7">
        <f>IMAGE("https://images.lululemon.com/is/image/lululemon/LW1FENS_063787_1?wid=320&amp;op_usm=0.8",1)</f>
        <v/>
      </c>
      <c r="B1229" s="7" t="inlineStr">
        <is>
          <t>lululemon Align™ Dress *Updated Sleek Liner</t>
        </is>
      </c>
      <c r="C1229" s="7" t="inlineStr">
        <is>
          <t>158023348</t>
        </is>
      </c>
      <c r="D1229" s="7" t="inlineStr">
        <is>
          <t>158023348-atmosphericpurple</t>
        </is>
      </c>
      <c r="E1229" s="7" t="inlineStr">
        <is>
          <t>lululemon Align™ Dress *Sleek Liner ARPR 2</t>
        </is>
      </c>
      <c r="F1229" s="7" t="inlineStr">
        <is>
          <t>$148.00</t>
        </is>
      </c>
      <c r="G1229" s="7" t="inlineStr">
        <is>
          <t>$74.00</t>
        </is>
      </c>
      <c r="H1229" s="7" t="inlineStr">
        <is>
          <t>ATMOSPHERIC PURPLE</t>
        </is>
      </c>
      <c r="I1229" s="7">
        <f>IMAGE("https://images.lululemon.com/is/image/lululemon/63787",1)</f>
        <v/>
      </c>
      <c r="J1229" s="7" t="inlineStr">
        <is>
          <t>2</t>
        </is>
      </c>
      <c r="K1229" s="7" t="inlineStr">
        <is>
          <t>24/269</t>
        </is>
      </c>
      <c r="L1229" s="7" t="inlineStr">
        <is>
          <t>Yes</t>
        </is>
      </c>
      <c r="M1229" s="7" t="inlineStr">
        <is>
          <t>When feeling nothing is everything. This dress gives you the buttery softness of lululemon Align™ with a sleek lining that has a built-in shelf bra and shorts liner.</t>
        </is>
      </c>
      <c r="N1229" s="7" t="inlineStr">
        <is>
          <t>lululemon-Align-Dress-Updated-Sleek-Liner</t>
        </is>
      </c>
      <c r="O1229" s="7" t="inlineStr">
        <is>
          <t>Bodycon Dresses</t>
        </is>
      </c>
    </row>
    <row r="1230" ht="80" customHeight="1">
      <c r="A1230" s="4">
        <f>IMAGE("https://images.lululemon.com/is/image/lululemon/LW1FENS_063787_1?wid=320&amp;op_usm=0.8",1)</f>
        <v/>
      </c>
      <c r="B1230" s="4" t="inlineStr">
        <is>
          <t>lululemon Align™ Dress *Updated Sleek Liner</t>
        </is>
      </c>
      <c r="C1230" s="4" t="inlineStr">
        <is>
          <t>158023356</t>
        </is>
      </c>
      <c r="D1230" s="4" t="inlineStr">
        <is>
          <t>158023356-atmosphericpurple</t>
        </is>
      </c>
      <c r="E1230" s="4" t="inlineStr">
        <is>
          <t>lululemon Align™ Dress *Sleek Liner ARPR 2</t>
        </is>
      </c>
      <c r="F1230" s="4" t="inlineStr">
        <is>
          <t>$148.00</t>
        </is>
      </c>
      <c r="G1230" s="4" t="inlineStr">
        <is>
          <t>$74.00</t>
        </is>
      </c>
      <c r="H1230" s="4" t="inlineStr">
        <is>
          <t>ATMOSPHERIC PURPLE</t>
        </is>
      </c>
      <c r="I1230" s="4">
        <f>IMAGE("https://images.lululemon.com/is/image/lululemon/63787",1)</f>
        <v/>
      </c>
      <c r="J1230" s="4" t="inlineStr">
        <is>
          <t>4</t>
        </is>
      </c>
      <c r="K1230" s="4" t="inlineStr">
        <is>
          <t>64/269</t>
        </is>
      </c>
      <c r="L1230" s="4" t="inlineStr">
        <is>
          <t>Yes</t>
        </is>
      </c>
      <c r="M1230" s="4" t="inlineStr">
        <is>
          <t>When feeling nothing is everything. This dress gives you the buttery softness of lululemon Align™ with a sleek lining that has a built-in shelf bra and shorts liner.</t>
        </is>
      </c>
      <c r="N1230" s="4" t="inlineStr">
        <is>
          <t>lululemon-Align-Dress-Updated-Sleek-Liner</t>
        </is>
      </c>
      <c r="O1230" s="4" t="inlineStr">
        <is>
          <t>Bodycon Dresses</t>
        </is>
      </c>
    </row>
    <row r="1231" ht="80" customHeight="1">
      <c r="A1231" s="7">
        <f>IMAGE("https://images.lululemon.com/is/image/lululemon/LW1FENS_063787_1?wid=320&amp;op_usm=0.8",1)</f>
        <v/>
      </c>
      <c r="B1231" s="7" t="inlineStr">
        <is>
          <t>lululemon Align™ Dress *Updated Sleek Liner</t>
        </is>
      </c>
      <c r="C1231" s="7" t="inlineStr">
        <is>
          <t>158023364</t>
        </is>
      </c>
      <c r="D1231" s="7" t="inlineStr">
        <is>
          <t>158023364-atmosphericpurple</t>
        </is>
      </c>
      <c r="E1231" s="7" t="inlineStr">
        <is>
          <t>lululemon Align™ Dress *Sleek Liner ARPR 2</t>
        </is>
      </c>
      <c r="F1231" s="7" t="inlineStr">
        <is>
          <t>$148.00</t>
        </is>
      </c>
      <c r="G1231" s="7" t="inlineStr">
        <is>
          <t>$74.00</t>
        </is>
      </c>
      <c r="H1231" s="7" t="inlineStr">
        <is>
          <t>ATMOSPHERIC PURPLE</t>
        </is>
      </c>
      <c r="I1231" s="7">
        <f>IMAGE("https://images.lululemon.com/is/image/lululemon/63787",1)</f>
        <v/>
      </c>
      <c r="J1231" s="7" t="inlineStr">
        <is>
          <t>6</t>
        </is>
      </c>
      <c r="K1231" s="7" t="inlineStr">
        <is>
          <t>75/269</t>
        </is>
      </c>
      <c r="L1231" s="7" t="inlineStr">
        <is>
          <t>Yes</t>
        </is>
      </c>
      <c r="M1231" s="7" t="inlineStr">
        <is>
          <t>When feeling nothing is everything. This dress gives you the buttery softness of lululemon Align™ with a sleek lining that has a built-in shelf bra and shorts liner.</t>
        </is>
      </c>
      <c r="N1231" s="7" t="inlineStr">
        <is>
          <t>lululemon-Align-Dress-Updated-Sleek-Liner</t>
        </is>
      </c>
      <c r="O1231" s="7" t="inlineStr">
        <is>
          <t>Bodycon Dresses</t>
        </is>
      </c>
    </row>
    <row r="1232" ht="80" customHeight="1">
      <c r="A1232" s="4">
        <f>IMAGE("https://images.lululemon.com/is/image/lululemon/LW1FENS_063787_1?wid=320&amp;op_usm=0.8",1)</f>
        <v/>
      </c>
      <c r="B1232" s="4" t="inlineStr">
        <is>
          <t>lululemon Align™ Dress *Updated Sleek Liner</t>
        </is>
      </c>
      <c r="C1232" s="4" t="inlineStr">
        <is>
          <t>158023375</t>
        </is>
      </c>
      <c r="D1232" s="4" t="inlineStr">
        <is>
          <t>158023375-atmosphericpurple</t>
        </is>
      </c>
      <c r="E1232" s="4" t="inlineStr">
        <is>
          <t>lululemon Align™ Dress *Sleek Liner ARPR 2</t>
        </is>
      </c>
      <c r="F1232" s="4" t="inlineStr">
        <is>
          <t>$148.00</t>
        </is>
      </c>
      <c r="G1232" s="4" t="inlineStr">
        <is>
          <t>$74.00</t>
        </is>
      </c>
      <c r="H1232" s="4" t="inlineStr">
        <is>
          <t>ATMOSPHERIC PURPLE</t>
        </is>
      </c>
      <c r="I1232" s="4">
        <f>IMAGE("https://images.lululemon.com/is/image/lululemon/63787",1)</f>
        <v/>
      </c>
      <c r="J1232" s="4" t="inlineStr">
        <is>
          <t>8</t>
        </is>
      </c>
      <c r="K1232" s="4" t="inlineStr">
        <is>
          <t>56/269</t>
        </is>
      </c>
      <c r="L1232" s="4" t="inlineStr">
        <is>
          <t>Yes</t>
        </is>
      </c>
      <c r="M1232" s="4" t="inlineStr">
        <is>
          <t>When feeling nothing is everything. This dress gives you the buttery softness of lululemon Align™ with a sleek lining that has a built-in shelf bra and shorts liner.</t>
        </is>
      </c>
      <c r="N1232" s="4" t="inlineStr">
        <is>
          <t>lululemon-Align-Dress-Updated-Sleek-Liner</t>
        </is>
      </c>
      <c r="O1232" s="4" t="inlineStr">
        <is>
          <t>Bodycon Dresses</t>
        </is>
      </c>
    </row>
    <row r="1233" ht="80" customHeight="1">
      <c r="A1233" s="7">
        <f>IMAGE("https://images.lululemon.com/is/image/lululemon/LW1FENS_063787_1?wid=320&amp;op_usm=0.8",1)</f>
        <v/>
      </c>
      <c r="B1233" s="7" t="inlineStr">
        <is>
          <t>lululemon Align™ Dress *Updated Sleek Liner</t>
        </is>
      </c>
      <c r="C1233" s="7" t="inlineStr">
        <is>
          <t>158023321</t>
        </is>
      </c>
      <c r="D1233" s="7" t="inlineStr">
        <is>
          <t>158023321-atmosphericpurple</t>
        </is>
      </c>
      <c r="E1233" s="7" t="inlineStr">
        <is>
          <t>lululemon Align™ Dress *Sleek Liner ARPR 2</t>
        </is>
      </c>
      <c r="F1233" s="7" t="inlineStr">
        <is>
          <t>$148.00</t>
        </is>
      </c>
      <c r="G1233" s="7" t="inlineStr">
        <is>
          <t>$74.00</t>
        </is>
      </c>
      <c r="H1233" s="7" t="inlineStr">
        <is>
          <t>ATMOSPHERIC PURPLE</t>
        </is>
      </c>
      <c r="I1233" s="7">
        <f>IMAGE("https://images.lululemon.com/is/image/lululemon/63787",1)</f>
        <v/>
      </c>
      <c r="J1233" s="7" t="inlineStr">
        <is>
          <t>10</t>
        </is>
      </c>
      <c r="K1233" s="7" t="inlineStr">
        <is>
          <t>32/269</t>
        </is>
      </c>
      <c r="L1233" s="7" t="inlineStr">
        <is>
          <t>Yes</t>
        </is>
      </c>
      <c r="M1233" s="7" t="inlineStr">
        <is>
          <t>When feeling nothing is everything. This dress gives you the buttery softness of lululemon Align™ with a sleek lining that has a built-in shelf bra and shorts liner.</t>
        </is>
      </c>
      <c r="N1233" s="7" t="inlineStr">
        <is>
          <t>lululemon-Align-Dress-Updated-Sleek-Liner</t>
        </is>
      </c>
      <c r="O1233" s="7" t="inlineStr">
        <is>
          <t>Bodycon Dresses</t>
        </is>
      </c>
    </row>
    <row r="1234" ht="80" customHeight="1">
      <c r="A1234" s="6">
        <f>IMAGE("https://images.lululemon.com/is/image/lululemon/LW1FENS_063787_1?wid=320&amp;op_usm=0.8",1)</f>
        <v/>
      </c>
      <c r="B1234" s="6" t="inlineStr">
        <is>
          <t>lululemon Align™ Dress *Updated Sleek Liner</t>
        </is>
      </c>
      <c r="C1234" s="6" t="inlineStr">
        <is>
          <t>158023332</t>
        </is>
      </c>
      <c r="D1234" s="6" t="inlineStr">
        <is>
          <t>158023332-atmosphericpurple</t>
        </is>
      </c>
      <c r="E1234" s="6" t="inlineStr">
        <is>
          <t>lululemon Align™ Dress *Sleek Liner ARPR 2</t>
        </is>
      </c>
      <c r="F1234" s="6" t="inlineStr">
        <is>
          <t>$148.00</t>
        </is>
      </c>
      <c r="G1234" s="6" t="inlineStr">
        <is>
          <t>$74.00</t>
        </is>
      </c>
      <c r="H1234" s="6" t="inlineStr">
        <is>
          <t>ATMOSPHERIC PURPLE</t>
        </is>
      </c>
      <c r="I1234" s="6">
        <f>IMAGE("https://images.lululemon.com/is/image/lululemon/63787",1)</f>
        <v/>
      </c>
      <c r="J1234" s="6" t="inlineStr">
        <is>
          <t>12</t>
        </is>
      </c>
      <c r="K1234" s="6" t="inlineStr">
        <is>
          <t>18/269</t>
        </is>
      </c>
      <c r="L1234" s="6" t="inlineStr">
        <is>
          <t>Yes</t>
        </is>
      </c>
      <c r="M1234" s="6" t="inlineStr">
        <is>
          <t>When feeling nothing is everything. This dress gives you the buttery softness of lululemon Align™ with a sleek lining that has a built-in shelf bra and shorts liner.</t>
        </is>
      </c>
      <c r="N1234" s="6" t="inlineStr">
        <is>
          <t>lululemon-Align-Dress-Updated-Sleek-Liner</t>
        </is>
      </c>
      <c r="O1234" s="6" t="inlineStr">
        <is>
          <t>Bodycon Dresses</t>
        </is>
      </c>
    </row>
    <row r="1235" ht="80" customHeight="1">
      <c r="A1235" s="5">
        <f>IMAGE("https://images.lululemon.com/is/image/lululemon/LW9GBRS_041431_1?wid=320&amp;op_usm=0.8",1)</f>
        <v/>
      </c>
      <c r="B1235" s="5" t="inlineStr">
        <is>
          <t>Jumbo Claw Clip</t>
        </is>
      </c>
      <c r="C1235" s="5" t="inlineStr">
        <is>
          <t>156525972</t>
        </is>
      </c>
      <c r="D1235" s="5" t="inlineStr">
        <is>
          <t>156525972-lightivory/black</t>
        </is>
      </c>
      <c r="E1235" s="5" t="inlineStr">
        <is>
          <t>Jumbo Claw Clip LTIV/BLK ONE SIZE</t>
        </is>
      </c>
      <c r="F1235" s="5" t="inlineStr">
        <is>
          <t>$28.00</t>
        </is>
      </c>
      <c r="G1235" s="5" t="inlineStr">
        <is>
          <t>$14.00</t>
        </is>
      </c>
      <c r="H1235" s="5" t="inlineStr">
        <is>
          <t>Light Ivory/Black</t>
        </is>
      </c>
      <c r="I1235" s="5">
        <f>IMAGE("https://images.lululemon.com/is/image/lululemon/41431",1)</f>
        <v/>
      </c>
      <c r="J1235" s="5" t="inlineStr">
        <is>
          <t>O/S</t>
        </is>
      </c>
      <c r="K1235" s="5" t="inlineStr">
        <is>
          <t>212/212</t>
        </is>
      </c>
      <c r="L1235" s="5" t="inlineStr">
        <is>
          <t>Yes</t>
        </is>
      </c>
      <c r="M1235" s="5" t="inlineStr">
        <is>
          <t>Lots of hold for lots of hair. This jumbo hair clip has extra long prongs to keep thick, voluminous hair in place.</t>
        </is>
      </c>
      <c r="N1235" s="5" t="inlineStr">
        <is>
          <t>Jumbo-Claw-Clip</t>
        </is>
      </c>
      <c r="O1235" s="5" t="inlineStr">
        <is>
          <t>Hair Clips</t>
        </is>
      </c>
    </row>
    <row r="1236" ht="80" customHeight="1">
      <c r="A1236" s="4">
        <f>IMAGE("https://images.lululemon.com/is/image/lululemon/LW2E57S_0002_1?wid=320&amp;op_usm=0.8",1)</f>
        <v/>
      </c>
      <c r="B1236" s="4" t="inlineStr">
        <is>
          <t>Bend This Scoop and Square Bra *Light Support, A-C Cups</t>
        </is>
      </c>
      <c r="C1236" s="4" t="inlineStr">
        <is>
          <t>153025347</t>
        </is>
      </c>
      <c r="D1236" s="4" t="inlineStr">
        <is>
          <t>153025347-white</t>
        </is>
      </c>
      <c r="E1236" s="4" t="inlineStr">
        <is>
          <t>Bend This Scoop and Square Bra WHT XXS/XS</t>
        </is>
      </c>
      <c r="F1236" s="4" t="inlineStr">
        <is>
          <t>$48.00</t>
        </is>
      </c>
      <c r="G1236" s="4" t="inlineStr">
        <is>
          <t>$24.00</t>
        </is>
      </c>
      <c r="H1236" s="4" t="inlineStr">
        <is>
          <t>White</t>
        </is>
      </c>
      <c r="I1236" s="4">
        <f>IMAGE("https://images.lululemon.com/is/image/lululemon/0002",1)</f>
        <v/>
      </c>
      <c r="J1236" s="4" t="inlineStr">
        <is>
          <t>XXS/XS</t>
        </is>
      </c>
      <c r="K1236" s="4" t="inlineStr">
        <is>
          <t>7/18</t>
        </is>
      </c>
      <c r="L1236" s="4" t="inlineStr">
        <is>
          <t>Yes</t>
        </is>
      </c>
      <c r="M1236" s="4" t="inlineStr">
        <is>
          <t>Two classic necklines, one incredible bra. We designed this bra with super-stretchy, soft fabrics to give you a flexible fit for every phase of your cycle. Flip it back to front.</t>
        </is>
      </c>
      <c r="N1236" s="4" t="inlineStr">
        <is>
          <t>Bend-This-Scoop-Square-Bra-A-C-Cups</t>
        </is>
      </c>
      <c r="O1236" s="4" t="inlineStr">
        <is>
          <t>Longline Bras, Bralettes</t>
        </is>
      </c>
    </row>
    <row r="1237" ht="80" customHeight="1">
      <c r="A1237" s="5">
        <f>IMAGE("https://images.lululemon.com/is/image/lululemon/LW2E57S_0002_1?wid=320&amp;op_usm=0.8",1)</f>
        <v/>
      </c>
      <c r="B1237" s="5" t="inlineStr">
        <is>
          <t>Bend This Scoop and Square Bra *Light Support, A-C Cups</t>
        </is>
      </c>
      <c r="C1237" s="5" t="inlineStr">
        <is>
          <t>154825665</t>
        </is>
      </c>
      <c r="D1237" s="5" t="inlineStr">
        <is>
          <t>154825665-passionate</t>
        </is>
      </c>
      <c r="E1237" s="5" t="inlineStr">
        <is>
          <t>Bend This Scoop and Square Bra WHT XXS/XS</t>
        </is>
      </c>
      <c r="F1237" s="5" t="inlineStr">
        <is>
          <t>$48.00</t>
        </is>
      </c>
      <c r="G1237" s="5" t="inlineStr">
        <is>
          <t>$24.00</t>
        </is>
      </c>
      <c r="H1237" s="5" t="inlineStr">
        <is>
          <t>Passionate</t>
        </is>
      </c>
      <c r="I1237" s="5">
        <f>IMAGE("https://images.lululemon.com/is/image/lululemon/68605",1)</f>
        <v/>
      </c>
      <c r="J1237" s="5" t="inlineStr">
        <is>
          <t>XXS/XS</t>
        </is>
      </c>
      <c r="K1237" s="5" t="inlineStr">
        <is>
          <t>11/18</t>
        </is>
      </c>
      <c r="L1237" s="5" t="inlineStr">
        <is>
          <t>Yes</t>
        </is>
      </c>
      <c r="M1237" s="5" t="inlineStr">
        <is>
          <t>Two classic necklines, one incredible bra. We designed this bra with super-stretchy, soft fabrics to give you a flexible fit for every phase of your cycle. Flip it back to front.</t>
        </is>
      </c>
      <c r="N1237" s="5" t="inlineStr">
        <is>
          <t>Bend-This-Scoop-Square-Bra-A-C-Cups</t>
        </is>
      </c>
      <c r="O1237" s="5" t="inlineStr">
        <is>
          <t>Longline Bras, Bralettes</t>
        </is>
      </c>
    </row>
    <row r="1238" ht="80" customHeight="1">
      <c r="A1238" s="4">
        <f>IMAGE("https://images.lululemon.com/is/image/lululemon/LW1DUDS_0002_1?wid=320&amp;op_usm=0.8",1)</f>
        <v/>
      </c>
      <c r="B1238" s="4" t="inlineStr">
        <is>
          <t>lululemon Align™ Tank Top *Light Support, A/B Cup</t>
        </is>
      </c>
      <c r="C1238" s="4" t="inlineStr">
        <is>
          <t>143501188</t>
        </is>
      </c>
      <c r="D1238" s="4" t="inlineStr">
        <is>
          <t>143501188-white</t>
        </is>
      </c>
      <c r="E1238" s="4" t="inlineStr">
        <is>
          <t>lululemon Align™ Tank WHT 0</t>
        </is>
      </c>
      <c r="F1238" s="4" t="inlineStr">
        <is>
          <t>$68.00</t>
        </is>
      </c>
      <c r="G1238" s="4" t="inlineStr">
        <is>
          <t>$34.00</t>
        </is>
      </c>
      <c r="H1238" s="4" t="inlineStr">
        <is>
          <t>White</t>
        </is>
      </c>
      <c r="I1238" s="4">
        <f>IMAGE("https://images.lululemon.com/is/image/lululemon/0002",1)</f>
        <v/>
      </c>
      <c r="J1238" s="4" t="inlineStr">
        <is>
          <t>0</t>
        </is>
      </c>
      <c r="K1238" s="4" t="inlineStr">
        <is>
          <t>82/7003</t>
        </is>
      </c>
      <c r="L1238" s="4" t="inlineStr">
        <is>
          <t>Yes</t>
        </is>
      </c>
      <c r="M1238" s="4" t="inlineStr">
        <is>
          <t>When feeling nothing is everything. The lululemon Align™ collection is so weightless and buttery soft, all you feel is your practice.</t>
        </is>
      </c>
      <c r="N1238" s="4" t="inlineStr">
        <is>
          <t>Align-Tank</t>
        </is>
      </c>
      <c r="O1238" s="4" t="inlineStr"/>
    </row>
    <row r="1239" ht="80" customHeight="1">
      <c r="A1239" s="7">
        <f>IMAGE("https://images.lululemon.com/is/image/lululemon/LW1DUDS_0002_1?wid=320&amp;op_usm=0.8",1)</f>
        <v/>
      </c>
      <c r="B1239" s="7" t="inlineStr">
        <is>
          <t>lululemon Align™ Tank Top *Light Support, A/B Cup</t>
        </is>
      </c>
      <c r="C1239" s="7" t="inlineStr">
        <is>
          <t>143501196</t>
        </is>
      </c>
      <c r="D1239" s="7" t="inlineStr">
        <is>
          <t>143501196-white</t>
        </is>
      </c>
      <c r="E1239" s="7" t="inlineStr">
        <is>
          <t>lululemon Align™ Tank WHT 0</t>
        </is>
      </c>
      <c r="F1239" s="7" t="inlineStr">
        <is>
          <t>$68.00</t>
        </is>
      </c>
      <c r="G1239" s="7" t="inlineStr">
        <is>
          <t>$34.00</t>
        </is>
      </c>
      <c r="H1239" s="7" t="inlineStr">
        <is>
          <t>White</t>
        </is>
      </c>
      <c r="I1239" s="7">
        <f>IMAGE("https://images.lululemon.com/is/image/lululemon/0002",1)</f>
        <v/>
      </c>
      <c r="J1239" s="7" t="inlineStr">
        <is>
          <t>2</t>
        </is>
      </c>
      <c r="K1239" s="7" t="inlineStr">
        <is>
          <t>444/7003</t>
        </is>
      </c>
      <c r="L1239" s="7" t="inlineStr">
        <is>
          <t>Yes</t>
        </is>
      </c>
      <c r="M1239" s="7" t="inlineStr">
        <is>
          <t>When feeling nothing is everything. The lululemon Align™ collection is so weightless and buttery soft, all you feel is your practice.</t>
        </is>
      </c>
      <c r="N1239" s="7" t="inlineStr">
        <is>
          <t>Align-Tank</t>
        </is>
      </c>
      <c r="O1239" s="7" t="inlineStr"/>
    </row>
    <row r="1240" ht="80" customHeight="1">
      <c r="A1240" s="4">
        <f>IMAGE("https://images.lululemon.com/is/image/lululemon/LW1DUDS_0002_1?wid=320&amp;op_usm=0.8",1)</f>
        <v/>
      </c>
      <c r="B1240" s="4" t="inlineStr">
        <is>
          <t>lululemon Align™ Tank Top *Light Support, A/B Cup</t>
        </is>
      </c>
      <c r="C1240" s="4" t="inlineStr">
        <is>
          <t>143501203</t>
        </is>
      </c>
      <c r="D1240" s="4" t="inlineStr">
        <is>
          <t>143501203-white</t>
        </is>
      </c>
      <c r="E1240" s="4" t="inlineStr">
        <is>
          <t>lululemon Align™ Tank WHT 0</t>
        </is>
      </c>
      <c r="F1240" s="4" t="inlineStr">
        <is>
          <t>$68.00</t>
        </is>
      </c>
      <c r="G1240" s="4" t="inlineStr">
        <is>
          <t>$34.00</t>
        </is>
      </c>
      <c r="H1240" s="4" t="inlineStr">
        <is>
          <t>White</t>
        </is>
      </c>
      <c r="I1240" s="4">
        <f>IMAGE("https://images.lululemon.com/is/image/lululemon/0002",1)</f>
        <v/>
      </c>
      <c r="J1240" s="4" t="inlineStr">
        <is>
          <t>4</t>
        </is>
      </c>
      <c r="K1240" s="4" t="inlineStr">
        <is>
          <t>42/7003</t>
        </is>
      </c>
      <c r="L1240" s="4" t="inlineStr">
        <is>
          <t>Yes</t>
        </is>
      </c>
      <c r="M1240" s="4" t="inlineStr">
        <is>
          <t>When feeling nothing is everything. The lululemon Align™ collection is so weightless and buttery soft, all you feel is your practice.</t>
        </is>
      </c>
      <c r="N1240" s="4" t="inlineStr">
        <is>
          <t>Align-Tank</t>
        </is>
      </c>
      <c r="O1240" s="4" t="inlineStr"/>
    </row>
    <row r="1241" ht="80" customHeight="1">
      <c r="A1241" s="7">
        <f>IMAGE("https://images.lululemon.com/is/image/lululemon/LW1DUDS_0002_1?wid=320&amp;op_usm=0.8",1)</f>
        <v/>
      </c>
      <c r="B1241" s="7" t="inlineStr">
        <is>
          <t>lululemon Align™ Tank Top *Light Support, A/B Cup</t>
        </is>
      </c>
      <c r="C1241" s="7" t="inlineStr">
        <is>
          <t>143501206</t>
        </is>
      </c>
      <c r="D1241" s="7" t="inlineStr">
        <is>
          <t>143501206-white</t>
        </is>
      </c>
      <c r="E1241" s="7" t="inlineStr">
        <is>
          <t>lululemon Align™ Tank WHT 0</t>
        </is>
      </c>
      <c r="F1241" s="7" t="inlineStr">
        <is>
          <t>$68.00</t>
        </is>
      </c>
      <c r="G1241" s="7" t="inlineStr">
        <is>
          <t>$34.00</t>
        </is>
      </c>
      <c r="H1241" s="7" t="inlineStr">
        <is>
          <t>White</t>
        </is>
      </c>
      <c r="I1241" s="7">
        <f>IMAGE("https://images.lululemon.com/is/image/lululemon/0002",1)</f>
        <v/>
      </c>
      <c r="J1241" s="7" t="inlineStr">
        <is>
          <t>8</t>
        </is>
      </c>
      <c r="K1241" s="7" t="inlineStr">
        <is>
          <t>10/7003</t>
        </is>
      </c>
      <c r="L1241" s="7" t="inlineStr">
        <is>
          <t>Yes</t>
        </is>
      </c>
      <c r="M1241" s="7" t="inlineStr">
        <is>
          <t>When feeling nothing is everything. The lululemon Align™ collection is so weightless and buttery soft, all you feel is your practice.</t>
        </is>
      </c>
      <c r="N1241" s="7" t="inlineStr">
        <is>
          <t>Align-Tank</t>
        </is>
      </c>
      <c r="O1241" s="7" t="inlineStr"/>
    </row>
    <row r="1242" ht="80" customHeight="1">
      <c r="A1242" s="4">
        <f>IMAGE("https://images.lululemon.com/is/image/lululemon/LW1DUDS_0002_1?wid=320&amp;op_usm=0.8",1)</f>
        <v/>
      </c>
      <c r="B1242" s="4" t="inlineStr">
        <is>
          <t>lululemon Align™ Tank Top *Light Support, A/B Cup</t>
        </is>
      </c>
      <c r="C1242" s="4" t="inlineStr">
        <is>
          <t>143501190</t>
        </is>
      </c>
      <c r="D1242" s="4" t="inlineStr">
        <is>
          <t>143501190-white</t>
        </is>
      </c>
      <c r="E1242" s="4" t="inlineStr">
        <is>
          <t>lululemon Align™ Tank WHT 0</t>
        </is>
      </c>
      <c r="F1242" s="4" t="inlineStr">
        <is>
          <t>$68.00</t>
        </is>
      </c>
      <c r="G1242" s="4" t="inlineStr">
        <is>
          <t>$34.00</t>
        </is>
      </c>
      <c r="H1242" s="4" t="inlineStr">
        <is>
          <t>White</t>
        </is>
      </c>
      <c r="I1242" s="4">
        <f>IMAGE("https://images.lululemon.com/is/image/lululemon/0002",1)</f>
        <v/>
      </c>
      <c r="J1242" s="4" t="inlineStr">
        <is>
          <t>12</t>
        </is>
      </c>
      <c r="K1242" s="4" t="inlineStr">
        <is>
          <t>1/7003</t>
        </is>
      </c>
      <c r="L1242" s="4" t="inlineStr">
        <is>
          <t>Yes</t>
        </is>
      </c>
      <c r="M1242" s="4" t="inlineStr">
        <is>
          <t>When feeling nothing is everything. The lululemon Align™ collection is so weightless and buttery soft, all you feel is your practice.</t>
        </is>
      </c>
      <c r="N1242" s="4" t="inlineStr">
        <is>
          <t>Align-Tank</t>
        </is>
      </c>
      <c r="O1242" s="4" t="inlineStr"/>
    </row>
    <row r="1243" ht="80" customHeight="1">
      <c r="A1243" s="7">
        <f>IMAGE("https://images.lululemon.com/is/image/lululemon/LW1DUDS_0002_1?wid=320&amp;op_usm=0.8",1)</f>
        <v/>
      </c>
      <c r="B1243" s="7" t="inlineStr">
        <is>
          <t>lululemon Align™ Tank Top *Light Support, A/B Cup</t>
        </is>
      </c>
      <c r="C1243" s="7" t="inlineStr">
        <is>
          <t>143501192</t>
        </is>
      </c>
      <c r="D1243" s="7" t="inlineStr">
        <is>
          <t>143501192-white</t>
        </is>
      </c>
      <c r="E1243" s="7" t="inlineStr">
        <is>
          <t>lululemon Align™ Tank WHT 0</t>
        </is>
      </c>
      <c r="F1243" s="7" t="inlineStr">
        <is>
          <t>$68.00</t>
        </is>
      </c>
      <c r="G1243" s="7" t="inlineStr">
        <is>
          <t>$34.00</t>
        </is>
      </c>
      <c r="H1243" s="7" t="inlineStr">
        <is>
          <t>White</t>
        </is>
      </c>
      <c r="I1243" s="7">
        <f>IMAGE("https://images.lululemon.com/is/image/lululemon/0002",1)</f>
        <v/>
      </c>
      <c r="J1243" s="7" t="inlineStr">
        <is>
          <t>14</t>
        </is>
      </c>
      <c r="K1243" s="7" t="inlineStr">
        <is>
          <t>143/7003</t>
        </is>
      </c>
      <c r="L1243" s="7" t="inlineStr">
        <is>
          <t>Yes</t>
        </is>
      </c>
      <c r="M1243" s="7" t="inlineStr">
        <is>
          <t>When feeling nothing is everything. The lululemon Align™ collection is so weightless and buttery soft, all you feel is your practice.</t>
        </is>
      </c>
      <c r="N1243" s="7" t="inlineStr">
        <is>
          <t>Align-Tank</t>
        </is>
      </c>
      <c r="O1243" s="7" t="inlineStr"/>
    </row>
    <row r="1244" ht="80" customHeight="1">
      <c r="A1244" s="4">
        <f>IMAGE("https://images.lululemon.com/is/image/lululemon/LW1DUDS_0002_1?wid=320&amp;op_usm=0.8",1)</f>
        <v/>
      </c>
      <c r="B1244" s="4" t="inlineStr">
        <is>
          <t>lululemon Align™ Tank Top *Light Support, A/B Cup</t>
        </is>
      </c>
      <c r="C1244" s="4" t="inlineStr">
        <is>
          <t>143501193</t>
        </is>
      </c>
      <c r="D1244" s="4" t="inlineStr">
        <is>
          <t>143501193-white</t>
        </is>
      </c>
      <c r="E1244" s="4" t="inlineStr">
        <is>
          <t>lululemon Align™ Tank WHT 0</t>
        </is>
      </c>
      <c r="F1244" s="4" t="inlineStr">
        <is>
          <t>$68.00</t>
        </is>
      </c>
      <c r="G1244" s="4" t="inlineStr">
        <is>
          <t>$34.00</t>
        </is>
      </c>
      <c r="H1244" s="4" t="inlineStr">
        <is>
          <t>White</t>
        </is>
      </c>
      <c r="I1244" s="4">
        <f>IMAGE("https://images.lululemon.com/is/image/lululemon/0002",1)</f>
        <v/>
      </c>
      <c r="J1244" s="4" t="inlineStr">
        <is>
          <t>16</t>
        </is>
      </c>
      <c r="K1244" s="4" t="inlineStr">
        <is>
          <t>5/7003</t>
        </is>
      </c>
      <c r="L1244" s="4" t="inlineStr">
        <is>
          <t>Yes</t>
        </is>
      </c>
      <c r="M1244" s="4" t="inlineStr">
        <is>
          <t>When feeling nothing is everything. The lululemon Align™ collection is so weightless and buttery soft, all you feel is your practice.</t>
        </is>
      </c>
      <c r="N1244" s="4" t="inlineStr">
        <is>
          <t>Align-Tank</t>
        </is>
      </c>
      <c r="O1244" s="4" t="inlineStr"/>
    </row>
    <row r="1245" ht="80" customHeight="1">
      <c r="A1245" s="7">
        <f>IMAGE("https://images.lululemon.com/is/image/lululemon/LW1DUDS_0002_1?wid=320&amp;op_usm=0.8",1)</f>
        <v/>
      </c>
      <c r="B1245" s="7" t="inlineStr">
        <is>
          <t>lululemon Align™ Tank Top *Light Support, A/B Cup</t>
        </is>
      </c>
      <c r="C1245" s="7" t="inlineStr">
        <is>
          <t>143501194</t>
        </is>
      </c>
      <c r="D1245" s="7" t="inlineStr">
        <is>
          <t>143501194-white</t>
        </is>
      </c>
      <c r="E1245" s="7" t="inlineStr">
        <is>
          <t>lululemon Align™ Tank WHT 0</t>
        </is>
      </c>
      <c r="F1245" s="7" t="inlineStr">
        <is>
          <t>$68.00</t>
        </is>
      </c>
      <c r="G1245" s="7" t="inlineStr">
        <is>
          <t>$34.00</t>
        </is>
      </c>
      <c r="H1245" s="7" t="inlineStr">
        <is>
          <t>White</t>
        </is>
      </c>
      <c r="I1245" s="7">
        <f>IMAGE("https://images.lululemon.com/is/image/lululemon/0002",1)</f>
        <v/>
      </c>
      <c r="J1245" s="7" t="inlineStr">
        <is>
          <t>18</t>
        </is>
      </c>
      <c r="K1245" s="7" t="inlineStr">
        <is>
          <t>5/7003</t>
        </is>
      </c>
      <c r="L1245" s="7" t="inlineStr">
        <is>
          <t>Yes</t>
        </is>
      </c>
      <c r="M1245" s="7" t="inlineStr">
        <is>
          <t>When feeling nothing is everything. The lululemon Align™ collection is so weightless and buttery soft, all you feel is your practice.</t>
        </is>
      </c>
      <c r="N1245" s="7" t="inlineStr">
        <is>
          <t>Align-Tank</t>
        </is>
      </c>
      <c r="O1245" s="7" t="inlineStr"/>
    </row>
    <row r="1246" ht="80" customHeight="1">
      <c r="A1246" s="4">
        <f>IMAGE("https://images.lululemon.com/is/image/lululemon/LW1DUDS_0002_1?wid=320&amp;op_usm=0.8",1)</f>
        <v/>
      </c>
      <c r="B1246" s="4" t="inlineStr">
        <is>
          <t>lululemon Align™ Tank Top *Light Support, A/B Cup</t>
        </is>
      </c>
      <c r="C1246" s="4" t="inlineStr">
        <is>
          <t>143501197</t>
        </is>
      </c>
      <c r="D1246" s="4" t="inlineStr">
        <is>
          <t>143501197-white</t>
        </is>
      </c>
      <c r="E1246" s="4" t="inlineStr">
        <is>
          <t>lululemon Align™ Tank WHT 0</t>
        </is>
      </c>
      <c r="F1246" s="4" t="inlineStr">
        <is>
          <t>$68.00</t>
        </is>
      </c>
      <c r="G1246" s="4" t="inlineStr">
        <is>
          <t>$34.00</t>
        </is>
      </c>
      <c r="H1246" s="4" t="inlineStr">
        <is>
          <t>White</t>
        </is>
      </c>
      <c r="I1246" s="4">
        <f>IMAGE("https://images.lululemon.com/is/image/lululemon/0002",1)</f>
        <v/>
      </c>
      <c r="J1246" s="4" t="inlineStr">
        <is>
          <t>20</t>
        </is>
      </c>
      <c r="K1246" s="4" t="inlineStr">
        <is>
          <t>5/7003</t>
        </is>
      </c>
      <c r="L1246" s="4" t="inlineStr">
        <is>
          <t>Yes</t>
        </is>
      </c>
      <c r="M1246" s="4" t="inlineStr">
        <is>
          <t>When feeling nothing is everything. The lululemon Align™ collection is so weightless and buttery soft, all you feel is your practice.</t>
        </is>
      </c>
      <c r="N1246" s="4" t="inlineStr">
        <is>
          <t>Align-Tank</t>
        </is>
      </c>
      <c r="O1246" s="4" t="inlineStr"/>
    </row>
    <row r="1247" ht="80" customHeight="1">
      <c r="A1247" s="7">
        <f>IMAGE("https://images.lululemon.com/is/image/lululemon/LW1DUDS_0002_1?wid=320&amp;op_usm=0.8",1)</f>
        <v/>
      </c>
      <c r="B1247" s="7" t="inlineStr">
        <is>
          <t>lululemon Align™ Tank Top *Light Support, A/B Cup</t>
        </is>
      </c>
      <c r="C1247" s="7" t="inlineStr">
        <is>
          <t>145333888</t>
        </is>
      </c>
      <c r="D1247" s="7" t="inlineStr">
        <is>
          <t>145333888-black</t>
        </is>
      </c>
      <c r="E1247" s="7" t="inlineStr">
        <is>
          <t>lululemon Align™ Tank WHT 0</t>
        </is>
      </c>
      <c r="F1247" s="7" t="inlineStr">
        <is>
          <t>$68.00</t>
        </is>
      </c>
      <c r="G1247" s="7" t="inlineStr">
        <is>
          <t>$34.00</t>
        </is>
      </c>
      <c r="H1247" s="7" t="inlineStr">
        <is>
          <t>Black</t>
        </is>
      </c>
      <c r="I1247" s="7">
        <f>IMAGE("https://images.lululemon.com/is/image/lululemon/0001",1)</f>
        <v/>
      </c>
      <c r="J1247" s="7" t="inlineStr">
        <is>
          <t>0</t>
        </is>
      </c>
      <c r="K1247" s="7" t="inlineStr">
        <is>
          <t>240/7003</t>
        </is>
      </c>
      <c r="L1247" s="7" t="inlineStr">
        <is>
          <t>Yes</t>
        </is>
      </c>
      <c r="M1247" s="7" t="inlineStr">
        <is>
          <t>When feeling nothing is everything. The lululemon Align™ collection is so weightless and buttery soft, all you feel is your practice.</t>
        </is>
      </c>
      <c r="N1247" s="7" t="inlineStr">
        <is>
          <t>Align-Tank</t>
        </is>
      </c>
      <c r="O1247" s="7" t="inlineStr"/>
    </row>
    <row r="1248" ht="80" customHeight="1">
      <c r="A1248" s="4">
        <f>IMAGE("https://images.lululemon.com/is/image/lululemon/LW1DUDS_0002_1?wid=320&amp;op_usm=0.8",1)</f>
        <v/>
      </c>
      <c r="B1248" s="4" t="inlineStr">
        <is>
          <t>lululemon Align™ Tank Top *Light Support, A/B Cup</t>
        </is>
      </c>
      <c r="C1248" s="4" t="inlineStr">
        <is>
          <t>145333927</t>
        </is>
      </c>
      <c r="D1248" s="4" t="inlineStr">
        <is>
          <t>145333927-black</t>
        </is>
      </c>
      <c r="E1248" s="4" t="inlineStr">
        <is>
          <t>lululemon Align™ Tank WHT 0</t>
        </is>
      </c>
      <c r="F1248" s="4" t="inlineStr">
        <is>
          <t>$68.00</t>
        </is>
      </c>
      <c r="G1248" s="4" t="inlineStr">
        <is>
          <t>$34.00</t>
        </is>
      </c>
      <c r="H1248" s="4" t="inlineStr">
        <is>
          <t>Black</t>
        </is>
      </c>
      <c r="I1248" s="4">
        <f>IMAGE("https://images.lululemon.com/is/image/lululemon/0001",1)</f>
        <v/>
      </c>
      <c r="J1248" s="4" t="inlineStr">
        <is>
          <t>2</t>
        </is>
      </c>
      <c r="K1248" s="4" t="inlineStr">
        <is>
          <t>349/7003</t>
        </is>
      </c>
      <c r="L1248" s="4" t="inlineStr">
        <is>
          <t>Yes</t>
        </is>
      </c>
      <c r="M1248" s="4" t="inlineStr">
        <is>
          <t>When feeling nothing is everything. The lululemon Align™ collection is so weightless and buttery soft, all you feel is your practice.</t>
        </is>
      </c>
      <c r="N1248" s="4" t="inlineStr">
        <is>
          <t>Align-Tank</t>
        </is>
      </c>
      <c r="O1248" s="4" t="inlineStr"/>
    </row>
    <row r="1249" ht="80" customHeight="1">
      <c r="A1249" s="7">
        <f>IMAGE("https://images.lululemon.com/is/image/lululemon/LW1DUDS_0002_1?wid=320&amp;op_usm=0.8",1)</f>
        <v/>
      </c>
      <c r="B1249" s="7" t="inlineStr">
        <is>
          <t>lululemon Align™ Tank Top *Light Support, A/B Cup</t>
        </is>
      </c>
      <c r="C1249" s="7" t="inlineStr">
        <is>
          <t>145333958</t>
        </is>
      </c>
      <c r="D1249" s="7" t="inlineStr">
        <is>
          <t>145333958-black</t>
        </is>
      </c>
      <c r="E1249" s="7" t="inlineStr">
        <is>
          <t>lululemon Align™ Tank WHT 0</t>
        </is>
      </c>
      <c r="F1249" s="7" t="inlineStr">
        <is>
          <t>$68.00</t>
        </is>
      </c>
      <c r="G1249" s="7" t="inlineStr">
        <is>
          <t>$34.00</t>
        </is>
      </c>
      <c r="H1249" s="7" t="inlineStr">
        <is>
          <t>Black</t>
        </is>
      </c>
      <c r="I1249" s="7">
        <f>IMAGE("https://images.lululemon.com/is/image/lululemon/0001",1)</f>
        <v/>
      </c>
      <c r="J1249" s="7" t="inlineStr">
        <is>
          <t>4</t>
        </is>
      </c>
      <c r="K1249" s="7" t="inlineStr">
        <is>
          <t>1158/7003</t>
        </is>
      </c>
      <c r="L1249" s="7" t="inlineStr">
        <is>
          <t>Yes</t>
        </is>
      </c>
      <c r="M1249" s="7" t="inlineStr">
        <is>
          <t>When feeling nothing is everything. The lululemon Align™ collection is so weightless and buttery soft, all you feel is your practice.</t>
        </is>
      </c>
      <c r="N1249" s="7" t="inlineStr">
        <is>
          <t>Align-Tank</t>
        </is>
      </c>
      <c r="O1249" s="7" t="inlineStr"/>
    </row>
    <row r="1250" ht="80" customHeight="1">
      <c r="A1250" s="4">
        <f>IMAGE("https://images.lululemon.com/is/image/lululemon/LW1DUDS_0002_1?wid=320&amp;op_usm=0.8",1)</f>
        <v/>
      </c>
      <c r="B1250" s="4" t="inlineStr">
        <is>
          <t>lululemon Align™ Tank Top *Light Support, A/B Cup</t>
        </is>
      </c>
      <c r="C1250" s="4" t="inlineStr">
        <is>
          <t>145333963</t>
        </is>
      </c>
      <c r="D1250" s="4" t="inlineStr">
        <is>
          <t>145333963-black</t>
        </is>
      </c>
      <c r="E1250" s="4" t="inlineStr">
        <is>
          <t>lululemon Align™ Tank WHT 0</t>
        </is>
      </c>
      <c r="F1250" s="4" t="inlineStr">
        <is>
          <t>$68.00</t>
        </is>
      </c>
      <c r="G1250" s="4" t="inlineStr">
        <is>
          <t>$34.00</t>
        </is>
      </c>
      <c r="H1250" s="4" t="inlineStr">
        <is>
          <t>Black</t>
        </is>
      </c>
      <c r="I1250" s="4">
        <f>IMAGE("https://images.lululemon.com/is/image/lululemon/0001",1)</f>
        <v/>
      </c>
      <c r="J1250" s="4" t="inlineStr">
        <is>
          <t>6</t>
        </is>
      </c>
      <c r="K1250" s="4" t="inlineStr">
        <is>
          <t>1621/7003</t>
        </is>
      </c>
      <c r="L1250" s="4" t="inlineStr">
        <is>
          <t>Yes</t>
        </is>
      </c>
      <c r="M1250" s="4" t="inlineStr">
        <is>
          <t>When feeling nothing is everything. The lululemon Align™ collection is so weightless and buttery soft, all you feel is your practice.</t>
        </is>
      </c>
      <c r="N1250" s="4" t="inlineStr">
        <is>
          <t>Align-Tank</t>
        </is>
      </c>
      <c r="O1250" s="4" t="inlineStr"/>
    </row>
    <row r="1251" ht="80" customHeight="1">
      <c r="A1251" s="7">
        <f>IMAGE("https://images.lululemon.com/is/image/lululemon/LW1DUDS_0002_1?wid=320&amp;op_usm=0.8",1)</f>
        <v/>
      </c>
      <c r="B1251" s="7" t="inlineStr">
        <is>
          <t>lululemon Align™ Tank Top *Light Support, A/B Cup</t>
        </is>
      </c>
      <c r="C1251" s="7" t="inlineStr">
        <is>
          <t>145333969</t>
        </is>
      </c>
      <c r="D1251" s="7" t="inlineStr">
        <is>
          <t>145333969-black</t>
        </is>
      </c>
      <c r="E1251" s="7" t="inlineStr">
        <is>
          <t>lululemon Align™ Tank WHT 0</t>
        </is>
      </c>
      <c r="F1251" s="7" t="inlineStr">
        <is>
          <t>$68.00</t>
        </is>
      </c>
      <c r="G1251" s="7" t="inlineStr">
        <is>
          <t>$34.00</t>
        </is>
      </c>
      <c r="H1251" s="7" t="inlineStr">
        <is>
          <t>Black</t>
        </is>
      </c>
      <c r="I1251" s="7">
        <f>IMAGE("https://images.lululemon.com/is/image/lululemon/0001",1)</f>
        <v/>
      </c>
      <c r="J1251" s="7" t="inlineStr">
        <is>
          <t>8</t>
        </is>
      </c>
      <c r="K1251" s="7" t="inlineStr">
        <is>
          <t>1047/7003</t>
        </is>
      </c>
      <c r="L1251" s="7" t="inlineStr">
        <is>
          <t>Yes</t>
        </is>
      </c>
      <c r="M1251" s="7" t="inlineStr">
        <is>
          <t>When feeling nothing is everything. The lululemon Align™ collection is so weightless and buttery soft, all you feel is your practice.</t>
        </is>
      </c>
      <c r="N1251" s="7" t="inlineStr">
        <is>
          <t>Align-Tank</t>
        </is>
      </c>
      <c r="O1251" s="7" t="inlineStr"/>
    </row>
    <row r="1252" ht="80" customHeight="1">
      <c r="A1252" s="4">
        <f>IMAGE("https://images.lululemon.com/is/image/lululemon/LW1DUDS_0002_1?wid=320&amp;op_usm=0.8",1)</f>
        <v/>
      </c>
      <c r="B1252" s="4" t="inlineStr">
        <is>
          <t>lululemon Align™ Tank Top *Light Support, A/B Cup</t>
        </is>
      </c>
      <c r="C1252" s="4" t="inlineStr">
        <is>
          <t>145333895</t>
        </is>
      </c>
      <c r="D1252" s="4" t="inlineStr">
        <is>
          <t>145333895-black</t>
        </is>
      </c>
      <c r="E1252" s="4" t="inlineStr">
        <is>
          <t>lululemon Align™ Tank WHT 0</t>
        </is>
      </c>
      <c r="F1252" s="4" t="inlineStr">
        <is>
          <t>$68.00</t>
        </is>
      </c>
      <c r="G1252" s="4" t="inlineStr">
        <is>
          <t>$34.00</t>
        </is>
      </c>
      <c r="H1252" s="4" t="inlineStr">
        <is>
          <t>Black</t>
        </is>
      </c>
      <c r="I1252" s="4">
        <f>IMAGE("https://images.lululemon.com/is/image/lululemon/0001",1)</f>
        <v/>
      </c>
      <c r="J1252" s="4" t="inlineStr">
        <is>
          <t>10</t>
        </is>
      </c>
      <c r="K1252" s="4" t="inlineStr">
        <is>
          <t>261/7003</t>
        </is>
      </c>
      <c r="L1252" s="4" t="inlineStr">
        <is>
          <t>Yes</t>
        </is>
      </c>
      <c r="M1252" s="4" t="inlineStr">
        <is>
          <t>When feeling nothing is everything. The lululemon Align™ collection is so weightless and buttery soft, all you feel is your practice.</t>
        </is>
      </c>
      <c r="N1252" s="4" t="inlineStr">
        <is>
          <t>Align-Tank</t>
        </is>
      </c>
      <c r="O1252" s="4" t="inlineStr"/>
    </row>
    <row r="1253" ht="80" customHeight="1">
      <c r="A1253" s="7">
        <f>IMAGE("https://images.lululemon.com/is/image/lululemon/LW1DUDS_0002_1?wid=320&amp;op_usm=0.8",1)</f>
        <v/>
      </c>
      <c r="B1253" s="7" t="inlineStr">
        <is>
          <t>lululemon Align™ Tank Top *Light Support, A/B Cup</t>
        </is>
      </c>
      <c r="C1253" s="7" t="inlineStr">
        <is>
          <t>145333900</t>
        </is>
      </c>
      <c r="D1253" s="7" t="inlineStr">
        <is>
          <t>145333900-black</t>
        </is>
      </c>
      <c r="E1253" s="7" t="inlineStr">
        <is>
          <t>lululemon Align™ Tank WHT 0</t>
        </is>
      </c>
      <c r="F1253" s="7" t="inlineStr">
        <is>
          <t>$68.00</t>
        </is>
      </c>
      <c r="G1253" s="7" t="inlineStr">
        <is>
          <t>$34.00</t>
        </is>
      </c>
      <c r="H1253" s="7" t="inlineStr">
        <is>
          <t>Black</t>
        </is>
      </c>
      <c r="I1253" s="7">
        <f>IMAGE("https://images.lululemon.com/is/image/lululemon/0001",1)</f>
        <v/>
      </c>
      <c r="J1253" s="7" t="inlineStr">
        <is>
          <t>12</t>
        </is>
      </c>
      <c r="K1253" s="7" t="inlineStr">
        <is>
          <t>142/7003</t>
        </is>
      </c>
      <c r="L1253" s="7" t="inlineStr">
        <is>
          <t>Yes</t>
        </is>
      </c>
      <c r="M1253" s="7" t="inlineStr">
        <is>
          <t>When feeling nothing is everything. The lululemon Align™ collection is so weightless and buttery soft, all you feel is your practice.</t>
        </is>
      </c>
      <c r="N1253" s="7" t="inlineStr">
        <is>
          <t>Align-Tank</t>
        </is>
      </c>
      <c r="O1253" s="7" t="inlineStr"/>
    </row>
    <row r="1254" ht="80" customHeight="1">
      <c r="A1254" s="4">
        <f>IMAGE("https://images.lululemon.com/is/image/lululemon/LW1DUDS_0002_1?wid=320&amp;op_usm=0.8",1)</f>
        <v/>
      </c>
      <c r="B1254" s="4" t="inlineStr">
        <is>
          <t>lululemon Align™ Tank Top *Light Support, A/B Cup</t>
        </is>
      </c>
      <c r="C1254" s="4" t="inlineStr">
        <is>
          <t>145333906</t>
        </is>
      </c>
      <c r="D1254" s="4" t="inlineStr">
        <is>
          <t>145333906-black</t>
        </is>
      </c>
      <c r="E1254" s="4" t="inlineStr">
        <is>
          <t>lululemon Align™ Tank WHT 0</t>
        </is>
      </c>
      <c r="F1254" s="4" t="inlineStr">
        <is>
          <t>$68.00</t>
        </is>
      </c>
      <c r="G1254" s="4" t="inlineStr">
        <is>
          <t>$34.00</t>
        </is>
      </c>
      <c r="H1254" s="4" t="inlineStr">
        <is>
          <t>Black</t>
        </is>
      </c>
      <c r="I1254" s="4">
        <f>IMAGE("https://images.lululemon.com/is/image/lululemon/0001",1)</f>
        <v/>
      </c>
      <c r="J1254" s="4" t="inlineStr">
        <is>
          <t>14</t>
        </is>
      </c>
      <c r="K1254" s="4" t="inlineStr">
        <is>
          <t>62/7003</t>
        </is>
      </c>
      <c r="L1254" s="4" t="inlineStr">
        <is>
          <t>Yes</t>
        </is>
      </c>
      <c r="M1254" s="4" t="inlineStr">
        <is>
          <t>When feeling nothing is everything. The lululemon Align™ collection is so weightless and buttery soft, all you feel is your practice.</t>
        </is>
      </c>
      <c r="N1254" s="4" t="inlineStr">
        <is>
          <t>Align-Tank</t>
        </is>
      </c>
      <c r="O1254" s="4" t="inlineStr"/>
    </row>
    <row r="1255" ht="80" customHeight="1">
      <c r="A1255" s="7">
        <f>IMAGE("https://images.lululemon.com/is/image/lululemon/LW1DUDS_0002_1?wid=320&amp;op_usm=0.8",1)</f>
        <v/>
      </c>
      <c r="B1255" s="7" t="inlineStr">
        <is>
          <t>lululemon Align™ Tank Top *Light Support, A/B Cup</t>
        </is>
      </c>
      <c r="C1255" s="7" t="inlineStr">
        <is>
          <t>145333913</t>
        </is>
      </c>
      <c r="D1255" s="7" t="inlineStr">
        <is>
          <t>145333913-black</t>
        </is>
      </c>
      <c r="E1255" s="7" t="inlineStr">
        <is>
          <t>lululemon Align™ Tank WHT 0</t>
        </is>
      </c>
      <c r="F1255" s="7" t="inlineStr">
        <is>
          <t>$68.00</t>
        </is>
      </c>
      <c r="G1255" s="7" t="inlineStr">
        <is>
          <t>$34.00</t>
        </is>
      </c>
      <c r="H1255" s="7" t="inlineStr">
        <is>
          <t>Black</t>
        </is>
      </c>
      <c r="I1255" s="7">
        <f>IMAGE("https://images.lululemon.com/is/image/lululemon/0001",1)</f>
        <v/>
      </c>
      <c r="J1255" s="7" t="inlineStr">
        <is>
          <t>16</t>
        </is>
      </c>
      <c r="K1255" s="7" t="inlineStr">
        <is>
          <t>113/7003</t>
        </is>
      </c>
      <c r="L1255" s="7" t="inlineStr">
        <is>
          <t>Yes</t>
        </is>
      </c>
      <c r="M1255" s="7" t="inlineStr">
        <is>
          <t>When feeling nothing is everything. The lululemon Align™ collection is so weightless and buttery soft, all you feel is your practice.</t>
        </is>
      </c>
      <c r="N1255" s="7" t="inlineStr">
        <is>
          <t>Align-Tank</t>
        </is>
      </c>
      <c r="O1255" s="7" t="inlineStr"/>
    </row>
    <row r="1256" ht="80" customHeight="1">
      <c r="A1256" s="4">
        <f>IMAGE("https://images.lululemon.com/is/image/lululemon/LW1DUDS_0002_1?wid=320&amp;op_usm=0.8",1)</f>
        <v/>
      </c>
      <c r="B1256" s="4" t="inlineStr">
        <is>
          <t>lululemon Align™ Tank Top *Light Support, A/B Cup</t>
        </is>
      </c>
      <c r="C1256" s="4" t="inlineStr">
        <is>
          <t>145333920</t>
        </is>
      </c>
      <c r="D1256" s="4" t="inlineStr">
        <is>
          <t>145333920-black</t>
        </is>
      </c>
      <c r="E1256" s="4" t="inlineStr">
        <is>
          <t>lululemon Align™ Tank WHT 0</t>
        </is>
      </c>
      <c r="F1256" s="4" t="inlineStr">
        <is>
          <t>$68.00</t>
        </is>
      </c>
      <c r="G1256" s="4" t="inlineStr">
        <is>
          <t>$34.00</t>
        </is>
      </c>
      <c r="H1256" s="4" t="inlineStr">
        <is>
          <t>Black</t>
        </is>
      </c>
      <c r="I1256" s="4">
        <f>IMAGE("https://images.lululemon.com/is/image/lululemon/0001",1)</f>
        <v/>
      </c>
      <c r="J1256" s="4" t="inlineStr">
        <is>
          <t>18</t>
        </is>
      </c>
      <c r="K1256" s="4" t="inlineStr">
        <is>
          <t>113/7003</t>
        </is>
      </c>
      <c r="L1256" s="4" t="inlineStr">
        <is>
          <t>Yes</t>
        </is>
      </c>
      <c r="M1256" s="4" t="inlineStr">
        <is>
          <t>When feeling nothing is everything. The lululemon Align™ collection is so weightless and buttery soft, all you feel is your practice.</t>
        </is>
      </c>
      <c r="N1256" s="4" t="inlineStr">
        <is>
          <t>Align-Tank</t>
        </is>
      </c>
      <c r="O1256" s="4" t="inlineStr"/>
    </row>
    <row r="1257" ht="80" customHeight="1">
      <c r="A1257" s="7">
        <f>IMAGE("https://images.lululemon.com/is/image/lululemon/LW1DUDS_0002_1?wid=320&amp;op_usm=0.8",1)</f>
        <v/>
      </c>
      <c r="B1257" s="7" t="inlineStr">
        <is>
          <t>lululemon Align™ Tank Top *Light Support, A/B Cup</t>
        </is>
      </c>
      <c r="C1257" s="7" t="inlineStr">
        <is>
          <t>145333933</t>
        </is>
      </c>
      <c r="D1257" s="7" t="inlineStr">
        <is>
          <t>145333933-black</t>
        </is>
      </c>
      <c r="E1257" s="7" t="inlineStr">
        <is>
          <t>lululemon Align™ Tank WHT 0</t>
        </is>
      </c>
      <c r="F1257" s="7" t="inlineStr">
        <is>
          <t>$68.00</t>
        </is>
      </c>
      <c r="G1257" s="7" t="inlineStr">
        <is>
          <t>$34.00</t>
        </is>
      </c>
      <c r="H1257" s="7" t="inlineStr">
        <is>
          <t>Black</t>
        </is>
      </c>
      <c r="I1257" s="7">
        <f>IMAGE("https://images.lululemon.com/is/image/lululemon/0001",1)</f>
        <v/>
      </c>
      <c r="J1257" s="7" t="inlineStr">
        <is>
          <t>20</t>
        </is>
      </c>
      <c r="K1257" s="7" t="inlineStr">
        <is>
          <t>67/7003</t>
        </is>
      </c>
      <c r="L1257" s="7" t="inlineStr">
        <is>
          <t>Yes</t>
        </is>
      </c>
      <c r="M1257" s="7" t="inlineStr">
        <is>
          <t>When feeling nothing is everything. The lululemon Align™ collection is so weightless and buttery soft, all you feel is your practice.</t>
        </is>
      </c>
      <c r="N1257" s="7" t="inlineStr">
        <is>
          <t>Align-Tank</t>
        </is>
      </c>
      <c r="O1257" s="7" t="inlineStr"/>
    </row>
    <row r="1258" ht="80" customHeight="1">
      <c r="A1258" s="4">
        <f>IMAGE("https://images.lululemon.com/is/image/lululemon/LW1DUDS_0002_1?wid=320&amp;op_usm=0.8",1)</f>
        <v/>
      </c>
      <c r="B1258" s="4" t="inlineStr">
        <is>
          <t>lululemon Align™ Tank Top *Light Support, A/B Cup</t>
        </is>
      </c>
      <c r="C1258" s="4" t="inlineStr">
        <is>
          <t>157679537</t>
        </is>
      </c>
      <c r="D1258" s="4" t="inlineStr">
        <is>
          <t>157679537-palmdeco</t>
        </is>
      </c>
      <c r="E1258" s="4" t="inlineStr">
        <is>
          <t>lululemon Align™ Tank WHT 0</t>
        </is>
      </c>
      <c r="F1258" s="4" t="inlineStr">
        <is>
          <t>$68.00</t>
        </is>
      </c>
      <c r="G1258" s="4" t="inlineStr">
        <is>
          <t>$34.00</t>
        </is>
      </c>
      <c r="H1258" s="4" t="inlineStr">
        <is>
          <t>Palm Deco</t>
        </is>
      </c>
      <c r="I1258" s="4">
        <f>IMAGE("https://images.lululemon.com/is/image/lululemon/35487",1)</f>
        <v/>
      </c>
      <c r="J1258" s="4" t="inlineStr">
        <is>
          <t>0</t>
        </is>
      </c>
      <c r="K1258" s="4" t="inlineStr">
        <is>
          <t>5/7003</t>
        </is>
      </c>
      <c r="L1258" s="4" t="inlineStr">
        <is>
          <t>Yes</t>
        </is>
      </c>
      <c r="M1258" s="4" t="inlineStr">
        <is>
          <t>When feeling nothing is everything. The lululemon Align™ collection is so weightless and buttery soft, all you feel is your practice.</t>
        </is>
      </c>
      <c r="N1258" s="4" t="inlineStr">
        <is>
          <t>Align-Tank</t>
        </is>
      </c>
      <c r="O1258" s="4" t="inlineStr"/>
    </row>
    <row r="1259" ht="80" customHeight="1">
      <c r="A1259" s="7">
        <f>IMAGE("https://images.lululemon.com/is/image/lululemon/LW1DUDS_0002_1?wid=320&amp;op_usm=0.8",1)</f>
        <v/>
      </c>
      <c r="B1259" s="7" t="inlineStr">
        <is>
          <t>lululemon Align™ Tank Top *Light Support, A/B Cup</t>
        </is>
      </c>
      <c r="C1259" s="7" t="inlineStr">
        <is>
          <t>157679642</t>
        </is>
      </c>
      <c r="D1259" s="7" t="inlineStr">
        <is>
          <t>157679642-palmdeco</t>
        </is>
      </c>
      <c r="E1259" s="7" t="inlineStr">
        <is>
          <t>lululemon Align™ Tank WHT 0</t>
        </is>
      </c>
      <c r="F1259" s="7" t="inlineStr">
        <is>
          <t>$68.00</t>
        </is>
      </c>
      <c r="G1259" s="7" t="inlineStr">
        <is>
          <t>$34.00</t>
        </is>
      </c>
      <c r="H1259" s="7" t="inlineStr">
        <is>
          <t>Palm Deco</t>
        </is>
      </c>
      <c r="I1259" s="7">
        <f>IMAGE("https://images.lululemon.com/is/image/lululemon/35487",1)</f>
        <v/>
      </c>
      <c r="J1259" s="7" t="inlineStr">
        <is>
          <t>2</t>
        </is>
      </c>
      <c r="K1259" s="7" t="inlineStr">
        <is>
          <t>12/7003</t>
        </is>
      </c>
      <c r="L1259" s="7" t="inlineStr">
        <is>
          <t>Yes</t>
        </is>
      </c>
      <c r="M1259" s="7" t="inlineStr">
        <is>
          <t>When feeling nothing is everything. The lululemon Align™ collection is so weightless and buttery soft, all you feel is your practice.</t>
        </is>
      </c>
      <c r="N1259" s="7" t="inlineStr">
        <is>
          <t>Align-Tank</t>
        </is>
      </c>
      <c r="O1259" s="7" t="inlineStr"/>
    </row>
    <row r="1260" ht="80" customHeight="1">
      <c r="A1260" s="4">
        <f>IMAGE("https://images.lululemon.com/is/image/lululemon/LW1DUDS_0002_1?wid=320&amp;op_usm=0.8",1)</f>
        <v/>
      </c>
      <c r="B1260" s="4" t="inlineStr">
        <is>
          <t>lululemon Align™ Tank Top *Light Support, A/B Cup</t>
        </is>
      </c>
      <c r="C1260" s="4" t="inlineStr">
        <is>
          <t>157679674</t>
        </is>
      </c>
      <c r="D1260" s="4" t="inlineStr">
        <is>
          <t>157679674-palmdeco</t>
        </is>
      </c>
      <c r="E1260" s="4" t="inlineStr">
        <is>
          <t>lululemon Align™ Tank WHT 0</t>
        </is>
      </c>
      <c r="F1260" s="4" t="inlineStr">
        <is>
          <t>$68.00</t>
        </is>
      </c>
      <c r="G1260" s="4" t="inlineStr">
        <is>
          <t>$34.00</t>
        </is>
      </c>
      <c r="H1260" s="4" t="inlineStr">
        <is>
          <t>Palm Deco</t>
        </is>
      </c>
      <c r="I1260" s="4">
        <f>IMAGE("https://images.lululemon.com/is/image/lululemon/35487",1)</f>
        <v/>
      </c>
      <c r="J1260" s="4" t="inlineStr">
        <is>
          <t>4</t>
        </is>
      </c>
      <c r="K1260" s="4" t="inlineStr">
        <is>
          <t>63/7003</t>
        </is>
      </c>
      <c r="L1260" s="4" t="inlineStr">
        <is>
          <t>Yes</t>
        </is>
      </c>
      <c r="M1260" s="4" t="inlineStr">
        <is>
          <t>When feeling nothing is everything. The lululemon Align™ collection is so weightless and buttery soft, all you feel is your practice.</t>
        </is>
      </c>
      <c r="N1260" s="4" t="inlineStr">
        <is>
          <t>Align-Tank</t>
        </is>
      </c>
      <c r="O1260" s="4" t="inlineStr"/>
    </row>
    <row r="1261" ht="80" customHeight="1">
      <c r="A1261" s="7">
        <f>IMAGE("https://images.lululemon.com/is/image/lululemon/LW1DUDS_0002_1?wid=320&amp;op_usm=0.8",1)</f>
        <v/>
      </c>
      <c r="B1261" s="7" t="inlineStr">
        <is>
          <t>lululemon Align™ Tank Top *Light Support, A/B Cup</t>
        </is>
      </c>
      <c r="C1261" s="7" t="inlineStr">
        <is>
          <t>157679693</t>
        </is>
      </c>
      <c r="D1261" s="7" t="inlineStr">
        <is>
          <t>157679693-palmdeco</t>
        </is>
      </c>
      <c r="E1261" s="7" t="inlineStr">
        <is>
          <t>lululemon Align™ Tank WHT 0</t>
        </is>
      </c>
      <c r="F1261" s="7" t="inlineStr">
        <is>
          <t>$68.00</t>
        </is>
      </c>
      <c r="G1261" s="7" t="inlineStr">
        <is>
          <t>$34.00</t>
        </is>
      </c>
      <c r="H1261" s="7" t="inlineStr">
        <is>
          <t>Palm Deco</t>
        </is>
      </c>
      <c r="I1261" s="7">
        <f>IMAGE("https://images.lululemon.com/is/image/lululemon/35487",1)</f>
        <v/>
      </c>
      <c r="J1261" s="7" t="inlineStr">
        <is>
          <t>6</t>
        </is>
      </c>
      <c r="K1261" s="7" t="inlineStr">
        <is>
          <t>32/7003</t>
        </is>
      </c>
      <c r="L1261" s="7" t="inlineStr">
        <is>
          <t>Yes</t>
        </is>
      </c>
      <c r="M1261" s="7" t="inlineStr">
        <is>
          <t>When feeling nothing is everything. The lululemon Align™ collection is so weightless and buttery soft, all you feel is your practice.</t>
        </is>
      </c>
      <c r="N1261" s="7" t="inlineStr">
        <is>
          <t>Align-Tank</t>
        </is>
      </c>
      <c r="O1261" s="7" t="inlineStr"/>
    </row>
    <row r="1262" ht="80" customHeight="1">
      <c r="A1262" s="4">
        <f>IMAGE("https://images.lululemon.com/is/image/lululemon/LW1DUDS_0002_1?wid=320&amp;op_usm=0.8",1)</f>
        <v/>
      </c>
      <c r="B1262" s="4" t="inlineStr">
        <is>
          <t>lululemon Align™ Tank Top *Light Support, A/B Cup</t>
        </is>
      </c>
      <c r="C1262" s="4" t="inlineStr">
        <is>
          <t>157679706</t>
        </is>
      </c>
      <c r="D1262" s="4" t="inlineStr">
        <is>
          <t>157679706-palmdeco</t>
        </is>
      </c>
      <c r="E1262" s="4" t="inlineStr">
        <is>
          <t>lululemon Align™ Tank WHT 0</t>
        </is>
      </c>
      <c r="F1262" s="4" t="inlineStr">
        <is>
          <t>$68.00</t>
        </is>
      </c>
      <c r="G1262" s="4" t="inlineStr">
        <is>
          <t>$34.00</t>
        </is>
      </c>
      <c r="H1262" s="4" t="inlineStr">
        <is>
          <t>Palm Deco</t>
        </is>
      </c>
      <c r="I1262" s="4">
        <f>IMAGE("https://images.lululemon.com/is/image/lululemon/35487",1)</f>
        <v/>
      </c>
      <c r="J1262" s="4" t="inlineStr">
        <is>
          <t>8</t>
        </is>
      </c>
      <c r="K1262" s="4" t="inlineStr">
        <is>
          <t>14/7003</t>
        </is>
      </c>
      <c r="L1262" s="4" t="inlineStr">
        <is>
          <t>Yes</t>
        </is>
      </c>
      <c r="M1262" s="4" t="inlineStr">
        <is>
          <t>When feeling nothing is everything. The lululemon Align™ collection is so weightless and buttery soft, all you feel is your practice.</t>
        </is>
      </c>
      <c r="N1262" s="4" t="inlineStr">
        <is>
          <t>Align-Tank</t>
        </is>
      </c>
      <c r="O1262" s="4" t="inlineStr"/>
    </row>
    <row r="1263" ht="80" customHeight="1">
      <c r="A1263" s="7">
        <f>IMAGE("https://images.lululemon.com/is/image/lululemon/LW1DUDS_0002_1?wid=320&amp;op_usm=0.8",1)</f>
        <v/>
      </c>
      <c r="B1263" s="7" t="inlineStr">
        <is>
          <t>lululemon Align™ Tank Top *Light Support, A/B Cup</t>
        </is>
      </c>
      <c r="C1263" s="7" t="inlineStr">
        <is>
          <t>157679562</t>
        </is>
      </c>
      <c r="D1263" s="7" t="inlineStr">
        <is>
          <t>157679562-palmdeco</t>
        </is>
      </c>
      <c r="E1263" s="7" t="inlineStr">
        <is>
          <t>lululemon Align™ Tank WHT 0</t>
        </is>
      </c>
      <c r="F1263" s="7" t="inlineStr">
        <is>
          <t>$68.00</t>
        </is>
      </c>
      <c r="G1263" s="7" t="inlineStr">
        <is>
          <t>$34.00</t>
        </is>
      </c>
      <c r="H1263" s="7" t="inlineStr">
        <is>
          <t>Palm Deco</t>
        </is>
      </c>
      <c r="I1263" s="7">
        <f>IMAGE("https://images.lululemon.com/is/image/lululemon/35487",1)</f>
        <v/>
      </c>
      <c r="J1263" s="7" t="inlineStr">
        <is>
          <t>10</t>
        </is>
      </c>
      <c r="K1263" s="7" t="inlineStr">
        <is>
          <t>7/7003</t>
        </is>
      </c>
      <c r="L1263" s="7" t="inlineStr">
        <is>
          <t>Yes</t>
        </is>
      </c>
      <c r="M1263" s="7" t="inlineStr">
        <is>
          <t>When feeling nothing is everything. The lululemon Align™ collection is so weightless and buttery soft, all you feel is your practice.</t>
        </is>
      </c>
      <c r="N1263" s="7" t="inlineStr">
        <is>
          <t>Align-Tank</t>
        </is>
      </c>
      <c r="O1263" s="7" t="inlineStr"/>
    </row>
    <row r="1264" ht="80" customHeight="1">
      <c r="A1264" s="4">
        <f>IMAGE("https://images.lululemon.com/is/image/lululemon/LW1DUDS_0002_1?wid=320&amp;op_usm=0.8",1)</f>
        <v/>
      </c>
      <c r="B1264" s="4" t="inlineStr">
        <is>
          <t>lululemon Align™ Tank Top *Light Support, A/B Cup</t>
        </is>
      </c>
      <c r="C1264" s="4" t="inlineStr">
        <is>
          <t>157679579</t>
        </is>
      </c>
      <c r="D1264" s="4" t="inlineStr">
        <is>
          <t>157679579-palmdeco</t>
        </is>
      </c>
      <c r="E1264" s="4" t="inlineStr">
        <is>
          <t>lululemon Align™ Tank WHT 0</t>
        </is>
      </c>
      <c r="F1264" s="4" t="inlineStr">
        <is>
          <t>$68.00</t>
        </is>
      </c>
      <c r="G1264" s="4" t="inlineStr">
        <is>
          <t>$34.00</t>
        </is>
      </c>
      <c r="H1264" s="4" t="inlineStr">
        <is>
          <t>Palm Deco</t>
        </is>
      </c>
      <c r="I1264" s="4">
        <f>IMAGE("https://images.lululemon.com/is/image/lululemon/35487",1)</f>
        <v/>
      </c>
      <c r="J1264" s="4" t="inlineStr">
        <is>
          <t>12</t>
        </is>
      </c>
      <c r="K1264" s="4" t="inlineStr">
        <is>
          <t>22/7003</t>
        </is>
      </c>
      <c r="L1264" s="4" t="inlineStr">
        <is>
          <t>Yes</t>
        </is>
      </c>
      <c r="M1264" s="4" t="inlineStr">
        <is>
          <t>When feeling nothing is everything. The lululemon Align™ collection is so weightless and buttery soft, all you feel is your practice.</t>
        </is>
      </c>
      <c r="N1264" s="4" t="inlineStr">
        <is>
          <t>Align-Tank</t>
        </is>
      </c>
      <c r="O1264" s="4" t="inlineStr"/>
    </row>
    <row r="1265" ht="80" customHeight="1">
      <c r="A1265" s="7">
        <f>IMAGE("https://images.lululemon.com/is/image/lululemon/LW1DUDS_0002_1?wid=320&amp;op_usm=0.8",1)</f>
        <v/>
      </c>
      <c r="B1265" s="7" t="inlineStr">
        <is>
          <t>lululemon Align™ Tank Top *Light Support, A/B Cup</t>
        </is>
      </c>
      <c r="C1265" s="7" t="inlineStr">
        <is>
          <t>157679592</t>
        </is>
      </c>
      <c r="D1265" s="7" t="inlineStr">
        <is>
          <t>157679592-palmdeco</t>
        </is>
      </c>
      <c r="E1265" s="7" t="inlineStr">
        <is>
          <t>lululemon Align™ Tank WHT 0</t>
        </is>
      </c>
      <c r="F1265" s="7" t="inlineStr">
        <is>
          <t>$68.00</t>
        </is>
      </c>
      <c r="G1265" s="7" t="inlineStr">
        <is>
          <t>$34.00</t>
        </is>
      </c>
      <c r="H1265" s="7" t="inlineStr">
        <is>
          <t>Palm Deco</t>
        </is>
      </c>
      <c r="I1265" s="7">
        <f>IMAGE("https://images.lululemon.com/is/image/lululemon/35487",1)</f>
        <v/>
      </c>
      <c r="J1265" s="7" t="inlineStr">
        <is>
          <t>14</t>
        </is>
      </c>
      <c r="K1265" s="7" t="inlineStr">
        <is>
          <t>5/7003</t>
        </is>
      </c>
      <c r="L1265" s="7" t="inlineStr">
        <is>
          <t>Yes</t>
        </is>
      </c>
      <c r="M1265" s="7" t="inlineStr">
        <is>
          <t>When feeling nothing is everything. The lululemon Align™ collection is so weightless and buttery soft, all you feel is your practice.</t>
        </is>
      </c>
      <c r="N1265" s="7" t="inlineStr">
        <is>
          <t>Align-Tank</t>
        </is>
      </c>
      <c r="O1265" s="7" t="inlineStr"/>
    </row>
    <row r="1266" ht="80" customHeight="1">
      <c r="A1266" s="4">
        <f>IMAGE("https://images.lululemon.com/is/image/lululemon/LW1DUDS_0002_1?wid=320&amp;op_usm=0.8",1)</f>
        <v/>
      </c>
      <c r="B1266" s="4" t="inlineStr">
        <is>
          <t>lululemon Align™ Tank Top *Light Support, A/B Cup</t>
        </is>
      </c>
      <c r="C1266" s="4" t="inlineStr">
        <is>
          <t>157679607</t>
        </is>
      </c>
      <c r="D1266" s="4" t="inlineStr">
        <is>
          <t>157679607-palmdeco</t>
        </is>
      </c>
      <c r="E1266" s="4" t="inlineStr">
        <is>
          <t>lululemon Align™ Tank WHT 0</t>
        </is>
      </c>
      <c r="F1266" s="4" t="inlineStr">
        <is>
          <t>$68.00</t>
        </is>
      </c>
      <c r="G1266" s="4" t="inlineStr">
        <is>
          <t>$34.00</t>
        </is>
      </c>
      <c r="H1266" s="4" t="inlineStr">
        <is>
          <t>Palm Deco</t>
        </is>
      </c>
      <c r="I1266" s="4">
        <f>IMAGE("https://images.lululemon.com/is/image/lululemon/35487",1)</f>
        <v/>
      </c>
      <c r="J1266" s="4" t="inlineStr">
        <is>
          <t>16</t>
        </is>
      </c>
      <c r="K1266" s="4" t="inlineStr">
        <is>
          <t>3/7003</t>
        </is>
      </c>
      <c r="L1266" s="4" t="inlineStr">
        <is>
          <t>Yes</t>
        </is>
      </c>
      <c r="M1266" s="4" t="inlineStr">
        <is>
          <t>When feeling nothing is everything. The lululemon Align™ collection is so weightless and buttery soft, all you feel is your practice.</t>
        </is>
      </c>
      <c r="N1266" s="4" t="inlineStr">
        <is>
          <t>Align-Tank</t>
        </is>
      </c>
      <c r="O1266" s="4" t="inlineStr"/>
    </row>
    <row r="1267" ht="80" customHeight="1">
      <c r="A1267" s="7">
        <f>IMAGE("https://images.lululemon.com/is/image/lululemon/LW1DUDS_0002_1?wid=320&amp;op_usm=0.8",1)</f>
        <v/>
      </c>
      <c r="B1267" s="7" t="inlineStr">
        <is>
          <t>lululemon Align™ Tank Top *Light Support, A/B Cup</t>
        </is>
      </c>
      <c r="C1267" s="7" t="inlineStr">
        <is>
          <t>157679624</t>
        </is>
      </c>
      <c r="D1267" s="7" t="inlineStr">
        <is>
          <t>157679624-palmdeco</t>
        </is>
      </c>
      <c r="E1267" s="7" t="inlineStr">
        <is>
          <t>lululemon Align™ Tank WHT 0</t>
        </is>
      </c>
      <c r="F1267" s="7" t="inlineStr">
        <is>
          <t>$68.00</t>
        </is>
      </c>
      <c r="G1267" s="7" t="inlineStr">
        <is>
          <t>$34.00</t>
        </is>
      </c>
      <c r="H1267" s="7" t="inlineStr">
        <is>
          <t>Palm Deco</t>
        </is>
      </c>
      <c r="I1267" s="7">
        <f>IMAGE("https://images.lululemon.com/is/image/lululemon/35487",1)</f>
        <v/>
      </c>
      <c r="J1267" s="7" t="inlineStr">
        <is>
          <t>18</t>
        </is>
      </c>
      <c r="K1267" s="7" t="inlineStr">
        <is>
          <t>3/7003</t>
        </is>
      </c>
      <c r="L1267" s="7" t="inlineStr">
        <is>
          <t>Yes</t>
        </is>
      </c>
      <c r="M1267" s="7" t="inlineStr">
        <is>
          <t>When feeling nothing is everything. The lululemon Align™ collection is so weightless and buttery soft, all you feel is your practice.</t>
        </is>
      </c>
      <c r="N1267" s="7" t="inlineStr">
        <is>
          <t>Align-Tank</t>
        </is>
      </c>
      <c r="O1267" s="7" t="inlineStr"/>
    </row>
    <row r="1268" ht="80" customHeight="1">
      <c r="A1268" s="4">
        <f>IMAGE("https://images.lululemon.com/is/image/lululemon/LW1DUDS_0002_1?wid=320&amp;op_usm=0.8",1)</f>
        <v/>
      </c>
      <c r="B1268" s="4" t="inlineStr">
        <is>
          <t>lululemon Align™ Tank Top *Light Support, A/B Cup</t>
        </is>
      </c>
      <c r="C1268" s="4" t="inlineStr">
        <is>
          <t>157679656</t>
        </is>
      </c>
      <c r="D1268" s="4" t="inlineStr">
        <is>
          <t>157679656-palmdeco</t>
        </is>
      </c>
      <c r="E1268" s="4" t="inlineStr">
        <is>
          <t>lululemon Align™ Tank WHT 0</t>
        </is>
      </c>
      <c r="F1268" s="4" t="inlineStr">
        <is>
          <t>$68.00</t>
        </is>
      </c>
      <c r="G1268" s="4" t="inlineStr">
        <is>
          <t>$34.00</t>
        </is>
      </c>
      <c r="H1268" s="4" t="inlineStr">
        <is>
          <t>Palm Deco</t>
        </is>
      </c>
      <c r="I1268" s="4">
        <f>IMAGE("https://images.lululemon.com/is/image/lululemon/35487",1)</f>
        <v/>
      </c>
      <c r="J1268" s="4" t="inlineStr">
        <is>
          <t>20</t>
        </is>
      </c>
      <c r="K1268" s="4" t="inlineStr">
        <is>
          <t>2/7003</t>
        </is>
      </c>
      <c r="L1268" s="4" t="inlineStr">
        <is>
          <t>Yes</t>
        </is>
      </c>
      <c r="M1268" s="4" t="inlineStr">
        <is>
          <t>When feeling nothing is everything. The lululemon Align™ collection is so weightless and buttery soft, all you feel is your practice.</t>
        </is>
      </c>
      <c r="N1268" s="4" t="inlineStr">
        <is>
          <t>Align-Tank</t>
        </is>
      </c>
      <c r="O1268" s="4" t="inlineStr"/>
    </row>
    <row r="1269" ht="80" customHeight="1">
      <c r="A1269" s="7">
        <f>IMAGE("https://images.lululemon.com/is/image/lululemon/LW1DUDS_0002_1?wid=320&amp;op_usm=0.8",1)</f>
        <v/>
      </c>
      <c r="B1269" s="7" t="inlineStr">
        <is>
          <t>lululemon Align™ Tank Top *Light Support, A/B Cup</t>
        </is>
      </c>
      <c r="C1269" s="7" t="inlineStr">
        <is>
          <t>157680058</t>
        </is>
      </c>
      <c r="D1269" s="7" t="inlineStr">
        <is>
          <t>157680058-rockwood</t>
        </is>
      </c>
      <c r="E1269" s="7" t="inlineStr">
        <is>
          <t>lululemon Align™ Tank WHT 0</t>
        </is>
      </c>
      <c r="F1269" s="7" t="inlineStr">
        <is>
          <t>$68.00</t>
        </is>
      </c>
      <c r="G1269" s="7" t="inlineStr">
        <is>
          <t>$34.00</t>
        </is>
      </c>
      <c r="H1269" s="7" t="inlineStr">
        <is>
          <t>Rockwood</t>
        </is>
      </c>
      <c r="I1269" s="7">
        <f>IMAGE("https://images.lululemon.com/is/image/lululemon/71195",1)</f>
        <v/>
      </c>
      <c r="J1269" s="7" t="inlineStr">
        <is>
          <t>0</t>
        </is>
      </c>
      <c r="K1269" s="7" t="inlineStr">
        <is>
          <t>1/7003</t>
        </is>
      </c>
      <c r="L1269" s="7" t="inlineStr">
        <is>
          <t>Yes</t>
        </is>
      </c>
      <c r="M1269" s="7" t="inlineStr">
        <is>
          <t>When feeling nothing is everything. The lululemon Align™ collection is so weightless and buttery soft, all you feel is your practice.</t>
        </is>
      </c>
      <c r="N1269" s="7" t="inlineStr">
        <is>
          <t>Align-Tank</t>
        </is>
      </c>
      <c r="O1269" s="7" t="inlineStr"/>
    </row>
    <row r="1270" ht="80" customHeight="1">
      <c r="A1270" s="4">
        <f>IMAGE("https://images.lululemon.com/is/image/lululemon/LW1DUDS_0002_1?wid=320&amp;op_usm=0.8",1)</f>
        <v/>
      </c>
      <c r="B1270" s="4" t="inlineStr">
        <is>
          <t>lululemon Align™ Tank Top *Light Support, A/B Cup</t>
        </is>
      </c>
      <c r="C1270" s="4" t="inlineStr">
        <is>
          <t>157680147</t>
        </is>
      </c>
      <c r="D1270" s="4" t="inlineStr">
        <is>
          <t>157680147-rockwood</t>
        </is>
      </c>
      <c r="E1270" s="4" t="inlineStr">
        <is>
          <t>lululemon Align™ Tank WHT 0</t>
        </is>
      </c>
      <c r="F1270" s="4" t="inlineStr">
        <is>
          <t>$68.00</t>
        </is>
      </c>
      <c r="G1270" s="4" t="inlineStr">
        <is>
          <t>$34.00</t>
        </is>
      </c>
      <c r="H1270" s="4" t="inlineStr">
        <is>
          <t>Rockwood</t>
        </is>
      </c>
      <c r="I1270" s="4">
        <f>IMAGE("https://images.lululemon.com/is/image/lululemon/71195",1)</f>
        <v/>
      </c>
      <c r="J1270" s="4" t="inlineStr">
        <is>
          <t>2</t>
        </is>
      </c>
      <c r="K1270" s="4" t="inlineStr">
        <is>
          <t>2/7003</t>
        </is>
      </c>
      <c r="L1270" s="4" t="inlineStr">
        <is>
          <t>Yes</t>
        </is>
      </c>
      <c r="M1270" s="4" t="inlineStr">
        <is>
          <t>When feeling nothing is everything. The lululemon Align™ collection is so weightless and buttery soft, all you feel is your practice.</t>
        </is>
      </c>
      <c r="N1270" s="4" t="inlineStr">
        <is>
          <t>Align-Tank</t>
        </is>
      </c>
      <c r="O1270" s="4" t="inlineStr"/>
    </row>
    <row r="1271" ht="80" customHeight="1">
      <c r="A1271" s="7">
        <f>IMAGE("https://images.lululemon.com/is/image/lululemon/LW1DUDS_0002_1?wid=320&amp;op_usm=0.8",1)</f>
        <v/>
      </c>
      <c r="B1271" s="7" t="inlineStr">
        <is>
          <t>lululemon Align™ Tank Top *Light Support, A/B Cup</t>
        </is>
      </c>
      <c r="C1271" s="7" t="inlineStr">
        <is>
          <t>157680102</t>
        </is>
      </c>
      <c r="D1271" s="7" t="inlineStr">
        <is>
          <t>157680102-rockwood</t>
        </is>
      </c>
      <c r="E1271" s="7" t="inlineStr">
        <is>
          <t>lululemon Align™ Tank WHT 0</t>
        </is>
      </c>
      <c r="F1271" s="7" t="inlineStr">
        <is>
          <t>$68.00</t>
        </is>
      </c>
      <c r="G1271" s="7" t="inlineStr">
        <is>
          <t>$34.00</t>
        </is>
      </c>
      <c r="H1271" s="7" t="inlineStr">
        <is>
          <t>Rockwood</t>
        </is>
      </c>
      <c r="I1271" s="7">
        <f>IMAGE("https://images.lululemon.com/is/image/lululemon/71195",1)</f>
        <v/>
      </c>
      <c r="J1271" s="7" t="inlineStr">
        <is>
          <t>14</t>
        </is>
      </c>
      <c r="K1271" s="7" t="inlineStr">
        <is>
          <t>1/7003</t>
        </is>
      </c>
      <c r="L1271" s="7" t="inlineStr">
        <is>
          <t>Yes</t>
        </is>
      </c>
      <c r="M1271" s="7" t="inlineStr">
        <is>
          <t>When feeling nothing is everything. The lululemon Align™ collection is so weightless and buttery soft, all you feel is your practice.</t>
        </is>
      </c>
      <c r="N1271" s="7" t="inlineStr">
        <is>
          <t>Align-Tank</t>
        </is>
      </c>
      <c r="O1271" s="7" t="inlineStr"/>
    </row>
    <row r="1272" ht="80" customHeight="1">
      <c r="A1272" s="4">
        <f>IMAGE("https://images.lululemon.com/is/image/lululemon/LW1DUDS_0002_1?wid=320&amp;op_usm=0.8",1)</f>
        <v/>
      </c>
      <c r="B1272" s="4" t="inlineStr">
        <is>
          <t>lululemon Align™ Tank Top *Light Support, A/B Cup</t>
        </is>
      </c>
      <c r="C1272" s="4" t="inlineStr">
        <is>
          <t>157680120</t>
        </is>
      </c>
      <c r="D1272" s="4" t="inlineStr">
        <is>
          <t>157680120-rockwood</t>
        </is>
      </c>
      <c r="E1272" s="4" t="inlineStr">
        <is>
          <t>lululemon Align™ Tank WHT 0</t>
        </is>
      </c>
      <c r="F1272" s="4" t="inlineStr">
        <is>
          <t>$68.00</t>
        </is>
      </c>
      <c r="G1272" s="4" t="inlineStr">
        <is>
          <t>$34.00</t>
        </is>
      </c>
      <c r="H1272" s="4" t="inlineStr">
        <is>
          <t>Rockwood</t>
        </is>
      </c>
      <c r="I1272" s="4">
        <f>IMAGE("https://images.lululemon.com/is/image/lululemon/71195",1)</f>
        <v/>
      </c>
      <c r="J1272" s="4" t="inlineStr">
        <is>
          <t>16</t>
        </is>
      </c>
      <c r="K1272" s="4" t="inlineStr">
        <is>
          <t>1/7003</t>
        </is>
      </c>
      <c r="L1272" s="4" t="inlineStr">
        <is>
          <t>Yes</t>
        </is>
      </c>
      <c r="M1272" s="4" t="inlineStr">
        <is>
          <t>When feeling nothing is everything. The lululemon Align™ collection is so weightless and buttery soft, all you feel is your practice.</t>
        </is>
      </c>
      <c r="N1272" s="4" t="inlineStr">
        <is>
          <t>Align-Tank</t>
        </is>
      </c>
      <c r="O1272" s="4" t="inlineStr"/>
    </row>
    <row r="1273" ht="80" customHeight="1">
      <c r="A1273" s="7">
        <f>IMAGE("https://images.lululemon.com/is/image/lululemon/LW1DUDS_0002_1?wid=320&amp;op_usm=0.8",1)</f>
        <v/>
      </c>
      <c r="B1273" s="7" t="inlineStr">
        <is>
          <t>lululemon Align™ Tank Top *Light Support, A/B Cup</t>
        </is>
      </c>
      <c r="C1273" s="7" t="inlineStr">
        <is>
          <t>157680133</t>
        </is>
      </c>
      <c r="D1273" s="7" t="inlineStr">
        <is>
          <t>157680133-rockwood</t>
        </is>
      </c>
      <c r="E1273" s="7" t="inlineStr">
        <is>
          <t>lululemon Align™ Tank WHT 0</t>
        </is>
      </c>
      <c r="F1273" s="7" t="inlineStr">
        <is>
          <t>$68.00</t>
        </is>
      </c>
      <c r="G1273" s="7" t="inlineStr">
        <is>
          <t>$34.00</t>
        </is>
      </c>
      <c r="H1273" s="7" t="inlineStr">
        <is>
          <t>Rockwood</t>
        </is>
      </c>
      <c r="I1273" s="7">
        <f>IMAGE("https://images.lululemon.com/is/image/lululemon/71195",1)</f>
        <v/>
      </c>
      <c r="J1273" s="7" t="inlineStr">
        <is>
          <t>18</t>
        </is>
      </c>
      <c r="K1273" s="7" t="inlineStr">
        <is>
          <t>1/7003</t>
        </is>
      </c>
      <c r="L1273" s="7" t="inlineStr">
        <is>
          <t>Yes</t>
        </is>
      </c>
      <c r="M1273" s="7" t="inlineStr">
        <is>
          <t>When feeling nothing is everything. The lululemon Align™ collection is so weightless and buttery soft, all you feel is your practice.</t>
        </is>
      </c>
      <c r="N1273" s="7" t="inlineStr">
        <is>
          <t>Align-Tank</t>
        </is>
      </c>
      <c r="O1273" s="7" t="inlineStr"/>
    </row>
    <row r="1274" ht="80" customHeight="1">
      <c r="A1274" s="4">
        <f>IMAGE("https://images.lululemon.com/is/image/lululemon/LW1DUDS_0002_1?wid=320&amp;op_usm=0.8",1)</f>
        <v/>
      </c>
      <c r="B1274" s="4" t="inlineStr">
        <is>
          <t>lululemon Align™ Tank Top *Light Support, A/B Cup</t>
        </is>
      </c>
      <c r="C1274" s="4" t="inlineStr">
        <is>
          <t>157680165</t>
        </is>
      </c>
      <c r="D1274" s="4" t="inlineStr">
        <is>
          <t>157680165-rockwood</t>
        </is>
      </c>
      <c r="E1274" s="4" t="inlineStr">
        <is>
          <t>lululemon Align™ Tank WHT 0</t>
        </is>
      </c>
      <c r="F1274" s="4" t="inlineStr">
        <is>
          <t>$68.00</t>
        </is>
      </c>
      <c r="G1274" s="4" t="inlineStr">
        <is>
          <t>$34.00</t>
        </is>
      </c>
      <c r="H1274" s="4" t="inlineStr">
        <is>
          <t>Rockwood</t>
        </is>
      </c>
      <c r="I1274" s="4">
        <f>IMAGE("https://images.lululemon.com/is/image/lululemon/71195",1)</f>
        <v/>
      </c>
      <c r="J1274" s="4" t="inlineStr">
        <is>
          <t>20</t>
        </is>
      </c>
      <c r="K1274" s="4" t="inlineStr">
        <is>
          <t>1/7003</t>
        </is>
      </c>
      <c r="L1274" s="4" t="inlineStr">
        <is>
          <t>Yes</t>
        </is>
      </c>
      <c r="M1274" s="4" t="inlineStr">
        <is>
          <t>When feeling nothing is everything. The lululemon Align™ collection is so weightless and buttery soft, all you feel is your practice.</t>
        </is>
      </c>
      <c r="N1274" s="4" t="inlineStr">
        <is>
          <t>Align-Tank</t>
        </is>
      </c>
      <c r="O1274" s="4" t="inlineStr"/>
    </row>
    <row r="1275" ht="80" customHeight="1">
      <c r="A1275" s="7">
        <f>IMAGE("https://images.lululemon.com/is/image/lululemon/LW1DUDS_0002_1?wid=320&amp;op_usm=0.8",1)</f>
        <v/>
      </c>
      <c r="B1275" s="7" t="inlineStr">
        <is>
          <t>lululemon Align™ Tank Top *Light Support, A/B Cup</t>
        </is>
      </c>
      <c r="C1275" s="7" t="inlineStr">
        <is>
          <t>143501875</t>
        </is>
      </c>
      <c r="D1275" s="7" t="inlineStr">
        <is>
          <t>143501875-truenavy</t>
        </is>
      </c>
      <c r="E1275" s="7" t="inlineStr">
        <is>
          <t>lululemon Align™ Tank WHT 0</t>
        </is>
      </c>
      <c r="F1275" s="7" t="inlineStr">
        <is>
          <t>$68.00</t>
        </is>
      </c>
      <c r="G1275" s="7" t="inlineStr">
        <is>
          <t>$34.00</t>
        </is>
      </c>
      <c r="H1275" s="7" t="inlineStr">
        <is>
          <t>True Navy</t>
        </is>
      </c>
      <c r="I1275" s="7">
        <f>IMAGE("https://images.lululemon.com/is/image/lululemon/31382",1)</f>
        <v/>
      </c>
      <c r="J1275" s="7" t="inlineStr">
        <is>
          <t>2</t>
        </is>
      </c>
      <c r="K1275" s="7" t="inlineStr">
        <is>
          <t>41/7003</t>
        </is>
      </c>
      <c r="L1275" s="7" t="inlineStr">
        <is>
          <t>Yes</t>
        </is>
      </c>
      <c r="M1275" s="7" t="inlineStr">
        <is>
          <t>When feeling nothing is everything. The lululemon Align™ collection is so weightless and buttery soft, all you feel is your practice.</t>
        </is>
      </c>
      <c r="N1275" s="7" t="inlineStr">
        <is>
          <t>Align-Tank</t>
        </is>
      </c>
      <c r="O1275" s="7" t="inlineStr"/>
    </row>
    <row r="1276" ht="80" customHeight="1">
      <c r="A1276" s="4">
        <f>IMAGE("https://images.lululemon.com/is/image/lululemon/LW1DUDS_0002_1?wid=320&amp;op_usm=0.8",1)</f>
        <v/>
      </c>
      <c r="B1276" s="4" t="inlineStr">
        <is>
          <t>lululemon Align™ Tank Top *Light Support, A/B Cup</t>
        </is>
      </c>
      <c r="C1276" s="4" t="inlineStr">
        <is>
          <t>143501899</t>
        </is>
      </c>
      <c r="D1276" s="4" t="inlineStr">
        <is>
          <t>143501899-truenavy</t>
        </is>
      </c>
      <c r="E1276" s="4" t="inlineStr">
        <is>
          <t>lululemon Align™ Tank WHT 0</t>
        </is>
      </c>
      <c r="F1276" s="4" t="inlineStr">
        <is>
          <t>$68.00</t>
        </is>
      </c>
      <c r="G1276" s="4" t="inlineStr">
        <is>
          <t>$34.00</t>
        </is>
      </c>
      <c r="H1276" s="4" t="inlineStr">
        <is>
          <t>True Navy</t>
        </is>
      </c>
      <c r="I1276" s="4">
        <f>IMAGE("https://images.lululemon.com/is/image/lululemon/31382",1)</f>
        <v/>
      </c>
      <c r="J1276" s="4" t="inlineStr">
        <is>
          <t>4</t>
        </is>
      </c>
      <c r="K1276" s="4" t="inlineStr">
        <is>
          <t>115/7003</t>
        </is>
      </c>
      <c r="L1276" s="4" t="inlineStr">
        <is>
          <t>Yes</t>
        </is>
      </c>
      <c r="M1276" s="4" t="inlineStr">
        <is>
          <t>When feeling nothing is everything. The lululemon Align™ collection is so weightless and buttery soft, all you feel is your practice.</t>
        </is>
      </c>
      <c r="N1276" s="4" t="inlineStr">
        <is>
          <t>Align-Tank</t>
        </is>
      </c>
      <c r="O1276" s="4" t="inlineStr"/>
    </row>
    <row r="1277" ht="80" customHeight="1">
      <c r="A1277" s="7">
        <f>IMAGE("https://images.lululemon.com/is/image/lululemon/LW1DUDS_0002_1?wid=320&amp;op_usm=0.8",1)</f>
        <v/>
      </c>
      <c r="B1277" s="7" t="inlineStr">
        <is>
          <t>lululemon Align™ Tank Top *Light Support, A/B Cup</t>
        </is>
      </c>
      <c r="C1277" s="7" t="inlineStr">
        <is>
          <t>143501903</t>
        </is>
      </c>
      <c r="D1277" s="7" t="inlineStr">
        <is>
          <t>143501903-truenavy</t>
        </is>
      </c>
      <c r="E1277" s="7" t="inlineStr">
        <is>
          <t>lululemon Align™ Tank WHT 0</t>
        </is>
      </c>
      <c r="F1277" s="7" t="inlineStr">
        <is>
          <t>$68.00</t>
        </is>
      </c>
      <c r="G1277" s="7" t="inlineStr">
        <is>
          <t>$34.00</t>
        </is>
      </c>
      <c r="H1277" s="7" t="inlineStr">
        <is>
          <t>True Navy</t>
        </is>
      </c>
      <c r="I1277" s="7">
        <f>IMAGE("https://images.lululemon.com/is/image/lululemon/31382",1)</f>
        <v/>
      </c>
      <c r="J1277" s="7" t="inlineStr">
        <is>
          <t>6</t>
        </is>
      </c>
      <c r="K1277" s="7" t="inlineStr">
        <is>
          <t>131/7003</t>
        </is>
      </c>
      <c r="L1277" s="7" t="inlineStr">
        <is>
          <t>Yes</t>
        </is>
      </c>
      <c r="M1277" s="7" t="inlineStr">
        <is>
          <t>When feeling nothing is everything. The lululemon Align™ collection is so weightless and buttery soft, all you feel is your practice.</t>
        </is>
      </c>
      <c r="N1277" s="7" t="inlineStr">
        <is>
          <t>Align-Tank</t>
        </is>
      </c>
      <c r="O1277" s="7" t="inlineStr"/>
    </row>
    <row r="1278" ht="80" customHeight="1">
      <c r="A1278" s="4">
        <f>IMAGE("https://images.lululemon.com/is/image/lululemon/LW1DUDS_0002_1?wid=320&amp;op_usm=0.8",1)</f>
        <v/>
      </c>
      <c r="B1278" s="4" t="inlineStr">
        <is>
          <t>lululemon Align™ Tank Top *Light Support, A/B Cup</t>
        </is>
      </c>
      <c r="C1278" s="4" t="inlineStr">
        <is>
          <t>143501906</t>
        </is>
      </c>
      <c r="D1278" s="4" t="inlineStr">
        <is>
          <t>143501906-truenavy</t>
        </is>
      </c>
      <c r="E1278" s="4" t="inlineStr">
        <is>
          <t>lululemon Align™ Tank WHT 0</t>
        </is>
      </c>
      <c r="F1278" s="4" t="inlineStr">
        <is>
          <t>$68.00</t>
        </is>
      </c>
      <c r="G1278" s="4" t="inlineStr">
        <is>
          <t>$34.00</t>
        </is>
      </c>
      <c r="H1278" s="4" t="inlineStr">
        <is>
          <t>True Navy</t>
        </is>
      </c>
      <c r="I1278" s="4">
        <f>IMAGE("https://images.lululemon.com/is/image/lululemon/31382",1)</f>
        <v/>
      </c>
      <c r="J1278" s="4" t="inlineStr">
        <is>
          <t>8</t>
        </is>
      </c>
      <c r="K1278" s="4" t="inlineStr">
        <is>
          <t>102/7003</t>
        </is>
      </c>
      <c r="L1278" s="4" t="inlineStr">
        <is>
          <t>Yes</t>
        </is>
      </c>
      <c r="M1278" s="4" t="inlineStr">
        <is>
          <t>When feeling nothing is everything. The lululemon Align™ collection is so weightless and buttery soft, all you feel is your practice.</t>
        </is>
      </c>
      <c r="N1278" s="4" t="inlineStr">
        <is>
          <t>Align-Tank</t>
        </is>
      </c>
      <c r="O1278" s="4" t="inlineStr"/>
    </row>
    <row r="1279" ht="80" customHeight="1">
      <c r="A1279" s="7">
        <f>IMAGE("https://images.lululemon.com/is/image/lululemon/LW1DUDS_0002_1?wid=320&amp;op_usm=0.8",1)</f>
        <v/>
      </c>
      <c r="B1279" s="7" t="inlineStr">
        <is>
          <t>lululemon Align™ Tank Top *Light Support, A/B Cup</t>
        </is>
      </c>
      <c r="C1279" s="7" t="inlineStr">
        <is>
          <t>143501855</t>
        </is>
      </c>
      <c r="D1279" s="7" t="inlineStr">
        <is>
          <t>143501855-truenavy</t>
        </is>
      </c>
      <c r="E1279" s="7" t="inlineStr">
        <is>
          <t>lululemon Align™ Tank WHT 0</t>
        </is>
      </c>
      <c r="F1279" s="7" t="inlineStr">
        <is>
          <t>$68.00</t>
        </is>
      </c>
      <c r="G1279" s="7" t="inlineStr">
        <is>
          <t>$34.00</t>
        </is>
      </c>
      <c r="H1279" s="7" t="inlineStr">
        <is>
          <t>True Navy</t>
        </is>
      </c>
      <c r="I1279" s="7">
        <f>IMAGE("https://images.lululemon.com/is/image/lululemon/31382",1)</f>
        <v/>
      </c>
      <c r="J1279" s="7" t="inlineStr">
        <is>
          <t>10</t>
        </is>
      </c>
      <c r="K1279" s="7" t="inlineStr">
        <is>
          <t>57/7003</t>
        </is>
      </c>
      <c r="L1279" s="7" t="inlineStr">
        <is>
          <t>Yes</t>
        </is>
      </c>
      <c r="M1279" s="7" t="inlineStr">
        <is>
          <t>When feeling nothing is everything. The lululemon Align™ collection is so weightless and buttery soft, all you feel is your practice.</t>
        </is>
      </c>
      <c r="N1279" s="7" t="inlineStr">
        <is>
          <t>Align-Tank</t>
        </is>
      </c>
      <c r="O1279" s="7" t="inlineStr"/>
    </row>
    <row r="1280" ht="80" customHeight="1">
      <c r="A1280" s="4">
        <f>IMAGE("https://images.lululemon.com/is/image/lululemon/LW1DUDS_0002_1?wid=320&amp;op_usm=0.8",1)</f>
        <v/>
      </c>
      <c r="B1280" s="4" t="inlineStr">
        <is>
          <t>lululemon Align™ Tank Top *Light Support, A/B Cup</t>
        </is>
      </c>
      <c r="C1280" s="4" t="inlineStr">
        <is>
          <t>143501858</t>
        </is>
      </c>
      <c r="D1280" s="4" t="inlineStr">
        <is>
          <t>143501858-truenavy</t>
        </is>
      </c>
      <c r="E1280" s="4" t="inlineStr">
        <is>
          <t>lululemon Align™ Tank WHT 0</t>
        </is>
      </c>
      <c r="F1280" s="4" t="inlineStr">
        <is>
          <t>$68.00</t>
        </is>
      </c>
      <c r="G1280" s="4" t="inlineStr">
        <is>
          <t>$34.00</t>
        </is>
      </c>
      <c r="H1280" s="4" t="inlineStr">
        <is>
          <t>True Navy</t>
        </is>
      </c>
      <c r="I1280" s="4">
        <f>IMAGE("https://images.lululemon.com/is/image/lululemon/31382",1)</f>
        <v/>
      </c>
      <c r="J1280" s="4" t="inlineStr">
        <is>
          <t>12</t>
        </is>
      </c>
      <c r="K1280" s="4" t="inlineStr">
        <is>
          <t>31/7003</t>
        </is>
      </c>
      <c r="L1280" s="4" t="inlineStr">
        <is>
          <t>Yes</t>
        </is>
      </c>
      <c r="M1280" s="4" t="inlineStr">
        <is>
          <t>When feeling nothing is everything. The lululemon Align™ collection is so weightless and buttery soft, all you feel is your practice.</t>
        </is>
      </c>
      <c r="N1280" s="4" t="inlineStr">
        <is>
          <t>Align-Tank</t>
        </is>
      </c>
      <c r="O1280" s="4" t="inlineStr"/>
    </row>
    <row r="1281" ht="80" customHeight="1">
      <c r="A1281" s="7">
        <f>IMAGE("https://images.lululemon.com/is/image/lululemon/LW1DUDS_0002_1?wid=320&amp;op_usm=0.8",1)</f>
        <v/>
      </c>
      <c r="B1281" s="7" t="inlineStr">
        <is>
          <t>lululemon Align™ Tank Top *Light Support, A/B Cup</t>
        </is>
      </c>
      <c r="C1281" s="7" t="inlineStr">
        <is>
          <t>158022223</t>
        </is>
      </c>
      <c r="D1281" s="7" t="inlineStr">
        <is>
          <t>158022223-indochineblue</t>
        </is>
      </c>
      <c r="E1281" s="7" t="inlineStr">
        <is>
          <t>lululemon Align™ Tank WHT 0</t>
        </is>
      </c>
      <c r="F1281" s="7" t="inlineStr">
        <is>
          <t>$68.00</t>
        </is>
      </c>
      <c r="G1281" s="7" t="inlineStr">
        <is>
          <t>$34.00</t>
        </is>
      </c>
      <c r="H1281" s="7" t="inlineStr">
        <is>
          <t>Indochine Blue</t>
        </is>
      </c>
      <c r="I1281" s="7">
        <f>IMAGE("https://images.lululemon.com/is/image/lululemon/28022",1)</f>
        <v/>
      </c>
      <c r="J1281" s="7" t="inlineStr">
        <is>
          <t>2</t>
        </is>
      </c>
      <c r="K1281" s="7" t="inlineStr">
        <is>
          <t>52/7003</t>
        </is>
      </c>
      <c r="L1281" s="7" t="inlineStr">
        <is>
          <t>Yes</t>
        </is>
      </c>
      <c r="M1281" s="7" t="inlineStr">
        <is>
          <t>When feeling nothing is everything. The lululemon Align™ collection is so weightless and buttery soft, all you feel is your practice.</t>
        </is>
      </c>
      <c r="N1281" s="7" t="inlineStr">
        <is>
          <t>Align-Tank</t>
        </is>
      </c>
      <c r="O1281" s="7" t="inlineStr"/>
    </row>
    <row r="1282" ht="80" customHeight="1">
      <c r="A1282" s="4">
        <f>IMAGE("https://images.lululemon.com/is/image/lululemon/LW1DUDS_0002_1?wid=320&amp;op_usm=0.8",1)</f>
        <v/>
      </c>
      <c r="B1282" s="4" t="inlineStr">
        <is>
          <t>lululemon Align™ Tank Top *Light Support, A/B Cup</t>
        </is>
      </c>
      <c r="C1282" s="4" t="inlineStr">
        <is>
          <t>158022226</t>
        </is>
      </c>
      <c r="D1282" s="4" t="inlineStr">
        <is>
          <t>158022226-indochineblue</t>
        </is>
      </c>
      <c r="E1282" s="4" t="inlineStr">
        <is>
          <t>lululemon Align™ Tank WHT 0</t>
        </is>
      </c>
      <c r="F1282" s="4" t="inlineStr">
        <is>
          <t>$68.00</t>
        </is>
      </c>
      <c r="G1282" s="4" t="inlineStr">
        <is>
          <t>$34.00</t>
        </is>
      </c>
      <c r="H1282" s="4" t="inlineStr">
        <is>
          <t>Indochine Blue</t>
        </is>
      </c>
      <c r="I1282" s="4">
        <f>IMAGE("https://images.lululemon.com/is/image/lululemon/28022",1)</f>
        <v/>
      </c>
      <c r="J1282" s="4" t="inlineStr">
        <is>
          <t>4</t>
        </is>
      </c>
      <c r="K1282" s="4" t="inlineStr">
        <is>
          <t>105/7003</t>
        </is>
      </c>
      <c r="L1282" s="4" t="inlineStr">
        <is>
          <t>Yes</t>
        </is>
      </c>
      <c r="M1282" s="4" t="inlineStr">
        <is>
          <t>When feeling nothing is everything. The lululemon Align™ collection is so weightless and buttery soft, all you feel is your practice.</t>
        </is>
      </c>
      <c r="N1282" s="4" t="inlineStr">
        <is>
          <t>Align-Tank</t>
        </is>
      </c>
      <c r="O1282" s="4" t="inlineStr"/>
    </row>
    <row r="1283" ht="80" customHeight="1">
      <c r="A1283" s="7">
        <f>IMAGE("https://images.lululemon.com/is/image/lululemon/LW1DUDS_0002_1?wid=320&amp;op_usm=0.8",1)</f>
        <v/>
      </c>
      <c r="B1283" s="7" t="inlineStr">
        <is>
          <t>lululemon Align™ Tank Top *Light Support, A/B Cup</t>
        </is>
      </c>
      <c r="C1283" s="7" t="inlineStr">
        <is>
          <t>158022231</t>
        </is>
      </c>
      <c r="D1283" s="7" t="inlineStr">
        <is>
          <t>158022231-indochineblue</t>
        </is>
      </c>
      <c r="E1283" s="7" t="inlineStr">
        <is>
          <t>lululemon Align™ Tank WHT 0</t>
        </is>
      </c>
      <c r="F1283" s="7" t="inlineStr">
        <is>
          <t>$68.00</t>
        </is>
      </c>
      <c r="G1283" s="7" t="inlineStr">
        <is>
          <t>$34.00</t>
        </is>
      </c>
      <c r="H1283" s="7" t="inlineStr">
        <is>
          <t>Indochine Blue</t>
        </is>
      </c>
      <c r="I1283" s="7">
        <f>IMAGE("https://images.lululemon.com/is/image/lululemon/28022",1)</f>
        <v/>
      </c>
      <c r="J1283" s="7" t="inlineStr">
        <is>
          <t>6</t>
        </is>
      </c>
      <c r="K1283" s="7" t="inlineStr">
        <is>
          <t>114/7003</t>
        </is>
      </c>
      <c r="L1283" s="7" t="inlineStr">
        <is>
          <t>Yes</t>
        </is>
      </c>
      <c r="M1283" s="7" t="inlineStr">
        <is>
          <t>When feeling nothing is everything. The lululemon Align™ collection is so weightless and buttery soft, all you feel is your practice.</t>
        </is>
      </c>
      <c r="N1283" s="7" t="inlineStr">
        <is>
          <t>Align-Tank</t>
        </is>
      </c>
      <c r="O1283" s="7" t="inlineStr"/>
    </row>
    <row r="1284" ht="80" customHeight="1">
      <c r="A1284" s="4">
        <f>IMAGE("https://images.lululemon.com/is/image/lululemon/LW1DUDS_0002_1?wid=320&amp;op_usm=0.8",1)</f>
        <v/>
      </c>
      <c r="B1284" s="4" t="inlineStr">
        <is>
          <t>lululemon Align™ Tank Top *Light Support, A/B Cup</t>
        </is>
      </c>
      <c r="C1284" s="4" t="inlineStr">
        <is>
          <t>158022236</t>
        </is>
      </c>
      <c r="D1284" s="4" t="inlineStr">
        <is>
          <t>158022236-indochineblue</t>
        </is>
      </c>
      <c r="E1284" s="4" t="inlineStr">
        <is>
          <t>lululemon Align™ Tank WHT 0</t>
        </is>
      </c>
      <c r="F1284" s="4" t="inlineStr">
        <is>
          <t>$68.00</t>
        </is>
      </c>
      <c r="G1284" s="4" t="inlineStr">
        <is>
          <t>$34.00</t>
        </is>
      </c>
      <c r="H1284" s="4" t="inlineStr">
        <is>
          <t>Indochine Blue</t>
        </is>
      </c>
      <c r="I1284" s="4">
        <f>IMAGE("https://images.lululemon.com/is/image/lululemon/28022",1)</f>
        <v/>
      </c>
      <c r="J1284" s="4" t="inlineStr">
        <is>
          <t>8</t>
        </is>
      </c>
      <c r="K1284" s="4" t="inlineStr">
        <is>
          <t>77/7003</t>
        </is>
      </c>
      <c r="L1284" s="4" t="inlineStr">
        <is>
          <t>Yes</t>
        </is>
      </c>
      <c r="M1284" s="4" t="inlineStr">
        <is>
          <t>When feeling nothing is everything. The lululemon Align™ collection is so weightless and buttery soft, all you feel is your practice.</t>
        </is>
      </c>
      <c r="N1284" s="4" t="inlineStr">
        <is>
          <t>Align-Tank</t>
        </is>
      </c>
      <c r="O1284" s="4" t="inlineStr"/>
    </row>
    <row r="1285" ht="80" customHeight="1">
      <c r="A1285" s="7">
        <f>IMAGE("https://images.lululemon.com/is/image/lululemon/LW1DUDS_0002_1?wid=320&amp;op_usm=0.8",1)</f>
        <v/>
      </c>
      <c r="B1285" s="7" t="inlineStr">
        <is>
          <t>lululemon Align™ Tank Top *Light Support, A/B Cup</t>
        </is>
      </c>
      <c r="C1285" s="7" t="inlineStr">
        <is>
          <t>158022207</t>
        </is>
      </c>
      <c r="D1285" s="7" t="inlineStr">
        <is>
          <t>158022207-indochineblue</t>
        </is>
      </c>
      <c r="E1285" s="7" t="inlineStr">
        <is>
          <t>lululemon Align™ Tank WHT 0</t>
        </is>
      </c>
      <c r="F1285" s="7" t="inlineStr">
        <is>
          <t>$68.00</t>
        </is>
      </c>
      <c r="G1285" s="7" t="inlineStr">
        <is>
          <t>$34.00</t>
        </is>
      </c>
      <c r="H1285" s="7" t="inlineStr">
        <is>
          <t>Indochine Blue</t>
        </is>
      </c>
      <c r="I1285" s="7">
        <f>IMAGE("https://images.lululemon.com/is/image/lululemon/28022",1)</f>
        <v/>
      </c>
      <c r="J1285" s="7" t="inlineStr">
        <is>
          <t>10</t>
        </is>
      </c>
      <c r="K1285" s="7" t="inlineStr">
        <is>
          <t>48/7003</t>
        </is>
      </c>
      <c r="L1285" s="7" t="inlineStr">
        <is>
          <t>Yes</t>
        </is>
      </c>
      <c r="M1285" s="7" t="inlineStr">
        <is>
          <t>When feeling nothing is everything. The lululemon Align™ collection is so weightless and buttery soft, all you feel is your practice.</t>
        </is>
      </c>
      <c r="N1285" s="7" t="inlineStr">
        <is>
          <t>Align-Tank</t>
        </is>
      </c>
      <c r="O1285" s="7" t="inlineStr"/>
    </row>
    <row r="1286" ht="80" customHeight="1">
      <c r="A1286" s="6">
        <f>IMAGE("https://images.lululemon.com/is/image/lululemon/LW1DUDS_0002_1?wid=320&amp;op_usm=0.8",1)</f>
        <v/>
      </c>
      <c r="B1286" s="6" t="inlineStr">
        <is>
          <t>lululemon Align™ Tank Top *Light Support, A/B Cup</t>
        </is>
      </c>
      <c r="C1286" s="6" t="inlineStr">
        <is>
          <t>158022213</t>
        </is>
      </c>
      <c r="D1286" s="6" t="inlineStr">
        <is>
          <t>158022213-indochineblue</t>
        </is>
      </c>
      <c r="E1286" s="6" t="inlineStr">
        <is>
          <t>lululemon Align™ Tank WHT 0</t>
        </is>
      </c>
      <c r="F1286" s="6" t="inlineStr">
        <is>
          <t>$68.00</t>
        </is>
      </c>
      <c r="G1286" s="6" t="inlineStr">
        <is>
          <t>$34.00</t>
        </is>
      </c>
      <c r="H1286" s="6" t="inlineStr">
        <is>
          <t>Indochine Blue</t>
        </is>
      </c>
      <c r="I1286" s="6">
        <f>IMAGE("https://images.lululemon.com/is/image/lululemon/28022",1)</f>
        <v/>
      </c>
      <c r="J1286" s="6" t="inlineStr">
        <is>
          <t>12</t>
        </is>
      </c>
      <c r="K1286" s="6" t="inlineStr">
        <is>
          <t>45/7003</t>
        </is>
      </c>
      <c r="L1286" s="6" t="inlineStr">
        <is>
          <t>Yes</t>
        </is>
      </c>
      <c r="M1286" s="6" t="inlineStr">
        <is>
          <t>When feeling nothing is everything. The lululemon Align™ collection is so weightless and buttery soft, all you feel is your practice.</t>
        </is>
      </c>
      <c r="N1286" s="6" t="inlineStr">
        <is>
          <t>Align-Tank</t>
        </is>
      </c>
      <c r="O1286" s="6" t="inlineStr"/>
    </row>
    <row r="1287" ht="80" customHeight="1">
      <c r="A1287" s="7">
        <f>IMAGE("https://images.lululemon.com/is/image/lululemon/LW4BWQS_0001_1?wid=320&amp;op_usm=0.8",1)</f>
        <v/>
      </c>
      <c r="B1287" s="7" t="inlineStr">
        <is>
          <t>Wunder Puff 600-Down-Fill Cropped Vest</t>
        </is>
      </c>
      <c r="C1287" s="7" t="inlineStr">
        <is>
          <t>142875198</t>
        </is>
      </c>
      <c r="D1287" s="7" t="inlineStr">
        <is>
          <t>142875198-black</t>
        </is>
      </c>
      <c r="E1287" s="7" t="inlineStr">
        <is>
          <t>Wunder Puff Cropped Vest BLK 2</t>
        </is>
      </c>
      <c r="F1287" s="7" t="inlineStr">
        <is>
          <t>$268.00</t>
        </is>
      </c>
      <c r="G1287" s="7" t="inlineStr">
        <is>
          <t>$134.00</t>
        </is>
      </c>
      <c r="H1287" s="7" t="inlineStr">
        <is>
          <t>Black</t>
        </is>
      </c>
      <c r="I1287" s="7">
        <f>IMAGE("https://images.lululemon.com/is/image/lululemon/0001",1)</f>
        <v/>
      </c>
      <c r="J1287" s="7" t="inlineStr">
        <is>
          <t>2</t>
        </is>
      </c>
      <c r="K1287" s="7" t="inlineStr">
        <is>
          <t>68/1374</t>
        </is>
      </c>
      <c r="L1287" s="7" t="inlineStr">
        <is>
          <t>Yes</t>
        </is>
      </c>
      <c r="M1287" s="7" t="inlineStr">
        <is>
          <t>This wonderfully warm down vest has a cinchable hem that lets you customize the shape and keep out cold drafts.</t>
        </is>
      </c>
      <c r="N1287" s="7" t="inlineStr">
        <is>
          <t>Wunder-Puff-Crop-Vest</t>
        </is>
      </c>
      <c r="O1287" s="7" t="inlineStr">
        <is>
          <t>Puffer Jackets, Vests</t>
        </is>
      </c>
    </row>
    <row r="1288" ht="80" customHeight="1">
      <c r="A1288" s="4">
        <f>IMAGE("https://images.lululemon.com/is/image/lululemon/LW4BWQS_0001_1?wid=320&amp;op_usm=0.8",1)</f>
        <v/>
      </c>
      <c r="B1288" s="4" t="inlineStr">
        <is>
          <t>Wunder Puff 600-Down-Fill Cropped Vest</t>
        </is>
      </c>
      <c r="C1288" s="4" t="inlineStr">
        <is>
          <t>142875219</t>
        </is>
      </c>
      <c r="D1288" s="4" t="inlineStr">
        <is>
          <t>142875219-black</t>
        </is>
      </c>
      <c r="E1288" s="4" t="inlineStr">
        <is>
          <t>Wunder Puff Cropped Vest BLK 2</t>
        </is>
      </c>
      <c r="F1288" s="4" t="inlineStr">
        <is>
          <t>$268.00</t>
        </is>
      </c>
      <c r="G1288" s="4" t="inlineStr">
        <is>
          <t>$134.00</t>
        </is>
      </c>
      <c r="H1288" s="4" t="inlineStr">
        <is>
          <t>Black</t>
        </is>
      </c>
      <c r="I1288" s="4">
        <f>IMAGE("https://images.lululemon.com/is/image/lululemon/0001",1)</f>
        <v/>
      </c>
      <c r="J1288" s="4" t="inlineStr">
        <is>
          <t>4</t>
        </is>
      </c>
      <c r="K1288" s="4" t="inlineStr">
        <is>
          <t>122/1374</t>
        </is>
      </c>
      <c r="L1288" s="4" t="inlineStr">
        <is>
          <t>Yes</t>
        </is>
      </c>
      <c r="M1288" s="4" t="inlineStr">
        <is>
          <t>This wonderfully warm down vest has a cinchable hem that lets you customize the shape and keep out cold drafts.</t>
        </is>
      </c>
      <c r="N1288" s="4" t="inlineStr">
        <is>
          <t>Wunder-Puff-Crop-Vest</t>
        </is>
      </c>
      <c r="O1288" s="4" t="inlineStr">
        <is>
          <t>Puffer Jackets, Vests</t>
        </is>
      </c>
    </row>
    <row r="1289" ht="80" customHeight="1">
      <c r="A1289" s="7">
        <f>IMAGE("https://images.lululemon.com/is/image/lululemon/LW4BWQS_0001_1?wid=320&amp;op_usm=0.8",1)</f>
        <v/>
      </c>
      <c r="B1289" s="7" t="inlineStr">
        <is>
          <t>Wunder Puff 600-Down-Fill Cropped Vest</t>
        </is>
      </c>
      <c r="C1289" s="7" t="inlineStr">
        <is>
          <t>142875223</t>
        </is>
      </c>
      <c r="D1289" s="7" t="inlineStr">
        <is>
          <t>142875223-black</t>
        </is>
      </c>
      <c r="E1289" s="7" t="inlineStr">
        <is>
          <t>Wunder Puff Cropped Vest BLK 2</t>
        </is>
      </c>
      <c r="F1289" s="7" t="inlineStr">
        <is>
          <t>$268.00</t>
        </is>
      </c>
      <c r="G1289" s="7" t="inlineStr">
        <is>
          <t>$134.00</t>
        </is>
      </c>
      <c r="H1289" s="7" t="inlineStr">
        <is>
          <t>Black</t>
        </is>
      </c>
      <c r="I1289" s="7">
        <f>IMAGE("https://images.lululemon.com/is/image/lululemon/0001",1)</f>
        <v/>
      </c>
      <c r="J1289" s="7" t="inlineStr">
        <is>
          <t>6</t>
        </is>
      </c>
      <c r="K1289" s="7" t="inlineStr">
        <is>
          <t>188/1374</t>
        </is>
      </c>
      <c r="L1289" s="7" t="inlineStr">
        <is>
          <t>Yes</t>
        </is>
      </c>
      <c r="M1289" s="7" t="inlineStr">
        <is>
          <t>This wonderfully warm down vest has a cinchable hem that lets you customize the shape and keep out cold drafts.</t>
        </is>
      </c>
      <c r="N1289" s="7" t="inlineStr">
        <is>
          <t>Wunder-Puff-Crop-Vest</t>
        </is>
      </c>
      <c r="O1289" s="7" t="inlineStr">
        <is>
          <t>Puffer Jackets, Vests</t>
        </is>
      </c>
    </row>
    <row r="1290" ht="80" customHeight="1">
      <c r="A1290" s="4">
        <f>IMAGE("https://images.lululemon.com/is/image/lululemon/LW4BWQS_0001_1?wid=320&amp;op_usm=0.8",1)</f>
        <v/>
      </c>
      <c r="B1290" s="4" t="inlineStr">
        <is>
          <t>Wunder Puff 600-Down-Fill Cropped Vest</t>
        </is>
      </c>
      <c r="C1290" s="4" t="inlineStr">
        <is>
          <t>142875227</t>
        </is>
      </c>
      <c r="D1290" s="4" t="inlineStr">
        <is>
          <t>142875227-black</t>
        </is>
      </c>
      <c r="E1290" s="4" t="inlineStr">
        <is>
          <t>Wunder Puff Cropped Vest BLK 2</t>
        </is>
      </c>
      <c r="F1290" s="4" t="inlineStr">
        <is>
          <t>$268.00</t>
        </is>
      </c>
      <c r="G1290" s="4" t="inlineStr">
        <is>
          <t>$134.00</t>
        </is>
      </c>
      <c r="H1290" s="4" t="inlineStr">
        <is>
          <t>Black</t>
        </is>
      </c>
      <c r="I1290" s="4">
        <f>IMAGE("https://images.lululemon.com/is/image/lululemon/0001",1)</f>
        <v/>
      </c>
      <c r="J1290" s="4" t="inlineStr">
        <is>
          <t>8</t>
        </is>
      </c>
      <c r="K1290" s="4" t="inlineStr">
        <is>
          <t>183/1374</t>
        </is>
      </c>
      <c r="L1290" s="4" t="inlineStr">
        <is>
          <t>Yes</t>
        </is>
      </c>
      <c r="M1290" s="4" t="inlineStr">
        <is>
          <t>This wonderfully warm down vest has a cinchable hem that lets you customize the shape and keep out cold drafts.</t>
        </is>
      </c>
      <c r="N1290" s="4" t="inlineStr">
        <is>
          <t>Wunder-Puff-Crop-Vest</t>
        </is>
      </c>
      <c r="O1290" s="4" t="inlineStr">
        <is>
          <t>Puffer Jackets, Vests</t>
        </is>
      </c>
    </row>
    <row r="1291" ht="80" customHeight="1">
      <c r="A1291" s="7">
        <f>IMAGE("https://images.lululemon.com/is/image/lululemon/LW4BWQS_0001_1?wid=320&amp;op_usm=0.8",1)</f>
        <v/>
      </c>
      <c r="B1291" s="7" t="inlineStr">
        <is>
          <t>Wunder Puff 600-Down-Fill Cropped Vest</t>
        </is>
      </c>
      <c r="C1291" s="7" t="inlineStr">
        <is>
          <t>142875179</t>
        </is>
      </c>
      <c r="D1291" s="7" t="inlineStr">
        <is>
          <t>142875179-black</t>
        </is>
      </c>
      <c r="E1291" s="7" t="inlineStr">
        <is>
          <t>Wunder Puff Cropped Vest BLK 2</t>
        </is>
      </c>
      <c r="F1291" s="7" t="inlineStr">
        <is>
          <t>$268.00</t>
        </is>
      </c>
      <c r="G1291" s="7" t="inlineStr">
        <is>
          <t>$134.00</t>
        </is>
      </c>
      <c r="H1291" s="7" t="inlineStr">
        <is>
          <t>Black</t>
        </is>
      </c>
      <c r="I1291" s="7">
        <f>IMAGE("https://images.lululemon.com/is/image/lululemon/0001",1)</f>
        <v/>
      </c>
      <c r="J1291" s="7" t="inlineStr">
        <is>
          <t>10</t>
        </is>
      </c>
      <c r="K1291" s="7" t="inlineStr">
        <is>
          <t>134/1374</t>
        </is>
      </c>
      <c r="L1291" s="7" t="inlineStr">
        <is>
          <t>Yes</t>
        </is>
      </c>
      <c r="M1291" s="7" t="inlineStr">
        <is>
          <t>This wonderfully warm down vest has a cinchable hem that lets you customize the shape and keep out cold drafts.</t>
        </is>
      </c>
      <c r="N1291" s="7" t="inlineStr">
        <is>
          <t>Wunder-Puff-Crop-Vest</t>
        </is>
      </c>
      <c r="O1291" s="7" t="inlineStr">
        <is>
          <t>Puffer Jackets, Vests</t>
        </is>
      </c>
    </row>
    <row r="1292" ht="80" customHeight="1">
      <c r="A1292" s="4">
        <f>IMAGE("https://images.lululemon.com/is/image/lululemon/LW4BWQS_0001_1?wid=320&amp;op_usm=0.8",1)</f>
        <v/>
      </c>
      <c r="B1292" s="4" t="inlineStr">
        <is>
          <t>Wunder Puff 600-Down-Fill Cropped Vest</t>
        </is>
      </c>
      <c r="C1292" s="4" t="inlineStr">
        <is>
          <t>142875183</t>
        </is>
      </c>
      <c r="D1292" s="4" t="inlineStr">
        <is>
          <t>142875183-black</t>
        </is>
      </c>
      <c r="E1292" s="4" t="inlineStr">
        <is>
          <t>Wunder Puff Cropped Vest BLK 2</t>
        </is>
      </c>
      <c r="F1292" s="4" t="inlineStr">
        <is>
          <t>$268.00</t>
        </is>
      </c>
      <c r="G1292" s="4" t="inlineStr">
        <is>
          <t>$134.00</t>
        </is>
      </c>
      <c r="H1292" s="4" t="inlineStr">
        <is>
          <t>Black</t>
        </is>
      </c>
      <c r="I1292" s="4">
        <f>IMAGE("https://images.lululemon.com/is/image/lululemon/0001",1)</f>
        <v/>
      </c>
      <c r="J1292" s="4" t="inlineStr">
        <is>
          <t>12</t>
        </is>
      </c>
      <c r="K1292" s="4" t="inlineStr">
        <is>
          <t>78/1374</t>
        </is>
      </c>
      <c r="L1292" s="4" t="inlineStr">
        <is>
          <t>Yes</t>
        </is>
      </c>
      <c r="M1292" s="4" t="inlineStr">
        <is>
          <t>This wonderfully warm down vest has a cinchable hem that lets you customize the shape and keep out cold drafts.</t>
        </is>
      </c>
      <c r="N1292" s="4" t="inlineStr">
        <is>
          <t>Wunder-Puff-Crop-Vest</t>
        </is>
      </c>
      <c r="O1292" s="4" t="inlineStr">
        <is>
          <t>Puffer Jackets, Vests</t>
        </is>
      </c>
    </row>
    <row r="1293" ht="80" customHeight="1">
      <c r="A1293" s="7">
        <f>IMAGE("https://images.lululemon.com/is/image/lululemon/LW4BWQS_0001_1?wid=320&amp;op_usm=0.8",1)</f>
        <v/>
      </c>
      <c r="B1293" s="7" t="inlineStr">
        <is>
          <t>Wunder Puff 600-Down-Fill Cropped Vest</t>
        </is>
      </c>
      <c r="C1293" s="7" t="inlineStr">
        <is>
          <t>144525794</t>
        </is>
      </c>
      <c r="D1293" s="7" t="inlineStr">
        <is>
          <t>144525794-black</t>
        </is>
      </c>
      <c r="E1293" s="7" t="inlineStr">
        <is>
          <t>Wunder Puff Cropped Vest BLK 2</t>
        </is>
      </c>
      <c r="F1293" s="7" t="inlineStr">
        <is>
          <t>$268.00</t>
        </is>
      </c>
      <c r="G1293" s="7" t="inlineStr">
        <is>
          <t>$134.00</t>
        </is>
      </c>
      <c r="H1293" s="7" t="inlineStr">
        <is>
          <t>Black</t>
        </is>
      </c>
      <c r="I1293" s="7">
        <f>IMAGE("https://images.lululemon.com/is/image/lululemon/0001",1)</f>
        <v/>
      </c>
      <c r="J1293" s="7" t="inlineStr">
        <is>
          <t>14</t>
        </is>
      </c>
      <c r="K1293" s="7" t="inlineStr">
        <is>
          <t>3/1374</t>
        </is>
      </c>
      <c r="L1293" s="7" t="inlineStr">
        <is>
          <t>Yes</t>
        </is>
      </c>
      <c r="M1293" s="7" t="inlineStr">
        <is>
          <t>This wonderfully warm down vest has a cinchable hem that lets you customize the shape and keep out cold drafts.</t>
        </is>
      </c>
      <c r="N1293" s="7" t="inlineStr">
        <is>
          <t>Wunder-Puff-Crop-Vest</t>
        </is>
      </c>
      <c r="O1293" s="7" t="inlineStr">
        <is>
          <t>Puffer Jackets, Vests</t>
        </is>
      </c>
    </row>
    <row r="1294" ht="80" customHeight="1">
      <c r="A1294" s="4">
        <f>IMAGE("https://images.lululemon.com/is/image/lululemon/LW4BWQS_0001_1?wid=320&amp;op_usm=0.8",1)</f>
        <v/>
      </c>
      <c r="B1294" s="4" t="inlineStr">
        <is>
          <t>Wunder Puff 600-Down-Fill Cropped Vest</t>
        </is>
      </c>
      <c r="C1294" s="4" t="inlineStr">
        <is>
          <t>158035506</t>
        </is>
      </c>
      <c r="D1294" s="4" t="inlineStr">
        <is>
          <t>158035506-lightivory</t>
        </is>
      </c>
      <c r="E1294" s="4" t="inlineStr">
        <is>
          <t>Wunder Puff Cropped Vest BLK 2</t>
        </is>
      </c>
      <c r="F1294" s="4" t="inlineStr">
        <is>
          <t>$268.00</t>
        </is>
      </c>
      <c r="G1294" s="4" t="inlineStr">
        <is>
          <t>$134.00</t>
        </is>
      </c>
      <c r="H1294" s="4" t="inlineStr">
        <is>
          <t>Light Ivory</t>
        </is>
      </c>
      <c r="I1294" s="4">
        <f>IMAGE("https://images.lululemon.com/is/image/lululemon/33454",1)</f>
        <v/>
      </c>
      <c r="J1294" s="4" t="inlineStr">
        <is>
          <t>2</t>
        </is>
      </c>
      <c r="K1294" s="4" t="inlineStr">
        <is>
          <t>1/1374</t>
        </is>
      </c>
      <c r="L1294" s="4" t="inlineStr">
        <is>
          <t>Yes</t>
        </is>
      </c>
      <c r="M1294" s="4" t="inlineStr">
        <is>
          <t>This wonderfully warm down vest has a cinchable hem that lets you customize the shape and keep out cold drafts.</t>
        </is>
      </c>
      <c r="N1294" s="4" t="inlineStr">
        <is>
          <t>Wunder-Puff-Crop-Vest</t>
        </is>
      </c>
      <c r="O1294" s="4" t="inlineStr">
        <is>
          <t>Puffer Jackets, Vests</t>
        </is>
      </c>
    </row>
    <row r="1295" ht="80" customHeight="1">
      <c r="A1295" s="7">
        <f>IMAGE("https://images.lululemon.com/is/image/lululemon/LW4BWQS_0001_1?wid=320&amp;op_usm=0.8",1)</f>
        <v/>
      </c>
      <c r="B1295" s="7" t="inlineStr">
        <is>
          <t>Wunder Puff 600-Down-Fill Cropped Vest</t>
        </is>
      </c>
      <c r="C1295" s="7" t="inlineStr">
        <is>
          <t>158035509</t>
        </is>
      </c>
      <c r="D1295" s="7" t="inlineStr">
        <is>
          <t>158035509-lightivory</t>
        </is>
      </c>
      <c r="E1295" s="7" t="inlineStr">
        <is>
          <t>Wunder Puff Cropped Vest BLK 2</t>
        </is>
      </c>
      <c r="F1295" s="7" t="inlineStr">
        <is>
          <t>$268.00</t>
        </is>
      </c>
      <c r="G1295" s="7" t="inlineStr">
        <is>
          <t>$134.00</t>
        </is>
      </c>
      <c r="H1295" s="7" t="inlineStr">
        <is>
          <t>Light Ivory</t>
        </is>
      </c>
      <c r="I1295" s="7">
        <f>IMAGE("https://images.lululemon.com/is/image/lululemon/33454",1)</f>
        <v/>
      </c>
      <c r="J1295" s="7" t="inlineStr">
        <is>
          <t>4</t>
        </is>
      </c>
      <c r="K1295" s="7" t="inlineStr">
        <is>
          <t>19/1374</t>
        </is>
      </c>
      <c r="L1295" s="7" t="inlineStr">
        <is>
          <t>Yes</t>
        </is>
      </c>
      <c r="M1295" s="7" t="inlineStr">
        <is>
          <t>This wonderfully warm down vest has a cinchable hem that lets you customize the shape and keep out cold drafts.</t>
        </is>
      </c>
      <c r="N1295" s="7" t="inlineStr">
        <is>
          <t>Wunder-Puff-Crop-Vest</t>
        </is>
      </c>
      <c r="O1295" s="7" t="inlineStr">
        <is>
          <t>Puffer Jackets, Vests</t>
        </is>
      </c>
    </row>
    <row r="1296" ht="80" customHeight="1">
      <c r="A1296" s="4">
        <f>IMAGE("https://images.lululemon.com/is/image/lululemon/LW4BWQS_0001_1?wid=320&amp;op_usm=0.8",1)</f>
        <v/>
      </c>
      <c r="B1296" s="4" t="inlineStr">
        <is>
          <t>Wunder Puff 600-Down-Fill Cropped Vest</t>
        </is>
      </c>
      <c r="C1296" s="4" t="inlineStr">
        <is>
          <t>158035511</t>
        </is>
      </c>
      <c r="D1296" s="4" t="inlineStr">
        <is>
          <t>158035511-lightivory</t>
        </is>
      </c>
      <c r="E1296" s="4" t="inlineStr">
        <is>
          <t>Wunder Puff Cropped Vest BLK 2</t>
        </is>
      </c>
      <c r="F1296" s="4" t="inlineStr">
        <is>
          <t>$268.00</t>
        </is>
      </c>
      <c r="G1296" s="4" t="inlineStr">
        <is>
          <t>$134.00</t>
        </is>
      </c>
      <c r="H1296" s="4" t="inlineStr">
        <is>
          <t>Light Ivory</t>
        </is>
      </c>
      <c r="I1296" s="4">
        <f>IMAGE("https://images.lululemon.com/is/image/lululemon/33454",1)</f>
        <v/>
      </c>
      <c r="J1296" s="4" t="inlineStr">
        <is>
          <t>6</t>
        </is>
      </c>
      <c r="K1296" s="4" t="inlineStr">
        <is>
          <t>60/1374</t>
        </is>
      </c>
      <c r="L1296" s="4" t="inlineStr">
        <is>
          <t>Yes</t>
        </is>
      </c>
      <c r="M1296" s="4" t="inlineStr">
        <is>
          <t>This wonderfully warm down vest has a cinchable hem that lets you customize the shape and keep out cold drafts.</t>
        </is>
      </c>
      <c r="N1296" s="4" t="inlineStr">
        <is>
          <t>Wunder-Puff-Crop-Vest</t>
        </is>
      </c>
      <c r="O1296" s="4" t="inlineStr">
        <is>
          <t>Puffer Jackets, Vests</t>
        </is>
      </c>
    </row>
    <row r="1297" ht="80" customHeight="1">
      <c r="A1297" s="7">
        <f>IMAGE("https://images.lululemon.com/is/image/lululemon/LW4BWQS_0001_1?wid=320&amp;op_usm=0.8",1)</f>
        <v/>
      </c>
      <c r="B1297" s="7" t="inlineStr">
        <is>
          <t>Wunder Puff 600-Down-Fill Cropped Vest</t>
        </is>
      </c>
      <c r="C1297" s="7" t="inlineStr">
        <is>
          <t>158035513</t>
        </is>
      </c>
      <c r="D1297" s="7" t="inlineStr">
        <is>
          <t>158035513-lightivory</t>
        </is>
      </c>
      <c r="E1297" s="7" t="inlineStr">
        <is>
          <t>Wunder Puff Cropped Vest BLK 2</t>
        </is>
      </c>
      <c r="F1297" s="7" t="inlineStr">
        <is>
          <t>$268.00</t>
        </is>
      </c>
      <c r="G1297" s="7" t="inlineStr">
        <is>
          <t>$134.00</t>
        </is>
      </c>
      <c r="H1297" s="7" t="inlineStr">
        <is>
          <t>Light Ivory</t>
        </is>
      </c>
      <c r="I1297" s="7">
        <f>IMAGE("https://images.lululemon.com/is/image/lululemon/33454",1)</f>
        <v/>
      </c>
      <c r="J1297" s="7" t="inlineStr">
        <is>
          <t>8</t>
        </is>
      </c>
      <c r="K1297" s="7" t="inlineStr">
        <is>
          <t>54/1374</t>
        </is>
      </c>
      <c r="L1297" s="7" t="inlineStr">
        <is>
          <t>Yes</t>
        </is>
      </c>
      <c r="M1297" s="7" t="inlineStr">
        <is>
          <t>This wonderfully warm down vest has a cinchable hem that lets you customize the shape and keep out cold drafts.</t>
        </is>
      </c>
      <c r="N1297" s="7" t="inlineStr">
        <is>
          <t>Wunder-Puff-Crop-Vest</t>
        </is>
      </c>
      <c r="O1297" s="7" t="inlineStr">
        <is>
          <t>Puffer Jackets, Vests</t>
        </is>
      </c>
    </row>
    <row r="1298" ht="80" customHeight="1">
      <c r="A1298" s="4">
        <f>IMAGE("https://images.lululemon.com/is/image/lululemon/LW4BWQS_0001_1?wid=320&amp;op_usm=0.8",1)</f>
        <v/>
      </c>
      <c r="B1298" s="4" t="inlineStr">
        <is>
          <t>Wunder Puff 600-Down-Fill Cropped Vest</t>
        </is>
      </c>
      <c r="C1298" s="4" t="inlineStr">
        <is>
          <t>158035493</t>
        </is>
      </c>
      <c r="D1298" s="4" t="inlineStr">
        <is>
          <t>158035493-lightivory</t>
        </is>
      </c>
      <c r="E1298" s="4" t="inlineStr">
        <is>
          <t>Wunder Puff Cropped Vest BLK 2</t>
        </is>
      </c>
      <c r="F1298" s="4" t="inlineStr">
        <is>
          <t>$268.00</t>
        </is>
      </c>
      <c r="G1298" s="4" t="inlineStr">
        <is>
          <t>$134.00</t>
        </is>
      </c>
      <c r="H1298" s="4" t="inlineStr">
        <is>
          <t>Light Ivory</t>
        </is>
      </c>
      <c r="I1298" s="4">
        <f>IMAGE("https://images.lululemon.com/is/image/lululemon/33454",1)</f>
        <v/>
      </c>
      <c r="J1298" s="4" t="inlineStr">
        <is>
          <t>10</t>
        </is>
      </c>
      <c r="K1298" s="4" t="inlineStr">
        <is>
          <t>47/1374</t>
        </is>
      </c>
      <c r="L1298" s="4" t="inlineStr">
        <is>
          <t>Yes</t>
        </is>
      </c>
      <c r="M1298" s="4" t="inlineStr">
        <is>
          <t>This wonderfully warm down vest has a cinchable hem that lets you customize the shape and keep out cold drafts.</t>
        </is>
      </c>
      <c r="N1298" s="4" t="inlineStr">
        <is>
          <t>Wunder-Puff-Crop-Vest</t>
        </is>
      </c>
      <c r="O1298" s="4" t="inlineStr">
        <is>
          <t>Puffer Jackets, Vests</t>
        </is>
      </c>
    </row>
    <row r="1299" ht="80" customHeight="1">
      <c r="A1299" s="7">
        <f>IMAGE("https://images.lululemon.com/is/image/lululemon/LW4BWQS_0001_1?wid=320&amp;op_usm=0.8",1)</f>
        <v/>
      </c>
      <c r="B1299" s="7" t="inlineStr">
        <is>
          <t>Wunder Puff 600-Down-Fill Cropped Vest</t>
        </is>
      </c>
      <c r="C1299" s="7" t="inlineStr">
        <is>
          <t>158035503</t>
        </is>
      </c>
      <c r="D1299" s="7" t="inlineStr">
        <is>
          <t>158035503-lightivory</t>
        </is>
      </c>
      <c r="E1299" s="7" t="inlineStr">
        <is>
          <t>Wunder Puff Cropped Vest BLK 2</t>
        </is>
      </c>
      <c r="F1299" s="7" t="inlineStr">
        <is>
          <t>$268.00</t>
        </is>
      </c>
      <c r="G1299" s="7" t="inlineStr">
        <is>
          <t>$134.00</t>
        </is>
      </c>
      <c r="H1299" s="7" t="inlineStr">
        <is>
          <t>Light Ivory</t>
        </is>
      </c>
      <c r="I1299" s="7">
        <f>IMAGE("https://images.lululemon.com/is/image/lululemon/33454",1)</f>
        <v/>
      </c>
      <c r="J1299" s="7" t="inlineStr">
        <is>
          <t>12</t>
        </is>
      </c>
      <c r="K1299" s="7" t="inlineStr">
        <is>
          <t>31/1374</t>
        </is>
      </c>
      <c r="L1299" s="7" t="inlineStr">
        <is>
          <t>Yes</t>
        </is>
      </c>
      <c r="M1299" s="7" t="inlineStr">
        <is>
          <t>This wonderfully warm down vest has a cinchable hem that lets you customize the shape and keep out cold drafts.</t>
        </is>
      </c>
      <c r="N1299" s="7" t="inlineStr">
        <is>
          <t>Wunder-Puff-Crop-Vest</t>
        </is>
      </c>
      <c r="O1299" s="7" t="inlineStr">
        <is>
          <t>Puffer Jackets, Vests</t>
        </is>
      </c>
    </row>
    <row r="1300" ht="80" customHeight="1">
      <c r="A1300" s="4">
        <f>IMAGE("https://images.lululemon.com/is/image/lululemon/LW4BWQS_0001_1?wid=320&amp;op_usm=0.8",1)</f>
        <v/>
      </c>
      <c r="B1300" s="4" t="inlineStr">
        <is>
          <t>Wunder Puff 600-Down-Fill Cropped Vest</t>
        </is>
      </c>
      <c r="C1300" s="4" t="inlineStr">
        <is>
          <t>158035420</t>
        </is>
      </c>
      <c r="D1300" s="4" t="inlineStr">
        <is>
          <t>158035420-grapemist</t>
        </is>
      </c>
      <c r="E1300" s="4" t="inlineStr">
        <is>
          <t>Wunder Puff Cropped Vest BLK 2</t>
        </is>
      </c>
      <c r="F1300" s="4" t="inlineStr">
        <is>
          <t>$268.00</t>
        </is>
      </c>
      <c r="G1300" s="4" t="inlineStr">
        <is>
          <t>$134.00</t>
        </is>
      </c>
      <c r="H1300" s="4" t="inlineStr">
        <is>
          <t>Grape Mist</t>
        </is>
      </c>
      <c r="I1300" s="4">
        <f>IMAGE("https://images.lululemon.com/is/image/lululemon/0554",1)</f>
        <v/>
      </c>
      <c r="J1300" s="4" t="inlineStr">
        <is>
          <t>2</t>
        </is>
      </c>
      <c r="K1300" s="4" t="inlineStr">
        <is>
          <t>2/1374</t>
        </is>
      </c>
      <c r="L1300" s="4" t="inlineStr">
        <is>
          <t>Yes</t>
        </is>
      </c>
      <c r="M1300" s="4" t="inlineStr">
        <is>
          <t>This wonderfully warm down vest has a cinchable hem that lets you customize the shape and keep out cold drafts.</t>
        </is>
      </c>
      <c r="N1300" s="4" t="inlineStr">
        <is>
          <t>Wunder-Puff-Crop-Vest</t>
        </is>
      </c>
      <c r="O1300" s="4" t="inlineStr">
        <is>
          <t>Puffer Jackets, Vests</t>
        </is>
      </c>
    </row>
    <row r="1301" ht="80" customHeight="1">
      <c r="A1301" s="7">
        <f>IMAGE("https://images.lululemon.com/is/image/lululemon/LW4BWQS_0001_1?wid=320&amp;op_usm=0.8",1)</f>
        <v/>
      </c>
      <c r="B1301" s="7" t="inlineStr">
        <is>
          <t>Wunder Puff 600-Down-Fill Cropped Vest</t>
        </is>
      </c>
      <c r="C1301" s="7" t="inlineStr">
        <is>
          <t>158035421</t>
        </is>
      </c>
      <c r="D1301" s="7" t="inlineStr">
        <is>
          <t>158035421-grapemist</t>
        </is>
      </c>
      <c r="E1301" s="7" t="inlineStr">
        <is>
          <t>Wunder Puff Cropped Vest BLK 2</t>
        </is>
      </c>
      <c r="F1301" s="7" t="inlineStr">
        <is>
          <t>$268.00</t>
        </is>
      </c>
      <c r="G1301" s="7" t="inlineStr">
        <is>
          <t>$134.00</t>
        </is>
      </c>
      <c r="H1301" s="7" t="inlineStr">
        <is>
          <t>Grape Mist</t>
        </is>
      </c>
      <c r="I1301" s="7">
        <f>IMAGE("https://images.lululemon.com/is/image/lululemon/0554",1)</f>
        <v/>
      </c>
      <c r="J1301" s="7" t="inlineStr">
        <is>
          <t>4</t>
        </is>
      </c>
      <c r="K1301" s="7" t="inlineStr">
        <is>
          <t>18/1374</t>
        </is>
      </c>
      <c r="L1301" s="7" t="inlineStr">
        <is>
          <t>Yes</t>
        </is>
      </c>
      <c r="M1301" s="7" t="inlineStr">
        <is>
          <t>This wonderfully warm down vest has a cinchable hem that lets you customize the shape and keep out cold drafts.</t>
        </is>
      </c>
      <c r="N1301" s="7" t="inlineStr">
        <is>
          <t>Wunder-Puff-Crop-Vest</t>
        </is>
      </c>
      <c r="O1301" s="7" t="inlineStr">
        <is>
          <t>Puffer Jackets, Vests</t>
        </is>
      </c>
    </row>
    <row r="1302" ht="80" customHeight="1">
      <c r="A1302" s="4">
        <f>IMAGE("https://images.lululemon.com/is/image/lululemon/LW4BWQS_0001_1?wid=320&amp;op_usm=0.8",1)</f>
        <v/>
      </c>
      <c r="B1302" s="4" t="inlineStr">
        <is>
          <t>Wunder Puff 600-Down-Fill Cropped Vest</t>
        </is>
      </c>
      <c r="C1302" s="4" t="inlineStr">
        <is>
          <t>158035422</t>
        </is>
      </c>
      <c r="D1302" s="4" t="inlineStr">
        <is>
          <t>158035422-grapemist</t>
        </is>
      </c>
      <c r="E1302" s="4" t="inlineStr">
        <is>
          <t>Wunder Puff Cropped Vest BLK 2</t>
        </is>
      </c>
      <c r="F1302" s="4" t="inlineStr">
        <is>
          <t>$268.00</t>
        </is>
      </c>
      <c r="G1302" s="4" t="inlineStr">
        <is>
          <t>$134.00</t>
        </is>
      </c>
      <c r="H1302" s="4" t="inlineStr">
        <is>
          <t>Grape Mist</t>
        </is>
      </c>
      <c r="I1302" s="4">
        <f>IMAGE("https://images.lululemon.com/is/image/lululemon/0554",1)</f>
        <v/>
      </c>
      <c r="J1302" s="4" t="inlineStr">
        <is>
          <t>6</t>
        </is>
      </c>
      <c r="K1302" s="4" t="inlineStr">
        <is>
          <t>59/1374</t>
        </is>
      </c>
      <c r="L1302" s="4" t="inlineStr">
        <is>
          <t>Yes</t>
        </is>
      </c>
      <c r="M1302" s="4" t="inlineStr">
        <is>
          <t>This wonderfully warm down vest has a cinchable hem that lets you customize the shape and keep out cold drafts.</t>
        </is>
      </c>
      <c r="N1302" s="4" t="inlineStr">
        <is>
          <t>Wunder-Puff-Crop-Vest</t>
        </is>
      </c>
      <c r="O1302" s="4" t="inlineStr">
        <is>
          <t>Puffer Jackets, Vests</t>
        </is>
      </c>
    </row>
    <row r="1303" ht="80" customHeight="1">
      <c r="A1303" s="7">
        <f>IMAGE("https://images.lululemon.com/is/image/lululemon/LW4BWQS_0001_1?wid=320&amp;op_usm=0.8",1)</f>
        <v/>
      </c>
      <c r="B1303" s="7" t="inlineStr">
        <is>
          <t>Wunder Puff 600-Down-Fill Cropped Vest</t>
        </is>
      </c>
      <c r="C1303" s="7" t="inlineStr">
        <is>
          <t>158035423</t>
        </is>
      </c>
      <c r="D1303" s="7" t="inlineStr">
        <is>
          <t>158035423-grapemist</t>
        </is>
      </c>
      <c r="E1303" s="7" t="inlineStr">
        <is>
          <t>Wunder Puff Cropped Vest BLK 2</t>
        </is>
      </c>
      <c r="F1303" s="7" t="inlineStr">
        <is>
          <t>$268.00</t>
        </is>
      </c>
      <c r="G1303" s="7" t="inlineStr">
        <is>
          <t>$134.00</t>
        </is>
      </c>
      <c r="H1303" s="7" t="inlineStr">
        <is>
          <t>Grape Mist</t>
        </is>
      </c>
      <c r="I1303" s="7">
        <f>IMAGE("https://images.lululemon.com/is/image/lululemon/0554",1)</f>
        <v/>
      </c>
      <c r="J1303" s="7" t="inlineStr">
        <is>
          <t>8</t>
        </is>
      </c>
      <c r="K1303" s="7" t="inlineStr">
        <is>
          <t>55/1374</t>
        </is>
      </c>
      <c r="L1303" s="7" t="inlineStr">
        <is>
          <t>Yes</t>
        </is>
      </c>
      <c r="M1303" s="7" t="inlineStr">
        <is>
          <t>This wonderfully warm down vest has a cinchable hem that lets you customize the shape and keep out cold drafts.</t>
        </is>
      </c>
      <c r="N1303" s="7" t="inlineStr">
        <is>
          <t>Wunder-Puff-Crop-Vest</t>
        </is>
      </c>
      <c r="O1303" s="7" t="inlineStr">
        <is>
          <t>Puffer Jackets, Vests</t>
        </is>
      </c>
    </row>
    <row r="1304" ht="80" customHeight="1">
      <c r="A1304" s="4">
        <f>IMAGE("https://images.lululemon.com/is/image/lululemon/LW4BWQS_0001_1?wid=320&amp;op_usm=0.8",1)</f>
        <v/>
      </c>
      <c r="B1304" s="4" t="inlineStr">
        <is>
          <t>Wunder Puff 600-Down-Fill Cropped Vest</t>
        </is>
      </c>
      <c r="C1304" s="4" t="inlineStr">
        <is>
          <t>158035418</t>
        </is>
      </c>
      <c r="D1304" s="4" t="inlineStr">
        <is>
          <t>158035418-grapemist</t>
        </is>
      </c>
      <c r="E1304" s="4" t="inlineStr">
        <is>
          <t>Wunder Puff Cropped Vest BLK 2</t>
        </is>
      </c>
      <c r="F1304" s="4" t="inlineStr">
        <is>
          <t>$268.00</t>
        </is>
      </c>
      <c r="G1304" s="4" t="inlineStr">
        <is>
          <t>$134.00</t>
        </is>
      </c>
      <c r="H1304" s="4" t="inlineStr">
        <is>
          <t>Grape Mist</t>
        </is>
      </c>
      <c r="I1304" s="4">
        <f>IMAGE("https://images.lululemon.com/is/image/lululemon/0554",1)</f>
        <v/>
      </c>
      <c r="J1304" s="4" t="inlineStr">
        <is>
          <t>10</t>
        </is>
      </c>
      <c r="K1304" s="4" t="inlineStr">
        <is>
          <t>46/1374</t>
        </is>
      </c>
      <c r="L1304" s="4" t="inlineStr">
        <is>
          <t>Yes</t>
        </is>
      </c>
      <c r="M1304" s="4" t="inlineStr">
        <is>
          <t>This wonderfully warm down vest has a cinchable hem that lets you customize the shape and keep out cold drafts.</t>
        </is>
      </c>
      <c r="N1304" s="4" t="inlineStr">
        <is>
          <t>Wunder-Puff-Crop-Vest</t>
        </is>
      </c>
      <c r="O1304" s="4" t="inlineStr">
        <is>
          <t>Puffer Jackets, Vests</t>
        </is>
      </c>
    </row>
    <row r="1305" ht="80" customHeight="1">
      <c r="A1305" s="7">
        <f>IMAGE("https://images.lululemon.com/is/image/lululemon/LW4BWQS_0001_1?wid=320&amp;op_usm=0.8",1)</f>
        <v/>
      </c>
      <c r="B1305" s="7" t="inlineStr">
        <is>
          <t>Wunder Puff 600-Down-Fill Cropped Vest</t>
        </is>
      </c>
      <c r="C1305" s="7" t="inlineStr">
        <is>
          <t>158035419</t>
        </is>
      </c>
      <c r="D1305" s="7" t="inlineStr">
        <is>
          <t>158035419-grapemist</t>
        </is>
      </c>
      <c r="E1305" s="7" t="inlineStr">
        <is>
          <t>Wunder Puff Cropped Vest BLK 2</t>
        </is>
      </c>
      <c r="F1305" s="7" t="inlineStr">
        <is>
          <t>$268.00</t>
        </is>
      </c>
      <c r="G1305" s="7" t="inlineStr">
        <is>
          <t>$134.00</t>
        </is>
      </c>
      <c r="H1305" s="7" t="inlineStr">
        <is>
          <t>Grape Mist</t>
        </is>
      </c>
      <c r="I1305" s="7">
        <f>IMAGE("https://images.lululemon.com/is/image/lululemon/0554",1)</f>
        <v/>
      </c>
      <c r="J1305" s="7" t="inlineStr">
        <is>
          <t>12</t>
        </is>
      </c>
      <c r="K1305" s="7" t="inlineStr">
        <is>
          <t>30/1374</t>
        </is>
      </c>
      <c r="L1305" s="7" t="inlineStr">
        <is>
          <t>Yes</t>
        </is>
      </c>
      <c r="M1305" s="7" t="inlineStr">
        <is>
          <t>This wonderfully warm down vest has a cinchable hem that lets you customize the shape and keep out cold drafts.</t>
        </is>
      </c>
      <c r="N1305" s="7" t="inlineStr">
        <is>
          <t>Wunder-Puff-Crop-Vest</t>
        </is>
      </c>
      <c r="O1305" s="7" t="inlineStr">
        <is>
          <t>Puffer Jackets, Vests</t>
        </is>
      </c>
    </row>
    <row r="1306" ht="80" customHeight="1">
      <c r="A1306" s="4">
        <f>IMAGE("https://images.lululemon.com/is/image/lululemon/LW4BWQS_0001_1?wid=320&amp;op_usm=0.8",1)</f>
        <v/>
      </c>
      <c r="B1306" s="4" t="inlineStr">
        <is>
          <t>Wunder Puff 600-Down-Fill Cropped Vest</t>
        </is>
      </c>
      <c r="C1306" s="4" t="inlineStr">
        <is>
          <t>157706702</t>
        </is>
      </c>
      <c r="D1306" s="4" t="inlineStr">
        <is>
          <t>157706702-rainforestgreen/greendream</t>
        </is>
      </c>
      <c r="E1306" s="4" t="inlineStr">
        <is>
          <t>Wunder Puff Cropped Vest BLK 2</t>
        </is>
      </c>
      <c r="F1306" s="4" t="inlineStr">
        <is>
          <t>$268.00</t>
        </is>
      </c>
      <c r="G1306" s="4" t="inlineStr">
        <is>
          <t>$134.00</t>
        </is>
      </c>
      <c r="H1306" s="4" t="inlineStr">
        <is>
          <t>Rainforest Green/Green Dream</t>
        </is>
      </c>
      <c r="I1306" s="4">
        <f>IMAGE("https://images.lululemon.com/is/image/lululemon/70753",1)</f>
        <v/>
      </c>
      <c r="J1306" s="4" t="inlineStr">
        <is>
          <t>6</t>
        </is>
      </c>
      <c r="K1306" s="4" t="inlineStr">
        <is>
          <t>45/1374</t>
        </is>
      </c>
      <c r="L1306" s="4" t="inlineStr">
        <is>
          <t>Yes</t>
        </is>
      </c>
      <c r="M1306" s="4" t="inlineStr">
        <is>
          <t>This wonderfully warm down vest has a cinchable hem that lets you customize the shape and keep out cold drafts.</t>
        </is>
      </c>
      <c r="N1306" s="4" t="inlineStr">
        <is>
          <t>Wunder-Puff-Crop-Vest</t>
        </is>
      </c>
      <c r="O1306" s="4" t="inlineStr">
        <is>
          <t>Puffer Jackets, Vests</t>
        </is>
      </c>
    </row>
    <row r="1307" ht="80" customHeight="1">
      <c r="A1307" s="7">
        <f>IMAGE("https://images.lululemon.com/is/image/lululemon/LW4BWQS_0001_1?wid=320&amp;op_usm=0.8",1)</f>
        <v/>
      </c>
      <c r="B1307" s="7" t="inlineStr">
        <is>
          <t>Wunder Puff 600-Down-Fill Cropped Vest</t>
        </is>
      </c>
      <c r="C1307" s="7" t="inlineStr">
        <is>
          <t>157706704</t>
        </is>
      </c>
      <c r="D1307" s="7" t="inlineStr">
        <is>
          <t>157706704-rainforestgreen/greendream</t>
        </is>
      </c>
      <c r="E1307" s="7" t="inlineStr">
        <is>
          <t>Wunder Puff Cropped Vest BLK 2</t>
        </is>
      </c>
      <c r="F1307" s="7" t="inlineStr">
        <is>
          <t>$268.00</t>
        </is>
      </c>
      <c r="G1307" s="7" t="inlineStr">
        <is>
          <t>$134.00</t>
        </is>
      </c>
      <c r="H1307" s="7" t="inlineStr">
        <is>
          <t>Rainforest Green/Green Dream</t>
        </is>
      </c>
      <c r="I1307" s="7">
        <f>IMAGE("https://images.lululemon.com/is/image/lululemon/70753",1)</f>
        <v/>
      </c>
      <c r="J1307" s="7" t="inlineStr">
        <is>
          <t>8</t>
        </is>
      </c>
      <c r="K1307" s="7" t="inlineStr">
        <is>
          <t>49/1374</t>
        </is>
      </c>
      <c r="L1307" s="7" t="inlineStr">
        <is>
          <t>Yes</t>
        </is>
      </c>
      <c r="M1307" s="7" t="inlineStr">
        <is>
          <t>This wonderfully warm down vest has a cinchable hem that lets you customize the shape and keep out cold drafts.</t>
        </is>
      </c>
      <c r="N1307" s="7" t="inlineStr">
        <is>
          <t>Wunder-Puff-Crop-Vest</t>
        </is>
      </c>
      <c r="O1307" s="7" t="inlineStr">
        <is>
          <t>Puffer Jackets, Vests</t>
        </is>
      </c>
    </row>
    <row r="1308" ht="80" customHeight="1">
      <c r="A1308" s="4">
        <f>IMAGE("https://images.lululemon.com/is/image/lululemon/LW4BWQS_0001_1?wid=320&amp;op_usm=0.8",1)</f>
        <v/>
      </c>
      <c r="B1308" s="4" t="inlineStr">
        <is>
          <t>Wunder Puff 600-Down-Fill Cropped Vest</t>
        </is>
      </c>
      <c r="C1308" s="4" t="inlineStr">
        <is>
          <t>157706681</t>
        </is>
      </c>
      <c r="D1308" s="4" t="inlineStr">
        <is>
          <t>157706681-rainforestgreen/greendream</t>
        </is>
      </c>
      <c r="E1308" s="4" t="inlineStr">
        <is>
          <t>Wunder Puff Cropped Vest BLK 2</t>
        </is>
      </c>
      <c r="F1308" s="4" t="inlineStr">
        <is>
          <t>$268.00</t>
        </is>
      </c>
      <c r="G1308" s="4" t="inlineStr">
        <is>
          <t>$134.00</t>
        </is>
      </c>
      <c r="H1308" s="4" t="inlineStr">
        <is>
          <t>Rainforest Green/Green Dream</t>
        </is>
      </c>
      <c r="I1308" s="4">
        <f>IMAGE("https://images.lululemon.com/is/image/lululemon/70753",1)</f>
        <v/>
      </c>
      <c r="J1308" s="4" t="inlineStr">
        <is>
          <t>10</t>
        </is>
      </c>
      <c r="K1308" s="4" t="inlineStr">
        <is>
          <t>48/1374</t>
        </is>
      </c>
      <c r="L1308" s="4" t="inlineStr">
        <is>
          <t>Yes</t>
        </is>
      </c>
      <c r="M1308" s="4" t="inlineStr">
        <is>
          <t>This wonderfully warm down vest has a cinchable hem that lets you customize the shape and keep out cold drafts.</t>
        </is>
      </c>
      <c r="N1308" s="4" t="inlineStr">
        <is>
          <t>Wunder-Puff-Crop-Vest</t>
        </is>
      </c>
      <c r="O1308" s="4" t="inlineStr">
        <is>
          <t>Puffer Jackets, Vests</t>
        </is>
      </c>
    </row>
    <row r="1309" ht="80" customHeight="1">
      <c r="A1309" s="5">
        <f>IMAGE("https://images.lululemon.com/is/image/lululemon/LW4BWQS_0001_1?wid=320&amp;op_usm=0.8",1)</f>
        <v/>
      </c>
      <c r="B1309" s="5" t="inlineStr">
        <is>
          <t>Wunder Puff 600-Down-Fill Cropped Vest</t>
        </is>
      </c>
      <c r="C1309" s="5" t="inlineStr">
        <is>
          <t>157706686</t>
        </is>
      </c>
      <c r="D1309" s="5" t="inlineStr">
        <is>
          <t>157706686-rainforestgreen/greendream</t>
        </is>
      </c>
      <c r="E1309" s="5" t="inlineStr">
        <is>
          <t>Wunder Puff Cropped Vest BLK 2</t>
        </is>
      </c>
      <c r="F1309" s="5" t="inlineStr">
        <is>
          <t>$268.00</t>
        </is>
      </c>
      <c r="G1309" s="5" t="inlineStr">
        <is>
          <t>$134.00</t>
        </is>
      </c>
      <c r="H1309" s="5" t="inlineStr">
        <is>
          <t>Rainforest Green/Green Dream</t>
        </is>
      </c>
      <c r="I1309" s="5">
        <f>IMAGE("https://images.lululemon.com/is/image/lululemon/70753",1)</f>
        <v/>
      </c>
      <c r="J1309" s="5" t="inlineStr">
        <is>
          <t>12</t>
        </is>
      </c>
      <c r="K1309" s="5" t="inlineStr">
        <is>
          <t>34/1374</t>
        </is>
      </c>
      <c r="L1309" s="5" t="inlineStr">
        <is>
          <t>Yes</t>
        </is>
      </c>
      <c r="M1309" s="5" t="inlineStr">
        <is>
          <t>This wonderfully warm down vest has a cinchable hem that lets you customize the shape and keep out cold drafts.</t>
        </is>
      </c>
      <c r="N1309" s="5" t="inlineStr">
        <is>
          <t>Wunder-Puff-Crop-Vest</t>
        </is>
      </c>
      <c r="O1309" s="5" t="inlineStr">
        <is>
          <t>Puffer Jackets, Vests</t>
        </is>
      </c>
    </row>
    <row r="1310" ht="80" customHeight="1">
      <c r="A1310" s="4">
        <f>IMAGE("https://images.lululemon.com/is/image/lululemon/LW2DTIS_0641_1?wid=320&amp;op_usm=0.8",1)</f>
        <v/>
      </c>
      <c r="B1310" s="4" t="inlineStr">
        <is>
          <t>lululemon Align™ V-Neck Bra *Light Support, A/B Cup</t>
        </is>
      </c>
      <c r="C1310" s="4" t="inlineStr">
        <is>
          <t>156526179</t>
        </is>
      </c>
      <c r="D1310" s="4" t="inlineStr">
        <is>
          <t>156526179-lavenderfrost</t>
        </is>
      </c>
      <c r="E1310" s="4" t="inlineStr">
        <is>
          <t>lululemon Align™ V-Neck Bra A/B LFRS 2</t>
        </is>
      </c>
      <c r="F1310" s="4" t="inlineStr">
        <is>
          <t>$58.00</t>
        </is>
      </c>
      <c r="G1310" s="4" t="inlineStr">
        <is>
          <t>$29.00</t>
        </is>
      </c>
      <c r="H1310" s="4" t="inlineStr">
        <is>
          <t>Lavender Frost</t>
        </is>
      </c>
      <c r="I1310" s="4">
        <f>IMAGE("https://images.lululemon.com/is/image/lululemon/0641",1)</f>
        <v/>
      </c>
      <c r="J1310" s="4" t="inlineStr">
        <is>
          <t>2</t>
        </is>
      </c>
      <c r="K1310" s="4" t="inlineStr">
        <is>
          <t>19/260</t>
        </is>
      </c>
      <c r="L1310" s="4" t="inlineStr">
        <is>
          <t>Yes</t>
        </is>
      </c>
      <c r="M1310" s="4" t="inlineStr">
        <is>
          <t>Feels (almost) as good as savasana. This v-neck version of our lululemon Align™ yoga bra wraps you in buttery softness.</t>
        </is>
      </c>
      <c r="N1310" s="4" t="inlineStr">
        <is>
          <t>Align-V-Neck-Bra-AB-Cup</t>
        </is>
      </c>
      <c r="O1310" s="4" t="inlineStr">
        <is>
          <t>Longline Bras, Bralettes</t>
        </is>
      </c>
    </row>
    <row r="1311" ht="80" customHeight="1">
      <c r="A1311" s="7">
        <f>IMAGE("https://images.lululemon.com/is/image/lululemon/LW2DTIS_0641_1?wid=320&amp;op_usm=0.8",1)</f>
        <v/>
      </c>
      <c r="B1311" s="7" t="inlineStr">
        <is>
          <t>lululemon Align™ V-Neck Bra *Light Support, A/B Cup</t>
        </is>
      </c>
      <c r="C1311" s="7" t="inlineStr">
        <is>
          <t>156526184</t>
        </is>
      </c>
      <c r="D1311" s="7" t="inlineStr">
        <is>
          <t>156526184-lavenderfrost</t>
        </is>
      </c>
      <c r="E1311" s="7" t="inlineStr">
        <is>
          <t>lululemon Align™ V-Neck Bra A/B LFRS 2</t>
        </is>
      </c>
      <c r="F1311" s="7" t="inlineStr">
        <is>
          <t>$58.00</t>
        </is>
      </c>
      <c r="G1311" s="7" t="inlineStr">
        <is>
          <t>$29.00</t>
        </is>
      </c>
      <c r="H1311" s="7" t="inlineStr">
        <is>
          <t>Lavender Frost</t>
        </is>
      </c>
      <c r="I1311" s="7">
        <f>IMAGE("https://images.lululemon.com/is/image/lululemon/0641",1)</f>
        <v/>
      </c>
      <c r="J1311" s="7" t="inlineStr">
        <is>
          <t>4</t>
        </is>
      </c>
      <c r="K1311" s="7" t="inlineStr">
        <is>
          <t>49/260</t>
        </is>
      </c>
      <c r="L1311" s="7" t="inlineStr">
        <is>
          <t>Yes</t>
        </is>
      </c>
      <c r="M1311" s="7" t="inlineStr">
        <is>
          <t>Feels (almost) as good as savasana. This v-neck version of our lululemon Align™ yoga bra wraps you in buttery softness.</t>
        </is>
      </c>
      <c r="N1311" s="7" t="inlineStr">
        <is>
          <t>Align-V-Neck-Bra-AB-Cup</t>
        </is>
      </c>
      <c r="O1311" s="7" t="inlineStr">
        <is>
          <t>Longline Bras, Bralettes</t>
        </is>
      </c>
    </row>
    <row r="1312" ht="80" customHeight="1">
      <c r="A1312" s="4">
        <f>IMAGE("https://images.lululemon.com/is/image/lululemon/LW2DTIS_0641_1?wid=320&amp;op_usm=0.8",1)</f>
        <v/>
      </c>
      <c r="B1312" s="4" t="inlineStr">
        <is>
          <t>lululemon Align™ V-Neck Bra *Light Support, A/B Cup</t>
        </is>
      </c>
      <c r="C1312" s="4" t="inlineStr">
        <is>
          <t>156526190</t>
        </is>
      </c>
      <c r="D1312" s="4" t="inlineStr">
        <is>
          <t>156526190-lavenderfrost</t>
        </is>
      </c>
      <c r="E1312" s="4" t="inlineStr">
        <is>
          <t>lululemon Align™ V-Neck Bra A/B LFRS 2</t>
        </is>
      </c>
      <c r="F1312" s="4" t="inlineStr">
        <is>
          <t>$58.00</t>
        </is>
      </c>
      <c r="G1312" s="4" t="inlineStr">
        <is>
          <t>$29.00</t>
        </is>
      </c>
      <c r="H1312" s="4" t="inlineStr">
        <is>
          <t>Lavender Frost</t>
        </is>
      </c>
      <c r="I1312" s="4">
        <f>IMAGE("https://images.lululemon.com/is/image/lululemon/0641",1)</f>
        <v/>
      </c>
      <c r="J1312" s="4" t="inlineStr">
        <is>
          <t>6</t>
        </is>
      </c>
      <c r="K1312" s="4" t="inlineStr">
        <is>
          <t>71/260</t>
        </is>
      </c>
      <c r="L1312" s="4" t="inlineStr">
        <is>
          <t>Yes</t>
        </is>
      </c>
      <c r="M1312" s="4" t="inlineStr">
        <is>
          <t>Feels (almost) as good as savasana. This v-neck version of our lululemon Align™ yoga bra wraps you in buttery softness.</t>
        </is>
      </c>
      <c r="N1312" s="4" t="inlineStr">
        <is>
          <t>Align-V-Neck-Bra-AB-Cup</t>
        </is>
      </c>
      <c r="O1312" s="4" t="inlineStr">
        <is>
          <t>Longline Bras, Bralettes</t>
        </is>
      </c>
    </row>
    <row r="1313" ht="80" customHeight="1">
      <c r="A1313" s="7">
        <f>IMAGE("https://images.lululemon.com/is/image/lululemon/LW2DTIS_0641_1?wid=320&amp;op_usm=0.8",1)</f>
        <v/>
      </c>
      <c r="B1313" s="7" t="inlineStr">
        <is>
          <t>lululemon Align™ V-Neck Bra *Light Support, A/B Cup</t>
        </is>
      </c>
      <c r="C1313" s="7" t="inlineStr">
        <is>
          <t>156526195</t>
        </is>
      </c>
      <c r="D1313" s="7" t="inlineStr">
        <is>
          <t>156526195-lavenderfrost</t>
        </is>
      </c>
      <c r="E1313" s="7" t="inlineStr">
        <is>
          <t>lululemon Align™ V-Neck Bra A/B LFRS 2</t>
        </is>
      </c>
      <c r="F1313" s="7" t="inlineStr">
        <is>
          <t>$58.00</t>
        </is>
      </c>
      <c r="G1313" s="7" t="inlineStr">
        <is>
          <t>$29.00</t>
        </is>
      </c>
      <c r="H1313" s="7" t="inlineStr">
        <is>
          <t>Lavender Frost</t>
        </is>
      </c>
      <c r="I1313" s="7">
        <f>IMAGE("https://images.lululemon.com/is/image/lululemon/0641",1)</f>
        <v/>
      </c>
      <c r="J1313" s="7" t="inlineStr">
        <is>
          <t>8</t>
        </is>
      </c>
      <c r="K1313" s="7" t="inlineStr">
        <is>
          <t>62/260</t>
        </is>
      </c>
      <c r="L1313" s="7" t="inlineStr">
        <is>
          <t>Yes</t>
        </is>
      </c>
      <c r="M1313" s="7" t="inlineStr">
        <is>
          <t>Feels (almost) as good as savasana. This v-neck version of our lululemon Align™ yoga bra wraps you in buttery softness.</t>
        </is>
      </c>
      <c r="N1313" s="7" t="inlineStr">
        <is>
          <t>Align-V-Neck-Bra-AB-Cup</t>
        </is>
      </c>
      <c r="O1313" s="7" t="inlineStr">
        <is>
          <t>Longline Bras, Bralettes</t>
        </is>
      </c>
    </row>
    <row r="1314" ht="80" customHeight="1">
      <c r="A1314" s="4">
        <f>IMAGE("https://images.lululemon.com/is/image/lululemon/LW2DTIS_0641_1?wid=320&amp;op_usm=0.8",1)</f>
        <v/>
      </c>
      <c r="B1314" s="4" t="inlineStr">
        <is>
          <t>lululemon Align™ V-Neck Bra *Light Support, A/B Cup</t>
        </is>
      </c>
      <c r="C1314" s="4" t="inlineStr">
        <is>
          <t>156526159</t>
        </is>
      </c>
      <c r="D1314" s="4" t="inlineStr">
        <is>
          <t>156526159-lavenderfrost</t>
        </is>
      </c>
      <c r="E1314" s="4" t="inlineStr">
        <is>
          <t>lululemon Align™ V-Neck Bra A/B LFRS 2</t>
        </is>
      </c>
      <c r="F1314" s="4" t="inlineStr">
        <is>
          <t>$58.00</t>
        </is>
      </c>
      <c r="G1314" s="4" t="inlineStr">
        <is>
          <t>$29.00</t>
        </is>
      </c>
      <c r="H1314" s="4" t="inlineStr">
        <is>
          <t>Lavender Frost</t>
        </is>
      </c>
      <c r="I1314" s="4">
        <f>IMAGE("https://images.lululemon.com/is/image/lululemon/0641",1)</f>
        <v/>
      </c>
      <c r="J1314" s="4" t="inlineStr">
        <is>
          <t>10</t>
        </is>
      </c>
      <c r="K1314" s="4" t="inlineStr">
        <is>
          <t>44/260</t>
        </is>
      </c>
      <c r="L1314" s="4" t="inlineStr">
        <is>
          <t>Yes</t>
        </is>
      </c>
      <c r="M1314" s="4" t="inlineStr">
        <is>
          <t>Feels (almost) as good as savasana. This v-neck version of our lululemon Align™ yoga bra wraps you in buttery softness.</t>
        </is>
      </c>
      <c r="N1314" s="4" t="inlineStr">
        <is>
          <t>Align-V-Neck-Bra-AB-Cup</t>
        </is>
      </c>
      <c r="O1314" s="4" t="inlineStr">
        <is>
          <t>Longline Bras, Bralettes</t>
        </is>
      </c>
    </row>
    <row r="1315" ht="80" customHeight="1">
      <c r="A1315" s="5">
        <f>IMAGE("https://images.lululemon.com/is/image/lululemon/LW2DTIS_0641_1?wid=320&amp;op_usm=0.8",1)</f>
        <v/>
      </c>
      <c r="B1315" s="5" t="inlineStr">
        <is>
          <t>lululemon Align™ V-Neck Bra *Light Support, A/B Cup</t>
        </is>
      </c>
      <c r="C1315" s="5" t="inlineStr">
        <is>
          <t>156526165</t>
        </is>
      </c>
      <c r="D1315" s="5" t="inlineStr">
        <is>
          <t>156526165-lavenderfrost</t>
        </is>
      </c>
      <c r="E1315" s="5" t="inlineStr">
        <is>
          <t>lululemon Align™ V-Neck Bra A/B LFRS 2</t>
        </is>
      </c>
      <c r="F1315" s="5" t="inlineStr">
        <is>
          <t>$58.00</t>
        </is>
      </c>
      <c r="G1315" s="5" t="inlineStr">
        <is>
          <t>$29.00</t>
        </is>
      </c>
      <c r="H1315" s="5" t="inlineStr">
        <is>
          <t>Lavender Frost</t>
        </is>
      </c>
      <c r="I1315" s="5">
        <f>IMAGE("https://images.lululemon.com/is/image/lululemon/0641",1)</f>
        <v/>
      </c>
      <c r="J1315" s="5" t="inlineStr">
        <is>
          <t>12</t>
        </is>
      </c>
      <c r="K1315" s="5" t="inlineStr">
        <is>
          <t>15/260</t>
        </is>
      </c>
      <c r="L1315" s="5" t="inlineStr">
        <is>
          <t>Yes</t>
        </is>
      </c>
      <c r="M1315" s="5" t="inlineStr">
        <is>
          <t>Feels (almost) as good as savasana. This v-neck version of our lululemon Align™ yoga bra wraps you in buttery softness.</t>
        </is>
      </c>
      <c r="N1315" s="5" t="inlineStr">
        <is>
          <t>Align-V-Neck-Bra-AB-Cup</t>
        </is>
      </c>
      <c r="O1315" s="5" t="inlineStr">
        <is>
          <t>Longline Bras, Bralettes</t>
        </is>
      </c>
    </row>
    <row r="1316" ht="80" customHeight="1">
      <c r="A1316" s="4">
        <f>IMAGE("https://images.lululemon.com/is/image/lululemon/LW4CGVS_0001_1?wid=320&amp;op_usm=0.8",1)</f>
        <v/>
      </c>
      <c r="B1316" s="4" t="inlineStr">
        <is>
          <t>Scuba Full-Zip Hoodie</t>
        </is>
      </c>
      <c r="C1316" s="4" t="inlineStr">
        <is>
          <t>155751782</t>
        </is>
      </c>
      <c r="D1316" s="4" t="inlineStr">
        <is>
          <t>155751782-black</t>
        </is>
      </c>
      <c r="E1316" s="4" t="inlineStr">
        <is>
          <t>Scuba Full-Zip Hoodie BLK 0</t>
        </is>
      </c>
      <c r="F1316" s="4" t="inlineStr">
        <is>
          <t>$138.00</t>
        </is>
      </c>
      <c r="G1316" s="4" t="inlineStr">
        <is>
          <t>$69.00</t>
        </is>
      </c>
      <c r="H1316" s="4" t="inlineStr">
        <is>
          <t>Black</t>
        </is>
      </c>
      <c r="I1316" s="4">
        <f>IMAGE("https://images.lululemon.com/is/image/lululemon/0001",1)</f>
        <v/>
      </c>
      <c r="J1316" s="4" t="inlineStr">
        <is>
          <t>0</t>
        </is>
      </c>
      <c r="K1316" s="4" t="inlineStr">
        <is>
          <t>58/4511</t>
        </is>
      </c>
      <c r="L1316" s="4" t="inlineStr">
        <is>
          <t>Yes</t>
        </is>
      </c>
      <c r="M1316" s="4" t="inlineStr">
        <is>
          <t>Serious about softness. Our signature hoodie is all about fleecy fabric and pairs perfectly with our Scuba sweatpants.</t>
        </is>
      </c>
      <c r="N1316" s="4" t="inlineStr">
        <is>
          <t>Scuba-Hoodie-IV</t>
        </is>
      </c>
      <c r="O1316" s="4" t="inlineStr">
        <is>
          <t>Hoodies, Zip Up Sweatshirts</t>
        </is>
      </c>
    </row>
    <row r="1317" ht="80" customHeight="1">
      <c r="A1317" s="7">
        <f>IMAGE("https://images.lululemon.com/is/image/lululemon/LW4CGVS_0001_1?wid=320&amp;op_usm=0.8",1)</f>
        <v/>
      </c>
      <c r="B1317" s="7" t="inlineStr">
        <is>
          <t>Scuba Full-Zip Hoodie</t>
        </is>
      </c>
      <c r="C1317" s="7" t="inlineStr">
        <is>
          <t>155751816</t>
        </is>
      </c>
      <c r="D1317" s="7" t="inlineStr">
        <is>
          <t>155751816-black</t>
        </is>
      </c>
      <c r="E1317" s="7" t="inlineStr">
        <is>
          <t>Scuba Full-Zip Hoodie BLK 0</t>
        </is>
      </c>
      <c r="F1317" s="7" t="inlineStr">
        <is>
          <t>$138.00</t>
        </is>
      </c>
      <c r="G1317" s="7" t="inlineStr">
        <is>
          <t>$69.00</t>
        </is>
      </c>
      <c r="H1317" s="7" t="inlineStr">
        <is>
          <t>Black</t>
        </is>
      </c>
      <c r="I1317" s="7">
        <f>IMAGE("https://images.lululemon.com/is/image/lululemon/0001",1)</f>
        <v/>
      </c>
      <c r="J1317" s="7" t="inlineStr">
        <is>
          <t>2</t>
        </is>
      </c>
      <c r="K1317" s="7" t="inlineStr">
        <is>
          <t>254/4511</t>
        </is>
      </c>
      <c r="L1317" s="7" t="inlineStr">
        <is>
          <t>Yes</t>
        </is>
      </c>
      <c r="M1317" s="7" t="inlineStr">
        <is>
          <t>Serious about softness. Our signature hoodie is all about fleecy fabric and pairs perfectly with our Scuba sweatpants.</t>
        </is>
      </c>
      <c r="N1317" s="7" t="inlineStr">
        <is>
          <t>Scuba-Hoodie-IV</t>
        </is>
      </c>
      <c r="O1317" s="7" t="inlineStr">
        <is>
          <t>Hoodies, Zip Up Sweatshirts</t>
        </is>
      </c>
    </row>
    <row r="1318" ht="80" customHeight="1">
      <c r="A1318" s="4">
        <f>IMAGE("https://images.lululemon.com/is/image/lululemon/LW4CGVS_0001_1?wid=320&amp;op_usm=0.8",1)</f>
        <v/>
      </c>
      <c r="B1318" s="4" t="inlineStr">
        <is>
          <t>Scuba Full-Zip Hoodie</t>
        </is>
      </c>
      <c r="C1318" s="4" t="inlineStr">
        <is>
          <t>3821700</t>
        </is>
      </c>
      <c r="D1318" s="4" t="inlineStr">
        <is>
          <t>3821700-black</t>
        </is>
      </c>
      <c r="E1318" s="4" t="inlineStr">
        <is>
          <t>Scuba Full-Zip Hoodie BLK 0</t>
        </is>
      </c>
      <c r="F1318" s="4" t="inlineStr">
        <is>
          <t>$138.00</t>
        </is>
      </c>
      <c r="G1318" s="4" t="inlineStr">
        <is>
          <t>$69.00</t>
        </is>
      </c>
      <c r="H1318" s="4" t="inlineStr">
        <is>
          <t>Black</t>
        </is>
      </c>
      <c r="I1318" s="4">
        <f>IMAGE("https://images.lululemon.com/is/image/lululemon/0001",1)</f>
        <v/>
      </c>
      <c r="J1318" s="4" t="inlineStr">
        <is>
          <t>4</t>
        </is>
      </c>
      <c r="K1318" s="4" t="inlineStr">
        <is>
          <t>1072/4511</t>
        </is>
      </c>
      <c r="L1318" s="4" t="inlineStr">
        <is>
          <t>Yes</t>
        </is>
      </c>
      <c r="M1318" s="4" t="inlineStr">
        <is>
          <t>Serious about softness. Our signature hoodie is all about fleecy fabric and pairs perfectly with our Scuba sweatpants.</t>
        </is>
      </c>
      <c r="N1318" s="4" t="inlineStr">
        <is>
          <t>Scuba-Hoodie-IV</t>
        </is>
      </c>
      <c r="O1318" s="4" t="inlineStr">
        <is>
          <t>Hoodies, Zip Up Sweatshirts</t>
        </is>
      </c>
    </row>
    <row r="1319" ht="80" customHeight="1">
      <c r="A1319" s="7">
        <f>IMAGE("https://images.lululemon.com/is/image/lululemon/LW4CGVS_0001_1?wid=320&amp;op_usm=0.8",1)</f>
        <v/>
      </c>
      <c r="B1319" s="7" t="inlineStr">
        <is>
          <t>Scuba Full-Zip Hoodie</t>
        </is>
      </c>
      <c r="C1319" s="7" t="inlineStr">
        <is>
          <t>154836232</t>
        </is>
      </c>
      <c r="D1319" s="7" t="inlineStr">
        <is>
          <t>154836232-black</t>
        </is>
      </c>
      <c r="E1319" s="7" t="inlineStr">
        <is>
          <t>Scuba Full-Zip Hoodie BLK 0</t>
        </is>
      </c>
      <c r="F1319" s="7" t="inlineStr">
        <is>
          <t>$138.00</t>
        </is>
      </c>
      <c r="G1319" s="7" t="inlineStr">
        <is>
          <t>$69.00</t>
        </is>
      </c>
      <c r="H1319" s="7" t="inlineStr">
        <is>
          <t>Black</t>
        </is>
      </c>
      <c r="I1319" s="7">
        <f>IMAGE("https://images.lululemon.com/is/image/lululemon/0001",1)</f>
        <v/>
      </c>
      <c r="J1319" s="7" t="inlineStr">
        <is>
          <t>6</t>
        </is>
      </c>
      <c r="K1319" s="7" t="inlineStr">
        <is>
          <t>569/4511</t>
        </is>
      </c>
      <c r="L1319" s="7" t="inlineStr">
        <is>
          <t>Yes</t>
        </is>
      </c>
      <c r="M1319" s="7" t="inlineStr">
        <is>
          <t>Serious about softness. Our signature hoodie is all about fleecy fabric and pairs perfectly with our Scuba sweatpants.</t>
        </is>
      </c>
      <c r="N1319" s="7" t="inlineStr">
        <is>
          <t>Scuba-Hoodie-IV</t>
        </is>
      </c>
      <c r="O1319" s="7" t="inlineStr">
        <is>
          <t>Hoodies, Zip Up Sweatshirts</t>
        </is>
      </c>
    </row>
    <row r="1320" ht="80" customHeight="1">
      <c r="A1320" s="4">
        <f>IMAGE("https://images.lululemon.com/is/image/lululemon/LW4CGVS_0001_1?wid=320&amp;op_usm=0.8",1)</f>
        <v/>
      </c>
      <c r="B1320" s="4" t="inlineStr">
        <is>
          <t>Scuba Full-Zip Hoodie</t>
        </is>
      </c>
      <c r="C1320" s="4" t="inlineStr">
        <is>
          <t>154836236</t>
        </is>
      </c>
      <c r="D1320" s="4" t="inlineStr">
        <is>
          <t>154836236-black</t>
        </is>
      </c>
      <c r="E1320" s="4" t="inlineStr">
        <is>
          <t>Scuba Full-Zip Hoodie BLK 0</t>
        </is>
      </c>
      <c r="F1320" s="4" t="inlineStr">
        <is>
          <t>$138.00</t>
        </is>
      </c>
      <c r="G1320" s="4" t="inlineStr">
        <is>
          <t>$69.00</t>
        </is>
      </c>
      <c r="H1320" s="4" t="inlineStr">
        <is>
          <t>Black</t>
        </is>
      </c>
      <c r="I1320" s="4">
        <f>IMAGE("https://images.lululemon.com/is/image/lululemon/0001",1)</f>
        <v/>
      </c>
      <c r="J1320" s="4" t="inlineStr">
        <is>
          <t>8</t>
        </is>
      </c>
      <c r="K1320" s="4" t="inlineStr">
        <is>
          <t>418/4511</t>
        </is>
      </c>
      <c r="L1320" s="4" t="inlineStr">
        <is>
          <t>Yes</t>
        </is>
      </c>
      <c r="M1320" s="4" t="inlineStr">
        <is>
          <t>Serious about softness. Our signature hoodie is all about fleecy fabric and pairs perfectly with our Scuba sweatpants.</t>
        </is>
      </c>
      <c r="N1320" s="4" t="inlineStr">
        <is>
          <t>Scuba-Hoodie-IV</t>
        </is>
      </c>
      <c r="O1320" s="4" t="inlineStr">
        <is>
          <t>Hoodies, Zip Up Sweatshirts</t>
        </is>
      </c>
    </row>
    <row r="1321" ht="80" customHeight="1">
      <c r="A1321" s="7">
        <f>IMAGE("https://images.lululemon.com/is/image/lululemon/LW4CGVS_0001_1?wid=320&amp;op_usm=0.8",1)</f>
        <v/>
      </c>
      <c r="B1321" s="7" t="inlineStr">
        <is>
          <t>Scuba Full-Zip Hoodie</t>
        </is>
      </c>
      <c r="C1321" s="7" t="inlineStr">
        <is>
          <t>154836190</t>
        </is>
      </c>
      <c r="D1321" s="7" t="inlineStr">
        <is>
          <t>154836190-black</t>
        </is>
      </c>
      <c r="E1321" s="7" t="inlineStr">
        <is>
          <t>Scuba Full-Zip Hoodie BLK 0</t>
        </is>
      </c>
      <c r="F1321" s="7" t="inlineStr">
        <is>
          <t>$138.00</t>
        </is>
      </c>
      <c r="G1321" s="7" t="inlineStr">
        <is>
          <t>$69.00</t>
        </is>
      </c>
      <c r="H1321" s="7" t="inlineStr">
        <is>
          <t>Black</t>
        </is>
      </c>
      <c r="I1321" s="7">
        <f>IMAGE("https://images.lululemon.com/is/image/lululemon/0001",1)</f>
        <v/>
      </c>
      <c r="J1321" s="7" t="inlineStr">
        <is>
          <t>10</t>
        </is>
      </c>
      <c r="K1321" s="7" t="inlineStr">
        <is>
          <t>300/4511</t>
        </is>
      </c>
      <c r="L1321" s="7" t="inlineStr">
        <is>
          <t>Yes</t>
        </is>
      </c>
      <c r="M1321" s="7" t="inlineStr">
        <is>
          <t>Serious about softness. Our signature hoodie is all about fleecy fabric and pairs perfectly with our Scuba sweatpants.</t>
        </is>
      </c>
      <c r="N1321" s="7" t="inlineStr">
        <is>
          <t>Scuba-Hoodie-IV</t>
        </is>
      </c>
      <c r="O1321" s="7" t="inlineStr">
        <is>
          <t>Hoodies, Zip Up Sweatshirts</t>
        </is>
      </c>
    </row>
    <row r="1322" ht="80" customHeight="1">
      <c r="A1322" s="4">
        <f>IMAGE("https://images.lululemon.com/is/image/lululemon/LW4CGVS_0001_1?wid=320&amp;op_usm=0.8",1)</f>
        <v/>
      </c>
      <c r="B1322" s="4" t="inlineStr">
        <is>
          <t>Scuba Full-Zip Hoodie</t>
        </is>
      </c>
      <c r="C1322" s="4" t="inlineStr">
        <is>
          <t>154836195</t>
        </is>
      </c>
      <c r="D1322" s="4" t="inlineStr">
        <is>
          <t>154836195-black</t>
        </is>
      </c>
      <c r="E1322" s="4" t="inlineStr">
        <is>
          <t>Scuba Full-Zip Hoodie BLK 0</t>
        </is>
      </c>
      <c r="F1322" s="4" t="inlineStr">
        <is>
          <t>$138.00</t>
        </is>
      </c>
      <c r="G1322" s="4" t="inlineStr">
        <is>
          <t>$69.00</t>
        </is>
      </c>
      <c r="H1322" s="4" t="inlineStr">
        <is>
          <t>Black</t>
        </is>
      </c>
      <c r="I1322" s="4">
        <f>IMAGE("https://images.lululemon.com/is/image/lululemon/0001",1)</f>
        <v/>
      </c>
      <c r="J1322" s="4" t="inlineStr">
        <is>
          <t>12</t>
        </is>
      </c>
      <c r="K1322" s="4" t="inlineStr">
        <is>
          <t>206/4511</t>
        </is>
      </c>
      <c r="L1322" s="4" t="inlineStr">
        <is>
          <t>Yes</t>
        </is>
      </c>
      <c r="M1322" s="4" t="inlineStr">
        <is>
          <t>Serious about softness. Our signature hoodie is all about fleecy fabric and pairs perfectly with our Scuba sweatpants.</t>
        </is>
      </c>
      <c r="N1322" s="4" t="inlineStr">
        <is>
          <t>Scuba-Hoodie-IV</t>
        </is>
      </c>
      <c r="O1322" s="4" t="inlineStr">
        <is>
          <t>Hoodies, Zip Up Sweatshirts</t>
        </is>
      </c>
    </row>
    <row r="1323" ht="80" customHeight="1">
      <c r="A1323" s="7">
        <f>IMAGE("https://images.lululemon.com/is/image/lululemon/LW4CGVS_0001_1?wid=320&amp;op_usm=0.8",1)</f>
        <v/>
      </c>
      <c r="B1323" s="7" t="inlineStr">
        <is>
          <t>Scuba Full-Zip Hoodie</t>
        </is>
      </c>
      <c r="C1323" s="7" t="inlineStr">
        <is>
          <t>155751806</t>
        </is>
      </c>
      <c r="D1323" s="7" t="inlineStr">
        <is>
          <t>155751806-black</t>
        </is>
      </c>
      <c r="E1323" s="7" t="inlineStr">
        <is>
          <t>Scuba Full-Zip Hoodie BLK 0</t>
        </is>
      </c>
      <c r="F1323" s="7" t="inlineStr">
        <is>
          <t>$138.00</t>
        </is>
      </c>
      <c r="G1323" s="7" t="inlineStr">
        <is>
          <t>$69.00</t>
        </is>
      </c>
      <c r="H1323" s="7" t="inlineStr">
        <is>
          <t>Black</t>
        </is>
      </c>
      <c r="I1323" s="7">
        <f>IMAGE("https://images.lululemon.com/is/image/lululemon/0001",1)</f>
        <v/>
      </c>
      <c r="J1323" s="7" t="inlineStr">
        <is>
          <t>16</t>
        </is>
      </c>
      <c r="K1323" s="7" t="inlineStr">
        <is>
          <t>13/4511</t>
        </is>
      </c>
      <c r="L1323" s="7" t="inlineStr">
        <is>
          <t>Yes</t>
        </is>
      </c>
      <c r="M1323" s="7" t="inlineStr">
        <is>
          <t>Serious about softness. Our signature hoodie is all about fleecy fabric and pairs perfectly with our Scuba sweatpants.</t>
        </is>
      </c>
      <c r="N1323" s="7" t="inlineStr">
        <is>
          <t>Scuba-Hoodie-IV</t>
        </is>
      </c>
      <c r="O1323" s="7" t="inlineStr">
        <is>
          <t>Hoodies, Zip Up Sweatshirts</t>
        </is>
      </c>
    </row>
    <row r="1324" ht="80" customHeight="1">
      <c r="A1324" s="4">
        <f>IMAGE("https://images.lululemon.com/is/image/lululemon/LW4CGVS_0001_1?wid=320&amp;op_usm=0.8",1)</f>
        <v/>
      </c>
      <c r="B1324" s="4" t="inlineStr">
        <is>
          <t>Scuba Full-Zip Hoodie</t>
        </is>
      </c>
      <c r="C1324" s="4" t="inlineStr">
        <is>
          <t>155751809</t>
        </is>
      </c>
      <c r="D1324" s="4" t="inlineStr">
        <is>
          <t>155751809-black</t>
        </is>
      </c>
      <c r="E1324" s="4" t="inlineStr">
        <is>
          <t>Scuba Full-Zip Hoodie BLK 0</t>
        </is>
      </c>
      <c r="F1324" s="4" t="inlineStr">
        <is>
          <t>$138.00</t>
        </is>
      </c>
      <c r="G1324" s="4" t="inlineStr">
        <is>
          <t>$69.00</t>
        </is>
      </c>
      <c r="H1324" s="4" t="inlineStr">
        <is>
          <t>Black</t>
        </is>
      </c>
      <c r="I1324" s="4">
        <f>IMAGE("https://images.lululemon.com/is/image/lululemon/0001",1)</f>
        <v/>
      </c>
      <c r="J1324" s="4" t="inlineStr">
        <is>
          <t>18</t>
        </is>
      </c>
      <c r="K1324" s="4" t="inlineStr">
        <is>
          <t>5/4511</t>
        </is>
      </c>
      <c r="L1324" s="4" t="inlineStr">
        <is>
          <t>Yes</t>
        </is>
      </c>
      <c r="M1324" s="4" t="inlineStr">
        <is>
          <t>Serious about softness. Our signature hoodie is all about fleecy fabric and pairs perfectly with our Scuba sweatpants.</t>
        </is>
      </c>
      <c r="N1324" s="4" t="inlineStr">
        <is>
          <t>Scuba-Hoodie-IV</t>
        </is>
      </c>
      <c r="O1324" s="4" t="inlineStr">
        <is>
          <t>Hoodies, Zip Up Sweatshirts</t>
        </is>
      </c>
    </row>
    <row r="1325" ht="80" customHeight="1">
      <c r="A1325" s="7">
        <f>IMAGE("https://images.lululemon.com/is/image/lululemon/LW4CGVS_0001_1?wid=320&amp;op_usm=0.8",1)</f>
        <v/>
      </c>
      <c r="B1325" s="7" t="inlineStr">
        <is>
          <t>Scuba Full-Zip Hoodie</t>
        </is>
      </c>
      <c r="C1325" s="7" t="inlineStr">
        <is>
          <t>155751822</t>
        </is>
      </c>
      <c r="D1325" s="7" t="inlineStr">
        <is>
          <t>155751822-black</t>
        </is>
      </c>
      <c r="E1325" s="7" t="inlineStr">
        <is>
          <t>Scuba Full-Zip Hoodie BLK 0</t>
        </is>
      </c>
      <c r="F1325" s="7" t="inlineStr">
        <is>
          <t>$138.00</t>
        </is>
      </c>
      <c r="G1325" s="7" t="inlineStr">
        <is>
          <t>$69.00</t>
        </is>
      </c>
      <c r="H1325" s="7" t="inlineStr">
        <is>
          <t>Black</t>
        </is>
      </c>
      <c r="I1325" s="7">
        <f>IMAGE("https://images.lululemon.com/is/image/lululemon/0001",1)</f>
        <v/>
      </c>
      <c r="J1325" s="7" t="inlineStr">
        <is>
          <t>20</t>
        </is>
      </c>
      <c r="K1325" s="7" t="inlineStr">
        <is>
          <t>4/4511</t>
        </is>
      </c>
      <c r="L1325" s="7" t="inlineStr">
        <is>
          <t>Yes</t>
        </is>
      </c>
      <c r="M1325" s="7" t="inlineStr">
        <is>
          <t>Serious about softness. Our signature hoodie is all about fleecy fabric and pairs perfectly with our Scuba sweatpants.</t>
        </is>
      </c>
      <c r="N1325" s="7" t="inlineStr">
        <is>
          <t>Scuba-Hoodie-IV</t>
        </is>
      </c>
      <c r="O1325" s="7" t="inlineStr">
        <is>
          <t>Hoodies, Zip Up Sweatshirts</t>
        </is>
      </c>
    </row>
    <row r="1326" ht="80" customHeight="1">
      <c r="A1326" s="4">
        <f>IMAGE("https://images.lululemon.com/is/image/lululemon/LW4CGVS_0001_1?wid=320&amp;op_usm=0.8",1)</f>
        <v/>
      </c>
      <c r="B1326" s="4" t="inlineStr">
        <is>
          <t>Scuba Full-Zip Hoodie</t>
        </is>
      </c>
      <c r="C1326" s="4" t="inlineStr">
        <is>
          <t>157679506</t>
        </is>
      </c>
      <c r="D1326" s="4" t="inlineStr">
        <is>
          <t>157679506-calypsopink</t>
        </is>
      </c>
      <c r="E1326" s="4" t="inlineStr">
        <is>
          <t>Scuba Full-Zip Hoodie BLK 0</t>
        </is>
      </c>
      <c r="F1326" s="4" t="inlineStr">
        <is>
          <t>$138.00</t>
        </is>
      </c>
      <c r="G1326" s="4" t="inlineStr">
        <is>
          <t>$69.00</t>
        </is>
      </c>
      <c r="H1326" s="4" t="inlineStr">
        <is>
          <t>Calypso Pink</t>
        </is>
      </c>
      <c r="I1326" s="4">
        <f>IMAGE("https://images.lululemon.com/is/image/lululemon/38337",1)</f>
        <v/>
      </c>
      <c r="J1326" s="4" t="inlineStr">
        <is>
          <t>2</t>
        </is>
      </c>
      <c r="K1326" s="4" t="inlineStr">
        <is>
          <t>47/4511</t>
        </is>
      </c>
      <c r="L1326" s="4" t="inlineStr">
        <is>
          <t>Yes</t>
        </is>
      </c>
      <c r="M1326" s="4" t="inlineStr">
        <is>
          <t>Serious about softness. Our signature hoodie is all about fleecy fabric and pairs perfectly with our Scuba sweatpants.</t>
        </is>
      </c>
      <c r="N1326" s="4" t="inlineStr">
        <is>
          <t>Scuba-Hoodie-IV</t>
        </is>
      </c>
      <c r="O1326" s="4" t="inlineStr">
        <is>
          <t>Hoodies, Zip Up Sweatshirts</t>
        </is>
      </c>
    </row>
    <row r="1327" ht="80" customHeight="1">
      <c r="A1327" s="7">
        <f>IMAGE("https://images.lululemon.com/is/image/lululemon/LW4CGVS_0001_1?wid=320&amp;op_usm=0.8",1)</f>
        <v/>
      </c>
      <c r="B1327" s="7" t="inlineStr">
        <is>
          <t>Scuba Full-Zip Hoodie</t>
        </is>
      </c>
      <c r="C1327" s="7" t="inlineStr">
        <is>
          <t>157679523</t>
        </is>
      </c>
      <c r="D1327" s="7" t="inlineStr">
        <is>
          <t>157679523-calypsopink</t>
        </is>
      </c>
      <c r="E1327" s="7" t="inlineStr">
        <is>
          <t>Scuba Full-Zip Hoodie BLK 0</t>
        </is>
      </c>
      <c r="F1327" s="7" t="inlineStr">
        <is>
          <t>$138.00</t>
        </is>
      </c>
      <c r="G1327" s="7" t="inlineStr">
        <is>
          <t>$69.00</t>
        </is>
      </c>
      <c r="H1327" s="7" t="inlineStr">
        <is>
          <t>Calypso Pink</t>
        </is>
      </c>
      <c r="I1327" s="7">
        <f>IMAGE("https://images.lululemon.com/is/image/lululemon/38337",1)</f>
        <v/>
      </c>
      <c r="J1327" s="7" t="inlineStr">
        <is>
          <t>4</t>
        </is>
      </c>
      <c r="K1327" s="7" t="inlineStr">
        <is>
          <t>130/4511</t>
        </is>
      </c>
      <c r="L1327" s="7" t="inlineStr">
        <is>
          <t>Yes</t>
        </is>
      </c>
      <c r="M1327" s="7" t="inlineStr">
        <is>
          <t>Serious about softness. Our signature hoodie is all about fleecy fabric and pairs perfectly with our Scuba sweatpants.</t>
        </is>
      </c>
      <c r="N1327" s="7" t="inlineStr">
        <is>
          <t>Scuba-Hoodie-IV</t>
        </is>
      </c>
      <c r="O1327" s="7" t="inlineStr">
        <is>
          <t>Hoodies, Zip Up Sweatshirts</t>
        </is>
      </c>
    </row>
    <row r="1328" ht="80" customHeight="1">
      <c r="A1328" s="4">
        <f>IMAGE("https://images.lululemon.com/is/image/lululemon/LW4CGVS_0001_1?wid=320&amp;op_usm=0.8",1)</f>
        <v/>
      </c>
      <c r="B1328" s="4" t="inlineStr">
        <is>
          <t>Scuba Full-Zip Hoodie</t>
        </is>
      </c>
      <c r="C1328" s="4" t="inlineStr">
        <is>
          <t>157679539</t>
        </is>
      </c>
      <c r="D1328" s="4" t="inlineStr">
        <is>
          <t>157679539-calypsopink</t>
        </is>
      </c>
      <c r="E1328" s="4" t="inlineStr">
        <is>
          <t>Scuba Full-Zip Hoodie BLK 0</t>
        </is>
      </c>
      <c r="F1328" s="4" t="inlineStr">
        <is>
          <t>$138.00</t>
        </is>
      </c>
      <c r="G1328" s="4" t="inlineStr">
        <is>
          <t>$69.00</t>
        </is>
      </c>
      <c r="H1328" s="4" t="inlineStr">
        <is>
          <t>Calypso Pink</t>
        </is>
      </c>
      <c r="I1328" s="4">
        <f>IMAGE("https://images.lululemon.com/is/image/lululemon/38337",1)</f>
        <v/>
      </c>
      <c r="J1328" s="4" t="inlineStr">
        <is>
          <t>6</t>
        </is>
      </c>
      <c r="K1328" s="4" t="inlineStr">
        <is>
          <t>212/4511</t>
        </is>
      </c>
      <c r="L1328" s="4" t="inlineStr">
        <is>
          <t>Yes</t>
        </is>
      </c>
      <c r="M1328" s="4" t="inlineStr">
        <is>
          <t>Serious about softness. Our signature hoodie is all about fleecy fabric and pairs perfectly with our Scuba sweatpants.</t>
        </is>
      </c>
      <c r="N1328" s="4" t="inlineStr">
        <is>
          <t>Scuba-Hoodie-IV</t>
        </is>
      </c>
      <c r="O1328" s="4" t="inlineStr">
        <is>
          <t>Hoodies, Zip Up Sweatshirts</t>
        </is>
      </c>
    </row>
    <row r="1329" ht="80" customHeight="1">
      <c r="A1329" s="7">
        <f>IMAGE("https://images.lululemon.com/is/image/lululemon/LW4CGVS_0001_1?wid=320&amp;op_usm=0.8",1)</f>
        <v/>
      </c>
      <c r="B1329" s="7" t="inlineStr">
        <is>
          <t>Scuba Full-Zip Hoodie</t>
        </is>
      </c>
      <c r="C1329" s="7" t="inlineStr">
        <is>
          <t>157679552</t>
        </is>
      </c>
      <c r="D1329" s="7" t="inlineStr">
        <is>
          <t>157679552-calypsopink</t>
        </is>
      </c>
      <c r="E1329" s="7" t="inlineStr">
        <is>
          <t>Scuba Full-Zip Hoodie BLK 0</t>
        </is>
      </c>
      <c r="F1329" s="7" t="inlineStr">
        <is>
          <t>$138.00</t>
        </is>
      </c>
      <c r="G1329" s="7" t="inlineStr">
        <is>
          <t>$69.00</t>
        </is>
      </c>
      <c r="H1329" s="7" t="inlineStr">
        <is>
          <t>Calypso Pink</t>
        </is>
      </c>
      <c r="I1329" s="7">
        <f>IMAGE("https://images.lululemon.com/is/image/lululemon/38337",1)</f>
        <v/>
      </c>
      <c r="J1329" s="7" t="inlineStr">
        <is>
          <t>8</t>
        </is>
      </c>
      <c r="K1329" s="7" t="inlineStr">
        <is>
          <t>180/4511</t>
        </is>
      </c>
      <c r="L1329" s="7" t="inlineStr">
        <is>
          <t>Yes</t>
        </is>
      </c>
      <c r="M1329" s="7" t="inlineStr">
        <is>
          <t>Serious about softness. Our signature hoodie is all about fleecy fabric and pairs perfectly with our Scuba sweatpants.</t>
        </is>
      </c>
      <c r="N1329" s="7" t="inlineStr">
        <is>
          <t>Scuba-Hoodie-IV</t>
        </is>
      </c>
      <c r="O1329" s="7" t="inlineStr">
        <is>
          <t>Hoodies, Zip Up Sweatshirts</t>
        </is>
      </c>
    </row>
    <row r="1330" ht="80" customHeight="1">
      <c r="A1330" s="4">
        <f>IMAGE("https://images.lululemon.com/is/image/lululemon/LW4CGVS_0001_1?wid=320&amp;op_usm=0.8",1)</f>
        <v/>
      </c>
      <c r="B1330" s="4" t="inlineStr">
        <is>
          <t>Scuba Full-Zip Hoodie</t>
        </is>
      </c>
      <c r="C1330" s="4" t="inlineStr">
        <is>
          <t>157679462</t>
        </is>
      </c>
      <c r="D1330" s="4" t="inlineStr">
        <is>
          <t>157679462-calypsopink</t>
        </is>
      </c>
      <c r="E1330" s="4" t="inlineStr">
        <is>
          <t>Scuba Full-Zip Hoodie BLK 0</t>
        </is>
      </c>
      <c r="F1330" s="4" t="inlineStr">
        <is>
          <t>$138.00</t>
        </is>
      </c>
      <c r="G1330" s="4" t="inlineStr">
        <is>
          <t>$69.00</t>
        </is>
      </c>
      <c r="H1330" s="4" t="inlineStr">
        <is>
          <t>Calypso Pink</t>
        </is>
      </c>
      <c r="I1330" s="4">
        <f>IMAGE("https://images.lululemon.com/is/image/lululemon/38337",1)</f>
        <v/>
      </c>
      <c r="J1330" s="4" t="inlineStr">
        <is>
          <t>10</t>
        </is>
      </c>
      <c r="K1330" s="4" t="inlineStr">
        <is>
          <t>107/4511</t>
        </is>
      </c>
      <c r="L1330" s="4" t="inlineStr">
        <is>
          <t>Yes</t>
        </is>
      </c>
      <c r="M1330" s="4" t="inlineStr">
        <is>
          <t>Serious about softness. Our signature hoodie is all about fleecy fabric and pairs perfectly with our Scuba sweatpants.</t>
        </is>
      </c>
      <c r="N1330" s="4" t="inlineStr">
        <is>
          <t>Scuba-Hoodie-IV</t>
        </is>
      </c>
      <c r="O1330" s="4" t="inlineStr">
        <is>
          <t>Hoodies, Zip Up Sweatshirts</t>
        </is>
      </c>
    </row>
    <row r="1331" ht="80" customHeight="1">
      <c r="A1331" s="7">
        <f>IMAGE("https://images.lululemon.com/is/image/lululemon/LW4CGVS_0001_1?wid=320&amp;op_usm=0.8",1)</f>
        <v/>
      </c>
      <c r="B1331" s="7" t="inlineStr">
        <is>
          <t>Scuba Full-Zip Hoodie</t>
        </is>
      </c>
      <c r="C1331" s="7" t="inlineStr">
        <is>
          <t>157679477</t>
        </is>
      </c>
      <c r="D1331" s="7" t="inlineStr">
        <is>
          <t>157679477-calypsopink</t>
        </is>
      </c>
      <c r="E1331" s="7" t="inlineStr">
        <is>
          <t>Scuba Full-Zip Hoodie BLK 0</t>
        </is>
      </c>
      <c r="F1331" s="7" t="inlineStr">
        <is>
          <t>$138.00</t>
        </is>
      </c>
      <c r="G1331" s="7" t="inlineStr">
        <is>
          <t>$69.00</t>
        </is>
      </c>
      <c r="H1331" s="7" t="inlineStr">
        <is>
          <t>Calypso Pink</t>
        </is>
      </c>
      <c r="I1331" s="7">
        <f>IMAGE("https://images.lululemon.com/is/image/lululemon/38337",1)</f>
        <v/>
      </c>
      <c r="J1331" s="7" t="inlineStr">
        <is>
          <t>12</t>
        </is>
      </c>
      <c r="K1331" s="7" t="inlineStr">
        <is>
          <t>46/4511</t>
        </is>
      </c>
      <c r="L1331" s="7" t="inlineStr">
        <is>
          <t>Yes</t>
        </is>
      </c>
      <c r="M1331" s="7" t="inlineStr">
        <is>
          <t>Serious about softness. Our signature hoodie is all about fleecy fabric and pairs perfectly with our Scuba sweatpants.</t>
        </is>
      </c>
      <c r="N1331" s="7" t="inlineStr">
        <is>
          <t>Scuba-Hoodie-IV</t>
        </is>
      </c>
      <c r="O1331" s="7" t="inlineStr">
        <is>
          <t>Hoodies, Zip Up Sweatshirts</t>
        </is>
      </c>
    </row>
    <row r="1332" ht="80" customHeight="1">
      <c r="A1332" s="4">
        <f>IMAGE("https://images.lululemon.com/is/image/lululemon/LW4CGVS_0001_1?wid=320&amp;op_usm=0.8",1)</f>
        <v/>
      </c>
      <c r="B1332" s="4" t="inlineStr">
        <is>
          <t>Scuba Full-Zip Hoodie</t>
        </is>
      </c>
      <c r="C1332" s="4" t="inlineStr">
        <is>
          <t>157679490</t>
        </is>
      </c>
      <c r="D1332" s="4" t="inlineStr">
        <is>
          <t>157679490-calypsopink</t>
        </is>
      </c>
      <c r="E1332" s="4" t="inlineStr">
        <is>
          <t>Scuba Full-Zip Hoodie BLK 0</t>
        </is>
      </c>
      <c r="F1332" s="4" t="inlineStr">
        <is>
          <t>$138.00</t>
        </is>
      </c>
      <c r="G1332" s="4" t="inlineStr">
        <is>
          <t>$69.00</t>
        </is>
      </c>
      <c r="H1332" s="4" t="inlineStr">
        <is>
          <t>Calypso Pink</t>
        </is>
      </c>
      <c r="I1332" s="4">
        <f>IMAGE("https://images.lululemon.com/is/image/lululemon/38337",1)</f>
        <v/>
      </c>
      <c r="J1332" s="4" t="inlineStr">
        <is>
          <t>14</t>
        </is>
      </c>
      <c r="K1332" s="4" t="inlineStr">
        <is>
          <t>47/4511</t>
        </is>
      </c>
      <c r="L1332" s="4" t="inlineStr">
        <is>
          <t>Yes</t>
        </is>
      </c>
      <c r="M1332" s="4" t="inlineStr">
        <is>
          <t>Serious about softness. Our signature hoodie is all about fleecy fabric and pairs perfectly with our Scuba sweatpants.</t>
        </is>
      </c>
      <c r="N1332" s="4" t="inlineStr">
        <is>
          <t>Scuba-Hoodie-IV</t>
        </is>
      </c>
      <c r="O1332" s="4" t="inlineStr">
        <is>
          <t>Hoodies, Zip Up Sweatshirts</t>
        </is>
      </c>
    </row>
    <row r="1333" ht="80" customHeight="1">
      <c r="A1333" s="7">
        <f>IMAGE("https://images.lululemon.com/is/image/lululemon/LW4CGVS_0001_1?wid=320&amp;op_usm=0.8",1)</f>
        <v/>
      </c>
      <c r="B1333" s="7" t="inlineStr">
        <is>
          <t>Scuba Full-Zip Hoodie</t>
        </is>
      </c>
      <c r="C1333" s="7" t="inlineStr">
        <is>
          <t>157679406</t>
        </is>
      </c>
      <c r="D1333" s="7" t="inlineStr">
        <is>
          <t>157679406-palmdeco</t>
        </is>
      </c>
      <c r="E1333" s="7" t="inlineStr">
        <is>
          <t>Scuba Full-Zip Hoodie BLK 0</t>
        </is>
      </c>
      <c r="F1333" s="7" t="inlineStr">
        <is>
          <t>$138.00</t>
        </is>
      </c>
      <c r="G1333" s="7" t="inlineStr">
        <is>
          <t>$69.00</t>
        </is>
      </c>
      <c r="H1333" s="7" t="inlineStr">
        <is>
          <t>Palm Deco</t>
        </is>
      </c>
      <c r="I1333" s="7">
        <f>IMAGE("https://images.lululemon.com/is/image/lululemon/35487",1)</f>
        <v/>
      </c>
      <c r="J1333" s="7" t="inlineStr">
        <is>
          <t>2</t>
        </is>
      </c>
      <c r="K1333" s="7" t="inlineStr">
        <is>
          <t>42/4511</t>
        </is>
      </c>
      <c r="L1333" s="7" t="inlineStr">
        <is>
          <t>Yes</t>
        </is>
      </c>
      <c r="M1333" s="7" t="inlineStr">
        <is>
          <t>Serious about softness. Our signature hoodie is all about fleecy fabric and pairs perfectly with our Scuba sweatpants.</t>
        </is>
      </c>
      <c r="N1333" s="7" t="inlineStr">
        <is>
          <t>Scuba-Hoodie-IV</t>
        </is>
      </c>
      <c r="O1333" s="7" t="inlineStr">
        <is>
          <t>Hoodies, Zip Up Sweatshirts</t>
        </is>
      </c>
    </row>
    <row r="1334" ht="80" customHeight="1">
      <c r="A1334" s="4">
        <f>IMAGE("https://images.lululemon.com/is/image/lululemon/LW4CGVS_0001_1?wid=320&amp;op_usm=0.8",1)</f>
        <v/>
      </c>
      <c r="B1334" s="4" t="inlineStr">
        <is>
          <t>Scuba Full-Zip Hoodie</t>
        </is>
      </c>
      <c r="C1334" s="4" t="inlineStr">
        <is>
          <t>157679421</t>
        </is>
      </c>
      <c r="D1334" s="4" t="inlineStr">
        <is>
          <t>157679421-palmdeco</t>
        </is>
      </c>
      <c r="E1334" s="4" t="inlineStr">
        <is>
          <t>Scuba Full-Zip Hoodie BLK 0</t>
        </is>
      </c>
      <c r="F1334" s="4" t="inlineStr">
        <is>
          <t>$138.00</t>
        </is>
      </c>
      <c r="G1334" s="4" t="inlineStr">
        <is>
          <t>$69.00</t>
        </is>
      </c>
      <c r="H1334" s="4" t="inlineStr">
        <is>
          <t>Palm Deco</t>
        </is>
      </c>
      <c r="I1334" s="4">
        <f>IMAGE("https://images.lululemon.com/is/image/lululemon/35487",1)</f>
        <v/>
      </c>
      <c r="J1334" s="4" t="inlineStr">
        <is>
          <t>4</t>
        </is>
      </c>
      <c r="K1334" s="4" t="inlineStr">
        <is>
          <t>105/4511</t>
        </is>
      </c>
      <c r="L1334" s="4" t="inlineStr">
        <is>
          <t>Yes</t>
        </is>
      </c>
      <c r="M1334" s="4" t="inlineStr">
        <is>
          <t>Serious about softness. Our signature hoodie is all about fleecy fabric and pairs perfectly with our Scuba sweatpants.</t>
        </is>
      </c>
      <c r="N1334" s="4" t="inlineStr">
        <is>
          <t>Scuba-Hoodie-IV</t>
        </is>
      </c>
      <c r="O1334" s="4" t="inlineStr">
        <is>
          <t>Hoodies, Zip Up Sweatshirts</t>
        </is>
      </c>
    </row>
    <row r="1335" ht="80" customHeight="1">
      <c r="A1335" s="7">
        <f>IMAGE("https://images.lululemon.com/is/image/lululemon/LW4CGVS_0001_1?wid=320&amp;op_usm=0.8",1)</f>
        <v/>
      </c>
      <c r="B1335" s="7" t="inlineStr">
        <is>
          <t>Scuba Full-Zip Hoodie</t>
        </is>
      </c>
      <c r="C1335" s="7" t="inlineStr">
        <is>
          <t>157679434</t>
        </is>
      </c>
      <c r="D1335" s="7" t="inlineStr">
        <is>
          <t>157679434-palmdeco</t>
        </is>
      </c>
      <c r="E1335" s="7" t="inlineStr">
        <is>
          <t>Scuba Full-Zip Hoodie BLK 0</t>
        </is>
      </c>
      <c r="F1335" s="7" t="inlineStr">
        <is>
          <t>$138.00</t>
        </is>
      </c>
      <c r="G1335" s="7" t="inlineStr">
        <is>
          <t>$69.00</t>
        </is>
      </c>
      <c r="H1335" s="7" t="inlineStr">
        <is>
          <t>Palm Deco</t>
        </is>
      </c>
      <c r="I1335" s="7">
        <f>IMAGE("https://images.lululemon.com/is/image/lululemon/35487",1)</f>
        <v/>
      </c>
      <c r="J1335" s="7" t="inlineStr">
        <is>
          <t>6</t>
        </is>
      </c>
      <c r="K1335" s="7" t="inlineStr">
        <is>
          <t>156/4511</t>
        </is>
      </c>
      <c r="L1335" s="7" t="inlineStr">
        <is>
          <t>Yes</t>
        </is>
      </c>
      <c r="M1335" s="7" t="inlineStr">
        <is>
          <t>Serious about softness. Our signature hoodie is all about fleecy fabric and pairs perfectly with our Scuba sweatpants.</t>
        </is>
      </c>
      <c r="N1335" s="7" t="inlineStr">
        <is>
          <t>Scuba-Hoodie-IV</t>
        </is>
      </c>
      <c r="O1335" s="7" t="inlineStr">
        <is>
          <t>Hoodies, Zip Up Sweatshirts</t>
        </is>
      </c>
    </row>
    <row r="1336" ht="80" customHeight="1">
      <c r="A1336" s="4">
        <f>IMAGE("https://images.lululemon.com/is/image/lululemon/LW4CGVS_0001_1?wid=320&amp;op_usm=0.8",1)</f>
        <v/>
      </c>
      <c r="B1336" s="4" t="inlineStr">
        <is>
          <t>Scuba Full-Zip Hoodie</t>
        </is>
      </c>
      <c r="C1336" s="4" t="inlineStr">
        <is>
          <t>157679447</t>
        </is>
      </c>
      <c r="D1336" s="4" t="inlineStr">
        <is>
          <t>157679447-palmdeco</t>
        </is>
      </c>
      <c r="E1336" s="4" t="inlineStr">
        <is>
          <t>Scuba Full-Zip Hoodie BLK 0</t>
        </is>
      </c>
      <c r="F1336" s="4" t="inlineStr">
        <is>
          <t>$138.00</t>
        </is>
      </c>
      <c r="G1336" s="4" t="inlineStr">
        <is>
          <t>$69.00</t>
        </is>
      </c>
      <c r="H1336" s="4" t="inlineStr">
        <is>
          <t>Palm Deco</t>
        </is>
      </c>
      <c r="I1336" s="4">
        <f>IMAGE("https://images.lululemon.com/is/image/lululemon/35487",1)</f>
        <v/>
      </c>
      <c r="J1336" s="4" t="inlineStr">
        <is>
          <t>8</t>
        </is>
      </c>
      <c r="K1336" s="4" t="inlineStr">
        <is>
          <t>140/4511</t>
        </is>
      </c>
      <c r="L1336" s="4" t="inlineStr">
        <is>
          <t>Yes</t>
        </is>
      </c>
      <c r="M1336" s="4" t="inlineStr">
        <is>
          <t>Serious about softness. Our signature hoodie is all about fleecy fabric and pairs perfectly with our Scuba sweatpants.</t>
        </is>
      </c>
      <c r="N1336" s="4" t="inlineStr">
        <is>
          <t>Scuba-Hoodie-IV</t>
        </is>
      </c>
      <c r="O1336" s="4" t="inlineStr">
        <is>
          <t>Hoodies, Zip Up Sweatshirts</t>
        </is>
      </c>
    </row>
    <row r="1337" ht="80" customHeight="1">
      <c r="A1337" s="7">
        <f>IMAGE("https://images.lululemon.com/is/image/lululemon/LW4CGVS_0001_1?wid=320&amp;op_usm=0.8",1)</f>
        <v/>
      </c>
      <c r="B1337" s="7" t="inlineStr">
        <is>
          <t>Scuba Full-Zip Hoodie</t>
        </is>
      </c>
      <c r="C1337" s="7" t="inlineStr">
        <is>
          <t>157679365</t>
        </is>
      </c>
      <c r="D1337" s="7" t="inlineStr">
        <is>
          <t>157679365-palmdeco</t>
        </is>
      </c>
      <c r="E1337" s="7" t="inlineStr">
        <is>
          <t>Scuba Full-Zip Hoodie BLK 0</t>
        </is>
      </c>
      <c r="F1337" s="7" t="inlineStr">
        <is>
          <t>$138.00</t>
        </is>
      </c>
      <c r="G1337" s="7" t="inlineStr">
        <is>
          <t>$69.00</t>
        </is>
      </c>
      <c r="H1337" s="7" t="inlineStr">
        <is>
          <t>Palm Deco</t>
        </is>
      </c>
      <c r="I1337" s="7">
        <f>IMAGE("https://images.lululemon.com/is/image/lululemon/35487",1)</f>
        <v/>
      </c>
      <c r="J1337" s="7" t="inlineStr">
        <is>
          <t>10</t>
        </is>
      </c>
      <c r="K1337" s="7" t="inlineStr">
        <is>
          <t>68/4511</t>
        </is>
      </c>
      <c r="L1337" s="7" t="inlineStr">
        <is>
          <t>Yes</t>
        </is>
      </c>
      <c r="M1337" s="7" t="inlineStr">
        <is>
          <t>Serious about softness. Our signature hoodie is all about fleecy fabric and pairs perfectly with our Scuba sweatpants.</t>
        </is>
      </c>
      <c r="N1337" s="7" t="inlineStr">
        <is>
          <t>Scuba-Hoodie-IV</t>
        </is>
      </c>
      <c r="O1337" s="7" t="inlineStr">
        <is>
          <t>Hoodies, Zip Up Sweatshirts</t>
        </is>
      </c>
    </row>
    <row r="1338" ht="80" customHeight="1">
      <c r="A1338" s="4">
        <f>IMAGE("https://images.lululemon.com/is/image/lululemon/LW4CGVS_0001_1?wid=320&amp;op_usm=0.8",1)</f>
        <v/>
      </c>
      <c r="B1338" s="4" t="inlineStr">
        <is>
          <t>Scuba Full-Zip Hoodie</t>
        </is>
      </c>
      <c r="C1338" s="4" t="inlineStr">
        <is>
          <t>157679379</t>
        </is>
      </c>
      <c r="D1338" s="4" t="inlineStr">
        <is>
          <t>157679379-palmdeco</t>
        </is>
      </c>
      <c r="E1338" s="4" t="inlineStr">
        <is>
          <t>Scuba Full-Zip Hoodie BLK 0</t>
        </is>
      </c>
      <c r="F1338" s="4" t="inlineStr">
        <is>
          <t>$138.00</t>
        </is>
      </c>
      <c r="G1338" s="4" t="inlineStr">
        <is>
          <t>$69.00</t>
        </is>
      </c>
      <c r="H1338" s="4" t="inlineStr">
        <is>
          <t>Palm Deco</t>
        </is>
      </c>
      <c r="I1338" s="4">
        <f>IMAGE("https://images.lululemon.com/is/image/lululemon/35487",1)</f>
        <v/>
      </c>
      <c r="J1338" s="4" t="inlineStr">
        <is>
          <t>12</t>
        </is>
      </c>
      <c r="K1338" s="4" t="inlineStr">
        <is>
          <t>25/4511</t>
        </is>
      </c>
      <c r="L1338" s="4" t="inlineStr">
        <is>
          <t>Yes</t>
        </is>
      </c>
      <c r="M1338" s="4" t="inlineStr">
        <is>
          <t>Serious about softness. Our signature hoodie is all about fleecy fabric and pairs perfectly with our Scuba sweatpants.</t>
        </is>
      </c>
      <c r="N1338" s="4" t="inlineStr">
        <is>
          <t>Scuba-Hoodie-IV</t>
        </is>
      </c>
      <c r="O1338" s="4" t="inlineStr">
        <is>
          <t>Hoodies, Zip Up Sweatshirts</t>
        </is>
      </c>
    </row>
    <row r="1339" ht="80" customHeight="1">
      <c r="A1339" s="7">
        <f>IMAGE("https://images.lululemon.com/is/image/lululemon/LW4CGVS_0001_1?wid=320&amp;op_usm=0.8",1)</f>
        <v/>
      </c>
      <c r="B1339" s="7" t="inlineStr">
        <is>
          <t>Scuba Full-Zip Hoodie</t>
        </is>
      </c>
      <c r="C1339" s="7" t="inlineStr">
        <is>
          <t>157679393</t>
        </is>
      </c>
      <c r="D1339" s="7" t="inlineStr">
        <is>
          <t>157679393-palmdeco</t>
        </is>
      </c>
      <c r="E1339" s="7" t="inlineStr">
        <is>
          <t>Scuba Full-Zip Hoodie BLK 0</t>
        </is>
      </c>
      <c r="F1339" s="7" t="inlineStr">
        <is>
          <t>$138.00</t>
        </is>
      </c>
      <c r="G1339" s="7" t="inlineStr">
        <is>
          <t>$69.00</t>
        </is>
      </c>
      <c r="H1339" s="7" t="inlineStr">
        <is>
          <t>Palm Deco</t>
        </is>
      </c>
      <c r="I1339" s="7">
        <f>IMAGE("https://images.lululemon.com/is/image/lululemon/35487",1)</f>
        <v/>
      </c>
      <c r="J1339" s="7" t="inlineStr">
        <is>
          <t>14</t>
        </is>
      </c>
      <c r="K1339" s="7" t="inlineStr">
        <is>
          <t>34/4511</t>
        </is>
      </c>
      <c r="L1339" s="7" t="inlineStr">
        <is>
          <t>Yes</t>
        </is>
      </c>
      <c r="M1339" s="7" t="inlineStr">
        <is>
          <t>Serious about softness. Our signature hoodie is all about fleecy fabric and pairs perfectly with our Scuba sweatpants.</t>
        </is>
      </c>
      <c r="N1339" s="7" t="inlineStr">
        <is>
          <t>Scuba-Hoodie-IV</t>
        </is>
      </c>
      <c r="O1339" s="7" t="inlineStr">
        <is>
          <t>Hoodies, Zip Up Sweatshirts</t>
        </is>
      </c>
    </row>
    <row r="1340" ht="80" customHeight="1">
      <c r="A1340" s="4">
        <f>IMAGE("https://images.lululemon.com/is/image/lululemon/LW4CGVS_0001_1?wid=320&amp;op_usm=0.8",1)</f>
        <v/>
      </c>
      <c r="B1340" s="4" t="inlineStr">
        <is>
          <t>Scuba Full-Zip Hoodie</t>
        </is>
      </c>
      <c r="C1340" s="4" t="inlineStr">
        <is>
          <t>158101166</t>
        </is>
      </c>
      <c r="D1340" s="4" t="inlineStr">
        <is>
          <t>158101166-grapemist</t>
        </is>
      </c>
      <c r="E1340" s="4" t="inlineStr">
        <is>
          <t>Scuba Full-Zip Hoodie BLK 0</t>
        </is>
      </c>
      <c r="F1340" s="4" t="inlineStr">
        <is>
          <t>$138.00</t>
        </is>
      </c>
      <c r="G1340" s="4" t="inlineStr">
        <is>
          <t>$69.00</t>
        </is>
      </c>
      <c r="H1340" s="4" t="inlineStr">
        <is>
          <t>Grape Mist</t>
        </is>
      </c>
      <c r="I1340" s="4">
        <f>IMAGE("https://images.lululemon.com/is/image/lululemon/0554",1)</f>
        <v/>
      </c>
      <c r="J1340" s="4" t="inlineStr">
        <is>
          <t>2</t>
        </is>
      </c>
      <c r="K1340" s="4" t="inlineStr">
        <is>
          <t>17/4511</t>
        </is>
      </c>
      <c r="L1340" s="4" t="inlineStr">
        <is>
          <t>Yes</t>
        </is>
      </c>
      <c r="M1340" s="4" t="inlineStr">
        <is>
          <t>Serious about softness. Our signature hoodie is all about fleecy fabric and pairs perfectly with our Scuba sweatpants.</t>
        </is>
      </c>
      <c r="N1340" s="4" t="inlineStr">
        <is>
          <t>Scuba-Hoodie-IV</t>
        </is>
      </c>
      <c r="O1340" s="4" t="inlineStr">
        <is>
          <t>Hoodies, Zip Up Sweatshirts</t>
        </is>
      </c>
    </row>
    <row r="1341" ht="80" customHeight="1">
      <c r="A1341" s="7">
        <f>IMAGE("https://images.lululemon.com/is/image/lululemon/LW4CGVS_0001_1?wid=320&amp;op_usm=0.8",1)</f>
        <v/>
      </c>
      <c r="B1341" s="7" t="inlineStr">
        <is>
          <t>Scuba Full-Zip Hoodie</t>
        </is>
      </c>
      <c r="C1341" s="7" t="inlineStr">
        <is>
          <t>158101168</t>
        </is>
      </c>
      <c r="D1341" s="7" t="inlineStr">
        <is>
          <t>158101168-grapemist</t>
        </is>
      </c>
      <c r="E1341" s="7" t="inlineStr">
        <is>
          <t>Scuba Full-Zip Hoodie BLK 0</t>
        </is>
      </c>
      <c r="F1341" s="7" t="inlineStr">
        <is>
          <t>$138.00</t>
        </is>
      </c>
      <c r="G1341" s="7" t="inlineStr">
        <is>
          <t>$69.00</t>
        </is>
      </c>
      <c r="H1341" s="7" t="inlineStr">
        <is>
          <t>Grape Mist</t>
        </is>
      </c>
      <c r="I1341" s="7">
        <f>IMAGE("https://images.lululemon.com/is/image/lululemon/0554",1)</f>
        <v/>
      </c>
      <c r="J1341" s="7" t="inlineStr">
        <is>
          <t>4</t>
        </is>
      </c>
      <c r="K1341" s="7" t="inlineStr">
        <is>
          <t>46/4511</t>
        </is>
      </c>
      <c r="L1341" s="7" t="inlineStr">
        <is>
          <t>Yes</t>
        </is>
      </c>
      <c r="M1341" s="7" t="inlineStr">
        <is>
          <t>Serious about softness. Our signature hoodie is all about fleecy fabric and pairs perfectly with our Scuba sweatpants.</t>
        </is>
      </c>
      <c r="N1341" s="7" t="inlineStr">
        <is>
          <t>Scuba-Hoodie-IV</t>
        </is>
      </c>
      <c r="O1341" s="7" t="inlineStr">
        <is>
          <t>Hoodies, Zip Up Sweatshirts</t>
        </is>
      </c>
    </row>
    <row r="1342" ht="80" customHeight="1">
      <c r="A1342" s="4">
        <f>IMAGE("https://images.lululemon.com/is/image/lululemon/LW4CGVS_0001_1?wid=320&amp;op_usm=0.8",1)</f>
        <v/>
      </c>
      <c r="B1342" s="4" t="inlineStr">
        <is>
          <t>Scuba Full-Zip Hoodie</t>
        </is>
      </c>
      <c r="C1342" s="4" t="inlineStr">
        <is>
          <t>158101169</t>
        </is>
      </c>
      <c r="D1342" s="4" t="inlineStr">
        <is>
          <t>158101169-grapemist</t>
        </is>
      </c>
      <c r="E1342" s="4" t="inlineStr">
        <is>
          <t>Scuba Full-Zip Hoodie BLK 0</t>
        </is>
      </c>
      <c r="F1342" s="4" t="inlineStr">
        <is>
          <t>$138.00</t>
        </is>
      </c>
      <c r="G1342" s="4" t="inlineStr">
        <is>
          <t>$69.00</t>
        </is>
      </c>
      <c r="H1342" s="4" t="inlineStr">
        <is>
          <t>Grape Mist</t>
        </is>
      </c>
      <c r="I1342" s="4">
        <f>IMAGE("https://images.lululemon.com/is/image/lululemon/0554",1)</f>
        <v/>
      </c>
      <c r="J1342" s="4" t="inlineStr">
        <is>
          <t>6</t>
        </is>
      </c>
      <c r="K1342" s="4" t="inlineStr">
        <is>
          <t>84/4511</t>
        </is>
      </c>
      <c r="L1342" s="4" t="inlineStr">
        <is>
          <t>Yes</t>
        </is>
      </c>
      <c r="M1342" s="4" t="inlineStr">
        <is>
          <t>Serious about softness. Our signature hoodie is all about fleecy fabric and pairs perfectly with our Scuba sweatpants.</t>
        </is>
      </c>
      <c r="N1342" s="4" t="inlineStr">
        <is>
          <t>Scuba-Hoodie-IV</t>
        </is>
      </c>
      <c r="O1342" s="4" t="inlineStr">
        <is>
          <t>Hoodies, Zip Up Sweatshirts</t>
        </is>
      </c>
    </row>
    <row r="1343" ht="80" customHeight="1">
      <c r="A1343" s="7">
        <f>IMAGE("https://images.lululemon.com/is/image/lululemon/LW4CGVS_0001_1?wid=320&amp;op_usm=0.8",1)</f>
        <v/>
      </c>
      <c r="B1343" s="7" t="inlineStr">
        <is>
          <t>Scuba Full-Zip Hoodie</t>
        </is>
      </c>
      <c r="C1343" s="7" t="inlineStr">
        <is>
          <t>158101170</t>
        </is>
      </c>
      <c r="D1343" s="7" t="inlineStr">
        <is>
          <t>158101170-grapemist</t>
        </is>
      </c>
      <c r="E1343" s="7" t="inlineStr">
        <is>
          <t>Scuba Full-Zip Hoodie BLK 0</t>
        </is>
      </c>
      <c r="F1343" s="7" t="inlineStr">
        <is>
          <t>$138.00</t>
        </is>
      </c>
      <c r="G1343" s="7" t="inlineStr">
        <is>
          <t>$69.00</t>
        </is>
      </c>
      <c r="H1343" s="7" t="inlineStr">
        <is>
          <t>Grape Mist</t>
        </is>
      </c>
      <c r="I1343" s="7">
        <f>IMAGE("https://images.lululemon.com/is/image/lululemon/0554",1)</f>
        <v/>
      </c>
      <c r="J1343" s="7" t="inlineStr">
        <is>
          <t>8</t>
        </is>
      </c>
      <c r="K1343" s="7" t="inlineStr">
        <is>
          <t>70/4511</t>
        </is>
      </c>
      <c r="L1343" s="7" t="inlineStr">
        <is>
          <t>Yes</t>
        </is>
      </c>
      <c r="M1343" s="7" t="inlineStr">
        <is>
          <t>Serious about softness. Our signature hoodie is all about fleecy fabric and pairs perfectly with our Scuba sweatpants.</t>
        </is>
      </c>
      <c r="N1343" s="7" t="inlineStr">
        <is>
          <t>Scuba-Hoodie-IV</t>
        </is>
      </c>
      <c r="O1343" s="7" t="inlineStr">
        <is>
          <t>Hoodies, Zip Up Sweatshirts</t>
        </is>
      </c>
    </row>
    <row r="1344" ht="80" customHeight="1">
      <c r="A1344" s="4">
        <f>IMAGE("https://images.lululemon.com/is/image/lululemon/LW4CGVS_0001_1?wid=320&amp;op_usm=0.8",1)</f>
        <v/>
      </c>
      <c r="B1344" s="4" t="inlineStr">
        <is>
          <t>Scuba Full-Zip Hoodie</t>
        </is>
      </c>
      <c r="C1344" s="4" t="inlineStr">
        <is>
          <t>158101161</t>
        </is>
      </c>
      <c r="D1344" s="4" t="inlineStr">
        <is>
          <t>158101161-grapemist</t>
        </is>
      </c>
      <c r="E1344" s="4" t="inlineStr">
        <is>
          <t>Scuba Full-Zip Hoodie BLK 0</t>
        </is>
      </c>
      <c r="F1344" s="4" t="inlineStr">
        <is>
          <t>$138.00</t>
        </is>
      </c>
      <c r="G1344" s="4" t="inlineStr">
        <is>
          <t>$69.00</t>
        </is>
      </c>
      <c r="H1344" s="4" t="inlineStr">
        <is>
          <t>Grape Mist</t>
        </is>
      </c>
      <c r="I1344" s="4">
        <f>IMAGE("https://images.lululemon.com/is/image/lululemon/0554",1)</f>
        <v/>
      </c>
      <c r="J1344" s="4" t="inlineStr">
        <is>
          <t>10</t>
        </is>
      </c>
      <c r="K1344" s="4" t="inlineStr">
        <is>
          <t>28/4511</t>
        </is>
      </c>
      <c r="L1344" s="4" t="inlineStr">
        <is>
          <t>Yes</t>
        </is>
      </c>
      <c r="M1344" s="4" t="inlineStr">
        <is>
          <t>Serious about softness. Our signature hoodie is all about fleecy fabric and pairs perfectly with our Scuba sweatpants.</t>
        </is>
      </c>
      <c r="N1344" s="4" t="inlineStr">
        <is>
          <t>Scuba-Hoodie-IV</t>
        </is>
      </c>
      <c r="O1344" s="4" t="inlineStr">
        <is>
          <t>Hoodies, Zip Up Sweatshirts</t>
        </is>
      </c>
    </row>
    <row r="1345" ht="80" customHeight="1">
      <c r="A1345" s="5">
        <f>IMAGE("https://images.lululemon.com/is/image/lululemon/LW4CGVS_0001_1?wid=320&amp;op_usm=0.8",1)</f>
        <v/>
      </c>
      <c r="B1345" s="5" t="inlineStr">
        <is>
          <t>Scuba Full-Zip Hoodie</t>
        </is>
      </c>
      <c r="C1345" s="5" t="inlineStr">
        <is>
          <t>158101162</t>
        </is>
      </c>
      <c r="D1345" s="5" t="inlineStr">
        <is>
          <t>158101162-grapemist</t>
        </is>
      </c>
      <c r="E1345" s="5" t="inlineStr">
        <is>
          <t>Scuba Full-Zip Hoodie BLK 0</t>
        </is>
      </c>
      <c r="F1345" s="5" t="inlineStr">
        <is>
          <t>$138.00</t>
        </is>
      </c>
      <c r="G1345" s="5" t="inlineStr">
        <is>
          <t>$69.00</t>
        </is>
      </c>
      <c r="H1345" s="5" t="inlineStr">
        <is>
          <t>Grape Mist</t>
        </is>
      </c>
      <c r="I1345" s="5">
        <f>IMAGE("https://images.lululemon.com/is/image/lululemon/0554",1)</f>
        <v/>
      </c>
      <c r="J1345" s="5" t="inlineStr">
        <is>
          <t>12</t>
        </is>
      </c>
      <c r="K1345" s="5" t="inlineStr">
        <is>
          <t>28/4511</t>
        </is>
      </c>
      <c r="L1345" s="5" t="inlineStr">
        <is>
          <t>Yes</t>
        </is>
      </c>
      <c r="M1345" s="5" t="inlineStr">
        <is>
          <t>Serious about softness. Our signature hoodie is all about fleecy fabric and pairs perfectly with our Scuba sweatpants.</t>
        </is>
      </c>
      <c r="N1345" s="5" t="inlineStr">
        <is>
          <t>Scuba-Hoodie-IV</t>
        </is>
      </c>
      <c r="O1345" s="5" t="inlineStr">
        <is>
          <t>Hoodies, Zip Up Sweatshirts</t>
        </is>
      </c>
    </row>
    <row r="1346" ht="80" customHeight="1">
      <c r="A1346" s="4">
        <f>IMAGE("https://images.lululemon.com/is/image/lululemon/LW7DDWS_043646_1?wid=320&amp;op_usm=0.8",1)</f>
        <v/>
      </c>
      <c r="B1346" s="4" t="inlineStr">
        <is>
          <t>Get Low High-Rise Training Short 5"</t>
        </is>
      </c>
      <c r="C1346" s="4" t="inlineStr">
        <is>
          <t>157675696</t>
        </is>
      </c>
      <c r="D1346" s="4" t="inlineStr">
        <is>
          <t>157675696-black/graphitegrey</t>
        </is>
      </c>
      <c r="E1346" s="4" t="inlineStr">
        <is>
          <t>Get Low HR Training Short 5" BLK/GGRE 2</t>
        </is>
      </c>
      <c r="F1346" s="4" t="inlineStr">
        <is>
          <t>$74.00</t>
        </is>
      </c>
      <c r="G1346" s="4" t="inlineStr">
        <is>
          <t>$37.00</t>
        </is>
      </c>
      <c r="H1346" s="4" t="inlineStr">
        <is>
          <t>Black/Graphite Grey</t>
        </is>
      </c>
      <c r="I1346" s="4">
        <f>IMAGE("https://images.lululemon.com/is/image/lululemon/43646",1)</f>
        <v/>
      </c>
      <c r="J1346" s="4" t="inlineStr">
        <is>
          <t>2</t>
        </is>
      </c>
      <c r="K1346" s="4" t="inlineStr">
        <is>
          <t>39/1012</t>
        </is>
      </c>
      <c r="L1346" s="4" t="inlineStr">
        <is>
          <t>Yes</t>
        </is>
      </c>
      <c r="M1346" s="4" t="inlineStr">
        <is>
          <t>You put in the work—here's the gear to match. These seamless shorts offer a hugged feel and a defined look to your quads and glutes through every supercharged movement.</t>
        </is>
      </c>
      <c r="N1346" s="4" t="inlineStr">
        <is>
          <t>Get-Low-High-Rise-Training-Short-5</t>
        </is>
      </c>
      <c r="O1346" s="4" t="inlineStr">
        <is>
          <t>Biker Shorts</t>
        </is>
      </c>
    </row>
    <row r="1347" ht="80" customHeight="1">
      <c r="A1347" s="7">
        <f>IMAGE("https://images.lululemon.com/is/image/lululemon/LW7DDWS_043646_1?wid=320&amp;op_usm=0.8",1)</f>
        <v/>
      </c>
      <c r="B1347" s="7" t="inlineStr">
        <is>
          <t>Get Low High-Rise Training Short 5"</t>
        </is>
      </c>
      <c r="C1347" s="7" t="inlineStr">
        <is>
          <t>157675697</t>
        </is>
      </c>
      <c r="D1347" s="7" t="inlineStr">
        <is>
          <t>157675697-black/graphitegrey</t>
        </is>
      </c>
      <c r="E1347" s="7" t="inlineStr">
        <is>
          <t>Get Low HR Training Short 5" BLK/GGRE 2</t>
        </is>
      </c>
      <c r="F1347" s="7" t="inlineStr">
        <is>
          <t>$74.00</t>
        </is>
      </c>
      <c r="G1347" s="7" t="inlineStr">
        <is>
          <t>$37.00</t>
        </is>
      </c>
      <c r="H1347" s="7" t="inlineStr">
        <is>
          <t>Black/Graphite Grey</t>
        </is>
      </c>
      <c r="I1347" s="7">
        <f>IMAGE("https://images.lululemon.com/is/image/lululemon/43646",1)</f>
        <v/>
      </c>
      <c r="J1347" s="7" t="inlineStr">
        <is>
          <t>4</t>
        </is>
      </c>
      <c r="K1347" s="7" t="inlineStr">
        <is>
          <t>73/1012</t>
        </is>
      </c>
      <c r="L1347" s="7" t="inlineStr">
        <is>
          <t>Yes</t>
        </is>
      </c>
      <c r="M1347" s="7" t="inlineStr">
        <is>
          <t>You put in the work—here's the gear to match. These seamless shorts offer a hugged feel and a defined look to your quads and glutes through every supercharged movement.</t>
        </is>
      </c>
      <c r="N1347" s="7" t="inlineStr">
        <is>
          <t>Get-Low-High-Rise-Training-Short-5</t>
        </is>
      </c>
      <c r="O1347" s="7" t="inlineStr">
        <is>
          <t>Biker Shorts</t>
        </is>
      </c>
    </row>
    <row r="1348" ht="80" customHeight="1">
      <c r="A1348" s="4">
        <f>IMAGE("https://images.lululemon.com/is/image/lululemon/LW7DDWS_043646_1?wid=320&amp;op_usm=0.8",1)</f>
        <v/>
      </c>
      <c r="B1348" s="4" t="inlineStr">
        <is>
          <t>Get Low High-Rise Training Short 5"</t>
        </is>
      </c>
      <c r="C1348" s="4" t="inlineStr">
        <is>
          <t>157675698</t>
        </is>
      </c>
      <c r="D1348" s="4" t="inlineStr">
        <is>
          <t>157675698-black/graphitegrey</t>
        </is>
      </c>
      <c r="E1348" s="4" t="inlineStr">
        <is>
          <t>Get Low HR Training Short 5" BLK/GGRE 2</t>
        </is>
      </c>
      <c r="F1348" s="4" t="inlineStr">
        <is>
          <t>$74.00</t>
        </is>
      </c>
      <c r="G1348" s="4" t="inlineStr">
        <is>
          <t>$37.00</t>
        </is>
      </c>
      <c r="H1348" s="4" t="inlineStr">
        <is>
          <t>Black/Graphite Grey</t>
        </is>
      </c>
      <c r="I1348" s="4">
        <f>IMAGE("https://images.lululemon.com/is/image/lululemon/43646",1)</f>
        <v/>
      </c>
      <c r="J1348" s="4" t="inlineStr">
        <is>
          <t>6</t>
        </is>
      </c>
      <c r="K1348" s="4" t="inlineStr">
        <is>
          <t>80/1012</t>
        </is>
      </c>
      <c r="L1348" s="4" t="inlineStr">
        <is>
          <t>Yes</t>
        </is>
      </c>
      <c r="M1348" s="4" t="inlineStr">
        <is>
          <t>You put in the work—here's the gear to match. These seamless shorts offer a hugged feel and a defined look to your quads and glutes through every supercharged movement.</t>
        </is>
      </c>
      <c r="N1348" s="4" t="inlineStr">
        <is>
          <t>Get-Low-High-Rise-Training-Short-5</t>
        </is>
      </c>
      <c r="O1348" s="4" t="inlineStr">
        <is>
          <t>Biker Shorts</t>
        </is>
      </c>
    </row>
    <row r="1349" ht="80" customHeight="1">
      <c r="A1349" s="7">
        <f>IMAGE("https://images.lululemon.com/is/image/lululemon/LW7DDWS_043646_1?wid=320&amp;op_usm=0.8",1)</f>
        <v/>
      </c>
      <c r="B1349" s="7" t="inlineStr">
        <is>
          <t>Get Low High-Rise Training Short 5"</t>
        </is>
      </c>
      <c r="C1349" s="7" t="inlineStr">
        <is>
          <t>157675699</t>
        </is>
      </c>
      <c r="D1349" s="7" t="inlineStr">
        <is>
          <t>157675699-black/graphitegrey</t>
        </is>
      </c>
      <c r="E1349" s="7" t="inlineStr">
        <is>
          <t>Get Low HR Training Short 5" BLK/GGRE 2</t>
        </is>
      </c>
      <c r="F1349" s="7" t="inlineStr">
        <is>
          <t>$74.00</t>
        </is>
      </c>
      <c r="G1349" s="7" t="inlineStr">
        <is>
          <t>$37.00</t>
        </is>
      </c>
      <c r="H1349" s="7" t="inlineStr">
        <is>
          <t>Black/Graphite Grey</t>
        </is>
      </c>
      <c r="I1349" s="7">
        <f>IMAGE("https://images.lululemon.com/is/image/lululemon/43646",1)</f>
        <v/>
      </c>
      <c r="J1349" s="7" t="inlineStr">
        <is>
          <t>8</t>
        </is>
      </c>
      <c r="K1349" s="7" t="inlineStr">
        <is>
          <t>62/1012</t>
        </is>
      </c>
      <c r="L1349" s="7" t="inlineStr">
        <is>
          <t>Yes</t>
        </is>
      </c>
      <c r="M1349" s="7" t="inlineStr">
        <is>
          <t>You put in the work—here's the gear to match. These seamless shorts offer a hugged feel and a defined look to your quads and glutes through every supercharged movement.</t>
        </is>
      </c>
      <c r="N1349" s="7" t="inlineStr">
        <is>
          <t>Get-Low-High-Rise-Training-Short-5</t>
        </is>
      </c>
      <c r="O1349" s="7" t="inlineStr">
        <is>
          <t>Biker Shorts</t>
        </is>
      </c>
    </row>
    <row r="1350" ht="80" customHeight="1">
      <c r="A1350" s="4">
        <f>IMAGE("https://images.lululemon.com/is/image/lululemon/LW7DDWS_043646_1?wid=320&amp;op_usm=0.8",1)</f>
        <v/>
      </c>
      <c r="B1350" s="4" t="inlineStr">
        <is>
          <t>Get Low High-Rise Training Short 5"</t>
        </is>
      </c>
      <c r="C1350" s="4" t="inlineStr">
        <is>
          <t>157675694</t>
        </is>
      </c>
      <c r="D1350" s="4" t="inlineStr">
        <is>
          <t>157675694-black/graphitegrey</t>
        </is>
      </c>
      <c r="E1350" s="4" t="inlineStr">
        <is>
          <t>Get Low HR Training Short 5" BLK/GGRE 2</t>
        </is>
      </c>
      <c r="F1350" s="4" t="inlineStr">
        <is>
          <t>$74.00</t>
        </is>
      </c>
      <c r="G1350" s="4" t="inlineStr">
        <is>
          <t>$37.00</t>
        </is>
      </c>
      <c r="H1350" s="4" t="inlineStr">
        <is>
          <t>Black/Graphite Grey</t>
        </is>
      </c>
      <c r="I1350" s="4">
        <f>IMAGE("https://images.lululemon.com/is/image/lululemon/43646",1)</f>
        <v/>
      </c>
      <c r="J1350" s="4" t="inlineStr">
        <is>
          <t>10</t>
        </is>
      </c>
      <c r="K1350" s="4" t="inlineStr">
        <is>
          <t>34/1012</t>
        </is>
      </c>
      <c r="L1350" s="4" t="inlineStr">
        <is>
          <t>Yes</t>
        </is>
      </c>
      <c r="M1350" s="4" t="inlineStr">
        <is>
          <t>You put in the work—here's the gear to match. These seamless shorts offer a hugged feel and a defined look to your quads and glutes through every supercharged movement.</t>
        </is>
      </c>
      <c r="N1350" s="4" t="inlineStr">
        <is>
          <t>Get-Low-High-Rise-Training-Short-5</t>
        </is>
      </c>
      <c r="O1350" s="4" t="inlineStr">
        <is>
          <t>Biker Shorts</t>
        </is>
      </c>
    </row>
    <row r="1351" ht="80" customHeight="1">
      <c r="A1351" s="7">
        <f>IMAGE("https://images.lululemon.com/is/image/lululemon/LW7DDWS_043646_1?wid=320&amp;op_usm=0.8",1)</f>
        <v/>
      </c>
      <c r="B1351" s="7" t="inlineStr">
        <is>
          <t>Get Low High-Rise Training Short 5"</t>
        </is>
      </c>
      <c r="C1351" s="7" t="inlineStr">
        <is>
          <t>157675695</t>
        </is>
      </c>
      <c r="D1351" s="7" t="inlineStr">
        <is>
          <t>157675695-black/graphitegrey</t>
        </is>
      </c>
      <c r="E1351" s="7" t="inlineStr">
        <is>
          <t>Get Low HR Training Short 5" BLK/GGRE 2</t>
        </is>
      </c>
      <c r="F1351" s="7" t="inlineStr">
        <is>
          <t>$74.00</t>
        </is>
      </c>
      <c r="G1351" s="7" t="inlineStr">
        <is>
          <t>$37.00</t>
        </is>
      </c>
      <c r="H1351" s="7" t="inlineStr">
        <is>
          <t>Black/Graphite Grey</t>
        </is>
      </c>
      <c r="I1351" s="7">
        <f>IMAGE("https://images.lululemon.com/is/image/lululemon/43646",1)</f>
        <v/>
      </c>
      <c r="J1351" s="7" t="inlineStr">
        <is>
          <t>12</t>
        </is>
      </c>
      <c r="K1351" s="7" t="inlineStr">
        <is>
          <t>13/1012</t>
        </is>
      </c>
      <c r="L1351" s="7" t="inlineStr">
        <is>
          <t>Yes</t>
        </is>
      </c>
      <c r="M1351" s="7" t="inlineStr">
        <is>
          <t>You put in the work—here's the gear to match. These seamless shorts offer a hugged feel and a defined look to your quads and glutes through every supercharged movement.</t>
        </is>
      </c>
      <c r="N1351" s="7" t="inlineStr">
        <is>
          <t>Get-Low-High-Rise-Training-Short-5</t>
        </is>
      </c>
      <c r="O1351" s="7" t="inlineStr">
        <is>
          <t>Biker Shorts</t>
        </is>
      </c>
    </row>
    <row r="1352" ht="80" customHeight="1">
      <c r="A1352" s="4">
        <f>IMAGE("https://images.lululemon.com/is/image/lululemon/LW7DDWS_043646_1?wid=320&amp;op_usm=0.8",1)</f>
        <v/>
      </c>
      <c r="B1352" s="4" t="inlineStr">
        <is>
          <t>Get Low High-Rise Training Short 5"</t>
        </is>
      </c>
      <c r="C1352" s="4" t="inlineStr">
        <is>
          <t>157687080</t>
        </is>
      </c>
      <c r="D1352" s="4" t="inlineStr">
        <is>
          <t>157687080-sequoia/twig</t>
        </is>
      </c>
      <c r="E1352" s="4" t="inlineStr">
        <is>
          <t>Get Low HR Training Short 5" BLK/GGRE 2</t>
        </is>
      </c>
      <c r="F1352" s="4" t="inlineStr">
        <is>
          <t>$74.00</t>
        </is>
      </c>
      <c r="G1352" s="4" t="inlineStr">
        <is>
          <t>$37.00</t>
        </is>
      </c>
      <c r="H1352" s="4" t="inlineStr">
        <is>
          <t>Sequoia/Twig</t>
        </is>
      </c>
      <c r="I1352" s="4">
        <f>IMAGE("https://images.lululemon.com/is/image/lululemon/71320",1)</f>
        <v/>
      </c>
      <c r="J1352" s="4" t="inlineStr">
        <is>
          <t>2</t>
        </is>
      </c>
      <c r="K1352" s="4" t="inlineStr">
        <is>
          <t>133/1012</t>
        </is>
      </c>
      <c r="L1352" s="4" t="inlineStr">
        <is>
          <t>Yes</t>
        </is>
      </c>
      <c r="M1352" s="4" t="inlineStr">
        <is>
          <t>You put in the work—here's the gear to match. These seamless shorts offer a hugged feel and a defined look to your quads and glutes through every supercharged movement.</t>
        </is>
      </c>
      <c r="N1352" s="4" t="inlineStr">
        <is>
          <t>Get-Low-High-Rise-Training-Short-5</t>
        </is>
      </c>
      <c r="O1352" s="4" t="inlineStr">
        <is>
          <t>Biker Shorts</t>
        </is>
      </c>
    </row>
    <row r="1353" ht="80" customHeight="1">
      <c r="A1353" s="7">
        <f>IMAGE("https://images.lululemon.com/is/image/lululemon/LW7DDWS_043646_1?wid=320&amp;op_usm=0.8",1)</f>
        <v/>
      </c>
      <c r="B1353" s="7" t="inlineStr">
        <is>
          <t>Get Low High-Rise Training Short 5"</t>
        </is>
      </c>
      <c r="C1353" s="7" t="inlineStr">
        <is>
          <t>157687081</t>
        </is>
      </c>
      <c r="D1353" s="7" t="inlineStr">
        <is>
          <t>157687081-sequoia/twig</t>
        </is>
      </c>
      <c r="E1353" s="7" t="inlineStr">
        <is>
          <t>Get Low HR Training Short 5" BLK/GGRE 2</t>
        </is>
      </c>
      <c r="F1353" s="7" t="inlineStr">
        <is>
          <t>$74.00</t>
        </is>
      </c>
      <c r="G1353" s="7" t="inlineStr">
        <is>
          <t>$37.00</t>
        </is>
      </c>
      <c r="H1353" s="7" t="inlineStr">
        <is>
          <t>Sequoia/Twig</t>
        </is>
      </c>
      <c r="I1353" s="7">
        <f>IMAGE("https://images.lululemon.com/is/image/lululemon/71320",1)</f>
        <v/>
      </c>
      <c r="J1353" s="7" t="inlineStr">
        <is>
          <t>4</t>
        </is>
      </c>
      <c r="K1353" s="7" t="inlineStr">
        <is>
          <t>166/1012</t>
        </is>
      </c>
      <c r="L1353" s="7" t="inlineStr">
        <is>
          <t>Yes</t>
        </is>
      </c>
      <c r="M1353" s="7" t="inlineStr">
        <is>
          <t>You put in the work—here's the gear to match. These seamless shorts offer a hugged feel and a defined look to your quads and glutes through every supercharged movement.</t>
        </is>
      </c>
      <c r="N1353" s="7" t="inlineStr">
        <is>
          <t>Get-Low-High-Rise-Training-Short-5</t>
        </is>
      </c>
      <c r="O1353" s="7" t="inlineStr">
        <is>
          <t>Biker Shorts</t>
        </is>
      </c>
    </row>
    <row r="1354" ht="80" customHeight="1">
      <c r="A1354" s="4">
        <f>IMAGE("https://images.lululemon.com/is/image/lululemon/LW7DDWS_043646_1?wid=320&amp;op_usm=0.8",1)</f>
        <v/>
      </c>
      <c r="B1354" s="4" t="inlineStr">
        <is>
          <t>Get Low High-Rise Training Short 5"</t>
        </is>
      </c>
      <c r="C1354" s="4" t="inlineStr">
        <is>
          <t>157687082</t>
        </is>
      </c>
      <c r="D1354" s="4" t="inlineStr">
        <is>
          <t>157687082-sequoia/twig</t>
        </is>
      </c>
      <c r="E1354" s="4" t="inlineStr">
        <is>
          <t>Get Low HR Training Short 5" BLK/GGRE 2</t>
        </is>
      </c>
      <c r="F1354" s="4" t="inlineStr">
        <is>
          <t>$74.00</t>
        </is>
      </c>
      <c r="G1354" s="4" t="inlineStr">
        <is>
          <t>$37.00</t>
        </is>
      </c>
      <c r="H1354" s="4" t="inlineStr">
        <is>
          <t>Sequoia/Twig</t>
        </is>
      </c>
      <c r="I1354" s="4">
        <f>IMAGE("https://images.lululemon.com/is/image/lululemon/71320",1)</f>
        <v/>
      </c>
      <c r="J1354" s="4" t="inlineStr">
        <is>
          <t>6</t>
        </is>
      </c>
      <c r="K1354" s="4" t="inlineStr">
        <is>
          <t>202/1012</t>
        </is>
      </c>
      <c r="L1354" s="4" t="inlineStr">
        <is>
          <t>Yes</t>
        </is>
      </c>
      <c r="M1354" s="4" t="inlineStr">
        <is>
          <t>You put in the work—here's the gear to match. These seamless shorts offer a hugged feel and a defined look to your quads and glutes through every supercharged movement.</t>
        </is>
      </c>
      <c r="N1354" s="4" t="inlineStr">
        <is>
          <t>Get-Low-High-Rise-Training-Short-5</t>
        </is>
      </c>
      <c r="O1354" s="4" t="inlineStr">
        <is>
          <t>Biker Shorts</t>
        </is>
      </c>
    </row>
    <row r="1355" ht="80" customHeight="1">
      <c r="A1355" s="7">
        <f>IMAGE("https://images.lululemon.com/is/image/lululemon/LW7DDWS_043646_1?wid=320&amp;op_usm=0.8",1)</f>
        <v/>
      </c>
      <c r="B1355" s="7" t="inlineStr">
        <is>
          <t>Get Low High-Rise Training Short 5"</t>
        </is>
      </c>
      <c r="C1355" s="7" t="inlineStr">
        <is>
          <t>157687083</t>
        </is>
      </c>
      <c r="D1355" s="7" t="inlineStr">
        <is>
          <t>157687083-sequoia/twig</t>
        </is>
      </c>
      <c r="E1355" s="7" t="inlineStr">
        <is>
          <t>Get Low HR Training Short 5" BLK/GGRE 2</t>
        </is>
      </c>
      <c r="F1355" s="7" t="inlineStr">
        <is>
          <t>$74.00</t>
        </is>
      </c>
      <c r="G1355" s="7" t="inlineStr">
        <is>
          <t>$37.00</t>
        </is>
      </c>
      <c r="H1355" s="7" t="inlineStr">
        <is>
          <t>Sequoia/Twig</t>
        </is>
      </c>
      <c r="I1355" s="7">
        <f>IMAGE("https://images.lululemon.com/is/image/lululemon/71320",1)</f>
        <v/>
      </c>
      <c r="J1355" s="7" t="inlineStr">
        <is>
          <t>8</t>
        </is>
      </c>
      <c r="K1355" s="7" t="inlineStr">
        <is>
          <t>121/1012</t>
        </is>
      </c>
      <c r="L1355" s="7" t="inlineStr">
        <is>
          <t>Yes</t>
        </is>
      </c>
      <c r="M1355" s="7" t="inlineStr">
        <is>
          <t>You put in the work—here's the gear to match. These seamless shorts offer a hugged feel and a defined look to your quads and glutes through every supercharged movement.</t>
        </is>
      </c>
      <c r="N1355" s="7" t="inlineStr">
        <is>
          <t>Get-Low-High-Rise-Training-Short-5</t>
        </is>
      </c>
      <c r="O1355" s="7" t="inlineStr">
        <is>
          <t>Biker Shorts</t>
        </is>
      </c>
    </row>
    <row r="1356" ht="80" customHeight="1">
      <c r="A1356" s="4">
        <f>IMAGE("https://images.lululemon.com/is/image/lululemon/LW7DDWS_043646_1?wid=320&amp;op_usm=0.8",1)</f>
        <v/>
      </c>
      <c r="B1356" s="4" t="inlineStr">
        <is>
          <t>Get Low High-Rise Training Short 5"</t>
        </is>
      </c>
      <c r="C1356" s="4" t="inlineStr">
        <is>
          <t>157687078</t>
        </is>
      </c>
      <c r="D1356" s="4" t="inlineStr">
        <is>
          <t>157687078-sequoia/twig</t>
        </is>
      </c>
      <c r="E1356" s="4" t="inlineStr">
        <is>
          <t>Get Low HR Training Short 5" BLK/GGRE 2</t>
        </is>
      </c>
      <c r="F1356" s="4" t="inlineStr">
        <is>
          <t>$74.00</t>
        </is>
      </c>
      <c r="G1356" s="4" t="inlineStr">
        <is>
          <t>$37.00</t>
        </is>
      </c>
      <c r="H1356" s="4" t="inlineStr">
        <is>
          <t>Sequoia/Twig</t>
        </is>
      </c>
      <c r="I1356" s="4">
        <f>IMAGE("https://images.lululemon.com/is/image/lululemon/71320",1)</f>
        <v/>
      </c>
      <c r="J1356" s="4" t="inlineStr">
        <is>
          <t>10</t>
        </is>
      </c>
      <c r="K1356" s="4" t="inlineStr">
        <is>
          <t>50/1012</t>
        </is>
      </c>
      <c r="L1356" s="4" t="inlineStr">
        <is>
          <t>Yes</t>
        </is>
      </c>
      <c r="M1356" s="4" t="inlineStr">
        <is>
          <t>You put in the work—here's the gear to match. These seamless shorts offer a hugged feel and a defined look to your quads and glutes through every supercharged movement.</t>
        </is>
      </c>
      <c r="N1356" s="4" t="inlineStr">
        <is>
          <t>Get-Low-High-Rise-Training-Short-5</t>
        </is>
      </c>
      <c r="O1356" s="4" t="inlineStr">
        <is>
          <t>Biker Shorts</t>
        </is>
      </c>
    </row>
    <row r="1357" ht="80" customHeight="1">
      <c r="A1357" s="5">
        <f>IMAGE("https://images.lululemon.com/is/image/lululemon/LW7DDWS_043646_1?wid=320&amp;op_usm=0.8",1)</f>
        <v/>
      </c>
      <c r="B1357" s="5" t="inlineStr">
        <is>
          <t>Get Low High-Rise Training Short 5"</t>
        </is>
      </c>
      <c r="C1357" s="5" t="inlineStr">
        <is>
          <t>157687079</t>
        </is>
      </c>
      <c r="D1357" s="5" t="inlineStr">
        <is>
          <t>157687079-sequoia/twig</t>
        </is>
      </c>
      <c r="E1357" s="5" t="inlineStr">
        <is>
          <t>Get Low HR Training Short 5" BLK/GGRE 2</t>
        </is>
      </c>
      <c r="F1357" s="5" t="inlineStr">
        <is>
          <t>$74.00</t>
        </is>
      </c>
      <c r="G1357" s="5" t="inlineStr">
        <is>
          <t>$37.00</t>
        </is>
      </c>
      <c r="H1357" s="5" t="inlineStr">
        <is>
          <t>Sequoia/Twig</t>
        </is>
      </c>
      <c r="I1357" s="5">
        <f>IMAGE("https://images.lululemon.com/is/image/lululemon/71320",1)</f>
        <v/>
      </c>
      <c r="J1357" s="5" t="inlineStr">
        <is>
          <t>12</t>
        </is>
      </c>
      <c r="K1357" s="5" t="inlineStr">
        <is>
          <t>39/1012</t>
        </is>
      </c>
      <c r="L1357" s="5" t="inlineStr">
        <is>
          <t>Yes</t>
        </is>
      </c>
      <c r="M1357" s="5" t="inlineStr">
        <is>
          <t>You put in the work—here's the gear to match. These seamless shorts offer a hugged feel and a defined look to your quads and glutes through every supercharged movement.</t>
        </is>
      </c>
      <c r="N1357" s="5" t="inlineStr">
        <is>
          <t>Get-Low-High-Rise-Training-Short-5</t>
        </is>
      </c>
      <c r="O1357" s="5" t="inlineStr">
        <is>
          <t>Biker Shorts</t>
        </is>
      </c>
    </row>
    <row r="1358" ht="80" customHeight="1">
      <c r="A1358" s="4">
        <f>IMAGE("https://images.lululemon.com/is/image/lululemon/LW3IFSS_068365_1?wid=320&amp;op_usm=0.8",1)</f>
        <v/>
      </c>
      <c r="B1358" s="4" t="inlineStr">
        <is>
          <t>Scuba Oversized Funnel-Neck Half Zip</t>
        </is>
      </c>
      <c r="C1358" s="4" t="inlineStr">
        <is>
          <t>155867909</t>
        </is>
      </c>
      <c r="D1358" s="4" t="inlineStr">
        <is>
          <t>155867909-proudcloud</t>
        </is>
      </c>
      <c r="E1358" s="4" t="inlineStr">
        <is>
          <t>Scuba Oversized Funnel Neck PRDC M/L</t>
        </is>
      </c>
      <c r="F1358" s="4" t="inlineStr">
        <is>
          <t>$128.00</t>
        </is>
      </c>
      <c r="G1358" s="4" t="inlineStr">
        <is>
          <t>$64.00</t>
        </is>
      </c>
      <c r="H1358" s="4" t="inlineStr">
        <is>
          <t>Proud Cloud</t>
        </is>
      </c>
      <c r="I1358" s="4">
        <f>IMAGE("https://images.lululemon.com/is/image/lululemon/68365",1)</f>
        <v/>
      </c>
      <c r="J1358" s="4" t="inlineStr">
        <is>
          <t>M/L</t>
        </is>
      </c>
      <c r="K1358" s="4" t="inlineStr">
        <is>
          <t>34/53</t>
        </is>
      </c>
      <c r="L1358" s="4" t="inlineStr">
        <is>
          <t>Yes</t>
        </is>
      </c>
      <c r="M1358" s="4" t="inlineStr">
        <is>
          <t>Serious about softness. This funnel-neck sweatshirt is all about fleecy fabric and pairs perfectly with our Scuba sweatpants.</t>
        </is>
      </c>
      <c r="N1358" s="4" t="inlineStr">
        <is>
          <t>Scuba-Oversized-Funnel-Neck-Shirt</t>
        </is>
      </c>
      <c r="O1358" s="4" t="inlineStr">
        <is>
          <t>Half Zip Sweatshirts, Quarter Zip Sweatshirts</t>
        </is>
      </c>
    </row>
    <row r="1359" ht="80" customHeight="1">
      <c r="A1359" s="5">
        <f>IMAGE("https://images.lululemon.com/is/image/lululemon/LW3IFSS_068365_1?wid=320&amp;op_usm=0.8",1)</f>
        <v/>
      </c>
      <c r="B1359" s="5" t="inlineStr">
        <is>
          <t>Scuba Oversized Funnel-Neck Half Zip</t>
        </is>
      </c>
      <c r="C1359" s="5" t="inlineStr">
        <is>
          <t>155867911</t>
        </is>
      </c>
      <c r="D1359" s="5" t="inlineStr">
        <is>
          <t>155867911-proudcloud</t>
        </is>
      </c>
      <c r="E1359" s="5" t="inlineStr">
        <is>
          <t>Scuba Oversized Funnel Neck PRDC M/L</t>
        </is>
      </c>
      <c r="F1359" s="5" t="inlineStr">
        <is>
          <t>$128.00</t>
        </is>
      </c>
      <c r="G1359" s="5" t="inlineStr">
        <is>
          <t>$64.00</t>
        </is>
      </c>
      <c r="H1359" s="5" t="inlineStr">
        <is>
          <t>Proud Cloud</t>
        </is>
      </c>
      <c r="I1359" s="5">
        <f>IMAGE("https://images.lululemon.com/is/image/lululemon/68365",1)</f>
        <v/>
      </c>
      <c r="J1359" s="5" t="inlineStr">
        <is>
          <t>XL/XXL</t>
        </is>
      </c>
      <c r="K1359" s="5" t="inlineStr">
        <is>
          <t>19/53</t>
        </is>
      </c>
      <c r="L1359" s="5" t="inlineStr">
        <is>
          <t>Yes</t>
        </is>
      </c>
      <c r="M1359" s="5" t="inlineStr">
        <is>
          <t>Serious about softness. This funnel-neck sweatshirt is all about fleecy fabric and pairs perfectly with our Scuba sweatpants.</t>
        </is>
      </c>
      <c r="N1359" s="5" t="inlineStr">
        <is>
          <t>Scuba-Oversized-Funnel-Neck-Shirt</t>
        </is>
      </c>
      <c r="O1359" s="5" t="inlineStr">
        <is>
          <t>Half Zip Sweatshirts, Quarter Zip Sweatshirts</t>
        </is>
      </c>
    </row>
    <row r="1360" ht="80" customHeight="1">
      <c r="A1360" s="4">
        <f>IMAGE("https://images.lululemon.com/is/image/lululemon/LW9FJZS_0001_1?wid=320&amp;op_usm=0.8",1)</f>
        <v/>
      </c>
      <c r="B1360" s="4" t="inlineStr">
        <is>
          <t>Women's Fast and Free Insulated Running Gloves</t>
        </is>
      </c>
      <c r="C1360" s="4" t="inlineStr">
        <is>
          <t>154900977</t>
        </is>
      </c>
      <c r="D1360" s="4" t="inlineStr">
        <is>
          <t>154900977-black</t>
        </is>
      </c>
      <c r="E1360" s="4" t="inlineStr">
        <is>
          <t>Fast and Free Insulated Run Gloves W BLK XS</t>
        </is>
      </c>
      <c r="F1360" s="4" t="inlineStr">
        <is>
          <t>$58.00</t>
        </is>
      </c>
      <c r="G1360" s="4" t="inlineStr">
        <is>
          <t>$29.00</t>
        </is>
      </c>
      <c r="H1360" s="4" t="inlineStr">
        <is>
          <t>Black</t>
        </is>
      </c>
      <c r="I1360" s="4">
        <f>IMAGE("https://images.lululemon.com/is/image/lululemon/0001",1)</f>
        <v/>
      </c>
      <c r="J1360" s="4" t="inlineStr">
        <is>
          <t>XS</t>
        </is>
      </c>
      <c r="K1360" s="4" t="inlineStr">
        <is>
          <t>36/339</t>
        </is>
      </c>
      <c r="L1360" s="4" t="inlineStr">
        <is>
          <t>Yes</t>
        </is>
      </c>
      <c r="M1360" s="4" t="inlineStr">
        <is>
          <t>Cold run, warm hands. These mid-weight gloves have a packable water-repellent hood and tech-friendly fingers.</t>
        </is>
      </c>
      <c r="N1360" s="4" t="inlineStr">
        <is>
          <t>W-Fast-and-Free-Insulated-Running-Gloves</t>
        </is>
      </c>
      <c r="O1360" s="4" t="inlineStr"/>
    </row>
    <row r="1361" ht="80" customHeight="1">
      <c r="A1361" s="7">
        <f>IMAGE("https://images.lululemon.com/is/image/lululemon/LW9FJZS_0001_1?wid=320&amp;op_usm=0.8",1)</f>
        <v/>
      </c>
      <c r="B1361" s="7" t="inlineStr">
        <is>
          <t>Women's Fast and Free Insulated Running Gloves</t>
        </is>
      </c>
      <c r="C1361" s="7" t="inlineStr">
        <is>
          <t>154900972</t>
        </is>
      </c>
      <c r="D1361" s="7" t="inlineStr">
        <is>
          <t>154900972-black</t>
        </is>
      </c>
      <c r="E1361" s="7" t="inlineStr">
        <is>
          <t>Fast and Free Insulated Run Gloves W BLK XS</t>
        </is>
      </c>
      <c r="F1361" s="7" t="inlineStr">
        <is>
          <t>$58.00</t>
        </is>
      </c>
      <c r="G1361" s="7" t="inlineStr">
        <is>
          <t>$29.00</t>
        </is>
      </c>
      <c r="H1361" s="7" t="inlineStr">
        <is>
          <t>Black</t>
        </is>
      </c>
      <c r="I1361" s="7">
        <f>IMAGE("https://images.lululemon.com/is/image/lululemon/0001",1)</f>
        <v/>
      </c>
      <c r="J1361" s="7" t="inlineStr">
        <is>
          <t>S</t>
        </is>
      </c>
      <c r="K1361" s="7" t="inlineStr">
        <is>
          <t>112/339</t>
        </is>
      </c>
      <c r="L1361" s="7" t="inlineStr">
        <is>
          <t>Yes</t>
        </is>
      </c>
      <c r="M1361" s="7" t="inlineStr">
        <is>
          <t>Cold run, warm hands. These mid-weight gloves have a packable water-repellent hood and tech-friendly fingers.</t>
        </is>
      </c>
      <c r="N1361" s="7" t="inlineStr">
        <is>
          <t>W-Fast-and-Free-Insulated-Running-Gloves</t>
        </is>
      </c>
      <c r="O1361" s="7" t="inlineStr"/>
    </row>
    <row r="1362" ht="80" customHeight="1">
      <c r="A1362" s="4">
        <f>IMAGE("https://images.lululemon.com/is/image/lululemon/LW9FJZS_0001_1?wid=320&amp;op_usm=0.8",1)</f>
        <v/>
      </c>
      <c r="B1362" s="4" t="inlineStr">
        <is>
          <t>Women's Fast and Free Insulated Running Gloves</t>
        </is>
      </c>
      <c r="C1362" s="4" t="inlineStr">
        <is>
          <t>154900967</t>
        </is>
      </c>
      <c r="D1362" s="4" t="inlineStr">
        <is>
          <t>154900967-black</t>
        </is>
      </c>
      <c r="E1362" s="4" t="inlineStr">
        <is>
          <t>Fast and Free Insulated Run Gloves W BLK XS</t>
        </is>
      </c>
      <c r="F1362" s="4" t="inlineStr">
        <is>
          <t>$58.00</t>
        </is>
      </c>
      <c r="G1362" s="4" t="inlineStr">
        <is>
          <t>$29.00</t>
        </is>
      </c>
      <c r="H1362" s="4" t="inlineStr">
        <is>
          <t>Black</t>
        </is>
      </c>
      <c r="I1362" s="4">
        <f>IMAGE("https://images.lululemon.com/is/image/lululemon/0001",1)</f>
        <v/>
      </c>
      <c r="J1362" s="4" t="inlineStr">
        <is>
          <t>M</t>
        </is>
      </c>
      <c r="K1362" s="4" t="inlineStr">
        <is>
          <t>128/339</t>
        </is>
      </c>
      <c r="L1362" s="4" t="inlineStr">
        <is>
          <t>Yes</t>
        </is>
      </c>
      <c r="M1362" s="4" t="inlineStr">
        <is>
          <t>Cold run, warm hands. These mid-weight gloves have a packable water-repellent hood and tech-friendly fingers.</t>
        </is>
      </c>
      <c r="N1362" s="4" t="inlineStr">
        <is>
          <t>W-Fast-and-Free-Insulated-Running-Gloves</t>
        </is>
      </c>
      <c r="O1362" s="4" t="inlineStr"/>
    </row>
    <row r="1363" ht="80" customHeight="1">
      <c r="A1363" s="5">
        <f>IMAGE("https://images.lululemon.com/is/image/lululemon/LW9FJZS_0001_1?wid=320&amp;op_usm=0.8",1)</f>
        <v/>
      </c>
      <c r="B1363" s="5" t="inlineStr">
        <is>
          <t>Women's Fast and Free Insulated Running Gloves</t>
        </is>
      </c>
      <c r="C1363" s="5" t="inlineStr">
        <is>
          <t>154900964</t>
        </is>
      </c>
      <c r="D1363" s="5" t="inlineStr">
        <is>
          <t>154900964-black</t>
        </is>
      </c>
      <c r="E1363" s="5" t="inlineStr">
        <is>
          <t>Fast and Free Insulated Run Gloves W BLK XS</t>
        </is>
      </c>
      <c r="F1363" s="5" t="inlineStr">
        <is>
          <t>$58.00</t>
        </is>
      </c>
      <c r="G1363" s="5" t="inlineStr">
        <is>
          <t>$29.00</t>
        </is>
      </c>
      <c r="H1363" s="5" t="inlineStr">
        <is>
          <t>Black</t>
        </is>
      </c>
      <c r="I1363" s="5">
        <f>IMAGE("https://images.lululemon.com/is/image/lululemon/0001",1)</f>
        <v/>
      </c>
      <c r="J1363" s="5" t="inlineStr">
        <is>
          <t>L</t>
        </is>
      </c>
      <c r="K1363" s="5" t="inlineStr">
        <is>
          <t>63/339</t>
        </is>
      </c>
      <c r="L1363" s="5" t="inlineStr">
        <is>
          <t>Yes</t>
        </is>
      </c>
      <c r="M1363" s="5" t="inlineStr">
        <is>
          <t>Cold run, warm hands. These mid-weight gloves have a packable water-repellent hood and tech-friendly fingers.</t>
        </is>
      </c>
      <c r="N1363" s="5" t="inlineStr">
        <is>
          <t>W-Fast-and-Free-Insulated-Running-Gloves</t>
        </is>
      </c>
      <c r="O1363" s="5" t="inlineStr"/>
    </row>
    <row r="1364" ht="80" customHeight="1">
      <c r="A1364" s="6">
        <f>IMAGE("https://images.lululemon.com/is/image/lululemon/LW9FNCS_3385_1?wid=320&amp;op_usm=0.8",1)</f>
        <v/>
      </c>
      <c r="B1364" s="6" t="inlineStr">
        <is>
          <t>On My Level Tote Bag 20L</t>
        </is>
      </c>
      <c r="C1364" s="6" t="inlineStr">
        <is>
          <t>155725278</t>
        </is>
      </c>
      <c r="D1364" s="6" t="inlineStr">
        <is>
          <t>155725278-black/gold</t>
        </is>
      </c>
      <c r="E1364" s="6" t="inlineStr">
        <is>
          <t>On My Level Tote BLK/GOLD ONE SIZE</t>
        </is>
      </c>
      <c r="F1364" s="6" t="inlineStr">
        <is>
          <t>$128.00</t>
        </is>
      </c>
      <c r="G1364" s="6" t="inlineStr">
        <is>
          <t>$64.00</t>
        </is>
      </c>
      <c r="H1364" s="6" t="inlineStr">
        <is>
          <t>Black/Gold</t>
        </is>
      </c>
      <c r="I1364" s="6">
        <f>IMAGE("https://images.lululemon.com/is/image/lululemon/3385",1)</f>
        <v/>
      </c>
      <c r="J1364" s="6" t="inlineStr">
        <is>
          <t>O/S</t>
        </is>
      </c>
      <c r="K1364" s="6" t="inlineStr">
        <is>
          <t>20/20</t>
        </is>
      </c>
      <c r="L1364" s="6" t="inlineStr">
        <is>
          <t>Yes</t>
        </is>
      </c>
      <c r="M1364" s="6" t="inlineStr">
        <is>
          <t>Whether your morning starts with a class or errands, this soft, slouchy tote is always a winner. Wear it over your shoulder, cross-body, or just grab it and go.</t>
        </is>
      </c>
      <c r="N1364" s="6" t="inlineStr">
        <is>
          <t>On-My-Level-Tote-Bag-20L</t>
        </is>
      </c>
      <c r="O1364" s="6" t="inlineStr">
        <is>
          <t>Totes</t>
        </is>
      </c>
    </row>
    <row r="1365" ht="80" customHeight="1">
      <c r="A1365" s="7">
        <f>IMAGE("https://images.lululemon.com/is/image/lululemon/LW3JCTS_032493_1?wid=320&amp;op_usm=0.8",1)</f>
        <v/>
      </c>
      <c r="B1365" s="7" t="inlineStr">
        <is>
          <t>Scuba Cropped Funnel-Neck Half Zip *Waffle</t>
        </is>
      </c>
      <c r="C1365" s="7" t="inlineStr">
        <is>
          <t>157688952</t>
        </is>
      </c>
      <c r="D1365" s="7" t="inlineStr">
        <is>
          <t>157688952-heatheredlightivory</t>
        </is>
      </c>
      <c r="E1365" s="7" t="inlineStr">
        <is>
          <t>Scuba Cropped 1/2 Zip Funnel Neck*Waffle HRLI XS</t>
        </is>
      </c>
      <c r="F1365" s="7" t="inlineStr">
        <is>
          <t>$138.00</t>
        </is>
      </c>
      <c r="G1365" s="7" t="inlineStr">
        <is>
          <t>$69.00</t>
        </is>
      </c>
      <c r="H1365" s="7" t="inlineStr">
        <is>
          <t>Heathered Light Ivory</t>
        </is>
      </c>
      <c r="I1365" s="7">
        <f>IMAGE("https://images.lululemon.com/is/image/lululemon/36168",1)</f>
        <v/>
      </c>
      <c r="J1365" s="7" t="inlineStr">
        <is>
          <t>XS</t>
        </is>
      </c>
      <c r="K1365" s="7" t="inlineStr">
        <is>
          <t>24/5751</t>
        </is>
      </c>
      <c r="L1365" s="7" t="inlineStr">
        <is>
          <t>Yes</t>
        </is>
      </c>
      <c r="M1365" s="7" t="inlineStr">
        <is>
          <t>Our signature funnel-neck sweatshirt with a textured twist. A rich, waffle-knit fabric adds depth and softness to your downtime.</t>
        </is>
      </c>
      <c r="N1365" s="7" t="inlineStr">
        <is>
          <t>Scuba-Cropped-Funnel-Neck-Half-Zip-Waffle</t>
        </is>
      </c>
      <c r="O1365" s="7" t="inlineStr">
        <is>
          <t>Half Zip Sweatshirts, Quarter Zip Sweatshirts</t>
        </is>
      </c>
    </row>
    <row r="1366" ht="80" customHeight="1">
      <c r="A1366" s="4">
        <f>IMAGE("https://images.lululemon.com/is/image/lululemon/LW3JCTS_032493_1?wid=320&amp;op_usm=0.8",1)</f>
        <v/>
      </c>
      <c r="B1366" s="4" t="inlineStr">
        <is>
          <t>Scuba Cropped Funnel-Neck Half Zip *Waffle</t>
        </is>
      </c>
      <c r="C1366" s="4" t="inlineStr">
        <is>
          <t>157688948</t>
        </is>
      </c>
      <c r="D1366" s="4" t="inlineStr">
        <is>
          <t>157688948-heatheredlightivory</t>
        </is>
      </c>
      <c r="E1366" s="4" t="inlineStr">
        <is>
          <t>Scuba Cropped 1/2 Zip Funnel Neck*Waffle HRLI XS</t>
        </is>
      </c>
      <c r="F1366" s="4" t="inlineStr">
        <is>
          <t>$138.00</t>
        </is>
      </c>
      <c r="G1366" s="4" t="inlineStr">
        <is>
          <t>$69.00</t>
        </is>
      </c>
      <c r="H1366" s="4" t="inlineStr">
        <is>
          <t>Heathered Light Ivory</t>
        </is>
      </c>
      <c r="I1366" s="4">
        <f>IMAGE("https://images.lululemon.com/is/image/lululemon/36168",1)</f>
        <v/>
      </c>
      <c r="J1366" s="4" t="inlineStr">
        <is>
          <t>S</t>
        </is>
      </c>
      <c r="K1366" s="4" t="inlineStr">
        <is>
          <t>99/5751</t>
        </is>
      </c>
      <c r="L1366" s="4" t="inlineStr">
        <is>
          <t>Yes</t>
        </is>
      </c>
      <c r="M1366" s="4" t="inlineStr">
        <is>
          <t>Our signature funnel-neck sweatshirt with a textured twist. A rich, waffle-knit fabric adds depth and softness to your downtime.</t>
        </is>
      </c>
      <c r="N1366" s="4" t="inlineStr">
        <is>
          <t>Scuba-Cropped-Funnel-Neck-Half-Zip-Waffle</t>
        </is>
      </c>
      <c r="O1366" s="4" t="inlineStr">
        <is>
          <t>Half Zip Sweatshirts, Quarter Zip Sweatshirts</t>
        </is>
      </c>
    </row>
    <row r="1367" ht="80" customHeight="1">
      <c r="A1367" s="7">
        <f>IMAGE("https://images.lululemon.com/is/image/lululemon/LW3JCTS_032493_1?wid=320&amp;op_usm=0.8",1)</f>
        <v/>
      </c>
      <c r="B1367" s="7" t="inlineStr">
        <is>
          <t>Scuba Cropped Funnel-Neck Half Zip *Waffle</t>
        </is>
      </c>
      <c r="C1367" s="7" t="inlineStr">
        <is>
          <t>157688947</t>
        </is>
      </c>
      <c r="D1367" s="7" t="inlineStr">
        <is>
          <t>157688947-heatheredlightivory</t>
        </is>
      </c>
      <c r="E1367" s="7" t="inlineStr">
        <is>
          <t>Scuba Cropped 1/2 Zip Funnel Neck*Waffle HRLI XS</t>
        </is>
      </c>
      <c r="F1367" s="7" t="inlineStr">
        <is>
          <t>$138.00</t>
        </is>
      </c>
      <c r="G1367" s="7" t="inlineStr">
        <is>
          <t>$69.00</t>
        </is>
      </c>
      <c r="H1367" s="7" t="inlineStr">
        <is>
          <t>Heathered Light Ivory</t>
        </is>
      </c>
      <c r="I1367" s="7">
        <f>IMAGE("https://images.lululemon.com/is/image/lululemon/36168",1)</f>
        <v/>
      </c>
      <c r="J1367" s="7" t="inlineStr">
        <is>
          <t>M</t>
        </is>
      </c>
      <c r="K1367" s="7" t="inlineStr">
        <is>
          <t>211/5751</t>
        </is>
      </c>
      <c r="L1367" s="7" t="inlineStr">
        <is>
          <t>Yes</t>
        </is>
      </c>
      <c r="M1367" s="7" t="inlineStr">
        <is>
          <t>Our signature funnel-neck sweatshirt with a textured twist. A rich, waffle-knit fabric adds depth and softness to your downtime.</t>
        </is>
      </c>
      <c r="N1367" s="7" t="inlineStr">
        <is>
          <t>Scuba-Cropped-Funnel-Neck-Half-Zip-Waffle</t>
        </is>
      </c>
      <c r="O1367" s="7" t="inlineStr">
        <is>
          <t>Half Zip Sweatshirts, Quarter Zip Sweatshirts</t>
        </is>
      </c>
    </row>
    <row r="1368" ht="80" customHeight="1">
      <c r="A1368" s="4">
        <f>IMAGE("https://images.lululemon.com/is/image/lululemon/LW3JCTS_032493_1?wid=320&amp;op_usm=0.8",1)</f>
        <v/>
      </c>
      <c r="B1368" s="4" t="inlineStr">
        <is>
          <t>Scuba Cropped Funnel-Neck Half Zip *Waffle</t>
        </is>
      </c>
      <c r="C1368" s="4" t="inlineStr">
        <is>
          <t>157688944</t>
        </is>
      </c>
      <c r="D1368" s="4" t="inlineStr">
        <is>
          <t>157688944-heatheredlightivory</t>
        </is>
      </c>
      <c r="E1368" s="4" t="inlineStr">
        <is>
          <t>Scuba Cropped 1/2 Zip Funnel Neck*Waffle HRLI XS</t>
        </is>
      </c>
      <c r="F1368" s="4" t="inlineStr">
        <is>
          <t>$138.00</t>
        </is>
      </c>
      <c r="G1368" s="4" t="inlineStr">
        <is>
          <t>$69.00</t>
        </is>
      </c>
      <c r="H1368" s="4" t="inlineStr">
        <is>
          <t>Heathered Light Ivory</t>
        </is>
      </c>
      <c r="I1368" s="4">
        <f>IMAGE("https://images.lululemon.com/is/image/lululemon/36168",1)</f>
        <v/>
      </c>
      <c r="J1368" s="4" t="inlineStr">
        <is>
          <t>L</t>
        </is>
      </c>
      <c r="K1368" s="4" t="inlineStr">
        <is>
          <t>312/5751</t>
        </is>
      </c>
      <c r="L1368" s="4" t="inlineStr">
        <is>
          <t>Yes</t>
        </is>
      </c>
      <c r="M1368" s="4" t="inlineStr">
        <is>
          <t>Our signature funnel-neck sweatshirt with a textured twist. A rich, waffle-knit fabric adds depth and softness to your downtime.</t>
        </is>
      </c>
      <c r="N1368" s="4" t="inlineStr">
        <is>
          <t>Scuba-Cropped-Funnel-Neck-Half-Zip-Waffle</t>
        </is>
      </c>
      <c r="O1368" s="4" t="inlineStr">
        <is>
          <t>Half Zip Sweatshirts, Quarter Zip Sweatshirts</t>
        </is>
      </c>
    </row>
    <row r="1369" ht="80" customHeight="1">
      <c r="A1369" s="7">
        <f>IMAGE("https://images.lululemon.com/is/image/lululemon/LW3JCTS_032493_1?wid=320&amp;op_usm=0.8",1)</f>
        <v/>
      </c>
      <c r="B1369" s="7" t="inlineStr">
        <is>
          <t>Scuba Cropped Funnel-Neck Half Zip *Waffle</t>
        </is>
      </c>
      <c r="C1369" s="7" t="inlineStr">
        <is>
          <t>157688951</t>
        </is>
      </c>
      <c r="D1369" s="7" t="inlineStr">
        <is>
          <t>157688951-heatheredlightivory</t>
        </is>
      </c>
      <c r="E1369" s="7" t="inlineStr">
        <is>
          <t>Scuba Cropped 1/2 Zip Funnel Neck*Waffle HRLI XS</t>
        </is>
      </c>
      <c r="F1369" s="7" t="inlineStr">
        <is>
          <t>$138.00</t>
        </is>
      </c>
      <c r="G1369" s="7" t="inlineStr">
        <is>
          <t>$69.00</t>
        </is>
      </c>
      <c r="H1369" s="7" t="inlineStr">
        <is>
          <t>Heathered Light Ivory</t>
        </is>
      </c>
      <c r="I1369" s="7">
        <f>IMAGE("https://images.lululemon.com/is/image/lululemon/36168",1)</f>
        <v/>
      </c>
      <c r="J1369" s="7" t="inlineStr">
        <is>
          <t>XL</t>
        </is>
      </c>
      <c r="K1369" s="7" t="inlineStr">
        <is>
          <t>205/5751</t>
        </is>
      </c>
      <c r="L1369" s="7" t="inlineStr">
        <is>
          <t>Yes</t>
        </is>
      </c>
      <c r="M1369" s="7" t="inlineStr">
        <is>
          <t>Our signature funnel-neck sweatshirt with a textured twist. A rich, waffle-knit fabric adds depth and softness to your downtime.</t>
        </is>
      </c>
      <c r="N1369" s="7" t="inlineStr">
        <is>
          <t>Scuba-Cropped-Funnel-Neck-Half-Zip-Waffle</t>
        </is>
      </c>
      <c r="O1369" s="7" t="inlineStr">
        <is>
          <t>Half Zip Sweatshirts, Quarter Zip Sweatshirts</t>
        </is>
      </c>
    </row>
    <row r="1370" ht="80" customHeight="1">
      <c r="A1370" s="4">
        <f>IMAGE("https://images.lululemon.com/is/image/lululemon/LW3JCTS_032493_1?wid=320&amp;op_usm=0.8",1)</f>
        <v/>
      </c>
      <c r="B1370" s="4" t="inlineStr">
        <is>
          <t>Scuba Cropped Funnel-Neck Half Zip *Waffle</t>
        </is>
      </c>
      <c r="C1370" s="4" t="inlineStr">
        <is>
          <t>158026448</t>
        </is>
      </c>
      <c r="D1370" s="4" t="inlineStr">
        <is>
          <t>158026448-heatheredfaintlavender</t>
        </is>
      </c>
      <c r="E1370" s="4" t="inlineStr">
        <is>
          <t>Scuba Cropped 1/2 Zip Funnel Neck*Waffle HRLI XS</t>
        </is>
      </c>
      <c r="F1370" s="4" t="inlineStr">
        <is>
          <t>$138.00</t>
        </is>
      </c>
      <c r="G1370" s="4" t="inlineStr">
        <is>
          <t>$69.00</t>
        </is>
      </c>
      <c r="H1370" s="4" t="inlineStr">
        <is>
          <t>Heathered Faint Lavender</t>
        </is>
      </c>
      <c r="I1370" s="4">
        <f>IMAGE("https://images.lululemon.com/is/image/lululemon/42362",1)</f>
        <v/>
      </c>
      <c r="J1370" s="4" t="inlineStr">
        <is>
          <t>XS</t>
        </is>
      </c>
      <c r="K1370" s="4" t="inlineStr">
        <is>
          <t>230/5751</t>
        </is>
      </c>
      <c r="L1370" s="4" t="inlineStr">
        <is>
          <t>Yes</t>
        </is>
      </c>
      <c r="M1370" s="4" t="inlineStr">
        <is>
          <t>Our signature funnel-neck sweatshirt with a textured twist. A rich, waffle-knit fabric adds depth and softness to your downtime.</t>
        </is>
      </c>
      <c r="N1370" s="4" t="inlineStr">
        <is>
          <t>Scuba-Cropped-Funnel-Neck-Half-Zip-Waffle</t>
        </is>
      </c>
      <c r="O1370" s="4" t="inlineStr">
        <is>
          <t>Half Zip Sweatshirts, Quarter Zip Sweatshirts</t>
        </is>
      </c>
    </row>
    <row r="1371" ht="80" customHeight="1">
      <c r="A1371" s="7">
        <f>IMAGE("https://images.lululemon.com/is/image/lululemon/LW3JCTS_032493_1?wid=320&amp;op_usm=0.8",1)</f>
        <v/>
      </c>
      <c r="B1371" s="7" t="inlineStr">
        <is>
          <t>Scuba Cropped Funnel-Neck Half Zip *Waffle</t>
        </is>
      </c>
      <c r="C1371" s="7" t="inlineStr">
        <is>
          <t>158026396</t>
        </is>
      </c>
      <c r="D1371" s="7" t="inlineStr">
        <is>
          <t>158026396-heatheredfaintlavender</t>
        </is>
      </c>
      <c r="E1371" s="7" t="inlineStr">
        <is>
          <t>Scuba Cropped 1/2 Zip Funnel Neck*Waffle HRLI XS</t>
        </is>
      </c>
      <c r="F1371" s="7" t="inlineStr">
        <is>
          <t>$138.00</t>
        </is>
      </c>
      <c r="G1371" s="7" t="inlineStr">
        <is>
          <t>$69.00</t>
        </is>
      </c>
      <c r="H1371" s="7" t="inlineStr">
        <is>
          <t>Heathered Faint Lavender</t>
        </is>
      </c>
      <c r="I1371" s="7">
        <f>IMAGE("https://images.lululemon.com/is/image/lululemon/42362",1)</f>
        <v/>
      </c>
      <c r="J1371" s="7" t="inlineStr">
        <is>
          <t>S</t>
        </is>
      </c>
      <c r="K1371" s="7" t="inlineStr">
        <is>
          <t>146/5751</t>
        </is>
      </c>
      <c r="L1371" s="7" t="inlineStr">
        <is>
          <t>Yes</t>
        </is>
      </c>
      <c r="M1371" s="7" t="inlineStr">
        <is>
          <t>Our signature funnel-neck sweatshirt with a textured twist. A rich, waffle-knit fabric adds depth and softness to your downtime.</t>
        </is>
      </c>
      <c r="N1371" s="7" t="inlineStr">
        <is>
          <t>Scuba-Cropped-Funnel-Neck-Half-Zip-Waffle</t>
        </is>
      </c>
      <c r="O1371" s="7" t="inlineStr">
        <is>
          <t>Half Zip Sweatshirts, Quarter Zip Sweatshirts</t>
        </is>
      </c>
    </row>
    <row r="1372" ht="80" customHeight="1">
      <c r="A1372" s="4">
        <f>IMAGE("https://images.lululemon.com/is/image/lululemon/LW3JCTS_032493_1?wid=320&amp;op_usm=0.8",1)</f>
        <v/>
      </c>
      <c r="B1372" s="4" t="inlineStr">
        <is>
          <t>Scuba Cropped Funnel-Neck Half Zip *Waffle</t>
        </is>
      </c>
      <c r="C1372" s="4" t="inlineStr">
        <is>
          <t>158026370</t>
        </is>
      </c>
      <c r="D1372" s="4" t="inlineStr">
        <is>
          <t>158026370-heatheredfaintlavender</t>
        </is>
      </c>
      <c r="E1372" s="4" t="inlineStr">
        <is>
          <t>Scuba Cropped 1/2 Zip Funnel Neck*Waffle HRLI XS</t>
        </is>
      </c>
      <c r="F1372" s="4" t="inlineStr">
        <is>
          <t>$138.00</t>
        </is>
      </c>
      <c r="G1372" s="4" t="inlineStr">
        <is>
          <t>$69.00</t>
        </is>
      </c>
      <c r="H1372" s="4" t="inlineStr">
        <is>
          <t>Heathered Faint Lavender</t>
        </is>
      </c>
      <c r="I1372" s="4">
        <f>IMAGE("https://images.lululemon.com/is/image/lululemon/42362",1)</f>
        <v/>
      </c>
      <c r="J1372" s="4" t="inlineStr">
        <is>
          <t>M</t>
        </is>
      </c>
      <c r="K1372" s="4" t="inlineStr">
        <is>
          <t>56/5751</t>
        </is>
      </c>
      <c r="L1372" s="4" t="inlineStr">
        <is>
          <t>Yes</t>
        </is>
      </c>
      <c r="M1372" s="4" t="inlineStr">
        <is>
          <t>Our signature funnel-neck sweatshirt with a textured twist. A rich, waffle-knit fabric adds depth and softness to your downtime.</t>
        </is>
      </c>
      <c r="N1372" s="4" t="inlineStr">
        <is>
          <t>Scuba-Cropped-Funnel-Neck-Half-Zip-Waffle</t>
        </is>
      </c>
      <c r="O1372" s="4" t="inlineStr">
        <is>
          <t>Half Zip Sweatshirts, Quarter Zip Sweatshirts</t>
        </is>
      </c>
    </row>
    <row r="1373" ht="80" customHeight="1">
      <c r="A1373" s="7">
        <f>IMAGE("https://images.lululemon.com/is/image/lululemon/LW3JCTS_032493_1?wid=320&amp;op_usm=0.8",1)</f>
        <v/>
      </c>
      <c r="B1373" s="7" t="inlineStr">
        <is>
          <t>Scuba Cropped Funnel-Neck Half Zip *Waffle</t>
        </is>
      </c>
      <c r="C1373" s="7" t="inlineStr">
        <is>
          <t>158026346</t>
        </is>
      </c>
      <c r="D1373" s="7" t="inlineStr">
        <is>
          <t>158026346-heatheredfaintlavender</t>
        </is>
      </c>
      <c r="E1373" s="7" t="inlineStr">
        <is>
          <t>Scuba Cropped 1/2 Zip Funnel Neck*Waffle HRLI XS</t>
        </is>
      </c>
      <c r="F1373" s="7" t="inlineStr">
        <is>
          <t>$138.00</t>
        </is>
      </c>
      <c r="G1373" s="7" t="inlineStr">
        <is>
          <t>$69.00</t>
        </is>
      </c>
      <c r="H1373" s="7" t="inlineStr">
        <is>
          <t>Heathered Faint Lavender</t>
        </is>
      </c>
      <c r="I1373" s="7">
        <f>IMAGE("https://images.lululemon.com/is/image/lululemon/42362",1)</f>
        <v/>
      </c>
      <c r="J1373" s="7" t="inlineStr">
        <is>
          <t>L</t>
        </is>
      </c>
      <c r="K1373" s="7" t="inlineStr">
        <is>
          <t>32/5751</t>
        </is>
      </c>
      <c r="L1373" s="7" t="inlineStr">
        <is>
          <t>Yes</t>
        </is>
      </c>
      <c r="M1373" s="7" t="inlineStr">
        <is>
          <t>Our signature funnel-neck sweatshirt with a textured twist. A rich, waffle-knit fabric adds depth and softness to your downtime.</t>
        </is>
      </c>
      <c r="N1373" s="7" t="inlineStr">
        <is>
          <t>Scuba-Cropped-Funnel-Neck-Half-Zip-Waffle</t>
        </is>
      </c>
      <c r="O1373" s="7" t="inlineStr">
        <is>
          <t>Half Zip Sweatshirts, Quarter Zip Sweatshirts</t>
        </is>
      </c>
    </row>
    <row r="1374" ht="80" customHeight="1">
      <c r="A1374" s="4">
        <f>IMAGE("https://images.lululemon.com/is/image/lululemon/LW3JCTS_032493_1?wid=320&amp;op_usm=0.8",1)</f>
        <v/>
      </c>
      <c r="B1374" s="4" t="inlineStr">
        <is>
          <t>Scuba Cropped Funnel-Neck Half Zip *Waffle</t>
        </is>
      </c>
      <c r="C1374" s="4" t="inlineStr">
        <is>
          <t>158026420</t>
        </is>
      </c>
      <c r="D1374" s="4" t="inlineStr">
        <is>
          <t>158026420-heatheredfaintlavender</t>
        </is>
      </c>
      <c r="E1374" s="4" t="inlineStr">
        <is>
          <t>Scuba Cropped 1/2 Zip Funnel Neck*Waffle HRLI XS</t>
        </is>
      </c>
      <c r="F1374" s="4" t="inlineStr">
        <is>
          <t>$138.00</t>
        </is>
      </c>
      <c r="G1374" s="4" t="inlineStr">
        <is>
          <t>$69.00</t>
        </is>
      </c>
      <c r="H1374" s="4" t="inlineStr">
        <is>
          <t>Heathered Faint Lavender</t>
        </is>
      </c>
      <c r="I1374" s="4">
        <f>IMAGE("https://images.lululemon.com/is/image/lululemon/42362",1)</f>
        <v/>
      </c>
      <c r="J1374" s="4" t="inlineStr">
        <is>
          <t>XL</t>
        </is>
      </c>
      <c r="K1374" s="4" t="inlineStr">
        <is>
          <t>54/5751</t>
        </is>
      </c>
      <c r="L1374" s="4" t="inlineStr">
        <is>
          <t>Yes</t>
        </is>
      </c>
      <c r="M1374" s="4" t="inlineStr">
        <is>
          <t>Our signature funnel-neck sweatshirt with a textured twist. A rich, waffle-knit fabric adds depth and softness to your downtime.</t>
        </is>
      </c>
      <c r="N1374" s="4" t="inlineStr">
        <is>
          <t>Scuba-Cropped-Funnel-Neck-Half-Zip-Waffle</t>
        </is>
      </c>
      <c r="O1374" s="4" t="inlineStr">
        <is>
          <t>Half Zip Sweatshirts, Quarter Zip Sweatshirts</t>
        </is>
      </c>
    </row>
    <row r="1375" ht="80" customHeight="1">
      <c r="A1375" s="7">
        <f>IMAGE("https://images.lululemon.com/is/image/lululemon/LW3JCTS_032493_1?wid=320&amp;op_usm=0.8",1)</f>
        <v/>
      </c>
      <c r="B1375" s="7" t="inlineStr">
        <is>
          <t>Scuba Cropped Funnel-Neck Half Zip *Waffle</t>
        </is>
      </c>
      <c r="C1375" s="7" t="inlineStr">
        <is>
          <t>158119568</t>
        </is>
      </c>
      <c r="D1375" s="7" t="inlineStr">
        <is>
          <t>158119568-heatheredfoggreen</t>
        </is>
      </c>
      <c r="E1375" s="7" t="inlineStr">
        <is>
          <t>Scuba Cropped 1/2 Zip Funnel Neck*Waffle HRLI XS</t>
        </is>
      </c>
      <c r="F1375" s="7" t="inlineStr">
        <is>
          <t>$138.00</t>
        </is>
      </c>
      <c r="G1375" s="7" t="inlineStr">
        <is>
          <t>$69.00</t>
        </is>
      </c>
      <c r="H1375" s="7" t="inlineStr">
        <is>
          <t>Heathered Fog Green</t>
        </is>
      </c>
      <c r="I1375" s="7">
        <f>IMAGE("https://images.lululemon.com/is/image/lululemon/70297",1)</f>
        <v/>
      </c>
      <c r="J1375" s="7" t="inlineStr">
        <is>
          <t>XS</t>
        </is>
      </c>
      <c r="K1375" s="7" t="inlineStr">
        <is>
          <t>321/5751</t>
        </is>
      </c>
      <c r="L1375" s="7" t="inlineStr">
        <is>
          <t>Yes</t>
        </is>
      </c>
      <c r="M1375" s="7" t="inlineStr">
        <is>
          <t>Our signature funnel-neck sweatshirt with a textured twist. A rich, waffle-knit fabric adds depth and softness to your downtime.</t>
        </is>
      </c>
      <c r="N1375" s="7" t="inlineStr">
        <is>
          <t>Scuba-Cropped-Funnel-Neck-Half-Zip-Waffle</t>
        </is>
      </c>
      <c r="O1375" s="7" t="inlineStr">
        <is>
          <t>Half Zip Sweatshirts, Quarter Zip Sweatshirts</t>
        </is>
      </c>
    </row>
    <row r="1376" ht="80" customHeight="1">
      <c r="A1376" s="4">
        <f>IMAGE("https://images.lululemon.com/is/image/lululemon/LW3JCTS_032493_1?wid=320&amp;op_usm=0.8",1)</f>
        <v/>
      </c>
      <c r="B1376" s="4" t="inlineStr">
        <is>
          <t>Scuba Cropped Funnel-Neck Half Zip *Waffle</t>
        </is>
      </c>
      <c r="C1376" s="4" t="inlineStr">
        <is>
          <t>158119566</t>
        </is>
      </c>
      <c r="D1376" s="4" t="inlineStr">
        <is>
          <t>158119566-heatheredfoggreen</t>
        </is>
      </c>
      <c r="E1376" s="4" t="inlineStr">
        <is>
          <t>Scuba Cropped 1/2 Zip Funnel Neck*Waffle HRLI XS</t>
        </is>
      </c>
      <c r="F1376" s="4" t="inlineStr">
        <is>
          <t>$138.00</t>
        </is>
      </c>
      <c r="G1376" s="4" t="inlineStr">
        <is>
          <t>$69.00</t>
        </is>
      </c>
      <c r="H1376" s="4" t="inlineStr">
        <is>
          <t>Heathered Fog Green</t>
        </is>
      </c>
      <c r="I1376" s="4">
        <f>IMAGE("https://images.lululemon.com/is/image/lululemon/70297",1)</f>
        <v/>
      </c>
      <c r="J1376" s="4" t="inlineStr">
        <is>
          <t>S</t>
        </is>
      </c>
      <c r="K1376" s="4" t="inlineStr">
        <is>
          <t>266/5751</t>
        </is>
      </c>
      <c r="L1376" s="4" t="inlineStr">
        <is>
          <t>Yes</t>
        </is>
      </c>
      <c r="M1376" s="4" t="inlineStr">
        <is>
          <t>Our signature funnel-neck sweatshirt with a textured twist. A rich, waffle-knit fabric adds depth and softness to your downtime.</t>
        </is>
      </c>
      <c r="N1376" s="4" t="inlineStr">
        <is>
          <t>Scuba-Cropped-Funnel-Neck-Half-Zip-Waffle</t>
        </is>
      </c>
      <c r="O1376" s="4" t="inlineStr">
        <is>
          <t>Half Zip Sweatshirts, Quarter Zip Sweatshirts</t>
        </is>
      </c>
    </row>
    <row r="1377" ht="80" customHeight="1">
      <c r="A1377" s="7">
        <f>IMAGE("https://images.lululemon.com/is/image/lululemon/LW3JCTS_032493_1?wid=320&amp;op_usm=0.8",1)</f>
        <v/>
      </c>
      <c r="B1377" s="7" t="inlineStr">
        <is>
          <t>Scuba Cropped Funnel-Neck Half Zip *Waffle</t>
        </is>
      </c>
      <c r="C1377" s="7" t="inlineStr">
        <is>
          <t>158119565</t>
        </is>
      </c>
      <c r="D1377" s="7" t="inlineStr">
        <is>
          <t>158119565-heatheredfoggreen</t>
        </is>
      </c>
      <c r="E1377" s="7" t="inlineStr">
        <is>
          <t>Scuba Cropped 1/2 Zip Funnel Neck*Waffle HRLI XS</t>
        </is>
      </c>
      <c r="F1377" s="7" t="inlineStr">
        <is>
          <t>$138.00</t>
        </is>
      </c>
      <c r="G1377" s="7" t="inlineStr">
        <is>
          <t>$69.00</t>
        </is>
      </c>
      <c r="H1377" s="7" t="inlineStr">
        <is>
          <t>Heathered Fog Green</t>
        </is>
      </c>
      <c r="I1377" s="7">
        <f>IMAGE("https://images.lululemon.com/is/image/lululemon/70297",1)</f>
        <v/>
      </c>
      <c r="J1377" s="7" t="inlineStr">
        <is>
          <t>M</t>
        </is>
      </c>
      <c r="K1377" s="7" t="inlineStr">
        <is>
          <t>158/5751</t>
        </is>
      </c>
      <c r="L1377" s="7" t="inlineStr">
        <is>
          <t>Yes</t>
        </is>
      </c>
      <c r="M1377" s="7" t="inlineStr">
        <is>
          <t>Our signature funnel-neck sweatshirt with a textured twist. A rich, waffle-knit fabric adds depth and softness to your downtime.</t>
        </is>
      </c>
      <c r="N1377" s="7" t="inlineStr">
        <is>
          <t>Scuba-Cropped-Funnel-Neck-Half-Zip-Waffle</t>
        </is>
      </c>
      <c r="O1377" s="7" t="inlineStr">
        <is>
          <t>Half Zip Sweatshirts, Quarter Zip Sweatshirts</t>
        </is>
      </c>
    </row>
    <row r="1378" ht="80" customHeight="1">
      <c r="A1378" s="4">
        <f>IMAGE("https://images.lululemon.com/is/image/lululemon/LW3JCTS_032493_1?wid=320&amp;op_usm=0.8",1)</f>
        <v/>
      </c>
      <c r="B1378" s="4" t="inlineStr">
        <is>
          <t>Scuba Cropped Funnel-Neck Half Zip *Waffle</t>
        </is>
      </c>
      <c r="C1378" s="4" t="inlineStr">
        <is>
          <t>158119564</t>
        </is>
      </c>
      <c r="D1378" s="4" t="inlineStr">
        <is>
          <t>158119564-heatheredfoggreen</t>
        </is>
      </c>
      <c r="E1378" s="4" t="inlineStr">
        <is>
          <t>Scuba Cropped 1/2 Zip Funnel Neck*Waffle HRLI XS</t>
        </is>
      </c>
      <c r="F1378" s="4" t="inlineStr">
        <is>
          <t>$138.00</t>
        </is>
      </c>
      <c r="G1378" s="4" t="inlineStr">
        <is>
          <t>$69.00</t>
        </is>
      </c>
      <c r="H1378" s="4" t="inlineStr">
        <is>
          <t>Heathered Fog Green</t>
        </is>
      </c>
      <c r="I1378" s="4">
        <f>IMAGE("https://images.lululemon.com/is/image/lululemon/70297",1)</f>
        <v/>
      </c>
      <c r="J1378" s="4" t="inlineStr">
        <is>
          <t>L</t>
        </is>
      </c>
      <c r="K1378" s="4" t="inlineStr">
        <is>
          <t>99/5751</t>
        </is>
      </c>
      <c r="L1378" s="4" t="inlineStr">
        <is>
          <t>Yes</t>
        </is>
      </c>
      <c r="M1378" s="4" t="inlineStr">
        <is>
          <t>Our signature funnel-neck sweatshirt with a textured twist. A rich, waffle-knit fabric adds depth and softness to your downtime.</t>
        </is>
      </c>
      <c r="N1378" s="4" t="inlineStr">
        <is>
          <t>Scuba-Cropped-Funnel-Neck-Half-Zip-Waffle</t>
        </is>
      </c>
      <c r="O1378" s="4" t="inlineStr">
        <is>
          <t>Half Zip Sweatshirts, Quarter Zip Sweatshirts</t>
        </is>
      </c>
    </row>
    <row r="1379" ht="80" customHeight="1">
      <c r="A1379" s="7">
        <f>IMAGE("https://images.lululemon.com/is/image/lululemon/LW3JCTS_032493_1?wid=320&amp;op_usm=0.8",1)</f>
        <v/>
      </c>
      <c r="B1379" s="7" t="inlineStr">
        <is>
          <t>Scuba Cropped Funnel-Neck Half Zip *Waffle</t>
        </is>
      </c>
      <c r="C1379" s="7" t="inlineStr">
        <is>
          <t>158119567</t>
        </is>
      </c>
      <c r="D1379" s="7" t="inlineStr">
        <is>
          <t>158119567-heatheredfoggreen</t>
        </is>
      </c>
      <c r="E1379" s="7" t="inlineStr">
        <is>
          <t>Scuba Cropped 1/2 Zip Funnel Neck*Waffle HRLI XS</t>
        </is>
      </c>
      <c r="F1379" s="7" t="inlineStr">
        <is>
          <t>$138.00</t>
        </is>
      </c>
      <c r="G1379" s="7" t="inlineStr">
        <is>
          <t>$69.00</t>
        </is>
      </c>
      <c r="H1379" s="7" t="inlineStr">
        <is>
          <t>Heathered Fog Green</t>
        </is>
      </c>
      <c r="I1379" s="7">
        <f>IMAGE("https://images.lululemon.com/is/image/lululemon/70297",1)</f>
        <v/>
      </c>
      <c r="J1379" s="7" t="inlineStr">
        <is>
          <t>XL</t>
        </is>
      </c>
      <c r="K1379" s="7" t="inlineStr">
        <is>
          <t>74/5751</t>
        </is>
      </c>
      <c r="L1379" s="7" t="inlineStr">
        <is>
          <t>Yes</t>
        </is>
      </c>
      <c r="M1379" s="7" t="inlineStr">
        <is>
          <t>Our signature funnel-neck sweatshirt with a textured twist. A rich, waffle-knit fabric adds depth and softness to your downtime.</t>
        </is>
      </c>
      <c r="N1379" s="7" t="inlineStr">
        <is>
          <t>Scuba-Cropped-Funnel-Neck-Half-Zip-Waffle</t>
        </is>
      </c>
      <c r="O1379" s="7" t="inlineStr">
        <is>
          <t>Half Zip Sweatshirts, Quarter Zip Sweatshirts</t>
        </is>
      </c>
    </row>
    <row r="1380" ht="80" customHeight="1">
      <c r="A1380" s="4">
        <f>IMAGE("https://images.lululemon.com/is/image/lululemon/LW3JCTS_032493_1?wid=320&amp;op_usm=0.8",1)</f>
        <v/>
      </c>
      <c r="B1380" s="4" t="inlineStr">
        <is>
          <t>Scuba Cropped Funnel-Neck Half Zip *Waffle</t>
        </is>
      </c>
      <c r="C1380" s="4" t="inlineStr">
        <is>
          <t>157688939</t>
        </is>
      </c>
      <c r="D1380" s="4" t="inlineStr">
        <is>
          <t>157688939-heatheredcoreultralightgrey</t>
        </is>
      </c>
      <c r="E1380" s="4" t="inlineStr">
        <is>
          <t>Scuba Cropped 1/2 Zip Funnel Neck*Waffle HRLI XS</t>
        </is>
      </c>
      <c r="F1380" s="4" t="inlineStr">
        <is>
          <t>$138.00</t>
        </is>
      </c>
      <c r="G1380" s="4" t="inlineStr">
        <is>
          <t>$69.00</t>
        </is>
      </c>
      <c r="H1380" s="4" t="inlineStr">
        <is>
          <t>Heathered Core Ultra Light Grey</t>
        </is>
      </c>
      <c r="I1380" s="4">
        <f>IMAGE("https://images.lululemon.com/is/image/lululemon/32493",1)</f>
        <v/>
      </c>
      <c r="J1380" s="4" t="inlineStr">
        <is>
          <t>XS</t>
        </is>
      </c>
      <c r="K1380" s="4" t="inlineStr">
        <is>
          <t>662/5751</t>
        </is>
      </c>
      <c r="L1380" s="4" t="inlineStr">
        <is>
          <t>Yes</t>
        </is>
      </c>
      <c r="M1380" s="4" t="inlineStr">
        <is>
          <t>Our signature funnel-neck sweatshirt with a textured twist. A rich, waffle-knit fabric adds depth and softness to your downtime.</t>
        </is>
      </c>
      <c r="N1380" s="4" t="inlineStr">
        <is>
          <t>Scuba-Cropped-Funnel-Neck-Half-Zip-Waffle</t>
        </is>
      </c>
      <c r="O1380" s="4" t="inlineStr">
        <is>
          <t>Half Zip Sweatshirts, Quarter Zip Sweatshirts</t>
        </is>
      </c>
    </row>
    <row r="1381" ht="80" customHeight="1">
      <c r="A1381" s="7">
        <f>IMAGE("https://images.lululemon.com/is/image/lululemon/LW3JCTS_032493_1?wid=320&amp;op_usm=0.8",1)</f>
        <v/>
      </c>
      <c r="B1381" s="7" t="inlineStr">
        <is>
          <t>Scuba Cropped Funnel-Neck Half Zip *Waffle</t>
        </is>
      </c>
      <c r="C1381" s="7" t="inlineStr">
        <is>
          <t>157688935</t>
        </is>
      </c>
      <c r="D1381" s="7" t="inlineStr">
        <is>
          <t>157688935-heatheredcoreultralightgrey</t>
        </is>
      </c>
      <c r="E1381" s="7" t="inlineStr">
        <is>
          <t>Scuba Cropped 1/2 Zip Funnel Neck*Waffle HRLI XS</t>
        </is>
      </c>
      <c r="F1381" s="7" t="inlineStr">
        <is>
          <t>$138.00</t>
        </is>
      </c>
      <c r="G1381" s="7" t="inlineStr">
        <is>
          <t>$69.00</t>
        </is>
      </c>
      <c r="H1381" s="7" t="inlineStr">
        <is>
          <t>Heathered Core Ultra Light Grey</t>
        </is>
      </c>
      <c r="I1381" s="7">
        <f>IMAGE("https://images.lululemon.com/is/image/lululemon/32493",1)</f>
        <v/>
      </c>
      <c r="J1381" s="7" t="inlineStr">
        <is>
          <t>S</t>
        </is>
      </c>
      <c r="K1381" s="7" t="inlineStr">
        <is>
          <t>577/5751</t>
        </is>
      </c>
      <c r="L1381" s="7" t="inlineStr">
        <is>
          <t>Yes</t>
        </is>
      </c>
      <c r="M1381" s="7" t="inlineStr">
        <is>
          <t>Our signature funnel-neck sweatshirt with a textured twist. A rich, waffle-knit fabric adds depth and softness to your downtime.</t>
        </is>
      </c>
      <c r="N1381" s="7" t="inlineStr">
        <is>
          <t>Scuba-Cropped-Funnel-Neck-Half-Zip-Waffle</t>
        </is>
      </c>
      <c r="O1381" s="7" t="inlineStr">
        <is>
          <t>Half Zip Sweatshirts, Quarter Zip Sweatshirts</t>
        </is>
      </c>
    </row>
    <row r="1382" ht="80" customHeight="1">
      <c r="A1382" s="4">
        <f>IMAGE("https://images.lululemon.com/is/image/lululemon/LW3JCTS_032493_1?wid=320&amp;op_usm=0.8",1)</f>
        <v/>
      </c>
      <c r="B1382" s="4" t="inlineStr">
        <is>
          <t>Scuba Cropped Funnel-Neck Half Zip *Waffle</t>
        </is>
      </c>
      <c r="C1382" s="4" t="inlineStr">
        <is>
          <t>157688932</t>
        </is>
      </c>
      <c r="D1382" s="4" t="inlineStr">
        <is>
          <t>157688932-heatheredcoreultralightgrey</t>
        </is>
      </c>
      <c r="E1382" s="4" t="inlineStr">
        <is>
          <t>Scuba Cropped 1/2 Zip Funnel Neck*Waffle HRLI XS</t>
        </is>
      </c>
      <c r="F1382" s="4" t="inlineStr">
        <is>
          <t>$138.00</t>
        </is>
      </c>
      <c r="G1382" s="4" t="inlineStr">
        <is>
          <t>$69.00</t>
        </is>
      </c>
      <c r="H1382" s="4" t="inlineStr">
        <is>
          <t>Heathered Core Ultra Light Grey</t>
        </is>
      </c>
      <c r="I1382" s="4">
        <f>IMAGE("https://images.lululemon.com/is/image/lululemon/32493",1)</f>
        <v/>
      </c>
      <c r="J1382" s="4" t="inlineStr">
        <is>
          <t>M</t>
        </is>
      </c>
      <c r="K1382" s="4" t="inlineStr">
        <is>
          <t>323/5751</t>
        </is>
      </c>
      <c r="L1382" s="4" t="inlineStr">
        <is>
          <t>Yes</t>
        </is>
      </c>
      <c r="M1382" s="4" t="inlineStr">
        <is>
          <t>Our signature funnel-neck sweatshirt with a textured twist. A rich, waffle-knit fabric adds depth and softness to your downtime.</t>
        </is>
      </c>
      <c r="N1382" s="4" t="inlineStr">
        <is>
          <t>Scuba-Cropped-Funnel-Neck-Half-Zip-Waffle</t>
        </is>
      </c>
      <c r="O1382" s="4" t="inlineStr">
        <is>
          <t>Half Zip Sweatshirts, Quarter Zip Sweatshirts</t>
        </is>
      </c>
    </row>
    <row r="1383" ht="80" customHeight="1">
      <c r="A1383" s="7">
        <f>IMAGE("https://images.lululemon.com/is/image/lululemon/LW3JCTS_032493_1?wid=320&amp;op_usm=0.8",1)</f>
        <v/>
      </c>
      <c r="B1383" s="7" t="inlineStr">
        <is>
          <t>Scuba Cropped Funnel-Neck Half Zip *Waffle</t>
        </is>
      </c>
      <c r="C1383" s="7" t="inlineStr">
        <is>
          <t>157688931</t>
        </is>
      </c>
      <c r="D1383" s="7" t="inlineStr">
        <is>
          <t>157688931-heatheredcoreultralightgrey</t>
        </is>
      </c>
      <c r="E1383" s="7" t="inlineStr">
        <is>
          <t>Scuba Cropped 1/2 Zip Funnel Neck*Waffle HRLI XS</t>
        </is>
      </c>
      <c r="F1383" s="7" t="inlineStr">
        <is>
          <t>$138.00</t>
        </is>
      </c>
      <c r="G1383" s="7" t="inlineStr">
        <is>
          <t>$69.00</t>
        </is>
      </c>
      <c r="H1383" s="7" t="inlineStr">
        <is>
          <t>Heathered Core Ultra Light Grey</t>
        </is>
      </c>
      <c r="I1383" s="7">
        <f>IMAGE("https://images.lululemon.com/is/image/lululemon/32493",1)</f>
        <v/>
      </c>
      <c r="J1383" s="7" t="inlineStr">
        <is>
          <t>L</t>
        </is>
      </c>
      <c r="K1383" s="7" t="inlineStr">
        <is>
          <t>405/5751</t>
        </is>
      </c>
      <c r="L1383" s="7" t="inlineStr">
        <is>
          <t>Yes</t>
        </is>
      </c>
      <c r="M1383" s="7" t="inlineStr">
        <is>
          <t>Our signature funnel-neck sweatshirt with a textured twist. A rich, waffle-knit fabric adds depth and softness to your downtime.</t>
        </is>
      </c>
      <c r="N1383" s="7" t="inlineStr">
        <is>
          <t>Scuba-Cropped-Funnel-Neck-Half-Zip-Waffle</t>
        </is>
      </c>
      <c r="O1383" s="7" t="inlineStr">
        <is>
          <t>Half Zip Sweatshirts, Quarter Zip Sweatshirts</t>
        </is>
      </c>
    </row>
    <row r="1384" ht="80" customHeight="1">
      <c r="A1384" s="4">
        <f>IMAGE("https://images.lululemon.com/is/image/lululemon/LW3JCTS_032493_1?wid=320&amp;op_usm=0.8",1)</f>
        <v/>
      </c>
      <c r="B1384" s="4" t="inlineStr">
        <is>
          <t>Scuba Cropped Funnel-Neck Half Zip *Waffle</t>
        </is>
      </c>
      <c r="C1384" s="4" t="inlineStr">
        <is>
          <t>157688936</t>
        </is>
      </c>
      <c r="D1384" s="4" t="inlineStr">
        <is>
          <t>157688936-heatheredcoreultralightgrey</t>
        </is>
      </c>
      <c r="E1384" s="4" t="inlineStr">
        <is>
          <t>Scuba Cropped 1/2 Zip Funnel Neck*Waffle HRLI XS</t>
        </is>
      </c>
      <c r="F1384" s="4" t="inlineStr">
        <is>
          <t>$138.00</t>
        </is>
      </c>
      <c r="G1384" s="4" t="inlineStr">
        <is>
          <t>$69.00</t>
        </is>
      </c>
      <c r="H1384" s="4" t="inlineStr">
        <is>
          <t>Heathered Core Ultra Light Grey</t>
        </is>
      </c>
      <c r="I1384" s="4">
        <f>IMAGE("https://images.lululemon.com/is/image/lululemon/32493",1)</f>
        <v/>
      </c>
      <c r="J1384" s="4" t="inlineStr">
        <is>
          <t>XL</t>
        </is>
      </c>
      <c r="K1384" s="4" t="inlineStr">
        <is>
          <t>345/5751</t>
        </is>
      </c>
      <c r="L1384" s="4" t="inlineStr">
        <is>
          <t>Yes</t>
        </is>
      </c>
      <c r="M1384" s="4" t="inlineStr">
        <is>
          <t>Our signature funnel-neck sweatshirt with a textured twist. A rich, waffle-knit fabric adds depth and softness to your downtime.</t>
        </is>
      </c>
      <c r="N1384" s="4" t="inlineStr">
        <is>
          <t>Scuba-Cropped-Funnel-Neck-Half-Zip-Waffle</t>
        </is>
      </c>
      <c r="O1384" s="4" t="inlineStr">
        <is>
          <t>Half Zip Sweatshirts, Quarter Zip Sweatshirts</t>
        </is>
      </c>
    </row>
    <row r="1385" ht="80" customHeight="1">
      <c r="A1385" s="7">
        <f>IMAGE("https://images.lululemon.com/is/image/lululemon/LW3JCTS_032493_1?wid=320&amp;op_usm=0.8",1)</f>
        <v/>
      </c>
      <c r="B1385" s="7" t="inlineStr">
        <is>
          <t>Scuba Cropped Funnel-Neck Half Zip *Waffle</t>
        </is>
      </c>
      <c r="C1385" s="7" t="inlineStr">
        <is>
          <t>157688920</t>
        </is>
      </c>
      <c r="D1385" s="7" t="inlineStr">
        <is>
          <t>157688920-heatheredminkberry</t>
        </is>
      </c>
      <c r="E1385" s="7" t="inlineStr">
        <is>
          <t>Scuba Cropped 1/2 Zip Funnel Neck*Waffle HRLI XS</t>
        </is>
      </c>
      <c r="F1385" s="7" t="inlineStr">
        <is>
          <t>$138.00</t>
        </is>
      </c>
      <c r="G1385" s="7" t="inlineStr">
        <is>
          <t>$69.00</t>
        </is>
      </c>
      <c r="H1385" s="7" t="inlineStr">
        <is>
          <t>Heathered Mink Berry</t>
        </is>
      </c>
      <c r="I1385" s="7">
        <f>IMAGE("https://images.lululemon.com/is/image/lululemon/20436",1)</f>
        <v/>
      </c>
      <c r="J1385" s="7" t="inlineStr">
        <is>
          <t>S</t>
        </is>
      </c>
      <c r="K1385" s="7" t="inlineStr">
        <is>
          <t>71/5751</t>
        </is>
      </c>
      <c r="L1385" s="7" t="inlineStr">
        <is>
          <t>Yes</t>
        </is>
      </c>
      <c r="M1385" s="7" t="inlineStr">
        <is>
          <t>Our signature funnel-neck sweatshirt with a textured twist. A rich, waffle-knit fabric adds depth and softness to your downtime.</t>
        </is>
      </c>
      <c r="N1385" s="7" t="inlineStr">
        <is>
          <t>Scuba-Cropped-Funnel-Neck-Half-Zip-Waffle</t>
        </is>
      </c>
      <c r="O1385" s="7" t="inlineStr">
        <is>
          <t>Half Zip Sweatshirts, Quarter Zip Sweatshirts</t>
        </is>
      </c>
    </row>
    <row r="1386" ht="80" customHeight="1">
      <c r="A1386" s="4">
        <f>IMAGE("https://images.lululemon.com/is/image/lululemon/LW3JCTS_032493_1?wid=320&amp;op_usm=0.8",1)</f>
        <v/>
      </c>
      <c r="B1386" s="4" t="inlineStr">
        <is>
          <t>Scuba Cropped Funnel-Neck Half Zip *Waffle</t>
        </is>
      </c>
      <c r="C1386" s="4" t="inlineStr">
        <is>
          <t>157688917</t>
        </is>
      </c>
      <c r="D1386" s="4" t="inlineStr">
        <is>
          <t>157688917-heatheredminkberry</t>
        </is>
      </c>
      <c r="E1386" s="4" t="inlineStr">
        <is>
          <t>Scuba Cropped 1/2 Zip Funnel Neck*Waffle HRLI XS</t>
        </is>
      </c>
      <c r="F1386" s="4" t="inlineStr">
        <is>
          <t>$138.00</t>
        </is>
      </c>
      <c r="G1386" s="4" t="inlineStr">
        <is>
          <t>$69.00</t>
        </is>
      </c>
      <c r="H1386" s="4" t="inlineStr">
        <is>
          <t>Heathered Mink Berry</t>
        </is>
      </c>
      <c r="I1386" s="4">
        <f>IMAGE("https://images.lululemon.com/is/image/lululemon/20436",1)</f>
        <v/>
      </c>
      <c r="J1386" s="4" t="inlineStr">
        <is>
          <t>M</t>
        </is>
      </c>
      <c r="K1386" s="4" t="inlineStr">
        <is>
          <t>240/5751</t>
        </is>
      </c>
      <c r="L1386" s="4" t="inlineStr">
        <is>
          <t>Yes</t>
        </is>
      </c>
      <c r="M1386" s="4" t="inlineStr">
        <is>
          <t>Our signature funnel-neck sweatshirt with a textured twist. A rich, waffle-knit fabric adds depth and softness to your downtime.</t>
        </is>
      </c>
      <c r="N1386" s="4" t="inlineStr">
        <is>
          <t>Scuba-Cropped-Funnel-Neck-Half-Zip-Waffle</t>
        </is>
      </c>
      <c r="O1386" s="4" t="inlineStr">
        <is>
          <t>Half Zip Sweatshirts, Quarter Zip Sweatshirts</t>
        </is>
      </c>
    </row>
    <row r="1387" ht="80" customHeight="1">
      <c r="A1387" s="7">
        <f>IMAGE("https://images.lululemon.com/is/image/lululemon/LW3JCTS_032493_1?wid=320&amp;op_usm=0.8",1)</f>
        <v/>
      </c>
      <c r="B1387" s="7" t="inlineStr">
        <is>
          <t>Scuba Cropped Funnel-Neck Half Zip *Waffle</t>
        </is>
      </c>
      <c r="C1387" s="7" t="inlineStr">
        <is>
          <t>157688914</t>
        </is>
      </c>
      <c r="D1387" s="7" t="inlineStr">
        <is>
          <t>157688914-heatheredminkberry</t>
        </is>
      </c>
      <c r="E1387" s="7" t="inlineStr">
        <is>
          <t>Scuba Cropped 1/2 Zip Funnel Neck*Waffle HRLI XS</t>
        </is>
      </c>
      <c r="F1387" s="7" t="inlineStr">
        <is>
          <t>$138.00</t>
        </is>
      </c>
      <c r="G1387" s="7" t="inlineStr">
        <is>
          <t>$69.00</t>
        </is>
      </c>
      <c r="H1387" s="7" t="inlineStr">
        <is>
          <t>Heathered Mink Berry</t>
        </is>
      </c>
      <c r="I1387" s="7">
        <f>IMAGE("https://images.lululemon.com/is/image/lululemon/20436",1)</f>
        <v/>
      </c>
      <c r="J1387" s="7" t="inlineStr">
        <is>
          <t>L</t>
        </is>
      </c>
      <c r="K1387" s="7" t="inlineStr">
        <is>
          <t>488/5751</t>
        </is>
      </c>
      <c r="L1387" s="7" t="inlineStr">
        <is>
          <t>Yes</t>
        </is>
      </c>
      <c r="M1387" s="7" t="inlineStr">
        <is>
          <t>Our signature funnel-neck sweatshirt with a textured twist. A rich, waffle-knit fabric adds depth and softness to your downtime.</t>
        </is>
      </c>
      <c r="N1387" s="7" t="inlineStr">
        <is>
          <t>Scuba-Cropped-Funnel-Neck-Half-Zip-Waffle</t>
        </is>
      </c>
      <c r="O1387" s="7" t="inlineStr">
        <is>
          <t>Half Zip Sweatshirts, Quarter Zip Sweatshirts</t>
        </is>
      </c>
    </row>
    <row r="1388" ht="80" customHeight="1">
      <c r="A1388" s="6">
        <f>IMAGE("https://images.lululemon.com/is/image/lululemon/LW3JCTS_032493_1?wid=320&amp;op_usm=0.8",1)</f>
        <v/>
      </c>
      <c r="B1388" s="6" t="inlineStr">
        <is>
          <t>Scuba Cropped Funnel-Neck Half Zip *Waffle</t>
        </is>
      </c>
      <c r="C1388" s="6" t="inlineStr">
        <is>
          <t>157688922</t>
        </is>
      </c>
      <c r="D1388" s="6" t="inlineStr">
        <is>
          <t>157688922-heatheredminkberry</t>
        </is>
      </c>
      <c r="E1388" s="6" t="inlineStr">
        <is>
          <t>Scuba Cropped 1/2 Zip Funnel Neck*Waffle HRLI XS</t>
        </is>
      </c>
      <c r="F1388" s="6" t="inlineStr">
        <is>
          <t>$138.00</t>
        </is>
      </c>
      <c r="G1388" s="6" t="inlineStr">
        <is>
          <t>$69.00</t>
        </is>
      </c>
      <c r="H1388" s="6" t="inlineStr">
        <is>
          <t>Heathered Mink Berry</t>
        </is>
      </c>
      <c r="I1388" s="6">
        <f>IMAGE("https://images.lululemon.com/is/image/lululemon/20436",1)</f>
        <v/>
      </c>
      <c r="J1388" s="6" t="inlineStr">
        <is>
          <t>XL</t>
        </is>
      </c>
      <c r="K1388" s="6" t="inlineStr">
        <is>
          <t>353/5751</t>
        </is>
      </c>
      <c r="L1388" s="6" t="inlineStr">
        <is>
          <t>Yes</t>
        </is>
      </c>
      <c r="M1388" s="6" t="inlineStr">
        <is>
          <t>Our signature funnel-neck sweatshirt with a textured twist. A rich, waffle-knit fabric adds depth and softness to your downtime.</t>
        </is>
      </c>
      <c r="N1388" s="6" t="inlineStr">
        <is>
          <t>Scuba-Cropped-Funnel-Neck-Half-Zip-Waffle</t>
        </is>
      </c>
      <c r="O1388" s="6" t="inlineStr">
        <is>
          <t>Half Zip Sweatshirts, Quarter Zip Sweatshirts</t>
        </is>
      </c>
    </row>
    <row r="1389" ht="80" customHeight="1">
      <c r="A1389" s="7">
        <f>IMAGE("https://images.lululemon.com/is/image/lululemon/LW2ELOS_049106_1?wid=320&amp;op_usm=0.8",1)</f>
        <v/>
      </c>
      <c r="B1389" s="7" t="inlineStr">
        <is>
          <t>Satin Spaghetti-Strap Yoga Bra *Light Support, A/B Cup</t>
        </is>
      </c>
      <c r="C1389" s="7" t="inlineStr">
        <is>
          <t>157708509</t>
        </is>
      </c>
      <c r="D1389" s="7" t="inlineStr">
        <is>
          <t>157708509-rainforestgreen</t>
        </is>
      </c>
      <c r="E1389" s="7" t="inlineStr">
        <is>
          <t>Satin Spaghetti-Strap Yoga Bra A/B RNFG 2</t>
        </is>
      </c>
      <c r="F1389" s="7" t="inlineStr">
        <is>
          <t>$64.00</t>
        </is>
      </c>
      <c r="G1389" s="7" t="inlineStr">
        <is>
          <t>$32.00</t>
        </is>
      </c>
      <c r="H1389" s="7" t="inlineStr">
        <is>
          <t>Rainforest Green</t>
        </is>
      </c>
      <c r="I1389" s="7">
        <f>IMAGE("https://images.lululemon.com/is/image/lululemon/49106",1)</f>
        <v/>
      </c>
      <c r="J1389" s="7" t="inlineStr">
        <is>
          <t>2</t>
        </is>
      </c>
      <c r="K1389" s="7" t="inlineStr">
        <is>
          <t>15/207</t>
        </is>
      </c>
      <c r="L1389" s="7" t="inlineStr">
        <is>
          <t>Yes</t>
        </is>
      </c>
      <c r="M1389" s="7" t="inlineStr">
        <is>
          <t>Shine your heart forward. Made from satiny fabric with an ultra-soft interior, this bra gives you just-right support through every bend, twist, and hold.</t>
        </is>
      </c>
      <c r="N1389" s="7" t="inlineStr">
        <is>
          <t>Satin-Spaghetti-Strap-Yoga-Bra-Light-Support-AB</t>
        </is>
      </c>
      <c r="O1389" s="7" t="inlineStr">
        <is>
          <t>Bralettes</t>
        </is>
      </c>
    </row>
    <row r="1390" ht="80" customHeight="1">
      <c r="A1390" s="4">
        <f>IMAGE("https://images.lululemon.com/is/image/lululemon/LW2ELOS_049106_1?wid=320&amp;op_usm=0.8",1)</f>
        <v/>
      </c>
      <c r="B1390" s="4" t="inlineStr">
        <is>
          <t>Satin Spaghetti-Strap Yoga Bra *Light Support, A/B Cup</t>
        </is>
      </c>
      <c r="C1390" s="4" t="inlineStr">
        <is>
          <t>157708517</t>
        </is>
      </c>
      <c r="D1390" s="4" t="inlineStr">
        <is>
          <t>157708517-rainforestgreen</t>
        </is>
      </c>
      <c r="E1390" s="4" t="inlineStr">
        <is>
          <t>Satin Spaghetti-Strap Yoga Bra A/B RNFG 2</t>
        </is>
      </c>
      <c r="F1390" s="4" t="inlineStr">
        <is>
          <t>$64.00</t>
        </is>
      </c>
      <c r="G1390" s="4" t="inlineStr">
        <is>
          <t>$32.00</t>
        </is>
      </c>
      <c r="H1390" s="4" t="inlineStr">
        <is>
          <t>Rainforest Green</t>
        </is>
      </c>
      <c r="I1390" s="4">
        <f>IMAGE("https://images.lululemon.com/is/image/lululemon/49106",1)</f>
        <v/>
      </c>
      <c r="J1390" s="4" t="inlineStr">
        <is>
          <t>4</t>
        </is>
      </c>
      <c r="K1390" s="4" t="inlineStr">
        <is>
          <t>28/207</t>
        </is>
      </c>
      <c r="L1390" s="4" t="inlineStr">
        <is>
          <t>Yes</t>
        </is>
      </c>
      <c r="M1390" s="4" t="inlineStr">
        <is>
          <t>Shine your heart forward. Made from satiny fabric with an ultra-soft interior, this bra gives you just-right support through every bend, twist, and hold.</t>
        </is>
      </c>
      <c r="N1390" s="4" t="inlineStr">
        <is>
          <t>Satin-Spaghetti-Strap-Yoga-Bra-Light-Support-AB</t>
        </is>
      </c>
      <c r="O1390" s="4" t="inlineStr">
        <is>
          <t>Bralettes</t>
        </is>
      </c>
    </row>
    <row r="1391" ht="80" customHeight="1">
      <c r="A1391" s="7">
        <f>IMAGE("https://images.lululemon.com/is/image/lululemon/LW2ELOS_049106_1?wid=320&amp;op_usm=0.8",1)</f>
        <v/>
      </c>
      <c r="B1391" s="7" t="inlineStr">
        <is>
          <t>Satin Spaghetti-Strap Yoga Bra *Light Support, A/B Cup</t>
        </is>
      </c>
      <c r="C1391" s="7" t="inlineStr">
        <is>
          <t>157708524</t>
        </is>
      </c>
      <c r="D1391" s="7" t="inlineStr">
        <is>
          <t>157708524-rainforestgreen</t>
        </is>
      </c>
      <c r="E1391" s="7" t="inlineStr">
        <is>
          <t>Satin Spaghetti-Strap Yoga Bra A/B RNFG 2</t>
        </is>
      </c>
      <c r="F1391" s="7" t="inlineStr">
        <is>
          <t>$64.00</t>
        </is>
      </c>
      <c r="G1391" s="7" t="inlineStr">
        <is>
          <t>$32.00</t>
        </is>
      </c>
      <c r="H1391" s="7" t="inlineStr">
        <is>
          <t>Rainforest Green</t>
        </is>
      </c>
      <c r="I1391" s="7">
        <f>IMAGE("https://images.lululemon.com/is/image/lululemon/49106",1)</f>
        <v/>
      </c>
      <c r="J1391" s="7" t="inlineStr">
        <is>
          <t>6</t>
        </is>
      </c>
      <c r="K1391" s="7" t="inlineStr">
        <is>
          <t>52/207</t>
        </is>
      </c>
      <c r="L1391" s="7" t="inlineStr">
        <is>
          <t>Yes</t>
        </is>
      </c>
      <c r="M1391" s="7" t="inlineStr">
        <is>
          <t>Shine your heart forward. Made from satiny fabric with an ultra-soft interior, this bra gives you just-right support through every bend, twist, and hold.</t>
        </is>
      </c>
      <c r="N1391" s="7" t="inlineStr">
        <is>
          <t>Satin-Spaghetti-Strap-Yoga-Bra-Light-Support-AB</t>
        </is>
      </c>
      <c r="O1391" s="7" t="inlineStr">
        <is>
          <t>Bralettes</t>
        </is>
      </c>
    </row>
    <row r="1392" ht="80" customHeight="1">
      <c r="A1392" s="4">
        <f>IMAGE("https://images.lululemon.com/is/image/lululemon/LW2ELOS_049106_1?wid=320&amp;op_usm=0.8",1)</f>
        <v/>
      </c>
      <c r="B1392" s="4" t="inlineStr">
        <is>
          <t>Satin Spaghetti-Strap Yoga Bra *Light Support, A/B Cup</t>
        </is>
      </c>
      <c r="C1392" s="4" t="inlineStr">
        <is>
          <t>157708532</t>
        </is>
      </c>
      <c r="D1392" s="4" t="inlineStr">
        <is>
          <t>157708532-rainforestgreen</t>
        </is>
      </c>
      <c r="E1392" s="4" t="inlineStr">
        <is>
          <t>Satin Spaghetti-Strap Yoga Bra A/B RNFG 2</t>
        </is>
      </c>
      <c r="F1392" s="4" t="inlineStr">
        <is>
          <t>$64.00</t>
        </is>
      </c>
      <c r="G1392" s="4" t="inlineStr">
        <is>
          <t>$32.00</t>
        </is>
      </c>
      <c r="H1392" s="4" t="inlineStr">
        <is>
          <t>Rainforest Green</t>
        </is>
      </c>
      <c r="I1392" s="4">
        <f>IMAGE("https://images.lululemon.com/is/image/lululemon/49106",1)</f>
        <v/>
      </c>
      <c r="J1392" s="4" t="inlineStr">
        <is>
          <t>8</t>
        </is>
      </c>
      <c r="K1392" s="4" t="inlineStr">
        <is>
          <t>61/207</t>
        </is>
      </c>
      <c r="L1392" s="4" t="inlineStr">
        <is>
          <t>Yes</t>
        </is>
      </c>
      <c r="M1392" s="4" t="inlineStr">
        <is>
          <t>Shine your heart forward. Made from satiny fabric with an ultra-soft interior, this bra gives you just-right support through every bend, twist, and hold.</t>
        </is>
      </c>
      <c r="N1392" s="4" t="inlineStr">
        <is>
          <t>Satin-Spaghetti-Strap-Yoga-Bra-Light-Support-AB</t>
        </is>
      </c>
      <c r="O1392" s="4" t="inlineStr">
        <is>
          <t>Bralettes</t>
        </is>
      </c>
    </row>
    <row r="1393" ht="80" customHeight="1">
      <c r="A1393" s="7">
        <f>IMAGE("https://images.lululemon.com/is/image/lululemon/LW2ELOS_049106_1?wid=320&amp;op_usm=0.8",1)</f>
        <v/>
      </c>
      <c r="B1393" s="7" t="inlineStr">
        <is>
          <t>Satin Spaghetti-Strap Yoga Bra *Light Support, A/B Cup</t>
        </is>
      </c>
      <c r="C1393" s="7" t="inlineStr">
        <is>
          <t>157708493</t>
        </is>
      </c>
      <c r="D1393" s="7" t="inlineStr">
        <is>
          <t>157708493-rainforestgreen</t>
        </is>
      </c>
      <c r="E1393" s="7" t="inlineStr">
        <is>
          <t>Satin Spaghetti-Strap Yoga Bra A/B RNFG 2</t>
        </is>
      </c>
      <c r="F1393" s="7" t="inlineStr">
        <is>
          <t>$64.00</t>
        </is>
      </c>
      <c r="G1393" s="7" t="inlineStr">
        <is>
          <t>$32.00</t>
        </is>
      </c>
      <c r="H1393" s="7" t="inlineStr">
        <is>
          <t>Rainforest Green</t>
        </is>
      </c>
      <c r="I1393" s="7">
        <f>IMAGE("https://images.lululemon.com/is/image/lululemon/49106",1)</f>
        <v/>
      </c>
      <c r="J1393" s="7" t="inlineStr">
        <is>
          <t>10</t>
        </is>
      </c>
      <c r="K1393" s="7" t="inlineStr">
        <is>
          <t>30/207</t>
        </is>
      </c>
      <c r="L1393" s="7" t="inlineStr">
        <is>
          <t>Yes</t>
        </is>
      </c>
      <c r="M1393" s="7" t="inlineStr">
        <is>
          <t>Shine your heart forward. Made from satiny fabric with an ultra-soft interior, this bra gives you just-right support through every bend, twist, and hold.</t>
        </is>
      </c>
      <c r="N1393" s="7" t="inlineStr">
        <is>
          <t>Satin-Spaghetti-Strap-Yoga-Bra-Light-Support-AB</t>
        </is>
      </c>
      <c r="O1393" s="7" t="inlineStr">
        <is>
          <t>Bralettes</t>
        </is>
      </c>
    </row>
    <row r="1394" ht="80" customHeight="1">
      <c r="A1394" s="6">
        <f>IMAGE("https://images.lululemon.com/is/image/lululemon/LW2ELOS_049106_1?wid=320&amp;op_usm=0.8",1)</f>
        <v/>
      </c>
      <c r="B1394" s="6" t="inlineStr">
        <is>
          <t>Satin Spaghetti-Strap Yoga Bra *Light Support, A/B Cup</t>
        </is>
      </c>
      <c r="C1394" s="6" t="inlineStr">
        <is>
          <t>157708500</t>
        </is>
      </c>
      <c r="D1394" s="6" t="inlineStr">
        <is>
          <t>157708500-rainforestgreen</t>
        </is>
      </c>
      <c r="E1394" s="6" t="inlineStr">
        <is>
          <t>Satin Spaghetti-Strap Yoga Bra A/B RNFG 2</t>
        </is>
      </c>
      <c r="F1394" s="6" t="inlineStr">
        <is>
          <t>$64.00</t>
        </is>
      </c>
      <c r="G1394" s="6" t="inlineStr">
        <is>
          <t>$32.00</t>
        </is>
      </c>
      <c r="H1394" s="6" t="inlineStr">
        <is>
          <t>Rainforest Green</t>
        </is>
      </c>
      <c r="I1394" s="6">
        <f>IMAGE("https://images.lululemon.com/is/image/lululemon/49106",1)</f>
        <v/>
      </c>
      <c r="J1394" s="6" t="inlineStr">
        <is>
          <t>12</t>
        </is>
      </c>
      <c r="K1394" s="6" t="inlineStr">
        <is>
          <t>21/207</t>
        </is>
      </c>
      <c r="L1394" s="6" t="inlineStr">
        <is>
          <t>Yes</t>
        </is>
      </c>
      <c r="M1394" s="6" t="inlineStr">
        <is>
          <t>Shine your heart forward. Made from satiny fabric with an ultra-soft interior, this bra gives you just-right support through every bend, twist, and hold.</t>
        </is>
      </c>
      <c r="N1394" s="6" t="inlineStr">
        <is>
          <t>Satin-Spaghetti-Strap-Yoga-Bra-Light-Support-AB</t>
        </is>
      </c>
      <c r="O1394" s="6" t="inlineStr">
        <is>
          <t>Bralettes</t>
        </is>
      </c>
    </row>
    <row r="1395" ht="80" customHeight="1">
      <c r="A1395" s="7">
        <f>IMAGE("https://images.lululemon.com/is/image/lululemon/LW2EDRS_063787_1?wid=320&amp;op_usm=0.8",1)</f>
        <v/>
      </c>
      <c r="B1395" s="7" t="inlineStr">
        <is>
          <t>lululemon Energy Longline Bra Medium Support, B-D Cups *Evolve</t>
        </is>
      </c>
      <c r="C1395" s="7" t="inlineStr">
        <is>
          <t>158100802</t>
        </is>
      </c>
      <c r="D1395" s="7" t="inlineStr">
        <is>
          <t>158100802-atmosphericpurple</t>
        </is>
      </c>
      <c r="E1395" s="7" t="inlineStr">
        <is>
          <t>lululemon Energy Longline Bra *Evolve ARPR XS</t>
        </is>
      </c>
      <c r="F1395" s="7" t="inlineStr">
        <is>
          <t>$68.00</t>
        </is>
      </c>
      <c r="G1395" s="7" t="inlineStr">
        <is>
          <t>$34.00</t>
        </is>
      </c>
      <c r="H1395" s="7" t="inlineStr">
        <is>
          <t>Atmospheric Purple</t>
        </is>
      </c>
      <c r="I1395" s="7">
        <f>IMAGE("https://images.lululemon.com/is/image/lululemon/63787",1)</f>
        <v/>
      </c>
      <c r="J1395" s="7" t="inlineStr">
        <is>
          <t>XS</t>
        </is>
      </c>
      <c r="K1395" s="7" t="inlineStr">
        <is>
          <t>4/137</t>
        </is>
      </c>
      <c r="L1395" s="7" t="inlineStr">
        <is>
          <t>Yes</t>
        </is>
      </c>
      <c r="M1395" s="7" t="inlineStr">
        <is>
          <t>Your built-in support system. This versatile sports bra has a strappy back design and a comfortably supportive fit for all the ways you love to move.</t>
        </is>
      </c>
      <c r="N1395" s="7" t="inlineStr">
        <is>
          <t>Energy-Longline-Bra-Medium-Support-BD-Cup-Evolve</t>
        </is>
      </c>
      <c r="O1395" s="7" t="inlineStr">
        <is>
          <t>Strappy Bras, Longline Bras</t>
        </is>
      </c>
    </row>
    <row r="1396" ht="80" customHeight="1">
      <c r="A1396" s="4">
        <f>IMAGE("https://images.lululemon.com/is/image/lululemon/LW2EDRS_063787_1?wid=320&amp;op_usm=0.8",1)</f>
        <v/>
      </c>
      <c r="B1396" s="4" t="inlineStr">
        <is>
          <t>lululemon Energy Longline Bra Medium Support, B-D Cups *Evolve</t>
        </is>
      </c>
      <c r="C1396" s="4" t="inlineStr">
        <is>
          <t>158100790</t>
        </is>
      </c>
      <c r="D1396" s="4" t="inlineStr">
        <is>
          <t>158100790-atmosphericpurple</t>
        </is>
      </c>
      <c r="E1396" s="4" t="inlineStr">
        <is>
          <t>lululemon Energy Longline Bra *Evolve ARPR XS</t>
        </is>
      </c>
      <c r="F1396" s="4" t="inlineStr">
        <is>
          <t>$68.00</t>
        </is>
      </c>
      <c r="G1396" s="4" t="inlineStr">
        <is>
          <t>$34.00</t>
        </is>
      </c>
      <c r="H1396" s="4" t="inlineStr">
        <is>
          <t>Atmospheric Purple</t>
        </is>
      </c>
      <c r="I1396" s="4">
        <f>IMAGE("https://images.lululemon.com/is/image/lululemon/63787",1)</f>
        <v/>
      </c>
      <c r="J1396" s="4" t="inlineStr">
        <is>
          <t>S</t>
        </is>
      </c>
      <c r="K1396" s="4" t="inlineStr">
        <is>
          <t>17/137</t>
        </is>
      </c>
      <c r="L1396" s="4" t="inlineStr">
        <is>
          <t>Yes</t>
        </is>
      </c>
      <c r="M1396" s="4" t="inlineStr">
        <is>
          <t>Your built-in support system. This versatile sports bra has a strappy back design and a comfortably supportive fit for all the ways you love to move.</t>
        </is>
      </c>
      <c r="N1396" s="4" t="inlineStr">
        <is>
          <t>Energy-Longline-Bra-Medium-Support-BD-Cup-Evolve</t>
        </is>
      </c>
      <c r="O1396" s="4" t="inlineStr">
        <is>
          <t>Strappy Bras, Longline Bras</t>
        </is>
      </c>
    </row>
    <row r="1397" ht="80" customHeight="1">
      <c r="A1397" s="7">
        <f>IMAGE("https://images.lululemon.com/is/image/lululemon/LW2EDRS_063787_1?wid=320&amp;op_usm=0.8",1)</f>
        <v/>
      </c>
      <c r="B1397" s="7" t="inlineStr">
        <is>
          <t>lululemon Energy Longline Bra Medium Support, B-D Cups *Evolve</t>
        </is>
      </c>
      <c r="C1397" s="7" t="inlineStr">
        <is>
          <t>158100782</t>
        </is>
      </c>
      <c r="D1397" s="7" t="inlineStr">
        <is>
          <t>158100782-atmosphericpurple</t>
        </is>
      </c>
      <c r="E1397" s="7" t="inlineStr">
        <is>
          <t>lululemon Energy Longline Bra *Evolve ARPR XS</t>
        </is>
      </c>
      <c r="F1397" s="7" t="inlineStr">
        <is>
          <t>$68.00</t>
        </is>
      </c>
      <c r="G1397" s="7" t="inlineStr">
        <is>
          <t>$34.00</t>
        </is>
      </c>
      <c r="H1397" s="7" t="inlineStr">
        <is>
          <t>Atmospheric Purple</t>
        </is>
      </c>
      <c r="I1397" s="7">
        <f>IMAGE("https://images.lululemon.com/is/image/lululemon/63787",1)</f>
        <v/>
      </c>
      <c r="J1397" s="7" t="inlineStr">
        <is>
          <t>M</t>
        </is>
      </c>
      <c r="K1397" s="7" t="inlineStr">
        <is>
          <t>51/137</t>
        </is>
      </c>
      <c r="L1397" s="7" t="inlineStr">
        <is>
          <t>Yes</t>
        </is>
      </c>
      <c r="M1397" s="7" t="inlineStr">
        <is>
          <t>Your built-in support system. This versatile sports bra has a strappy back design and a comfortably supportive fit for all the ways you love to move.</t>
        </is>
      </c>
      <c r="N1397" s="7" t="inlineStr">
        <is>
          <t>Energy-Longline-Bra-Medium-Support-BD-Cup-Evolve</t>
        </is>
      </c>
      <c r="O1397" s="7" t="inlineStr">
        <is>
          <t>Strappy Bras, Longline Bras</t>
        </is>
      </c>
    </row>
    <row r="1398" ht="80" customHeight="1">
      <c r="A1398" s="4">
        <f>IMAGE("https://images.lululemon.com/is/image/lululemon/LW2EDRS_063787_1?wid=320&amp;op_usm=0.8",1)</f>
        <v/>
      </c>
      <c r="B1398" s="4" t="inlineStr">
        <is>
          <t>lululemon Energy Longline Bra Medium Support, B-D Cups *Evolve</t>
        </is>
      </c>
      <c r="C1398" s="4" t="inlineStr">
        <is>
          <t>158100776</t>
        </is>
      </c>
      <c r="D1398" s="4" t="inlineStr">
        <is>
          <t>158100776-atmosphericpurple</t>
        </is>
      </c>
      <c r="E1398" s="4" t="inlineStr">
        <is>
          <t>lululemon Energy Longline Bra *Evolve ARPR XS</t>
        </is>
      </c>
      <c r="F1398" s="4" t="inlineStr">
        <is>
          <t>$68.00</t>
        </is>
      </c>
      <c r="G1398" s="4" t="inlineStr">
        <is>
          <t>$34.00</t>
        </is>
      </c>
      <c r="H1398" s="4" t="inlineStr">
        <is>
          <t>Atmospheric Purple</t>
        </is>
      </c>
      <c r="I1398" s="4">
        <f>IMAGE("https://images.lululemon.com/is/image/lululemon/63787",1)</f>
        <v/>
      </c>
      <c r="J1398" s="4" t="inlineStr">
        <is>
          <t>L</t>
        </is>
      </c>
      <c r="K1398" s="4" t="inlineStr">
        <is>
          <t>49/137</t>
        </is>
      </c>
      <c r="L1398" s="4" t="inlineStr">
        <is>
          <t>Yes</t>
        </is>
      </c>
      <c r="M1398" s="4" t="inlineStr">
        <is>
          <t>Your built-in support system. This versatile sports bra has a strappy back design and a comfortably supportive fit for all the ways you love to move.</t>
        </is>
      </c>
      <c r="N1398" s="4" t="inlineStr">
        <is>
          <t>Energy-Longline-Bra-Medium-Support-BD-Cup-Evolve</t>
        </is>
      </c>
      <c r="O1398" s="4" t="inlineStr">
        <is>
          <t>Strappy Bras, Longline Bras</t>
        </is>
      </c>
    </row>
    <row r="1399" ht="80" customHeight="1">
      <c r="A1399" s="5">
        <f>IMAGE("https://images.lululemon.com/is/image/lululemon/LW2EDRS_063787_1?wid=320&amp;op_usm=0.8",1)</f>
        <v/>
      </c>
      <c r="B1399" s="5" t="inlineStr">
        <is>
          <t>lululemon Energy Longline Bra Medium Support, B-D Cups *Evolve</t>
        </is>
      </c>
      <c r="C1399" s="5" t="inlineStr">
        <is>
          <t>158100796</t>
        </is>
      </c>
      <c r="D1399" s="5" t="inlineStr">
        <is>
          <t>158100796-atmosphericpurple</t>
        </is>
      </c>
      <c r="E1399" s="5" t="inlineStr">
        <is>
          <t>lululemon Energy Longline Bra *Evolve ARPR XS</t>
        </is>
      </c>
      <c r="F1399" s="5" t="inlineStr">
        <is>
          <t>$68.00</t>
        </is>
      </c>
      <c r="G1399" s="5" t="inlineStr">
        <is>
          <t>$34.00</t>
        </is>
      </c>
      <c r="H1399" s="5" t="inlineStr">
        <is>
          <t>Atmospheric Purple</t>
        </is>
      </c>
      <c r="I1399" s="5">
        <f>IMAGE("https://images.lululemon.com/is/image/lululemon/63787",1)</f>
        <v/>
      </c>
      <c r="J1399" s="5" t="inlineStr">
        <is>
          <t>XL</t>
        </is>
      </c>
      <c r="K1399" s="5" t="inlineStr">
        <is>
          <t>16/137</t>
        </is>
      </c>
      <c r="L1399" s="5" t="inlineStr">
        <is>
          <t>Yes</t>
        </is>
      </c>
      <c r="M1399" s="5" t="inlineStr">
        <is>
          <t>Your built-in support system. This versatile sports bra has a strappy back design and a comfortably supportive fit for all the ways you love to move.</t>
        </is>
      </c>
      <c r="N1399" s="5" t="inlineStr">
        <is>
          <t>Energy-Longline-Bra-Medium-Support-BD-Cup-Evolve</t>
        </is>
      </c>
      <c r="O1399" s="5" t="inlineStr">
        <is>
          <t>Strappy Bras, Longline Bras</t>
        </is>
      </c>
    </row>
    <row r="1400" ht="80" customHeight="1">
      <c r="A1400" s="6">
        <f>IMAGE("https://images.lululemon.com/is/image/lululemon/LU9BB5S_0024_1?wid=320&amp;op_usm=0.8",1)</f>
        <v/>
      </c>
      <c r="B1400" s="6" t="inlineStr">
        <is>
          <t>Removable Sweatband All-Sport Visor *Wordmark</t>
        </is>
      </c>
      <c r="C1400" s="6" t="inlineStr">
        <is>
          <t>146956824</t>
        </is>
      </c>
      <c r="D1400" s="6" t="inlineStr">
        <is>
          <t>146956824-white/black</t>
        </is>
      </c>
      <c r="E1400" s="6" t="inlineStr">
        <is>
          <t>Removable Sweatband All-Sport Visor WHT/BLK L/XL</t>
        </is>
      </c>
      <c r="F1400" s="6" t="inlineStr">
        <is>
          <t>$38.00</t>
        </is>
      </c>
      <c r="G1400" s="6" t="inlineStr">
        <is>
          <t>$19.00</t>
        </is>
      </c>
      <c r="H1400" s="6" t="inlineStr">
        <is>
          <t>White/Black</t>
        </is>
      </c>
      <c r="I1400" s="6">
        <f>IMAGE("https://images.lululemon.com/is/image/lululemon/0024",1)</f>
        <v/>
      </c>
      <c r="J1400" s="6" t="inlineStr">
        <is>
          <t>L/XL</t>
        </is>
      </c>
      <c r="K1400" s="6" t="inlineStr">
        <is>
          <t>95/95</t>
        </is>
      </c>
      <c r="L1400" s="6" t="inlineStr">
        <is>
          <t>Yes</t>
        </is>
      </c>
      <c r="M1400" s="6" t="inlineStr">
        <is>
          <t>It's easy to stay fresh with this do-it-all visor. Toss the detachable interior sweatband in the laundry so it's ready to go for your next sweat session.</t>
        </is>
      </c>
      <c r="N1400" s="6" t="inlineStr">
        <is>
          <t>Removable-SweatbAll-Sport-Visor-Woodmark</t>
        </is>
      </c>
      <c r="O1400" s="6" t="inlineStr">
        <is>
          <t>Visors</t>
        </is>
      </c>
    </row>
    <row r="1401" ht="80" customHeight="1">
      <c r="A1401" s="7">
        <f>IMAGE("https://images.lululemon.com/is/image/lululemon/LU9D55S_027597_1?wid=320&amp;op_usm=0.8",1)</f>
        <v/>
      </c>
      <c r="B1401" s="7" t="inlineStr">
        <is>
          <t>Multi-Sport Sun Hat</t>
        </is>
      </c>
      <c r="C1401" s="7" t="inlineStr">
        <is>
          <t>156925673</t>
        </is>
      </c>
      <c r="D1401" s="7" t="inlineStr">
        <is>
          <t>156925673-bone</t>
        </is>
      </c>
      <c r="E1401" s="7" t="inlineStr">
        <is>
          <t>Multi-Sport Sun Hat BONE S/M</t>
        </is>
      </c>
      <c r="F1401" s="7" t="inlineStr">
        <is>
          <t>$68.00</t>
        </is>
      </c>
      <c r="G1401" s="7" t="inlineStr">
        <is>
          <t>$34.00</t>
        </is>
      </c>
      <c r="H1401" s="7" t="inlineStr">
        <is>
          <t>Bone</t>
        </is>
      </c>
      <c r="I1401" s="7">
        <f>IMAGE("https://images.lululemon.com/is/image/lululemon/27597",1)</f>
        <v/>
      </c>
      <c r="J1401" s="7" t="inlineStr">
        <is>
          <t>S/M</t>
        </is>
      </c>
      <c r="K1401" s="7" t="inlineStr">
        <is>
          <t>57/76</t>
        </is>
      </c>
      <c r="L1401" s="7" t="inlineStr">
        <is>
          <t>Yes</t>
        </is>
      </c>
      <c r="M1401" s="7" t="inlineStr">
        <is>
          <t>Just add sunshine. This lightweight, flexible sun hat is the perfect mix of ventilation and coverage.</t>
        </is>
      </c>
      <c r="N1401" s="7" t="inlineStr">
        <is>
          <t>Multi-Sport-Sun-Hat</t>
        </is>
      </c>
      <c r="O1401" s="7" t="inlineStr"/>
    </row>
    <row r="1402" ht="80" customHeight="1">
      <c r="A1402" s="6">
        <f>IMAGE("https://images.lululemon.com/is/image/lululemon/LU9D55S_027597_1?wid=320&amp;op_usm=0.8",1)</f>
        <v/>
      </c>
      <c r="B1402" s="6" t="inlineStr">
        <is>
          <t>Multi-Sport Sun Hat</t>
        </is>
      </c>
      <c r="C1402" s="6" t="inlineStr">
        <is>
          <t>156925671</t>
        </is>
      </c>
      <c r="D1402" s="6" t="inlineStr">
        <is>
          <t>156925671-bone</t>
        </is>
      </c>
      <c r="E1402" s="6" t="inlineStr">
        <is>
          <t>Multi-Sport Sun Hat BONE S/M</t>
        </is>
      </c>
      <c r="F1402" s="6" t="inlineStr">
        <is>
          <t>$68.00</t>
        </is>
      </c>
      <c r="G1402" s="6" t="inlineStr">
        <is>
          <t>$34.00</t>
        </is>
      </c>
      <c r="H1402" s="6" t="inlineStr">
        <is>
          <t>Bone</t>
        </is>
      </c>
      <c r="I1402" s="6">
        <f>IMAGE("https://images.lululemon.com/is/image/lululemon/27597",1)</f>
        <v/>
      </c>
      <c r="J1402" s="6" t="inlineStr">
        <is>
          <t>L/XL</t>
        </is>
      </c>
      <c r="K1402" s="6" t="inlineStr">
        <is>
          <t>19/76</t>
        </is>
      </c>
      <c r="L1402" s="6" t="inlineStr">
        <is>
          <t>Yes</t>
        </is>
      </c>
      <c r="M1402" s="6" t="inlineStr">
        <is>
          <t>Just add sunshine. This lightweight, flexible sun hat is the perfect mix of ventilation and coverage.</t>
        </is>
      </c>
      <c r="N1402" s="6" t="inlineStr">
        <is>
          <t>Multi-Sport-Sun-Hat</t>
        </is>
      </c>
      <c r="O1402" s="6" t="inlineStr"/>
    </row>
    <row r="1403">
      <c r="A1403" s="7" t="n"/>
      <c r="B1403" s="7" t="inlineStr">
        <is>
          <t>Swiftly Tech Cropped Short-Sleeve Shirt 2.0</t>
        </is>
      </c>
      <c r="C1403" s="7" t="inlineStr">
        <is>
          <t>155850483</t>
        </is>
      </c>
      <c r="D1403" s="7" t="inlineStr">
        <is>
          <t>155850483-mintbreeze/mintbreeze</t>
        </is>
      </c>
      <c r="E1403" s="7" t="inlineStr">
        <is>
          <t>Swiftly Tech Cropped Short Sleeve 2.0 MIBR/MIBR 2</t>
        </is>
      </c>
      <c r="F1403" s="7" t="inlineStr">
        <is>
          <t>$68.00</t>
        </is>
      </c>
      <c r="G1403" s="7" t="inlineStr">
        <is>
          <t>$34.00</t>
        </is>
      </c>
      <c r="H1403" s="7" t="inlineStr">
        <is>
          <t>Mint Breeze/Mint Breeze</t>
        </is>
      </c>
      <c r="I1403" s="7">
        <f>IMAGE("https://images.lululemon.com/is/image/lululemon/69102",1)</f>
        <v/>
      </c>
      <c r="J1403" s="7" t="inlineStr">
        <is>
          <t>2</t>
        </is>
      </c>
      <c r="K1403" s="7" t="inlineStr">
        <is>
          <t>14/340</t>
        </is>
      </c>
      <c r="L1403" s="7" t="inlineStr">
        <is>
          <t>Yes</t>
        </is>
      </c>
      <c r="M1403" s="7" t="inlineStr">
        <is>
          <t>Go ahead, get sweaty. The Swiftly collection is all about high-performing fabric that seamlessly adapts to you and your workout.</t>
        </is>
      </c>
      <c r="N1403" s="7" t="inlineStr">
        <is>
          <t>Swiftly-Tech-Cropped-SS-Shirt-2</t>
        </is>
      </c>
      <c r="O1403" s="7" t="inlineStr"/>
    </row>
    <row r="1404">
      <c r="A1404" s="4" t="n"/>
      <c r="B1404" s="4" t="inlineStr">
        <is>
          <t>Swiftly Tech Cropped Short-Sleeve Shirt 2.0</t>
        </is>
      </c>
      <c r="C1404" s="4" t="inlineStr">
        <is>
          <t>155850512</t>
        </is>
      </c>
      <c r="D1404" s="4" t="inlineStr">
        <is>
          <t>155850512-mintbreeze/mintbreeze</t>
        </is>
      </c>
      <c r="E1404" s="4" t="inlineStr">
        <is>
          <t>Swiftly Tech Cropped Short Sleeve 2.0 MIBR/MIBR 2</t>
        </is>
      </c>
      <c r="F1404" s="4" t="inlineStr">
        <is>
          <t>$68.00</t>
        </is>
      </c>
      <c r="G1404" s="4" t="inlineStr">
        <is>
          <t>$34.00</t>
        </is>
      </c>
      <c r="H1404" s="4" t="inlineStr">
        <is>
          <t>Mint Breeze/Mint Breeze</t>
        </is>
      </c>
      <c r="I1404" s="4">
        <f>IMAGE("https://images.lululemon.com/is/image/lululemon/69102",1)</f>
        <v/>
      </c>
      <c r="J1404" s="4" t="inlineStr">
        <is>
          <t>4</t>
        </is>
      </c>
      <c r="K1404" s="4" t="inlineStr">
        <is>
          <t>68/340</t>
        </is>
      </c>
      <c r="L1404" s="4" t="inlineStr">
        <is>
          <t>Yes</t>
        </is>
      </c>
      <c r="M1404" s="4" t="inlineStr">
        <is>
          <t>Go ahead, get sweaty. The Swiftly collection is all about high-performing fabric that seamlessly adapts to you and your workout.</t>
        </is>
      </c>
      <c r="N1404" s="4" t="inlineStr">
        <is>
          <t>Swiftly-Tech-Cropped-SS-Shirt-2</t>
        </is>
      </c>
      <c r="O1404" s="4" t="inlineStr"/>
    </row>
    <row r="1405">
      <c r="A1405" s="7" t="n"/>
      <c r="B1405" s="7" t="inlineStr">
        <is>
          <t>Swiftly Tech Cropped Short-Sleeve Shirt 2.0</t>
        </is>
      </c>
      <c r="C1405" s="7" t="inlineStr">
        <is>
          <t>155850518</t>
        </is>
      </c>
      <c r="D1405" s="7" t="inlineStr">
        <is>
          <t>155850518-mintbreeze/mintbreeze</t>
        </is>
      </c>
      <c r="E1405" s="7" t="inlineStr">
        <is>
          <t>Swiftly Tech Cropped Short Sleeve 2.0 MIBR/MIBR 2</t>
        </is>
      </c>
      <c r="F1405" s="7" t="inlineStr">
        <is>
          <t>$68.00</t>
        </is>
      </c>
      <c r="G1405" s="7" t="inlineStr">
        <is>
          <t>$34.00</t>
        </is>
      </c>
      <c r="H1405" s="7" t="inlineStr">
        <is>
          <t>Mint Breeze/Mint Breeze</t>
        </is>
      </c>
      <c r="I1405" s="7">
        <f>IMAGE("https://images.lululemon.com/is/image/lululemon/69102",1)</f>
        <v/>
      </c>
      <c r="J1405" s="7" t="inlineStr">
        <is>
          <t>6</t>
        </is>
      </c>
      <c r="K1405" s="7" t="inlineStr">
        <is>
          <t>83/340</t>
        </is>
      </c>
      <c r="L1405" s="7" t="inlineStr">
        <is>
          <t>Yes</t>
        </is>
      </c>
      <c r="M1405" s="7" t="inlineStr">
        <is>
          <t>Go ahead, get sweaty. The Swiftly collection is all about high-performing fabric that seamlessly adapts to you and your workout.</t>
        </is>
      </c>
      <c r="N1405" s="7" t="inlineStr">
        <is>
          <t>Swiftly-Tech-Cropped-SS-Shirt-2</t>
        </is>
      </c>
      <c r="O1405" s="7" t="inlineStr"/>
    </row>
    <row r="1406">
      <c r="A1406" s="4" t="n"/>
      <c r="B1406" s="4" t="inlineStr">
        <is>
          <t>Swiftly Tech Cropped Short-Sleeve Shirt 2.0</t>
        </is>
      </c>
      <c r="C1406" s="4" t="inlineStr">
        <is>
          <t>155850524</t>
        </is>
      </c>
      <c r="D1406" s="4" t="inlineStr">
        <is>
          <t>155850524-mintbreeze/mintbreeze</t>
        </is>
      </c>
      <c r="E1406" s="4" t="inlineStr">
        <is>
          <t>Swiftly Tech Cropped Short Sleeve 2.0 MIBR/MIBR 2</t>
        </is>
      </c>
      <c r="F1406" s="4" t="inlineStr">
        <is>
          <t>$68.00</t>
        </is>
      </c>
      <c r="G1406" s="4" t="inlineStr">
        <is>
          <t>$34.00</t>
        </is>
      </c>
      <c r="H1406" s="4" t="inlineStr">
        <is>
          <t>Mint Breeze/Mint Breeze</t>
        </is>
      </c>
      <c r="I1406" s="4">
        <f>IMAGE("https://images.lululemon.com/is/image/lululemon/69102",1)</f>
        <v/>
      </c>
      <c r="J1406" s="4" t="inlineStr">
        <is>
          <t>8</t>
        </is>
      </c>
      <c r="K1406" s="4" t="inlineStr">
        <is>
          <t>78/340</t>
        </is>
      </c>
      <c r="L1406" s="4" t="inlineStr">
        <is>
          <t>Yes</t>
        </is>
      </c>
      <c r="M1406" s="4" t="inlineStr">
        <is>
          <t>Go ahead, get sweaty. The Swiftly collection is all about high-performing fabric that seamlessly adapts to you and your workout.</t>
        </is>
      </c>
      <c r="N1406" s="4" t="inlineStr">
        <is>
          <t>Swiftly-Tech-Cropped-SS-Shirt-2</t>
        </is>
      </c>
      <c r="O1406" s="4" t="inlineStr"/>
    </row>
    <row r="1407">
      <c r="A1407" s="7" t="n"/>
      <c r="B1407" s="7" t="inlineStr">
        <is>
          <t>Swiftly Tech Cropped Short-Sleeve Shirt 2.0</t>
        </is>
      </c>
      <c r="C1407" s="7" t="inlineStr">
        <is>
          <t>155850449</t>
        </is>
      </c>
      <c r="D1407" s="7" t="inlineStr">
        <is>
          <t>155850449-mintbreeze/mintbreeze</t>
        </is>
      </c>
      <c r="E1407" s="7" t="inlineStr">
        <is>
          <t>Swiftly Tech Cropped Short Sleeve 2.0 MIBR/MIBR 2</t>
        </is>
      </c>
      <c r="F1407" s="7" t="inlineStr">
        <is>
          <t>$68.00</t>
        </is>
      </c>
      <c r="G1407" s="7" t="inlineStr">
        <is>
          <t>$34.00</t>
        </is>
      </c>
      <c r="H1407" s="7" t="inlineStr">
        <is>
          <t>Mint Breeze/Mint Breeze</t>
        </is>
      </c>
      <c r="I1407" s="7">
        <f>IMAGE("https://images.lululemon.com/is/image/lululemon/69102",1)</f>
        <v/>
      </c>
      <c r="J1407" s="7" t="inlineStr">
        <is>
          <t>10</t>
        </is>
      </c>
      <c r="K1407" s="7" t="inlineStr">
        <is>
          <t>61/340</t>
        </is>
      </c>
      <c r="L1407" s="7" t="inlineStr">
        <is>
          <t>Yes</t>
        </is>
      </c>
      <c r="M1407" s="7" t="inlineStr">
        <is>
          <t>Go ahead, get sweaty. The Swiftly collection is all about high-performing fabric that seamlessly adapts to you and your workout.</t>
        </is>
      </c>
      <c r="N1407" s="7" t="inlineStr">
        <is>
          <t>Swiftly-Tech-Cropped-SS-Shirt-2</t>
        </is>
      </c>
      <c r="O1407" s="7" t="inlineStr"/>
    </row>
    <row r="1408">
      <c r="A1408" s="6" t="n"/>
      <c r="B1408" s="6" t="inlineStr">
        <is>
          <t>Swiftly Tech Cropped Short-Sleeve Shirt 2.0</t>
        </is>
      </c>
      <c r="C1408" s="6" t="inlineStr">
        <is>
          <t>155850455</t>
        </is>
      </c>
      <c r="D1408" s="6" t="inlineStr">
        <is>
          <t>155850455-mintbreeze/mintbreeze</t>
        </is>
      </c>
      <c r="E1408" s="6" t="inlineStr">
        <is>
          <t>Swiftly Tech Cropped Short Sleeve 2.0 MIBR/MIBR 2</t>
        </is>
      </c>
      <c r="F1408" s="6" t="inlineStr">
        <is>
          <t>$68.00</t>
        </is>
      </c>
      <c r="G1408" s="6" t="inlineStr">
        <is>
          <t>$34.00</t>
        </is>
      </c>
      <c r="H1408" s="6" t="inlineStr">
        <is>
          <t>Mint Breeze/Mint Breeze</t>
        </is>
      </c>
      <c r="I1408" s="6">
        <f>IMAGE("https://images.lululemon.com/is/image/lululemon/69102",1)</f>
        <v/>
      </c>
      <c r="J1408" s="6" t="inlineStr">
        <is>
          <t>12</t>
        </is>
      </c>
      <c r="K1408" s="6" t="inlineStr">
        <is>
          <t>36/340</t>
        </is>
      </c>
      <c r="L1408" s="6" t="inlineStr">
        <is>
          <t>Yes</t>
        </is>
      </c>
      <c r="M1408" s="6" t="inlineStr">
        <is>
          <t>Go ahead, get sweaty. The Swiftly collection is all about high-performing fabric that seamlessly adapts to you and your workout.</t>
        </is>
      </c>
      <c r="N1408" s="6" t="inlineStr">
        <is>
          <t>Swiftly-Tech-Cropped-SS-Shirt-2</t>
        </is>
      </c>
      <c r="O1408" s="6" t="inlineStr"/>
    </row>
    <row r="1409" ht="80" customHeight="1">
      <c r="A1409" s="7">
        <f>IMAGE("https://images.lululemon.com/is/image/lululemon/LW3JFUS_0002_1?wid=320&amp;op_usm=0.8",1)</f>
        <v/>
      </c>
      <c r="B1409" s="7" t="inlineStr">
        <is>
          <t>Sculpt Short-Sleeve Shirt</t>
        </is>
      </c>
      <c r="C1409" s="7" t="inlineStr">
        <is>
          <t>155869591</t>
        </is>
      </c>
      <c r="D1409" s="7" t="inlineStr">
        <is>
          <t>155869591-white</t>
        </is>
      </c>
      <c r="E1409" s="7" t="inlineStr">
        <is>
          <t>Sculpt Short Sleeve WHT 2</t>
        </is>
      </c>
      <c r="F1409" s="7" t="inlineStr">
        <is>
          <t>$68.00</t>
        </is>
      </c>
      <c r="G1409" s="7" t="inlineStr">
        <is>
          <t>$34.00</t>
        </is>
      </c>
      <c r="H1409" s="7" t="inlineStr">
        <is>
          <t>White</t>
        </is>
      </c>
      <c r="I1409" s="7">
        <f>IMAGE("https://images.lululemon.com/is/image/lululemon/0002",1)</f>
        <v/>
      </c>
      <c r="J1409" s="7" t="inlineStr">
        <is>
          <t>2</t>
        </is>
      </c>
      <c r="K1409" s="7" t="inlineStr">
        <is>
          <t>39/177</t>
        </is>
      </c>
      <c r="L1409" s="7" t="inlineStr">
        <is>
          <t>Yes</t>
        </is>
      </c>
      <c r="M1409" s="7" t="inlineStr">
        <is>
          <t>Sprints anyone? This lightweight tee has mesh fabric panels for breathability in sweaty situations.</t>
        </is>
      </c>
      <c r="N1409" s="7" t="inlineStr">
        <is>
          <t>Sculpt-Short-Sleeve-Shirt</t>
        </is>
      </c>
      <c r="O1409" s="7" t="inlineStr"/>
    </row>
    <row r="1410" ht="80" customHeight="1">
      <c r="A1410" s="4">
        <f>IMAGE("https://images.lululemon.com/is/image/lululemon/LW3JFUS_0002_1?wid=320&amp;op_usm=0.8",1)</f>
        <v/>
      </c>
      <c r="B1410" s="4" t="inlineStr">
        <is>
          <t>Sculpt Short-Sleeve Shirt</t>
        </is>
      </c>
      <c r="C1410" s="4" t="inlineStr">
        <is>
          <t>155869604</t>
        </is>
      </c>
      <c r="D1410" s="4" t="inlineStr">
        <is>
          <t>155869604-white</t>
        </is>
      </c>
      <c r="E1410" s="4" t="inlineStr">
        <is>
          <t>Sculpt Short Sleeve WHT 2</t>
        </is>
      </c>
      <c r="F1410" s="4" t="inlineStr">
        <is>
          <t>$68.00</t>
        </is>
      </c>
      <c r="G1410" s="4" t="inlineStr">
        <is>
          <t>$34.00</t>
        </is>
      </c>
      <c r="H1410" s="4" t="inlineStr">
        <is>
          <t>White</t>
        </is>
      </c>
      <c r="I1410" s="4">
        <f>IMAGE("https://images.lululemon.com/is/image/lululemon/0002",1)</f>
        <v/>
      </c>
      <c r="J1410" s="4" t="inlineStr">
        <is>
          <t>4</t>
        </is>
      </c>
      <c r="K1410" s="4" t="inlineStr">
        <is>
          <t>47/177</t>
        </is>
      </c>
      <c r="L1410" s="4" t="inlineStr">
        <is>
          <t>Yes</t>
        </is>
      </c>
      <c r="M1410" s="4" t="inlineStr">
        <is>
          <t>Sprints anyone? This lightweight tee has mesh fabric panels for breathability in sweaty situations.</t>
        </is>
      </c>
      <c r="N1410" s="4" t="inlineStr">
        <is>
          <t>Sculpt-Short-Sleeve-Shirt</t>
        </is>
      </c>
      <c r="O1410" s="4" t="inlineStr"/>
    </row>
    <row r="1411" ht="80" customHeight="1">
      <c r="A1411" s="7">
        <f>IMAGE("https://images.lululemon.com/is/image/lululemon/LW3JFUS_0002_1?wid=320&amp;op_usm=0.8",1)</f>
        <v/>
      </c>
      <c r="B1411" s="7" t="inlineStr">
        <is>
          <t>Sculpt Short-Sleeve Shirt</t>
        </is>
      </c>
      <c r="C1411" s="7" t="inlineStr">
        <is>
          <t>155869606</t>
        </is>
      </c>
      <c r="D1411" s="7" t="inlineStr">
        <is>
          <t>155869606-white</t>
        </is>
      </c>
      <c r="E1411" s="7" t="inlineStr">
        <is>
          <t>Sculpt Short Sleeve WHT 2</t>
        </is>
      </c>
      <c r="F1411" s="7" t="inlineStr">
        <is>
          <t>$68.00</t>
        </is>
      </c>
      <c r="G1411" s="7" t="inlineStr">
        <is>
          <t>$34.00</t>
        </is>
      </c>
      <c r="H1411" s="7" t="inlineStr">
        <is>
          <t>White</t>
        </is>
      </c>
      <c r="I1411" s="7">
        <f>IMAGE("https://images.lululemon.com/is/image/lululemon/0002",1)</f>
        <v/>
      </c>
      <c r="J1411" s="7" t="inlineStr">
        <is>
          <t>6</t>
        </is>
      </c>
      <c r="K1411" s="7" t="inlineStr">
        <is>
          <t>46/177</t>
        </is>
      </c>
      <c r="L1411" s="7" t="inlineStr">
        <is>
          <t>Yes</t>
        </is>
      </c>
      <c r="M1411" s="7" t="inlineStr">
        <is>
          <t>Sprints anyone? This lightweight tee has mesh fabric panels for breathability in sweaty situations.</t>
        </is>
      </c>
      <c r="N1411" s="7" t="inlineStr">
        <is>
          <t>Sculpt-Short-Sleeve-Shirt</t>
        </is>
      </c>
      <c r="O1411" s="7" t="inlineStr"/>
    </row>
    <row r="1412" ht="80" customHeight="1">
      <c r="A1412" s="4">
        <f>IMAGE("https://images.lululemon.com/is/image/lululemon/LW3JFUS_0002_1?wid=320&amp;op_usm=0.8",1)</f>
        <v/>
      </c>
      <c r="B1412" s="4" t="inlineStr">
        <is>
          <t>Sculpt Short-Sleeve Shirt</t>
        </is>
      </c>
      <c r="C1412" s="4" t="inlineStr">
        <is>
          <t>155869609</t>
        </is>
      </c>
      <c r="D1412" s="4" t="inlineStr">
        <is>
          <t>155869609-white</t>
        </is>
      </c>
      <c r="E1412" s="4" t="inlineStr">
        <is>
          <t>Sculpt Short Sleeve WHT 2</t>
        </is>
      </c>
      <c r="F1412" s="4" t="inlineStr">
        <is>
          <t>$68.00</t>
        </is>
      </c>
      <c r="G1412" s="4" t="inlineStr">
        <is>
          <t>$34.00</t>
        </is>
      </c>
      <c r="H1412" s="4" t="inlineStr">
        <is>
          <t>White</t>
        </is>
      </c>
      <c r="I1412" s="4">
        <f>IMAGE("https://images.lululemon.com/is/image/lululemon/0002",1)</f>
        <v/>
      </c>
      <c r="J1412" s="4" t="inlineStr">
        <is>
          <t>8</t>
        </is>
      </c>
      <c r="K1412" s="4" t="inlineStr">
        <is>
          <t>42/177</t>
        </is>
      </c>
      <c r="L1412" s="4" t="inlineStr">
        <is>
          <t>Yes</t>
        </is>
      </c>
      <c r="M1412" s="4" t="inlineStr">
        <is>
          <t>Sprints anyone? This lightweight tee has mesh fabric panels for breathability in sweaty situations.</t>
        </is>
      </c>
      <c r="N1412" s="4" t="inlineStr">
        <is>
          <t>Sculpt-Short-Sleeve-Shirt</t>
        </is>
      </c>
      <c r="O1412" s="4" t="inlineStr"/>
    </row>
    <row r="1413" ht="80" customHeight="1">
      <c r="A1413" s="5">
        <f>IMAGE("https://images.lululemon.com/is/image/lululemon/LW3JFUS_0002_1?wid=320&amp;op_usm=0.8",1)</f>
        <v/>
      </c>
      <c r="B1413" s="5" t="inlineStr">
        <is>
          <t>Sculpt Short-Sleeve Shirt</t>
        </is>
      </c>
      <c r="C1413" s="5" t="inlineStr">
        <is>
          <t>155869578</t>
        </is>
      </c>
      <c r="D1413" s="5" t="inlineStr">
        <is>
          <t>155869578-white</t>
        </is>
      </c>
      <c r="E1413" s="5" t="inlineStr">
        <is>
          <t>Sculpt Short Sleeve WHT 2</t>
        </is>
      </c>
      <c r="F1413" s="5" t="inlineStr">
        <is>
          <t>$68.00</t>
        </is>
      </c>
      <c r="G1413" s="5" t="inlineStr">
        <is>
          <t>$34.00</t>
        </is>
      </c>
      <c r="H1413" s="5" t="inlineStr">
        <is>
          <t>White</t>
        </is>
      </c>
      <c r="I1413" s="5">
        <f>IMAGE("https://images.lululemon.com/is/image/lululemon/0002",1)</f>
        <v/>
      </c>
      <c r="J1413" s="5" t="inlineStr">
        <is>
          <t>10</t>
        </is>
      </c>
      <c r="K1413" s="5" t="inlineStr">
        <is>
          <t>3/177</t>
        </is>
      </c>
      <c r="L1413" s="5" t="inlineStr">
        <is>
          <t>Yes</t>
        </is>
      </c>
      <c r="M1413" s="5" t="inlineStr">
        <is>
          <t>Sprints anyone? This lightweight tee has mesh fabric panels for breathability in sweaty situations.</t>
        </is>
      </c>
      <c r="N1413" s="5" t="inlineStr">
        <is>
          <t>Sculpt-Short-Sleeve-Shirt</t>
        </is>
      </c>
      <c r="O1413" s="5" t="inlineStr"/>
    </row>
    <row r="1414" ht="80" customHeight="1">
      <c r="A1414" s="4">
        <f>IMAGE("https://images.lululemon.com/is/image/lululemon/LW3HO9S_0023_1?wid=320&amp;op_usm=0.8",1)</f>
        <v/>
      </c>
      <c r="B1414" s="4" t="inlineStr">
        <is>
          <t>License to Train Lightweight Jacket</t>
        </is>
      </c>
      <c r="C1414" s="4" t="inlineStr">
        <is>
          <t>155782885</t>
        </is>
      </c>
      <c r="D1414" s="4" t="inlineStr">
        <is>
          <t>155782885-black/white</t>
        </is>
      </c>
      <c r="E1414" s="4" t="inlineStr">
        <is>
          <t>License to Train Lightweight Jacket BLK/WHT 2</t>
        </is>
      </c>
      <c r="F1414" s="4" t="inlineStr">
        <is>
          <t>$148.00</t>
        </is>
      </c>
      <c r="G1414" s="4" t="inlineStr">
        <is>
          <t>$74.00</t>
        </is>
      </c>
      <c r="H1414" s="4" t="inlineStr">
        <is>
          <t>Black/White</t>
        </is>
      </c>
      <c r="I1414" s="4">
        <f>IMAGE("https://images.lululemon.com/is/image/lululemon/0023",1)</f>
        <v/>
      </c>
      <c r="J1414" s="4" t="inlineStr">
        <is>
          <t>2</t>
        </is>
      </c>
      <c r="K1414" s="4" t="inlineStr">
        <is>
          <t>17/53</t>
        </is>
      </c>
      <c r="L1414" s="4" t="inlineStr">
        <is>
          <t>Yes</t>
        </is>
      </c>
      <c r="M1414" s="4" t="inlineStr">
        <is>
          <t>That nostalgic tracksuit look, elevated with functional details. This lightweight jacket's made with crinkle-textured fabric, a roomy fit, and a cinchable hem to adjust the shape.</t>
        </is>
      </c>
      <c r="N1414" s="4" t="inlineStr">
        <is>
          <t>License-to-Train-Lightweight-Jacket</t>
        </is>
      </c>
      <c r="O1414" s="4" t="inlineStr">
        <is>
          <t>Athletic Jackets</t>
        </is>
      </c>
    </row>
    <row r="1415" ht="80" customHeight="1">
      <c r="A1415" s="7">
        <f>IMAGE("https://images.lululemon.com/is/image/lululemon/LW3HO9S_0023_1?wid=320&amp;op_usm=0.8",1)</f>
        <v/>
      </c>
      <c r="B1415" s="7" t="inlineStr">
        <is>
          <t>License to Train Lightweight Jacket</t>
        </is>
      </c>
      <c r="C1415" s="7" t="inlineStr">
        <is>
          <t>155782900</t>
        </is>
      </c>
      <c r="D1415" s="7" t="inlineStr">
        <is>
          <t>155782900-black/white</t>
        </is>
      </c>
      <c r="E1415" s="7" t="inlineStr">
        <is>
          <t>License to Train Lightweight Jacket BLK/WHT 2</t>
        </is>
      </c>
      <c r="F1415" s="7" t="inlineStr">
        <is>
          <t>$148.00</t>
        </is>
      </c>
      <c r="G1415" s="7" t="inlineStr">
        <is>
          <t>$74.00</t>
        </is>
      </c>
      <c r="H1415" s="7" t="inlineStr">
        <is>
          <t>Black/White</t>
        </is>
      </c>
      <c r="I1415" s="7">
        <f>IMAGE("https://images.lululemon.com/is/image/lululemon/0023",1)</f>
        <v/>
      </c>
      <c r="J1415" s="7" t="inlineStr">
        <is>
          <t>4</t>
        </is>
      </c>
      <c r="K1415" s="7" t="inlineStr">
        <is>
          <t>3/53</t>
        </is>
      </c>
      <c r="L1415" s="7" t="inlineStr">
        <is>
          <t>Yes</t>
        </is>
      </c>
      <c r="M1415" s="7" t="inlineStr">
        <is>
          <t>That nostalgic tracksuit look, elevated with functional details. This lightweight jacket's made with crinkle-textured fabric, a roomy fit, and a cinchable hem to adjust the shape.</t>
        </is>
      </c>
      <c r="N1415" s="7" t="inlineStr">
        <is>
          <t>License-to-Train-Lightweight-Jacket</t>
        </is>
      </c>
      <c r="O1415" s="7" t="inlineStr">
        <is>
          <t>Athletic Jackets</t>
        </is>
      </c>
    </row>
    <row r="1416" ht="80" customHeight="1">
      <c r="A1416" s="4">
        <f>IMAGE("https://images.lululemon.com/is/image/lululemon/LW3HO9S_0023_1?wid=320&amp;op_usm=0.8",1)</f>
        <v/>
      </c>
      <c r="B1416" s="4" t="inlineStr">
        <is>
          <t>License to Train Lightweight Jacket</t>
        </is>
      </c>
      <c r="C1416" s="4" t="inlineStr">
        <is>
          <t>155782903</t>
        </is>
      </c>
      <c r="D1416" s="4" t="inlineStr">
        <is>
          <t>155782903-black/white</t>
        </is>
      </c>
      <c r="E1416" s="4" t="inlineStr">
        <is>
          <t>License to Train Lightweight Jacket BLK/WHT 2</t>
        </is>
      </c>
      <c r="F1416" s="4" t="inlineStr">
        <is>
          <t>$148.00</t>
        </is>
      </c>
      <c r="G1416" s="4" t="inlineStr">
        <is>
          <t>$74.00</t>
        </is>
      </c>
      <c r="H1416" s="4" t="inlineStr">
        <is>
          <t>Black/White</t>
        </is>
      </c>
      <c r="I1416" s="4">
        <f>IMAGE("https://images.lululemon.com/is/image/lululemon/0023",1)</f>
        <v/>
      </c>
      <c r="J1416" s="4" t="inlineStr">
        <is>
          <t>6</t>
        </is>
      </c>
      <c r="K1416" s="4" t="inlineStr">
        <is>
          <t>1/53</t>
        </is>
      </c>
      <c r="L1416" s="4" t="inlineStr">
        <is>
          <t>Yes</t>
        </is>
      </c>
      <c r="M1416" s="4" t="inlineStr">
        <is>
          <t>That nostalgic tracksuit look, elevated with functional details. This lightweight jacket's made with crinkle-textured fabric, a roomy fit, and a cinchable hem to adjust the shape.</t>
        </is>
      </c>
      <c r="N1416" s="4" t="inlineStr">
        <is>
          <t>License-to-Train-Lightweight-Jacket</t>
        </is>
      </c>
      <c r="O1416" s="4" t="inlineStr">
        <is>
          <t>Athletic Jackets</t>
        </is>
      </c>
    </row>
    <row r="1417" ht="80" customHeight="1">
      <c r="A1417" s="7">
        <f>IMAGE("https://images.lululemon.com/is/image/lululemon/LW3HO9S_0023_1?wid=320&amp;op_usm=0.8",1)</f>
        <v/>
      </c>
      <c r="B1417" s="7" t="inlineStr">
        <is>
          <t>License to Train Lightweight Jacket</t>
        </is>
      </c>
      <c r="C1417" s="7" t="inlineStr">
        <is>
          <t>155782906</t>
        </is>
      </c>
      <c r="D1417" s="7" t="inlineStr">
        <is>
          <t>155782906-black/white</t>
        </is>
      </c>
      <c r="E1417" s="7" t="inlineStr">
        <is>
          <t>License to Train Lightweight Jacket BLK/WHT 2</t>
        </is>
      </c>
      <c r="F1417" s="7" t="inlineStr">
        <is>
          <t>$148.00</t>
        </is>
      </c>
      <c r="G1417" s="7" t="inlineStr">
        <is>
          <t>$74.00</t>
        </is>
      </c>
      <c r="H1417" s="7" t="inlineStr">
        <is>
          <t>Black/White</t>
        </is>
      </c>
      <c r="I1417" s="7">
        <f>IMAGE("https://images.lululemon.com/is/image/lululemon/0023",1)</f>
        <v/>
      </c>
      <c r="J1417" s="7" t="inlineStr">
        <is>
          <t>8</t>
        </is>
      </c>
      <c r="K1417" s="7" t="inlineStr">
        <is>
          <t>16/53</t>
        </is>
      </c>
      <c r="L1417" s="7" t="inlineStr">
        <is>
          <t>Yes</t>
        </is>
      </c>
      <c r="M1417" s="7" t="inlineStr">
        <is>
          <t>That nostalgic tracksuit look, elevated with functional details. This lightweight jacket's made with crinkle-textured fabric, a roomy fit, and a cinchable hem to adjust the shape.</t>
        </is>
      </c>
      <c r="N1417" s="7" t="inlineStr">
        <is>
          <t>License-to-Train-Lightweight-Jacket</t>
        </is>
      </c>
      <c r="O1417" s="7" t="inlineStr">
        <is>
          <t>Athletic Jackets</t>
        </is>
      </c>
    </row>
    <row r="1418" ht="80" customHeight="1">
      <c r="A1418" s="6">
        <f>IMAGE("https://images.lululemon.com/is/image/lululemon/LW3HO9S_0023_1?wid=320&amp;op_usm=0.8",1)</f>
        <v/>
      </c>
      <c r="B1418" s="6" t="inlineStr">
        <is>
          <t>License to Train Lightweight Jacket</t>
        </is>
      </c>
      <c r="C1418" s="6" t="inlineStr">
        <is>
          <t>155782875</t>
        </is>
      </c>
      <c r="D1418" s="6" t="inlineStr">
        <is>
          <t>155782875-black/white</t>
        </is>
      </c>
      <c r="E1418" s="6" t="inlineStr">
        <is>
          <t>License to Train Lightweight Jacket BLK/WHT 2</t>
        </is>
      </c>
      <c r="F1418" s="6" t="inlineStr">
        <is>
          <t>$148.00</t>
        </is>
      </c>
      <c r="G1418" s="6" t="inlineStr">
        <is>
          <t>$74.00</t>
        </is>
      </c>
      <c r="H1418" s="6" t="inlineStr">
        <is>
          <t>Black/White</t>
        </is>
      </c>
      <c r="I1418" s="6">
        <f>IMAGE("https://images.lululemon.com/is/image/lululemon/0023",1)</f>
        <v/>
      </c>
      <c r="J1418" s="6" t="inlineStr">
        <is>
          <t>10</t>
        </is>
      </c>
      <c r="K1418" s="6" t="inlineStr">
        <is>
          <t>16/53</t>
        </is>
      </c>
      <c r="L1418" s="6" t="inlineStr">
        <is>
          <t>Yes</t>
        </is>
      </c>
      <c r="M1418" s="6" t="inlineStr">
        <is>
          <t>That nostalgic tracksuit look, elevated with functional details. This lightweight jacket's made with crinkle-textured fabric, a roomy fit, and a cinchable hem to adjust the shape.</t>
        </is>
      </c>
      <c r="N1418" s="6" t="inlineStr">
        <is>
          <t>License-to-Train-Lightweight-Jacket</t>
        </is>
      </c>
      <c r="O1418" s="6" t="inlineStr">
        <is>
          <t>Athletic Jackets</t>
        </is>
      </c>
    </row>
    <row r="1419" ht="80" customHeight="1">
      <c r="A1419" s="7">
        <f>IMAGE("https://images.lululemon.com/is/image/lululemon/LW7DK4S_070209_1?wid=320&amp;op_usm=0.8",1)</f>
        <v/>
      </c>
      <c r="B1419" s="7" t="inlineStr">
        <is>
          <t>Swiftly Mid-Rise Short 3"</t>
        </is>
      </c>
      <c r="C1419" s="7" t="inlineStr">
        <is>
          <t>156498421</t>
        </is>
      </c>
      <c r="D1419" s="7" t="inlineStr">
        <is>
          <t>156498421-lavenderfrost/lavenderfrost</t>
        </is>
      </c>
      <c r="E1419" s="7" t="inlineStr">
        <is>
          <t>Swiftly Mid-Rise Short 3" LFRS/LFRS 2</t>
        </is>
      </c>
      <c r="F1419" s="7" t="inlineStr">
        <is>
          <t>$68.00</t>
        </is>
      </c>
      <c r="G1419" s="7" t="inlineStr">
        <is>
          <t>$34.00</t>
        </is>
      </c>
      <c r="H1419" s="7" t="inlineStr">
        <is>
          <t>Lavender Frost/Lavender Frost</t>
        </is>
      </c>
      <c r="I1419" s="7">
        <f>IMAGE("https://images.lululemon.com/is/image/lululemon/70835",1)</f>
        <v/>
      </c>
      <c r="J1419" s="7" t="inlineStr">
        <is>
          <t>2</t>
        </is>
      </c>
      <c r="K1419" s="7" t="inlineStr">
        <is>
          <t>51/217</t>
        </is>
      </c>
      <c r="L1419" s="7" t="inlineStr">
        <is>
          <t>Yes</t>
        </is>
      </c>
      <c r="M1419" s="7" t="inlineStr">
        <is>
          <t>All in a day's workout. Designed for daily training, these shorts are all about high-performing fabric and a streamlined cut that seamlessly adapt to your stride.</t>
        </is>
      </c>
      <c r="N1419" s="7" t="inlineStr">
        <is>
          <t>Swiftly-Mid-Rise-Short-3</t>
        </is>
      </c>
      <c r="O1419" s="7" t="inlineStr">
        <is>
          <t>Athletic Shorts, Liner Shorts</t>
        </is>
      </c>
    </row>
    <row r="1420" ht="80" customHeight="1">
      <c r="A1420" s="4">
        <f>IMAGE("https://images.lululemon.com/is/image/lululemon/LW7DK4S_070209_1?wid=320&amp;op_usm=0.8",1)</f>
        <v/>
      </c>
      <c r="B1420" s="4" t="inlineStr">
        <is>
          <t>Swiftly Mid-Rise Short 3"</t>
        </is>
      </c>
      <c r="C1420" s="4" t="inlineStr">
        <is>
          <t>156498454</t>
        </is>
      </c>
      <c r="D1420" s="4" t="inlineStr">
        <is>
          <t>156498454-lavenderfrost/lavenderfrost</t>
        </is>
      </c>
      <c r="E1420" s="4" t="inlineStr">
        <is>
          <t>Swiftly Mid-Rise Short 3" LFRS/LFRS 2</t>
        </is>
      </c>
      <c r="F1420" s="4" t="inlineStr">
        <is>
          <t>$68.00</t>
        </is>
      </c>
      <c r="G1420" s="4" t="inlineStr">
        <is>
          <t>$34.00</t>
        </is>
      </c>
      <c r="H1420" s="4" t="inlineStr">
        <is>
          <t>Lavender Frost/Lavender Frost</t>
        </is>
      </c>
      <c r="I1420" s="4">
        <f>IMAGE("https://images.lululemon.com/is/image/lululemon/70835",1)</f>
        <v/>
      </c>
      <c r="J1420" s="4" t="inlineStr">
        <is>
          <t>4</t>
        </is>
      </c>
      <c r="K1420" s="4" t="inlineStr">
        <is>
          <t>11/217</t>
        </is>
      </c>
      <c r="L1420" s="4" t="inlineStr">
        <is>
          <t>Yes</t>
        </is>
      </c>
      <c r="M1420" s="4" t="inlineStr">
        <is>
          <t>All in a day's workout. Designed for daily training, these shorts are all about high-performing fabric and a streamlined cut that seamlessly adapt to your stride.</t>
        </is>
      </c>
      <c r="N1420" s="4" t="inlineStr">
        <is>
          <t>Swiftly-Mid-Rise-Short-3</t>
        </is>
      </c>
      <c r="O1420" s="4" t="inlineStr">
        <is>
          <t>Athletic Shorts, Liner Shorts</t>
        </is>
      </c>
    </row>
    <row r="1421" ht="80" customHeight="1">
      <c r="A1421" s="7">
        <f>IMAGE("https://images.lululemon.com/is/image/lululemon/LW7DK4S_070209_1?wid=320&amp;op_usm=0.8",1)</f>
        <v/>
      </c>
      <c r="B1421" s="7" t="inlineStr">
        <is>
          <t>Swiftly Mid-Rise Short 3"</t>
        </is>
      </c>
      <c r="C1421" s="7" t="inlineStr">
        <is>
          <t>156498458</t>
        </is>
      </c>
      <c r="D1421" s="7" t="inlineStr">
        <is>
          <t>156498458-lavenderfrost/lavenderfrost</t>
        </is>
      </c>
      <c r="E1421" s="7" t="inlineStr">
        <is>
          <t>Swiftly Mid-Rise Short 3" LFRS/LFRS 2</t>
        </is>
      </c>
      <c r="F1421" s="7" t="inlineStr">
        <is>
          <t>$68.00</t>
        </is>
      </c>
      <c r="G1421" s="7" t="inlineStr">
        <is>
          <t>$34.00</t>
        </is>
      </c>
      <c r="H1421" s="7" t="inlineStr">
        <is>
          <t>Lavender Frost/Lavender Frost</t>
        </is>
      </c>
      <c r="I1421" s="7">
        <f>IMAGE("https://images.lululemon.com/is/image/lululemon/70835",1)</f>
        <v/>
      </c>
      <c r="J1421" s="7" t="inlineStr">
        <is>
          <t>6</t>
        </is>
      </c>
      <c r="K1421" s="7" t="inlineStr">
        <is>
          <t>41/217</t>
        </is>
      </c>
      <c r="L1421" s="7" t="inlineStr">
        <is>
          <t>Yes</t>
        </is>
      </c>
      <c r="M1421" s="7" t="inlineStr">
        <is>
          <t>All in a day's workout. Designed for daily training, these shorts are all about high-performing fabric and a streamlined cut that seamlessly adapt to your stride.</t>
        </is>
      </c>
      <c r="N1421" s="7" t="inlineStr">
        <is>
          <t>Swiftly-Mid-Rise-Short-3</t>
        </is>
      </c>
      <c r="O1421" s="7" t="inlineStr">
        <is>
          <t>Athletic Shorts, Liner Shorts</t>
        </is>
      </c>
    </row>
    <row r="1422" ht="80" customHeight="1">
      <c r="A1422" s="4">
        <f>IMAGE("https://images.lululemon.com/is/image/lululemon/LW7DK4S_070209_1?wid=320&amp;op_usm=0.8",1)</f>
        <v/>
      </c>
      <c r="B1422" s="4" t="inlineStr">
        <is>
          <t>Swiftly Mid-Rise Short 3"</t>
        </is>
      </c>
      <c r="C1422" s="4" t="inlineStr">
        <is>
          <t>156498465</t>
        </is>
      </c>
      <c r="D1422" s="4" t="inlineStr">
        <is>
          <t>156498465-lavenderfrost/lavenderfrost</t>
        </is>
      </c>
      <c r="E1422" s="4" t="inlineStr">
        <is>
          <t>Swiftly Mid-Rise Short 3" LFRS/LFRS 2</t>
        </is>
      </c>
      <c r="F1422" s="4" t="inlineStr">
        <is>
          <t>$68.00</t>
        </is>
      </c>
      <c r="G1422" s="4" t="inlineStr">
        <is>
          <t>$34.00</t>
        </is>
      </c>
      <c r="H1422" s="4" t="inlineStr">
        <is>
          <t>Lavender Frost/Lavender Frost</t>
        </is>
      </c>
      <c r="I1422" s="4">
        <f>IMAGE("https://images.lululemon.com/is/image/lululemon/70835",1)</f>
        <v/>
      </c>
      <c r="J1422" s="4" t="inlineStr">
        <is>
          <t>8</t>
        </is>
      </c>
      <c r="K1422" s="4" t="inlineStr">
        <is>
          <t>6/217</t>
        </is>
      </c>
      <c r="L1422" s="4" t="inlineStr">
        <is>
          <t>Yes</t>
        </is>
      </c>
      <c r="M1422" s="4" t="inlineStr">
        <is>
          <t>All in a day's workout. Designed for daily training, these shorts are all about high-performing fabric and a streamlined cut that seamlessly adapt to your stride.</t>
        </is>
      </c>
      <c r="N1422" s="4" t="inlineStr">
        <is>
          <t>Swiftly-Mid-Rise-Short-3</t>
        </is>
      </c>
      <c r="O1422" s="4" t="inlineStr">
        <is>
          <t>Athletic Shorts, Liner Shorts</t>
        </is>
      </c>
    </row>
    <row r="1423" ht="80" customHeight="1">
      <c r="A1423" s="7">
        <f>IMAGE("https://images.lululemon.com/is/image/lululemon/LW7DK4S_070209_1?wid=320&amp;op_usm=0.8",1)</f>
        <v/>
      </c>
      <c r="B1423" s="7" t="inlineStr">
        <is>
          <t>Swiftly Mid-Rise Short 3"</t>
        </is>
      </c>
      <c r="C1423" s="7" t="inlineStr">
        <is>
          <t>156498388</t>
        </is>
      </c>
      <c r="D1423" s="7" t="inlineStr">
        <is>
          <t>156498388-lavenderfrost/lavenderfrost</t>
        </is>
      </c>
      <c r="E1423" s="7" t="inlineStr">
        <is>
          <t>Swiftly Mid-Rise Short 3" LFRS/LFRS 2</t>
        </is>
      </c>
      <c r="F1423" s="7" t="inlineStr">
        <is>
          <t>$68.00</t>
        </is>
      </c>
      <c r="G1423" s="7" t="inlineStr">
        <is>
          <t>$34.00</t>
        </is>
      </c>
      <c r="H1423" s="7" t="inlineStr">
        <is>
          <t>Lavender Frost/Lavender Frost</t>
        </is>
      </c>
      <c r="I1423" s="7">
        <f>IMAGE("https://images.lululemon.com/is/image/lululemon/70835",1)</f>
        <v/>
      </c>
      <c r="J1423" s="7" t="inlineStr">
        <is>
          <t>10</t>
        </is>
      </c>
      <c r="K1423" s="7" t="inlineStr">
        <is>
          <t>3/217</t>
        </is>
      </c>
      <c r="L1423" s="7" t="inlineStr">
        <is>
          <t>Yes</t>
        </is>
      </c>
      <c r="M1423" s="7" t="inlineStr">
        <is>
          <t>All in a day's workout. Designed for daily training, these shorts are all about high-performing fabric and a streamlined cut that seamlessly adapt to your stride.</t>
        </is>
      </c>
      <c r="N1423" s="7" t="inlineStr">
        <is>
          <t>Swiftly-Mid-Rise-Short-3</t>
        </is>
      </c>
      <c r="O1423" s="7" t="inlineStr">
        <is>
          <t>Athletic Shorts, Liner Shorts</t>
        </is>
      </c>
    </row>
    <row r="1424" ht="80" customHeight="1">
      <c r="A1424" s="4">
        <f>IMAGE("https://images.lululemon.com/is/image/lululemon/LW7DK4S_070209_1?wid=320&amp;op_usm=0.8",1)</f>
        <v/>
      </c>
      <c r="B1424" s="4" t="inlineStr">
        <is>
          <t>Swiftly Mid-Rise Short 3"</t>
        </is>
      </c>
      <c r="C1424" s="4" t="inlineStr">
        <is>
          <t>156498395</t>
        </is>
      </c>
      <c r="D1424" s="4" t="inlineStr">
        <is>
          <t>156498395-lavenderfrost/lavenderfrost</t>
        </is>
      </c>
      <c r="E1424" s="4" t="inlineStr">
        <is>
          <t>Swiftly Mid-Rise Short 3" LFRS/LFRS 2</t>
        </is>
      </c>
      <c r="F1424" s="4" t="inlineStr">
        <is>
          <t>$68.00</t>
        </is>
      </c>
      <c r="G1424" s="4" t="inlineStr">
        <is>
          <t>$34.00</t>
        </is>
      </c>
      <c r="H1424" s="4" t="inlineStr">
        <is>
          <t>Lavender Frost/Lavender Frost</t>
        </is>
      </c>
      <c r="I1424" s="4">
        <f>IMAGE("https://images.lululemon.com/is/image/lululemon/70835",1)</f>
        <v/>
      </c>
      <c r="J1424" s="4" t="inlineStr">
        <is>
          <t>12</t>
        </is>
      </c>
      <c r="K1424" s="4" t="inlineStr">
        <is>
          <t>34/217</t>
        </is>
      </c>
      <c r="L1424" s="4" t="inlineStr">
        <is>
          <t>Yes</t>
        </is>
      </c>
      <c r="M1424" s="4" t="inlineStr">
        <is>
          <t>All in a day's workout. Designed for daily training, these shorts are all about high-performing fabric and a streamlined cut that seamlessly adapt to your stride.</t>
        </is>
      </c>
      <c r="N1424" s="4" t="inlineStr">
        <is>
          <t>Swiftly-Mid-Rise-Short-3</t>
        </is>
      </c>
      <c r="O1424" s="4" t="inlineStr">
        <is>
          <t>Athletic Shorts, Liner Shorts</t>
        </is>
      </c>
    </row>
    <row r="1425" ht="80" customHeight="1">
      <c r="A1425" s="5">
        <f>IMAGE("https://images.lululemon.com/is/image/lululemon/LW7DK4S_070209_1?wid=320&amp;op_usm=0.8",1)</f>
        <v/>
      </c>
      <c r="B1425" s="5" t="inlineStr">
        <is>
          <t>Swiftly Mid-Rise Short 3"</t>
        </is>
      </c>
      <c r="C1425" s="5" t="inlineStr">
        <is>
          <t>156498365</t>
        </is>
      </c>
      <c r="D1425" s="5" t="inlineStr">
        <is>
          <t>156498365-poolparty/poolparty</t>
        </is>
      </c>
      <c r="E1425" s="5" t="inlineStr">
        <is>
          <t>Swiftly Mid-Rise Short 3" LFRS/LFRS 2</t>
        </is>
      </c>
      <c r="F1425" s="5" t="inlineStr">
        <is>
          <t>$68.00</t>
        </is>
      </c>
      <c r="G1425" s="5" t="inlineStr">
        <is>
          <t>$34.00</t>
        </is>
      </c>
      <c r="H1425" s="5" t="inlineStr">
        <is>
          <t>Pool Party/Pool Party</t>
        </is>
      </c>
      <c r="I1425" s="5">
        <f>IMAGE("https://images.lululemon.com/is/image/lululemon/70209",1)</f>
        <v/>
      </c>
      <c r="J1425" s="5" t="inlineStr">
        <is>
          <t>6</t>
        </is>
      </c>
      <c r="K1425" s="5" t="inlineStr">
        <is>
          <t>71/217</t>
        </is>
      </c>
      <c r="L1425" s="5" t="inlineStr">
        <is>
          <t>Yes</t>
        </is>
      </c>
      <c r="M1425" s="5" t="inlineStr">
        <is>
          <t>All in a day's workout. Designed for daily training, these shorts are all about high-performing fabric and a streamlined cut that seamlessly adapt to your stride.</t>
        </is>
      </c>
      <c r="N1425" s="5" t="inlineStr">
        <is>
          <t>Swiftly-Mid-Rise-Short-3</t>
        </is>
      </c>
      <c r="O1425" s="5" t="inlineStr">
        <is>
          <t>Athletic Shorts, Liner Shorts</t>
        </is>
      </c>
    </row>
    <row r="1426" ht="80" customHeight="1">
      <c r="A1426" s="4">
        <f>IMAGE("https://images.lululemon.com/is/image/lululemon/LW5FLJS_0001_1?wid=320&amp;op_usm=0.8",1)</f>
        <v/>
      </c>
      <c r="B1426" s="4" t="inlineStr">
        <is>
          <t>Cold Weather High-Rise Running Tight 28"</t>
        </is>
      </c>
      <c r="C1426" s="4" t="inlineStr">
        <is>
          <t>149451598</t>
        </is>
      </c>
      <c r="D1426" s="4" t="inlineStr">
        <is>
          <t>149451598-black</t>
        </is>
      </c>
      <c r="E1426" s="4" t="inlineStr">
        <is>
          <t>Cold Weather HR Running Tight 28" BLK 2</t>
        </is>
      </c>
      <c r="F1426" s="4" t="inlineStr">
        <is>
          <t>$198.00</t>
        </is>
      </c>
      <c r="G1426" s="4" t="inlineStr">
        <is>
          <t>$99.00</t>
        </is>
      </c>
      <c r="H1426" s="4" t="inlineStr">
        <is>
          <t>Black</t>
        </is>
      </c>
      <c r="I1426" s="4">
        <f>IMAGE("https://images.lululemon.com/is/image/lululemon/0001",1)</f>
        <v/>
      </c>
      <c r="J1426" s="4" t="inlineStr">
        <is>
          <t>2</t>
        </is>
      </c>
      <c r="K1426" s="4" t="inlineStr">
        <is>
          <t>43/636</t>
        </is>
      </c>
      <c r="L1426" s="4" t="inlineStr">
        <is>
          <t>Yes</t>
        </is>
      </c>
      <c r="M1426" s="4" t="inlineStr">
        <is>
          <t>Bring the warmth to cold-weather runs. These tights are made from warm technical fleece and have weather-repellent panels to shield you from the elements.</t>
        </is>
      </c>
      <c r="N1426" s="4" t="inlineStr">
        <is>
          <t>Cold-Weather-HR-Running-Tight-28</t>
        </is>
      </c>
      <c r="O1426" s="4" t="inlineStr">
        <is>
          <t>Athletic Pants</t>
        </is>
      </c>
    </row>
    <row r="1427" ht="80" customHeight="1">
      <c r="A1427" s="7">
        <f>IMAGE("https://images.lululemon.com/is/image/lululemon/LW5FLJS_0001_1?wid=320&amp;op_usm=0.8",1)</f>
        <v/>
      </c>
      <c r="B1427" s="7" t="inlineStr">
        <is>
          <t>Cold Weather High-Rise Running Tight 28"</t>
        </is>
      </c>
      <c r="C1427" s="7" t="inlineStr">
        <is>
          <t>149451616</t>
        </is>
      </c>
      <c r="D1427" s="7" t="inlineStr">
        <is>
          <t>149451616-black</t>
        </is>
      </c>
      <c r="E1427" s="7" t="inlineStr">
        <is>
          <t>Cold Weather HR Running Tight 28" BLK 2</t>
        </is>
      </c>
      <c r="F1427" s="7" t="inlineStr">
        <is>
          <t>$198.00</t>
        </is>
      </c>
      <c r="G1427" s="7" t="inlineStr">
        <is>
          <t>$99.00</t>
        </is>
      </c>
      <c r="H1427" s="7" t="inlineStr">
        <is>
          <t>Black</t>
        </is>
      </c>
      <c r="I1427" s="7">
        <f>IMAGE("https://images.lululemon.com/is/image/lululemon/0001",1)</f>
        <v/>
      </c>
      <c r="J1427" s="7" t="inlineStr">
        <is>
          <t>4</t>
        </is>
      </c>
      <c r="K1427" s="7" t="inlineStr">
        <is>
          <t>94/636</t>
        </is>
      </c>
      <c r="L1427" s="7" t="inlineStr">
        <is>
          <t>Yes</t>
        </is>
      </c>
      <c r="M1427" s="7" t="inlineStr">
        <is>
          <t>Bring the warmth to cold-weather runs. These tights are made from warm technical fleece and have weather-repellent panels to shield you from the elements.</t>
        </is>
      </c>
      <c r="N1427" s="7" t="inlineStr">
        <is>
          <t>Cold-Weather-HR-Running-Tight-28</t>
        </is>
      </c>
      <c r="O1427" s="7" t="inlineStr">
        <is>
          <t>Athletic Pants</t>
        </is>
      </c>
    </row>
    <row r="1428" ht="80" customHeight="1">
      <c r="A1428" s="4">
        <f>IMAGE("https://images.lululemon.com/is/image/lululemon/LW5FLJS_0001_1?wid=320&amp;op_usm=0.8",1)</f>
        <v/>
      </c>
      <c r="B1428" s="4" t="inlineStr">
        <is>
          <t>Cold Weather High-Rise Running Tight 28"</t>
        </is>
      </c>
      <c r="C1428" s="4" t="inlineStr">
        <is>
          <t>149451620</t>
        </is>
      </c>
      <c r="D1428" s="4" t="inlineStr">
        <is>
          <t>149451620-black</t>
        </is>
      </c>
      <c r="E1428" s="4" t="inlineStr">
        <is>
          <t>Cold Weather HR Running Tight 28" BLK 2</t>
        </is>
      </c>
      <c r="F1428" s="4" t="inlineStr">
        <is>
          <t>$198.00</t>
        </is>
      </c>
      <c r="G1428" s="4" t="inlineStr">
        <is>
          <t>$99.00</t>
        </is>
      </c>
      <c r="H1428" s="4" t="inlineStr">
        <is>
          <t>Black</t>
        </is>
      </c>
      <c r="I1428" s="4">
        <f>IMAGE("https://images.lululemon.com/is/image/lululemon/0001",1)</f>
        <v/>
      </c>
      <c r="J1428" s="4" t="inlineStr">
        <is>
          <t>6</t>
        </is>
      </c>
      <c r="K1428" s="4" t="inlineStr">
        <is>
          <t>90/636</t>
        </is>
      </c>
      <c r="L1428" s="4" t="inlineStr">
        <is>
          <t>Yes</t>
        </is>
      </c>
      <c r="M1428" s="4" t="inlineStr">
        <is>
          <t>Bring the warmth to cold-weather runs. These tights are made from warm technical fleece and have weather-repellent panels to shield you from the elements.</t>
        </is>
      </c>
      <c r="N1428" s="4" t="inlineStr">
        <is>
          <t>Cold-Weather-HR-Running-Tight-28</t>
        </is>
      </c>
      <c r="O1428" s="4" t="inlineStr">
        <is>
          <t>Athletic Pants</t>
        </is>
      </c>
    </row>
    <row r="1429" ht="80" customHeight="1">
      <c r="A1429" s="7">
        <f>IMAGE("https://images.lululemon.com/is/image/lululemon/LW5FLJS_0001_1?wid=320&amp;op_usm=0.8",1)</f>
        <v/>
      </c>
      <c r="B1429" s="7" t="inlineStr">
        <is>
          <t>Cold Weather High-Rise Running Tight 28"</t>
        </is>
      </c>
      <c r="C1429" s="7" t="inlineStr">
        <is>
          <t>149451625</t>
        </is>
      </c>
      <c r="D1429" s="7" t="inlineStr">
        <is>
          <t>149451625-black</t>
        </is>
      </c>
      <c r="E1429" s="7" t="inlineStr">
        <is>
          <t>Cold Weather HR Running Tight 28" BLK 2</t>
        </is>
      </c>
      <c r="F1429" s="7" t="inlineStr">
        <is>
          <t>$198.00</t>
        </is>
      </c>
      <c r="G1429" s="7" t="inlineStr">
        <is>
          <t>$99.00</t>
        </is>
      </c>
      <c r="H1429" s="7" t="inlineStr">
        <is>
          <t>Black</t>
        </is>
      </c>
      <c r="I1429" s="7">
        <f>IMAGE("https://images.lululemon.com/is/image/lululemon/0001",1)</f>
        <v/>
      </c>
      <c r="J1429" s="7" t="inlineStr">
        <is>
          <t>8</t>
        </is>
      </c>
      <c r="K1429" s="7" t="inlineStr">
        <is>
          <t>75/636</t>
        </is>
      </c>
      <c r="L1429" s="7" t="inlineStr">
        <is>
          <t>Yes</t>
        </is>
      </c>
      <c r="M1429" s="7" t="inlineStr">
        <is>
          <t>Bring the warmth to cold-weather runs. These tights are made from warm technical fleece and have weather-repellent panels to shield you from the elements.</t>
        </is>
      </c>
      <c r="N1429" s="7" t="inlineStr">
        <is>
          <t>Cold-Weather-HR-Running-Tight-28</t>
        </is>
      </c>
      <c r="O1429" s="7" t="inlineStr">
        <is>
          <t>Athletic Pants</t>
        </is>
      </c>
    </row>
    <row r="1430" ht="80" customHeight="1">
      <c r="A1430" s="4">
        <f>IMAGE("https://images.lululemon.com/is/image/lululemon/LW5FLJS_0001_1?wid=320&amp;op_usm=0.8",1)</f>
        <v/>
      </c>
      <c r="B1430" s="4" t="inlineStr">
        <is>
          <t>Cold Weather High-Rise Running Tight 28"</t>
        </is>
      </c>
      <c r="C1430" s="4" t="inlineStr">
        <is>
          <t>149451578</t>
        </is>
      </c>
      <c r="D1430" s="4" t="inlineStr">
        <is>
          <t>149451578-black</t>
        </is>
      </c>
      <c r="E1430" s="4" t="inlineStr">
        <is>
          <t>Cold Weather HR Running Tight 28" BLK 2</t>
        </is>
      </c>
      <c r="F1430" s="4" t="inlineStr">
        <is>
          <t>$198.00</t>
        </is>
      </c>
      <c r="G1430" s="4" t="inlineStr">
        <is>
          <t>$99.00</t>
        </is>
      </c>
      <c r="H1430" s="4" t="inlineStr">
        <is>
          <t>Black</t>
        </is>
      </c>
      <c r="I1430" s="4">
        <f>IMAGE("https://images.lululemon.com/is/image/lululemon/0001",1)</f>
        <v/>
      </c>
      <c r="J1430" s="4" t="inlineStr">
        <is>
          <t>10</t>
        </is>
      </c>
      <c r="K1430" s="4" t="inlineStr">
        <is>
          <t>40/636</t>
        </is>
      </c>
      <c r="L1430" s="4" t="inlineStr">
        <is>
          <t>Yes</t>
        </is>
      </c>
      <c r="M1430" s="4" t="inlineStr">
        <is>
          <t>Bring the warmth to cold-weather runs. These tights are made from warm technical fleece and have weather-repellent panels to shield you from the elements.</t>
        </is>
      </c>
      <c r="N1430" s="4" t="inlineStr">
        <is>
          <t>Cold-Weather-HR-Running-Tight-28</t>
        </is>
      </c>
      <c r="O1430" s="4" t="inlineStr">
        <is>
          <t>Athletic Pants</t>
        </is>
      </c>
    </row>
    <row r="1431" ht="80" customHeight="1">
      <c r="A1431" s="7">
        <f>IMAGE("https://images.lululemon.com/is/image/lululemon/LW5FLJS_0001_1?wid=320&amp;op_usm=0.8",1)</f>
        <v/>
      </c>
      <c r="B1431" s="7" t="inlineStr">
        <is>
          <t>Cold Weather High-Rise Running Tight 28"</t>
        </is>
      </c>
      <c r="C1431" s="7" t="inlineStr">
        <is>
          <t>149451580</t>
        </is>
      </c>
      <c r="D1431" s="7" t="inlineStr">
        <is>
          <t>149451580-black</t>
        </is>
      </c>
      <c r="E1431" s="7" t="inlineStr">
        <is>
          <t>Cold Weather HR Running Tight 28" BLK 2</t>
        </is>
      </c>
      <c r="F1431" s="7" t="inlineStr">
        <is>
          <t>$198.00</t>
        </is>
      </c>
      <c r="G1431" s="7" t="inlineStr">
        <is>
          <t>$99.00</t>
        </is>
      </c>
      <c r="H1431" s="7" t="inlineStr">
        <is>
          <t>Black</t>
        </is>
      </c>
      <c r="I1431" s="7">
        <f>IMAGE("https://images.lululemon.com/is/image/lululemon/0001",1)</f>
        <v/>
      </c>
      <c r="J1431" s="7" t="inlineStr">
        <is>
          <t>12</t>
        </is>
      </c>
      <c r="K1431" s="7" t="inlineStr">
        <is>
          <t>19/636</t>
        </is>
      </c>
      <c r="L1431" s="7" t="inlineStr">
        <is>
          <t>Yes</t>
        </is>
      </c>
      <c r="M1431" s="7" t="inlineStr">
        <is>
          <t>Bring the warmth to cold-weather runs. These tights are made from warm technical fleece and have weather-repellent panels to shield you from the elements.</t>
        </is>
      </c>
      <c r="N1431" s="7" t="inlineStr">
        <is>
          <t>Cold-Weather-HR-Running-Tight-28</t>
        </is>
      </c>
      <c r="O1431" s="7" t="inlineStr">
        <is>
          <t>Athletic Pants</t>
        </is>
      </c>
    </row>
    <row r="1432" ht="80" customHeight="1">
      <c r="A1432" s="4">
        <f>IMAGE("https://images.lululemon.com/is/image/lululemon/LW5FLJS_0001_1?wid=320&amp;op_usm=0.8",1)</f>
        <v/>
      </c>
      <c r="B1432" s="4" t="inlineStr">
        <is>
          <t>Cold Weather High-Rise Running Tight 28"</t>
        </is>
      </c>
      <c r="C1432" s="4" t="inlineStr">
        <is>
          <t>158095736</t>
        </is>
      </c>
      <c r="D1432" s="4" t="inlineStr">
        <is>
          <t>158095736-indochineblue</t>
        </is>
      </c>
      <c r="E1432" s="4" t="inlineStr">
        <is>
          <t>Cold Weather HR Running Tight 28" BLK 2</t>
        </is>
      </c>
      <c r="F1432" s="4" t="inlineStr">
        <is>
          <t>$198.00</t>
        </is>
      </c>
      <c r="G1432" s="4" t="inlineStr">
        <is>
          <t>$99.00</t>
        </is>
      </c>
      <c r="H1432" s="4" t="inlineStr">
        <is>
          <t>Indochine Blue</t>
        </is>
      </c>
      <c r="I1432" s="4">
        <f>IMAGE("https://images.lululemon.com/is/image/lululemon/28022",1)</f>
        <v/>
      </c>
      <c r="J1432" s="4" t="inlineStr">
        <is>
          <t>2</t>
        </is>
      </c>
      <c r="K1432" s="4" t="inlineStr">
        <is>
          <t>28/636</t>
        </is>
      </c>
      <c r="L1432" s="4" t="inlineStr">
        <is>
          <t>Yes</t>
        </is>
      </c>
      <c r="M1432" s="4" t="inlineStr">
        <is>
          <t>Bring the warmth to cold-weather runs. These tights are made from warm technical fleece and have weather-repellent panels to shield you from the elements.</t>
        </is>
      </c>
      <c r="N1432" s="4" t="inlineStr">
        <is>
          <t>Cold-Weather-HR-Running-Tight-28</t>
        </is>
      </c>
      <c r="O1432" s="4" t="inlineStr">
        <is>
          <t>Athletic Pants</t>
        </is>
      </c>
    </row>
    <row r="1433" ht="80" customHeight="1">
      <c r="A1433" s="7">
        <f>IMAGE("https://images.lululemon.com/is/image/lululemon/LW5FLJS_0001_1?wid=320&amp;op_usm=0.8",1)</f>
        <v/>
      </c>
      <c r="B1433" s="7" t="inlineStr">
        <is>
          <t>Cold Weather High-Rise Running Tight 28"</t>
        </is>
      </c>
      <c r="C1433" s="7" t="inlineStr">
        <is>
          <t>158095742</t>
        </is>
      </c>
      <c r="D1433" s="7" t="inlineStr">
        <is>
          <t>158095742-indochineblue</t>
        </is>
      </c>
      <c r="E1433" s="7" t="inlineStr">
        <is>
          <t>Cold Weather HR Running Tight 28" BLK 2</t>
        </is>
      </c>
      <c r="F1433" s="7" t="inlineStr">
        <is>
          <t>$198.00</t>
        </is>
      </c>
      <c r="G1433" s="7" t="inlineStr">
        <is>
          <t>$99.00</t>
        </is>
      </c>
      <c r="H1433" s="7" t="inlineStr">
        <is>
          <t>Indochine Blue</t>
        </is>
      </c>
      <c r="I1433" s="7">
        <f>IMAGE("https://images.lululemon.com/is/image/lululemon/28022",1)</f>
        <v/>
      </c>
      <c r="J1433" s="7" t="inlineStr">
        <is>
          <t>4</t>
        </is>
      </c>
      <c r="K1433" s="7" t="inlineStr">
        <is>
          <t>65/636</t>
        </is>
      </c>
      <c r="L1433" s="7" t="inlineStr">
        <is>
          <t>Yes</t>
        </is>
      </c>
      <c r="M1433" s="7" t="inlineStr">
        <is>
          <t>Bring the warmth to cold-weather runs. These tights are made from warm technical fleece and have weather-repellent panels to shield you from the elements.</t>
        </is>
      </c>
      <c r="N1433" s="7" t="inlineStr">
        <is>
          <t>Cold-Weather-HR-Running-Tight-28</t>
        </is>
      </c>
      <c r="O1433" s="7" t="inlineStr">
        <is>
          <t>Athletic Pants</t>
        </is>
      </c>
    </row>
    <row r="1434" ht="80" customHeight="1">
      <c r="A1434" s="4">
        <f>IMAGE("https://images.lululemon.com/is/image/lululemon/LW5FLJS_0001_1?wid=320&amp;op_usm=0.8",1)</f>
        <v/>
      </c>
      <c r="B1434" s="4" t="inlineStr">
        <is>
          <t>Cold Weather High-Rise Running Tight 28"</t>
        </is>
      </c>
      <c r="C1434" s="4" t="inlineStr">
        <is>
          <t>158095748</t>
        </is>
      </c>
      <c r="D1434" s="4" t="inlineStr">
        <is>
          <t>158095748-indochineblue</t>
        </is>
      </c>
      <c r="E1434" s="4" t="inlineStr">
        <is>
          <t>Cold Weather HR Running Tight 28" BLK 2</t>
        </is>
      </c>
      <c r="F1434" s="4" t="inlineStr">
        <is>
          <t>$198.00</t>
        </is>
      </c>
      <c r="G1434" s="4" t="inlineStr">
        <is>
          <t>$99.00</t>
        </is>
      </c>
      <c r="H1434" s="4" t="inlineStr">
        <is>
          <t>Indochine Blue</t>
        </is>
      </c>
      <c r="I1434" s="4">
        <f>IMAGE("https://images.lululemon.com/is/image/lululemon/28022",1)</f>
        <v/>
      </c>
      <c r="J1434" s="4" t="inlineStr">
        <is>
          <t>6</t>
        </is>
      </c>
      <c r="K1434" s="4" t="inlineStr">
        <is>
          <t>75/636</t>
        </is>
      </c>
      <c r="L1434" s="4" t="inlineStr">
        <is>
          <t>Yes</t>
        </is>
      </c>
      <c r="M1434" s="4" t="inlineStr">
        <is>
          <t>Bring the warmth to cold-weather runs. These tights are made from warm technical fleece and have weather-repellent panels to shield you from the elements.</t>
        </is>
      </c>
      <c r="N1434" s="4" t="inlineStr">
        <is>
          <t>Cold-Weather-HR-Running-Tight-28</t>
        </is>
      </c>
      <c r="O1434" s="4" t="inlineStr">
        <is>
          <t>Athletic Pants</t>
        </is>
      </c>
    </row>
    <row r="1435" ht="80" customHeight="1">
      <c r="A1435" s="7">
        <f>IMAGE("https://images.lululemon.com/is/image/lululemon/LW5FLJS_0001_1?wid=320&amp;op_usm=0.8",1)</f>
        <v/>
      </c>
      <c r="B1435" s="7" t="inlineStr">
        <is>
          <t>Cold Weather High-Rise Running Tight 28"</t>
        </is>
      </c>
      <c r="C1435" s="7" t="inlineStr">
        <is>
          <t>158095756</t>
        </is>
      </c>
      <c r="D1435" s="7" t="inlineStr">
        <is>
          <t>158095756-indochineblue</t>
        </is>
      </c>
      <c r="E1435" s="7" t="inlineStr">
        <is>
          <t>Cold Weather HR Running Tight 28" BLK 2</t>
        </is>
      </c>
      <c r="F1435" s="7" t="inlineStr">
        <is>
          <t>$198.00</t>
        </is>
      </c>
      <c r="G1435" s="7" t="inlineStr">
        <is>
          <t>$99.00</t>
        </is>
      </c>
      <c r="H1435" s="7" t="inlineStr">
        <is>
          <t>Indochine Blue</t>
        </is>
      </c>
      <c r="I1435" s="7">
        <f>IMAGE("https://images.lululemon.com/is/image/lululemon/28022",1)</f>
        <v/>
      </c>
      <c r="J1435" s="7" t="inlineStr">
        <is>
          <t>8</t>
        </is>
      </c>
      <c r="K1435" s="7" t="inlineStr">
        <is>
          <t>59/636</t>
        </is>
      </c>
      <c r="L1435" s="7" t="inlineStr">
        <is>
          <t>Yes</t>
        </is>
      </c>
      <c r="M1435" s="7" t="inlineStr">
        <is>
          <t>Bring the warmth to cold-weather runs. These tights are made from warm technical fleece and have weather-repellent panels to shield you from the elements.</t>
        </is>
      </c>
      <c r="N1435" s="7" t="inlineStr">
        <is>
          <t>Cold-Weather-HR-Running-Tight-28</t>
        </is>
      </c>
      <c r="O1435" s="7" t="inlineStr">
        <is>
          <t>Athletic Pants</t>
        </is>
      </c>
    </row>
    <row r="1436" ht="80" customHeight="1">
      <c r="A1436" s="4">
        <f>IMAGE("https://images.lululemon.com/is/image/lululemon/LW5FLJS_0001_1?wid=320&amp;op_usm=0.8",1)</f>
        <v/>
      </c>
      <c r="B1436" s="4" t="inlineStr">
        <is>
          <t>Cold Weather High-Rise Running Tight 28"</t>
        </is>
      </c>
      <c r="C1436" s="4" t="inlineStr">
        <is>
          <t>158095716</t>
        </is>
      </c>
      <c r="D1436" s="4" t="inlineStr">
        <is>
          <t>158095716-indochineblue</t>
        </is>
      </c>
      <c r="E1436" s="4" t="inlineStr">
        <is>
          <t>Cold Weather HR Running Tight 28" BLK 2</t>
        </is>
      </c>
      <c r="F1436" s="4" t="inlineStr">
        <is>
          <t>$198.00</t>
        </is>
      </c>
      <c r="G1436" s="4" t="inlineStr">
        <is>
          <t>$99.00</t>
        </is>
      </c>
      <c r="H1436" s="4" t="inlineStr">
        <is>
          <t>Indochine Blue</t>
        </is>
      </c>
      <c r="I1436" s="4">
        <f>IMAGE("https://images.lululemon.com/is/image/lululemon/28022",1)</f>
        <v/>
      </c>
      <c r="J1436" s="4" t="inlineStr">
        <is>
          <t>10</t>
        </is>
      </c>
      <c r="K1436" s="4" t="inlineStr">
        <is>
          <t>34/636</t>
        </is>
      </c>
      <c r="L1436" s="4" t="inlineStr">
        <is>
          <t>Yes</t>
        </is>
      </c>
      <c r="M1436" s="4" t="inlineStr">
        <is>
          <t>Bring the warmth to cold-weather runs. These tights are made from warm technical fleece and have weather-repellent panels to shield you from the elements.</t>
        </is>
      </c>
      <c r="N1436" s="4" t="inlineStr">
        <is>
          <t>Cold-Weather-HR-Running-Tight-28</t>
        </is>
      </c>
      <c r="O1436" s="4" t="inlineStr">
        <is>
          <t>Athletic Pants</t>
        </is>
      </c>
    </row>
    <row r="1437" ht="80" customHeight="1">
      <c r="A1437" s="5">
        <f>IMAGE("https://images.lululemon.com/is/image/lululemon/LW5FLJS_0001_1?wid=320&amp;op_usm=0.8",1)</f>
        <v/>
      </c>
      <c r="B1437" s="5" t="inlineStr">
        <is>
          <t>Cold Weather High-Rise Running Tight 28"</t>
        </is>
      </c>
      <c r="C1437" s="5" t="inlineStr">
        <is>
          <t>158095722</t>
        </is>
      </c>
      <c r="D1437" s="5" t="inlineStr">
        <is>
          <t>158095722-indochineblue</t>
        </is>
      </c>
      <c r="E1437" s="5" t="inlineStr">
        <is>
          <t>Cold Weather HR Running Tight 28" BLK 2</t>
        </is>
      </c>
      <c r="F1437" s="5" t="inlineStr">
        <is>
          <t>$198.00</t>
        </is>
      </c>
      <c r="G1437" s="5" t="inlineStr">
        <is>
          <t>$99.00</t>
        </is>
      </c>
      <c r="H1437" s="5" t="inlineStr">
        <is>
          <t>Indochine Blue</t>
        </is>
      </c>
      <c r="I1437" s="5">
        <f>IMAGE("https://images.lululemon.com/is/image/lululemon/28022",1)</f>
        <v/>
      </c>
      <c r="J1437" s="5" t="inlineStr">
        <is>
          <t>12</t>
        </is>
      </c>
      <c r="K1437" s="5" t="inlineStr">
        <is>
          <t>14/636</t>
        </is>
      </c>
      <c r="L1437" s="5" t="inlineStr">
        <is>
          <t>Yes</t>
        </is>
      </c>
      <c r="M1437" s="5" t="inlineStr">
        <is>
          <t>Bring the warmth to cold-weather runs. These tights are made from warm technical fleece and have weather-repellent panels to shield you from the elements.</t>
        </is>
      </c>
      <c r="N1437" s="5" t="inlineStr">
        <is>
          <t>Cold-Weather-HR-Running-Tight-28</t>
        </is>
      </c>
      <c r="O1437" s="5" t="inlineStr">
        <is>
          <t>Athletic Pants</t>
        </is>
      </c>
    </row>
    <row r="1438" ht="80" customHeight="1">
      <c r="A1438" s="4">
        <f>IMAGE("https://images.lululemon.com/is/image/lululemon/LU9BOTS_0023_1?wid=320&amp;op_usm=0.8",1)</f>
        <v/>
      </c>
      <c r="B1438" s="4" t="inlineStr">
        <is>
          <t>Classic Ball Cap *Wordmark</t>
        </is>
      </c>
      <c r="C1438" s="4" t="inlineStr">
        <is>
          <t>155801250</t>
        </is>
      </c>
      <c r="D1438" s="4" t="inlineStr">
        <is>
          <t>155801250-mintbreeze</t>
        </is>
      </c>
      <c r="E1438" s="4" t="inlineStr">
        <is>
          <t>Unisex Classic Ball Cap MIBR S/M</t>
        </is>
      </c>
      <c r="F1438" s="4" t="inlineStr">
        <is>
          <t>$38.00</t>
        </is>
      </c>
      <c r="G1438" s="4" t="inlineStr">
        <is>
          <t>$19.00</t>
        </is>
      </c>
      <c r="H1438" s="4" t="inlineStr">
        <is>
          <t>Mint Breeze</t>
        </is>
      </c>
      <c r="I1438" s="4">
        <f>IMAGE("https://images.lululemon.com/is/image/lululemon/69040",1)</f>
        <v/>
      </c>
      <c r="J1438" s="4" t="inlineStr">
        <is>
          <t>S/M</t>
        </is>
      </c>
      <c r="K1438" s="4" t="inlineStr">
        <is>
          <t>52/413</t>
        </is>
      </c>
      <c r="L1438" s="4" t="inlineStr">
        <is>
          <t>Yes</t>
        </is>
      </c>
      <c r="M1438" s="4" t="inlineStr">
        <is>
          <t>Anywhere, anytime. This soft, lightweight cap is a year-round favourite for days on the go.</t>
        </is>
      </c>
      <c r="N1438" s="4" t="inlineStr">
        <is>
          <t>Ball-Cap-Wordmark</t>
        </is>
      </c>
      <c r="O1438" s="4" t="inlineStr">
        <is>
          <t>Caps</t>
        </is>
      </c>
    </row>
    <row r="1439" ht="80" customHeight="1">
      <c r="A1439" s="7">
        <f>IMAGE("https://images.lululemon.com/is/image/lululemon/LU9BOTS_0023_1?wid=320&amp;op_usm=0.8",1)</f>
        <v/>
      </c>
      <c r="B1439" s="7" t="inlineStr">
        <is>
          <t>Classic Ball Cap *Wordmark</t>
        </is>
      </c>
      <c r="C1439" s="7" t="inlineStr">
        <is>
          <t>155801245</t>
        </is>
      </c>
      <c r="D1439" s="7" t="inlineStr">
        <is>
          <t>155801245-mintbreeze</t>
        </is>
      </c>
      <c r="E1439" s="7" t="inlineStr">
        <is>
          <t>Unisex Classic Ball Cap MIBR S/M</t>
        </is>
      </c>
      <c r="F1439" s="7" t="inlineStr">
        <is>
          <t>$38.00</t>
        </is>
      </c>
      <c r="G1439" s="7" t="inlineStr">
        <is>
          <t>$19.00</t>
        </is>
      </c>
      <c r="H1439" s="7" t="inlineStr">
        <is>
          <t>Mint Breeze</t>
        </is>
      </c>
      <c r="I1439" s="7">
        <f>IMAGE("https://images.lululemon.com/is/image/lululemon/69040",1)</f>
        <v/>
      </c>
      <c r="J1439" s="7" t="inlineStr">
        <is>
          <t>L/XL</t>
        </is>
      </c>
      <c r="K1439" s="7" t="inlineStr">
        <is>
          <t>74/413</t>
        </is>
      </c>
      <c r="L1439" s="7" t="inlineStr">
        <is>
          <t>Yes</t>
        </is>
      </c>
      <c r="M1439" s="7" t="inlineStr">
        <is>
          <t>Anywhere, anytime. This soft, lightweight cap is a year-round favourite for days on the go.</t>
        </is>
      </c>
      <c r="N1439" s="7" t="inlineStr">
        <is>
          <t>Ball-Cap-Wordmark</t>
        </is>
      </c>
      <c r="O1439" s="7" t="inlineStr">
        <is>
          <t>Caps</t>
        </is>
      </c>
    </row>
    <row r="1440" ht="80" customHeight="1">
      <c r="A1440" s="4">
        <f>IMAGE("https://images.lululemon.com/is/image/lululemon/LU9BOTS_0023_1?wid=320&amp;op_usm=0.8",1)</f>
        <v/>
      </c>
      <c r="B1440" s="4" t="inlineStr">
        <is>
          <t>Classic Ball Cap *Wordmark</t>
        </is>
      </c>
      <c r="C1440" s="4" t="inlineStr">
        <is>
          <t>150050253</t>
        </is>
      </c>
      <c r="D1440" s="4" t="inlineStr">
        <is>
          <t>150050253-black/white</t>
        </is>
      </c>
      <c r="E1440" s="4" t="inlineStr">
        <is>
          <t>Unisex Classic Ball Cap MIBR S/M</t>
        </is>
      </c>
      <c r="F1440" s="4" t="inlineStr">
        <is>
          <t>$38.00</t>
        </is>
      </c>
      <c r="G1440" s="4" t="inlineStr">
        <is>
          <t>$19.00</t>
        </is>
      </c>
      <c r="H1440" s="4" t="inlineStr">
        <is>
          <t>Black/White</t>
        </is>
      </c>
      <c r="I1440" s="4">
        <f>IMAGE("https://images.lululemon.com/is/image/lululemon/0023",1)</f>
        <v/>
      </c>
      <c r="J1440" s="4" t="inlineStr">
        <is>
          <t>S/M</t>
        </is>
      </c>
      <c r="K1440" s="4" t="inlineStr">
        <is>
          <t>59/413</t>
        </is>
      </c>
      <c r="L1440" s="4" t="inlineStr">
        <is>
          <t>Yes</t>
        </is>
      </c>
      <c r="M1440" s="4" t="inlineStr">
        <is>
          <t>Anywhere, anytime. This soft, lightweight cap is a year-round favourite for days on the go.</t>
        </is>
      </c>
      <c r="N1440" s="4" t="inlineStr">
        <is>
          <t>Ball-Cap-Wordmark</t>
        </is>
      </c>
      <c r="O1440" s="4" t="inlineStr">
        <is>
          <t>Caps</t>
        </is>
      </c>
    </row>
    <row r="1441" ht="80" customHeight="1">
      <c r="A1441" s="7">
        <f>IMAGE("https://images.lululemon.com/is/image/lululemon/LU9BOTS_0023_1?wid=320&amp;op_usm=0.8",1)</f>
        <v/>
      </c>
      <c r="B1441" s="7" t="inlineStr">
        <is>
          <t>Classic Ball Cap *Wordmark</t>
        </is>
      </c>
      <c r="C1441" s="7" t="inlineStr">
        <is>
          <t>150050250</t>
        </is>
      </c>
      <c r="D1441" s="7" t="inlineStr">
        <is>
          <t>150050250-black/white</t>
        </is>
      </c>
      <c r="E1441" s="7" t="inlineStr">
        <is>
          <t>Unisex Classic Ball Cap MIBR S/M</t>
        </is>
      </c>
      <c r="F1441" s="7" t="inlineStr">
        <is>
          <t>$38.00</t>
        </is>
      </c>
      <c r="G1441" s="7" t="inlineStr">
        <is>
          <t>$19.00</t>
        </is>
      </c>
      <c r="H1441" s="7" t="inlineStr">
        <is>
          <t>Black/White</t>
        </is>
      </c>
      <c r="I1441" s="7">
        <f>IMAGE("https://images.lululemon.com/is/image/lululemon/0023",1)</f>
        <v/>
      </c>
      <c r="J1441" s="7" t="inlineStr">
        <is>
          <t>L/XL</t>
        </is>
      </c>
      <c r="K1441" s="7" t="inlineStr">
        <is>
          <t>200/413</t>
        </is>
      </c>
      <c r="L1441" s="7" t="inlineStr">
        <is>
          <t>Yes</t>
        </is>
      </c>
      <c r="M1441" s="7" t="inlineStr">
        <is>
          <t>Anywhere, anytime. This soft, lightweight cap is a year-round favourite for days on the go.</t>
        </is>
      </c>
      <c r="N1441" s="7" t="inlineStr">
        <is>
          <t>Ball-Cap-Wordmark</t>
        </is>
      </c>
      <c r="O1441" s="7" t="inlineStr">
        <is>
          <t>Caps</t>
        </is>
      </c>
    </row>
    <row r="1442" ht="80" customHeight="1">
      <c r="A1442" s="6">
        <f>IMAGE("https://images.lululemon.com/is/image/lululemon/LU9BOTS_0023_1?wid=320&amp;op_usm=0.8",1)</f>
        <v/>
      </c>
      <c r="B1442" s="6" t="inlineStr">
        <is>
          <t>Classic Ball Cap *Wordmark</t>
        </is>
      </c>
      <c r="C1442" s="6" t="inlineStr">
        <is>
          <t>153156574</t>
        </is>
      </c>
      <c r="D1442" s="6" t="inlineStr">
        <is>
          <t>153156574-white/black</t>
        </is>
      </c>
      <c r="E1442" s="6" t="inlineStr">
        <is>
          <t>Unisex Classic Ball Cap MIBR S/M</t>
        </is>
      </c>
      <c r="F1442" s="6" t="inlineStr">
        <is>
          <t>$38.00</t>
        </is>
      </c>
      <c r="G1442" s="6" t="inlineStr">
        <is>
          <t>$19.00</t>
        </is>
      </c>
      <c r="H1442" s="6" t="inlineStr">
        <is>
          <t>White/Black</t>
        </is>
      </c>
      <c r="I1442" s="6">
        <f>IMAGE("https://images.lululemon.com/is/image/lululemon/0024",1)</f>
        <v/>
      </c>
      <c r="J1442" s="6" t="inlineStr">
        <is>
          <t>L/XL</t>
        </is>
      </c>
      <c r="K1442" s="6" t="inlineStr">
        <is>
          <t>28/413</t>
        </is>
      </c>
      <c r="L1442" s="6" t="inlineStr">
        <is>
          <t>Yes</t>
        </is>
      </c>
      <c r="M1442" s="6" t="inlineStr">
        <is>
          <t>Anywhere, anytime. This soft, lightweight cap is a year-round favourite for days on the go.</t>
        </is>
      </c>
      <c r="N1442" s="6" t="inlineStr">
        <is>
          <t>Ball-Cap-Wordmark</t>
        </is>
      </c>
      <c r="O1442" s="6" t="inlineStr">
        <is>
          <t>Caps</t>
        </is>
      </c>
    </row>
    <row r="1443" ht="80" customHeight="1">
      <c r="A1443" s="7">
        <f>IMAGE("https://images.lululemon.com/is/image/lululemon/LW7DSDS_072615_1?wid=320&amp;op_usm=0.8",1)</f>
        <v/>
      </c>
      <c r="B1443" s="7" t="inlineStr">
        <is>
          <t>lululemon Align™ High-Rise Short 6" *Flocked</t>
        </is>
      </c>
      <c r="C1443" s="7" t="inlineStr">
        <is>
          <t>158026432</t>
        </is>
      </c>
      <c r="D1443" s="7" t="inlineStr">
        <is>
          <t>158026432-polkaflockblack</t>
        </is>
      </c>
      <c r="E1443" s="7" t="inlineStr">
        <is>
          <t>lululemon Align™ HR Short 6" *Flock POFB 10</t>
        </is>
      </c>
      <c r="F1443" s="7" t="inlineStr">
        <is>
          <t>$64.00</t>
        </is>
      </c>
      <c r="G1443" s="7" t="inlineStr">
        <is>
          <t>$32.00</t>
        </is>
      </c>
      <c r="H1443" s="7" t="inlineStr">
        <is>
          <t>Polka Flock Black</t>
        </is>
      </c>
      <c r="I1443" s="7">
        <f>IMAGE("https://images.lululemon.com/is/image/lululemon/72615",1)</f>
        <v/>
      </c>
      <c r="J1443" s="7" t="inlineStr">
        <is>
          <t>10</t>
        </is>
      </c>
      <c r="K1443" s="7" t="inlineStr">
        <is>
          <t>4/5</t>
        </is>
      </c>
      <c r="L1443" s="7" t="inlineStr">
        <is>
          <t>Yes</t>
        </is>
      </c>
      <c r="M1443" s="7" t="inlineStr">
        <is>
          <t>When feeling nothing is everything. The lululemon Align™ collection is so weightless and buttery soft, all you feel is your practice. This version features velvety flocked details.</t>
        </is>
      </c>
      <c r="N1443" s="7" t="inlineStr">
        <is>
          <t>lululemon-Align-High-Rise-Short-6-Flocked</t>
        </is>
      </c>
      <c r="O1443" s="7" t="inlineStr"/>
    </row>
    <row r="1444" ht="80" customHeight="1">
      <c r="A1444" s="6">
        <f>IMAGE("https://images.lululemon.com/is/image/lululemon/LW7DSDS_072615_1?wid=320&amp;op_usm=0.8",1)</f>
        <v/>
      </c>
      <c r="B1444" s="6" t="inlineStr">
        <is>
          <t>lululemon Align™ High-Rise Short 6" *Flocked</t>
        </is>
      </c>
      <c r="C1444" s="6" t="inlineStr">
        <is>
          <t>158026442</t>
        </is>
      </c>
      <c r="D1444" s="6" t="inlineStr">
        <is>
          <t>158026442-polkaflockblack</t>
        </is>
      </c>
      <c r="E1444" s="6" t="inlineStr">
        <is>
          <t>lululemon Align™ HR Short 6" *Flock POFB 10</t>
        </is>
      </c>
      <c r="F1444" s="6" t="inlineStr">
        <is>
          <t>$64.00</t>
        </is>
      </c>
      <c r="G1444" s="6" t="inlineStr">
        <is>
          <t>$32.00</t>
        </is>
      </c>
      <c r="H1444" s="6" t="inlineStr">
        <is>
          <t>Polka Flock Black</t>
        </is>
      </c>
      <c r="I1444" s="6">
        <f>IMAGE("https://images.lululemon.com/is/image/lululemon/72615",1)</f>
        <v/>
      </c>
      <c r="J1444" s="6" t="inlineStr">
        <is>
          <t>12</t>
        </is>
      </c>
      <c r="K1444" s="6" t="inlineStr">
        <is>
          <t>1/5</t>
        </is>
      </c>
      <c r="L1444" s="6" t="inlineStr">
        <is>
          <t>Yes</t>
        </is>
      </c>
      <c r="M1444" s="6" t="inlineStr">
        <is>
          <t>When feeling nothing is everything. The lululemon Align™ collection is so weightless and buttery soft, all you feel is your practice. This version features velvety flocked details.</t>
        </is>
      </c>
      <c r="N1444" s="6" t="inlineStr">
        <is>
          <t>lululemon-Align-High-Rise-Short-6-Flocked</t>
        </is>
      </c>
      <c r="O1444" s="6" t="inlineStr"/>
    </row>
    <row r="1445" ht="80" customHeight="1">
      <c r="A1445" s="7">
        <f>IMAGE("https://images.lululemon.com/is/image/lululemon/LW8AQNT_0002_1?wid=320&amp;op_usm=0.8",1)</f>
        <v/>
      </c>
      <c r="B1445" s="7" t="inlineStr">
        <is>
          <t>High-Rise Pleated Tennis Skirt *Long</t>
        </is>
      </c>
      <c r="C1445" s="7" t="inlineStr">
        <is>
          <t>157678412</t>
        </is>
      </c>
      <c r="D1445" s="7" t="inlineStr">
        <is>
          <t>157678412-white</t>
        </is>
      </c>
      <c r="E1445" s="7" t="inlineStr">
        <is>
          <t>High-Rise Pleated Tennis Skirt *Long WHT 0</t>
        </is>
      </c>
      <c r="F1445" s="7" t="inlineStr">
        <is>
          <t>$88.00</t>
        </is>
      </c>
      <c r="G1445" s="7" t="inlineStr">
        <is>
          <t>$44.00</t>
        </is>
      </c>
      <c r="H1445" s="7" t="inlineStr">
        <is>
          <t>White</t>
        </is>
      </c>
      <c r="I1445" s="7">
        <f>IMAGE("https://images.lululemon.com/is/image/lululemon/0002",1)</f>
        <v/>
      </c>
      <c r="J1445" s="7" t="inlineStr">
        <is>
          <t>0</t>
        </is>
      </c>
      <c r="K1445" s="7" t="inlineStr">
        <is>
          <t>8/2580</t>
        </is>
      </c>
      <c r="L1445" s="7" t="inlineStr">
        <is>
          <t>Yes</t>
        </is>
      </c>
      <c r="M1445" s="7" t="inlineStr">
        <is>
          <t>Game on. The lightweight, quick-drying fabric on this pleated tennis skirt will keep you cool and comfortable from first serve to match point.</t>
        </is>
      </c>
      <c r="N1445" s="7" t="inlineStr">
        <is>
          <t>High-Rise-Pleated-Tennis-Skirt-Long</t>
        </is>
      </c>
      <c r="O1445" s="7" t="inlineStr">
        <is>
          <t>Skorts, Athletic Skirts</t>
        </is>
      </c>
    </row>
    <row r="1446" ht="80" customHeight="1">
      <c r="A1446" s="4">
        <f>IMAGE("https://images.lululemon.com/is/image/lululemon/LW8AQNT_0002_1?wid=320&amp;op_usm=0.8",1)</f>
        <v/>
      </c>
      <c r="B1446" s="4" t="inlineStr">
        <is>
          <t>High-Rise Pleated Tennis Skirt *Long</t>
        </is>
      </c>
      <c r="C1446" s="4" t="inlineStr">
        <is>
          <t>156551192</t>
        </is>
      </c>
      <c r="D1446" s="4" t="inlineStr">
        <is>
          <t>156551192-white</t>
        </is>
      </c>
      <c r="E1446" s="4" t="inlineStr">
        <is>
          <t>High-Rise Pleated Tennis Skirt *Long WHT 0</t>
        </is>
      </c>
      <c r="F1446" s="4" t="inlineStr">
        <is>
          <t>$88.00</t>
        </is>
      </c>
      <c r="G1446" s="4" t="inlineStr">
        <is>
          <t>$44.00</t>
        </is>
      </c>
      <c r="H1446" s="4" t="inlineStr">
        <is>
          <t>White</t>
        </is>
      </c>
      <c r="I1446" s="4">
        <f>IMAGE("https://images.lululemon.com/is/image/lululemon/0002",1)</f>
        <v/>
      </c>
      <c r="J1446" s="4" t="inlineStr">
        <is>
          <t>2</t>
        </is>
      </c>
      <c r="K1446" s="4" t="inlineStr">
        <is>
          <t>260/2580</t>
        </is>
      </c>
      <c r="L1446" s="4" t="inlineStr">
        <is>
          <t>Yes</t>
        </is>
      </c>
      <c r="M1446" s="4" t="inlineStr">
        <is>
          <t>Game on. The lightweight, quick-drying fabric on this pleated tennis skirt will keep you cool and comfortable from first serve to match point.</t>
        </is>
      </c>
      <c r="N1446" s="4" t="inlineStr">
        <is>
          <t>High-Rise-Pleated-Tennis-Skirt-Long</t>
        </is>
      </c>
      <c r="O1446" s="4" t="inlineStr">
        <is>
          <t>Skorts, Athletic Skirts</t>
        </is>
      </c>
    </row>
    <row r="1447" ht="80" customHeight="1">
      <c r="A1447" s="7">
        <f>IMAGE("https://images.lululemon.com/is/image/lululemon/LW8AQNT_0002_1?wid=320&amp;op_usm=0.8",1)</f>
        <v/>
      </c>
      <c r="B1447" s="7" t="inlineStr">
        <is>
          <t>High-Rise Pleated Tennis Skirt *Long</t>
        </is>
      </c>
      <c r="C1447" s="7" t="inlineStr">
        <is>
          <t>156551200</t>
        </is>
      </c>
      <c r="D1447" s="7" t="inlineStr">
        <is>
          <t>156551200-white</t>
        </is>
      </c>
      <c r="E1447" s="7" t="inlineStr">
        <is>
          <t>High-Rise Pleated Tennis Skirt *Long WHT 0</t>
        </is>
      </c>
      <c r="F1447" s="7" t="inlineStr">
        <is>
          <t>$88.00</t>
        </is>
      </c>
      <c r="G1447" s="7" t="inlineStr">
        <is>
          <t>$44.00</t>
        </is>
      </c>
      <c r="H1447" s="7" t="inlineStr">
        <is>
          <t>White</t>
        </is>
      </c>
      <c r="I1447" s="7">
        <f>IMAGE("https://images.lululemon.com/is/image/lululemon/0002",1)</f>
        <v/>
      </c>
      <c r="J1447" s="7" t="inlineStr">
        <is>
          <t>4</t>
        </is>
      </c>
      <c r="K1447" s="7" t="inlineStr">
        <is>
          <t>303/2580</t>
        </is>
      </c>
      <c r="L1447" s="7" t="inlineStr">
        <is>
          <t>Yes</t>
        </is>
      </c>
      <c r="M1447" s="7" t="inlineStr">
        <is>
          <t>Game on. The lightweight, quick-drying fabric on this pleated tennis skirt will keep you cool and comfortable from first serve to match point.</t>
        </is>
      </c>
      <c r="N1447" s="7" t="inlineStr">
        <is>
          <t>High-Rise-Pleated-Tennis-Skirt-Long</t>
        </is>
      </c>
      <c r="O1447" s="7" t="inlineStr">
        <is>
          <t>Skorts, Athletic Skirts</t>
        </is>
      </c>
    </row>
    <row r="1448" ht="80" customHeight="1">
      <c r="A1448" s="4">
        <f>IMAGE("https://images.lululemon.com/is/image/lululemon/LW8AQNT_0002_1?wid=320&amp;op_usm=0.8",1)</f>
        <v/>
      </c>
      <c r="B1448" s="4" t="inlineStr">
        <is>
          <t>High-Rise Pleated Tennis Skirt *Long</t>
        </is>
      </c>
      <c r="C1448" s="4" t="inlineStr">
        <is>
          <t>156551201</t>
        </is>
      </c>
      <c r="D1448" s="4" t="inlineStr">
        <is>
          <t>156551201-white</t>
        </is>
      </c>
      <c r="E1448" s="4" t="inlineStr">
        <is>
          <t>High-Rise Pleated Tennis Skirt *Long WHT 0</t>
        </is>
      </c>
      <c r="F1448" s="4" t="inlineStr">
        <is>
          <t>$88.00</t>
        </is>
      </c>
      <c r="G1448" s="4" t="inlineStr">
        <is>
          <t>$44.00</t>
        </is>
      </c>
      <c r="H1448" s="4" t="inlineStr">
        <is>
          <t>White</t>
        </is>
      </c>
      <c r="I1448" s="4">
        <f>IMAGE("https://images.lululemon.com/is/image/lululemon/0002",1)</f>
        <v/>
      </c>
      <c r="J1448" s="4" t="inlineStr">
        <is>
          <t>6</t>
        </is>
      </c>
      <c r="K1448" s="4" t="inlineStr">
        <is>
          <t>380/2580</t>
        </is>
      </c>
      <c r="L1448" s="4" t="inlineStr">
        <is>
          <t>Yes</t>
        </is>
      </c>
      <c r="M1448" s="4" t="inlineStr">
        <is>
          <t>Game on. The lightweight, quick-drying fabric on this pleated tennis skirt will keep you cool and comfortable from first serve to match point.</t>
        </is>
      </c>
      <c r="N1448" s="4" t="inlineStr">
        <is>
          <t>High-Rise-Pleated-Tennis-Skirt-Long</t>
        </is>
      </c>
      <c r="O1448" s="4" t="inlineStr">
        <is>
          <t>Skorts, Athletic Skirts</t>
        </is>
      </c>
    </row>
    <row r="1449" ht="80" customHeight="1">
      <c r="A1449" s="7">
        <f>IMAGE("https://images.lululemon.com/is/image/lululemon/LW8AQNT_0002_1?wid=320&amp;op_usm=0.8",1)</f>
        <v/>
      </c>
      <c r="B1449" s="7" t="inlineStr">
        <is>
          <t>High-Rise Pleated Tennis Skirt *Long</t>
        </is>
      </c>
      <c r="C1449" s="7" t="inlineStr">
        <is>
          <t>156551202</t>
        </is>
      </c>
      <c r="D1449" s="7" t="inlineStr">
        <is>
          <t>156551202-white</t>
        </is>
      </c>
      <c r="E1449" s="7" t="inlineStr">
        <is>
          <t>High-Rise Pleated Tennis Skirt *Long WHT 0</t>
        </is>
      </c>
      <c r="F1449" s="7" t="inlineStr">
        <is>
          <t>$88.00</t>
        </is>
      </c>
      <c r="G1449" s="7" t="inlineStr">
        <is>
          <t>$44.00</t>
        </is>
      </c>
      <c r="H1449" s="7" t="inlineStr">
        <is>
          <t>White</t>
        </is>
      </c>
      <c r="I1449" s="7">
        <f>IMAGE("https://images.lululemon.com/is/image/lululemon/0002",1)</f>
        <v/>
      </c>
      <c r="J1449" s="7" t="inlineStr">
        <is>
          <t>8</t>
        </is>
      </c>
      <c r="K1449" s="7" t="inlineStr">
        <is>
          <t>176/2580</t>
        </is>
      </c>
      <c r="L1449" s="7" t="inlineStr">
        <is>
          <t>Yes</t>
        </is>
      </c>
      <c r="M1449" s="7" t="inlineStr">
        <is>
          <t>Game on. The lightweight, quick-drying fabric on this pleated tennis skirt will keep you cool and comfortable from first serve to match point.</t>
        </is>
      </c>
      <c r="N1449" s="7" t="inlineStr">
        <is>
          <t>High-Rise-Pleated-Tennis-Skirt-Long</t>
        </is>
      </c>
      <c r="O1449" s="7" t="inlineStr">
        <is>
          <t>Skorts, Athletic Skirts</t>
        </is>
      </c>
    </row>
    <row r="1450" ht="80" customHeight="1">
      <c r="A1450" s="4">
        <f>IMAGE("https://images.lululemon.com/is/image/lululemon/LW8AQNT_0002_1?wid=320&amp;op_usm=0.8",1)</f>
        <v/>
      </c>
      <c r="B1450" s="4" t="inlineStr">
        <is>
          <t>High-Rise Pleated Tennis Skirt *Long</t>
        </is>
      </c>
      <c r="C1450" s="4" t="inlineStr">
        <is>
          <t>157678424</t>
        </is>
      </c>
      <c r="D1450" s="4" t="inlineStr">
        <is>
          <t>157678424-white</t>
        </is>
      </c>
      <c r="E1450" s="4" t="inlineStr">
        <is>
          <t>High-Rise Pleated Tennis Skirt *Long WHT 0</t>
        </is>
      </c>
      <c r="F1450" s="4" t="inlineStr">
        <is>
          <t>$88.00</t>
        </is>
      </c>
      <c r="G1450" s="4" t="inlineStr">
        <is>
          <t>$44.00</t>
        </is>
      </c>
      <c r="H1450" s="4" t="inlineStr">
        <is>
          <t>White</t>
        </is>
      </c>
      <c r="I1450" s="4">
        <f>IMAGE("https://images.lululemon.com/is/image/lululemon/0002",1)</f>
        <v/>
      </c>
      <c r="J1450" s="4" t="inlineStr">
        <is>
          <t>10</t>
        </is>
      </c>
      <c r="K1450" s="4" t="inlineStr">
        <is>
          <t>87/2580</t>
        </is>
      </c>
      <c r="L1450" s="4" t="inlineStr">
        <is>
          <t>Yes</t>
        </is>
      </c>
      <c r="M1450" s="4" t="inlineStr">
        <is>
          <t>Game on. The lightweight, quick-drying fabric on this pleated tennis skirt will keep you cool and comfortable from first serve to match point.</t>
        </is>
      </c>
      <c r="N1450" s="4" t="inlineStr">
        <is>
          <t>High-Rise-Pleated-Tennis-Skirt-Long</t>
        </is>
      </c>
      <c r="O1450" s="4" t="inlineStr">
        <is>
          <t>Skorts, Athletic Skirts</t>
        </is>
      </c>
    </row>
    <row r="1451" ht="80" customHeight="1">
      <c r="A1451" s="7">
        <f>IMAGE("https://images.lululemon.com/is/image/lululemon/LW8AQNT_0002_1?wid=320&amp;op_usm=0.8",1)</f>
        <v/>
      </c>
      <c r="B1451" s="7" t="inlineStr">
        <is>
          <t>High-Rise Pleated Tennis Skirt *Long</t>
        </is>
      </c>
      <c r="C1451" s="7" t="inlineStr">
        <is>
          <t>156551183</t>
        </is>
      </c>
      <c r="D1451" s="7" t="inlineStr">
        <is>
          <t>156551183-white</t>
        </is>
      </c>
      <c r="E1451" s="7" t="inlineStr">
        <is>
          <t>High-Rise Pleated Tennis Skirt *Long WHT 0</t>
        </is>
      </c>
      <c r="F1451" s="7" t="inlineStr">
        <is>
          <t>$88.00</t>
        </is>
      </c>
      <c r="G1451" s="7" t="inlineStr">
        <is>
          <t>$44.00</t>
        </is>
      </c>
      <c r="H1451" s="7" t="inlineStr">
        <is>
          <t>White</t>
        </is>
      </c>
      <c r="I1451" s="7">
        <f>IMAGE("https://images.lululemon.com/is/image/lululemon/0002",1)</f>
        <v/>
      </c>
      <c r="J1451" s="7" t="inlineStr">
        <is>
          <t>12</t>
        </is>
      </c>
      <c r="K1451" s="7" t="inlineStr">
        <is>
          <t>68/2580</t>
        </is>
      </c>
      <c r="L1451" s="7" t="inlineStr">
        <is>
          <t>Yes</t>
        </is>
      </c>
      <c r="M1451" s="7" t="inlineStr">
        <is>
          <t>Game on. The lightweight, quick-drying fabric on this pleated tennis skirt will keep you cool and comfortable from first serve to match point.</t>
        </is>
      </c>
      <c r="N1451" s="7" t="inlineStr">
        <is>
          <t>High-Rise-Pleated-Tennis-Skirt-Long</t>
        </is>
      </c>
      <c r="O1451" s="7" t="inlineStr">
        <is>
          <t>Skorts, Athletic Skirts</t>
        </is>
      </c>
    </row>
    <row r="1452" ht="80" customHeight="1">
      <c r="A1452" s="4">
        <f>IMAGE("https://images.lululemon.com/is/image/lululemon/LW8AQNT_0002_1?wid=320&amp;op_usm=0.8",1)</f>
        <v/>
      </c>
      <c r="B1452" s="4" t="inlineStr">
        <is>
          <t>High-Rise Pleated Tennis Skirt *Long</t>
        </is>
      </c>
      <c r="C1452" s="4" t="inlineStr">
        <is>
          <t>156576315</t>
        </is>
      </c>
      <c r="D1452" s="4" t="inlineStr">
        <is>
          <t>156576315-truenavy</t>
        </is>
      </c>
      <c r="E1452" s="4" t="inlineStr">
        <is>
          <t>High-Rise Pleated Tennis Skirt *Long WHT 0</t>
        </is>
      </c>
      <c r="F1452" s="4" t="inlineStr">
        <is>
          <t>$88.00</t>
        </is>
      </c>
      <c r="G1452" s="4" t="inlineStr">
        <is>
          <t>$44.00</t>
        </is>
      </c>
      <c r="H1452" s="4" t="inlineStr">
        <is>
          <t>True Navy</t>
        </is>
      </c>
      <c r="I1452" s="4">
        <f>IMAGE("https://images.lululemon.com/is/image/lululemon/31382",1)</f>
        <v/>
      </c>
      <c r="J1452" s="4" t="inlineStr">
        <is>
          <t>2</t>
        </is>
      </c>
      <c r="K1452" s="4" t="inlineStr">
        <is>
          <t>183/2580</t>
        </is>
      </c>
      <c r="L1452" s="4" t="inlineStr">
        <is>
          <t>Yes</t>
        </is>
      </c>
      <c r="M1452" s="4" t="inlineStr">
        <is>
          <t>Game on. The lightweight, quick-drying fabric on this pleated tennis skirt will keep you cool and comfortable from first serve to match point.</t>
        </is>
      </c>
      <c r="N1452" s="4" t="inlineStr">
        <is>
          <t>High-Rise-Pleated-Tennis-Skirt-Long</t>
        </is>
      </c>
      <c r="O1452" s="4" t="inlineStr">
        <is>
          <t>Skorts, Athletic Skirts</t>
        </is>
      </c>
    </row>
    <row r="1453" ht="80" customHeight="1">
      <c r="A1453" s="7">
        <f>IMAGE("https://images.lululemon.com/is/image/lululemon/LW8AQNT_0002_1?wid=320&amp;op_usm=0.8",1)</f>
        <v/>
      </c>
      <c r="B1453" s="7" t="inlineStr">
        <is>
          <t>High-Rise Pleated Tennis Skirt *Long</t>
        </is>
      </c>
      <c r="C1453" s="7" t="inlineStr">
        <is>
          <t>156576320</t>
        </is>
      </c>
      <c r="D1453" s="7" t="inlineStr">
        <is>
          <t>156576320-truenavy</t>
        </is>
      </c>
      <c r="E1453" s="7" t="inlineStr">
        <is>
          <t>High-Rise Pleated Tennis Skirt *Long WHT 0</t>
        </is>
      </c>
      <c r="F1453" s="7" t="inlineStr">
        <is>
          <t>$88.00</t>
        </is>
      </c>
      <c r="G1453" s="7" t="inlineStr">
        <is>
          <t>$44.00</t>
        </is>
      </c>
      <c r="H1453" s="7" t="inlineStr">
        <is>
          <t>True Navy</t>
        </is>
      </c>
      <c r="I1453" s="7">
        <f>IMAGE("https://images.lululemon.com/is/image/lululemon/31382",1)</f>
        <v/>
      </c>
      <c r="J1453" s="7" t="inlineStr">
        <is>
          <t>4</t>
        </is>
      </c>
      <c r="K1453" s="7" t="inlineStr">
        <is>
          <t>199/2580</t>
        </is>
      </c>
      <c r="L1453" s="7" t="inlineStr">
        <is>
          <t>Yes</t>
        </is>
      </c>
      <c r="M1453" s="7" t="inlineStr">
        <is>
          <t>Game on. The lightweight, quick-drying fabric on this pleated tennis skirt will keep you cool and comfortable from first serve to match point.</t>
        </is>
      </c>
      <c r="N1453" s="7" t="inlineStr">
        <is>
          <t>High-Rise-Pleated-Tennis-Skirt-Long</t>
        </is>
      </c>
      <c r="O1453" s="7" t="inlineStr">
        <is>
          <t>Skorts, Athletic Skirts</t>
        </is>
      </c>
    </row>
    <row r="1454" ht="80" customHeight="1">
      <c r="A1454" s="4">
        <f>IMAGE("https://images.lululemon.com/is/image/lululemon/LW8AQNT_0002_1?wid=320&amp;op_usm=0.8",1)</f>
        <v/>
      </c>
      <c r="B1454" s="4" t="inlineStr">
        <is>
          <t>High-Rise Pleated Tennis Skirt *Long</t>
        </is>
      </c>
      <c r="C1454" s="4" t="inlineStr">
        <is>
          <t>156576321</t>
        </is>
      </c>
      <c r="D1454" s="4" t="inlineStr">
        <is>
          <t>156576321-truenavy</t>
        </is>
      </c>
      <c r="E1454" s="4" t="inlineStr">
        <is>
          <t>High-Rise Pleated Tennis Skirt *Long WHT 0</t>
        </is>
      </c>
      <c r="F1454" s="4" t="inlineStr">
        <is>
          <t>$88.00</t>
        </is>
      </c>
      <c r="G1454" s="4" t="inlineStr">
        <is>
          <t>$44.00</t>
        </is>
      </c>
      <c r="H1454" s="4" t="inlineStr">
        <is>
          <t>True Navy</t>
        </is>
      </c>
      <c r="I1454" s="4">
        <f>IMAGE("https://images.lululemon.com/is/image/lululemon/31382",1)</f>
        <v/>
      </c>
      <c r="J1454" s="4" t="inlineStr">
        <is>
          <t>6</t>
        </is>
      </c>
      <c r="K1454" s="4" t="inlineStr">
        <is>
          <t>239/2580</t>
        </is>
      </c>
      <c r="L1454" s="4" t="inlineStr">
        <is>
          <t>Yes</t>
        </is>
      </c>
      <c r="M1454" s="4" t="inlineStr">
        <is>
          <t>Game on. The lightweight, quick-drying fabric on this pleated tennis skirt will keep you cool and comfortable from first serve to match point.</t>
        </is>
      </c>
      <c r="N1454" s="4" t="inlineStr">
        <is>
          <t>High-Rise-Pleated-Tennis-Skirt-Long</t>
        </is>
      </c>
      <c r="O1454" s="4" t="inlineStr">
        <is>
          <t>Skorts, Athletic Skirts</t>
        </is>
      </c>
    </row>
    <row r="1455" ht="80" customHeight="1">
      <c r="A1455" s="7">
        <f>IMAGE("https://images.lululemon.com/is/image/lululemon/LW8AQNT_0002_1?wid=320&amp;op_usm=0.8",1)</f>
        <v/>
      </c>
      <c r="B1455" s="7" t="inlineStr">
        <is>
          <t>High-Rise Pleated Tennis Skirt *Long</t>
        </is>
      </c>
      <c r="C1455" s="7" t="inlineStr">
        <is>
          <t>156576322</t>
        </is>
      </c>
      <c r="D1455" s="7" t="inlineStr">
        <is>
          <t>156576322-truenavy</t>
        </is>
      </c>
      <c r="E1455" s="7" t="inlineStr">
        <is>
          <t>High-Rise Pleated Tennis Skirt *Long WHT 0</t>
        </is>
      </c>
      <c r="F1455" s="7" t="inlineStr">
        <is>
          <t>$88.00</t>
        </is>
      </c>
      <c r="G1455" s="7" t="inlineStr">
        <is>
          <t>$44.00</t>
        </is>
      </c>
      <c r="H1455" s="7" t="inlineStr">
        <is>
          <t>True Navy</t>
        </is>
      </c>
      <c r="I1455" s="7">
        <f>IMAGE("https://images.lululemon.com/is/image/lululemon/31382",1)</f>
        <v/>
      </c>
      <c r="J1455" s="7" t="inlineStr">
        <is>
          <t>8</t>
        </is>
      </c>
      <c r="K1455" s="7" t="inlineStr">
        <is>
          <t>101/2580</t>
        </is>
      </c>
      <c r="L1455" s="7" t="inlineStr">
        <is>
          <t>Yes</t>
        </is>
      </c>
      <c r="M1455" s="7" t="inlineStr">
        <is>
          <t>Game on. The lightweight, quick-drying fabric on this pleated tennis skirt will keep you cool and comfortable from first serve to match point.</t>
        </is>
      </c>
      <c r="N1455" s="7" t="inlineStr">
        <is>
          <t>High-Rise-Pleated-Tennis-Skirt-Long</t>
        </is>
      </c>
      <c r="O1455" s="7" t="inlineStr">
        <is>
          <t>Skorts, Athletic Skirts</t>
        </is>
      </c>
    </row>
    <row r="1456" ht="80" customHeight="1">
      <c r="A1456" s="4">
        <f>IMAGE("https://images.lululemon.com/is/image/lululemon/LW8AQNT_0002_1?wid=320&amp;op_usm=0.8",1)</f>
        <v/>
      </c>
      <c r="B1456" s="4" t="inlineStr">
        <is>
          <t>High-Rise Pleated Tennis Skirt *Long</t>
        </is>
      </c>
      <c r="C1456" s="4" t="inlineStr">
        <is>
          <t>156576310</t>
        </is>
      </c>
      <c r="D1456" s="4" t="inlineStr">
        <is>
          <t>156576310-truenavy</t>
        </is>
      </c>
      <c r="E1456" s="4" t="inlineStr">
        <is>
          <t>High-Rise Pleated Tennis Skirt *Long WHT 0</t>
        </is>
      </c>
      <c r="F1456" s="4" t="inlineStr">
        <is>
          <t>$88.00</t>
        </is>
      </c>
      <c r="G1456" s="4" t="inlineStr">
        <is>
          <t>$44.00</t>
        </is>
      </c>
      <c r="H1456" s="4" t="inlineStr">
        <is>
          <t>True Navy</t>
        </is>
      </c>
      <c r="I1456" s="4">
        <f>IMAGE("https://images.lululemon.com/is/image/lululemon/31382",1)</f>
        <v/>
      </c>
      <c r="J1456" s="4" t="inlineStr">
        <is>
          <t>10</t>
        </is>
      </c>
      <c r="K1456" s="4" t="inlineStr">
        <is>
          <t>24/2580</t>
        </is>
      </c>
      <c r="L1456" s="4" t="inlineStr">
        <is>
          <t>Yes</t>
        </is>
      </c>
      <c r="M1456" s="4" t="inlineStr">
        <is>
          <t>Game on. The lightweight, quick-drying fabric on this pleated tennis skirt will keep you cool and comfortable from first serve to match point.</t>
        </is>
      </c>
      <c r="N1456" s="4" t="inlineStr">
        <is>
          <t>High-Rise-Pleated-Tennis-Skirt-Long</t>
        </is>
      </c>
      <c r="O1456" s="4" t="inlineStr">
        <is>
          <t>Skorts, Athletic Skirts</t>
        </is>
      </c>
    </row>
    <row r="1457" ht="80" customHeight="1">
      <c r="A1457" s="7">
        <f>IMAGE("https://images.lululemon.com/is/image/lululemon/LW8AQNT_0002_1?wid=320&amp;op_usm=0.8",1)</f>
        <v/>
      </c>
      <c r="B1457" s="7" t="inlineStr">
        <is>
          <t>High-Rise Pleated Tennis Skirt *Long</t>
        </is>
      </c>
      <c r="C1457" s="7" t="inlineStr">
        <is>
          <t>156576311</t>
        </is>
      </c>
      <c r="D1457" s="7" t="inlineStr">
        <is>
          <t>156576311-truenavy</t>
        </is>
      </c>
      <c r="E1457" s="7" t="inlineStr">
        <is>
          <t>High-Rise Pleated Tennis Skirt *Long WHT 0</t>
        </is>
      </c>
      <c r="F1457" s="7" t="inlineStr">
        <is>
          <t>$88.00</t>
        </is>
      </c>
      <c r="G1457" s="7" t="inlineStr">
        <is>
          <t>$44.00</t>
        </is>
      </c>
      <c r="H1457" s="7" t="inlineStr">
        <is>
          <t>True Navy</t>
        </is>
      </c>
      <c r="I1457" s="7">
        <f>IMAGE("https://images.lululemon.com/is/image/lululemon/31382",1)</f>
        <v/>
      </c>
      <c r="J1457" s="7" t="inlineStr">
        <is>
          <t>12</t>
        </is>
      </c>
      <c r="K1457" s="7" t="inlineStr">
        <is>
          <t>43/2580</t>
        </is>
      </c>
      <c r="L1457" s="7" t="inlineStr">
        <is>
          <t>Yes</t>
        </is>
      </c>
      <c r="M1457" s="7" t="inlineStr">
        <is>
          <t>Game on. The lightweight, quick-drying fabric on this pleated tennis skirt will keep you cool and comfortable from first serve to match point.</t>
        </is>
      </c>
      <c r="N1457" s="7" t="inlineStr">
        <is>
          <t>High-Rise-Pleated-Tennis-Skirt-Long</t>
        </is>
      </c>
      <c r="O1457" s="7" t="inlineStr">
        <is>
          <t>Skorts, Athletic Skirts</t>
        </is>
      </c>
    </row>
    <row r="1458" ht="80" customHeight="1">
      <c r="A1458" s="4">
        <f>IMAGE("https://images.lululemon.com/is/image/lululemon/LW8AQNT_0002_1?wid=320&amp;op_usm=0.8",1)</f>
        <v/>
      </c>
      <c r="B1458" s="4" t="inlineStr">
        <is>
          <t>High-Rise Pleated Tennis Skirt *Long</t>
        </is>
      </c>
      <c r="C1458" s="4" t="inlineStr">
        <is>
          <t>157678140</t>
        </is>
      </c>
      <c r="D1458" s="4" t="inlineStr">
        <is>
          <t>157678140-clubblue</t>
        </is>
      </c>
      <c r="E1458" s="4" t="inlineStr">
        <is>
          <t>High-Rise Pleated Tennis Skirt *Long WHT 0</t>
        </is>
      </c>
      <c r="F1458" s="4" t="inlineStr">
        <is>
          <t>$88.00</t>
        </is>
      </c>
      <c r="G1458" s="4" t="inlineStr">
        <is>
          <t>$44.00</t>
        </is>
      </c>
      <c r="H1458" s="4" t="inlineStr">
        <is>
          <t>Club Blue</t>
        </is>
      </c>
      <c r="I1458" s="4">
        <f>IMAGE("https://images.lululemon.com/is/image/lululemon/68578",1)</f>
        <v/>
      </c>
      <c r="J1458" s="4" t="inlineStr">
        <is>
          <t>2</t>
        </is>
      </c>
      <c r="K1458" s="4" t="inlineStr">
        <is>
          <t>83/2580</t>
        </is>
      </c>
      <c r="L1458" s="4" t="inlineStr">
        <is>
          <t>Yes</t>
        </is>
      </c>
      <c r="M1458" s="4" t="inlineStr">
        <is>
          <t>Game on. The lightweight, quick-drying fabric on this pleated tennis skirt will keep you cool and comfortable from first serve to match point.</t>
        </is>
      </c>
      <c r="N1458" s="4" t="inlineStr">
        <is>
          <t>High-Rise-Pleated-Tennis-Skirt-Long</t>
        </is>
      </c>
      <c r="O1458" s="4" t="inlineStr">
        <is>
          <t>Skorts, Athletic Skirts</t>
        </is>
      </c>
    </row>
    <row r="1459" ht="80" customHeight="1">
      <c r="A1459" s="7">
        <f>IMAGE("https://images.lululemon.com/is/image/lululemon/LW8AQNT_0002_1?wid=320&amp;op_usm=0.8",1)</f>
        <v/>
      </c>
      <c r="B1459" s="7" t="inlineStr">
        <is>
          <t>High-Rise Pleated Tennis Skirt *Long</t>
        </is>
      </c>
      <c r="C1459" s="7" t="inlineStr">
        <is>
          <t>157678149</t>
        </is>
      </c>
      <c r="D1459" s="7" t="inlineStr">
        <is>
          <t>157678149-clubblue</t>
        </is>
      </c>
      <c r="E1459" s="7" t="inlineStr">
        <is>
          <t>High-Rise Pleated Tennis Skirt *Long WHT 0</t>
        </is>
      </c>
      <c r="F1459" s="7" t="inlineStr">
        <is>
          <t>$88.00</t>
        </is>
      </c>
      <c r="G1459" s="7" t="inlineStr">
        <is>
          <t>$44.00</t>
        </is>
      </c>
      <c r="H1459" s="7" t="inlineStr">
        <is>
          <t>Club Blue</t>
        </is>
      </c>
      <c r="I1459" s="7">
        <f>IMAGE("https://images.lululemon.com/is/image/lululemon/68578",1)</f>
        <v/>
      </c>
      <c r="J1459" s="7" t="inlineStr">
        <is>
          <t>4</t>
        </is>
      </c>
      <c r="K1459" s="7" t="inlineStr">
        <is>
          <t>131/2580</t>
        </is>
      </c>
      <c r="L1459" s="7" t="inlineStr">
        <is>
          <t>Yes</t>
        </is>
      </c>
      <c r="M1459" s="7" t="inlineStr">
        <is>
          <t>Game on. The lightweight, quick-drying fabric on this pleated tennis skirt will keep you cool and comfortable from first serve to match point.</t>
        </is>
      </c>
      <c r="N1459" s="7" t="inlineStr">
        <is>
          <t>High-Rise-Pleated-Tennis-Skirt-Long</t>
        </is>
      </c>
      <c r="O1459" s="7" t="inlineStr">
        <is>
          <t>Skorts, Athletic Skirts</t>
        </is>
      </c>
    </row>
    <row r="1460" ht="80" customHeight="1">
      <c r="A1460" s="4">
        <f>IMAGE("https://images.lululemon.com/is/image/lululemon/LW8AQNT_0002_1?wid=320&amp;op_usm=0.8",1)</f>
        <v/>
      </c>
      <c r="B1460" s="4" t="inlineStr">
        <is>
          <t>High-Rise Pleated Tennis Skirt *Long</t>
        </is>
      </c>
      <c r="C1460" s="4" t="inlineStr">
        <is>
          <t>157678160</t>
        </is>
      </c>
      <c r="D1460" s="4" t="inlineStr">
        <is>
          <t>157678160-clubblue</t>
        </is>
      </c>
      <c r="E1460" s="4" t="inlineStr">
        <is>
          <t>High-Rise Pleated Tennis Skirt *Long WHT 0</t>
        </is>
      </c>
      <c r="F1460" s="4" t="inlineStr">
        <is>
          <t>$88.00</t>
        </is>
      </c>
      <c r="G1460" s="4" t="inlineStr">
        <is>
          <t>$44.00</t>
        </is>
      </c>
      <c r="H1460" s="4" t="inlineStr">
        <is>
          <t>Club Blue</t>
        </is>
      </c>
      <c r="I1460" s="4">
        <f>IMAGE("https://images.lululemon.com/is/image/lululemon/68578",1)</f>
        <v/>
      </c>
      <c r="J1460" s="4" t="inlineStr">
        <is>
          <t>6</t>
        </is>
      </c>
      <c r="K1460" s="4" t="inlineStr">
        <is>
          <t>136/2580</t>
        </is>
      </c>
      <c r="L1460" s="4" t="inlineStr">
        <is>
          <t>Yes</t>
        </is>
      </c>
      <c r="M1460" s="4" t="inlineStr">
        <is>
          <t>Game on. The lightweight, quick-drying fabric on this pleated tennis skirt will keep you cool and comfortable from first serve to match point.</t>
        </is>
      </c>
      <c r="N1460" s="4" t="inlineStr">
        <is>
          <t>High-Rise-Pleated-Tennis-Skirt-Long</t>
        </is>
      </c>
      <c r="O1460" s="4" t="inlineStr">
        <is>
          <t>Skorts, Athletic Skirts</t>
        </is>
      </c>
    </row>
    <row r="1461" ht="80" customHeight="1">
      <c r="A1461" s="7">
        <f>IMAGE("https://images.lululemon.com/is/image/lululemon/LW8AQNT_0002_1?wid=320&amp;op_usm=0.8",1)</f>
        <v/>
      </c>
      <c r="B1461" s="7" t="inlineStr">
        <is>
          <t>High-Rise Pleated Tennis Skirt *Long</t>
        </is>
      </c>
      <c r="C1461" s="7" t="inlineStr">
        <is>
          <t>157678170</t>
        </is>
      </c>
      <c r="D1461" s="7" t="inlineStr">
        <is>
          <t>157678170-clubblue</t>
        </is>
      </c>
      <c r="E1461" s="7" t="inlineStr">
        <is>
          <t>High-Rise Pleated Tennis Skirt *Long WHT 0</t>
        </is>
      </c>
      <c r="F1461" s="7" t="inlineStr">
        <is>
          <t>$88.00</t>
        </is>
      </c>
      <c r="G1461" s="7" t="inlineStr">
        <is>
          <t>$44.00</t>
        </is>
      </c>
      <c r="H1461" s="7" t="inlineStr">
        <is>
          <t>Club Blue</t>
        </is>
      </c>
      <c r="I1461" s="7">
        <f>IMAGE("https://images.lululemon.com/is/image/lululemon/68578",1)</f>
        <v/>
      </c>
      <c r="J1461" s="7" t="inlineStr">
        <is>
          <t>8</t>
        </is>
      </c>
      <c r="K1461" s="7" t="inlineStr">
        <is>
          <t>108/2580</t>
        </is>
      </c>
      <c r="L1461" s="7" t="inlineStr">
        <is>
          <t>Yes</t>
        </is>
      </c>
      <c r="M1461" s="7" t="inlineStr">
        <is>
          <t>Game on. The lightweight, quick-drying fabric on this pleated tennis skirt will keep you cool and comfortable from first serve to match point.</t>
        </is>
      </c>
      <c r="N1461" s="7" t="inlineStr">
        <is>
          <t>High-Rise-Pleated-Tennis-Skirt-Long</t>
        </is>
      </c>
      <c r="O1461" s="7" t="inlineStr">
        <is>
          <t>Skorts, Athletic Skirts</t>
        </is>
      </c>
    </row>
    <row r="1462" ht="80" customHeight="1">
      <c r="A1462" s="4">
        <f>IMAGE("https://images.lululemon.com/is/image/lululemon/LW8AQNT_0002_1?wid=320&amp;op_usm=0.8",1)</f>
        <v/>
      </c>
      <c r="B1462" s="4" t="inlineStr">
        <is>
          <t>High-Rise Pleated Tennis Skirt *Long</t>
        </is>
      </c>
      <c r="C1462" s="4" t="inlineStr">
        <is>
          <t>157678104</t>
        </is>
      </c>
      <c r="D1462" s="4" t="inlineStr">
        <is>
          <t>157678104-clubblue</t>
        </is>
      </c>
      <c r="E1462" s="4" t="inlineStr">
        <is>
          <t>High-Rise Pleated Tennis Skirt *Long WHT 0</t>
        </is>
      </c>
      <c r="F1462" s="4" t="inlineStr">
        <is>
          <t>$88.00</t>
        </is>
      </c>
      <c r="G1462" s="4" t="inlineStr">
        <is>
          <t>$44.00</t>
        </is>
      </c>
      <c r="H1462" s="4" t="inlineStr">
        <is>
          <t>Club Blue</t>
        </is>
      </c>
      <c r="I1462" s="4">
        <f>IMAGE("https://images.lululemon.com/is/image/lululemon/68578",1)</f>
        <v/>
      </c>
      <c r="J1462" s="4" t="inlineStr">
        <is>
          <t>10</t>
        </is>
      </c>
      <c r="K1462" s="4" t="inlineStr">
        <is>
          <t>25/2580</t>
        </is>
      </c>
      <c r="L1462" s="4" t="inlineStr">
        <is>
          <t>Yes</t>
        </is>
      </c>
      <c r="M1462" s="4" t="inlineStr">
        <is>
          <t>Game on. The lightweight, quick-drying fabric on this pleated tennis skirt will keep you cool and comfortable from first serve to match point.</t>
        </is>
      </c>
      <c r="N1462" s="4" t="inlineStr">
        <is>
          <t>High-Rise-Pleated-Tennis-Skirt-Long</t>
        </is>
      </c>
      <c r="O1462" s="4" t="inlineStr">
        <is>
          <t>Skorts, Athletic Skirts</t>
        </is>
      </c>
    </row>
    <row r="1463" ht="80" customHeight="1">
      <c r="A1463" s="5">
        <f>IMAGE("https://images.lululemon.com/is/image/lululemon/LW8AQNT_0002_1?wid=320&amp;op_usm=0.8",1)</f>
        <v/>
      </c>
      <c r="B1463" s="5" t="inlineStr">
        <is>
          <t>High-Rise Pleated Tennis Skirt *Long</t>
        </is>
      </c>
      <c r="C1463" s="5" t="inlineStr">
        <is>
          <t>157678118</t>
        </is>
      </c>
      <c r="D1463" s="5" t="inlineStr">
        <is>
          <t>157678118-clubblue</t>
        </is>
      </c>
      <c r="E1463" s="5" t="inlineStr">
        <is>
          <t>High-Rise Pleated Tennis Skirt *Long WHT 0</t>
        </is>
      </c>
      <c r="F1463" s="5" t="inlineStr">
        <is>
          <t>$88.00</t>
        </is>
      </c>
      <c r="G1463" s="5" t="inlineStr">
        <is>
          <t>$44.00</t>
        </is>
      </c>
      <c r="H1463" s="5" t="inlineStr">
        <is>
          <t>Club Blue</t>
        </is>
      </c>
      <c r="I1463" s="5">
        <f>IMAGE("https://images.lululemon.com/is/image/lululemon/68578",1)</f>
        <v/>
      </c>
      <c r="J1463" s="5" t="inlineStr">
        <is>
          <t>12</t>
        </is>
      </c>
      <c r="K1463" s="5" t="inlineStr">
        <is>
          <t>26/2580</t>
        </is>
      </c>
      <c r="L1463" s="5" t="inlineStr">
        <is>
          <t>Yes</t>
        </is>
      </c>
      <c r="M1463" s="5" t="inlineStr">
        <is>
          <t>Game on. The lightweight, quick-drying fabric on this pleated tennis skirt will keep you cool and comfortable from first serve to match point.</t>
        </is>
      </c>
      <c r="N1463" s="5" t="inlineStr">
        <is>
          <t>High-Rise-Pleated-Tennis-Skirt-Long</t>
        </is>
      </c>
      <c r="O1463" s="5" t="inlineStr">
        <is>
          <t>Skorts, Athletic Skirts</t>
        </is>
      </c>
    </row>
    <row r="1464" ht="80" customHeight="1">
      <c r="A1464" s="4">
        <f>IMAGE("https://images.lululemon.com/is/image/lululemon/LW2DS6S_0001_1?wid=320&amp;op_usm=0.8",1)</f>
        <v/>
      </c>
      <c r="B1464" s="4" t="inlineStr">
        <is>
          <t>Ultralu Square-Neck Workout Bra *Medium Support, D/DD Cup</t>
        </is>
      </c>
      <c r="C1464" s="4" t="inlineStr">
        <is>
          <t>153026251</t>
        </is>
      </c>
      <c r="D1464" s="4" t="inlineStr">
        <is>
          <t>153026251-black</t>
        </is>
      </c>
      <c r="E1464" s="4" t="inlineStr">
        <is>
          <t>Ultralu™ Square-Neck Workout Bra D/DD BLK 2</t>
        </is>
      </c>
      <c r="F1464" s="4" t="inlineStr">
        <is>
          <t>$68.00</t>
        </is>
      </c>
      <c r="G1464" s="4" t="inlineStr">
        <is>
          <t>$34.00</t>
        </is>
      </c>
      <c r="H1464" s="4" t="inlineStr">
        <is>
          <t>Black</t>
        </is>
      </c>
      <c r="I1464" s="4">
        <f>IMAGE("https://images.lululemon.com/is/image/lululemon/0001",1)</f>
        <v/>
      </c>
      <c r="J1464" s="4" t="inlineStr">
        <is>
          <t>2</t>
        </is>
      </c>
      <c r="K1464" s="4" t="inlineStr">
        <is>
          <t>14/119</t>
        </is>
      </c>
      <c r="L1464" s="4" t="inlineStr">
        <is>
          <t>Yes</t>
        </is>
      </c>
      <c r="M1464" s="4" t="inlineStr">
        <is>
          <t>Secure support for training sessions. This sports bra has a held-in feel, minimal seams, and smooth Ultralu™ fabric that moulds to your body.</t>
        </is>
      </c>
      <c r="N1464" s="4" t="inlineStr">
        <is>
          <t>Ultralu-Square-Neck-Workout-Bra-Med-DDD</t>
        </is>
      </c>
      <c r="O1464" s="4" t="inlineStr">
        <is>
          <t>Racerback Bras</t>
        </is>
      </c>
    </row>
    <row r="1465" ht="80" customHeight="1">
      <c r="A1465" s="7">
        <f>IMAGE("https://images.lululemon.com/is/image/lululemon/LW2DS6S_0001_1?wid=320&amp;op_usm=0.8",1)</f>
        <v/>
      </c>
      <c r="B1465" s="7" t="inlineStr">
        <is>
          <t>Ultralu Square-Neck Workout Bra *Medium Support, D/DD Cup</t>
        </is>
      </c>
      <c r="C1465" s="7" t="inlineStr">
        <is>
          <t>153026261</t>
        </is>
      </c>
      <c r="D1465" s="7" t="inlineStr">
        <is>
          <t>153026261-black</t>
        </is>
      </c>
      <c r="E1465" s="7" t="inlineStr">
        <is>
          <t>Ultralu™ Square-Neck Workout Bra D/DD BLK 2</t>
        </is>
      </c>
      <c r="F1465" s="7" t="inlineStr">
        <is>
          <t>$68.00</t>
        </is>
      </c>
      <c r="G1465" s="7" t="inlineStr">
        <is>
          <t>$34.00</t>
        </is>
      </c>
      <c r="H1465" s="7" t="inlineStr">
        <is>
          <t>Black</t>
        </is>
      </c>
      <c r="I1465" s="7">
        <f>IMAGE("https://images.lululemon.com/is/image/lululemon/0001",1)</f>
        <v/>
      </c>
      <c r="J1465" s="7" t="inlineStr">
        <is>
          <t>4</t>
        </is>
      </c>
      <c r="K1465" s="7" t="inlineStr">
        <is>
          <t>41/119</t>
        </is>
      </c>
      <c r="L1465" s="7" t="inlineStr">
        <is>
          <t>Yes</t>
        </is>
      </c>
      <c r="M1465" s="7" t="inlineStr">
        <is>
          <t>Secure support for training sessions. This sports bra has a held-in feel, minimal seams, and smooth Ultralu™ fabric that moulds to your body.</t>
        </is>
      </c>
      <c r="N1465" s="7" t="inlineStr">
        <is>
          <t>Ultralu-Square-Neck-Workout-Bra-Med-DDD</t>
        </is>
      </c>
      <c r="O1465" s="7" t="inlineStr">
        <is>
          <t>Racerback Bras</t>
        </is>
      </c>
    </row>
    <row r="1466" ht="80" customHeight="1">
      <c r="A1466" s="4">
        <f>IMAGE("https://images.lululemon.com/is/image/lululemon/LW2DS6S_0001_1?wid=320&amp;op_usm=0.8",1)</f>
        <v/>
      </c>
      <c r="B1466" s="4" t="inlineStr">
        <is>
          <t>Ultralu Square-Neck Workout Bra *Medium Support, D/DD Cup</t>
        </is>
      </c>
      <c r="C1466" s="4" t="inlineStr">
        <is>
          <t>153026271</t>
        </is>
      </c>
      <c r="D1466" s="4" t="inlineStr">
        <is>
          <t>153026271-black</t>
        </is>
      </c>
      <c r="E1466" s="4" t="inlineStr">
        <is>
          <t>Ultralu™ Square-Neck Workout Bra D/DD BLK 2</t>
        </is>
      </c>
      <c r="F1466" s="4" t="inlineStr">
        <is>
          <t>$68.00</t>
        </is>
      </c>
      <c r="G1466" s="4" t="inlineStr">
        <is>
          <t>$34.00</t>
        </is>
      </c>
      <c r="H1466" s="4" t="inlineStr">
        <is>
          <t>Black</t>
        </is>
      </c>
      <c r="I1466" s="4">
        <f>IMAGE("https://images.lululemon.com/is/image/lululemon/0001",1)</f>
        <v/>
      </c>
      <c r="J1466" s="4" t="inlineStr">
        <is>
          <t>6</t>
        </is>
      </c>
      <c r="K1466" s="4" t="inlineStr">
        <is>
          <t>31/119</t>
        </is>
      </c>
      <c r="L1466" s="4" t="inlineStr">
        <is>
          <t>Yes</t>
        </is>
      </c>
      <c r="M1466" s="4" t="inlineStr">
        <is>
          <t>Secure support for training sessions. This sports bra has a held-in feel, minimal seams, and smooth Ultralu™ fabric that moulds to your body.</t>
        </is>
      </c>
      <c r="N1466" s="4" t="inlineStr">
        <is>
          <t>Ultralu-Square-Neck-Workout-Bra-Med-DDD</t>
        </is>
      </c>
      <c r="O1466" s="4" t="inlineStr">
        <is>
          <t>Racerback Bras</t>
        </is>
      </c>
    </row>
    <row r="1467" ht="80" customHeight="1">
      <c r="A1467" s="7">
        <f>IMAGE("https://images.lululemon.com/is/image/lululemon/LW2DS6S_0001_1?wid=320&amp;op_usm=0.8",1)</f>
        <v/>
      </c>
      <c r="B1467" s="7" t="inlineStr">
        <is>
          <t>Ultralu Square-Neck Workout Bra *Medium Support, D/DD Cup</t>
        </is>
      </c>
      <c r="C1467" s="7" t="inlineStr">
        <is>
          <t>153026279</t>
        </is>
      </c>
      <c r="D1467" s="7" t="inlineStr">
        <is>
          <t>153026279-black</t>
        </is>
      </c>
      <c r="E1467" s="7" t="inlineStr">
        <is>
          <t>Ultralu™ Square-Neck Workout Bra D/DD BLK 2</t>
        </is>
      </c>
      <c r="F1467" s="7" t="inlineStr">
        <is>
          <t>$68.00</t>
        </is>
      </c>
      <c r="G1467" s="7" t="inlineStr">
        <is>
          <t>$34.00</t>
        </is>
      </c>
      <c r="H1467" s="7" t="inlineStr">
        <is>
          <t>Black</t>
        </is>
      </c>
      <c r="I1467" s="7">
        <f>IMAGE("https://images.lululemon.com/is/image/lululemon/0001",1)</f>
        <v/>
      </c>
      <c r="J1467" s="7" t="inlineStr">
        <is>
          <t>8</t>
        </is>
      </c>
      <c r="K1467" s="7" t="inlineStr">
        <is>
          <t>23/119</t>
        </is>
      </c>
      <c r="L1467" s="7" t="inlineStr">
        <is>
          <t>Yes</t>
        </is>
      </c>
      <c r="M1467" s="7" t="inlineStr">
        <is>
          <t>Secure support for training sessions. This sports bra has a held-in feel, minimal seams, and smooth Ultralu™ fabric that moulds to your body.</t>
        </is>
      </c>
      <c r="N1467" s="7" t="inlineStr">
        <is>
          <t>Ultralu-Square-Neck-Workout-Bra-Med-DDD</t>
        </is>
      </c>
      <c r="O1467" s="7" t="inlineStr">
        <is>
          <t>Racerback Bras</t>
        </is>
      </c>
    </row>
    <row r="1468" ht="80" customHeight="1">
      <c r="A1468" s="6">
        <f>IMAGE("https://images.lululemon.com/is/image/lululemon/LW2DS6S_0001_1?wid=320&amp;op_usm=0.8",1)</f>
        <v/>
      </c>
      <c r="B1468" s="6" t="inlineStr">
        <is>
          <t>Ultralu Square-Neck Workout Bra *Medium Support, D/DD Cup</t>
        </is>
      </c>
      <c r="C1468" s="6" t="inlineStr">
        <is>
          <t>153026221</t>
        </is>
      </c>
      <c r="D1468" s="6" t="inlineStr">
        <is>
          <t>153026221-black</t>
        </is>
      </c>
      <c r="E1468" s="6" t="inlineStr">
        <is>
          <t>Ultralu™ Square-Neck Workout Bra D/DD BLK 2</t>
        </is>
      </c>
      <c r="F1468" s="6" t="inlineStr">
        <is>
          <t>$68.00</t>
        </is>
      </c>
      <c r="G1468" s="6" t="inlineStr">
        <is>
          <t>$34.00</t>
        </is>
      </c>
      <c r="H1468" s="6" t="inlineStr">
        <is>
          <t>Black</t>
        </is>
      </c>
      <c r="I1468" s="6">
        <f>IMAGE("https://images.lululemon.com/is/image/lululemon/0001",1)</f>
        <v/>
      </c>
      <c r="J1468" s="6" t="inlineStr">
        <is>
          <t>10</t>
        </is>
      </c>
      <c r="K1468" s="6" t="inlineStr">
        <is>
          <t>10/119</t>
        </is>
      </c>
      <c r="L1468" s="6" t="inlineStr">
        <is>
          <t>Yes</t>
        </is>
      </c>
      <c r="M1468" s="6" t="inlineStr">
        <is>
          <t>Secure support for training sessions. This sports bra has a held-in feel, minimal seams, and smooth Ultralu™ fabric that moulds to your body.</t>
        </is>
      </c>
      <c r="N1468" s="6" t="inlineStr">
        <is>
          <t>Ultralu-Square-Neck-Workout-Bra-Med-DDD</t>
        </is>
      </c>
      <c r="O1468" s="6" t="inlineStr">
        <is>
          <t>Racerback Bras</t>
        </is>
      </c>
    </row>
    <row r="1469" ht="80" customHeight="1">
      <c r="A1469" s="7">
        <f>IMAGE("https://images.lululemon.com/is/image/lululemon/LW4BSRS_0001_1?wid=320&amp;op_usm=0.8",1)</f>
        <v/>
      </c>
      <c r="B1469" s="7" t="inlineStr">
        <is>
          <t>Mist Over Windbreaker</t>
        </is>
      </c>
      <c r="C1469" s="7" t="inlineStr">
        <is>
          <t>140275387</t>
        </is>
      </c>
      <c r="D1469" s="7" t="inlineStr">
        <is>
          <t>140275387-black</t>
        </is>
      </c>
      <c r="E1469" s="7" t="inlineStr">
        <is>
          <t>Mist Over Windbreaker BLK 2</t>
        </is>
      </c>
      <c r="F1469" s="7" t="inlineStr">
        <is>
          <t>$128.00</t>
        </is>
      </c>
      <c r="G1469" s="7" t="inlineStr">
        <is>
          <t>$64.00</t>
        </is>
      </c>
      <c r="H1469" s="7" t="inlineStr">
        <is>
          <t>Black</t>
        </is>
      </c>
      <c r="I1469" s="7">
        <f>IMAGE("https://images.lululemon.com/is/image/lululemon/0001",1)</f>
        <v/>
      </c>
      <c r="J1469" s="7" t="inlineStr">
        <is>
          <t>2</t>
        </is>
      </c>
      <c r="K1469" s="7" t="inlineStr">
        <is>
          <t>25/51</t>
        </is>
      </c>
      <c r="L1469" s="7" t="inlineStr">
        <is>
          <t>Yes</t>
        </is>
      </c>
      <c r="M1469" s="7" t="inlineStr">
        <is>
          <t>Run or hike, rain or shine. This stretchy, water-repellent jacket packs into its own pocket so you can keep it on hand for when the weather changes.</t>
        </is>
      </c>
      <c r="N1469" s="7" t="inlineStr">
        <is>
          <t>Mist-Over-Windbreaker</t>
        </is>
      </c>
      <c r="O1469" s="7" t="inlineStr">
        <is>
          <t>Athletic Jackets, Windbreakers</t>
        </is>
      </c>
    </row>
    <row r="1470" ht="80" customHeight="1">
      <c r="A1470" s="4">
        <f>IMAGE("https://images.lululemon.com/is/image/lululemon/LW4BSRS_0001_1?wid=320&amp;op_usm=0.8",1)</f>
        <v/>
      </c>
      <c r="B1470" s="4" t="inlineStr">
        <is>
          <t>Mist Over Windbreaker</t>
        </is>
      </c>
      <c r="C1470" s="4" t="inlineStr">
        <is>
          <t>140275401</t>
        </is>
      </c>
      <c r="D1470" s="4" t="inlineStr">
        <is>
          <t>140275401-black</t>
        </is>
      </c>
      <c r="E1470" s="4" t="inlineStr">
        <is>
          <t>Mist Over Windbreaker BLK 2</t>
        </is>
      </c>
      <c r="F1470" s="4" t="inlineStr">
        <is>
          <t>$128.00</t>
        </is>
      </c>
      <c r="G1470" s="4" t="inlineStr">
        <is>
          <t>$64.00</t>
        </is>
      </c>
      <c r="H1470" s="4" t="inlineStr">
        <is>
          <t>Black</t>
        </is>
      </c>
      <c r="I1470" s="4">
        <f>IMAGE("https://images.lululemon.com/is/image/lululemon/0001",1)</f>
        <v/>
      </c>
      <c r="J1470" s="4" t="inlineStr">
        <is>
          <t>4</t>
        </is>
      </c>
      <c r="K1470" s="4" t="inlineStr">
        <is>
          <t>17/51</t>
        </is>
      </c>
      <c r="L1470" s="4" t="inlineStr">
        <is>
          <t>Yes</t>
        </is>
      </c>
      <c r="M1470" s="4" t="inlineStr">
        <is>
          <t>Run or hike, rain or shine. This stretchy, water-repellent jacket packs into its own pocket so you can keep it on hand for when the weather changes.</t>
        </is>
      </c>
      <c r="N1470" s="4" t="inlineStr">
        <is>
          <t>Mist-Over-Windbreaker</t>
        </is>
      </c>
      <c r="O1470" s="4" t="inlineStr">
        <is>
          <t>Athletic Jackets, Windbreakers</t>
        </is>
      </c>
    </row>
    <row r="1471" ht="80" customHeight="1">
      <c r="A1471" s="5">
        <f>IMAGE("https://images.lululemon.com/is/image/lululemon/LW4BSRS_0001_1?wid=320&amp;op_usm=0.8",1)</f>
        <v/>
      </c>
      <c r="B1471" s="5" t="inlineStr">
        <is>
          <t>Mist Over Windbreaker</t>
        </is>
      </c>
      <c r="C1471" s="5" t="inlineStr">
        <is>
          <t>140275403</t>
        </is>
      </c>
      <c r="D1471" s="5" t="inlineStr">
        <is>
          <t>140275403-black</t>
        </is>
      </c>
      <c r="E1471" s="5" t="inlineStr">
        <is>
          <t>Mist Over Windbreaker BLK 2</t>
        </is>
      </c>
      <c r="F1471" s="5" t="inlineStr">
        <is>
          <t>$128.00</t>
        </is>
      </c>
      <c r="G1471" s="5" t="inlineStr">
        <is>
          <t>$64.00</t>
        </is>
      </c>
      <c r="H1471" s="5" t="inlineStr">
        <is>
          <t>Black</t>
        </is>
      </c>
      <c r="I1471" s="5">
        <f>IMAGE("https://images.lululemon.com/is/image/lululemon/0001",1)</f>
        <v/>
      </c>
      <c r="J1471" s="5" t="inlineStr">
        <is>
          <t>6</t>
        </is>
      </c>
      <c r="K1471" s="5" t="inlineStr">
        <is>
          <t>9/51</t>
        </is>
      </c>
      <c r="L1471" s="5" t="inlineStr">
        <is>
          <t>Yes</t>
        </is>
      </c>
      <c r="M1471" s="5" t="inlineStr">
        <is>
          <t>Run or hike, rain or shine. This stretchy, water-repellent jacket packs into its own pocket so you can keep it on hand for when the weather changes.</t>
        </is>
      </c>
      <c r="N1471" s="5" t="inlineStr">
        <is>
          <t>Mist-Over-Windbreaker</t>
        </is>
      </c>
      <c r="O1471" s="5" t="inlineStr">
        <is>
          <t>Athletic Jackets, Windbreakers</t>
        </is>
      </c>
    </row>
    <row r="1472" ht="80" customHeight="1">
      <c r="A1472" s="6">
        <f>IMAGE("https://images.lululemon.com/is/image/lululemon/LU9AY4S_072619_1?wid=320&amp;op_usm=0.8",1)</f>
        <v/>
      </c>
      <c r="B1472" s="6" t="inlineStr">
        <is>
          <t>The Towel</t>
        </is>
      </c>
      <c r="C1472" s="6" t="inlineStr">
        <is>
          <t>157793522</t>
        </is>
      </c>
      <c r="D1472" s="6" t="inlineStr">
        <is>
          <t>157793522-meadowhazegreymulti</t>
        </is>
      </c>
      <c r="E1472" s="6" t="inlineStr">
        <is>
          <t>The Towel MHGM ONE SIZE</t>
        </is>
      </c>
      <c r="F1472" s="6" t="inlineStr">
        <is>
          <t>$42.00</t>
        </is>
      </c>
      <c r="G1472" s="6" t="inlineStr">
        <is>
          <t>$21.00</t>
        </is>
      </c>
      <c r="H1472" s="6" t="inlineStr">
        <is>
          <t>Meadow Haze Grey Multi</t>
        </is>
      </c>
      <c r="I1472" s="6">
        <f>IMAGE("https://images.lululemon.com/is/image/lululemon/72619",1)</f>
        <v/>
      </c>
      <c r="J1472" s="6" t="inlineStr">
        <is>
          <t>O/S</t>
        </is>
      </c>
      <c r="K1472" s="6" t="inlineStr">
        <is>
          <t>182/182</t>
        </is>
      </c>
      <c r="L1472" s="6" t="inlineStr">
        <is>
          <t>Yes</t>
        </is>
      </c>
      <c r="M1472" s="6" t="inlineStr">
        <is>
          <t>Whether it's soaking up sweat during hot yoga classes or drying off post-shower, this absorbent microfibre towel handles it all.</t>
        </is>
      </c>
      <c r="N1472" s="6" t="inlineStr">
        <is>
          <t>The-Towel</t>
        </is>
      </c>
      <c r="O1472" s="6" t="inlineStr">
        <is>
          <t>Towels</t>
        </is>
      </c>
    </row>
    <row r="1473" ht="80" customHeight="1">
      <c r="A1473" s="5">
        <f>IMAGE("https://images.lululemon.com/is/image/lululemon/LU9ALBS_0001_1?wid=320&amp;op_usm=0.8",1)</f>
        <v/>
      </c>
      <c r="B1473" s="5" t="inlineStr">
        <is>
          <t>Back to Life Sport Bottle 32oz</t>
        </is>
      </c>
      <c r="C1473" s="5" t="inlineStr">
        <is>
          <t>124875044</t>
        </is>
      </c>
      <c r="D1473" s="5" t="inlineStr">
        <is>
          <t>124875044-black</t>
        </is>
      </c>
      <c r="E1473" s="5" t="inlineStr">
        <is>
          <t>Back to Life Sport Bottle 32oz BLK ONE SIZE</t>
        </is>
      </c>
      <c r="F1473" s="5" t="inlineStr">
        <is>
          <t>$54.00</t>
        </is>
      </c>
      <c r="G1473" s="5" t="inlineStr">
        <is>
          <t>$27.00</t>
        </is>
      </c>
      <c r="H1473" s="5" t="inlineStr">
        <is>
          <t>Black</t>
        </is>
      </c>
      <c r="I1473" s="5">
        <f>IMAGE("https://images.lululemon.com/is/image/lululemon/0001",1)</f>
        <v/>
      </c>
      <c r="J1473" s="5" t="inlineStr">
        <is>
          <t>O/S</t>
        </is>
      </c>
      <c r="K1473" s="5" t="inlineStr">
        <is>
          <t>1716/1716</t>
        </is>
      </c>
      <c r="L1473" s="5" t="inlineStr">
        <is>
          <t>Yes</t>
        </is>
      </c>
      <c r="M1473" s="5" t="inlineStr">
        <is>
          <t>This insulated water bottle features a leak-proof lid and slip-free texture, so no matter how adventurous the adventure gets, your drink is safe.</t>
        </is>
      </c>
      <c r="N1473" s="5" t="inlineStr">
        <is>
          <t>Back-to-Life-Sport-Bottle-32oz</t>
        </is>
      </c>
      <c r="O1473" s="5" t="inlineStr"/>
    </row>
    <row r="1474" ht="80" customHeight="1">
      <c r="A1474" s="4">
        <f>IMAGE("https://images.lululemon.com/is/image/lululemon/LU9CU5S_031382_1?wid=320&amp;op_usm=0.8",1)</f>
        <v/>
      </c>
      <c r="B1474" s="4" t="inlineStr">
        <is>
          <t>Easy Clip Nano Golf Pouch</t>
        </is>
      </c>
      <c r="C1474" s="4" t="inlineStr">
        <is>
          <t>156484978</t>
        </is>
      </c>
      <c r="D1474" s="4" t="inlineStr">
        <is>
          <t>156484978-truenavy</t>
        </is>
      </c>
      <c r="E1474" s="4" t="inlineStr">
        <is>
          <t>Easy Clip Nano Golf Pouch TRNV ONE SIZE</t>
        </is>
      </c>
      <c r="F1474" s="4" t="inlineStr">
        <is>
          <t>$34.00</t>
        </is>
      </c>
      <c r="G1474" s="4" t="inlineStr">
        <is>
          <t>$17.00</t>
        </is>
      </c>
      <c r="H1474" s="4" t="inlineStr">
        <is>
          <t>True Navy</t>
        </is>
      </c>
      <c r="I1474" s="4">
        <f>IMAGE("https://images.lululemon.com/is/image/lululemon/31382",1)</f>
        <v/>
      </c>
      <c r="J1474" s="4" t="inlineStr">
        <is>
          <t>O/S</t>
        </is>
      </c>
      <c r="K1474" s="4" t="inlineStr">
        <is>
          <t>25/46</t>
        </is>
      </c>
      <c r="L1474" s="4" t="inlineStr">
        <is>
          <t>Yes</t>
        </is>
      </c>
      <c r="M1474" s="4" t="inlineStr">
        <is>
          <t>Fore! This pouch clips onto  your golf bag to keep extra  balls and tees conveniently  close when your shot goes out  of bounds.</t>
        </is>
      </c>
      <c r="N1474" s="4" t="inlineStr">
        <is>
          <t>Easy-Clip-Nano-Golf-Pouch</t>
        </is>
      </c>
      <c r="O1474" s="4" t="inlineStr">
        <is>
          <t>Wallets and Pouches, Bag Accessories</t>
        </is>
      </c>
    </row>
    <row r="1475" ht="80" customHeight="1">
      <c r="A1475" s="5">
        <f>IMAGE("https://images.lululemon.com/is/image/lululemon/LU9CU5S_031382_1?wid=320&amp;op_usm=0.8",1)</f>
        <v/>
      </c>
      <c r="B1475" s="5" t="inlineStr">
        <is>
          <t>Easy Clip Nano Golf Pouch</t>
        </is>
      </c>
      <c r="C1475" s="5" t="inlineStr">
        <is>
          <t>156484973</t>
        </is>
      </c>
      <c r="D1475" s="5" t="inlineStr">
        <is>
          <t>156484973-black</t>
        </is>
      </c>
      <c r="E1475" s="5" t="inlineStr">
        <is>
          <t>Easy Clip Nano Golf Pouch TRNV ONE SIZE</t>
        </is>
      </c>
      <c r="F1475" s="5" t="inlineStr">
        <is>
          <t>$34.00</t>
        </is>
      </c>
      <c r="G1475" s="5" t="inlineStr">
        <is>
          <t>$17.00</t>
        </is>
      </c>
      <c r="H1475" s="5" t="inlineStr">
        <is>
          <t>Black</t>
        </is>
      </c>
      <c r="I1475" s="5">
        <f>IMAGE("https://images.lululemon.com/is/image/lululemon/0001",1)</f>
        <v/>
      </c>
      <c r="J1475" s="5" t="inlineStr">
        <is>
          <t>O/S</t>
        </is>
      </c>
      <c r="K1475" s="5" t="inlineStr">
        <is>
          <t>21/46</t>
        </is>
      </c>
      <c r="L1475" s="5" t="inlineStr">
        <is>
          <t>Yes</t>
        </is>
      </c>
      <c r="M1475" s="5" t="inlineStr">
        <is>
          <t>Fore! This pouch clips onto  your golf bag to keep extra  balls and tees conveniently  close when your shot goes out  of bounds.</t>
        </is>
      </c>
      <c r="N1475" s="5" t="inlineStr">
        <is>
          <t>Easy-Clip-Nano-Golf-Pouch</t>
        </is>
      </c>
      <c r="O1475" s="5" t="inlineStr">
        <is>
          <t>Wallets and Pouches, Bag Accessories</t>
        </is>
      </c>
    </row>
    <row r="1476" ht="80" customHeight="1">
      <c r="A1476" s="4">
        <f>IMAGE("https://images.lululemon.com/is/image/lululemon/LW3DFNS_0572_1?wid=320&amp;op_usm=0.8",1)</f>
        <v/>
      </c>
      <c r="B1476" s="4" t="inlineStr">
        <is>
          <t>Swiftly Tech Short-Sleeve Shirt 2.0 *Hip Length</t>
        </is>
      </c>
      <c r="C1476" s="4" t="inlineStr">
        <is>
          <t>117125041</t>
        </is>
      </c>
      <c r="D1476" s="4" t="inlineStr">
        <is>
          <t>117125041-white/white</t>
        </is>
      </c>
      <c r="E1476" s="4" t="inlineStr">
        <is>
          <t>Swiftly Tech Short Sleeve 2.0 WHWH 0</t>
        </is>
      </c>
      <c r="F1476" s="4" t="inlineStr">
        <is>
          <t>$68.00</t>
        </is>
      </c>
      <c r="G1476" s="4" t="inlineStr">
        <is>
          <t>$34.00</t>
        </is>
      </c>
      <c r="H1476" s="4" t="inlineStr">
        <is>
          <t>White/White</t>
        </is>
      </c>
      <c r="I1476" s="4">
        <f>IMAGE("https://images.lululemon.com/is/image/lululemon/12826",1)</f>
        <v/>
      </c>
      <c r="J1476" s="4" t="inlineStr">
        <is>
          <t>0</t>
        </is>
      </c>
      <c r="K1476" s="4" t="inlineStr">
        <is>
          <t>9/14154</t>
        </is>
      </c>
      <c r="L1476" s="4" t="inlineStr">
        <is>
          <t>Yes</t>
        </is>
      </c>
      <c r="M1476" s="4" t="inlineStr">
        <is>
          <t>Go ahead, get sweaty. The Swiftly collection is all about high-performing fabric that seamlessly adapts to you and your workout.</t>
        </is>
      </c>
      <c r="N1476" s="4" t="inlineStr">
        <is>
          <t>Swiftly-Tech-SS-2</t>
        </is>
      </c>
      <c r="O1476" s="4" t="inlineStr"/>
    </row>
    <row r="1477" ht="80" customHeight="1">
      <c r="A1477" s="7">
        <f>IMAGE("https://images.lululemon.com/is/image/lululemon/LW3DFNS_0572_1?wid=320&amp;op_usm=0.8",1)</f>
        <v/>
      </c>
      <c r="B1477" s="7" t="inlineStr">
        <is>
          <t>Swiftly Tech Short-Sleeve Shirt 2.0 *Hip Length</t>
        </is>
      </c>
      <c r="C1477" s="7" t="inlineStr">
        <is>
          <t>117125056</t>
        </is>
      </c>
      <c r="D1477" s="7" t="inlineStr">
        <is>
          <t>117125056-white/white</t>
        </is>
      </c>
      <c r="E1477" s="7" t="inlineStr">
        <is>
          <t>Swiftly Tech Short Sleeve 2.0 WHWH 0</t>
        </is>
      </c>
      <c r="F1477" s="7" t="inlineStr">
        <is>
          <t>$68.00</t>
        </is>
      </c>
      <c r="G1477" s="7" t="inlineStr">
        <is>
          <t>$34.00</t>
        </is>
      </c>
      <c r="H1477" s="7" t="inlineStr">
        <is>
          <t>White/White</t>
        </is>
      </c>
      <c r="I1477" s="7">
        <f>IMAGE("https://images.lululemon.com/is/image/lululemon/12826",1)</f>
        <v/>
      </c>
      <c r="J1477" s="7" t="inlineStr">
        <is>
          <t>2</t>
        </is>
      </c>
      <c r="K1477" s="7" t="inlineStr">
        <is>
          <t>154/14154</t>
        </is>
      </c>
      <c r="L1477" s="7" t="inlineStr">
        <is>
          <t>Yes</t>
        </is>
      </c>
      <c r="M1477" s="7" t="inlineStr">
        <is>
          <t>Go ahead, get sweaty. The Swiftly collection is all about high-performing fabric that seamlessly adapts to you and your workout.</t>
        </is>
      </c>
      <c r="N1477" s="7" t="inlineStr">
        <is>
          <t>Swiftly-Tech-SS-2</t>
        </is>
      </c>
      <c r="O1477" s="7" t="inlineStr"/>
    </row>
    <row r="1478" ht="80" customHeight="1">
      <c r="A1478" s="4">
        <f>IMAGE("https://images.lululemon.com/is/image/lululemon/LW3DFNS_0572_1?wid=320&amp;op_usm=0.8",1)</f>
        <v/>
      </c>
      <c r="B1478" s="4" t="inlineStr">
        <is>
          <t>Swiftly Tech Short-Sleeve Shirt 2.0 *Hip Length</t>
        </is>
      </c>
      <c r="C1478" s="4" t="inlineStr">
        <is>
          <t>117125059</t>
        </is>
      </c>
      <c r="D1478" s="4" t="inlineStr">
        <is>
          <t>117125059-white/white</t>
        </is>
      </c>
      <c r="E1478" s="4" t="inlineStr">
        <is>
          <t>Swiftly Tech Short Sleeve 2.0 WHWH 0</t>
        </is>
      </c>
      <c r="F1478" s="4" t="inlineStr">
        <is>
          <t>$68.00</t>
        </is>
      </c>
      <c r="G1478" s="4" t="inlineStr">
        <is>
          <t>$34.00</t>
        </is>
      </c>
      <c r="H1478" s="4" t="inlineStr">
        <is>
          <t>White/White</t>
        </is>
      </c>
      <c r="I1478" s="4">
        <f>IMAGE("https://images.lululemon.com/is/image/lululemon/12826",1)</f>
        <v/>
      </c>
      <c r="J1478" s="4" t="inlineStr">
        <is>
          <t>4</t>
        </is>
      </c>
      <c r="K1478" s="4" t="inlineStr">
        <is>
          <t>608/14154</t>
        </is>
      </c>
      <c r="L1478" s="4" t="inlineStr">
        <is>
          <t>Yes</t>
        </is>
      </c>
      <c r="M1478" s="4" t="inlineStr">
        <is>
          <t>Go ahead, get sweaty. The Swiftly collection is all about high-performing fabric that seamlessly adapts to you and your workout.</t>
        </is>
      </c>
      <c r="N1478" s="4" t="inlineStr">
        <is>
          <t>Swiftly-Tech-SS-2</t>
        </is>
      </c>
      <c r="O1478" s="4" t="inlineStr"/>
    </row>
    <row r="1479" ht="80" customHeight="1">
      <c r="A1479" s="7">
        <f>IMAGE("https://images.lululemon.com/is/image/lululemon/LW3DFNS_0572_1?wid=320&amp;op_usm=0.8",1)</f>
        <v/>
      </c>
      <c r="B1479" s="7" t="inlineStr">
        <is>
          <t>Swiftly Tech Short-Sleeve Shirt 2.0 *Hip Length</t>
        </is>
      </c>
      <c r="C1479" s="7" t="inlineStr">
        <is>
          <t>117125061</t>
        </is>
      </c>
      <c r="D1479" s="7" t="inlineStr">
        <is>
          <t>117125061-white/white</t>
        </is>
      </c>
      <c r="E1479" s="7" t="inlineStr">
        <is>
          <t>Swiftly Tech Short Sleeve 2.0 WHWH 0</t>
        </is>
      </c>
      <c r="F1479" s="7" t="inlineStr">
        <is>
          <t>$68.00</t>
        </is>
      </c>
      <c r="G1479" s="7" t="inlineStr">
        <is>
          <t>$34.00</t>
        </is>
      </c>
      <c r="H1479" s="7" t="inlineStr">
        <is>
          <t>White/White</t>
        </is>
      </c>
      <c r="I1479" s="7">
        <f>IMAGE("https://images.lululemon.com/is/image/lululemon/12826",1)</f>
        <v/>
      </c>
      <c r="J1479" s="7" t="inlineStr">
        <is>
          <t>6</t>
        </is>
      </c>
      <c r="K1479" s="7" t="inlineStr">
        <is>
          <t>1190/14154</t>
        </is>
      </c>
      <c r="L1479" s="7" t="inlineStr">
        <is>
          <t>Yes</t>
        </is>
      </c>
      <c r="M1479" s="7" t="inlineStr">
        <is>
          <t>Go ahead, get sweaty. The Swiftly collection is all about high-performing fabric that seamlessly adapts to you and your workout.</t>
        </is>
      </c>
      <c r="N1479" s="7" t="inlineStr">
        <is>
          <t>Swiftly-Tech-SS-2</t>
        </is>
      </c>
      <c r="O1479" s="7" t="inlineStr"/>
    </row>
    <row r="1480" ht="80" customHeight="1">
      <c r="A1480" s="4">
        <f>IMAGE("https://images.lululemon.com/is/image/lululemon/LW3DFNS_0572_1?wid=320&amp;op_usm=0.8",1)</f>
        <v/>
      </c>
      <c r="B1480" s="4" t="inlineStr">
        <is>
          <t>Swiftly Tech Short-Sleeve Shirt 2.0 *Hip Length</t>
        </is>
      </c>
      <c r="C1480" s="4" t="inlineStr">
        <is>
          <t>117125063</t>
        </is>
      </c>
      <c r="D1480" s="4" t="inlineStr">
        <is>
          <t>117125063-white/white</t>
        </is>
      </c>
      <c r="E1480" s="4" t="inlineStr">
        <is>
          <t>Swiftly Tech Short Sleeve 2.0 WHWH 0</t>
        </is>
      </c>
      <c r="F1480" s="4" t="inlineStr">
        <is>
          <t>$68.00</t>
        </is>
      </c>
      <c r="G1480" s="4" t="inlineStr">
        <is>
          <t>$34.00</t>
        </is>
      </c>
      <c r="H1480" s="4" t="inlineStr">
        <is>
          <t>White/White</t>
        </is>
      </c>
      <c r="I1480" s="4">
        <f>IMAGE("https://images.lululemon.com/is/image/lululemon/12826",1)</f>
        <v/>
      </c>
      <c r="J1480" s="4" t="inlineStr">
        <is>
          <t>8</t>
        </is>
      </c>
      <c r="K1480" s="4" t="inlineStr">
        <is>
          <t>1289/14154</t>
        </is>
      </c>
      <c r="L1480" s="4" t="inlineStr">
        <is>
          <t>Yes</t>
        </is>
      </c>
      <c r="M1480" s="4" t="inlineStr">
        <is>
          <t>Go ahead, get sweaty. The Swiftly collection is all about high-performing fabric that seamlessly adapts to you and your workout.</t>
        </is>
      </c>
      <c r="N1480" s="4" t="inlineStr">
        <is>
          <t>Swiftly-Tech-SS-2</t>
        </is>
      </c>
      <c r="O1480" s="4" t="inlineStr"/>
    </row>
    <row r="1481" ht="80" customHeight="1">
      <c r="A1481" s="7">
        <f>IMAGE("https://images.lululemon.com/is/image/lululemon/LW3DFNS_0572_1?wid=320&amp;op_usm=0.8",1)</f>
        <v/>
      </c>
      <c r="B1481" s="7" t="inlineStr">
        <is>
          <t>Swiftly Tech Short-Sleeve Shirt 2.0 *Hip Length</t>
        </is>
      </c>
      <c r="C1481" s="7" t="inlineStr">
        <is>
          <t>117125044</t>
        </is>
      </c>
      <c r="D1481" s="7" t="inlineStr">
        <is>
          <t>117125044-white/white</t>
        </is>
      </c>
      <c r="E1481" s="7" t="inlineStr">
        <is>
          <t>Swiftly Tech Short Sleeve 2.0 WHWH 0</t>
        </is>
      </c>
      <c r="F1481" s="7" t="inlineStr">
        <is>
          <t>$68.00</t>
        </is>
      </c>
      <c r="G1481" s="7" t="inlineStr">
        <is>
          <t>$34.00</t>
        </is>
      </c>
      <c r="H1481" s="7" t="inlineStr">
        <is>
          <t>White/White</t>
        </is>
      </c>
      <c r="I1481" s="7">
        <f>IMAGE("https://images.lululemon.com/is/image/lululemon/12826",1)</f>
        <v/>
      </c>
      <c r="J1481" s="7" t="inlineStr">
        <is>
          <t>10</t>
        </is>
      </c>
      <c r="K1481" s="7" t="inlineStr">
        <is>
          <t>902/14154</t>
        </is>
      </c>
      <c r="L1481" s="7" t="inlineStr">
        <is>
          <t>Yes</t>
        </is>
      </c>
      <c r="M1481" s="7" t="inlineStr">
        <is>
          <t>Go ahead, get sweaty. The Swiftly collection is all about high-performing fabric that seamlessly adapts to you and your workout.</t>
        </is>
      </c>
      <c r="N1481" s="7" t="inlineStr">
        <is>
          <t>Swiftly-Tech-SS-2</t>
        </is>
      </c>
      <c r="O1481" s="7" t="inlineStr"/>
    </row>
    <row r="1482" ht="80" customHeight="1">
      <c r="A1482" s="4">
        <f>IMAGE("https://images.lululemon.com/is/image/lululemon/LW3DFNS_0572_1?wid=320&amp;op_usm=0.8",1)</f>
        <v/>
      </c>
      <c r="B1482" s="4" t="inlineStr">
        <is>
          <t>Swiftly Tech Short-Sleeve Shirt 2.0 *Hip Length</t>
        </is>
      </c>
      <c r="C1482" s="4" t="inlineStr">
        <is>
          <t>117125048</t>
        </is>
      </c>
      <c r="D1482" s="4" t="inlineStr">
        <is>
          <t>117125048-white/white</t>
        </is>
      </c>
      <c r="E1482" s="4" t="inlineStr">
        <is>
          <t>Swiftly Tech Short Sleeve 2.0 WHWH 0</t>
        </is>
      </c>
      <c r="F1482" s="4" t="inlineStr">
        <is>
          <t>$68.00</t>
        </is>
      </c>
      <c r="G1482" s="4" t="inlineStr">
        <is>
          <t>$34.00</t>
        </is>
      </c>
      <c r="H1482" s="4" t="inlineStr">
        <is>
          <t>White/White</t>
        </is>
      </c>
      <c r="I1482" s="4">
        <f>IMAGE("https://images.lululemon.com/is/image/lululemon/12826",1)</f>
        <v/>
      </c>
      <c r="J1482" s="4" t="inlineStr">
        <is>
          <t>12</t>
        </is>
      </c>
      <c r="K1482" s="4" t="inlineStr">
        <is>
          <t>174/14154</t>
        </is>
      </c>
      <c r="L1482" s="4" t="inlineStr">
        <is>
          <t>Yes</t>
        </is>
      </c>
      <c r="M1482" s="4" t="inlineStr">
        <is>
          <t>Go ahead, get sweaty. The Swiftly collection is all about high-performing fabric that seamlessly adapts to you and your workout.</t>
        </is>
      </c>
      <c r="N1482" s="4" t="inlineStr">
        <is>
          <t>Swiftly-Tech-SS-2</t>
        </is>
      </c>
      <c r="O1482" s="4" t="inlineStr"/>
    </row>
    <row r="1483" ht="80" customHeight="1">
      <c r="A1483" s="7">
        <f>IMAGE("https://images.lululemon.com/is/image/lululemon/LW3DFNS_0572_1?wid=320&amp;op_usm=0.8",1)</f>
        <v/>
      </c>
      <c r="B1483" s="7" t="inlineStr">
        <is>
          <t>Swiftly Tech Short-Sleeve Shirt 2.0 *Hip Length</t>
        </is>
      </c>
      <c r="C1483" s="7" t="inlineStr">
        <is>
          <t>117125050</t>
        </is>
      </c>
      <c r="D1483" s="7" t="inlineStr">
        <is>
          <t>117125050-white/white</t>
        </is>
      </c>
      <c r="E1483" s="7" t="inlineStr">
        <is>
          <t>Swiftly Tech Short Sleeve 2.0 WHWH 0</t>
        </is>
      </c>
      <c r="F1483" s="7" t="inlineStr">
        <is>
          <t>$68.00</t>
        </is>
      </c>
      <c r="G1483" s="7" t="inlineStr">
        <is>
          <t>$34.00</t>
        </is>
      </c>
      <c r="H1483" s="7" t="inlineStr">
        <is>
          <t>White/White</t>
        </is>
      </c>
      <c r="I1483" s="7">
        <f>IMAGE("https://images.lululemon.com/is/image/lululemon/12826",1)</f>
        <v/>
      </c>
      <c r="J1483" s="7" t="inlineStr">
        <is>
          <t>14</t>
        </is>
      </c>
      <c r="K1483" s="7" t="inlineStr">
        <is>
          <t>36/14154</t>
        </is>
      </c>
      <c r="L1483" s="7" t="inlineStr">
        <is>
          <t>Yes</t>
        </is>
      </c>
      <c r="M1483" s="7" t="inlineStr">
        <is>
          <t>Go ahead, get sweaty. The Swiftly collection is all about high-performing fabric that seamlessly adapts to you and your workout.</t>
        </is>
      </c>
      <c r="N1483" s="7" t="inlineStr">
        <is>
          <t>Swiftly-Tech-SS-2</t>
        </is>
      </c>
      <c r="O1483" s="7" t="inlineStr"/>
    </row>
    <row r="1484" ht="80" customHeight="1">
      <c r="A1484" s="4">
        <f>IMAGE("https://images.lululemon.com/is/image/lululemon/LW3DFNS_0572_1?wid=320&amp;op_usm=0.8",1)</f>
        <v/>
      </c>
      <c r="B1484" s="4" t="inlineStr">
        <is>
          <t>Swiftly Tech Short-Sleeve Shirt 2.0 *Hip Length</t>
        </is>
      </c>
      <c r="C1484" s="4" t="inlineStr">
        <is>
          <t>117125052</t>
        </is>
      </c>
      <c r="D1484" s="4" t="inlineStr">
        <is>
          <t>117125052-white/white</t>
        </is>
      </c>
      <c r="E1484" s="4" t="inlineStr">
        <is>
          <t>Swiftly Tech Short Sleeve 2.0 WHWH 0</t>
        </is>
      </c>
      <c r="F1484" s="4" t="inlineStr">
        <is>
          <t>$68.00</t>
        </is>
      </c>
      <c r="G1484" s="4" t="inlineStr">
        <is>
          <t>$34.00</t>
        </is>
      </c>
      <c r="H1484" s="4" t="inlineStr">
        <is>
          <t>White/White</t>
        </is>
      </c>
      <c r="I1484" s="4">
        <f>IMAGE("https://images.lululemon.com/is/image/lululemon/12826",1)</f>
        <v/>
      </c>
      <c r="J1484" s="4" t="inlineStr">
        <is>
          <t>16</t>
        </is>
      </c>
      <c r="K1484" s="4" t="inlineStr">
        <is>
          <t>17/14154</t>
        </is>
      </c>
      <c r="L1484" s="4" t="inlineStr">
        <is>
          <t>Yes</t>
        </is>
      </c>
      <c r="M1484" s="4" t="inlineStr">
        <is>
          <t>Go ahead, get sweaty. The Swiftly collection is all about high-performing fabric that seamlessly adapts to you and your workout.</t>
        </is>
      </c>
      <c r="N1484" s="4" t="inlineStr">
        <is>
          <t>Swiftly-Tech-SS-2</t>
        </is>
      </c>
      <c r="O1484" s="4" t="inlineStr"/>
    </row>
    <row r="1485" ht="80" customHeight="1">
      <c r="A1485" s="7">
        <f>IMAGE("https://images.lululemon.com/is/image/lululemon/LW3DFNS_0572_1?wid=320&amp;op_usm=0.8",1)</f>
        <v/>
      </c>
      <c r="B1485" s="7" t="inlineStr">
        <is>
          <t>Swiftly Tech Short-Sleeve Shirt 2.0 *Hip Length</t>
        </is>
      </c>
      <c r="C1485" s="7" t="inlineStr">
        <is>
          <t>117125053</t>
        </is>
      </c>
      <c r="D1485" s="7" t="inlineStr">
        <is>
          <t>117125053-white/white</t>
        </is>
      </c>
      <c r="E1485" s="7" t="inlineStr">
        <is>
          <t>Swiftly Tech Short Sleeve 2.0 WHWH 0</t>
        </is>
      </c>
      <c r="F1485" s="7" t="inlineStr">
        <is>
          <t>$68.00</t>
        </is>
      </c>
      <c r="G1485" s="7" t="inlineStr">
        <is>
          <t>$34.00</t>
        </is>
      </c>
      <c r="H1485" s="7" t="inlineStr">
        <is>
          <t>White/White</t>
        </is>
      </c>
      <c r="I1485" s="7">
        <f>IMAGE("https://images.lululemon.com/is/image/lululemon/12826",1)</f>
        <v/>
      </c>
      <c r="J1485" s="7" t="inlineStr">
        <is>
          <t>18</t>
        </is>
      </c>
      <c r="K1485" s="7" t="inlineStr">
        <is>
          <t>12/14154</t>
        </is>
      </c>
      <c r="L1485" s="7" t="inlineStr">
        <is>
          <t>Yes</t>
        </is>
      </c>
      <c r="M1485" s="7" t="inlineStr">
        <is>
          <t>Go ahead, get sweaty. The Swiftly collection is all about high-performing fabric that seamlessly adapts to you and your workout.</t>
        </is>
      </c>
      <c r="N1485" s="7" t="inlineStr">
        <is>
          <t>Swiftly-Tech-SS-2</t>
        </is>
      </c>
      <c r="O1485" s="7" t="inlineStr"/>
    </row>
    <row r="1486" ht="80" customHeight="1">
      <c r="A1486" s="4">
        <f>IMAGE("https://images.lululemon.com/is/image/lululemon/LW3DFNS_0572_1?wid=320&amp;op_usm=0.8",1)</f>
        <v/>
      </c>
      <c r="B1486" s="4" t="inlineStr">
        <is>
          <t>Swiftly Tech Short-Sleeve Shirt 2.0 *Hip Length</t>
        </is>
      </c>
      <c r="C1486" s="4" t="inlineStr">
        <is>
          <t>122850545</t>
        </is>
      </c>
      <c r="D1486" s="4" t="inlineStr">
        <is>
          <t>122850545-white/white</t>
        </is>
      </c>
      <c r="E1486" s="4" t="inlineStr">
        <is>
          <t>Swiftly Tech Short Sleeve 2.0 WHWH 0</t>
        </is>
      </c>
      <c r="F1486" s="4" t="inlineStr">
        <is>
          <t>$68.00</t>
        </is>
      </c>
      <c r="G1486" s="4" t="inlineStr">
        <is>
          <t>$34.00</t>
        </is>
      </c>
      <c r="H1486" s="4" t="inlineStr">
        <is>
          <t>White/White</t>
        </is>
      </c>
      <c r="I1486" s="4">
        <f>IMAGE("https://images.lululemon.com/is/image/lululemon/12826",1)</f>
        <v/>
      </c>
      <c r="J1486" s="4" t="inlineStr">
        <is>
          <t>20</t>
        </is>
      </c>
      <c r="K1486" s="4" t="inlineStr">
        <is>
          <t>9/14154</t>
        </is>
      </c>
      <c r="L1486" s="4" t="inlineStr">
        <is>
          <t>Yes</t>
        </is>
      </c>
      <c r="M1486" s="4" t="inlineStr">
        <is>
          <t>Go ahead, get sweaty. The Swiftly collection is all about high-performing fabric that seamlessly adapts to you and your workout.</t>
        </is>
      </c>
      <c r="N1486" s="4" t="inlineStr">
        <is>
          <t>Swiftly-Tech-SS-2</t>
        </is>
      </c>
      <c r="O1486" s="4" t="inlineStr"/>
    </row>
    <row r="1487" ht="80" customHeight="1">
      <c r="A1487" s="7">
        <f>IMAGE("https://images.lululemon.com/is/image/lululemon/LW3DFNS_0572_1?wid=320&amp;op_usm=0.8",1)</f>
        <v/>
      </c>
      <c r="B1487" s="7" t="inlineStr">
        <is>
          <t>Swiftly Tech Short-Sleeve Shirt 2.0 *Hip Length</t>
        </is>
      </c>
      <c r="C1487" s="7" t="inlineStr">
        <is>
          <t>117125099</t>
        </is>
      </c>
      <c r="D1487" s="7" t="inlineStr">
        <is>
          <t>117125099-slate/white</t>
        </is>
      </c>
      <c r="E1487" s="7" t="inlineStr">
        <is>
          <t>Swiftly Tech Short Sleeve 2.0 WHWH 0</t>
        </is>
      </c>
      <c r="F1487" s="7" t="inlineStr">
        <is>
          <t>$68.00</t>
        </is>
      </c>
      <c r="G1487" s="7" t="inlineStr">
        <is>
          <t>$34.00</t>
        </is>
      </c>
      <c r="H1487" s="7" t="inlineStr">
        <is>
          <t>Slate/White</t>
        </is>
      </c>
      <c r="I1487" s="7">
        <f>IMAGE("https://images.lululemon.com/is/image/lululemon/0572",1)</f>
        <v/>
      </c>
      <c r="J1487" s="7" t="inlineStr">
        <is>
          <t>0</t>
        </is>
      </c>
      <c r="K1487" s="7" t="inlineStr">
        <is>
          <t>10/14154</t>
        </is>
      </c>
      <c r="L1487" s="7" t="inlineStr">
        <is>
          <t>Yes</t>
        </is>
      </c>
      <c r="M1487" s="7" t="inlineStr">
        <is>
          <t>Go ahead, get sweaty. The Swiftly collection is all about high-performing fabric that seamlessly adapts to you and your workout.</t>
        </is>
      </c>
      <c r="N1487" s="7" t="inlineStr">
        <is>
          <t>Swiftly-Tech-SS-2</t>
        </is>
      </c>
      <c r="O1487" s="7" t="inlineStr"/>
    </row>
    <row r="1488" ht="80" customHeight="1">
      <c r="A1488" s="4">
        <f>IMAGE("https://images.lululemon.com/is/image/lululemon/LW3DFNS_0572_1?wid=320&amp;op_usm=0.8",1)</f>
        <v/>
      </c>
      <c r="B1488" s="4" t="inlineStr">
        <is>
          <t>Swiftly Tech Short-Sleeve Shirt 2.0 *Hip Length</t>
        </is>
      </c>
      <c r="C1488" s="4" t="inlineStr">
        <is>
          <t>117125109</t>
        </is>
      </c>
      <c r="D1488" s="4" t="inlineStr">
        <is>
          <t>117125109-slate/white</t>
        </is>
      </c>
      <c r="E1488" s="4" t="inlineStr">
        <is>
          <t>Swiftly Tech Short Sleeve 2.0 WHWH 0</t>
        </is>
      </c>
      <c r="F1488" s="4" t="inlineStr">
        <is>
          <t>$68.00</t>
        </is>
      </c>
      <c r="G1488" s="4" t="inlineStr">
        <is>
          <t>$34.00</t>
        </is>
      </c>
      <c r="H1488" s="4" t="inlineStr">
        <is>
          <t>Slate/White</t>
        </is>
      </c>
      <c r="I1488" s="4">
        <f>IMAGE("https://images.lululemon.com/is/image/lululemon/0572",1)</f>
        <v/>
      </c>
      <c r="J1488" s="4" t="inlineStr">
        <is>
          <t>2</t>
        </is>
      </c>
      <c r="K1488" s="4" t="inlineStr">
        <is>
          <t>174/14154</t>
        </is>
      </c>
      <c r="L1488" s="4" t="inlineStr">
        <is>
          <t>Yes</t>
        </is>
      </c>
      <c r="M1488" s="4" t="inlineStr">
        <is>
          <t>Go ahead, get sweaty. The Swiftly collection is all about high-performing fabric that seamlessly adapts to you and your workout.</t>
        </is>
      </c>
      <c r="N1488" s="4" t="inlineStr">
        <is>
          <t>Swiftly-Tech-SS-2</t>
        </is>
      </c>
      <c r="O1488" s="4" t="inlineStr"/>
    </row>
    <row r="1489" ht="80" customHeight="1">
      <c r="A1489" s="7">
        <f>IMAGE("https://images.lululemon.com/is/image/lululemon/LW3DFNS_0572_1?wid=320&amp;op_usm=0.8",1)</f>
        <v/>
      </c>
      <c r="B1489" s="7" t="inlineStr">
        <is>
          <t>Swiftly Tech Short-Sleeve Shirt 2.0 *Hip Length</t>
        </is>
      </c>
      <c r="C1489" s="7" t="inlineStr">
        <is>
          <t>117125110</t>
        </is>
      </c>
      <c r="D1489" s="7" t="inlineStr">
        <is>
          <t>117125110-slate/white</t>
        </is>
      </c>
      <c r="E1489" s="7" t="inlineStr">
        <is>
          <t>Swiftly Tech Short Sleeve 2.0 WHWH 0</t>
        </is>
      </c>
      <c r="F1489" s="7" t="inlineStr">
        <is>
          <t>$68.00</t>
        </is>
      </c>
      <c r="G1489" s="7" t="inlineStr">
        <is>
          <t>$34.00</t>
        </is>
      </c>
      <c r="H1489" s="7" t="inlineStr">
        <is>
          <t>Slate/White</t>
        </is>
      </c>
      <c r="I1489" s="7">
        <f>IMAGE("https://images.lululemon.com/is/image/lululemon/0572",1)</f>
        <v/>
      </c>
      <c r="J1489" s="7" t="inlineStr">
        <is>
          <t>4</t>
        </is>
      </c>
      <c r="K1489" s="7" t="inlineStr">
        <is>
          <t>617/14154</t>
        </is>
      </c>
      <c r="L1489" s="7" t="inlineStr">
        <is>
          <t>Yes</t>
        </is>
      </c>
      <c r="M1489" s="7" t="inlineStr">
        <is>
          <t>Go ahead, get sweaty. The Swiftly collection is all about high-performing fabric that seamlessly adapts to you and your workout.</t>
        </is>
      </c>
      <c r="N1489" s="7" t="inlineStr">
        <is>
          <t>Swiftly-Tech-SS-2</t>
        </is>
      </c>
      <c r="O1489" s="7" t="inlineStr"/>
    </row>
    <row r="1490" ht="80" customHeight="1">
      <c r="A1490" s="4">
        <f>IMAGE("https://images.lululemon.com/is/image/lululemon/LW3DFNS_0572_1?wid=320&amp;op_usm=0.8",1)</f>
        <v/>
      </c>
      <c r="B1490" s="4" t="inlineStr">
        <is>
          <t>Swiftly Tech Short-Sleeve Shirt 2.0 *Hip Length</t>
        </is>
      </c>
      <c r="C1490" s="4" t="inlineStr">
        <is>
          <t>117125114</t>
        </is>
      </c>
      <c r="D1490" s="4" t="inlineStr">
        <is>
          <t>117125114-slate/white</t>
        </is>
      </c>
      <c r="E1490" s="4" t="inlineStr">
        <is>
          <t>Swiftly Tech Short Sleeve 2.0 WHWH 0</t>
        </is>
      </c>
      <c r="F1490" s="4" t="inlineStr">
        <is>
          <t>$68.00</t>
        </is>
      </c>
      <c r="G1490" s="4" t="inlineStr">
        <is>
          <t>$34.00</t>
        </is>
      </c>
      <c r="H1490" s="4" t="inlineStr">
        <is>
          <t>Slate/White</t>
        </is>
      </c>
      <c r="I1490" s="4">
        <f>IMAGE("https://images.lululemon.com/is/image/lululemon/0572",1)</f>
        <v/>
      </c>
      <c r="J1490" s="4" t="inlineStr">
        <is>
          <t>6</t>
        </is>
      </c>
      <c r="K1490" s="4" t="inlineStr">
        <is>
          <t>837/14154</t>
        </is>
      </c>
      <c r="L1490" s="4" t="inlineStr">
        <is>
          <t>Yes</t>
        </is>
      </c>
      <c r="M1490" s="4" t="inlineStr">
        <is>
          <t>Go ahead, get sweaty. The Swiftly collection is all about high-performing fabric that seamlessly adapts to you and your workout.</t>
        </is>
      </c>
      <c r="N1490" s="4" t="inlineStr">
        <is>
          <t>Swiftly-Tech-SS-2</t>
        </is>
      </c>
      <c r="O1490" s="4" t="inlineStr"/>
    </row>
    <row r="1491" ht="80" customHeight="1">
      <c r="A1491" s="7">
        <f>IMAGE("https://images.lululemon.com/is/image/lululemon/LW3DFNS_0572_1?wid=320&amp;op_usm=0.8",1)</f>
        <v/>
      </c>
      <c r="B1491" s="7" t="inlineStr">
        <is>
          <t>Swiftly Tech Short-Sleeve Shirt 2.0 *Hip Length</t>
        </is>
      </c>
      <c r="C1491" s="7" t="inlineStr">
        <is>
          <t>117125115</t>
        </is>
      </c>
      <c r="D1491" s="7" t="inlineStr">
        <is>
          <t>117125115-slate/white</t>
        </is>
      </c>
      <c r="E1491" s="7" t="inlineStr">
        <is>
          <t>Swiftly Tech Short Sleeve 2.0 WHWH 0</t>
        </is>
      </c>
      <c r="F1491" s="7" t="inlineStr">
        <is>
          <t>$68.00</t>
        </is>
      </c>
      <c r="G1491" s="7" t="inlineStr">
        <is>
          <t>$34.00</t>
        </is>
      </c>
      <c r="H1491" s="7" t="inlineStr">
        <is>
          <t>Slate/White</t>
        </is>
      </c>
      <c r="I1491" s="7">
        <f>IMAGE("https://images.lululemon.com/is/image/lululemon/0572",1)</f>
        <v/>
      </c>
      <c r="J1491" s="7" t="inlineStr">
        <is>
          <t>8</t>
        </is>
      </c>
      <c r="K1491" s="7" t="inlineStr">
        <is>
          <t>902/14154</t>
        </is>
      </c>
      <c r="L1491" s="7" t="inlineStr">
        <is>
          <t>Yes</t>
        </is>
      </c>
      <c r="M1491" s="7" t="inlineStr">
        <is>
          <t>Go ahead, get sweaty. The Swiftly collection is all about high-performing fabric that seamlessly adapts to you and your workout.</t>
        </is>
      </c>
      <c r="N1491" s="7" t="inlineStr">
        <is>
          <t>Swiftly-Tech-SS-2</t>
        </is>
      </c>
      <c r="O1491" s="7" t="inlineStr"/>
    </row>
    <row r="1492" ht="80" customHeight="1">
      <c r="A1492" s="4">
        <f>IMAGE("https://images.lululemon.com/is/image/lululemon/LW3DFNS_0572_1?wid=320&amp;op_usm=0.8",1)</f>
        <v/>
      </c>
      <c r="B1492" s="4" t="inlineStr">
        <is>
          <t>Swiftly Tech Short-Sleeve Shirt 2.0 *Hip Length</t>
        </is>
      </c>
      <c r="C1492" s="4" t="inlineStr">
        <is>
          <t>117125101</t>
        </is>
      </c>
      <c r="D1492" s="4" t="inlineStr">
        <is>
          <t>117125101-slate/white</t>
        </is>
      </c>
      <c r="E1492" s="4" t="inlineStr">
        <is>
          <t>Swiftly Tech Short Sleeve 2.0 WHWH 0</t>
        </is>
      </c>
      <c r="F1492" s="4" t="inlineStr">
        <is>
          <t>$68.00</t>
        </is>
      </c>
      <c r="G1492" s="4" t="inlineStr">
        <is>
          <t>$34.00</t>
        </is>
      </c>
      <c r="H1492" s="4" t="inlineStr">
        <is>
          <t>Slate/White</t>
        </is>
      </c>
      <c r="I1492" s="4">
        <f>IMAGE("https://images.lululemon.com/is/image/lululemon/0572",1)</f>
        <v/>
      </c>
      <c r="J1492" s="4" t="inlineStr">
        <is>
          <t>10</t>
        </is>
      </c>
      <c r="K1492" s="4" t="inlineStr">
        <is>
          <t>825/14154</t>
        </is>
      </c>
      <c r="L1492" s="4" t="inlineStr">
        <is>
          <t>Yes</t>
        </is>
      </c>
      <c r="M1492" s="4" t="inlineStr">
        <is>
          <t>Go ahead, get sweaty. The Swiftly collection is all about high-performing fabric that seamlessly adapts to you and your workout.</t>
        </is>
      </c>
      <c r="N1492" s="4" t="inlineStr">
        <is>
          <t>Swiftly-Tech-SS-2</t>
        </is>
      </c>
      <c r="O1492" s="4" t="inlineStr"/>
    </row>
    <row r="1493" ht="80" customHeight="1">
      <c r="A1493" s="7">
        <f>IMAGE("https://images.lululemon.com/is/image/lululemon/LW3DFNS_0572_1?wid=320&amp;op_usm=0.8",1)</f>
        <v/>
      </c>
      <c r="B1493" s="7" t="inlineStr">
        <is>
          <t>Swiftly Tech Short-Sleeve Shirt 2.0 *Hip Length</t>
        </is>
      </c>
      <c r="C1493" s="7" t="inlineStr">
        <is>
          <t>117125102</t>
        </is>
      </c>
      <c r="D1493" s="7" t="inlineStr">
        <is>
          <t>117125102-slate/white</t>
        </is>
      </c>
      <c r="E1493" s="7" t="inlineStr">
        <is>
          <t>Swiftly Tech Short Sleeve 2.0 WHWH 0</t>
        </is>
      </c>
      <c r="F1493" s="7" t="inlineStr">
        <is>
          <t>$68.00</t>
        </is>
      </c>
      <c r="G1493" s="7" t="inlineStr">
        <is>
          <t>$34.00</t>
        </is>
      </c>
      <c r="H1493" s="7" t="inlineStr">
        <is>
          <t>Slate/White</t>
        </is>
      </c>
      <c r="I1493" s="7">
        <f>IMAGE("https://images.lululemon.com/is/image/lululemon/0572",1)</f>
        <v/>
      </c>
      <c r="J1493" s="7" t="inlineStr">
        <is>
          <t>12</t>
        </is>
      </c>
      <c r="K1493" s="7" t="inlineStr">
        <is>
          <t>286/14154</t>
        </is>
      </c>
      <c r="L1493" s="7" t="inlineStr">
        <is>
          <t>Yes</t>
        </is>
      </c>
      <c r="M1493" s="7" t="inlineStr">
        <is>
          <t>Go ahead, get sweaty. The Swiftly collection is all about high-performing fabric that seamlessly adapts to you and your workout.</t>
        </is>
      </c>
      <c r="N1493" s="7" t="inlineStr">
        <is>
          <t>Swiftly-Tech-SS-2</t>
        </is>
      </c>
      <c r="O1493" s="7" t="inlineStr"/>
    </row>
    <row r="1494" ht="80" customHeight="1">
      <c r="A1494" s="4">
        <f>IMAGE("https://images.lululemon.com/is/image/lululemon/LW3DFNS_0572_1?wid=320&amp;op_usm=0.8",1)</f>
        <v/>
      </c>
      <c r="B1494" s="4" t="inlineStr">
        <is>
          <t>Swiftly Tech Short-Sleeve Shirt 2.0 *Hip Length</t>
        </is>
      </c>
      <c r="C1494" s="4" t="inlineStr">
        <is>
          <t>117125105</t>
        </is>
      </c>
      <c r="D1494" s="4" t="inlineStr">
        <is>
          <t>117125105-slate/white</t>
        </is>
      </c>
      <c r="E1494" s="4" t="inlineStr">
        <is>
          <t>Swiftly Tech Short Sleeve 2.0 WHWH 0</t>
        </is>
      </c>
      <c r="F1494" s="4" t="inlineStr">
        <is>
          <t>$68.00</t>
        </is>
      </c>
      <c r="G1494" s="4" t="inlineStr">
        <is>
          <t>$34.00</t>
        </is>
      </c>
      <c r="H1494" s="4" t="inlineStr">
        <is>
          <t>Slate/White</t>
        </is>
      </c>
      <c r="I1494" s="4">
        <f>IMAGE("https://images.lululemon.com/is/image/lululemon/0572",1)</f>
        <v/>
      </c>
      <c r="J1494" s="4" t="inlineStr">
        <is>
          <t>14</t>
        </is>
      </c>
      <c r="K1494" s="4" t="inlineStr">
        <is>
          <t>109/14154</t>
        </is>
      </c>
      <c r="L1494" s="4" t="inlineStr">
        <is>
          <t>Yes</t>
        </is>
      </c>
      <c r="M1494" s="4" t="inlineStr">
        <is>
          <t>Go ahead, get sweaty. The Swiftly collection is all about high-performing fabric that seamlessly adapts to you and your workout.</t>
        </is>
      </c>
      <c r="N1494" s="4" t="inlineStr">
        <is>
          <t>Swiftly-Tech-SS-2</t>
        </is>
      </c>
      <c r="O1494" s="4" t="inlineStr"/>
    </row>
    <row r="1495" ht="80" customHeight="1">
      <c r="A1495" s="7">
        <f>IMAGE("https://images.lululemon.com/is/image/lululemon/LW3DFNS_0572_1?wid=320&amp;op_usm=0.8",1)</f>
        <v/>
      </c>
      <c r="B1495" s="7" t="inlineStr">
        <is>
          <t>Swiftly Tech Short-Sleeve Shirt 2.0 *Hip Length</t>
        </is>
      </c>
      <c r="C1495" s="7" t="inlineStr">
        <is>
          <t>117125107</t>
        </is>
      </c>
      <c r="D1495" s="7" t="inlineStr">
        <is>
          <t>117125107-slate/white</t>
        </is>
      </c>
      <c r="E1495" s="7" t="inlineStr">
        <is>
          <t>Swiftly Tech Short Sleeve 2.0 WHWH 0</t>
        </is>
      </c>
      <c r="F1495" s="7" t="inlineStr">
        <is>
          <t>$68.00</t>
        </is>
      </c>
      <c r="G1495" s="7" t="inlineStr">
        <is>
          <t>$34.00</t>
        </is>
      </c>
      <c r="H1495" s="7" t="inlineStr">
        <is>
          <t>Slate/White</t>
        </is>
      </c>
      <c r="I1495" s="7">
        <f>IMAGE("https://images.lululemon.com/is/image/lululemon/0572",1)</f>
        <v/>
      </c>
      <c r="J1495" s="7" t="inlineStr">
        <is>
          <t>16</t>
        </is>
      </c>
      <c r="K1495" s="7" t="inlineStr">
        <is>
          <t>47/14154</t>
        </is>
      </c>
      <c r="L1495" s="7" t="inlineStr">
        <is>
          <t>Yes</t>
        </is>
      </c>
      <c r="M1495" s="7" t="inlineStr">
        <is>
          <t>Go ahead, get sweaty. The Swiftly collection is all about high-performing fabric that seamlessly adapts to you and your workout.</t>
        </is>
      </c>
      <c r="N1495" s="7" t="inlineStr">
        <is>
          <t>Swiftly-Tech-SS-2</t>
        </is>
      </c>
      <c r="O1495" s="7" t="inlineStr"/>
    </row>
    <row r="1496" ht="80" customHeight="1">
      <c r="A1496" s="4">
        <f>IMAGE("https://images.lululemon.com/is/image/lululemon/LW3DFNS_0572_1?wid=320&amp;op_usm=0.8",1)</f>
        <v/>
      </c>
      <c r="B1496" s="4" t="inlineStr">
        <is>
          <t>Swiftly Tech Short-Sleeve Shirt 2.0 *Hip Length</t>
        </is>
      </c>
      <c r="C1496" s="4" t="inlineStr">
        <is>
          <t>146375725</t>
        </is>
      </c>
      <c r="D1496" s="4" t="inlineStr">
        <is>
          <t>146375725-black/black</t>
        </is>
      </c>
      <c r="E1496" s="4" t="inlineStr">
        <is>
          <t>Swiftly Tech Short Sleeve 2.0 WHWH 0</t>
        </is>
      </c>
      <c r="F1496" s="4" t="inlineStr">
        <is>
          <t>$68.00</t>
        </is>
      </c>
      <c r="G1496" s="4" t="inlineStr">
        <is>
          <t>$34.00</t>
        </is>
      </c>
      <c r="H1496" s="4" t="inlineStr">
        <is>
          <t>Black/Black</t>
        </is>
      </c>
      <c r="I1496" s="4">
        <f>IMAGE("https://images.lululemon.com/is/image/lululemon/4780",1)</f>
        <v/>
      </c>
      <c r="J1496" s="4" t="inlineStr">
        <is>
          <t>0</t>
        </is>
      </c>
      <c r="K1496" s="4" t="inlineStr">
        <is>
          <t>135/14154</t>
        </is>
      </c>
      <c r="L1496" s="4" t="inlineStr">
        <is>
          <t>Yes</t>
        </is>
      </c>
      <c r="M1496" s="4" t="inlineStr">
        <is>
          <t>Go ahead, get sweaty. The Swiftly collection is all about high-performing fabric that seamlessly adapts to you and your workout.</t>
        </is>
      </c>
      <c r="N1496" s="4" t="inlineStr">
        <is>
          <t>Swiftly-Tech-SS-2</t>
        </is>
      </c>
      <c r="O1496" s="4" t="inlineStr"/>
    </row>
    <row r="1497" ht="80" customHeight="1">
      <c r="A1497" s="7">
        <f>IMAGE("https://images.lululemon.com/is/image/lululemon/LW3DFNS_0572_1?wid=320&amp;op_usm=0.8",1)</f>
        <v/>
      </c>
      <c r="B1497" s="7" t="inlineStr">
        <is>
          <t>Swiftly Tech Short-Sleeve Shirt 2.0 *Hip Length</t>
        </is>
      </c>
      <c r="C1497" s="7" t="inlineStr">
        <is>
          <t>146375737</t>
        </is>
      </c>
      <c r="D1497" s="7" t="inlineStr">
        <is>
          <t>146375737-black/black</t>
        </is>
      </c>
      <c r="E1497" s="7" t="inlineStr">
        <is>
          <t>Swiftly Tech Short Sleeve 2.0 WHWH 0</t>
        </is>
      </c>
      <c r="F1497" s="7" t="inlineStr">
        <is>
          <t>$68.00</t>
        </is>
      </c>
      <c r="G1497" s="7" t="inlineStr">
        <is>
          <t>$34.00</t>
        </is>
      </c>
      <c r="H1497" s="7" t="inlineStr">
        <is>
          <t>Black/Black</t>
        </is>
      </c>
      <c r="I1497" s="7">
        <f>IMAGE("https://images.lululemon.com/is/image/lululemon/4780",1)</f>
        <v/>
      </c>
      <c r="J1497" s="7" t="inlineStr">
        <is>
          <t>2</t>
        </is>
      </c>
      <c r="K1497" s="7" t="inlineStr">
        <is>
          <t>400/14154</t>
        </is>
      </c>
      <c r="L1497" s="7" t="inlineStr">
        <is>
          <t>Yes</t>
        </is>
      </c>
      <c r="M1497" s="7" t="inlineStr">
        <is>
          <t>Go ahead, get sweaty. The Swiftly collection is all about high-performing fabric that seamlessly adapts to you and your workout.</t>
        </is>
      </c>
      <c r="N1497" s="7" t="inlineStr">
        <is>
          <t>Swiftly-Tech-SS-2</t>
        </is>
      </c>
      <c r="O1497" s="7" t="inlineStr"/>
    </row>
    <row r="1498" ht="80" customHeight="1">
      <c r="A1498" s="4">
        <f>IMAGE("https://images.lululemon.com/is/image/lululemon/LW3DFNS_0572_1?wid=320&amp;op_usm=0.8",1)</f>
        <v/>
      </c>
      <c r="B1498" s="4" t="inlineStr">
        <is>
          <t>Swiftly Tech Short-Sleeve Shirt 2.0 *Hip Length</t>
        </is>
      </c>
      <c r="C1498" s="4" t="inlineStr">
        <is>
          <t>146375746</t>
        </is>
      </c>
      <c r="D1498" s="4" t="inlineStr">
        <is>
          <t>146375746-black/black</t>
        </is>
      </c>
      <c r="E1498" s="4" t="inlineStr">
        <is>
          <t>Swiftly Tech Short Sleeve 2.0 WHWH 0</t>
        </is>
      </c>
      <c r="F1498" s="4" t="inlineStr">
        <is>
          <t>$68.00</t>
        </is>
      </c>
      <c r="G1498" s="4" t="inlineStr">
        <is>
          <t>$34.00</t>
        </is>
      </c>
      <c r="H1498" s="4" t="inlineStr">
        <is>
          <t>Black/Black</t>
        </is>
      </c>
      <c r="I1498" s="4">
        <f>IMAGE("https://images.lululemon.com/is/image/lululemon/4780",1)</f>
        <v/>
      </c>
      <c r="J1498" s="4" t="inlineStr">
        <is>
          <t>4</t>
        </is>
      </c>
      <c r="K1498" s="4" t="inlineStr">
        <is>
          <t>877/14154</t>
        </is>
      </c>
      <c r="L1498" s="4" t="inlineStr">
        <is>
          <t>Yes</t>
        </is>
      </c>
      <c r="M1498" s="4" t="inlineStr">
        <is>
          <t>Go ahead, get sweaty. The Swiftly collection is all about high-performing fabric that seamlessly adapts to you and your workout.</t>
        </is>
      </c>
      <c r="N1498" s="4" t="inlineStr">
        <is>
          <t>Swiftly-Tech-SS-2</t>
        </is>
      </c>
      <c r="O1498" s="4" t="inlineStr"/>
    </row>
    <row r="1499" ht="80" customHeight="1">
      <c r="A1499" s="7">
        <f>IMAGE("https://images.lululemon.com/is/image/lululemon/LW3DFNS_0572_1?wid=320&amp;op_usm=0.8",1)</f>
        <v/>
      </c>
      <c r="B1499" s="7" t="inlineStr">
        <is>
          <t>Swiftly Tech Short-Sleeve Shirt 2.0 *Hip Length</t>
        </is>
      </c>
      <c r="C1499" s="7" t="inlineStr">
        <is>
          <t>146375748</t>
        </is>
      </c>
      <c r="D1499" s="7" t="inlineStr">
        <is>
          <t>146375748-black/black</t>
        </is>
      </c>
      <c r="E1499" s="7" t="inlineStr">
        <is>
          <t>Swiftly Tech Short Sleeve 2.0 WHWH 0</t>
        </is>
      </c>
      <c r="F1499" s="7" t="inlineStr">
        <is>
          <t>$68.00</t>
        </is>
      </c>
      <c r="G1499" s="7" t="inlineStr">
        <is>
          <t>$34.00</t>
        </is>
      </c>
      <c r="H1499" s="7" t="inlineStr">
        <is>
          <t>Black/Black</t>
        </is>
      </c>
      <c r="I1499" s="7">
        <f>IMAGE("https://images.lululemon.com/is/image/lululemon/4780",1)</f>
        <v/>
      </c>
      <c r="J1499" s="7" t="inlineStr">
        <is>
          <t>6</t>
        </is>
      </c>
      <c r="K1499" s="7" t="inlineStr">
        <is>
          <t>995/14154</t>
        </is>
      </c>
      <c r="L1499" s="7" t="inlineStr">
        <is>
          <t>Yes</t>
        </is>
      </c>
      <c r="M1499" s="7" t="inlineStr">
        <is>
          <t>Go ahead, get sweaty. The Swiftly collection is all about high-performing fabric that seamlessly adapts to you and your workout.</t>
        </is>
      </c>
      <c r="N1499" s="7" t="inlineStr">
        <is>
          <t>Swiftly-Tech-SS-2</t>
        </is>
      </c>
      <c r="O1499" s="7" t="inlineStr"/>
    </row>
    <row r="1500" ht="80" customHeight="1">
      <c r="A1500" s="4">
        <f>IMAGE("https://images.lululemon.com/is/image/lululemon/LW3DFNS_0572_1?wid=320&amp;op_usm=0.8",1)</f>
        <v/>
      </c>
      <c r="B1500" s="4" t="inlineStr">
        <is>
          <t>Swiftly Tech Short-Sleeve Shirt 2.0 *Hip Length</t>
        </is>
      </c>
      <c r="C1500" s="4" t="inlineStr">
        <is>
          <t>146375750</t>
        </is>
      </c>
      <c r="D1500" s="4" t="inlineStr">
        <is>
          <t>146375750-black/black</t>
        </is>
      </c>
      <c r="E1500" s="4" t="inlineStr">
        <is>
          <t>Swiftly Tech Short Sleeve 2.0 WHWH 0</t>
        </is>
      </c>
      <c r="F1500" s="4" t="inlineStr">
        <is>
          <t>$68.00</t>
        </is>
      </c>
      <c r="G1500" s="4" t="inlineStr">
        <is>
          <t>$34.00</t>
        </is>
      </c>
      <c r="H1500" s="4" t="inlineStr">
        <is>
          <t>Black/Black</t>
        </is>
      </c>
      <c r="I1500" s="4">
        <f>IMAGE("https://images.lululemon.com/is/image/lululemon/4780",1)</f>
        <v/>
      </c>
      <c r="J1500" s="4" t="inlineStr">
        <is>
          <t>8</t>
        </is>
      </c>
      <c r="K1500" s="4" t="inlineStr">
        <is>
          <t>615/14154</t>
        </is>
      </c>
      <c r="L1500" s="4" t="inlineStr">
        <is>
          <t>Yes</t>
        </is>
      </c>
      <c r="M1500" s="4" t="inlineStr">
        <is>
          <t>Go ahead, get sweaty. The Swiftly collection is all about high-performing fabric that seamlessly adapts to you and your workout.</t>
        </is>
      </c>
      <c r="N1500" s="4" t="inlineStr">
        <is>
          <t>Swiftly-Tech-SS-2</t>
        </is>
      </c>
      <c r="O1500" s="4" t="inlineStr"/>
    </row>
    <row r="1501" ht="80" customHeight="1">
      <c r="A1501" s="7">
        <f>IMAGE("https://images.lululemon.com/is/image/lululemon/LW3DFNS_0572_1?wid=320&amp;op_usm=0.8",1)</f>
        <v/>
      </c>
      <c r="B1501" s="7" t="inlineStr">
        <is>
          <t>Swiftly Tech Short-Sleeve Shirt 2.0 *Hip Length</t>
        </is>
      </c>
      <c r="C1501" s="7" t="inlineStr">
        <is>
          <t>146375727</t>
        </is>
      </c>
      <c r="D1501" s="7" t="inlineStr">
        <is>
          <t>146375727-black/black</t>
        </is>
      </c>
      <c r="E1501" s="7" t="inlineStr">
        <is>
          <t>Swiftly Tech Short Sleeve 2.0 WHWH 0</t>
        </is>
      </c>
      <c r="F1501" s="7" t="inlineStr">
        <is>
          <t>$68.00</t>
        </is>
      </c>
      <c r="G1501" s="7" t="inlineStr">
        <is>
          <t>$34.00</t>
        </is>
      </c>
      <c r="H1501" s="7" t="inlineStr">
        <is>
          <t>Black/Black</t>
        </is>
      </c>
      <c r="I1501" s="7">
        <f>IMAGE("https://images.lululemon.com/is/image/lululemon/4780",1)</f>
        <v/>
      </c>
      <c r="J1501" s="7" t="inlineStr">
        <is>
          <t>10</t>
        </is>
      </c>
      <c r="K1501" s="7" t="inlineStr">
        <is>
          <t>251/14154</t>
        </is>
      </c>
      <c r="L1501" s="7" t="inlineStr">
        <is>
          <t>Yes</t>
        </is>
      </c>
      <c r="M1501" s="7" t="inlineStr">
        <is>
          <t>Go ahead, get sweaty. The Swiftly collection is all about high-performing fabric that seamlessly adapts to you and your workout.</t>
        </is>
      </c>
      <c r="N1501" s="7" t="inlineStr">
        <is>
          <t>Swiftly-Tech-SS-2</t>
        </is>
      </c>
      <c r="O1501" s="7" t="inlineStr"/>
    </row>
    <row r="1502" ht="80" customHeight="1">
      <c r="A1502" s="4">
        <f>IMAGE("https://images.lululemon.com/is/image/lululemon/LW3DFNS_0572_1?wid=320&amp;op_usm=0.8",1)</f>
        <v/>
      </c>
      <c r="B1502" s="4" t="inlineStr">
        <is>
          <t>Swiftly Tech Short-Sleeve Shirt 2.0 *Hip Length</t>
        </is>
      </c>
      <c r="C1502" s="4" t="inlineStr">
        <is>
          <t>117150130</t>
        </is>
      </c>
      <c r="D1502" s="4" t="inlineStr">
        <is>
          <t>117150130-black/black</t>
        </is>
      </c>
      <c r="E1502" s="4" t="inlineStr">
        <is>
          <t>Swiftly Tech Short Sleeve 2.0 WHWH 0</t>
        </is>
      </c>
      <c r="F1502" s="4" t="inlineStr">
        <is>
          <t>$68.00</t>
        </is>
      </c>
      <c r="G1502" s="4" t="inlineStr">
        <is>
          <t>$34.00</t>
        </is>
      </c>
      <c r="H1502" s="4" t="inlineStr">
        <is>
          <t>Black/Black</t>
        </is>
      </c>
      <c r="I1502" s="4">
        <f>IMAGE("https://images.lululemon.com/is/image/lululemon/4780",1)</f>
        <v/>
      </c>
      <c r="J1502" s="4" t="inlineStr">
        <is>
          <t>12</t>
        </is>
      </c>
      <c r="K1502" s="4" t="inlineStr">
        <is>
          <t>76/14154</t>
        </is>
      </c>
      <c r="L1502" s="4" t="inlineStr">
        <is>
          <t>Yes</t>
        </is>
      </c>
      <c r="M1502" s="4" t="inlineStr">
        <is>
          <t>Go ahead, get sweaty. The Swiftly collection is all about high-performing fabric that seamlessly adapts to you and your workout.</t>
        </is>
      </c>
      <c r="N1502" s="4" t="inlineStr">
        <is>
          <t>Swiftly-Tech-SS-2</t>
        </is>
      </c>
      <c r="O1502" s="4" t="inlineStr"/>
    </row>
    <row r="1503" ht="80" customHeight="1">
      <c r="A1503" s="7">
        <f>IMAGE("https://images.lululemon.com/is/image/lululemon/LW3DFNS_0572_1?wid=320&amp;op_usm=0.8",1)</f>
        <v/>
      </c>
      <c r="B1503" s="7" t="inlineStr">
        <is>
          <t>Swiftly Tech Short-Sleeve Shirt 2.0 *Hip Length</t>
        </is>
      </c>
      <c r="C1503" s="7" t="inlineStr">
        <is>
          <t>117150134</t>
        </is>
      </c>
      <c r="D1503" s="7" t="inlineStr">
        <is>
          <t>117150134-black/black</t>
        </is>
      </c>
      <c r="E1503" s="7" t="inlineStr">
        <is>
          <t>Swiftly Tech Short Sleeve 2.0 WHWH 0</t>
        </is>
      </c>
      <c r="F1503" s="7" t="inlineStr">
        <is>
          <t>$68.00</t>
        </is>
      </c>
      <c r="G1503" s="7" t="inlineStr">
        <is>
          <t>$34.00</t>
        </is>
      </c>
      <c r="H1503" s="7" t="inlineStr">
        <is>
          <t>Black/Black</t>
        </is>
      </c>
      <c r="I1503" s="7">
        <f>IMAGE("https://images.lululemon.com/is/image/lululemon/4780",1)</f>
        <v/>
      </c>
      <c r="J1503" s="7" t="inlineStr">
        <is>
          <t>14</t>
        </is>
      </c>
      <c r="K1503" s="7" t="inlineStr">
        <is>
          <t>27/14154</t>
        </is>
      </c>
      <c r="L1503" s="7" t="inlineStr">
        <is>
          <t>Yes</t>
        </is>
      </c>
      <c r="M1503" s="7" t="inlineStr">
        <is>
          <t>Go ahead, get sweaty. The Swiftly collection is all about high-performing fabric that seamlessly adapts to you and your workout.</t>
        </is>
      </c>
      <c r="N1503" s="7" t="inlineStr">
        <is>
          <t>Swiftly-Tech-SS-2</t>
        </is>
      </c>
      <c r="O1503" s="7" t="inlineStr"/>
    </row>
    <row r="1504" ht="80" customHeight="1">
      <c r="A1504" s="4">
        <f>IMAGE("https://images.lululemon.com/is/image/lululemon/LW3DFNS_0572_1?wid=320&amp;op_usm=0.8",1)</f>
        <v/>
      </c>
      <c r="B1504" s="4" t="inlineStr">
        <is>
          <t>Swiftly Tech Short-Sleeve Shirt 2.0 *Hip Length</t>
        </is>
      </c>
      <c r="C1504" s="4" t="inlineStr">
        <is>
          <t>117150137</t>
        </is>
      </c>
      <c r="D1504" s="4" t="inlineStr">
        <is>
          <t>117150137-black/black</t>
        </is>
      </c>
      <c r="E1504" s="4" t="inlineStr">
        <is>
          <t>Swiftly Tech Short Sleeve 2.0 WHWH 0</t>
        </is>
      </c>
      <c r="F1504" s="4" t="inlineStr">
        <is>
          <t>$68.00</t>
        </is>
      </c>
      <c r="G1504" s="4" t="inlineStr">
        <is>
          <t>$34.00</t>
        </is>
      </c>
      <c r="H1504" s="4" t="inlineStr">
        <is>
          <t>Black/Black</t>
        </is>
      </c>
      <c r="I1504" s="4">
        <f>IMAGE("https://images.lululemon.com/is/image/lululemon/4780",1)</f>
        <v/>
      </c>
      <c r="J1504" s="4" t="inlineStr">
        <is>
          <t>16</t>
        </is>
      </c>
      <c r="K1504" s="4" t="inlineStr">
        <is>
          <t>57/14154</t>
        </is>
      </c>
      <c r="L1504" s="4" t="inlineStr">
        <is>
          <t>Yes</t>
        </is>
      </c>
      <c r="M1504" s="4" t="inlineStr">
        <is>
          <t>Go ahead, get sweaty. The Swiftly collection is all about high-performing fabric that seamlessly adapts to you and your workout.</t>
        </is>
      </c>
      <c r="N1504" s="4" t="inlineStr">
        <is>
          <t>Swiftly-Tech-SS-2</t>
        </is>
      </c>
      <c r="O1504" s="4" t="inlineStr"/>
    </row>
    <row r="1505" ht="80" customHeight="1">
      <c r="A1505" s="7">
        <f>IMAGE("https://images.lululemon.com/is/image/lululemon/LW3DFNS_0572_1?wid=320&amp;op_usm=0.8",1)</f>
        <v/>
      </c>
      <c r="B1505" s="7" t="inlineStr">
        <is>
          <t>Swiftly Tech Short-Sleeve Shirt 2.0 *Hip Length</t>
        </is>
      </c>
      <c r="C1505" s="7" t="inlineStr">
        <is>
          <t>117150140</t>
        </is>
      </c>
      <c r="D1505" s="7" t="inlineStr">
        <is>
          <t>117150140-black/black</t>
        </is>
      </c>
      <c r="E1505" s="7" t="inlineStr">
        <is>
          <t>Swiftly Tech Short Sleeve 2.0 WHWH 0</t>
        </is>
      </c>
      <c r="F1505" s="7" t="inlineStr">
        <is>
          <t>$68.00</t>
        </is>
      </c>
      <c r="G1505" s="7" t="inlineStr">
        <is>
          <t>$34.00</t>
        </is>
      </c>
      <c r="H1505" s="7" t="inlineStr">
        <is>
          <t>Black/Black</t>
        </is>
      </c>
      <c r="I1505" s="7">
        <f>IMAGE("https://images.lululemon.com/is/image/lululemon/4780",1)</f>
        <v/>
      </c>
      <c r="J1505" s="7" t="inlineStr">
        <is>
          <t>18</t>
        </is>
      </c>
      <c r="K1505" s="7" t="inlineStr">
        <is>
          <t>42/14154</t>
        </is>
      </c>
      <c r="L1505" s="7" t="inlineStr">
        <is>
          <t>Yes</t>
        </is>
      </c>
      <c r="M1505" s="7" t="inlineStr">
        <is>
          <t>Go ahead, get sweaty. The Swiftly collection is all about high-performing fabric that seamlessly adapts to you and your workout.</t>
        </is>
      </c>
      <c r="N1505" s="7" t="inlineStr">
        <is>
          <t>Swiftly-Tech-SS-2</t>
        </is>
      </c>
      <c r="O1505" s="7" t="inlineStr"/>
    </row>
    <row r="1506" ht="80" customHeight="1">
      <c r="A1506" s="4">
        <f>IMAGE("https://images.lululemon.com/is/image/lululemon/LW3DFNS_0572_1?wid=320&amp;op_usm=0.8",1)</f>
        <v/>
      </c>
      <c r="B1506" s="4" t="inlineStr">
        <is>
          <t>Swiftly Tech Short-Sleeve Shirt 2.0 *Hip Length</t>
        </is>
      </c>
      <c r="C1506" s="4" t="inlineStr">
        <is>
          <t>122876168</t>
        </is>
      </c>
      <c r="D1506" s="4" t="inlineStr">
        <is>
          <t>122876168-black/black</t>
        </is>
      </c>
      <c r="E1506" s="4" t="inlineStr">
        <is>
          <t>Swiftly Tech Short Sleeve 2.0 WHWH 0</t>
        </is>
      </c>
      <c r="F1506" s="4" t="inlineStr">
        <is>
          <t>$68.00</t>
        </is>
      </c>
      <c r="G1506" s="4" t="inlineStr">
        <is>
          <t>$34.00</t>
        </is>
      </c>
      <c r="H1506" s="4" t="inlineStr">
        <is>
          <t>Black/Black</t>
        </is>
      </c>
      <c r="I1506" s="4">
        <f>IMAGE("https://images.lululemon.com/is/image/lululemon/4780",1)</f>
        <v/>
      </c>
      <c r="J1506" s="4" t="inlineStr">
        <is>
          <t>20</t>
        </is>
      </c>
      <c r="K1506" s="4" t="inlineStr">
        <is>
          <t>25/14154</t>
        </is>
      </c>
      <c r="L1506" s="4" t="inlineStr">
        <is>
          <t>Yes</t>
        </is>
      </c>
      <c r="M1506" s="4" t="inlineStr">
        <is>
          <t>Go ahead, get sweaty. The Swiftly collection is all about high-performing fabric that seamlessly adapts to you and your workout.</t>
        </is>
      </c>
      <c r="N1506" s="4" t="inlineStr">
        <is>
          <t>Swiftly-Tech-SS-2</t>
        </is>
      </c>
      <c r="O1506" s="4" t="inlineStr"/>
    </row>
    <row r="1507" ht="80" customHeight="1">
      <c r="A1507" s="7">
        <f>IMAGE("https://images.lululemon.com/is/image/lululemon/LW3DFNS_0572_1?wid=320&amp;op_usm=0.8",1)</f>
        <v/>
      </c>
      <c r="B1507" s="7" t="inlineStr">
        <is>
          <t>Swiftly Tech Short-Sleeve Shirt 2.0 *Hip Length</t>
        </is>
      </c>
      <c r="C1507" s="7" t="inlineStr">
        <is>
          <t>122876091</t>
        </is>
      </c>
      <c r="D1507" s="7" t="inlineStr">
        <is>
          <t>122876091-truenavy/truenavy</t>
        </is>
      </c>
      <c r="E1507" s="7" t="inlineStr">
        <is>
          <t>Swiftly Tech Short Sleeve 2.0 WHWH 0</t>
        </is>
      </c>
      <c r="F1507" s="7" t="inlineStr">
        <is>
          <t>$68.00</t>
        </is>
      </c>
      <c r="G1507" s="7" t="inlineStr">
        <is>
          <t>$34.00</t>
        </is>
      </c>
      <c r="H1507" s="7" t="inlineStr">
        <is>
          <t>True Navy/True Navy</t>
        </is>
      </c>
      <c r="I1507" s="7">
        <f>IMAGE("https://images.lululemon.com/is/image/lululemon/32664",1)</f>
        <v/>
      </c>
      <c r="J1507" s="7" t="inlineStr">
        <is>
          <t>0</t>
        </is>
      </c>
      <c r="K1507" s="7" t="inlineStr">
        <is>
          <t>9/14154</t>
        </is>
      </c>
      <c r="L1507" s="7" t="inlineStr">
        <is>
          <t>Yes</t>
        </is>
      </c>
      <c r="M1507" s="7" t="inlineStr">
        <is>
          <t>Go ahead, get sweaty. The Swiftly collection is all about high-performing fabric that seamlessly adapts to you and your workout.</t>
        </is>
      </c>
      <c r="N1507" s="7" t="inlineStr">
        <is>
          <t>Swiftly-Tech-SS-2</t>
        </is>
      </c>
      <c r="O1507" s="7" t="inlineStr"/>
    </row>
    <row r="1508" ht="80" customHeight="1">
      <c r="A1508" s="4">
        <f>IMAGE("https://images.lululemon.com/is/image/lululemon/LW3DFNS_0572_1?wid=320&amp;op_usm=0.8",1)</f>
        <v/>
      </c>
      <c r="B1508" s="4" t="inlineStr">
        <is>
          <t>Swiftly Tech Short-Sleeve Shirt 2.0 *Hip Length</t>
        </is>
      </c>
      <c r="C1508" s="4" t="inlineStr">
        <is>
          <t>153889561</t>
        </is>
      </c>
      <c r="D1508" s="4" t="inlineStr">
        <is>
          <t>153889561-truenavy/truenavy</t>
        </is>
      </c>
      <c r="E1508" s="4" t="inlineStr">
        <is>
          <t>Swiftly Tech Short Sleeve 2.0 WHWH 0</t>
        </is>
      </c>
      <c r="F1508" s="4" t="inlineStr">
        <is>
          <t>$68.00</t>
        </is>
      </c>
      <c r="G1508" s="4" t="inlineStr">
        <is>
          <t>$34.00</t>
        </is>
      </c>
      <c r="H1508" s="4" t="inlineStr">
        <is>
          <t>True Navy/True Navy</t>
        </is>
      </c>
      <c r="I1508" s="4">
        <f>IMAGE("https://images.lululemon.com/is/image/lululemon/32664",1)</f>
        <v/>
      </c>
      <c r="J1508" s="4" t="inlineStr">
        <is>
          <t>2</t>
        </is>
      </c>
      <c r="K1508" s="4" t="inlineStr">
        <is>
          <t>96/14154</t>
        </is>
      </c>
      <c r="L1508" s="4" t="inlineStr">
        <is>
          <t>Yes</t>
        </is>
      </c>
      <c r="M1508" s="4" t="inlineStr">
        <is>
          <t>Go ahead, get sweaty. The Swiftly collection is all about high-performing fabric that seamlessly adapts to you and your workout.</t>
        </is>
      </c>
      <c r="N1508" s="4" t="inlineStr">
        <is>
          <t>Swiftly-Tech-SS-2</t>
        </is>
      </c>
      <c r="O1508" s="4" t="inlineStr"/>
    </row>
    <row r="1509" ht="80" customHeight="1">
      <c r="A1509" s="7">
        <f>IMAGE("https://images.lululemon.com/is/image/lululemon/LW3DFNS_0572_1?wid=320&amp;op_usm=0.8",1)</f>
        <v/>
      </c>
      <c r="B1509" s="7" t="inlineStr">
        <is>
          <t>Swiftly Tech Short-Sleeve Shirt 2.0 *Hip Length</t>
        </is>
      </c>
      <c r="C1509" s="7" t="inlineStr">
        <is>
          <t>153889566</t>
        </is>
      </c>
      <c r="D1509" s="7" t="inlineStr">
        <is>
          <t>153889566-truenavy/truenavy</t>
        </is>
      </c>
      <c r="E1509" s="7" t="inlineStr">
        <is>
          <t>Swiftly Tech Short Sleeve 2.0 WHWH 0</t>
        </is>
      </c>
      <c r="F1509" s="7" t="inlineStr">
        <is>
          <t>$68.00</t>
        </is>
      </c>
      <c r="G1509" s="7" t="inlineStr">
        <is>
          <t>$34.00</t>
        </is>
      </c>
      <c r="H1509" s="7" t="inlineStr">
        <is>
          <t>True Navy/True Navy</t>
        </is>
      </c>
      <c r="I1509" s="7">
        <f>IMAGE("https://images.lululemon.com/is/image/lululemon/32664",1)</f>
        <v/>
      </c>
      <c r="J1509" s="7" t="inlineStr">
        <is>
          <t>4</t>
        </is>
      </c>
      <c r="K1509" s="7" t="inlineStr">
        <is>
          <t>323/14154</t>
        </is>
      </c>
      <c r="L1509" s="7" t="inlineStr">
        <is>
          <t>Yes</t>
        </is>
      </c>
      <c r="M1509" s="7" t="inlineStr">
        <is>
          <t>Go ahead, get sweaty. The Swiftly collection is all about high-performing fabric that seamlessly adapts to you and your workout.</t>
        </is>
      </c>
      <c r="N1509" s="7" t="inlineStr">
        <is>
          <t>Swiftly-Tech-SS-2</t>
        </is>
      </c>
      <c r="O1509" s="7" t="inlineStr"/>
    </row>
    <row r="1510" ht="80" customHeight="1">
      <c r="A1510" s="4">
        <f>IMAGE("https://images.lululemon.com/is/image/lululemon/LW3DFNS_0572_1?wid=320&amp;op_usm=0.8",1)</f>
        <v/>
      </c>
      <c r="B1510" s="4" t="inlineStr">
        <is>
          <t>Swiftly Tech Short-Sleeve Shirt 2.0 *Hip Length</t>
        </is>
      </c>
      <c r="C1510" s="4" t="inlineStr">
        <is>
          <t>153889567</t>
        </is>
      </c>
      <c r="D1510" s="4" t="inlineStr">
        <is>
          <t>153889567-truenavy/truenavy</t>
        </is>
      </c>
      <c r="E1510" s="4" t="inlineStr">
        <is>
          <t>Swiftly Tech Short Sleeve 2.0 WHWH 0</t>
        </is>
      </c>
      <c r="F1510" s="4" t="inlineStr">
        <is>
          <t>$68.00</t>
        </is>
      </c>
      <c r="G1510" s="4" t="inlineStr">
        <is>
          <t>$34.00</t>
        </is>
      </c>
      <c r="H1510" s="4" t="inlineStr">
        <is>
          <t>True Navy/True Navy</t>
        </is>
      </c>
      <c r="I1510" s="4">
        <f>IMAGE("https://images.lululemon.com/is/image/lululemon/32664",1)</f>
        <v/>
      </c>
      <c r="J1510" s="4" t="inlineStr">
        <is>
          <t>6</t>
        </is>
      </c>
      <c r="K1510" s="4" t="inlineStr">
        <is>
          <t>341/14154</t>
        </is>
      </c>
      <c r="L1510" s="4" t="inlineStr">
        <is>
          <t>Yes</t>
        </is>
      </c>
      <c r="M1510" s="4" t="inlineStr">
        <is>
          <t>Go ahead, get sweaty. The Swiftly collection is all about high-performing fabric that seamlessly adapts to you and your workout.</t>
        </is>
      </c>
      <c r="N1510" s="4" t="inlineStr">
        <is>
          <t>Swiftly-Tech-SS-2</t>
        </is>
      </c>
      <c r="O1510" s="4" t="inlineStr"/>
    </row>
    <row r="1511" ht="80" customHeight="1">
      <c r="A1511" s="7">
        <f>IMAGE("https://images.lululemon.com/is/image/lululemon/LW3DFNS_0572_1?wid=320&amp;op_usm=0.8",1)</f>
        <v/>
      </c>
      <c r="B1511" s="7" t="inlineStr">
        <is>
          <t>Swiftly Tech Short-Sleeve Shirt 2.0 *Hip Length</t>
        </is>
      </c>
      <c r="C1511" s="7" t="inlineStr">
        <is>
          <t>119725183</t>
        </is>
      </c>
      <c r="D1511" s="7" t="inlineStr">
        <is>
          <t>119725183-truenavy/truenavy</t>
        </is>
      </c>
      <c r="E1511" s="7" t="inlineStr">
        <is>
          <t>Swiftly Tech Short Sleeve 2.0 WHWH 0</t>
        </is>
      </c>
      <c r="F1511" s="7" t="inlineStr">
        <is>
          <t>$68.00</t>
        </is>
      </c>
      <c r="G1511" s="7" t="inlineStr">
        <is>
          <t>$34.00</t>
        </is>
      </c>
      <c r="H1511" s="7" t="inlineStr">
        <is>
          <t>True Navy/True Navy</t>
        </is>
      </c>
      <c r="I1511" s="7">
        <f>IMAGE("https://images.lululemon.com/is/image/lululemon/32664",1)</f>
        <v/>
      </c>
      <c r="J1511" s="7" t="inlineStr">
        <is>
          <t>8</t>
        </is>
      </c>
      <c r="K1511" s="7" t="inlineStr">
        <is>
          <t>398/14154</t>
        </is>
      </c>
      <c r="L1511" s="7" t="inlineStr">
        <is>
          <t>Yes</t>
        </is>
      </c>
      <c r="M1511" s="7" t="inlineStr">
        <is>
          <t>Go ahead, get sweaty. The Swiftly collection is all about high-performing fabric that seamlessly adapts to you and your workout.</t>
        </is>
      </c>
      <c r="N1511" s="7" t="inlineStr">
        <is>
          <t>Swiftly-Tech-SS-2</t>
        </is>
      </c>
      <c r="O1511" s="7" t="inlineStr"/>
    </row>
    <row r="1512" ht="80" customHeight="1">
      <c r="A1512" s="4">
        <f>IMAGE("https://images.lululemon.com/is/image/lululemon/LW3DFNS_0572_1?wid=320&amp;op_usm=0.8",1)</f>
        <v/>
      </c>
      <c r="B1512" s="4" t="inlineStr">
        <is>
          <t>Swiftly Tech Short-Sleeve Shirt 2.0 *Hip Length</t>
        </is>
      </c>
      <c r="C1512" s="4" t="inlineStr">
        <is>
          <t>119725160</t>
        </is>
      </c>
      <c r="D1512" s="4" t="inlineStr">
        <is>
          <t>119725160-truenavy/truenavy</t>
        </is>
      </c>
      <c r="E1512" s="4" t="inlineStr">
        <is>
          <t>Swiftly Tech Short Sleeve 2.0 WHWH 0</t>
        </is>
      </c>
      <c r="F1512" s="4" t="inlineStr">
        <is>
          <t>$68.00</t>
        </is>
      </c>
      <c r="G1512" s="4" t="inlineStr">
        <is>
          <t>$34.00</t>
        </is>
      </c>
      <c r="H1512" s="4" t="inlineStr">
        <is>
          <t>True Navy/True Navy</t>
        </is>
      </c>
      <c r="I1512" s="4">
        <f>IMAGE("https://images.lululemon.com/is/image/lululemon/32664",1)</f>
        <v/>
      </c>
      <c r="J1512" s="4" t="inlineStr">
        <is>
          <t>10</t>
        </is>
      </c>
      <c r="K1512" s="4" t="inlineStr">
        <is>
          <t>183/14154</t>
        </is>
      </c>
      <c r="L1512" s="4" t="inlineStr">
        <is>
          <t>Yes</t>
        </is>
      </c>
      <c r="M1512" s="4" t="inlineStr">
        <is>
          <t>Go ahead, get sweaty. The Swiftly collection is all about high-performing fabric that seamlessly adapts to you and your workout.</t>
        </is>
      </c>
      <c r="N1512" s="4" t="inlineStr">
        <is>
          <t>Swiftly-Tech-SS-2</t>
        </is>
      </c>
      <c r="O1512" s="4" t="inlineStr"/>
    </row>
    <row r="1513" ht="80" customHeight="1">
      <c r="A1513" s="7">
        <f>IMAGE("https://images.lululemon.com/is/image/lululemon/LW3DFNS_0572_1?wid=320&amp;op_usm=0.8",1)</f>
        <v/>
      </c>
      <c r="B1513" s="7" t="inlineStr">
        <is>
          <t>Swiftly Tech Short-Sleeve Shirt 2.0 *Hip Length</t>
        </is>
      </c>
      <c r="C1513" s="7" t="inlineStr">
        <is>
          <t>153889557</t>
        </is>
      </c>
      <c r="D1513" s="7" t="inlineStr">
        <is>
          <t>153889557-truenavy/truenavy</t>
        </is>
      </c>
      <c r="E1513" s="7" t="inlineStr">
        <is>
          <t>Swiftly Tech Short Sleeve 2.0 WHWH 0</t>
        </is>
      </c>
      <c r="F1513" s="7" t="inlineStr">
        <is>
          <t>$68.00</t>
        </is>
      </c>
      <c r="G1513" s="7" t="inlineStr">
        <is>
          <t>$34.00</t>
        </is>
      </c>
      <c r="H1513" s="7" t="inlineStr">
        <is>
          <t>True Navy/True Navy</t>
        </is>
      </c>
      <c r="I1513" s="7">
        <f>IMAGE("https://images.lululemon.com/is/image/lululemon/32664",1)</f>
        <v/>
      </c>
      <c r="J1513" s="7" t="inlineStr">
        <is>
          <t>12</t>
        </is>
      </c>
      <c r="K1513" s="7" t="inlineStr">
        <is>
          <t>40/14154</t>
        </is>
      </c>
      <c r="L1513" s="7" t="inlineStr">
        <is>
          <t>Yes</t>
        </is>
      </c>
      <c r="M1513" s="7" t="inlineStr">
        <is>
          <t>Go ahead, get sweaty. The Swiftly collection is all about high-performing fabric that seamlessly adapts to you and your workout.</t>
        </is>
      </c>
      <c r="N1513" s="7" t="inlineStr">
        <is>
          <t>Swiftly-Tech-SS-2</t>
        </is>
      </c>
      <c r="O1513" s="7" t="inlineStr"/>
    </row>
    <row r="1514" ht="80" customHeight="1">
      <c r="A1514" s="4">
        <f>IMAGE("https://images.lululemon.com/is/image/lululemon/LW3DFNS_0572_1?wid=320&amp;op_usm=0.8",1)</f>
        <v/>
      </c>
      <c r="B1514" s="4" t="inlineStr">
        <is>
          <t>Swiftly Tech Short-Sleeve Shirt 2.0 *Hip Length</t>
        </is>
      </c>
      <c r="C1514" s="4" t="inlineStr">
        <is>
          <t>119725173</t>
        </is>
      </c>
      <c r="D1514" s="4" t="inlineStr">
        <is>
          <t>119725173-truenavy/truenavy</t>
        </is>
      </c>
      <c r="E1514" s="4" t="inlineStr">
        <is>
          <t>Swiftly Tech Short Sleeve 2.0 WHWH 0</t>
        </is>
      </c>
      <c r="F1514" s="4" t="inlineStr">
        <is>
          <t>$68.00</t>
        </is>
      </c>
      <c r="G1514" s="4" t="inlineStr">
        <is>
          <t>$34.00</t>
        </is>
      </c>
      <c r="H1514" s="4" t="inlineStr">
        <is>
          <t>True Navy/True Navy</t>
        </is>
      </c>
      <c r="I1514" s="4">
        <f>IMAGE("https://images.lululemon.com/is/image/lululemon/32664",1)</f>
        <v/>
      </c>
      <c r="J1514" s="4" t="inlineStr">
        <is>
          <t>14</t>
        </is>
      </c>
      <c r="K1514" s="4" t="inlineStr">
        <is>
          <t>9/14154</t>
        </is>
      </c>
      <c r="L1514" s="4" t="inlineStr">
        <is>
          <t>Yes</t>
        </is>
      </c>
      <c r="M1514" s="4" t="inlineStr">
        <is>
          <t>Go ahead, get sweaty. The Swiftly collection is all about high-performing fabric that seamlessly adapts to you and your workout.</t>
        </is>
      </c>
      <c r="N1514" s="4" t="inlineStr">
        <is>
          <t>Swiftly-Tech-SS-2</t>
        </is>
      </c>
      <c r="O1514" s="4" t="inlineStr"/>
    </row>
    <row r="1515" ht="80" customHeight="1">
      <c r="A1515" s="7">
        <f>IMAGE("https://images.lululemon.com/is/image/lululemon/LW3DFNS_0572_1?wid=320&amp;op_usm=0.8",1)</f>
        <v/>
      </c>
      <c r="B1515" s="7" t="inlineStr">
        <is>
          <t>Swiftly Tech Short-Sleeve Shirt 2.0 *Hip Length</t>
        </is>
      </c>
      <c r="C1515" s="7" t="inlineStr">
        <is>
          <t>153889559</t>
        </is>
      </c>
      <c r="D1515" s="7" t="inlineStr">
        <is>
          <t>153889559-truenavy/truenavy</t>
        </is>
      </c>
      <c r="E1515" s="7" t="inlineStr">
        <is>
          <t>Swiftly Tech Short Sleeve 2.0 WHWH 0</t>
        </is>
      </c>
      <c r="F1515" s="7" t="inlineStr">
        <is>
          <t>$68.00</t>
        </is>
      </c>
      <c r="G1515" s="7" t="inlineStr">
        <is>
          <t>$34.00</t>
        </is>
      </c>
      <c r="H1515" s="7" t="inlineStr">
        <is>
          <t>True Navy/True Navy</t>
        </is>
      </c>
      <c r="I1515" s="7">
        <f>IMAGE("https://images.lululemon.com/is/image/lululemon/32664",1)</f>
        <v/>
      </c>
      <c r="J1515" s="7" t="inlineStr">
        <is>
          <t>16</t>
        </is>
      </c>
      <c r="K1515" s="7" t="inlineStr">
        <is>
          <t>6/14154</t>
        </is>
      </c>
      <c r="L1515" s="7" t="inlineStr">
        <is>
          <t>Yes</t>
        </is>
      </c>
      <c r="M1515" s="7" t="inlineStr">
        <is>
          <t>Go ahead, get sweaty. The Swiftly collection is all about high-performing fabric that seamlessly adapts to you and your workout.</t>
        </is>
      </c>
      <c r="N1515" s="7" t="inlineStr">
        <is>
          <t>Swiftly-Tech-SS-2</t>
        </is>
      </c>
      <c r="O1515" s="7" t="inlineStr"/>
    </row>
    <row r="1516" ht="80" customHeight="1">
      <c r="A1516" s="4">
        <f>IMAGE("https://images.lululemon.com/is/image/lululemon/LW3DFNS_0572_1?wid=320&amp;op_usm=0.8",1)</f>
        <v/>
      </c>
      <c r="B1516" s="4" t="inlineStr">
        <is>
          <t>Swiftly Tech Short-Sleeve Shirt 2.0 *Hip Length</t>
        </is>
      </c>
      <c r="C1516" s="4" t="inlineStr">
        <is>
          <t>122876093</t>
        </is>
      </c>
      <c r="D1516" s="4" t="inlineStr">
        <is>
          <t>122876093-truenavy/truenavy</t>
        </is>
      </c>
      <c r="E1516" s="4" t="inlineStr">
        <is>
          <t>Swiftly Tech Short Sleeve 2.0 WHWH 0</t>
        </is>
      </c>
      <c r="F1516" s="4" t="inlineStr">
        <is>
          <t>$68.00</t>
        </is>
      </c>
      <c r="G1516" s="4" t="inlineStr">
        <is>
          <t>$34.00</t>
        </is>
      </c>
      <c r="H1516" s="4" t="inlineStr">
        <is>
          <t>True Navy/True Navy</t>
        </is>
      </c>
      <c r="I1516" s="4">
        <f>IMAGE("https://images.lululemon.com/is/image/lululemon/32664",1)</f>
        <v/>
      </c>
      <c r="J1516" s="4" t="inlineStr">
        <is>
          <t>18</t>
        </is>
      </c>
      <c r="K1516" s="4" t="inlineStr">
        <is>
          <t>2/14154</t>
        </is>
      </c>
      <c r="L1516" s="4" t="inlineStr">
        <is>
          <t>Yes</t>
        </is>
      </c>
      <c r="M1516" s="4" t="inlineStr">
        <is>
          <t>Go ahead, get sweaty. The Swiftly collection is all about high-performing fabric that seamlessly adapts to you and your workout.</t>
        </is>
      </c>
      <c r="N1516" s="4" t="inlineStr">
        <is>
          <t>Swiftly-Tech-SS-2</t>
        </is>
      </c>
      <c r="O1516" s="4" t="inlineStr"/>
    </row>
    <row r="1517" ht="80" customHeight="1">
      <c r="A1517" s="7">
        <f>IMAGE("https://images.lululemon.com/is/image/lululemon/LW3DFNS_0572_1?wid=320&amp;op_usm=0.8",1)</f>
        <v/>
      </c>
      <c r="B1517" s="7" t="inlineStr">
        <is>
          <t>Swiftly Tech Short-Sleeve Shirt 2.0 *Hip Length</t>
        </is>
      </c>
      <c r="C1517" s="7" t="inlineStr">
        <is>
          <t>122876094</t>
        </is>
      </c>
      <c r="D1517" s="7" t="inlineStr">
        <is>
          <t>122876094-truenavy/truenavy</t>
        </is>
      </c>
      <c r="E1517" s="7" t="inlineStr">
        <is>
          <t>Swiftly Tech Short Sleeve 2.0 WHWH 0</t>
        </is>
      </c>
      <c r="F1517" s="7" t="inlineStr">
        <is>
          <t>$68.00</t>
        </is>
      </c>
      <c r="G1517" s="7" t="inlineStr">
        <is>
          <t>$34.00</t>
        </is>
      </c>
      <c r="H1517" s="7" t="inlineStr">
        <is>
          <t>True Navy/True Navy</t>
        </is>
      </c>
      <c r="I1517" s="7">
        <f>IMAGE("https://images.lululemon.com/is/image/lululemon/32664",1)</f>
        <v/>
      </c>
      <c r="J1517" s="7" t="inlineStr">
        <is>
          <t>20</t>
        </is>
      </c>
      <c r="K1517" s="7" t="inlineStr">
        <is>
          <t>1/14154</t>
        </is>
      </c>
      <c r="L1517" s="7" t="inlineStr">
        <is>
          <t>Yes</t>
        </is>
      </c>
      <c r="M1517" s="7" t="inlineStr">
        <is>
          <t>Go ahead, get sweaty. The Swiftly collection is all about high-performing fabric that seamlessly adapts to you and your workout.</t>
        </is>
      </c>
      <c r="N1517" s="7" t="inlineStr">
        <is>
          <t>Swiftly-Tech-SS-2</t>
        </is>
      </c>
      <c r="O1517" s="7" t="inlineStr"/>
    </row>
    <row r="1518" ht="80" customHeight="1">
      <c r="A1518" s="4">
        <f>IMAGE("https://images.lululemon.com/is/image/lululemon/LW3DFNS_0572_1?wid=320&amp;op_usm=0.8",1)</f>
        <v/>
      </c>
      <c r="B1518" s="4" t="inlineStr">
        <is>
          <t>Swiftly Tech Short-Sleeve Shirt 2.0 *Hip Length</t>
        </is>
      </c>
      <c r="C1518" s="4" t="inlineStr">
        <is>
          <t>157715044</t>
        </is>
      </c>
      <c r="D1518" s="4" t="inlineStr">
        <is>
          <t>157715044-blissfulpink/blissfulpink</t>
        </is>
      </c>
      <c r="E1518" s="4" t="inlineStr">
        <is>
          <t>Swiftly Tech Short Sleeve 2.0 WHWH 0</t>
        </is>
      </c>
      <c r="F1518" s="4" t="inlineStr">
        <is>
          <t>$68.00</t>
        </is>
      </c>
      <c r="G1518" s="4" t="inlineStr">
        <is>
          <t>$34.00</t>
        </is>
      </c>
      <c r="H1518" s="4" t="inlineStr">
        <is>
          <t>Blissful Pink/Blissful Pink</t>
        </is>
      </c>
      <c r="I1518" s="4">
        <f>IMAGE("https://images.lululemon.com/is/image/lululemon/35647",1)</f>
        <v/>
      </c>
      <c r="J1518" s="4" t="inlineStr">
        <is>
          <t>2</t>
        </is>
      </c>
      <c r="K1518" s="4" t="inlineStr">
        <is>
          <t>61/14154</t>
        </is>
      </c>
      <c r="L1518" s="4" t="inlineStr">
        <is>
          <t>Yes</t>
        </is>
      </c>
      <c r="M1518" s="4" t="inlineStr">
        <is>
          <t>Go ahead, get sweaty. The Swiftly collection is all about high-performing fabric that seamlessly adapts to you and your workout.</t>
        </is>
      </c>
      <c r="N1518" s="4" t="inlineStr">
        <is>
          <t>Swiftly-Tech-SS-2</t>
        </is>
      </c>
      <c r="O1518" s="4" t="inlineStr"/>
    </row>
    <row r="1519" ht="80" customHeight="1">
      <c r="A1519" s="7">
        <f>IMAGE("https://images.lululemon.com/is/image/lululemon/LW3DFNS_0572_1?wid=320&amp;op_usm=0.8",1)</f>
        <v/>
      </c>
      <c r="B1519" s="7" t="inlineStr">
        <is>
          <t>Swiftly Tech Short-Sleeve Shirt 2.0 *Hip Length</t>
        </is>
      </c>
      <c r="C1519" s="7" t="inlineStr">
        <is>
          <t>157715049</t>
        </is>
      </c>
      <c r="D1519" s="7" t="inlineStr">
        <is>
          <t>157715049-blissfulpink/blissfulpink</t>
        </is>
      </c>
      <c r="E1519" s="7" t="inlineStr">
        <is>
          <t>Swiftly Tech Short Sleeve 2.0 WHWH 0</t>
        </is>
      </c>
      <c r="F1519" s="7" t="inlineStr">
        <is>
          <t>$68.00</t>
        </is>
      </c>
      <c r="G1519" s="7" t="inlineStr">
        <is>
          <t>$34.00</t>
        </is>
      </c>
      <c r="H1519" s="7" t="inlineStr">
        <is>
          <t>Blissful Pink/Blissful Pink</t>
        </is>
      </c>
      <c r="I1519" s="7">
        <f>IMAGE("https://images.lululemon.com/is/image/lululemon/35647",1)</f>
        <v/>
      </c>
      <c r="J1519" s="7" t="inlineStr">
        <is>
          <t>4</t>
        </is>
      </c>
      <c r="K1519" s="7" t="inlineStr">
        <is>
          <t>141/14154</t>
        </is>
      </c>
      <c r="L1519" s="7" t="inlineStr">
        <is>
          <t>Yes</t>
        </is>
      </c>
      <c r="M1519" s="7" t="inlineStr">
        <is>
          <t>Go ahead, get sweaty. The Swiftly collection is all about high-performing fabric that seamlessly adapts to you and your workout.</t>
        </is>
      </c>
      <c r="N1519" s="7" t="inlineStr">
        <is>
          <t>Swiftly-Tech-SS-2</t>
        </is>
      </c>
      <c r="O1519" s="7" t="inlineStr"/>
    </row>
    <row r="1520" ht="80" customHeight="1">
      <c r="A1520" s="4">
        <f>IMAGE("https://images.lululemon.com/is/image/lululemon/LW3DFNS_0572_1?wid=320&amp;op_usm=0.8",1)</f>
        <v/>
      </c>
      <c r="B1520" s="4" t="inlineStr">
        <is>
          <t>Swiftly Tech Short-Sleeve Shirt 2.0 *Hip Length</t>
        </is>
      </c>
      <c r="C1520" s="4" t="inlineStr">
        <is>
          <t>157715053</t>
        </is>
      </c>
      <c r="D1520" s="4" t="inlineStr">
        <is>
          <t>157715053-blissfulpink/blissfulpink</t>
        </is>
      </c>
      <c r="E1520" s="4" t="inlineStr">
        <is>
          <t>Swiftly Tech Short Sleeve 2.0 WHWH 0</t>
        </is>
      </c>
      <c r="F1520" s="4" t="inlineStr">
        <is>
          <t>$68.00</t>
        </is>
      </c>
      <c r="G1520" s="4" t="inlineStr">
        <is>
          <t>$34.00</t>
        </is>
      </c>
      <c r="H1520" s="4" t="inlineStr">
        <is>
          <t>Blissful Pink/Blissful Pink</t>
        </is>
      </c>
      <c r="I1520" s="4">
        <f>IMAGE("https://images.lululemon.com/is/image/lululemon/35647",1)</f>
        <v/>
      </c>
      <c r="J1520" s="4" t="inlineStr">
        <is>
          <t>6</t>
        </is>
      </c>
      <c r="K1520" s="4" t="inlineStr">
        <is>
          <t>178/14154</t>
        </is>
      </c>
      <c r="L1520" s="4" t="inlineStr">
        <is>
          <t>Yes</t>
        </is>
      </c>
      <c r="M1520" s="4" t="inlineStr">
        <is>
          <t>Go ahead, get sweaty. The Swiftly collection is all about high-performing fabric that seamlessly adapts to you and your workout.</t>
        </is>
      </c>
      <c r="N1520" s="4" t="inlineStr">
        <is>
          <t>Swiftly-Tech-SS-2</t>
        </is>
      </c>
      <c r="O1520" s="4" t="inlineStr"/>
    </row>
    <row r="1521" ht="80" customHeight="1">
      <c r="A1521" s="7">
        <f>IMAGE("https://images.lululemon.com/is/image/lululemon/LW3DFNS_0572_1?wid=320&amp;op_usm=0.8",1)</f>
        <v/>
      </c>
      <c r="B1521" s="7" t="inlineStr">
        <is>
          <t>Swiftly Tech Short-Sleeve Shirt 2.0 *Hip Length</t>
        </is>
      </c>
      <c r="C1521" s="7" t="inlineStr">
        <is>
          <t>157715057</t>
        </is>
      </c>
      <c r="D1521" s="7" t="inlineStr">
        <is>
          <t>157715057-blissfulpink/blissfulpink</t>
        </is>
      </c>
      <c r="E1521" s="7" t="inlineStr">
        <is>
          <t>Swiftly Tech Short Sleeve 2.0 WHWH 0</t>
        </is>
      </c>
      <c r="F1521" s="7" t="inlineStr">
        <is>
          <t>$68.00</t>
        </is>
      </c>
      <c r="G1521" s="7" t="inlineStr">
        <is>
          <t>$34.00</t>
        </is>
      </c>
      <c r="H1521" s="7" t="inlineStr">
        <is>
          <t>Blissful Pink/Blissful Pink</t>
        </is>
      </c>
      <c r="I1521" s="7">
        <f>IMAGE("https://images.lululemon.com/is/image/lululemon/35647",1)</f>
        <v/>
      </c>
      <c r="J1521" s="7" t="inlineStr">
        <is>
          <t>8</t>
        </is>
      </c>
      <c r="K1521" s="7" t="inlineStr">
        <is>
          <t>159/14154</t>
        </is>
      </c>
      <c r="L1521" s="7" t="inlineStr">
        <is>
          <t>Yes</t>
        </is>
      </c>
      <c r="M1521" s="7" t="inlineStr">
        <is>
          <t>Go ahead, get sweaty. The Swiftly collection is all about high-performing fabric that seamlessly adapts to you and your workout.</t>
        </is>
      </c>
      <c r="N1521" s="7" t="inlineStr">
        <is>
          <t>Swiftly-Tech-SS-2</t>
        </is>
      </c>
      <c r="O1521" s="7" t="inlineStr"/>
    </row>
    <row r="1522" ht="80" customHeight="1">
      <c r="A1522" s="4">
        <f>IMAGE("https://images.lululemon.com/is/image/lululemon/LW3DFNS_0572_1?wid=320&amp;op_usm=0.8",1)</f>
        <v/>
      </c>
      <c r="B1522" s="4" t="inlineStr">
        <is>
          <t>Swiftly Tech Short-Sleeve Shirt 2.0 *Hip Length</t>
        </is>
      </c>
      <c r="C1522" s="4" t="inlineStr">
        <is>
          <t>157715038</t>
        </is>
      </c>
      <c r="D1522" s="4" t="inlineStr">
        <is>
          <t>157715038-blissfulpink/blissfulpink</t>
        </is>
      </c>
      <c r="E1522" s="4" t="inlineStr">
        <is>
          <t>Swiftly Tech Short Sleeve 2.0 WHWH 0</t>
        </is>
      </c>
      <c r="F1522" s="4" t="inlineStr">
        <is>
          <t>$68.00</t>
        </is>
      </c>
      <c r="G1522" s="4" t="inlineStr">
        <is>
          <t>$34.00</t>
        </is>
      </c>
      <c r="H1522" s="4" t="inlineStr">
        <is>
          <t>Blissful Pink/Blissful Pink</t>
        </is>
      </c>
      <c r="I1522" s="4">
        <f>IMAGE("https://images.lululemon.com/is/image/lululemon/35647",1)</f>
        <v/>
      </c>
      <c r="J1522" s="4" t="inlineStr">
        <is>
          <t>10</t>
        </is>
      </c>
      <c r="K1522" s="4" t="inlineStr">
        <is>
          <t>102/14154</t>
        </is>
      </c>
      <c r="L1522" s="4" t="inlineStr">
        <is>
          <t>Yes</t>
        </is>
      </c>
      <c r="M1522" s="4" t="inlineStr">
        <is>
          <t>Go ahead, get sweaty. The Swiftly collection is all about high-performing fabric that seamlessly adapts to you and your workout.</t>
        </is>
      </c>
      <c r="N1522" s="4" t="inlineStr">
        <is>
          <t>Swiftly-Tech-SS-2</t>
        </is>
      </c>
      <c r="O1522" s="4" t="inlineStr"/>
    </row>
    <row r="1523" ht="80" customHeight="1">
      <c r="A1523" s="7">
        <f>IMAGE("https://images.lululemon.com/is/image/lululemon/LW3DFNS_0572_1?wid=320&amp;op_usm=0.8",1)</f>
        <v/>
      </c>
      <c r="B1523" s="7" t="inlineStr">
        <is>
          <t>Swiftly Tech Short-Sleeve Shirt 2.0 *Hip Length</t>
        </is>
      </c>
      <c r="C1523" s="7" t="inlineStr">
        <is>
          <t>157715041</t>
        </is>
      </c>
      <c r="D1523" s="7" t="inlineStr">
        <is>
          <t>157715041-blissfulpink/blissfulpink</t>
        </is>
      </c>
      <c r="E1523" s="7" t="inlineStr">
        <is>
          <t>Swiftly Tech Short Sleeve 2.0 WHWH 0</t>
        </is>
      </c>
      <c r="F1523" s="7" t="inlineStr">
        <is>
          <t>$68.00</t>
        </is>
      </c>
      <c r="G1523" s="7" t="inlineStr">
        <is>
          <t>$34.00</t>
        </is>
      </c>
      <c r="H1523" s="7" t="inlineStr">
        <is>
          <t>Blissful Pink/Blissful Pink</t>
        </is>
      </c>
      <c r="I1523" s="7">
        <f>IMAGE("https://images.lululemon.com/is/image/lululemon/35647",1)</f>
        <v/>
      </c>
      <c r="J1523" s="7" t="inlineStr">
        <is>
          <t>12</t>
        </is>
      </c>
      <c r="K1523" s="7" t="inlineStr">
        <is>
          <t>41/14154</t>
        </is>
      </c>
      <c r="L1523" s="7" t="inlineStr">
        <is>
          <t>Yes</t>
        </is>
      </c>
      <c r="M1523" s="7" t="inlineStr">
        <is>
          <t>Go ahead, get sweaty. The Swiftly collection is all about high-performing fabric that seamlessly adapts to you and your workout.</t>
        </is>
      </c>
      <c r="N1523" s="7" t="inlineStr">
        <is>
          <t>Swiftly-Tech-SS-2</t>
        </is>
      </c>
      <c r="O1523" s="7" t="inlineStr"/>
    </row>
    <row r="1524" ht="80" customHeight="1">
      <c r="A1524" s="4">
        <f>IMAGE("https://images.lululemon.com/is/image/lululemon/LW3DFNS_0572_1?wid=320&amp;op_usm=0.8",1)</f>
        <v/>
      </c>
      <c r="B1524" s="4" t="inlineStr">
        <is>
          <t>Swiftly Tech Short-Sleeve Shirt 2.0 *Hip Length</t>
        </is>
      </c>
      <c r="C1524" s="4" t="inlineStr">
        <is>
          <t>156496961</t>
        </is>
      </c>
      <c r="D1524" s="4" t="inlineStr">
        <is>
          <t>156496961-proudcloud/proudcloud</t>
        </is>
      </c>
      <c r="E1524" s="4" t="inlineStr">
        <is>
          <t>Swiftly Tech Short Sleeve 2.0 WHWH 0</t>
        </is>
      </c>
      <c r="F1524" s="4" t="inlineStr">
        <is>
          <t>$68.00</t>
        </is>
      </c>
      <c r="G1524" s="4" t="inlineStr">
        <is>
          <t>$34.00</t>
        </is>
      </c>
      <c r="H1524" s="4" t="inlineStr">
        <is>
          <t>Proud Cloud/Proud Cloud</t>
        </is>
      </c>
      <c r="I1524" s="4">
        <f>IMAGE("https://images.lululemon.com/is/image/lululemon/68368",1)</f>
        <v/>
      </c>
      <c r="J1524" s="4" t="inlineStr">
        <is>
          <t>2</t>
        </is>
      </c>
      <c r="K1524" s="4" t="inlineStr">
        <is>
          <t>3/14154</t>
        </is>
      </c>
      <c r="L1524" s="4" t="inlineStr">
        <is>
          <t>Yes</t>
        </is>
      </c>
      <c r="M1524" s="4" t="inlineStr">
        <is>
          <t>Go ahead, get sweaty. The Swiftly collection is all about high-performing fabric that seamlessly adapts to you and your workout.</t>
        </is>
      </c>
      <c r="N1524" s="4" t="inlineStr">
        <is>
          <t>Swiftly-Tech-SS-2</t>
        </is>
      </c>
      <c r="O1524" s="4" t="inlineStr"/>
    </row>
    <row r="1525" ht="80" customHeight="1">
      <c r="A1525" s="7">
        <f>IMAGE("https://images.lululemon.com/is/image/lululemon/LW3DFNS_0572_1?wid=320&amp;op_usm=0.8",1)</f>
        <v/>
      </c>
      <c r="B1525" s="7" t="inlineStr">
        <is>
          <t>Swiftly Tech Short-Sleeve Shirt 2.0 *Hip Length</t>
        </is>
      </c>
      <c r="C1525" s="7" t="inlineStr">
        <is>
          <t>156497059</t>
        </is>
      </c>
      <c r="D1525" s="7" t="inlineStr">
        <is>
          <t>156497059-proudcloud/proudcloud</t>
        </is>
      </c>
      <c r="E1525" s="7" t="inlineStr">
        <is>
          <t>Swiftly Tech Short Sleeve 2.0 WHWH 0</t>
        </is>
      </c>
      <c r="F1525" s="7" t="inlineStr">
        <is>
          <t>$68.00</t>
        </is>
      </c>
      <c r="G1525" s="7" t="inlineStr">
        <is>
          <t>$34.00</t>
        </is>
      </c>
      <c r="H1525" s="7" t="inlineStr">
        <is>
          <t>Proud Cloud/Proud Cloud</t>
        </is>
      </c>
      <c r="I1525" s="7">
        <f>IMAGE("https://images.lululemon.com/is/image/lululemon/68368",1)</f>
        <v/>
      </c>
      <c r="J1525" s="7" t="inlineStr">
        <is>
          <t>4</t>
        </is>
      </c>
      <c r="K1525" s="7" t="inlineStr">
        <is>
          <t>32/14154</t>
        </is>
      </c>
      <c r="L1525" s="7" t="inlineStr">
        <is>
          <t>Yes</t>
        </is>
      </c>
      <c r="M1525" s="7" t="inlineStr">
        <is>
          <t>Go ahead, get sweaty. The Swiftly collection is all about high-performing fabric that seamlessly adapts to you and your workout.</t>
        </is>
      </c>
      <c r="N1525" s="7" t="inlineStr">
        <is>
          <t>Swiftly-Tech-SS-2</t>
        </is>
      </c>
      <c r="O1525" s="7" t="inlineStr"/>
    </row>
    <row r="1526" ht="80" customHeight="1">
      <c r="A1526" s="4">
        <f>IMAGE("https://images.lululemon.com/is/image/lululemon/LW3DFNS_0572_1?wid=320&amp;op_usm=0.8",1)</f>
        <v/>
      </c>
      <c r="B1526" s="4" t="inlineStr">
        <is>
          <t>Swiftly Tech Short-Sleeve Shirt 2.0 *Hip Length</t>
        </is>
      </c>
      <c r="C1526" s="4" t="inlineStr">
        <is>
          <t>156497079</t>
        </is>
      </c>
      <c r="D1526" s="4" t="inlineStr">
        <is>
          <t>156497079-proudcloud/proudcloud</t>
        </is>
      </c>
      <c r="E1526" s="4" t="inlineStr">
        <is>
          <t>Swiftly Tech Short Sleeve 2.0 WHWH 0</t>
        </is>
      </c>
      <c r="F1526" s="4" t="inlineStr">
        <is>
          <t>$68.00</t>
        </is>
      </c>
      <c r="G1526" s="4" t="inlineStr">
        <is>
          <t>$34.00</t>
        </is>
      </c>
      <c r="H1526" s="4" t="inlineStr">
        <is>
          <t>Proud Cloud/Proud Cloud</t>
        </is>
      </c>
      <c r="I1526" s="4">
        <f>IMAGE("https://images.lululemon.com/is/image/lululemon/68368",1)</f>
        <v/>
      </c>
      <c r="J1526" s="4" t="inlineStr">
        <is>
          <t>6</t>
        </is>
      </c>
      <c r="K1526" s="4" t="inlineStr">
        <is>
          <t>33/14154</t>
        </is>
      </c>
      <c r="L1526" s="4" t="inlineStr">
        <is>
          <t>Yes</t>
        </is>
      </c>
      <c r="M1526" s="4" t="inlineStr">
        <is>
          <t>Go ahead, get sweaty. The Swiftly collection is all about high-performing fabric that seamlessly adapts to you and your workout.</t>
        </is>
      </c>
      <c r="N1526" s="4" t="inlineStr">
        <is>
          <t>Swiftly-Tech-SS-2</t>
        </is>
      </c>
      <c r="O1526" s="4" t="inlineStr"/>
    </row>
    <row r="1527" ht="80" customHeight="1">
      <c r="A1527" s="7">
        <f>IMAGE("https://images.lululemon.com/is/image/lululemon/LW3DFNS_0572_1?wid=320&amp;op_usm=0.8",1)</f>
        <v/>
      </c>
      <c r="B1527" s="7" t="inlineStr">
        <is>
          <t>Swiftly Tech Short-Sleeve Shirt 2.0 *Hip Length</t>
        </is>
      </c>
      <c r="C1527" s="7" t="inlineStr">
        <is>
          <t>156497101</t>
        </is>
      </c>
      <c r="D1527" s="7" t="inlineStr">
        <is>
          <t>156497101-proudcloud/proudcloud</t>
        </is>
      </c>
      <c r="E1527" s="7" t="inlineStr">
        <is>
          <t>Swiftly Tech Short Sleeve 2.0 WHWH 0</t>
        </is>
      </c>
      <c r="F1527" s="7" t="inlineStr">
        <is>
          <t>$68.00</t>
        </is>
      </c>
      <c r="G1527" s="7" t="inlineStr">
        <is>
          <t>$34.00</t>
        </is>
      </c>
      <c r="H1527" s="7" t="inlineStr">
        <is>
          <t>Proud Cloud/Proud Cloud</t>
        </is>
      </c>
      <c r="I1527" s="7">
        <f>IMAGE("https://images.lululemon.com/is/image/lululemon/68368",1)</f>
        <v/>
      </c>
      <c r="J1527" s="7" t="inlineStr">
        <is>
          <t>8</t>
        </is>
      </c>
      <c r="K1527" s="7" t="inlineStr">
        <is>
          <t>12/14154</t>
        </is>
      </c>
      <c r="L1527" s="7" t="inlineStr">
        <is>
          <t>Yes</t>
        </is>
      </c>
      <c r="M1527" s="7" t="inlineStr">
        <is>
          <t>Go ahead, get sweaty. The Swiftly collection is all about high-performing fabric that seamlessly adapts to you and your workout.</t>
        </is>
      </c>
      <c r="N1527" s="7" t="inlineStr">
        <is>
          <t>Swiftly-Tech-SS-2</t>
        </is>
      </c>
      <c r="O1527" s="7" t="inlineStr"/>
    </row>
    <row r="1528" ht="80" customHeight="1">
      <c r="A1528" s="4">
        <f>IMAGE("https://images.lululemon.com/is/image/lululemon/LW3DFNS_0572_1?wid=320&amp;op_usm=0.8",1)</f>
        <v/>
      </c>
      <c r="B1528" s="4" t="inlineStr">
        <is>
          <t>Swiftly Tech Short-Sleeve Shirt 2.0 *Hip Length</t>
        </is>
      </c>
      <c r="C1528" s="4" t="inlineStr">
        <is>
          <t>156496862</t>
        </is>
      </c>
      <c r="D1528" s="4" t="inlineStr">
        <is>
          <t>156496862-proudcloud/proudcloud</t>
        </is>
      </c>
      <c r="E1528" s="4" t="inlineStr">
        <is>
          <t>Swiftly Tech Short Sleeve 2.0 WHWH 0</t>
        </is>
      </c>
      <c r="F1528" s="4" t="inlineStr">
        <is>
          <t>$68.00</t>
        </is>
      </c>
      <c r="G1528" s="4" t="inlineStr">
        <is>
          <t>$34.00</t>
        </is>
      </c>
      <c r="H1528" s="4" t="inlineStr">
        <is>
          <t>Proud Cloud/Proud Cloud</t>
        </is>
      </c>
      <c r="I1528" s="4">
        <f>IMAGE("https://images.lululemon.com/is/image/lululemon/68368",1)</f>
        <v/>
      </c>
      <c r="J1528" s="4" t="inlineStr">
        <is>
          <t>10</t>
        </is>
      </c>
      <c r="K1528" s="4" t="inlineStr">
        <is>
          <t>9/14154</t>
        </is>
      </c>
      <c r="L1528" s="4" t="inlineStr">
        <is>
          <t>Yes</t>
        </is>
      </c>
      <c r="M1528" s="4" t="inlineStr">
        <is>
          <t>Go ahead, get sweaty. The Swiftly collection is all about high-performing fabric that seamlessly adapts to you and your workout.</t>
        </is>
      </c>
      <c r="N1528" s="4" t="inlineStr">
        <is>
          <t>Swiftly-Tech-SS-2</t>
        </is>
      </c>
      <c r="O1528" s="4" t="inlineStr"/>
    </row>
    <row r="1529" ht="80" customHeight="1">
      <c r="A1529" s="7">
        <f>IMAGE("https://images.lululemon.com/is/image/lululemon/LW3DFNS_0572_1?wid=320&amp;op_usm=0.8",1)</f>
        <v/>
      </c>
      <c r="B1529" s="7" t="inlineStr">
        <is>
          <t>Swiftly Tech Short-Sleeve Shirt 2.0 *Hip Length</t>
        </is>
      </c>
      <c r="C1529" s="7" t="inlineStr">
        <is>
          <t>158029745</t>
        </is>
      </c>
      <c r="D1529" s="7" t="inlineStr">
        <is>
          <t>158029745-blackplum/blackplum</t>
        </is>
      </c>
      <c r="E1529" s="7" t="inlineStr">
        <is>
          <t>Swiftly Tech Short Sleeve 2.0 WHWH 0</t>
        </is>
      </c>
      <c r="F1529" s="7" t="inlineStr">
        <is>
          <t>$68.00</t>
        </is>
      </c>
      <c r="G1529" s="7" t="inlineStr">
        <is>
          <t>$34.00</t>
        </is>
      </c>
      <c r="H1529" s="7" t="inlineStr">
        <is>
          <t>Black Plum/Black Plum</t>
        </is>
      </c>
      <c r="I1529" s="7">
        <f>IMAGE("https://images.lululemon.com/is/image/lululemon/74379",1)</f>
        <v/>
      </c>
      <c r="J1529" s="7" t="inlineStr">
        <is>
          <t>2</t>
        </is>
      </c>
      <c r="K1529" s="7" t="inlineStr">
        <is>
          <t>30/14154</t>
        </is>
      </c>
      <c r="L1529" s="7" t="inlineStr">
        <is>
          <t>Yes</t>
        </is>
      </c>
      <c r="M1529" s="7" t="inlineStr">
        <is>
          <t>Go ahead, get sweaty. The Swiftly collection is all about high-performing fabric that seamlessly adapts to you and your workout.</t>
        </is>
      </c>
      <c r="N1529" s="7" t="inlineStr">
        <is>
          <t>Swiftly-Tech-SS-2</t>
        </is>
      </c>
      <c r="O1529" s="7" t="inlineStr"/>
    </row>
    <row r="1530" ht="80" customHeight="1">
      <c r="A1530" s="4">
        <f>IMAGE("https://images.lululemon.com/is/image/lululemon/LW3DFNS_0572_1?wid=320&amp;op_usm=0.8",1)</f>
        <v/>
      </c>
      <c r="B1530" s="4" t="inlineStr">
        <is>
          <t>Swiftly Tech Short-Sleeve Shirt 2.0 *Hip Length</t>
        </is>
      </c>
      <c r="C1530" s="4" t="inlineStr">
        <is>
          <t>158029747</t>
        </is>
      </c>
      <c r="D1530" s="4" t="inlineStr">
        <is>
          <t>158029747-blackplum/blackplum</t>
        </is>
      </c>
      <c r="E1530" s="4" t="inlineStr">
        <is>
          <t>Swiftly Tech Short Sleeve 2.0 WHWH 0</t>
        </is>
      </c>
      <c r="F1530" s="4" t="inlineStr">
        <is>
          <t>$68.00</t>
        </is>
      </c>
      <c r="G1530" s="4" t="inlineStr">
        <is>
          <t>$34.00</t>
        </is>
      </c>
      <c r="H1530" s="4" t="inlineStr">
        <is>
          <t>Black Plum/Black Plum</t>
        </is>
      </c>
      <c r="I1530" s="4">
        <f>IMAGE("https://images.lululemon.com/is/image/lululemon/74379",1)</f>
        <v/>
      </c>
      <c r="J1530" s="4" t="inlineStr">
        <is>
          <t>4</t>
        </is>
      </c>
      <c r="K1530" s="4" t="inlineStr">
        <is>
          <t>69/14154</t>
        </is>
      </c>
      <c r="L1530" s="4" t="inlineStr">
        <is>
          <t>Yes</t>
        </is>
      </c>
      <c r="M1530" s="4" t="inlineStr">
        <is>
          <t>Go ahead, get sweaty. The Swiftly collection is all about high-performing fabric that seamlessly adapts to you and your workout.</t>
        </is>
      </c>
      <c r="N1530" s="4" t="inlineStr">
        <is>
          <t>Swiftly-Tech-SS-2</t>
        </is>
      </c>
      <c r="O1530" s="4" t="inlineStr"/>
    </row>
    <row r="1531" ht="80" customHeight="1">
      <c r="A1531" s="7">
        <f>IMAGE("https://images.lululemon.com/is/image/lululemon/LW3DFNS_0572_1?wid=320&amp;op_usm=0.8",1)</f>
        <v/>
      </c>
      <c r="B1531" s="7" t="inlineStr">
        <is>
          <t>Swiftly Tech Short-Sleeve Shirt 2.0 *Hip Length</t>
        </is>
      </c>
      <c r="C1531" s="7" t="inlineStr">
        <is>
          <t>158029748</t>
        </is>
      </c>
      <c r="D1531" s="7" t="inlineStr">
        <is>
          <t>158029748-blackplum/blackplum</t>
        </is>
      </c>
      <c r="E1531" s="7" t="inlineStr">
        <is>
          <t>Swiftly Tech Short Sleeve 2.0 WHWH 0</t>
        </is>
      </c>
      <c r="F1531" s="7" t="inlineStr">
        <is>
          <t>$68.00</t>
        </is>
      </c>
      <c r="G1531" s="7" t="inlineStr">
        <is>
          <t>$34.00</t>
        </is>
      </c>
      <c r="H1531" s="7" t="inlineStr">
        <is>
          <t>Black Plum/Black Plum</t>
        </is>
      </c>
      <c r="I1531" s="7">
        <f>IMAGE("https://images.lululemon.com/is/image/lululemon/74379",1)</f>
        <v/>
      </c>
      <c r="J1531" s="7" t="inlineStr">
        <is>
          <t>6</t>
        </is>
      </c>
      <c r="K1531" s="7" t="inlineStr">
        <is>
          <t>76/14154</t>
        </is>
      </c>
      <c r="L1531" s="7" t="inlineStr">
        <is>
          <t>Yes</t>
        </is>
      </c>
      <c r="M1531" s="7" t="inlineStr">
        <is>
          <t>Go ahead, get sweaty. The Swiftly collection is all about high-performing fabric that seamlessly adapts to you and your workout.</t>
        </is>
      </c>
      <c r="N1531" s="7" t="inlineStr">
        <is>
          <t>Swiftly-Tech-SS-2</t>
        </is>
      </c>
      <c r="O1531" s="7" t="inlineStr"/>
    </row>
    <row r="1532" ht="80" customHeight="1">
      <c r="A1532" s="4">
        <f>IMAGE("https://images.lululemon.com/is/image/lululemon/LW3DFNS_0572_1?wid=320&amp;op_usm=0.8",1)</f>
        <v/>
      </c>
      <c r="B1532" s="4" t="inlineStr">
        <is>
          <t>Swiftly Tech Short-Sleeve Shirt 2.0 *Hip Length</t>
        </is>
      </c>
      <c r="C1532" s="4" t="inlineStr">
        <is>
          <t>158029749</t>
        </is>
      </c>
      <c r="D1532" s="4" t="inlineStr">
        <is>
          <t>158029749-blackplum/blackplum</t>
        </is>
      </c>
      <c r="E1532" s="4" t="inlineStr">
        <is>
          <t>Swiftly Tech Short Sleeve 2.0 WHWH 0</t>
        </is>
      </c>
      <c r="F1532" s="4" t="inlineStr">
        <is>
          <t>$68.00</t>
        </is>
      </c>
      <c r="G1532" s="4" t="inlineStr">
        <is>
          <t>$34.00</t>
        </is>
      </c>
      <c r="H1532" s="4" t="inlineStr">
        <is>
          <t>Black Plum/Black Plum</t>
        </is>
      </c>
      <c r="I1532" s="4">
        <f>IMAGE("https://images.lululemon.com/is/image/lululemon/74379",1)</f>
        <v/>
      </c>
      <c r="J1532" s="4" t="inlineStr">
        <is>
          <t>8</t>
        </is>
      </c>
      <c r="K1532" s="4" t="inlineStr">
        <is>
          <t>62/14154</t>
        </is>
      </c>
      <c r="L1532" s="4" t="inlineStr">
        <is>
          <t>Yes</t>
        </is>
      </c>
      <c r="M1532" s="4" t="inlineStr">
        <is>
          <t>Go ahead, get sweaty. The Swiftly collection is all about high-performing fabric that seamlessly adapts to you and your workout.</t>
        </is>
      </c>
      <c r="N1532" s="4" t="inlineStr">
        <is>
          <t>Swiftly-Tech-SS-2</t>
        </is>
      </c>
      <c r="O1532" s="4" t="inlineStr"/>
    </row>
    <row r="1533" ht="80" customHeight="1">
      <c r="A1533" s="7">
        <f>IMAGE("https://images.lululemon.com/is/image/lululemon/LW3DFNS_0572_1?wid=320&amp;op_usm=0.8",1)</f>
        <v/>
      </c>
      <c r="B1533" s="7" t="inlineStr">
        <is>
          <t>Swiftly Tech Short-Sleeve Shirt 2.0 *Hip Length</t>
        </is>
      </c>
      <c r="C1533" s="7" t="inlineStr">
        <is>
          <t>158029740</t>
        </is>
      </c>
      <c r="D1533" s="7" t="inlineStr">
        <is>
          <t>158029740-blackplum/blackplum</t>
        </is>
      </c>
      <c r="E1533" s="7" t="inlineStr">
        <is>
          <t>Swiftly Tech Short Sleeve 2.0 WHWH 0</t>
        </is>
      </c>
      <c r="F1533" s="7" t="inlineStr">
        <is>
          <t>$68.00</t>
        </is>
      </c>
      <c r="G1533" s="7" t="inlineStr">
        <is>
          <t>$34.00</t>
        </is>
      </c>
      <c r="H1533" s="7" t="inlineStr">
        <is>
          <t>Black Plum/Black Plum</t>
        </is>
      </c>
      <c r="I1533" s="7">
        <f>IMAGE("https://images.lululemon.com/is/image/lululemon/74379",1)</f>
        <v/>
      </c>
      <c r="J1533" s="7" t="inlineStr">
        <is>
          <t>10</t>
        </is>
      </c>
      <c r="K1533" s="7" t="inlineStr">
        <is>
          <t>23/14154</t>
        </is>
      </c>
      <c r="L1533" s="7" t="inlineStr">
        <is>
          <t>Yes</t>
        </is>
      </c>
      <c r="M1533" s="7" t="inlineStr">
        <is>
          <t>Go ahead, get sweaty. The Swiftly collection is all about high-performing fabric that seamlessly adapts to you and your workout.</t>
        </is>
      </c>
      <c r="N1533" s="7" t="inlineStr">
        <is>
          <t>Swiftly-Tech-SS-2</t>
        </is>
      </c>
      <c r="O1533" s="7" t="inlineStr"/>
    </row>
    <row r="1534" ht="80" customHeight="1">
      <c r="A1534" s="6">
        <f>IMAGE("https://images.lululemon.com/is/image/lululemon/LW3DFNS_0572_1?wid=320&amp;op_usm=0.8",1)</f>
        <v/>
      </c>
      <c r="B1534" s="6" t="inlineStr">
        <is>
          <t>Swiftly Tech Short-Sleeve Shirt 2.0 *Hip Length</t>
        </is>
      </c>
      <c r="C1534" s="6" t="inlineStr">
        <is>
          <t>158029741</t>
        </is>
      </c>
      <c r="D1534" s="6" t="inlineStr">
        <is>
          <t>158029741-blackplum/blackplum</t>
        </is>
      </c>
      <c r="E1534" s="6" t="inlineStr">
        <is>
          <t>Swiftly Tech Short Sleeve 2.0 WHWH 0</t>
        </is>
      </c>
      <c r="F1534" s="6" t="inlineStr">
        <is>
          <t>$68.00</t>
        </is>
      </c>
      <c r="G1534" s="6" t="inlineStr">
        <is>
          <t>$34.00</t>
        </is>
      </c>
      <c r="H1534" s="6" t="inlineStr">
        <is>
          <t>Black Plum/Black Plum</t>
        </is>
      </c>
      <c r="I1534" s="6">
        <f>IMAGE("https://images.lululemon.com/is/image/lululemon/74379",1)</f>
        <v/>
      </c>
      <c r="J1534" s="6" t="inlineStr">
        <is>
          <t>12</t>
        </is>
      </c>
      <c r="K1534" s="6" t="inlineStr">
        <is>
          <t>8/14154</t>
        </is>
      </c>
      <c r="L1534" s="6" t="inlineStr">
        <is>
          <t>Yes</t>
        </is>
      </c>
      <c r="M1534" s="6" t="inlineStr">
        <is>
          <t>Go ahead, get sweaty. The Swiftly collection is all about high-performing fabric that seamlessly adapts to you and your workout.</t>
        </is>
      </c>
      <c r="N1534" s="6" t="inlineStr">
        <is>
          <t>Swiftly-Tech-SS-2</t>
        </is>
      </c>
      <c r="O1534" s="6" t="inlineStr"/>
    </row>
    <row r="1535" ht="80" customHeight="1">
      <c r="A1535" s="7">
        <f>IMAGE("https://images.lululemon.com/is/image/lululemon/LW5CVMS_031382_1?wid=320&amp;op_usm=0.8",1)</f>
        <v/>
      </c>
      <c r="B1535" s="7" t="inlineStr">
        <is>
          <t>Adapted State High-Rise Jogger *Regular</t>
        </is>
      </c>
      <c r="C1535" s="7" t="inlineStr">
        <is>
          <t>125026704</t>
        </is>
      </c>
      <c r="D1535" s="7" t="inlineStr">
        <is>
          <t>125026704-black</t>
        </is>
      </c>
      <c r="E1535" s="7" t="inlineStr">
        <is>
          <t>Adapted State HR Jogger *Regular BLK 2</t>
        </is>
      </c>
      <c r="F1535" s="7" t="inlineStr">
        <is>
          <t>$128.00</t>
        </is>
      </c>
      <c r="G1535" s="7" t="inlineStr">
        <is>
          <t>$64.00</t>
        </is>
      </c>
      <c r="H1535" s="7" t="inlineStr">
        <is>
          <t>Black</t>
        </is>
      </c>
      <c r="I1535" s="7">
        <f>IMAGE("https://images.lululemon.com/is/image/lululemon/0001",1)</f>
        <v/>
      </c>
      <c r="J1535" s="7" t="inlineStr">
        <is>
          <t>2</t>
        </is>
      </c>
      <c r="K1535" s="7" t="inlineStr">
        <is>
          <t>223/4138</t>
        </is>
      </c>
      <c r="L1535" s="7" t="inlineStr">
        <is>
          <t>Yes</t>
        </is>
      </c>
      <c r="M1535" s="7" t="inlineStr">
        <is>
          <t>Think fast. The Adapted State joggers are all about quick transitions with fast-drying fabric and zippered cuffs that let you switch between activities (and outfits) effortlessly.</t>
        </is>
      </c>
      <c r="N1535" s="7" t="inlineStr">
        <is>
          <t>Adapted-State-Jogger</t>
        </is>
      </c>
      <c r="O1535" s="7" t="inlineStr"/>
    </row>
    <row r="1536" ht="80" customHeight="1">
      <c r="A1536" s="4">
        <f>IMAGE("https://images.lululemon.com/is/image/lululemon/LW5CVMS_031382_1?wid=320&amp;op_usm=0.8",1)</f>
        <v/>
      </c>
      <c r="B1536" s="4" t="inlineStr">
        <is>
          <t>Adapted State High-Rise Jogger *Regular</t>
        </is>
      </c>
      <c r="C1536" s="4" t="inlineStr">
        <is>
          <t>125026709</t>
        </is>
      </c>
      <c r="D1536" s="4" t="inlineStr">
        <is>
          <t>125026709-black</t>
        </is>
      </c>
      <c r="E1536" s="4" t="inlineStr">
        <is>
          <t>Adapted State HR Jogger *Regular BLK 2</t>
        </is>
      </c>
      <c r="F1536" s="4" t="inlineStr">
        <is>
          <t>$128.00</t>
        </is>
      </c>
      <c r="G1536" s="4" t="inlineStr">
        <is>
          <t>$64.00</t>
        </is>
      </c>
      <c r="H1536" s="4" t="inlineStr">
        <is>
          <t>Black</t>
        </is>
      </c>
      <c r="I1536" s="4">
        <f>IMAGE("https://images.lululemon.com/is/image/lululemon/0001",1)</f>
        <v/>
      </c>
      <c r="J1536" s="4" t="inlineStr">
        <is>
          <t>4</t>
        </is>
      </c>
      <c r="K1536" s="4" t="inlineStr">
        <is>
          <t>628/4138</t>
        </is>
      </c>
      <c r="L1536" s="4" t="inlineStr">
        <is>
          <t>Yes</t>
        </is>
      </c>
      <c r="M1536" s="4" t="inlineStr">
        <is>
          <t>Think fast. The Adapted State joggers are all about quick transitions with fast-drying fabric and zippered cuffs that let you switch between activities (and outfits) effortlessly.</t>
        </is>
      </c>
      <c r="N1536" s="4" t="inlineStr">
        <is>
          <t>Adapted-State-Jogger</t>
        </is>
      </c>
      <c r="O1536" s="4" t="inlineStr"/>
    </row>
    <row r="1537" ht="80" customHeight="1">
      <c r="A1537" s="7">
        <f>IMAGE("https://images.lululemon.com/is/image/lululemon/LW5CVMS_031382_1?wid=320&amp;op_usm=0.8",1)</f>
        <v/>
      </c>
      <c r="B1537" s="7" t="inlineStr">
        <is>
          <t>Adapted State High-Rise Jogger *Regular</t>
        </is>
      </c>
      <c r="C1537" s="7" t="inlineStr">
        <is>
          <t>125026710</t>
        </is>
      </c>
      <c r="D1537" s="7" t="inlineStr">
        <is>
          <t>125026710-black</t>
        </is>
      </c>
      <c r="E1537" s="7" t="inlineStr">
        <is>
          <t>Adapted State HR Jogger *Regular BLK 2</t>
        </is>
      </c>
      <c r="F1537" s="7" t="inlineStr">
        <is>
          <t>$128.00</t>
        </is>
      </c>
      <c r="G1537" s="7" t="inlineStr">
        <is>
          <t>$64.00</t>
        </is>
      </c>
      <c r="H1537" s="7" t="inlineStr">
        <is>
          <t>Black</t>
        </is>
      </c>
      <c r="I1537" s="7">
        <f>IMAGE("https://images.lululemon.com/is/image/lululemon/0001",1)</f>
        <v/>
      </c>
      <c r="J1537" s="7" t="inlineStr">
        <is>
          <t>6</t>
        </is>
      </c>
      <c r="K1537" s="7" t="inlineStr">
        <is>
          <t>712/4138</t>
        </is>
      </c>
      <c r="L1537" s="7" t="inlineStr">
        <is>
          <t>Yes</t>
        </is>
      </c>
      <c r="M1537" s="7" t="inlineStr">
        <is>
          <t>Think fast. The Adapted State joggers are all about quick transitions with fast-drying fabric and zippered cuffs that let you switch between activities (and outfits) effortlessly.</t>
        </is>
      </c>
      <c r="N1537" s="7" t="inlineStr">
        <is>
          <t>Adapted-State-Jogger</t>
        </is>
      </c>
      <c r="O1537" s="7" t="inlineStr"/>
    </row>
    <row r="1538" ht="80" customHeight="1">
      <c r="A1538" s="4">
        <f>IMAGE("https://images.lululemon.com/is/image/lululemon/LW5CVMS_031382_1?wid=320&amp;op_usm=0.8",1)</f>
        <v/>
      </c>
      <c r="B1538" s="4" t="inlineStr">
        <is>
          <t>Adapted State High-Rise Jogger *Regular</t>
        </is>
      </c>
      <c r="C1538" s="4" t="inlineStr">
        <is>
          <t>125026711</t>
        </is>
      </c>
      <c r="D1538" s="4" t="inlineStr">
        <is>
          <t>125026711-black</t>
        </is>
      </c>
      <c r="E1538" s="4" t="inlineStr">
        <is>
          <t>Adapted State HR Jogger *Regular BLK 2</t>
        </is>
      </c>
      <c r="F1538" s="4" t="inlineStr">
        <is>
          <t>$128.00</t>
        </is>
      </c>
      <c r="G1538" s="4" t="inlineStr">
        <is>
          <t>$64.00</t>
        </is>
      </c>
      <c r="H1538" s="4" t="inlineStr">
        <is>
          <t>Black</t>
        </is>
      </c>
      <c r="I1538" s="4">
        <f>IMAGE("https://images.lululemon.com/is/image/lululemon/0001",1)</f>
        <v/>
      </c>
      <c r="J1538" s="4" t="inlineStr">
        <is>
          <t>8</t>
        </is>
      </c>
      <c r="K1538" s="4" t="inlineStr">
        <is>
          <t>204/4138</t>
        </is>
      </c>
      <c r="L1538" s="4" t="inlineStr">
        <is>
          <t>Yes</t>
        </is>
      </c>
      <c r="M1538" s="4" t="inlineStr">
        <is>
          <t>Think fast. The Adapted State joggers are all about quick transitions with fast-drying fabric and zippered cuffs that let you switch between activities (and outfits) effortlessly.</t>
        </is>
      </c>
      <c r="N1538" s="4" t="inlineStr">
        <is>
          <t>Adapted-State-Jogger</t>
        </is>
      </c>
      <c r="O1538" s="4" t="inlineStr"/>
    </row>
    <row r="1539" ht="80" customHeight="1">
      <c r="A1539" s="7">
        <f>IMAGE("https://images.lululemon.com/is/image/lululemon/LW5CVMS_031382_1?wid=320&amp;op_usm=0.8",1)</f>
        <v/>
      </c>
      <c r="B1539" s="7" t="inlineStr">
        <is>
          <t>Adapted State High-Rise Jogger *Regular</t>
        </is>
      </c>
      <c r="C1539" s="7" t="inlineStr">
        <is>
          <t>125026699</t>
        </is>
      </c>
      <c r="D1539" s="7" t="inlineStr">
        <is>
          <t>125026699-black</t>
        </is>
      </c>
      <c r="E1539" s="7" t="inlineStr">
        <is>
          <t>Adapted State HR Jogger *Regular BLK 2</t>
        </is>
      </c>
      <c r="F1539" s="7" t="inlineStr">
        <is>
          <t>$128.00</t>
        </is>
      </c>
      <c r="G1539" s="7" t="inlineStr">
        <is>
          <t>$64.00</t>
        </is>
      </c>
      <c r="H1539" s="7" t="inlineStr">
        <is>
          <t>Black</t>
        </is>
      </c>
      <c r="I1539" s="7">
        <f>IMAGE("https://images.lululemon.com/is/image/lululemon/0001",1)</f>
        <v/>
      </c>
      <c r="J1539" s="7" t="inlineStr">
        <is>
          <t>10</t>
        </is>
      </c>
      <c r="K1539" s="7" t="inlineStr">
        <is>
          <t>16/4138</t>
        </is>
      </c>
      <c r="L1539" s="7" t="inlineStr">
        <is>
          <t>Yes</t>
        </is>
      </c>
      <c r="M1539" s="7" t="inlineStr">
        <is>
          <t>Think fast. The Adapted State joggers are all about quick transitions with fast-drying fabric and zippered cuffs that let you switch between activities (and outfits) effortlessly.</t>
        </is>
      </c>
      <c r="N1539" s="7" t="inlineStr">
        <is>
          <t>Adapted-State-Jogger</t>
        </is>
      </c>
      <c r="O1539" s="7" t="inlineStr"/>
    </row>
    <row r="1540" ht="80" customHeight="1">
      <c r="A1540" s="4">
        <f>IMAGE("https://images.lululemon.com/is/image/lululemon/LW5CVMS_031382_1?wid=320&amp;op_usm=0.8",1)</f>
        <v/>
      </c>
      <c r="B1540" s="4" t="inlineStr">
        <is>
          <t>Adapted State High-Rise Jogger *Regular</t>
        </is>
      </c>
      <c r="C1540" s="4" t="inlineStr">
        <is>
          <t>125026700</t>
        </is>
      </c>
      <c r="D1540" s="4" t="inlineStr">
        <is>
          <t>125026700-black</t>
        </is>
      </c>
      <c r="E1540" s="4" t="inlineStr">
        <is>
          <t>Adapted State HR Jogger *Regular BLK 2</t>
        </is>
      </c>
      <c r="F1540" s="4" t="inlineStr">
        <is>
          <t>$128.00</t>
        </is>
      </c>
      <c r="G1540" s="4" t="inlineStr">
        <is>
          <t>$64.00</t>
        </is>
      </c>
      <c r="H1540" s="4" t="inlineStr">
        <is>
          <t>Black</t>
        </is>
      </c>
      <c r="I1540" s="4">
        <f>IMAGE("https://images.lululemon.com/is/image/lululemon/0001",1)</f>
        <v/>
      </c>
      <c r="J1540" s="4" t="inlineStr">
        <is>
          <t>12</t>
        </is>
      </c>
      <c r="K1540" s="4" t="inlineStr">
        <is>
          <t>25/4138</t>
        </is>
      </c>
      <c r="L1540" s="4" t="inlineStr">
        <is>
          <t>Yes</t>
        </is>
      </c>
      <c r="M1540" s="4" t="inlineStr">
        <is>
          <t>Think fast. The Adapted State joggers are all about quick transitions with fast-drying fabric and zippered cuffs that let you switch between activities (and outfits) effortlessly.</t>
        </is>
      </c>
      <c r="N1540" s="4" t="inlineStr">
        <is>
          <t>Adapted-State-Jogger</t>
        </is>
      </c>
      <c r="O1540" s="4" t="inlineStr"/>
    </row>
    <row r="1541" ht="80" customHeight="1">
      <c r="A1541" s="7">
        <f>IMAGE("https://images.lululemon.com/is/image/lululemon/LW5CVMS_031382_1?wid=320&amp;op_usm=0.8",1)</f>
        <v/>
      </c>
      <c r="B1541" s="7" t="inlineStr">
        <is>
          <t>Adapted State High-Rise Jogger *Regular</t>
        </is>
      </c>
      <c r="C1541" s="7" t="inlineStr">
        <is>
          <t>125026701</t>
        </is>
      </c>
      <c r="D1541" s="7" t="inlineStr">
        <is>
          <t>125026701-black</t>
        </is>
      </c>
      <c r="E1541" s="7" t="inlineStr">
        <is>
          <t>Adapted State HR Jogger *Regular BLK 2</t>
        </is>
      </c>
      <c r="F1541" s="7" t="inlineStr">
        <is>
          <t>$128.00</t>
        </is>
      </c>
      <c r="G1541" s="7" t="inlineStr">
        <is>
          <t>$64.00</t>
        </is>
      </c>
      <c r="H1541" s="7" t="inlineStr">
        <is>
          <t>Black</t>
        </is>
      </c>
      <c r="I1541" s="7">
        <f>IMAGE("https://images.lululemon.com/is/image/lululemon/0001",1)</f>
        <v/>
      </c>
      <c r="J1541" s="7" t="inlineStr">
        <is>
          <t>14</t>
        </is>
      </c>
      <c r="K1541" s="7" t="inlineStr">
        <is>
          <t>14/4138</t>
        </is>
      </c>
      <c r="L1541" s="7" t="inlineStr">
        <is>
          <t>Yes</t>
        </is>
      </c>
      <c r="M1541" s="7" t="inlineStr">
        <is>
          <t>Think fast. The Adapted State joggers are all about quick transitions with fast-drying fabric and zippered cuffs that let you switch between activities (and outfits) effortlessly.</t>
        </is>
      </c>
      <c r="N1541" s="7" t="inlineStr">
        <is>
          <t>Adapted-State-Jogger</t>
        </is>
      </c>
      <c r="O1541" s="7" t="inlineStr"/>
    </row>
    <row r="1542" ht="80" customHeight="1">
      <c r="A1542" s="4">
        <f>IMAGE("https://images.lululemon.com/is/image/lululemon/LW5CVMS_031382_1?wid=320&amp;op_usm=0.8",1)</f>
        <v/>
      </c>
      <c r="B1542" s="4" t="inlineStr">
        <is>
          <t>Adapted State High-Rise Jogger *Regular</t>
        </is>
      </c>
      <c r="C1542" s="4" t="inlineStr">
        <is>
          <t>125026702</t>
        </is>
      </c>
      <c r="D1542" s="4" t="inlineStr">
        <is>
          <t>125026702-black</t>
        </is>
      </c>
      <c r="E1542" s="4" t="inlineStr">
        <is>
          <t>Adapted State HR Jogger *Regular BLK 2</t>
        </is>
      </c>
      <c r="F1542" s="4" t="inlineStr">
        <is>
          <t>$128.00</t>
        </is>
      </c>
      <c r="G1542" s="4" t="inlineStr">
        <is>
          <t>$64.00</t>
        </is>
      </c>
      <c r="H1542" s="4" t="inlineStr">
        <is>
          <t>Black</t>
        </is>
      </c>
      <c r="I1542" s="4">
        <f>IMAGE("https://images.lululemon.com/is/image/lululemon/0001",1)</f>
        <v/>
      </c>
      <c r="J1542" s="4" t="inlineStr">
        <is>
          <t>16</t>
        </is>
      </c>
      <c r="K1542" s="4" t="inlineStr">
        <is>
          <t>12/4138</t>
        </is>
      </c>
      <c r="L1542" s="4" t="inlineStr">
        <is>
          <t>Yes</t>
        </is>
      </c>
      <c r="M1542" s="4" t="inlineStr">
        <is>
          <t>Think fast. The Adapted State joggers are all about quick transitions with fast-drying fabric and zippered cuffs that let you switch between activities (and outfits) effortlessly.</t>
        </is>
      </c>
      <c r="N1542" s="4" t="inlineStr">
        <is>
          <t>Adapted-State-Jogger</t>
        </is>
      </c>
      <c r="O1542" s="4" t="inlineStr"/>
    </row>
    <row r="1543" ht="80" customHeight="1">
      <c r="A1543" s="7">
        <f>IMAGE("https://images.lululemon.com/is/image/lululemon/LW5CVMS_031382_1?wid=320&amp;op_usm=0.8",1)</f>
        <v/>
      </c>
      <c r="B1543" s="7" t="inlineStr">
        <is>
          <t>Adapted State High-Rise Jogger *Regular</t>
        </is>
      </c>
      <c r="C1543" s="7" t="inlineStr">
        <is>
          <t>125026774</t>
        </is>
      </c>
      <c r="D1543" s="7" t="inlineStr">
        <is>
          <t>125026774-truenavy</t>
        </is>
      </c>
      <c r="E1543" s="7" t="inlineStr">
        <is>
          <t>Adapted State HR Jogger *Regular BLK 2</t>
        </is>
      </c>
      <c r="F1543" s="7" t="inlineStr">
        <is>
          <t>$128.00</t>
        </is>
      </c>
      <c r="G1543" s="7" t="inlineStr">
        <is>
          <t>$64.00</t>
        </is>
      </c>
      <c r="H1543" s="7" t="inlineStr">
        <is>
          <t>True Navy</t>
        </is>
      </c>
      <c r="I1543" s="7">
        <f>IMAGE("https://images.lululemon.com/is/image/lululemon/31382",1)</f>
        <v/>
      </c>
      <c r="J1543" s="7" t="inlineStr">
        <is>
          <t>2</t>
        </is>
      </c>
      <c r="K1543" s="7" t="inlineStr">
        <is>
          <t>121/4138</t>
        </is>
      </c>
      <c r="L1543" s="7" t="inlineStr">
        <is>
          <t>Yes</t>
        </is>
      </c>
      <c r="M1543" s="7" t="inlineStr">
        <is>
          <t>Think fast. The Adapted State joggers are all about quick transitions with fast-drying fabric and zippered cuffs that let you switch between activities (and outfits) effortlessly.</t>
        </is>
      </c>
      <c r="N1543" s="7" t="inlineStr">
        <is>
          <t>Adapted-State-Jogger</t>
        </is>
      </c>
      <c r="O1543" s="7" t="inlineStr"/>
    </row>
    <row r="1544" ht="80" customHeight="1">
      <c r="A1544" s="4">
        <f>IMAGE("https://images.lululemon.com/is/image/lululemon/LW5CVMS_031382_1?wid=320&amp;op_usm=0.8",1)</f>
        <v/>
      </c>
      <c r="B1544" s="4" t="inlineStr">
        <is>
          <t>Adapted State High-Rise Jogger *Regular</t>
        </is>
      </c>
      <c r="C1544" s="4" t="inlineStr">
        <is>
          <t>125026779</t>
        </is>
      </c>
      <c r="D1544" s="4" t="inlineStr">
        <is>
          <t>125026779-truenavy</t>
        </is>
      </c>
      <c r="E1544" s="4" t="inlineStr">
        <is>
          <t>Adapted State HR Jogger *Regular BLK 2</t>
        </is>
      </c>
      <c r="F1544" s="4" t="inlineStr">
        <is>
          <t>$128.00</t>
        </is>
      </c>
      <c r="G1544" s="4" t="inlineStr">
        <is>
          <t>$64.00</t>
        </is>
      </c>
      <c r="H1544" s="4" t="inlineStr">
        <is>
          <t>True Navy</t>
        </is>
      </c>
      <c r="I1544" s="4">
        <f>IMAGE("https://images.lululemon.com/is/image/lululemon/31382",1)</f>
        <v/>
      </c>
      <c r="J1544" s="4" t="inlineStr">
        <is>
          <t>4</t>
        </is>
      </c>
      <c r="K1544" s="4" t="inlineStr">
        <is>
          <t>247/4138</t>
        </is>
      </c>
      <c r="L1544" s="4" t="inlineStr">
        <is>
          <t>Yes</t>
        </is>
      </c>
      <c r="M1544" s="4" t="inlineStr">
        <is>
          <t>Think fast. The Adapted State joggers are all about quick transitions with fast-drying fabric and zippered cuffs that let you switch between activities (and outfits) effortlessly.</t>
        </is>
      </c>
      <c r="N1544" s="4" t="inlineStr">
        <is>
          <t>Adapted-State-Jogger</t>
        </is>
      </c>
      <c r="O1544" s="4" t="inlineStr"/>
    </row>
    <row r="1545" ht="80" customHeight="1">
      <c r="A1545" s="7">
        <f>IMAGE("https://images.lululemon.com/is/image/lululemon/LW5CVMS_031382_1?wid=320&amp;op_usm=0.8",1)</f>
        <v/>
      </c>
      <c r="B1545" s="7" t="inlineStr">
        <is>
          <t>Adapted State High-Rise Jogger *Regular</t>
        </is>
      </c>
      <c r="C1545" s="7" t="inlineStr">
        <is>
          <t>125026780</t>
        </is>
      </c>
      <c r="D1545" s="7" t="inlineStr">
        <is>
          <t>125026780-truenavy</t>
        </is>
      </c>
      <c r="E1545" s="7" t="inlineStr">
        <is>
          <t>Adapted State HR Jogger *Regular BLK 2</t>
        </is>
      </c>
      <c r="F1545" s="7" t="inlineStr">
        <is>
          <t>$128.00</t>
        </is>
      </c>
      <c r="G1545" s="7" t="inlineStr">
        <is>
          <t>$64.00</t>
        </is>
      </c>
      <c r="H1545" s="7" t="inlineStr">
        <is>
          <t>True Navy</t>
        </is>
      </c>
      <c r="I1545" s="7">
        <f>IMAGE("https://images.lululemon.com/is/image/lululemon/31382",1)</f>
        <v/>
      </c>
      <c r="J1545" s="7" t="inlineStr">
        <is>
          <t>6</t>
        </is>
      </c>
      <c r="K1545" s="7" t="inlineStr">
        <is>
          <t>246/4138</t>
        </is>
      </c>
      <c r="L1545" s="7" t="inlineStr">
        <is>
          <t>Yes</t>
        </is>
      </c>
      <c r="M1545" s="7" t="inlineStr">
        <is>
          <t>Think fast. The Adapted State joggers are all about quick transitions with fast-drying fabric and zippered cuffs that let you switch between activities (and outfits) effortlessly.</t>
        </is>
      </c>
      <c r="N1545" s="7" t="inlineStr">
        <is>
          <t>Adapted-State-Jogger</t>
        </is>
      </c>
      <c r="O1545" s="7" t="inlineStr"/>
    </row>
    <row r="1546" ht="80" customHeight="1">
      <c r="A1546" s="4">
        <f>IMAGE("https://images.lululemon.com/is/image/lululemon/LW5CVMS_031382_1?wid=320&amp;op_usm=0.8",1)</f>
        <v/>
      </c>
      <c r="B1546" s="4" t="inlineStr">
        <is>
          <t>Adapted State High-Rise Jogger *Regular</t>
        </is>
      </c>
      <c r="C1546" s="4" t="inlineStr">
        <is>
          <t>125026781</t>
        </is>
      </c>
      <c r="D1546" s="4" t="inlineStr">
        <is>
          <t>125026781-truenavy</t>
        </is>
      </c>
      <c r="E1546" s="4" t="inlineStr">
        <is>
          <t>Adapted State HR Jogger *Regular BLK 2</t>
        </is>
      </c>
      <c r="F1546" s="4" t="inlineStr">
        <is>
          <t>$128.00</t>
        </is>
      </c>
      <c r="G1546" s="4" t="inlineStr">
        <is>
          <t>$64.00</t>
        </is>
      </c>
      <c r="H1546" s="4" t="inlineStr">
        <is>
          <t>True Navy</t>
        </is>
      </c>
      <c r="I1546" s="4">
        <f>IMAGE("https://images.lululemon.com/is/image/lululemon/31382",1)</f>
        <v/>
      </c>
      <c r="J1546" s="4" t="inlineStr">
        <is>
          <t>8</t>
        </is>
      </c>
      <c r="K1546" s="4" t="inlineStr">
        <is>
          <t>139/4138</t>
        </is>
      </c>
      <c r="L1546" s="4" t="inlineStr">
        <is>
          <t>Yes</t>
        </is>
      </c>
      <c r="M1546" s="4" t="inlineStr">
        <is>
          <t>Think fast. The Adapted State joggers are all about quick transitions with fast-drying fabric and zippered cuffs that let you switch between activities (and outfits) effortlessly.</t>
        </is>
      </c>
      <c r="N1546" s="4" t="inlineStr">
        <is>
          <t>Adapted-State-Jogger</t>
        </is>
      </c>
      <c r="O1546" s="4" t="inlineStr"/>
    </row>
    <row r="1547" ht="80" customHeight="1">
      <c r="A1547" s="7">
        <f>IMAGE("https://images.lululemon.com/is/image/lululemon/LW5CVMS_031382_1?wid=320&amp;op_usm=0.8",1)</f>
        <v/>
      </c>
      <c r="B1547" s="7" t="inlineStr">
        <is>
          <t>Adapted State High-Rise Jogger *Regular</t>
        </is>
      </c>
      <c r="C1547" s="7" t="inlineStr">
        <is>
          <t>125026769</t>
        </is>
      </c>
      <c r="D1547" s="7" t="inlineStr">
        <is>
          <t>125026769-truenavy</t>
        </is>
      </c>
      <c r="E1547" s="7" t="inlineStr">
        <is>
          <t>Adapted State HR Jogger *Regular BLK 2</t>
        </is>
      </c>
      <c r="F1547" s="7" t="inlineStr">
        <is>
          <t>$128.00</t>
        </is>
      </c>
      <c r="G1547" s="7" t="inlineStr">
        <is>
          <t>$64.00</t>
        </is>
      </c>
      <c r="H1547" s="7" t="inlineStr">
        <is>
          <t>True Navy</t>
        </is>
      </c>
      <c r="I1547" s="7">
        <f>IMAGE("https://images.lululemon.com/is/image/lululemon/31382",1)</f>
        <v/>
      </c>
      <c r="J1547" s="7" t="inlineStr">
        <is>
          <t>10</t>
        </is>
      </c>
      <c r="K1547" s="7" t="inlineStr">
        <is>
          <t>121/4138</t>
        </is>
      </c>
      <c r="L1547" s="7" t="inlineStr">
        <is>
          <t>Yes</t>
        </is>
      </c>
      <c r="M1547" s="7" t="inlineStr">
        <is>
          <t>Think fast. The Adapted State joggers are all about quick transitions with fast-drying fabric and zippered cuffs that let you switch between activities (and outfits) effortlessly.</t>
        </is>
      </c>
      <c r="N1547" s="7" t="inlineStr">
        <is>
          <t>Adapted-State-Jogger</t>
        </is>
      </c>
      <c r="O1547" s="7" t="inlineStr"/>
    </row>
    <row r="1548" ht="80" customHeight="1">
      <c r="A1548" s="4">
        <f>IMAGE("https://images.lululemon.com/is/image/lululemon/LW5CVMS_031382_1?wid=320&amp;op_usm=0.8",1)</f>
        <v/>
      </c>
      <c r="B1548" s="4" t="inlineStr">
        <is>
          <t>Adapted State High-Rise Jogger *Regular</t>
        </is>
      </c>
      <c r="C1548" s="4" t="inlineStr">
        <is>
          <t>125026770</t>
        </is>
      </c>
      <c r="D1548" s="4" t="inlineStr">
        <is>
          <t>125026770-truenavy</t>
        </is>
      </c>
      <c r="E1548" s="4" t="inlineStr">
        <is>
          <t>Adapted State HR Jogger *Regular BLK 2</t>
        </is>
      </c>
      <c r="F1548" s="4" t="inlineStr">
        <is>
          <t>$128.00</t>
        </is>
      </c>
      <c r="G1548" s="4" t="inlineStr">
        <is>
          <t>$64.00</t>
        </is>
      </c>
      <c r="H1548" s="4" t="inlineStr">
        <is>
          <t>True Navy</t>
        </is>
      </c>
      <c r="I1548" s="4">
        <f>IMAGE("https://images.lululemon.com/is/image/lululemon/31382",1)</f>
        <v/>
      </c>
      <c r="J1548" s="4" t="inlineStr">
        <is>
          <t>12</t>
        </is>
      </c>
      <c r="K1548" s="4" t="inlineStr">
        <is>
          <t>125/4138</t>
        </is>
      </c>
      <c r="L1548" s="4" t="inlineStr">
        <is>
          <t>Yes</t>
        </is>
      </c>
      <c r="M1548" s="4" t="inlineStr">
        <is>
          <t>Think fast. The Adapted State joggers are all about quick transitions with fast-drying fabric and zippered cuffs that let you switch between activities (and outfits) effortlessly.</t>
        </is>
      </c>
      <c r="N1548" s="4" t="inlineStr">
        <is>
          <t>Adapted-State-Jogger</t>
        </is>
      </c>
      <c r="O1548" s="4" t="inlineStr"/>
    </row>
    <row r="1549" ht="80" customHeight="1">
      <c r="A1549" s="7">
        <f>IMAGE("https://images.lululemon.com/is/image/lululemon/LW5CVMS_031382_1?wid=320&amp;op_usm=0.8",1)</f>
        <v/>
      </c>
      <c r="B1549" s="7" t="inlineStr">
        <is>
          <t>Adapted State High-Rise Jogger *Regular</t>
        </is>
      </c>
      <c r="C1549" s="7" t="inlineStr">
        <is>
          <t>125026771</t>
        </is>
      </c>
      <c r="D1549" s="7" t="inlineStr">
        <is>
          <t>125026771-truenavy</t>
        </is>
      </c>
      <c r="E1549" s="7" t="inlineStr">
        <is>
          <t>Adapted State HR Jogger *Regular BLK 2</t>
        </is>
      </c>
      <c r="F1549" s="7" t="inlineStr">
        <is>
          <t>$128.00</t>
        </is>
      </c>
      <c r="G1549" s="7" t="inlineStr">
        <is>
          <t>$64.00</t>
        </is>
      </c>
      <c r="H1549" s="7" t="inlineStr">
        <is>
          <t>True Navy</t>
        </is>
      </c>
      <c r="I1549" s="7">
        <f>IMAGE("https://images.lululemon.com/is/image/lululemon/31382",1)</f>
        <v/>
      </c>
      <c r="J1549" s="7" t="inlineStr">
        <is>
          <t>14</t>
        </is>
      </c>
      <c r="K1549" s="7" t="inlineStr">
        <is>
          <t>50/4138</t>
        </is>
      </c>
      <c r="L1549" s="7" t="inlineStr">
        <is>
          <t>Yes</t>
        </is>
      </c>
      <c r="M1549" s="7" t="inlineStr">
        <is>
          <t>Think fast. The Adapted State joggers are all about quick transitions with fast-drying fabric and zippered cuffs that let you switch between activities (and outfits) effortlessly.</t>
        </is>
      </c>
      <c r="N1549" s="7" t="inlineStr">
        <is>
          <t>Adapted-State-Jogger</t>
        </is>
      </c>
      <c r="O1549" s="7" t="inlineStr"/>
    </row>
    <row r="1550" ht="80" customHeight="1">
      <c r="A1550" s="4">
        <f>IMAGE("https://images.lululemon.com/is/image/lululemon/LW5CVMS_031382_1?wid=320&amp;op_usm=0.8",1)</f>
        <v/>
      </c>
      <c r="B1550" s="4" t="inlineStr">
        <is>
          <t>Adapted State High-Rise Jogger *Regular</t>
        </is>
      </c>
      <c r="C1550" s="4" t="inlineStr">
        <is>
          <t>125026772</t>
        </is>
      </c>
      <c r="D1550" s="4" t="inlineStr">
        <is>
          <t>125026772-truenavy</t>
        </is>
      </c>
      <c r="E1550" s="4" t="inlineStr">
        <is>
          <t>Adapted State HR Jogger *Regular BLK 2</t>
        </is>
      </c>
      <c r="F1550" s="4" t="inlineStr">
        <is>
          <t>$128.00</t>
        </is>
      </c>
      <c r="G1550" s="4" t="inlineStr">
        <is>
          <t>$64.00</t>
        </is>
      </c>
      <c r="H1550" s="4" t="inlineStr">
        <is>
          <t>True Navy</t>
        </is>
      </c>
      <c r="I1550" s="4">
        <f>IMAGE("https://images.lululemon.com/is/image/lululemon/31382",1)</f>
        <v/>
      </c>
      <c r="J1550" s="4" t="inlineStr">
        <is>
          <t>16</t>
        </is>
      </c>
      <c r="K1550" s="4" t="inlineStr">
        <is>
          <t>12/4138</t>
        </is>
      </c>
      <c r="L1550" s="4" t="inlineStr">
        <is>
          <t>Yes</t>
        </is>
      </c>
      <c r="M1550" s="4" t="inlineStr">
        <is>
          <t>Think fast. The Adapted State joggers are all about quick transitions with fast-drying fabric and zippered cuffs that let you switch between activities (and outfits) effortlessly.</t>
        </is>
      </c>
      <c r="N1550" s="4" t="inlineStr">
        <is>
          <t>Adapted-State-Jogger</t>
        </is>
      </c>
      <c r="O1550" s="4" t="inlineStr"/>
    </row>
    <row r="1551" ht="80" customHeight="1">
      <c r="A1551" s="7">
        <f>IMAGE("https://images.lululemon.com/is/image/lululemon/LW5CVMS_031382_1?wid=320&amp;op_usm=0.8",1)</f>
        <v/>
      </c>
      <c r="B1551" s="7" t="inlineStr">
        <is>
          <t>Adapted State High-Rise Jogger *Regular</t>
        </is>
      </c>
      <c r="C1551" s="7" t="inlineStr">
        <is>
          <t>157686361</t>
        </is>
      </c>
      <c r="D1551" s="7" t="inlineStr">
        <is>
          <t>157686361-palmdeco</t>
        </is>
      </c>
      <c r="E1551" s="7" t="inlineStr">
        <is>
          <t>Adapted State HR Jogger *Regular BLK 2</t>
        </is>
      </c>
      <c r="F1551" s="7" t="inlineStr">
        <is>
          <t>$128.00</t>
        </is>
      </c>
      <c r="G1551" s="7" t="inlineStr">
        <is>
          <t>$64.00</t>
        </is>
      </c>
      <c r="H1551" s="7" t="inlineStr">
        <is>
          <t>Palm Deco</t>
        </is>
      </c>
      <c r="I1551" s="7">
        <f>IMAGE("https://images.lululemon.com/is/image/lululemon/35487",1)</f>
        <v/>
      </c>
      <c r="J1551" s="7" t="inlineStr">
        <is>
          <t>2</t>
        </is>
      </c>
      <c r="K1551" s="7" t="inlineStr">
        <is>
          <t>48/4138</t>
        </is>
      </c>
      <c r="L1551" s="7" t="inlineStr">
        <is>
          <t>Yes</t>
        </is>
      </c>
      <c r="M1551" s="7" t="inlineStr">
        <is>
          <t>Think fast. The Adapted State joggers are all about quick transitions with fast-drying fabric and zippered cuffs that let you switch between activities (and outfits) effortlessly.</t>
        </is>
      </c>
      <c r="N1551" s="7" t="inlineStr">
        <is>
          <t>Adapted-State-Jogger</t>
        </is>
      </c>
      <c r="O1551" s="7" t="inlineStr"/>
    </row>
    <row r="1552" ht="80" customHeight="1">
      <c r="A1552" s="4">
        <f>IMAGE("https://images.lululemon.com/is/image/lululemon/LW5CVMS_031382_1?wid=320&amp;op_usm=0.8",1)</f>
        <v/>
      </c>
      <c r="B1552" s="4" t="inlineStr">
        <is>
          <t>Adapted State High-Rise Jogger *Regular</t>
        </is>
      </c>
      <c r="C1552" s="4" t="inlineStr">
        <is>
          <t>157686368</t>
        </is>
      </c>
      <c r="D1552" s="4" t="inlineStr">
        <is>
          <t>157686368-palmdeco</t>
        </is>
      </c>
      <c r="E1552" s="4" t="inlineStr">
        <is>
          <t>Adapted State HR Jogger *Regular BLK 2</t>
        </is>
      </c>
      <c r="F1552" s="4" t="inlineStr">
        <is>
          <t>$128.00</t>
        </is>
      </c>
      <c r="G1552" s="4" t="inlineStr">
        <is>
          <t>$64.00</t>
        </is>
      </c>
      <c r="H1552" s="4" t="inlineStr">
        <is>
          <t>Palm Deco</t>
        </is>
      </c>
      <c r="I1552" s="4">
        <f>IMAGE("https://images.lululemon.com/is/image/lululemon/35487",1)</f>
        <v/>
      </c>
      <c r="J1552" s="4" t="inlineStr">
        <is>
          <t>4</t>
        </is>
      </c>
      <c r="K1552" s="4" t="inlineStr">
        <is>
          <t>101/4138</t>
        </is>
      </c>
      <c r="L1552" s="4" t="inlineStr">
        <is>
          <t>Yes</t>
        </is>
      </c>
      <c r="M1552" s="4" t="inlineStr">
        <is>
          <t>Think fast. The Adapted State joggers are all about quick transitions with fast-drying fabric and zippered cuffs that let you switch between activities (and outfits) effortlessly.</t>
        </is>
      </c>
      <c r="N1552" s="4" t="inlineStr">
        <is>
          <t>Adapted-State-Jogger</t>
        </is>
      </c>
      <c r="O1552" s="4" t="inlineStr"/>
    </row>
    <row r="1553" ht="80" customHeight="1">
      <c r="A1553" s="7">
        <f>IMAGE("https://images.lululemon.com/is/image/lululemon/LW5CVMS_031382_1?wid=320&amp;op_usm=0.8",1)</f>
        <v/>
      </c>
      <c r="B1553" s="7" t="inlineStr">
        <is>
          <t>Adapted State High-Rise Jogger *Regular</t>
        </is>
      </c>
      <c r="C1553" s="7" t="inlineStr">
        <is>
          <t>157686373</t>
        </is>
      </c>
      <c r="D1553" s="7" t="inlineStr">
        <is>
          <t>157686373-palmdeco</t>
        </is>
      </c>
      <c r="E1553" s="7" t="inlineStr">
        <is>
          <t>Adapted State HR Jogger *Regular BLK 2</t>
        </is>
      </c>
      <c r="F1553" s="7" t="inlineStr">
        <is>
          <t>$128.00</t>
        </is>
      </c>
      <c r="G1553" s="7" t="inlineStr">
        <is>
          <t>$64.00</t>
        </is>
      </c>
      <c r="H1553" s="7" t="inlineStr">
        <is>
          <t>Palm Deco</t>
        </is>
      </c>
      <c r="I1553" s="7">
        <f>IMAGE("https://images.lululemon.com/is/image/lululemon/35487",1)</f>
        <v/>
      </c>
      <c r="J1553" s="7" t="inlineStr">
        <is>
          <t>6</t>
        </is>
      </c>
      <c r="K1553" s="7" t="inlineStr">
        <is>
          <t>120/4138</t>
        </is>
      </c>
      <c r="L1553" s="7" t="inlineStr">
        <is>
          <t>Yes</t>
        </is>
      </c>
      <c r="M1553" s="7" t="inlineStr">
        <is>
          <t>Think fast. The Adapted State joggers are all about quick transitions with fast-drying fabric and zippered cuffs that let you switch between activities (and outfits) effortlessly.</t>
        </is>
      </c>
      <c r="N1553" s="7" t="inlineStr">
        <is>
          <t>Adapted-State-Jogger</t>
        </is>
      </c>
      <c r="O1553" s="7" t="inlineStr"/>
    </row>
    <row r="1554" ht="80" customHeight="1">
      <c r="A1554" s="4">
        <f>IMAGE("https://images.lululemon.com/is/image/lululemon/LW5CVMS_031382_1?wid=320&amp;op_usm=0.8",1)</f>
        <v/>
      </c>
      <c r="B1554" s="4" t="inlineStr">
        <is>
          <t>Adapted State High-Rise Jogger *Regular</t>
        </is>
      </c>
      <c r="C1554" s="4" t="inlineStr">
        <is>
          <t>157686379</t>
        </is>
      </c>
      <c r="D1554" s="4" t="inlineStr">
        <is>
          <t>157686379-palmdeco</t>
        </is>
      </c>
      <c r="E1554" s="4" t="inlineStr">
        <is>
          <t>Adapted State HR Jogger *Regular BLK 2</t>
        </is>
      </c>
      <c r="F1554" s="4" t="inlineStr">
        <is>
          <t>$128.00</t>
        </is>
      </c>
      <c r="G1554" s="4" t="inlineStr">
        <is>
          <t>$64.00</t>
        </is>
      </c>
      <c r="H1554" s="4" t="inlineStr">
        <is>
          <t>Palm Deco</t>
        </is>
      </c>
      <c r="I1554" s="4">
        <f>IMAGE("https://images.lululemon.com/is/image/lululemon/35487",1)</f>
        <v/>
      </c>
      <c r="J1554" s="4" t="inlineStr">
        <is>
          <t>8</t>
        </is>
      </c>
      <c r="K1554" s="4" t="inlineStr">
        <is>
          <t>96/4138</t>
        </is>
      </c>
      <c r="L1554" s="4" t="inlineStr">
        <is>
          <t>Yes</t>
        </is>
      </c>
      <c r="M1554" s="4" t="inlineStr">
        <is>
          <t>Think fast. The Adapted State joggers are all about quick transitions with fast-drying fabric and zippered cuffs that let you switch between activities (and outfits) effortlessly.</t>
        </is>
      </c>
      <c r="N1554" s="4" t="inlineStr">
        <is>
          <t>Adapted-State-Jogger</t>
        </is>
      </c>
      <c r="O1554" s="4" t="inlineStr"/>
    </row>
    <row r="1555" ht="80" customHeight="1">
      <c r="A1555" s="7">
        <f>IMAGE("https://images.lululemon.com/is/image/lululemon/LW5CVMS_031382_1?wid=320&amp;op_usm=0.8",1)</f>
        <v/>
      </c>
      <c r="B1555" s="7" t="inlineStr">
        <is>
          <t>Adapted State High-Rise Jogger *Regular</t>
        </is>
      </c>
      <c r="C1555" s="7" t="inlineStr">
        <is>
          <t>157686330</t>
        </is>
      </c>
      <c r="D1555" s="7" t="inlineStr">
        <is>
          <t>157686330-palmdeco</t>
        </is>
      </c>
      <c r="E1555" s="7" t="inlineStr">
        <is>
          <t>Adapted State HR Jogger *Regular BLK 2</t>
        </is>
      </c>
      <c r="F1555" s="7" t="inlineStr">
        <is>
          <t>$128.00</t>
        </is>
      </c>
      <c r="G1555" s="7" t="inlineStr">
        <is>
          <t>$64.00</t>
        </is>
      </c>
      <c r="H1555" s="7" t="inlineStr">
        <is>
          <t>Palm Deco</t>
        </is>
      </c>
      <c r="I1555" s="7">
        <f>IMAGE("https://images.lululemon.com/is/image/lululemon/35487",1)</f>
        <v/>
      </c>
      <c r="J1555" s="7" t="inlineStr">
        <is>
          <t>10</t>
        </is>
      </c>
      <c r="K1555" s="7" t="inlineStr">
        <is>
          <t>60/4138</t>
        </is>
      </c>
      <c r="L1555" s="7" t="inlineStr">
        <is>
          <t>Yes</t>
        </is>
      </c>
      <c r="M1555" s="7" t="inlineStr">
        <is>
          <t>Think fast. The Adapted State joggers are all about quick transitions with fast-drying fabric and zippered cuffs that let you switch between activities (and outfits) effortlessly.</t>
        </is>
      </c>
      <c r="N1555" s="7" t="inlineStr">
        <is>
          <t>Adapted-State-Jogger</t>
        </is>
      </c>
      <c r="O1555" s="7" t="inlineStr"/>
    </row>
    <row r="1556" ht="80" customHeight="1">
      <c r="A1556" s="4">
        <f>IMAGE("https://images.lululemon.com/is/image/lululemon/LW5CVMS_031382_1?wid=320&amp;op_usm=0.8",1)</f>
        <v/>
      </c>
      <c r="B1556" s="4" t="inlineStr">
        <is>
          <t>Adapted State High-Rise Jogger *Regular</t>
        </is>
      </c>
      <c r="C1556" s="4" t="inlineStr">
        <is>
          <t>157686335</t>
        </is>
      </c>
      <c r="D1556" s="4" t="inlineStr">
        <is>
          <t>157686335-palmdeco</t>
        </is>
      </c>
      <c r="E1556" s="4" t="inlineStr">
        <is>
          <t>Adapted State HR Jogger *Regular BLK 2</t>
        </is>
      </c>
      <c r="F1556" s="4" t="inlineStr">
        <is>
          <t>$128.00</t>
        </is>
      </c>
      <c r="G1556" s="4" t="inlineStr">
        <is>
          <t>$64.00</t>
        </is>
      </c>
      <c r="H1556" s="4" t="inlineStr">
        <is>
          <t>Palm Deco</t>
        </is>
      </c>
      <c r="I1556" s="4">
        <f>IMAGE("https://images.lululemon.com/is/image/lululemon/35487",1)</f>
        <v/>
      </c>
      <c r="J1556" s="4" t="inlineStr">
        <is>
          <t>12</t>
        </is>
      </c>
      <c r="K1556" s="4" t="inlineStr">
        <is>
          <t>27/4138</t>
        </is>
      </c>
      <c r="L1556" s="4" t="inlineStr">
        <is>
          <t>Yes</t>
        </is>
      </c>
      <c r="M1556" s="4" t="inlineStr">
        <is>
          <t>Think fast. The Adapted State joggers are all about quick transitions with fast-drying fabric and zippered cuffs that let you switch between activities (and outfits) effortlessly.</t>
        </is>
      </c>
      <c r="N1556" s="4" t="inlineStr">
        <is>
          <t>Adapted-State-Jogger</t>
        </is>
      </c>
      <c r="O1556" s="4" t="inlineStr"/>
    </row>
    <row r="1557" ht="80" customHeight="1">
      <c r="A1557" s="7">
        <f>IMAGE("https://images.lululemon.com/is/image/lululemon/LW5CVMS_031382_1?wid=320&amp;op_usm=0.8",1)</f>
        <v/>
      </c>
      <c r="B1557" s="7" t="inlineStr">
        <is>
          <t>Adapted State High-Rise Jogger *Regular</t>
        </is>
      </c>
      <c r="C1557" s="7" t="inlineStr">
        <is>
          <t>157686341</t>
        </is>
      </c>
      <c r="D1557" s="7" t="inlineStr">
        <is>
          <t>157686341-palmdeco</t>
        </is>
      </c>
      <c r="E1557" s="7" t="inlineStr">
        <is>
          <t>Adapted State HR Jogger *Regular BLK 2</t>
        </is>
      </c>
      <c r="F1557" s="7" t="inlineStr">
        <is>
          <t>$128.00</t>
        </is>
      </c>
      <c r="G1557" s="7" t="inlineStr">
        <is>
          <t>$64.00</t>
        </is>
      </c>
      <c r="H1557" s="7" t="inlineStr">
        <is>
          <t>Palm Deco</t>
        </is>
      </c>
      <c r="I1557" s="7">
        <f>IMAGE("https://images.lululemon.com/is/image/lululemon/35487",1)</f>
        <v/>
      </c>
      <c r="J1557" s="7" t="inlineStr">
        <is>
          <t>14</t>
        </is>
      </c>
      <c r="K1557" s="7" t="inlineStr">
        <is>
          <t>5/4138</t>
        </is>
      </c>
      <c r="L1557" s="7" t="inlineStr">
        <is>
          <t>Yes</t>
        </is>
      </c>
      <c r="M1557" s="7" t="inlineStr">
        <is>
          <t>Think fast. The Adapted State joggers are all about quick transitions with fast-drying fabric and zippered cuffs that let you switch between activities (and outfits) effortlessly.</t>
        </is>
      </c>
      <c r="N1557" s="7" t="inlineStr">
        <is>
          <t>Adapted-State-Jogger</t>
        </is>
      </c>
      <c r="O1557" s="7" t="inlineStr"/>
    </row>
    <row r="1558" ht="80" customHeight="1">
      <c r="A1558" s="4">
        <f>IMAGE("https://images.lululemon.com/is/image/lululemon/LW5CVMS_031382_1?wid=320&amp;op_usm=0.8",1)</f>
        <v/>
      </c>
      <c r="B1558" s="4" t="inlineStr">
        <is>
          <t>Adapted State High-Rise Jogger *Regular</t>
        </is>
      </c>
      <c r="C1558" s="4" t="inlineStr">
        <is>
          <t>157686429</t>
        </is>
      </c>
      <c r="D1558" s="4" t="inlineStr">
        <is>
          <t>157686429-sequoia</t>
        </is>
      </c>
      <c r="E1558" s="4" t="inlineStr">
        <is>
          <t>Adapted State HR Jogger *Regular BLK 2</t>
        </is>
      </c>
      <c r="F1558" s="4" t="inlineStr">
        <is>
          <t>$128.00</t>
        </is>
      </c>
      <c r="G1558" s="4" t="inlineStr">
        <is>
          <t>$64.00</t>
        </is>
      </c>
      <c r="H1558" s="4" t="inlineStr">
        <is>
          <t>Sequoia</t>
        </is>
      </c>
      <c r="I1558" s="4">
        <f>IMAGE("https://images.lululemon.com/is/image/lululemon/41179",1)</f>
        <v/>
      </c>
      <c r="J1558" s="4" t="inlineStr">
        <is>
          <t>2</t>
        </is>
      </c>
      <c r="K1558" s="4" t="inlineStr">
        <is>
          <t>44/4138</t>
        </is>
      </c>
      <c r="L1558" s="4" t="inlineStr">
        <is>
          <t>Yes</t>
        </is>
      </c>
      <c r="M1558" s="4" t="inlineStr">
        <is>
          <t>Think fast. The Adapted State joggers are all about quick transitions with fast-drying fabric and zippered cuffs that let you switch between activities (and outfits) effortlessly.</t>
        </is>
      </c>
      <c r="N1558" s="4" t="inlineStr">
        <is>
          <t>Adapted-State-Jogger</t>
        </is>
      </c>
      <c r="O1558" s="4" t="inlineStr"/>
    </row>
    <row r="1559" ht="80" customHeight="1">
      <c r="A1559" s="7">
        <f>IMAGE("https://images.lululemon.com/is/image/lululemon/LW5CVMS_031382_1?wid=320&amp;op_usm=0.8",1)</f>
        <v/>
      </c>
      <c r="B1559" s="7" t="inlineStr">
        <is>
          <t>Adapted State High-Rise Jogger *Regular</t>
        </is>
      </c>
      <c r="C1559" s="7" t="inlineStr">
        <is>
          <t>157686430</t>
        </is>
      </c>
      <c r="D1559" s="7" t="inlineStr">
        <is>
          <t>157686430-sequoia</t>
        </is>
      </c>
      <c r="E1559" s="7" t="inlineStr">
        <is>
          <t>Adapted State HR Jogger *Regular BLK 2</t>
        </is>
      </c>
      <c r="F1559" s="7" t="inlineStr">
        <is>
          <t>$128.00</t>
        </is>
      </c>
      <c r="G1559" s="7" t="inlineStr">
        <is>
          <t>$64.00</t>
        </is>
      </c>
      <c r="H1559" s="7" t="inlineStr">
        <is>
          <t>Sequoia</t>
        </is>
      </c>
      <c r="I1559" s="7">
        <f>IMAGE("https://images.lululemon.com/is/image/lululemon/41179",1)</f>
        <v/>
      </c>
      <c r="J1559" s="7" t="inlineStr">
        <is>
          <t>4</t>
        </is>
      </c>
      <c r="K1559" s="7" t="inlineStr">
        <is>
          <t>96/4138</t>
        </is>
      </c>
      <c r="L1559" s="7" t="inlineStr">
        <is>
          <t>Yes</t>
        </is>
      </c>
      <c r="M1559" s="7" t="inlineStr">
        <is>
          <t>Think fast. The Adapted State joggers are all about quick transitions with fast-drying fabric and zippered cuffs that let you switch between activities (and outfits) effortlessly.</t>
        </is>
      </c>
      <c r="N1559" s="7" t="inlineStr">
        <is>
          <t>Adapted-State-Jogger</t>
        </is>
      </c>
      <c r="O1559" s="7" t="inlineStr"/>
    </row>
    <row r="1560" ht="80" customHeight="1">
      <c r="A1560" s="4">
        <f>IMAGE("https://images.lululemon.com/is/image/lululemon/LW5CVMS_031382_1?wid=320&amp;op_usm=0.8",1)</f>
        <v/>
      </c>
      <c r="B1560" s="4" t="inlineStr">
        <is>
          <t>Adapted State High-Rise Jogger *Regular</t>
        </is>
      </c>
      <c r="C1560" s="4" t="inlineStr">
        <is>
          <t>157686431</t>
        </is>
      </c>
      <c r="D1560" s="4" t="inlineStr">
        <is>
          <t>157686431-sequoia</t>
        </is>
      </c>
      <c r="E1560" s="4" t="inlineStr">
        <is>
          <t>Adapted State HR Jogger *Regular BLK 2</t>
        </is>
      </c>
      <c r="F1560" s="4" t="inlineStr">
        <is>
          <t>$128.00</t>
        </is>
      </c>
      <c r="G1560" s="4" t="inlineStr">
        <is>
          <t>$64.00</t>
        </is>
      </c>
      <c r="H1560" s="4" t="inlineStr">
        <is>
          <t>Sequoia</t>
        </is>
      </c>
      <c r="I1560" s="4">
        <f>IMAGE("https://images.lululemon.com/is/image/lululemon/41179",1)</f>
        <v/>
      </c>
      <c r="J1560" s="4" t="inlineStr">
        <is>
          <t>6</t>
        </is>
      </c>
      <c r="K1560" s="4" t="inlineStr">
        <is>
          <t>105/4138</t>
        </is>
      </c>
      <c r="L1560" s="4" t="inlineStr">
        <is>
          <t>Yes</t>
        </is>
      </c>
      <c r="M1560" s="4" t="inlineStr">
        <is>
          <t>Think fast. The Adapted State joggers are all about quick transitions with fast-drying fabric and zippered cuffs that let you switch between activities (and outfits) effortlessly.</t>
        </is>
      </c>
      <c r="N1560" s="4" t="inlineStr">
        <is>
          <t>Adapted-State-Jogger</t>
        </is>
      </c>
      <c r="O1560" s="4" t="inlineStr"/>
    </row>
    <row r="1561" ht="80" customHeight="1">
      <c r="A1561" s="7">
        <f>IMAGE("https://images.lululemon.com/is/image/lululemon/LW5CVMS_031382_1?wid=320&amp;op_usm=0.8",1)</f>
        <v/>
      </c>
      <c r="B1561" s="7" t="inlineStr">
        <is>
          <t>Adapted State High-Rise Jogger *Regular</t>
        </is>
      </c>
      <c r="C1561" s="7" t="inlineStr">
        <is>
          <t>157686432</t>
        </is>
      </c>
      <c r="D1561" s="7" t="inlineStr">
        <is>
          <t>157686432-sequoia</t>
        </is>
      </c>
      <c r="E1561" s="7" t="inlineStr">
        <is>
          <t>Adapted State HR Jogger *Regular BLK 2</t>
        </is>
      </c>
      <c r="F1561" s="7" t="inlineStr">
        <is>
          <t>$128.00</t>
        </is>
      </c>
      <c r="G1561" s="7" t="inlineStr">
        <is>
          <t>$64.00</t>
        </is>
      </c>
      <c r="H1561" s="7" t="inlineStr">
        <is>
          <t>Sequoia</t>
        </is>
      </c>
      <c r="I1561" s="7">
        <f>IMAGE("https://images.lululemon.com/is/image/lululemon/41179",1)</f>
        <v/>
      </c>
      <c r="J1561" s="7" t="inlineStr">
        <is>
          <t>8</t>
        </is>
      </c>
      <c r="K1561" s="7" t="inlineStr">
        <is>
          <t>74/4138</t>
        </is>
      </c>
      <c r="L1561" s="7" t="inlineStr">
        <is>
          <t>Yes</t>
        </is>
      </c>
      <c r="M1561" s="7" t="inlineStr">
        <is>
          <t>Think fast. The Adapted State joggers are all about quick transitions with fast-drying fabric and zippered cuffs that let you switch between activities (and outfits) effortlessly.</t>
        </is>
      </c>
      <c r="N1561" s="7" t="inlineStr">
        <is>
          <t>Adapted-State-Jogger</t>
        </is>
      </c>
      <c r="O1561" s="7" t="inlineStr"/>
    </row>
    <row r="1562" ht="80" customHeight="1">
      <c r="A1562" s="4">
        <f>IMAGE("https://images.lululemon.com/is/image/lululemon/LW5CVMS_031382_1?wid=320&amp;op_usm=0.8",1)</f>
        <v/>
      </c>
      <c r="B1562" s="4" t="inlineStr">
        <is>
          <t>Adapted State High-Rise Jogger *Regular</t>
        </is>
      </c>
      <c r="C1562" s="4" t="inlineStr">
        <is>
          <t>157686421</t>
        </is>
      </c>
      <c r="D1562" s="4" t="inlineStr">
        <is>
          <t>157686421-sequoia</t>
        </is>
      </c>
      <c r="E1562" s="4" t="inlineStr">
        <is>
          <t>Adapted State HR Jogger *Regular BLK 2</t>
        </is>
      </c>
      <c r="F1562" s="4" t="inlineStr">
        <is>
          <t>$128.00</t>
        </is>
      </c>
      <c r="G1562" s="4" t="inlineStr">
        <is>
          <t>$64.00</t>
        </is>
      </c>
      <c r="H1562" s="4" t="inlineStr">
        <is>
          <t>Sequoia</t>
        </is>
      </c>
      <c r="I1562" s="4">
        <f>IMAGE("https://images.lululemon.com/is/image/lululemon/41179",1)</f>
        <v/>
      </c>
      <c r="J1562" s="4" t="inlineStr">
        <is>
          <t>10</t>
        </is>
      </c>
      <c r="K1562" s="4" t="inlineStr">
        <is>
          <t>43/4138</t>
        </is>
      </c>
      <c r="L1562" s="4" t="inlineStr">
        <is>
          <t>Yes</t>
        </is>
      </c>
      <c r="M1562" s="4" t="inlineStr">
        <is>
          <t>Think fast. The Adapted State joggers are all about quick transitions with fast-drying fabric and zippered cuffs that let you switch between activities (and outfits) effortlessly.</t>
        </is>
      </c>
      <c r="N1562" s="4" t="inlineStr">
        <is>
          <t>Adapted-State-Jogger</t>
        </is>
      </c>
      <c r="O1562" s="4" t="inlineStr"/>
    </row>
    <row r="1563" ht="80" customHeight="1">
      <c r="A1563" s="7">
        <f>IMAGE("https://images.lululemon.com/is/image/lululemon/LW5CVMS_031382_1?wid=320&amp;op_usm=0.8",1)</f>
        <v/>
      </c>
      <c r="B1563" s="7" t="inlineStr">
        <is>
          <t>Adapted State High-Rise Jogger *Regular</t>
        </is>
      </c>
      <c r="C1563" s="7" t="inlineStr">
        <is>
          <t>157686424</t>
        </is>
      </c>
      <c r="D1563" s="7" t="inlineStr">
        <is>
          <t>157686424-sequoia</t>
        </is>
      </c>
      <c r="E1563" s="7" t="inlineStr">
        <is>
          <t>Adapted State HR Jogger *Regular BLK 2</t>
        </is>
      </c>
      <c r="F1563" s="7" t="inlineStr">
        <is>
          <t>$128.00</t>
        </is>
      </c>
      <c r="G1563" s="7" t="inlineStr">
        <is>
          <t>$64.00</t>
        </is>
      </c>
      <c r="H1563" s="7" t="inlineStr">
        <is>
          <t>Sequoia</t>
        </is>
      </c>
      <c r="I1563" s="7">
        <f>IMAGE("https://images.lululemon.com/is/image/lululemon/41179",1)</f>
        <v/>
      </c>
      <c r="J1563" s="7" t="inlineStr">
        <is>
          <t>12</t>
        </is>
      </c>
      <c r="K1563" s="7" t="inlineStr">
        <is>
          <t>16/4138</t>
        </is>
      </c>
      <c r="L1563" s="7" t="inlineStr">
        <is>
          <t>Yes</t>
        </is>
      </c>
      <c r="M1563" s="7" t="inlineStr">
        <is>
          <t>Think fast. The Adapted State joggers are all about quick transitions with fast-drying fabric and zippered cuffs that let you switch between activities (and outfits) effortlessly.</t>
        </is>
      </c>
      <c r="N1563" s="7" t="inlineStr">
        <is>
          <t>Adapted-State-Jogger</t>
        </is>
      </c>
      <c r="O1563" s="7" t="inlineStr"/>
    </row>
    <row r="1564" ht="80" customHeight="1">
      <c r="A1564" s="4">
        <f>IMAGE("https://images.lululemon.com/is/image/lululemon/LW5CVMS_031382_1?wid=320&amp;op_usm=0.8",1)</f>
        <v/>
      </c>
      <c r="B1564" s="4" t="inlineStr">
        <is>
          <t>Adapted State High-Rise Jogger *Regular</t>
        </is>
      </c>
      <c r="C1564" s="4" t="inlineStr">
        <is>
          <t>158034599</t>
        </is>
      </c>
      <c r="D1564" s="4" t="inlineStr">
        <is>
          <t>158034599-grapemist</t>
        </is>
      </c>
      <c r="E1564" s="4" t="inlineStr">
        <is>
          <t>Adapted State HR Jogger *Regular BLK 2</t>
        </is>
      </c>
      <c r="F1564" s="4" t="inlineStr">
        <is>
          <t>$128.00</t>
        </is>
      </c>
      <c r="G1564" s="4" t="inlineStr">
        <is>
          <t>$64.00</t>
        </is>
      </c>
      <c r="H1564" s="4" t="inlineStr">
        <is>
          <t>Grape Mist</t>
        </is>
      </c>
      <c r="I1564" s="4">
        <f>IMAGE("https://images.lululemon.com/is/image/lululemon/0554",1)</f>
        <v/>
      </c>
      <c r="J1564" s="4" t="inlineStr">
        <is>
          <t>2</t>
        </is>
      </c>
      <c r="K1564" s="4" t="inlineStr">
        <is>
          <t>41/4138</t>
        </is>
      </c>
      <c r="L1564" s="4" t="inlineStr">
        <is>
          <t>Yes</t>
        </is>
      </c>
      <c r="M1564" s="4" t="inlineStr">
        <is>
          <t>Think fast. The Adapted State joggers are all about quick transitions with fast-drying fabric and zippered cuffs that let you switch between activities (and outfits) effortlessly.</t>
        </is>
      </c>
      <c r="N1564" s="4" t="inlineStr">
        <is>
          <t>Adapted-State-Jogger</t>
        </is>
      </c>
      <c r="O1564" s="4" t="inlineStr"/>
    </row>
    <row r="1565" ht="80" customHeight="1">
      <c r="A1565" s="7">
        <f>IMAGE("https://images.lululemon.com/is/image/lululemon/LW5CVMS_031382_1?wid=320&amp;op_usm=0.8",1)</f>
        <v/>
      </c>
      <c r="B1565" s="7" t="inlineStr">
        <is>
          <t>Adapted State High-Rise Jogger *Regular</t>
        </is>
      </c>
      <c r="C1565" s="7" t="inlineStr">
        <is>
          <t>158034617</t>
        </is>
      </c>
      <c r="D1565" s="7" t="inlineStr">
        <is>
          <t>158034617-grapemist</t>
        </is>
      </c>
      <c r="E1565" s="7" t="inlineStr">
        <is>
          <t>Adapted State HR Jogger *Regular BLK 2</t>
        </is>
      </c>
      <c r="F1565" s="7" t="inlineStr">
        <is>
          <t>$128.00</t>
        </is>
      </c>
      <c r="G1565" s="7" t="inlineStr">
        <is>
          <t>$64.00</t>
        </is>
      </c>
      <c r="H1565" s="7" t="inlineStr">
        <is>
          <t>Grape Mist</t>
        </is>
      </c>
      <c r="I1565" s="7">
        <f>IMAGE("https://images.lululemon.com/is/image/lululemon/0554",1)</f>
        <v/>
      </c>
      <c r="J1565" s="7" t="inlineStr">
        <is>
          <t>4</t>
        </is>
      </c>
      <c r="K1565" s="7" t="inlineStr">
        <is>
          <t>99/4138</t>
        </is>
      </c>
      <c r="L1565" s="7" t="inlineStr">
        <is>
          <t>Yes</t>
        </is>
      </c>
      <c r="M1565" s="7" t="inlineStr">
        <is>
          <t>Think fast. The Adapted State joggers are all about quick transitions with fast-drying fabric and zippered cuffs that let you switch between activities (and outfits) effortlessly.</t>
        </is>
      </c>
      <c r="N1565" s="7" t="inlineStr">
        <is>
          <t>Adapted-State-Jogger</t>
        </is>
      </c>
      <c r="O1565" s="7" t="inlineStr"/>
    </row>
    <row r="1566" ht="80" customHeight="1">
      <c r="A1566" s="4">
        <f>IMAGE("https://images.lululemon.com/is/image/lululemon/LW5CVMS_031382_1?wid=320&amp;op_usm=0.8",1)</f>
        <v/>
      </c>
      <c r="B1566" s="4" t="inlineStr">
        <is>
          <t>Adapted State High-Rise Jogger *Regular</t>
        </is>
      </c>
      <c r="C1566" s="4" t="inlineStr">
        <is>
          <t>158034624</t>
        </is>
      </c>
      <c r="D1566" s="4" t="inlineStr">
        <is>
          <t>158034624-grapemist</t>
        </is>
      </c>
      <c r="E1566" s="4" t="inlineStr">
        <is>
          <t>Adapted State HR Jogger *Regular BLK 2</t>
        </is>
      </c>
      <c r="F1566" s="4" t="inlineStr">
        <is>
          <t>$128.00</t>
        </is>
      </c>
      <c r="G1566" s="4" t="inlineStr">
        <is>
          <t>$64.00</t>
        </is>
      </c>
      <c r="H1566" s="4" t="inlineStr">
        <is>
          <t>Grape Mist</t>
        </is>
      </c>
      <c r="I1566" s="4">
        <f>IMAGE("https://images.lululemon.com/is/image/lululemon/0554",1)</f>
        <v/>
      </c>
      <c r="J1566" s="4" t="inlineStr">
        <is>
          <t>6</t>
        </is>
      </c>
      <c r="K1566" s="4" t="inlineStr">
        <is>
          <t>112/4138</t>
        </is>
      </c>
      <c r="L1566" s="4" t="inlineStr">
        <is>
          <t>Yes</t>
        </is>
      </c>
      <c r="M1566" s="4" t="inlineStr">
        <is>
          <t>Think fast. The Adapted State joggers are all about quick transitions with fast-drying fabric and zippered cuffs that let you switch between activities (and outfits) effortlessly.</t>
        </is>
      </c>
      <c r="N1566" s="4" t="inlineStr">
        <is>
          <t>Adapted-State-Jogger</t>
        </is>
      </c>
      <c r="O1566" s="4" t="inlineStr"/>
    </row>
    <row r="1567" ht="80" customHeight="1">
      <c r="A1567" s="7">
        <f>IMAGE("https://images.lululemon.com/is/image/lululemon/LW5CVMS_031382_1?wid=320&amp;op_usm=0.8",1)</f>
        <v/>
      </c>
      <c r="B1567" s="7" t="inlineStr">
        <is>
          <t>Adapted State High-Rise Jogger *Regular</t>
        </is>
      </c>
      <c r="C1567" s="7" t="inlineStr">
        <is>
          <t>158034632</t>
        </is>
      </c>
      <c r="D1567" s="7" t="inlineStr">
        <is>
          <t>158034632-grapemist</t>
        </is>
      </c>
      <c r="E1567" s="7" t="inlineStr">
        <is>
          <t>Adapted State HR Jogger *Regular BLK 2</t>
        </is>
      </c>
      <c r="F1567" s="7" t="inlineStr">
        <is>
          <t>$128.00</t>
        </is>
      </c>
      <c r="G1567" s="7" t="inlineStr">
        <is>
          <t>$64.00</t>
        </is>
      </c>
      <c r="H1567" s="7" t="inlineStr">
        <is>
          <t>Grape Mist</t>
        </is>
      </c>
      <c r="I1567" s="7">
        <f>IMAGE("https://images.lululemon.com/is/image/lululemon/0554",1)</f>
        <v/>
      </c>
      <c r="J1567" s="7" t="inlineStr">
        <is>
          <t>8</t>
        </is>
      </c>
      <c r="K1567" s="7" t="inlineStr">
        <is>
          <t>86/4138</t>
        </is>
      </c>
      <c r="L1567" s="7" t="inlineStr">
        <is>
          <t>Yes</t>
        </is>
      </c>
      <c r="M1567" s="7" t="inlineStr">
        <is>
          <t>Think fast. The Adapted State joggers are all about quick transitions with fast-drying fabric and zippered cuffs that let you switch between activities (and outfits) effortlessly.</t>
        </is>
      </c>
      <c r="N1567" s="7" t="inlineStr">
        <is>
          <t>Adapted-State-Jogger</t>
        </is>
      </c>
      <c r="O1567" s="7" t="inlineStr"/>
    </row>
    <row r="1568" ht="80" customHeight="1">
      <c r="A1568" s="4">
        <f>IMAGE("https://images.lululemon.com/is/image/lululemon/LW5CVMS_031382_1?wid=320&amp;op_usm=0.8",1)</f>
        <v/>
      </c>
      <c r="B1568" s="4" t="inlineStr">
        <is>
          <t>Adapted State High-Rise Jogger *Regular</t>
        </is>
      </c>
      <c r="C1568" s="4" t="inlineStr">
        <is>
          <t>158034548</t>
        </is>
      </c>
      <c r="D1568" s="4" t="inlineStr">
        <is>
          <t>158034548-grapemist</t>
        </is>
      </c>
      <c r="E1568" s="4" t="inlineStr">
        <is>
          <t>Adapted State HR Jogger *Regular BLK 2</t>
        </is>
      </c>
      <c r="F1568" s="4" t="inlineStr">
        <is>
          <t>$128.00</t>
        </is>
      </c>
      <c r="G1568" s="4" t="inlineStr">
        <is>
          <t>$64.00</t>
        </is>
      </c>
      <c r="H1568" s="4" t="inlineStr">
        <is>
          <t>Grape Mist</t>
        </is>
      </c>
      <c r="I1568" s="4">
        <f>IMAGE("https://images.lululemon.com/is/image/lululemon/0554",1)</f>
        <v/>
      </c>
      <c r="J1568" s="4" t="inlineStr">
        <is>
          <t>10</t>
        </is>
      </c>
      <c r="K1568" s="4" t="inlineStr">
        <is>
          <t>49/4138</t>
        </is>
      </c>
      <c r="L1568" s="4" t="inlineStr">
        <is>
          <t>Yes</t>
        </is>
      </c>
      <c r="M1568" s="4" t="inlineStr">
        <is>
          <t>Think fast. The Adapted State joggers are all about quick transitions with fast-drying fabric and zippered cuffs that let you switch between activities (and outfits) effortlessly.</t>
        </is>
      </c>
      <c r="N1568" s="4" t="inlineStr">
        <is>
          <t>Adapted-State-Jogger</t>
        </is>
      </c>
      <c r="O1568" s="4" t="inlineStr"/>
    </row>
    <row r="1569" ht="80" customHeight="1">
      <c r="A1569" s="5">
        <f>IMAGE("https://images.lululemon.com/is/image/lululemon/LW5CVMS_031382_1?wid=320&amp;op_usm=0.8",1)</f>
        <v/>
      </c>
      <c r="B1569" s="5" t="inlineStr">
        <is>
          <t>Adapted State High-Rise Jogger *Regular</t>
        </is>
      </c>
      <c r="C1569" s="5" t="inlineStr">
        <is>
          <t>158034559</t>
        </is>
      </c>
      <c r="D1569" s="5" t="inlineStr">
        <is>
          <t>158034559-grapemist</t>
        </is>
      </c>
      <c r="E1569" s="5" t="inlineStr">
        <is>
          <t>Adapted State HR Jogger *Regular BLK 2</t>
        </is>
      </c>
      <c r="F1569" s="5" t="inlineStr">
        <is>
          <t>$128.00</t>
        </is>
      </c>
      <c r="G1569" s="5" t="inlineStr">
        <is>
          <t>$64.00</t>
        </is>
      </c>
      <c r="H1569" s="5" t="inlineStr">
        <is>
          <t>Grape Mist</t>
        </is>
      </c>
      <c r="I1569" s="5">
        <f>IMAGE("https://images.lululemon.com/is/image/lululemon/0554",1)</f>
        <v/>
      </c>
      <c r="J1569" s="5" t="inlineStr">
        <is>
          <t>12</t>
        </is>
      </c>
      <c r="K1569" s="5" t="inlineStr">
        <is>
          <t>21/4138</t>
        </is>
      </c>
      <c r="L1569" s="5" t="inlineStr">
        <is>
          <t>Yes</t>
        </is>
      </c>
      <c r="M1569" s="5" t="inlineStr">
        <is>
          <t>Think fast. The Adapted State joggers are all about quick transitions with fast-drying fabric and zippered cuffs that let you switch between activities (and outfits) effortlessly.</t>
        </is>
      </c>
      <c r="N1569" s="5" t="inlineStr">
        <is>
          <t>Adapted-State-Jogger</t>
        </is>
      </c>
      <c r="O1569" s="5" t="inlineStr"/>
    </row>
    <row r="1570" ht="80" customHeight="1">
      <c r="A1570" s="6">
        <f>IMAGE("https://images.lululemon.com/is/image/lululemon/LW9FOBS_076320_1?wid=320&amp;op_usm=0.8",1)</f>
        <v/>
      </c>
      <c r="B1570" s="6" t="inlineStr">
        <is>
          <t>Uplifting Scrunchies Satin *3 Pack</t>
        </is>
      </c>
      <c r="C1570" s="6" t="inlineStr">
        <is>
          <t>158343717</t>
        </is>
      </c>
      <c r="D1570" s="6" t="inlineStr">
        <is>
          <t>158343717-black/olivebrown/camelbrown</t>
        </is>
      </c>
      <c r="E1570" s="6" t="inlineStr">
        <is>
          <t>Uplifting Scrunchies *3 Pack BLK/OVBR/CMBN ONE SIZE</t>
        </is>
      </c>
      <c r="F1570" s="6" t="inlineStr">
        <is>
          <t>$24.00</t>
        </is>
      </c>
      <c r="G1570" s="6" t="inlineStr">
        <is>
          <t>$12.00</t>
        </is>
      </c>
      <c r="H1570" s="6" t="inlineStr">
        <is>
          <t>Black/Olive Brown/Camel Brown</t>
        </is>
      </c>
      <c r="I1570" s="6">
        <f>IMAGE("https://images.lululemon.com/is/image/lululemon/76320",1)</f>
        <v/>
      </c>
      <c r="J1570" s="6" t="inlineStr">
        <is>
          <t>O/S</t>
        </is>
      </c>
      <c r="K1570" s="6" t="inlineStr">
        <is>
          <t>327/327</t>
        </is>
      </c>
      <c r="L1570" s="6" t="inlineStr">
        <is>
          <t>Yes</t>
        </is>
      </c>
      <c r="M1570" s="6" t="inlineStr">
        <is>
          <t>It's scrunch time. These fan favourite scrunchies keep your hair tied tight, stretch after stretch.</t>
        </is>
      </c>
      <c r="N1570" s="6" t="inlineStr">
        <is>
          <t>Uplifting-Scrunchies-Satin-3Pack</t>
        </is>
      </c>
      <c r="O1570" s="6" t="inlineStr">
        <is>
          <t>Scrunchies</t>
        </is>
      </c>
    </row>
    <row r="1571" ht="80" customHeight="1">
      <c r="A1571" s="7">
        <f>IMAGE("https://images.lululemon.com/is/image/lululemon/LW5GQAS_033454_1?wid=320&amp;op_usm=0.8",1)</f>
        <v/>
      </c>
      <c r="B1571" s="7" t="inlineStr">
        <is>
          <t>Softstreme Pintuck Mid-Rise Pant *Regular</t>
        </is>
      </c>
      <c r="C1571" s="7" t="inlineStr">
        <is>
          <t>157716756</t>
        </is>
      </c>
      <c r="D1571" s="7" t="inlineStr">
        <is>
          <t>157716756-lightivory</t>
        </is>
      </c>
      <c r="E1571" s="7" t="inlineStr">
        <is>
          <t>Softstreme™ Pintuck Mid-Rise Pant *Reg LTIV XS</t>
        </is>
      </c>
      <c r="F1571" s="7" t="inlineStr">
        <is>
          <t>$128.00</t>
        </is>
      </c>
      <c r="G1571" s="7" t="inlineStr">
        <is>
          <t>$64.00</t>
        </is>
      </c>
      <c r="H1571" s="7" t="inlineStr">
        <is>
          <t>Light Ivory</t>
        </is>
      </c>
      <c r="I1571" s="7">
        <f>IMAGE("https://images.lululemon.com/is/image/lululemon/33454",1)</f>
        <v/>
      </c>
      <c r="J1571" s="7" t="inlineStr">
        <is>
          <t>XS</t>
        </is>
      </c>
      <c r="K1571" s="7" t="inlineStr">
        <is>
          <t>33/350</t>
        </is>
      </c>
      <c r="L1571" s="7" t="inlineStr">
        <is>
          <t>Yes</t>
        </is>
      </c>
      <c r="M1571" s="7" t="inlineStr">
        <is>
          <t>Tailored look, lounge feel. These peach-fuzz soft, trouser-inspired pants bring pajama-level comfort to work days and travel days.</t>
        </is>
      </c>
      <c r="N1571" s="7" t="inlineStr">
        <is>
          <t>Softstreme-Pintuck-MR-Pant-Regular</t>
        </is>
      </c>
      <c r="O1571" s="7" t="inlineStr"/>
    </row>
    <row r="1572" ht="80" customHeight="1">
      <c r="A1572" s="4">
        <f>IMAGE("https://images.lululemon.com/is/image/lululemon/LW5GQAS_033454_1?wid=320&amp;op_usm=0.8",1)</f>
        <v/>
      </c>
      <c r="B1572" s="4" t="inlineStr">
        <is>
          <t>Softstreme Pintuck Mid-Rise Pant *Regular</t>
        </is>
      </c>
      <c r="C1572" s="4" t="inlineStr">
        <is>
          <t>157716738</t>
        </is>
      </c>
      <c r="D1572" s="4" t="inlineStr">
        <is>
          <t>157716738-lightivory</t>
        </is>
      </c>
      <c r="E1572" s="4" t="inlineStr">
        <is>
          <t>Softstreme™ Pintuck Mid-Rise Pant *Reg LTIV XS</t>
        </is>
      </c>
      <c r="F1572" s="4" t="inlineStr">
        <is>
          <t>$128.00</t>
        </is>
      </c>
      <c r="G1572" s="4" t="inlineStr">
        <is>
          <t>$64.00</t>
        </is>
      </c>
      <c r="H1572" s="4" t="inlineStr">
        <is>
          <t>Light Ivory</t>
        </is>
      </c>
      <c r="I1572" s="4">
        <f>IMAGE("https://images.lululemon.com/is/image/lululemon/33454",1)</f>
        <v/>
      </c>
      <c r="J1572" s="4" t="inlineStr">
        <is>
          <t>S</t>
        </is>
      </c>
      <c r="K1572" s="4" t="inlineStr">
        <is>
          <t>36/350</t>
        </is>
      </c>
      <c r="L1572" s="4" t="inlineStr">
        <is>
          <t>Yes</t>
        </is>
      </c>
      <c r="M1572" s="4" t="inlineStr">
        <is>
          <t>Tailored look, lounge feel. These peach-fuzz soft, trouser-inspired pants bring pajama-level comfort to work days and travel days.</t>
        </is>
      </c>
      <c r="N1572" s="4" t="inlineStr">
        <is>
          <t>Softstreme-Pintuck-MR-Pant-Regular</t>
        </is>
      </c>
      <c r="O1572" s="4" t="inlineStr"/>
    </row>
    <row r="1573" ht="80" customHeight="1">
      <c r="A1573" s="7">
        <f>IMAGE("https://images.lululemon.com/is/image/lululemon/LW5GQAS_033454_1?wid=320&amp;op_usm=0.8",1)</f>
        <v/>
      </c>
      <c r="B1573" s="7" t="inlineStr">
        <is>
          <t>Softstreme Pintuck Mid-Rise Pant *Regular</t>
        </is>
      </c>
      <c r="C1573" s="7" t="inlineStr">
        <is>
          <t>157716729</t>
        </is>
      </c>
      <c r="D1573" s="7" t="inlineStr">
        <is>
          <t>157716729-lightivory</t>
        </is>
      </c>
      <c r="E1573" s="7" t="inlineStr">
        <is>
          <t>Softstreme™ Pintuck Mid-Rise Pant *Reg LTIV XS</t>
        </is>
      </c>
      <c r="F1573" s="7" t="inlineStr">
        <is>
          <t>$128.00</t>
        </is>
      </c>
      <c r="G1573" s="7" t="inlineStr">
        <is>
          <t>$64.00</t>
        </is>
      </c>
      <c r="H1573" s="7" t="inlineStr">
        <is>
          <t>Light Ivory</t>
        </is>
      </c>
      <c r="I1573" s="7">
        <f>IMAGE("https://images.lululemon.com/is/image/lululemon/33454",1)</f>
        <v/>
      </c>
      <c r="J1573" s="7" t="inlineStr">
        <is>
          <t>M</t>
        </is>
      </c>
      <c r="K1573" s="7" t="inlineStr">
        <is>
          <t>34/350</t>
        </is>
      </c>
      <c r="L1573" s="7" t="inlineStr">
        <is>
          <t>Yes</t>
        </is>
      </c>
      <c r="M1573" s="7" t="inlineStr">
        <is>
          <t>Tailored look, lounge feel. These peach-fuzz soft, trouser-inspired pants bring pajama-level comfort to work days and travel days.</t>
        </is>
      </c>
      <c r="N1573" s="7" t="inlineStr">
        <is>
          <t>Softstreme-Pintuck-MR-Pant-Regular</t>
        </is>
      </c>
      <c r="O1573" s="7" t="inlineStr"/>
    </row>
    <row r="1574" ht="80" customHeight="1">
      <c r="A1574" s="4">
        <f>IMAGE("https://images.lululemon.com/is/image/lululemon/LW5GQAS_033454_1?wid=320&amp;op_usm=0.8",1)</f>
        <v/>
      </c>
      <c r="B1574" s="4" t="inlineStr">
        <is>
          <t>Softstreme Pintuck Mid-Rise Pant *Regular</t>
        </is>
      </c>
      <c r="C1574" s="4" t="inlineStr">
        <is>
          <t>157716721</t>
        </is>
      </c>
      <c r="D1574" s="4" t="inlineStr">
        <is>
          <t>157716721-lightivory</t>
        </is>
      </c>
      <c r="E1574" s="4" t="inlineStr">
        <is>
          <t>Softstreme™ Pintuck Mid-Rise Pant *Reg LTIV XS</t>
        </is>
      </c>
      <c r="F1574" s="4" t="inlineStr">
        <is>
          <t>$128.00</t>
        </is>
      </c>
      <c r="G1574" s="4" t="inlineStr">
        <is>
          <t>$64.00</t>
        </is>
      </c>
      <c r="H1574" s="4" t="inlineStr">
        <is>
          <t>Light Ivory</t>
        </is>
      </c>
      <c r="I1574" s="4">
        <f>IMAGE("https://images.lululemon.com/is/image/lululemon/33454",1)</f>
        <v/>
      </c>
      <c r="J1574" s="4" t="inlineStr">
        <is>
          <t>L</t>
        </is>
      </c>
      <c r="K1574" s="4" t="inlineStr">
        <is>
          <t>38/350</t>
        </is>
      </c>
      <c r="L1574" s="4" t="inlineStr">
        <is>
          <t>Yes</t>
        </is>
      </c>
      <c r="M1574" s="4" t="inlineStr">
        <is>
          <t>Tailored look, lounge feel. These peach-fuzz soft, trouser-inspired pants bring pajama-level comfort to work days and travel days.</t>
        </is>
      </c>
      <c r="N1574" s="4" t="inlineStr">
        <is>
          <t>Softstreme-Pintuck-MR-Pant-Regular</t>
        </is>
      </c>
      <c r="O1574" s="4" t="inlineStr"/>
    </row>
    <row r="1575" ht="80" customHeight="1">
      <c r="A1575" s="7">
        <f>IMAGE("https://images.lululemon.com/is/image/lululemon/LW5GQAS_033454_1?wid=320&amp;op_usm=0.8",1)</f>
        <v/>
      </c>
      <c r="B1575" s="7" t="inlineStr">
        <is>
          <t>Softstreme Pintuck Mid-Rise Pant *Regular</t>
        </is>
      </c>
      <c r="C1575" s="7" t="inlineStr">
        <is>
          <t>157716747</t>
        </is>
      </c>
      <c r="D1575" s="7" t="inlineStr">
        <is>
          <t>157716747-lightivory</t>
        </is>
      </c>
      <c r="E1575" s="7" t="inlineStr">
        <is>
          <t>Softstreme™ Pintuck Mid-Rise Pant *Reg LTIV XS</t>
        </is>
      </c>
      <c r="F1575" s="7" t="inlineStr">
        <is>
          <t>$128.00</t>
        </is>
      </c>
      <c r="G1575" s="7" t="inlineStr">
        <is>
          <t>$64.00</t>
        </is>
      </c>
      <c r="H1575" s="7" t="inlineStr">
        <is>
          <t>Light Ivory</t>
        </is>
      </c>
      <c r="I1575" s="7">
        <f>IMAGE("https://images.lululemon.com/is/image/lululemon/33454",1)</f>
        <v/>
      </c>
      <c r="J1575" s="7" t="inlineStr">
        <is>
          <t>XL</t>
        </is>
      </c>
      <c r="K1575" s="7" t="inlineStr">
        <is>
          <t>21/350</t>
        </is>
      </c>
      <c r="L1575" s="7" t="inlineStr">
        <is>
          <t>Yes</t>
        </is>
      </c>
      <c r="M1575" s="7" t="inlineStr">
        <is>
          <t>Tailored look, lounge feel. These peach-fuzz soft, trouser-inspired pants bring pajama-level comfort to work days and travel days.</t>
        </is>
      </c>
      <c r="N1575" s="7" t="inlineStr">
        <is>
          <t>Softstreme-Pintuck-MR-Pant-Regular</t>
        </is>
      </c>
      <c r="O1575" s="7" t="inlineStr"/>
    </row>
    <row r="1576" ht="80" customHeight="1">
      <c r="A1576" s="4">
        <f>IMAGE("https://images.lululemon.com/is/image/lululemon/LW5GQAS_033454_1?wid=320&amp;op_usm=0.8",1)</f>
        <v/>
      </c>
      <c r="B1576" s="4" t="inlineStr">
        <is>
          <t>Softstreme Pintuck Mid-Rise Pant *Regular</t>
        </is>
      </c>
      <c r="C1576" s="4" t="inlineStr">
        <is>
          <t>157709150</t>
        </is>
      </c>
      <c r="D1576" s="4" t="inlineStr">
        <is>
          <t>157709150-palmdeco</t>
        </is>
      </c>
      <c r="E1576" s="4" t="inlineStr">
        <is>
          <t>Softstreme™ Pintuck Mid-Rise Pant *Reg LTIV XS</t>
        </is>
      </c>
      <c r="F1576" s="4" t="inlineStr">
        <is>
          <t>$128.00</t>
        </is>
      </c>
      <c r="G1576" s="4" t="inlineStr">
        <is>
          <t>$64.00</t>
        </is>
      </c>
      <c r="H1576" s="4" t="inlineStr">
        <is>
          <t>Palm Deco</t>
        </is>
      </c>
      <c r="I1576" s="4">
        <f>IMAGE("https://images.lululemon.com/is/image/lululemon/35487",1)</f>
        <v/>
      </c>
      <c r="J1576" s="4" t="inlineStr">
        <is>
          <t>XS</t>
        </is>
      </c>
      <c r="K1576" s="4" t="inlineStr">
        <is>
          <t>26/350</t>
        </is>
      </c>
      <c r="L1576" s="4" t="inlineStr">
        <is>
          <t>Yes</t>
        </is>
      </c>
      <c r="M1576" s="4" t="inlineStr">
        <is>
          <t>Tailored look, lounge feel. These peach-fuzz soft, trouser-inspired pants bring pajama-level comfort to work days and travel days.</t>
        </is>
      </c>
      <c r="N1576" s="4" t="inlineStr">
        <is>
          <t>Softstreme-Pintuck-MR-Pant-Regular</t>
        </is>
      </c>
      <c r="O1576" s="4" t="inlineStr"/>
    </row>
    <row r="1577" ht="80" customHeight="1">
      <c r="A1577" s="7">
        <f>IMAGE("https://images.lululemon.com/is/image/lululemon/LW5GQAS_033454_1?wid=320&amp;op_usm=0.8",1)</f>
        <v/>
      </c>
      <c r="B1577" s="7" t="inlineStr">
        <is>
          <t>Softstreme Pintuck Mid-Rise Pant *Regular</t>
        </is>
      </c>
      <c r="C1577" s="7" t="inlineStr">
        <is>
          <t>157709133</t>
        </is>
      </c>
      <c r="D1577" s="7" t="inlineStr">
        <is>
          <t>157709133-palmdeco</t>
        </is>
      </c>
      <c r="E1577" s="7" t="inlineStr">
        <is>
          <t>Softstreme™ Pintuck Mid-Rise Pant *Reg LTIV XS</t>
        </is>
      </c>
      <c r="F1577" s="7" t="inlineStr">
        <is>
          <t>$128.00</t>
        </is>
      </c>
      <c r="G1577" s="7" t="inlineStr">
        <is>
          <t>$64.00</t>
        </is>
      </c>
      <c r="H1577" s="7" t="inlineStr">
        <is>
          <t>Palm Deco</t>
        </is>
      </c>
      <c r="I1577" s="7">
        <f>IMAGE("https://images.lululemon.com/is/image/lululemon/35487",1)</f>
        <v/>
      </c>
      <c r="J1577" s="7" t="inlineStr">
        <is>
          <t>S</t>
        </is>
      </c>
      <c r="K1577" s="7" t="inlineStr">
        <is>
          <t>43/350</t>
        </is>
      </c>
      <c r="L1577" s="7" t="inlineStr">
        <is>
          <t>Yes</t>
        </is>
      </c>
      <c r="M1577" s="7" t="inlineStr">
        <is>
          <t>Tailored look, lounge feel. These peach-fuzz soft, trouser-inspired pants bring pajama-level comfort to work days and travel days.</t>
        </is>
      </c>
      <c r="N1577" s="7" t="inlineStr">
        <is>
          <t>Softstreme-Pintuck-MR-Pant-Regular</t>
        </is>
      </c>
      <c r="O1577" s="7" t="inlineStr"/>
    </row>
    <row r="1578" ht="80" customHeight="1">
      <c r="A1578" s="4">
        <f>IMAGE("https://images.lululemon.com/is/image/lululemon/LW5GQAS_033454_1?wid=320&amp;op_usm=0.8",1)</f>
        <v/>
      </c>
      <c r="B1578" s="4" t="inlineStr">
        <is>
          <t>Softstreme Pintuck Mid-Rise Pant *Regular</t>
        </is>
      </c>
      <c r="C1578" s="4" t="inlineStr">
        <is>
          <t>157709123</t>
        </is>
      </c>
      <c r="D1578" s="4" t="inlineStr">
        <is>
          <t>157709123-palmdeco</t>
        </is>
      </c>
      <c r="E1578" s="4" t="inlineStr">
        <is>
          <t>Softstreme™ Pintuck Mid-Rise Pant *Reg LTIV XS</t>
        </is>
      </c>
      <c r="F1578" s="4" t="inlineStr">
        <is>
          <t>$128.00</t>
        </is>
      </c>
      <c r="G1578" s="4" t="inlineStr">
        <is>
          <t>$64.00</t>
        </is>
      </c>
      <c r="H1578" s="4" t="inlineStr">
        <is>
          <t>Palm Deco</t>
        </is>
      </c>
      <c r="I1578" s="4">
        <f>IMAGE("https://images.lululemon.com/is/image/lululemon/35487",1)</f>
        <v/>
      </c>
      <c r="J1578" s="4" t="inlineStr">
        <is>
          <t>M</t>
        </is>
      </c>
      <c r="K1578" s="4" t="inlineStr">
        <is>
          <t>40/350</t>
        </is>
      </c>
      <c r="L1578" s="4" t="inlineStr">
        <is>
          <t>Yes</t>
        </is>
      </c>
      <c r="M1578" s="4" t="inlineStr">
        <is>
          <t>Tailored look, lounge feel. These peach-fuzz soft, trouser-inspired pants bring pajama-level comfort to work days and travel days.</t>
        </is>
      </c>
      <c r="N1578" s="4" t="inlineStr">
        <is>
          <t>Softstreme-Pintuck-MR-Pant-Regular</t>
        </is>
      </c>
      <c r="O1578" s="4" t="inlineStr"/>
    </row>
    <row r="1579" ht="80" customHeight="1">
      <c r="A1579" s="7">
        <f>IMAGE("https://images.lululemon.com/is/image/lululemon/LW5GQAS_033454_1?wid=320&amp;op_usm=0.8",1)</f>
        <v/>
      </c>
      <c r="B1579" s="7" t="inlineStr">
        <is>
          <t>Softstreme Pintuck Mid-Rise Pant *Regular</t>
        </is>
      </c>
      <c r="C1579" s="7" t="inlineStr">
        <is>
          <t>157709116</t>
        </is>
      </c>
      <c r="D1579" s="7" t="inlineStr">
        <is>
          <t>157709116-palmdeco</t>
        </is>
      </c>
      <c r="E1579" s="7" t="inlineStr">
        <is>
          <t>Softstreme™ Pintuck Mid-Rise Pant *Reg LTIV XS</t>
        </is>
      </c>
      <c r="F1579" s="7" t="inlineStr">
        <is>
          <t>$128.00</t>
        </is>
      </c>
      <c r="G1579" s="7" t="inlineStr">
        <is>
          <t>$64.00</t>
        </is>
      </c>
      <c r="H1579" s="7" t="inlineStr">
        <is>
          <t>Palm Deco</t>
        </is>
      </c>
      <c r="I1579" s="7">
        <f>IMAGE("https://images.lululemon.com/is/image/lululemon/35487",1)</f>
        <v/>
      </c>
      <c r="J1579" s="7" t="inlineStr">
        <is>
          <t>L</t>
        </is>
      </c>
      <c r="K1579" s="7" t="inlineStr">
        <is>
          <t>27/350</t>
        </is>
      </c>
      <c r="L1579" s="7" t="inlineStr">
        <is>
          <t>Yes</t>
        </is>
      </c>
      <c r="M1579" s="7" t="inlineStr">
        <is>
          <t>Tailored look, lounge feel. These peach-fuzz soft, trouser-inspired pants bring pajama-level comfort to work days and travel days.</t>
        </is>
      </c>
      <c r="N1579" s="7" t="inlineStr">
        <is>
          <t>Softstreme-Pintuck-MR-Pant-Regular</t>
        </is>
      </c>
      <c r="O1579" s="7" t="inlineStr"/>
    </row>
    <row r="1580" ht="80" customHeight="1">
      <c r="A1580" s="4">
        <f>IMAGE("https://images.lululemon.com/is/image/lululemon/LW5GQAS_033454_1?wid=320&amp;op_usm=0.8",1)</f>
        <v/>
      </c>
      <c r="B1580" s="4" t="inlineStr">
        <is>
          <t>Softstreme Pintuck Mid-Rise Pant *Regular</t>
        </is>
      </c>
      <c r="C1580" s="4" t="inlineStr">
        <is>
          <t>157709142</t>
        </is>
      </c>
      <c r="D1580" s="4" t="inlineStr">
        <is>
          <t>157709142-palmdeco</t>
        </is>
      </c>
      <c r="E1580" s="4" t="inlineStr">
        <is>
          <t>Softstreme™ Pintuck Mid-Rise Pant *Reg LTIV XS</t>
        </is>
      </c>
      <c r="F1580" s="4" t="inlineStr">
        <is>
          <t>$128.00</t>
        </is>
      </c>
      <c r="G1580" s="4" t="inlineStr">
        <is>
          <t>$64.00</t>
        </is>
      </c>
      <c r="H1580" s="4" t="inlineStr">
        <is>
          <t>Palm Deco</t>
        </is>
      </c>
      <c r="I1580" s="4">
        <f>IMAGE("https://images.lululemon.com/is/image/lululemon/35487",1)</f>
        <v/>
      </c>
      <c r="J1580" s="4" t="inlineStr">
        <is>
          <t>XL</t>
        </is>
      </c>
      <c r="K1580" s="4" t="inlineStr">
        <is>
          <t>21/350</t>
        </is>
      </c>
      <c r="L1580" s="4" t="inlineStr">
        <is>
          <t>Yes</t>
        </is>
      </c>
      <c r="M1580" s="4" t="inlineStr">
        <is>
          <t>Tailored look, lounge feel. These peach-fuzz soft, trouser-inspired pants bring pajama-level comfort to work days and travel days.</t>
        </is>
      </c>
      <c r="N1580" s="4" t="inlineStr">
        <is>
          <t>Softstreme-Pintuck-MR-Pant-Regular</t>
        </is>
      </c>
      <c r="O1580" s="4" t="inlineStr"/>
    </row>
    <row r="1581" ht="80" customHeight="1">
      <c r="A1581" s="7">
        <f>IMAGE("https://images.lululemon.com/is/image/lululemon/LW5GQAS_033454_1?wid=320&amp;op_usm=0.8",1)</f>
        <v/>
      </c>
      <c r="B1581" s="7" t="inlineStr">
        <is>
          <t>Softstreme Pintuck Mid-Rise Pant *Regular</t>
        </is>
      </c>
      <c r="C1581" s="7" t="inlineStr">
        <is>
          <t>157709198</t>
        </is>
      </c>
      <c r="D1581" s="7" t="inlineStr">
        <is>
          <t>157709198-sequoia</t>
        </is>
      </c>
      <c r="E1581" s="7" t="inlineStr">
        <is>
          <t>Softstreme™ Pintuck Mid-Rise Pant *Reg LTIV XS</t>
        </is>
      </c>
      <c r="F1581" s="7" t="inlineStr">
        <is>
          <t>$128.00</t>
        </is>
      </c>
      <c r="G1581" s="7" t="inlineStr">
        <is>
          <t>$64.00</t>
        </is>
      </c>
      <c r="H1581" s="7" t="inlineStr">
        <is>
          <t>Sequoia</t>
        </is>
      </c>
      <c r="I1581" s="7">
        <f>IMAGE("https://images.lululemon.com/is/image/lululemon/41179",1)</f>
        <v/>
      </c>
      <c r="J1581" s="7" t="inlineStr">
        <is>
          <t>XS</t>
        </is>
      </c>
      <c r="K1581" s="7" t="inlineStr">
        <is>
          <t>8/350</t>
        </is>
      </c>
      <c r="L1581" s="7" t="inlineStr">
        <is>
          <t>Yes</t>
        </is>
      </c>
      <c r="M1581" s="7" t="inlineStr">
        <is>
          <t>Tailored look, lounge feel. These peach-fuzz soft, trouser-inspired pants bring pajama-level comfort to work days and travel days.</t>
        </is>
      </c>
      <c r="N1581" s="7" t="inlineStr">
        <is>
          <t>Softstreme-Pintuck-MR-Pant-Regular</t>
        </is>
      </c>
      <c r="O1581" s="7" t="inlineStr"/>
    </row>
    <row r="1582" ht="80" customHeight="1">
      <c r="A1582" s="4">
        <f>IMAGE("https://images.lululemon.com/is/image/lululemon/LW5GQAS_033454_1?wid=320&amp;op_usm=0.8",1)</f>
        <v/>
      </c>
      <c r="B1582" s="4" t="inlineStr">
        <is>
          <t>Softstreme Pintuck Mid-Rise Pant *Regular</t>
        </is>
      </c>
      <c r="C1582" s="4" t="inlineStr">
        <is>
          <t>157709182</t>
        </is>
      </c>
      <c r="D1582" s="4" t="inlineStr">
        <is>
          <t>157709182-sequoia</t>
        </is>
      </c>
      <c r="E1582" s="4" t="inlineStr">
        <is>
          <t>Softstreme™ Pintuck Mid-Rise Pant *Reg LTIV XS</t>
        </is>
      </c>
      <c r="F1582" s="4" t="inlineStr">
        <is>
          <t>$128.00</t>
        </is>
      </c>
      <c r="G1582" s="4" t="inlineStr">
        <is>
          <t>$64.00</t>
        </is>
      </c>
      <c r="H1582" s="4" t="inlineStr">
        <is>
          <t>Sequoia</t>
        </is>
      </c>
      <c r="I1582" s="4">
        <f>IMAGE("https://images.lululemon.com/is/image/lululemon/41179",1)</f>
        <v/>
      </c>
      <c r="J1582" s="4" t="inlineStr">
        <is>
          <t>M</t>
        </is>
      </c>
      <c r="K1582" s="4" t="inlineStr">
        <is>
          <t>12/350</t>
        </is>
      </c>
      <c r="L1582" s="4" t="inlineStr">
        <is>
          <t>Yes</t>
        </is>
      </c>
      <c r="M1582" s="4" t="inlineStr">
        <is>
          <t>Tailored look, lounge feel. These peach-fuzz soft, trouser-inspired pants bring pajama-level comfort to work days and travel days.</t>
        </is>
      </c>
      <c r="N1582" s="4" t="inlineStr">
        <is>
          <t>Softstreme-Pintuck-MR-Pant-Regular</t>
        </is>
      </c>
      <c r="O1582" s="4" t="inlineStr"/>
    </row>
    <row r="1583" ht="80" customHeight="1">
      <c r="A1583" s="7">
        <f>IMAGE("https://images.lululemon.com/is/image/lululemon/LW5GQAS_033454_1?wid=320&amp;op_usm=0.8",1)</f>
        <v/>
      </c>
      <c r="B1583" s="7" t="inlineStr">
        <is>
          <t>Softstreme Pintuck Mid-Rise Pant *Regular</t>
        </is>
      </c>
      <c r="C1583" s="7" t="inlineStr">
        <is>
          <t>157709176</t>
        </is>
      </c>
      <c r="D1583" s="7" t="inlineStr">
        <is>
          <t>157709176-sequoia</t>
        </is>
      </c>
      <c r="E1583" s="7" t="inlineStr">
        <is>
          <t>Softstreme™ Pintuck Mid-Rise Pant *Reg LTIV XS</t>
        </is>
      </c>
      <c r="F1583" s="7" t="inlineStr">
        <is>
          <t>$128.00</t>
        </is>
      </c>
      <c r="G1583" s="7" t="inlineStr">
        <is>
          <t>$64.00</t>
        </is>
      </c>
      <c r="H1583" s="7" t="inlineStr">
        <is>
          <t>Sequoia</t>
        </is>
      </c>
      <c r="I1583" s="7">
        <f>IMAGE("https://images.lululemon.com/is/image/lululemon/41179",1)</f>
        <v/>
      </c>
      <c r="J1583" s="7" t="inlineStr">
        <is>
          <t>L</t>
        </is>
      </c>
      <c r="K1583" s="7" t="inlineStr">
        <is>
          <t>2/350</t>
        </is>
      </c>
      <c r="L1583" s="7" t="inlineStr">
        <is>
          <t>Yes</t>
        </is>
      </c>
      <c r="M1583" s="7" t="inlineStr">
        <is>
          <t>Tailored look, lounge feel. These peach-fuzz soft, trouser-inspired pants bring pajama-level comfort to work days and travel days.</t>
        </is>
      </c>
      <c r="N1583" s="7" t="inlineStr">
        <is>
          <t>Softstreme-Pintuck-MR-Pant-Regular</t>
        </is>
      </c>
      <c r="O1583" s="7" t="inlineStr"/>
    </row>
    <row r="1584" ht="80" customHeight="1">
      <c r="A1584" s="6">
        <f>IMAGE("https://images.lululemon.com/is/image/lululemon/LW5GQAS_033454_1?wid=320&amp;op_usm=0.8",1)</f>
        <v/>
      </c>
      <c r="B1584" s="6" t="inlineStr">
        <is>
          <t>Softstreme Pintuck Mid-Rise Pant *Regular</t>
        </is>
      </c>
      <c r="C1584" s="6" t="inlineStr">
        <is>
          <t>157709194</t>
        </is>
      </c>
      <c r="D1584" s="6" t="inlineStr">
        <is>
          <t>157709194-sequoia</t>
        </is>
      </c>
      <c r="E1584" s="6" t="inlineStr">
        <is>
          <t>Softstreme™ Pintuck Mid-Rise Pant *Reg LTIV XS</t>
        </is>
      </c>
      <c r="F1584" s="6" t="inlineStr">
        <is>
          <t>$128.00</t>
        </is>
      </c>
      <c r="G1584" s="6" t="inlineStr">
        <is>
          <t>$64.00</t>
        </is>
      </c>
      <c r="H1584" s="6" t="inlineStr">
        <is>
          <t>Sequoia</t>
        </is>
      </c>
      <c r="I1584" s="6">
        <f>IMAGE("https://images.lululemon.com/is/image/lululemon/41179",1)</f>
        <v/>
      </c>
      <c r="J1584" s="6" t="inlineStr">
        <is>
          <t>XL</t>
        </is>
      </c>
      <c r="K1584" s="6" t="inlineStr">
        <is>
          <t>9/350</t>
        </is>
      </c>
      <c r="L1584" s="6" t="inlineStr">
        <is>
          <t>Yes</t>
        </is>
      </c>
      <c r="M1584" s="6" t="inlineStr">
        <is>
          <t>Tailored look, lounge feel. These peach-fuzz soft, trouser-inspired pants bring pajama-level comfort to work days and travel days.</t>
        </is>
      </c>
      <c r="N1584" s="6" t="inlineStr">
        <is>
          <t>Softstreme-Pintuck-MR-Pant-Regular</t>
        </is>
      </c>
      <c r="O1584" s="6" t="inlineStr"/>
    </row>
    <row r="1585" ht="80" customHeight="1">
      <c r="A1585" s="7">
        <f>IMAGE("https://images.lululemon.com/is/image/lululemon/LW4CLBS_0001_1?wid=320&amp;op_usm=0.8",1)</f>
        <v/>
      </c>
      <c r="B1585" s="7" t="inlineStr">
        <is>
          <t>Women’s InsulEight Cold-Weather Run Shell</t>
        </is>
      </c>
      <c r="C1585" s="7" t="inlineStr">
        <is>
          <t>157688187</t>
        </is>
      </c>
      <c r="D1585" s="7" t="inlineStr">
        <is>
          <t>157688187-black</t>
        </is>
      </c>
      <c r="E1585" s="7" t="inlineStr">
        <is>
          <t>W's InsulEight Cold-Weather Run Shell BLK XXS</t>
        </is>
      </c>
      <c r="F1585" s="7" t="inlineStr">
        <is>
          <t>$188.00</t>
        </is>
      </c>
      <c r="G1585" s="7" t="inlineStr">
        <is>
          <t>$94.00</t>
        </is>
      </c>
      <c r="H1585" s="7" t="inlineStr">
        <is>
          <t>Black</t>
        </is>
      </c>
      <c r="I1585" s="7">
        <f>IMAGE("https://images.lululemon.com/is/image/lululemon/0001",1)</f>
        <v/>
      </c>
      <c r="J1585" s="7" t="inlineStr">
        <is>
          <t>XXS</t>
        </is>
      </c>
      <c r="K1585" s="7" t="inlineStr">
        <is>
          <t>3/170</t>
        </is>
      </c>
      <c r="L1585" s="7" t="inlineStr">
        <is>
          <t>Yes</t>
        </is>
      </c>
      <c r="M1585" s="7" t="inlineStr">
        <is>
          <t>Further, faster, warmer. Take the chill out of cold-weather runs in this lightweight jacket that's body-mapped to retain heat without adding weight to your stride.</t>
        </is>
      </c>
      <c r="N1585" s="7" t="inlineStr">
        <is>
          <t>Womens-InsulEight-Cold-Weather-Run-Shell</t>
        </is>
      </c>
      <c r="O1585" s="7" t="inlineStr">
        <is>
          <t>Rain Jackets, Athletic Jackets</t>
        </is>
      </c>
    </row>
    <row r="1586" ht="80" customHeight="1">
      <c r="A1586" s="4">
        <f>IMAGE("https://images.lululemon.com/is/image/lululemon/LW4CLBS_0001_1?wid=320&amp;op_usm=0.8",1)</f>
        <v/>
      </c>
      <c r="B1586" s="4" t="inlineStr">
        <is>
          <t>Women’s InsulEight Cold-Weather Run Shell</t>
        </is>
      </c>
      <c r="C1586" s="4" t="inlineStr">
        <is>
          <t>157688184</t>
        </is>
      </c>
      <c r="D1586" s="4" t="inlineStr">
        <is>
          <t>157688184-black</t>
        </is>
      </c>
      <c r="E1586" s="4" t="inlineStr">
        <is>
          <t>W's InsulEight Cold-Weather Run Shell BLK XXS</t>
        </is>
      </c>
      <c r="F1586" s="4" t="inlineStr">
        <is>
          <t>$188.00</t>
        </is>
      </c>
      <c r="G1586" s="4" t="inlineStr">
        <is>
          <t>$94.00</t>
        </is>
      </c>
      <c r="H1586" s="4" t="inlineStr">
        <is>
          <t>Black</t>
        </is>
      </c>
      <c r="I1586" s="4">
        <f>IMAGE("https://images.lululemon.com/is/image/lululemon/0001",1)</f>
        <v/>
      </c>
      <c r="J1586" s="4" t="inlineStr">
        <is>
          <t>XS</t>
        </is>
      </c>
      <c r="K1586" s="4" t="inlineStr">
        <is>
          <t>18/170</t>
        </is>
      </c>
      <c r="L1586" s="4" t="inlineStr">
        <is>
          <t>Yes</t>
        </is>
      </c>
      <c r="M1586" s="4" t="inlineStr">
        <is>
          <t>Further, faster, warmer. Take the chill out of cold-weather runs in this lightweight jacket that's body-mapped to retain heat without adding weight to your stride.</t>
        </is>
      </c>
      <c r="N1586" s="4" t="inlineStr">
        <is>
          <t>Womens-InsulEight-Cold-Weather-Run-Shell</t>
        </is>
      </c>
      <c r="O1586" s="4" t="inlineStr">
        <is>
          <t>Rain Jackets, Athletic Jackets</t>
        </is>
      </c>
    </row>
    <row r="1587" ht="80" customHeight="1">
      <c r="A1587" s="7">
        <f>IMAGE("https://images.lululemon.com/is/image/lululemon/LW4CLBS_0001_1?wid=320&amp;op_usm=0.8",1)</f>
        <v/>
      </c>
      <c r="B1587" s="7" t="inlineStr">
        <is>
          <t>Women’s InsulEight Cold-Weather Run Shell</t>
        </is>
      </c>
      <c r="C1587" s="7" t="inlineStr">
        <is>
          <t>157688178</t>
        </is>
      </c>
      <c r="D1587" s="7" t="inlineStr">
        <is>
          <t>157688178-black</t>
        </is>
      </c>
      <c r="E1587" s="7" t="inlineStr">
        <is>
          <t>W's InsulEight Cold-Weather Run Shell BLK XXS</t>
        </is>
      </c>
      <c r="F1587" s="7" t="inlineStr">
        <is>
          <t>$188.00</t>
        </is>
      </c>
      <c r="G1587" s="7" t="inlineStr">
        <is>
          <t>$94.00</t>
        </is>
      </c>
      <c r="H1587" s="7" t="inlineStr">
        <is>
          <t>Black</t>
        </is>
      </c>
      <c r="I1587" s="7">
        <f>IMAGE("https://images.lululemon.com/is/image/lululemon/0001",1)</f>
        <v/>
      </c>
      <c r="J1587" s="7" t="inlineStr">
        <is>
          <t>S</t>
        </is>
      </c>
      <c r="K1587" s="7" t="inlineStr">
        <is>
          <t>43/170</t>
        </is>
      </c>
      <c r="L1587" s="7" t="inlineStr">
        <is>
          <t>Yes</t>
        </is>
      </c>
      <c r="M1587" s="7" t="inlineStr">
        <is>
          <t>Further, faster, warmer. Take the chill out of cold-weather runs in this lightweight jacket that's body-mapped to retain heat without adding weight to your stride.</t>
        </is>
      </c>
      <c r="N1587" s="7" t="inlineStr">
        <is>
          <t>Womens-InsulEight-Cold-Weather-Run-Shell</t>
        </is>
      </c>
      <c r="O1587" s="7" t="inlineStr">
        <is>
          <t>Rain Jackets, Athletic Jackets</t>
        </is>
      </c>
    </row>
    <row r="1588" ht="80" customHeight="1">
      <c r="A1588" s="4">
        <f>IMAGE("https://images.lululemon.com/is/image/lululemon/LW4CLBS_0001_1?wid=320&amp;op_usm=0.8",1)</f>
        <v/>
      </c>
      <c r="B1588" s="4" t="inlineStr">
        <is>
          <t>Women’s InsulEight Cold-Weather Run Shell</t>
        </is>
      </c>
      <c r="C1588" s="4" t="inlineStr">
        <is>
          <t>157688174</t>
        </is>
      </c>
      <c r="D1588" s="4" t="inlineStr">
        <is>
          <t>157688174-black</t>
        </is>
      </c>
      <c r="E1588" s="4" t="inlineStr">
        <is>
          <t>W's InsulEight Cold-Weather Run Shell BLK XXS</t>
        </is>
      </c>
      <c r="F1588" s="4" t="inlineStr">
        <is>
          <t>$188.00</t>
        </is>
      </c>
      <c r="G1588" s="4" t="inlineStr">
        <is>
          <t>$94.00</t>
        </is>
      </c>
      <c r="H1588" s="4" t="inlineStr">
        <is>
          <t>Black</t>
        </is>
      </c>
      <c r="I1588" s="4">
        <f>IMAGE("https://images.lululemon.com/is/image/lululemon/0001",1)</f>
        <v/>
      </c>
      <c r="J1588" s="4" t="inlineStr">
        <is>
          <t>M</t>
        </is>
      </c>
      <c r="K1588" s="4" t="inlineStr">
        <is>
          <t>51/170</t>
        </is>
      </c>
      <c r="L1588" s="4" t="inlineStr">
        <is>
          <t>Yes</t>
        </is>
      </c>
      <c r="M1588" s="4" t="inlineStr">
        <is>
          <t>Further, faster, warmer. Take the chill out of cold-weather runs in this lightweight jacket that's body-mapped to retain heat without adding weight to your stride.</t>
        </is>
      </c>
      <c r="N1588" s="4" t="inlineStr">
        <is>
          <t>Womens-InsulEight-Cold-Weather-Run-Shell</t>
        </is>
      </c>
      <c r="O1588" s="4" t="inlineStr">
        <is>
          <t>Rain Jackets, Athletic Jackets</t>
        </is>
      </c>
    </row>
    <row r="1589" ht="80" customHeight="1">
      <c r="A1589" s="7">
        <f>IMAGE("https://images.lululemon.com/is/image/lululemon/LW4CLBS_0001_1?wid=320&amp;op_usm=0.8",1)</f>
        <v/>
      </c>
      <c r="B1589" s="7" t="inlineStr">
        <is>
          <t>Women’s InsulEight Cold-Weather Run Shell</t>
        </is>
      </c>
      <c r="C1589" s="7" t="inlineStr">
        <is>
          <t>157688170</t>
        </is>
      </c>
      <c r="D1589" s="7" t="inlineStr">
        <is>
          <t>157688170-black</t>
        </is>
      </c>
      <c r="E1589" s="7" t="inlineStr">
        <is>
          <t>W's InsulEight Cold-Weather Run Shell BLK XXS</t>
        </is>
      </c>
      <c r="F1589" s="7" t="inlineStr">
        <is>
          <t>$188.00</t>
        </is>
      </c>
      <c r="G1589" s="7" t="inlineStr">
        <is>
          <t>$94.00</t>
        </is>
      </c>
      <c r="H1589" s="7" t="inlineStr">
        <is>
          <t>Black</t>
        </is>
      </c>
      <c r="I1589" s="7">
        <f>IMAGE("https://images.lululemon.com/is/image/lululemon/0001",1)</f>
        <v/>
      </c>
      <c r="J1589" s="7" t="inlineStr">
        <is>
          <t>L</t>
        </is>
      </c>
      <c r="K1589" s="7" t="inlineStr">
        <is>
          <t>38/170</t>
        </is>
      </c>
      <c r="L1589" s="7" t="inlineStr">
        <is>
          <t>Yes</t>
        </is>
      </c>
      <c r="M1589" s="7" t="inlineStr">
        <is>
          <t>Further, faster, warmer. Take the chill out of cold-weather runs in this lightweight jacket that's body-mapped to retain heat without adding weight to your stride.</t>
        </is>
      </c>
      <c r="N1589" s="7" t="inlineStr">
        <is>
          <t>Womens-InsulEight-Cold-Weather-Run-Shell</t>
        </is>
      </c>
      <c r="O1589" s="7" t="inlineStr">
        <is>
          <t>Rain Jackets, Athletic Jackets</t>
        </is>
      </c>
    </row>
    <row r="1590" ht="80" customHeight="1">
      <c r="A1590" s="6">
        <f>IMAGE("https://images.lululemon.com/is/image/lululemon/LW4CLBS_0001_1?wid=320&amp;op_usm=0.8",1)</f>
        <v/>
      </c>
      <c r="B1590" s="6" t="inlineStr">
        <is>
          <t>Women’s InsulEight Cold-Weather Run Shell</t>
        </is>
      </c>
      <c r="C1590" s="6" t="inlineStr">
        <is>
          <t>157688181</t>
        </is>
      </c>
      <c r="D1590" s="6" t="inlineStr">
        <is>
          <t>157688181-black</t>
        </is>
      </c>
      <c r="E1590" s="6" t="inlineStr">
        <is>
          <t>W's InsulEight Cold-Weather Run Shell BLK XXS</t>
        </is>
      </c>
      <c r="F1590" s="6" t="inlineStr">
        <is>
          <t>$188.00</t>
        </is>
      </c>
      <c r="G1590" s="6" t="inlineStr">
        <is>
          <t>$94.00</t>
        </is>
      </c>
      <c r="H1590" s="6" t="inlineStr">
        <is>
          <t>Black</t>
        </is>
      </c>
      <c r="I1590" s="6">
        <f>IMAGE("https://images.lululemon.com/is/image/lululemon/0001",1)</f>
        <v/>
      </c>
      <c r="J1590" s="6" t="inlineStr">
        <is>
          <t>XL</t>
        </is>
      </c>
      <c r="K1590" s="6" t="inlineStr">
        <is>
          <t>17/170</t>
        </is>
      </c>
      <c r="L1590" s="6" t="inlineStr">
        <is>
          <t>Yes</t>
        </is>
      </c>
      <c r="M1590" s="6" t="inlineStr">
        <is>
          <t>Further, faster, warmer. Take the chill out of cold-weather runs in this lightweight jacket that's body-mapped to retain heat without adding weight to your stride.</t>
        </is>
      </c>
      <c r="N1590" s="6" t="inlineStr">
        <is>
          <t>Womens-InsulEight-Cold-Weather-Run-Shell</t>
        </is>
      </c>
      <c r="O1590" s="6" t="inlineStr">
        <is>
          <t>Rain Jackets, Athletic Jackets</t>
        </is>
      </c>
    </row>
    <row r="1591" ht="80" customHeight="1">
      <c r="A1591" s="7">
        <f>IMAGE("https://images.lululemon.com/is/image/lululemon/LW1FAMS_043646_1?wid=320&amp;op_usm=0.8",1)</f>
        <v/>
      </c>
      <c r="B1591" s="7" t="inlineStr">
        <is>
          <t>Get Low Crossback Training Tank Top *Light Support, B/C Cup</t>
        </is>
      </c>
      <c r="C1591" s="7" t="inlineStr">
        <is>
          <t>156751345</t>
        </is>
      </c>
      <c r="D1591" s="7" t="inlineStr">
        <is>
          <t>156751345-sequoia/twig</t>
        </is>
      </c>
      <c r="E1591" s="7" t="inlineStr">
        <is>
          <t>Get Low Crossback Training Tank SQUO/TWIG XS</t>
        </is>
      </c>
      <c r="F1591" s="7" t="inlineStr">
        <is>
          <t>$68.00</t>
        </is>
      </c>
      <c r="G1591" s="7" t="inlineStr">
        <is>
          <t>$34.00</t>
        </is>
      </c>
      <c r="H1591" s="7" t="inlineStr">
        <is>
          <t>Sequoia/Twig</t>
        </is>
      </c>
      <c r="I1591" s="7">
        <f>IMAGE("https://images.lululemon.com/is/image/lululemon/71320",1)</f>
        <v/>
      </c>
      <c r="J1591" s="7" t="inlineStr">
        <is>
          <t>XS</t>
        </is>
      </c>
      <c r="K1591" s="7" t="inlineStr">
        <is>
          <t>4/238</t>
        </is>
      </c>
      <c r="L1591" s="7" t="inlineStr">
        <is>
          <t>Yes</t>
        </is>
      </c>
      <c r="M1591" s="7" t="inlineStr">
        <is>
          <t>You put in the work—here's the gear to match. This seamlessly knit tank offers a sculpted look and targeted support for confidence through every push and pull.</t>
        </is>
      </c>
      <c r="N1591" s="7" t="inlineStr">
        <is>
          <t>Get-Low-Crossback-Training-Tank-Top-LS-BC-Cup</t>
        </is>
      </c>
      <c r="O1591" s="7" t="inlineStr"/>
    </row>
    <row r="1592" ht="80" customHeight="1">
      <c r="A1592" s="4">
        <f>IMAGE("https://images.lululemon.com/is/image/lululemon/LW1FAMS_043646_1?wid=320&amp;op_usm=0.8",1)</f>
        <v/>
      </c>
      <c r="B1592" s="4" t="inlineStr">
        <is>
          <t>Get Low Crossback Training Tank Top *Light Support, B/C Cup</t>
        </is>
      </c>
      <c r="C1592" s="4" t="inlineStr">
        <is>
          <t>156751330</t>
        </is>
      </c>
      <c r="D1592" s="4" t="inlineStr">
        <is>
          <t>156751330-sequoia/twig</t>
        </is>
      </c>
      <c r="E1592" s="4" t="inlineStr">
        <is>
          <t>Get Low Crossback Training Tank SQUO/TWIG XS</t>
        </is>
      </c>
      <c r="F1592" s="4" t="inlineStr">
        <is>
          <t>$68.00</t>
        </is>
      </c>
      <c r="G1592" s="4" t="inlineStr">
        <is>
          <t>$34.00</t>
        </is>
      </c>
      <c r="H1592" s="4" t="inlineStr">
        <is>
          <t>Sequoia/Twig</t>
        </is>
      </c>
      <c r="I1592" s="4">
        <f>IMAGE("https://images.lululemon.com/is/image/lululemon/71320",1)</f>
        <v/>
      </c>
      <c r="J1592" s="4" t="inlineStr">
        <is>
          <t>M</t>
        </is>
      </c>
      <c r="K1592" s="4" t="inlineStr">
        <is>
          <t>18/238</t>
        </is>
      </c>
      <c r="L1592" s="4" t="inlineStr">
        <is>
          <t>Yes</t>
        </is>
      </c>
      <c r="M1592" s="4" t="inlineStr">
        <is>
          <t>You put in the work—here's the gear to match. This seamlessly knit tank offers a sculpted look and targeted support for confidence through every push and pull.</t>
        </is>
      </c>
      <c r="N1592" s="4" t="inlineStr">
        <is>
          <t>Get-Low-Crossback-Training-Tank-Top-LS-BC-Cup</t>
        </is>
      </c>
      <c r="O1592" s="4" t="inlineStr"/>
    </row>
    <row r="1593" ht="80" customHeight="1">
      <c r="A1593" s="7">
        <f>IMAGE("https://images.lululemon.com/is/image/lululemon/LW1FAMS_043646_1?wid=320&amp;op_usm=0.8",1)</f>
        <v/>
      </c>
      <c r="B1593" s="7" t="inlineStr">
        <is>
          <t>Get Low Crossback Training Tank Top *Light Support, B/C Cup</t>
        </is>
      </c>
      <c r="C1593" s="7" t="inlineStr">
        <is>
          <t>156751325</t>
        </is>
      </c>
      <c r="D1593" s="7" t="inlineStr">
        <is>
          <t>156751325-sequoia/twig</t>
        </is>
      </c>
      <c r="E1593" s="7" t="inlineStr">
        <is>
          <t>Get Low Crossback Training Tank SQUO/TWIG XS</t>
        </is>
      </c>
      <c r="F1593" s="7" t="inlineStr">
        <is>
          <t>$68.00</t>
        </is>
      </c>
      <c r="G1593" s="7" t="inlineStr">
        <is>
          <t>$34.00</t>
        </is>
      </c>
      <c r="H1593" s="7" t="inlineStr">
        <is>
          <t>Sequoia/Twig</t>
        </is>
      </c>
      <c r="I1593" s="7">
        <f>IMAGE("https://images.lululemon.com/is/image/lululemon/71320",1)</f>
        <v/>
      </c>
      <c r="J1593" s="7" t="inlineStr">
        <is>
          <t>L</t>
        </is>
      </c>
      <c r="K1593" s="7" t="inlineStr">
        <is>
          <t>33/238</t>
        </is>
      </c>
      <c r="L1593" s="7" t="inlineStr">
        <is>
          <t>Yes</t>
        </is>
      </c>
      <c r="M1593" s="7" t="inlineStr">
        <is>
          <t>You put in the work—here's the gear to match. This seamlessly knit tank offers a sculpted look and targeted support for confidence through every push and pull.</t>
        </is>
      </c>
      <c r="N1593" s="7" t="inlineStr">
        <is>
          <t>Get-Low-Crossback-Training-Tank-Top-LS-BC-Cup</t>
        </is>
      </c>
      <c r="O1593" s="7" t="inlineStr"/>
    </row>
    <row r="1594" ht="80" customHeight="1">
      <c r="A1594" s="4">
        <f>IMAGE("https://images.lululemon.com/is/image/lululemon/LW1FAMS_043646_1?wid=320&amp;op_usm=0.8",1)</f>
        <v/>
      </c>
      <c r="B1594" s="4" t="inlineStr">
        <is>
          <t>Get Low Crossback Training Tank Top *Light Support, B/C Cup</t>
        </is>
      </c>
      <c r="C1594" s="4" t="inlineStr">
        <is>
          <t>156751341</t>
        </is>
      </c>
      <c r="D1594" s="4" t="inlineStr">
        <is>
          <t>156751341-sequoia/twig</t>
        </is>
      </c>
      <c r="E1594" s="4" t="inlineStr">
        <is>
          <t>Get Low Crossback Training Tank SQUO/TWIG XS</t>
        </is>
      </c>
      <c r="F1594" s="4" t="inlineStr">
        <is>
          <t>$68.00</t>
        </is>
      </c>
      <c r="G1594" s="4" t="inlineStr">
        <is>
          <t>$34.00</t>
        </is>
      </c>
      <c r="H1594" s="4" t="inlineStr">
        <is>
          <t>Sequoia/Twig</t>
        </is>
      </c>
      <c r="I1594" s="4">
        <f>IMAGE("https://images.lululemon.com/is/image/lululemon/71320",1)</f>
        <v/>
      </c>
      <c r="J1594" s="4" t="inlineStr">
        <is>
          <t>XL</t>
        </is>
      </c>
      <c r="K1594" s="4" t="inlineStr">
        <is>
          <t>52/238</t>
        </is>
      </c>
      <c r="L1594" s="4" t="inlineStr">
        <is>
          <t>Yes</t>
        </is>
      </c>
      <c r="M1594" s="4" t="inlineStr">
        <is>
          <t>You put in the work—here's the gear to match. This seamlessly knit tank offers a sculpted look and targeted support for confidence through every push and pull.</t>
        </is>
      </c>
      <c r="N1594" s="4" t="inlineStr">
        <is>
          <t>Get-Low-Crossback-Training-Tank-Top-LS-BC-Cup</t>
        </is>
      </c>
      <c r="O1594" s="4" t="inlineStr"/>
    </row>
    <row r="1595" ht="80" customHeight="1">
      <c r="A1595" s="7">
        <f>IMAGE("https://images.lululemon.com/is/image/lululemon/LW1FAMS_043646_1?wid=320&amp;op_usm=0.8",1)</f>
        <v/>
      </c>
      <c r="B1595" s="7" t="inlineStr">
        <is>
          <t>Get Low Crossback Training Tank Top *Light Support, B/C Cup</t>
        </is>
      </c>
      <c r="C1595" s="7" t="inlineStr">
        <is>
          <t>156751260</t>
        </is>
      </c>
      <c r="D1595" s="7" t="inlineStr">
        <is>
          <t>156751260-black/graphitegrey</t>
        </is>
      </c>
      <c r="E1595" s="7" t="inlineStr">
        <is>
          <t>Get Low Crossback Training Tank SQUO/TWIG XS</t>
        </is>
      </c>
      <c r="F1595" s="7" t="inlineStr">
        <is>
          <t>$68.00</t>
        </is>
      </c>
      <c r="G1595" s="7" t="inlineStr">
        <is>
          <t>$34.00</t>
        </is>
      </c>
      <c r="H1595" s="7" t="inlineStr">
        <is>
          <t>Black/Graphite Grey</t>
        </is>
      </c>
      <c r="I1595" s="7">
        <f>IMAGE("https://images.lululemon.com/is/image/lululemon/43646",1)</f>
        <v/>
      </c>
      <c r="J1595" s="7" t="inlineStr">
        <is>
          <t>XS</t>
        </is>
      </c>
      <c r="K1595" s="7" t="inlineStr">
        <is>
          <t>7/238</t>
        </is>
      </c>
      <c r="L1595" s="7" t="inlineStr">
        <is>
          <t>Yes</t>
        </is>
      </c>
      <c r="M1595" s="7" t="inlineStr">
        <is>
          <t>You put in the work—here's the gear to match. This seamlessly knit tank offers a sculpted look and targeted support for confidence through every push and pull.</t>
        </is>
      </c>
      <c r="N1595" s="7" t="inlineStr">
        <is>
          <t>Get-Low-Crossback-Training-Tank-Top-LS-BC-Cup</t>
        </is>
      </c>
      <c r="O1595" s="7" t="inlineStr"/>
    </row>
    <row r="1596" ht="80" customHeight="1">
      <c r="A1596" s="4">
        <f>IMAGE("https://images.lululemon.com/is/image/lululemon/LW1FAMS_043646_1?wid=320&amp;op_usm=0.8",1)</f>
        <v/>
      </c>
      <c r="B1596" s="4" t="inlineStr">
        <is>
          <t>Get Low Crossback Training Tank Top *Light Support, B/C Cup</t>
        </is>
      </c>
      <c r="C1596" s="4" t="inlineStr">
        <is>
          <t>156751239</t>
        </is>
      </c>
      <c r="D1596" s="4" t="inlineStr">
        <is>
          <t>156751239-black/graphitegrey</t>
        </is>
      </c>
      <c r="E1596" s="4" t="inlineStr">
        <is>
          <t>Get Low Crossback Training Tank SQUO/TWIG XS</t>
        </is>
      </c>
      <c r="F1596" s="4" t="inlineStr">
        <is>
          <t>$68.00</t>
        </is>
      </c>
      <c r="G1596" s="4" t="inlineStr">
        <is>
          <t>$34.00</t>
        </is>
      </c>
      <c r="H1596" s="4" t="inlineStr">
        <is>
          <t>Black/Graphite Grey</t>
        </is>
      </c>
      <c r="I1596" s="4">
        <f>IMAGE("https://images.lululemon.com/is/image/lululemon/43646",1)</f>
        <v/>
      </c>
      <c r="J1596" s="4" t="inlineStr">
        <is>
          <t>S</t>
        </is>
      </c>
      <c r="K1596" s="4" t="inlineStr">
        <is>
          <t>12/238</t>
        </is>
      </c>
      <c r="L1596" s="4" t="inlineStr">
        <is>
          <t>Yes</t>
        </is>
      </c>
      <c r="M1596" s="4" t="inlineStr">
        <is>
          <t>You put in the work—here's the gear to match. This seamlessly knit tank offers a sculpted look and targeted support for confidence through every push and pull.</t>
        </is>
      </c>
      <c r="N1596" s="4" t="inlineStr">
        <is>
          <t>Get-Low-Crossback-Training-Tank-Top-LS-BC-Cup</t>
        </is>
      </c>
      <c r="O1596" s="4" t="inlineStr"/>
    </row>
    <row r="1597" ht="80" customHeight="1">
      <c r="A1597" s="7">
        <f>IMAGE("https://images.lululemon.com/is/image/lululemon/LW1FAMS_043646_1?wid=320&amp;op_usm=0.8",1)</f>
        <v/>
      </c>
      <c r="B1597" s="7" t="inlineStr">
        <is>
          <t>Get Low Crossback Training Tank Top *Light Support, B/C Cup</t>
        </is>
      </c>
      <c r="C1597" s="7" t="inlineStr">
        <is>
          <t>156751228</t>
        </is>
      </c>
      <c r="D1597" s="7" t="inlineStr">
        <is>
          <t>156751228-black/graphitegrey</t>
        </is>
      </c>
      <c r="E1597" s="7" t="inlineStr">
        <is>
          <t>Get Low Crossback Training Tank SQUO/TWIG XS</t>
        </is>
      </c>
      <c r="F1597" s="7" t="inlineStr">
        <is>
          <t>$68.00</t>
        </is>
      </c>
      <c r="G1597" s="7" t="inlineStr">
        <is>
          <t>$34.00</t>
        </is>
      </c>
      <c r="H1597" s="7" t="inlineStr">
        <is>
          <t>Black/Graphite Grey</t>
        </is>
      </c>
      <c r="I1597" s="7">
        <f>IMAGE("https://images.lululemon.com/is/image/lululemon/43646",1)</f>
        <v/>
      </c>
      <c r="J1597" s="7" t="inlineStr">
        <is>
          <t>M</t>
        </is>
      </c>
      <c r="K1597" s="7" t="inlineStr">
        <is>
          <t>33/238</t>
        </is>
      </c>
      <c r="L1597" s="7" t="inlineStr">
        <is>
          <t>Yes</t>
        </is>
      </c>
      <c r="M1597" s="7" t="inlineStr">
        <is>
          <t>You put in the work—here's the gear to match. This seamlessly knit tank offers a sculpted look and targeted support for confidence through every push and pull.</t>
        </is>
      </c>
      <c r="N1597" s="7" t="inlineStr">
        <is>
          <t>Get-Low-Crossback-Training-Tank-Top-LS-BC-Cup</t>
        </is>
      </c>
      <c r="O1597" s="7" t="inlineStr"/>
    </row>
    <row r="1598" ht="80" customHeight="1">
      <c r="A1598" s="4">
        <f>IMAGE("https://images.lululemon.com/is/image/lululemon/LW1FAMS_043646_1?wid=320&amp;op_usm=0.8",1)</f>
        <v/>
      </c>
      <c r="B1598" s="4" t="inlineStr">
        <is>
          <t>Get Low Crossback Training Tank Top *Light Support, B/C Cup</t>
        </is>
      </c>
      <c r="C1598" s="4" t="inlineStr">
        <is>
          <t>156751224</t>
        </is>
      </c>
      <c r="D1598" s="4" t="inlineStr">
        <is>
          <t>156751224-black/graphitegrey</t>
        </is>
      </c>
      <c r="E1598" s="4" t="inlineStr">
        <is>
          <t>Get Low Crossback Training Tank SQUO/TWIG XS</t>
        </is>
      </c>
      <c r="F1598" s="4" t="inlineStr">
        <is>
          <t>$68.00</t>
        </is>
      </c>
      <c r="G1598" s="4" t="inlineStr">
        <is>
          <t>$34.00</t>
        </is>
      </c>
      <c r="H1598" s="4" t="inlineStr">
        <is>
          <t>Black/Graphite Grey</t>
        </is>
      </c>
      <c r="I1598" s="4">
        <f>IMAGE("https://images.lululemon.com/is/image/lululemon/43646",1)</f>
        <v/>
      </c>
      <c r="J1598" s="4" t="inlineStr">
        <is>
          <t>L</t>
        </is>
      </c>
      <c r="K1598" s="4" t="inlineStr">
        <is>
          <t>61/238</t>
        </is>
      </c>
      <c r="L1598" s="4" t="inlineStr">
        <is>
          <t>Yes</t>
        </is>
      </c>
      <c r="M1598" s="4" t="inlineStr">
        <is>
          <t>You put in the work—here's the gear to match. This seamlessly knit tank offers a sculpted look and targeted support for confidence through every push and pull.</t>
        </is>
      </c>
      <c r="N1598" s="4" t="inlineStr">
        <is>
          <t>Get-Low-Crossback-Training-Tank-Top-LS-BC-Cup</t>
        </is>
      </c>
      <c r="O1598" s="4" t="inlineStr"/>
    </row>
    <row r="1599" ht="80" customHeight="1">
      <c r="A1599" s="5">
        <f>IMAGE("https://images.lululemon.com/is/image/lululemon/LW1FAMS_043646_1?wid=320&amp;op_usm=0.8",1)</f>
        <v/>
      </c>
      <c r="B1599" s="5" t="inlineStr">
        <is>
          <t>Get Low Crossback Training Tank Top *Light Support, B/C Cup</t>
        </is>
      </c>
      <c r="C1599" s="5" t="inlineStr">
        <is>
          <t>156751249</t>
        </is>
      </c>
      <c r="D1599" s="5" t="inlineStr">
        <is>
          <t>156751249-black/graphitegrey</t>
        </is>
      </c>
      <c r="E1599" s="5" t="inlineStr">
        <is>
          <t>Get Low Crossback Training Tank SQUO/TWIG XS</t>
        </is>
      </c>
      <c r="F1599" s="5" t="inlineStr">
        <is>
          <t>$68.00</t>
        </is>
      </c>
      <c r="G1599" s="5" t="inlineStr">
        <is>
          <t>$34.00</t>
        </is>
      </c>
      <c r="H1599" s="5" t="inlineStr">
        <is>
          <t>Black/Graphite Grey</t>
        </is>
      </c>
      <c r="I1599" s="5">
        <f>IMAGE("https://images.lululemon.com/is/image/lululemon/43646",1)</f>
        <v/>
      </c>
      <c r="J1599" s="5" t="inlineStr">
        <is>
          <t>XL</t>
        </is>
      </c>
      <c r="K1599" s="5" t="inlineStr">
        <is>
          <t>18/238</t>
        </is>
      </c>
      <c r="L1599" s="5" t="inlineStr">
        <is>
          <t>Yes</t>
        </is>
      </c>
      <c r="M1599" s="5" t="inlineStr">
        <is>
          <t>You put in the work—here's the gear to match. This seamlessly knit tank offers a sculpted look and targeted support for confidence through every push and pull.</t>
        </is>
      </c>
      <c r="N1599" s="5" t="inlineStr">
        <is>
          <t>Get-Low-Crossback-Training-Tank-Top-LS-BC-Cup</t>
        </is>
      </c>
      <c r="O1599" s="5" t="inlineStr"/>
    </row>
    <row r="1600" ht="80" customHeight="1">
      <c r="A1600" s="4">
        <f>IMAGE("https://images.lululemon.com/is/image/lululemon/LW3IR9S_069299_1?wid=320&amp;op_usm=0.8",1)</f>
        <v/>
      </c>
      <c r="B1600" s="4" t="inlineStr">
        <is>
          <t>Court Rival Tennis Track Jacket</t>
        </is>
      </c>
      <c r="C1600" s="4" t="inlineStr">
        <is>
          <t>157708526</t>
        </is>
      </c>
      <c r="D1600" s="4" t="inlineStr">
        <is>
          <t>157708526-white/clubblue</t>
        </is>
      </c>
      <c r="E1600" s="4" t="inlineStr">
        <is>
          <t>Court Rival Tennis Track Jacket WHT/CLBL 2</t>
        </is>
      </c>
      <c r="F1600" s="4" t="inlineStr">
        <is>
          <t>$128.00</t>
        </is>
      </c>
      <c r="G1600" s="4" t="inlineStr">
        <is>
          <t>$64.00</t>
        </is>
      </c>
      <c r="H1600" s="4" t="inlineStr">
        <is>
          <t>White/Club Blue</t>
        </is>
      </c>
      <c r="I1600" s="4">
        <f>IMAGE("https://images.lululemon.com/is/image/lululemon/69502",1)</f>
        <v/>
      </c>
      <c r="J1600" s="4" t="inlineStr">
        <is>
          <t>2</t>
        </is>
      </c>
      <c r="K1600" s="4" t="inlineStr">
        <is>
          <t>43/888</t>
        </is>
      </c>
      <c r="L1600" s="4" t="inlineStr">
        <is>
          <t>Yes</t>
        </is>
      </c>
      <c r="M1600" s="4" t="inlineStr">
        <is>
          <t>Keep your warm-up look on (match) point in this vintage-inspired jacket. Piping details, ribbed cuffs, and lightweight, quick-drying fabric make it a key courtside companion.</t>
        </is>
      </c>
      <c r="N1600" s="4" t="inlineStr">
        <is>
          <t>Court-Rival-Tennis-Track-Jacket</t>
        </is>
      </c>
      <c r="O1600" s="4" t="inlineStr">
        <is>
          <t>Athletic Jackets, Track Jackets</t>
        </is>
      </c>
    </row>
    <row r="1601" ht="80" customHeight="1">
      <c r="A1601" s="7">
        <f>IMAGE("https://images.lululemon.com/is/image/lululemon/LW3IR9S_069299_1?wid=320&amp;op_usm=0.8",1)</f>
        <v/>
      </c>
      <c r="B1601" s="7" t="inlineStr">
        <is>
          <t>Court Rival Tennis Track Jacket</t>
        </is>
      </c>
      <c r="C1601" s="7" t="inlineStr">
        <is>
          <t>157708534</t>
        </is>
      </c>
      <c r="D1601" s="7" t="inlineStr">
        <is>
          <t>157708534-white/clubblue</t>
        </is>
      </c>
      <c r="E1601" s="7" t="inlineStr">
        <is>
          <t>Court Rival Tennis Track Jacket WHT/CLBL 2</t>
        </is>
      </c>
      <c r="F1601" s="7" t="inlineStr">
        <is>
          <t>$128.00</t>
        </is>
      </c>
      <c r="G1601" s="7" t="inlineStr">
        <is>
          <t>$64.00</t>
        </is>
      </c>
      <c r="H1601" s="7" t="inlineStr">
        <is>
          <t>White/Club Blue</t>
        </is>
      </c>
      <c r="I1601" s="7">
        <f>IMAGE("https://images.lululemon.com/is/image/lululemon/69502",1)</f>
        <v/>
      </c>
      <c r="J1601" s="7" t="inlineStr">
        <is>
          <t>4</t>
        </is>
      </c>
      <c r="K1601" s="7" t="inlineStr">
        <is>
          <t>24/888</t>
        </is>
      </c>
      <c r="L1601" s="7" t="inlineStr">
        <is>
          <t>Yes</t>
        </is>
      </c>
      <c r="M1601" s="7" t="inlineStr">
        <is>
          <t>Keep your warm-up look on (match) point in this vintage-inspired jacket. Piping details, ribbed cuffs, and lightweight, quick-drying fabric make it a key courtside companion.</t>
        </is>
      </c>
      <c r="N1601" s="7" t="inlineStr">
        <is>
          <t>Court-Rival-Tennis-Track-Jacket</t>
        </is>
      </c>
      <c r="O1601" s="7" t="inlineStr">
        <is>
          <t>Athletic Jackets, Track Jackets</t>
        </is>
      </c>
    </row>
    <row r="1602" ht="80" customHeight="1">
      <c r="A1602" s="4">
        <f>IMAGE("https://images.lululemon.com/is/image/lululemon/LW3IR9S_069299_1?wid=320&amp;op_usm=0.8",1)</f>
        <v/>
      </c>
      <c r="B1602" s="4" t="inlineStr">
        <is>
          <t>Court Rival Tennis Track Jacket</t>
        </is>
      </c>
      <c r="C1602" s="4" t="inlineStr">
        <is>
          <t>157708548</t>
        </is>
      </c>
      <c r="D1602" s="4" t="inlineStr">
        <is>
          <t>157708548-white/clubblue</t>
        </is>
      </c>
      <c r="E1602" s="4" t="inlineStr">
        <is>
          <t>Court Rival Tennis Track Jacket WHT/CLBL 2</t>
        </is>
      </c>
      <c r="F1602" s="4" t="inlineStr">
        <is>
          <t>$128.00</t>
        </is>
      </c>
      <c r="G1602" s="4" t="inlineStr">
        <is>
          <t>$64.00</t>
        </is>
      </c>
      <c r="H1602" s="4" t="inlineStr">
        <is>
          <t>White/Club Blue</t>
        </is>
      </c>
      <c r="I1602" s="4">
        <f>IMAGE("https://images.lululemon.com/is/image/lululemon/69502",1)</f>
        <v/>
      </c>
      <c r="J1602" s="4" t="inlineStr">
        <is>
          <t>8</t>
        </is>
      </c>
      <c r="K1602" s="4" t="inlineStr">
        <is>
          <t>15/888</t>
        </is>
      </c>
      <c r="L1602" s="4" t="inlineStr">
        <is>
          <t>Yes</t>
        </is>
      </c>
      <c r="M1602" s="4" t="inlineStr">
        <is>
          <t>Keep your warm-up look on (match) point in this vintage-inspired jacket. Piping details, ribbed cuffs, and lightweight, quick-drying fabric make it a key courtside companion.</t>
        </is>
      </c>
      <c r="N1602" s="4" t="inlineStr">
        <is>
          <t>Court-Rival-Tennis-Track-Jacket</t>
        </is>
      </c>
      <c r="O1602" s="4" t="inlineStr">
        <is>
          <t>Athletic Jackets, Track Jackets</t>
        </is>
      </c>
    </row>
    <row r="1603" ht="80" customHeight="1">
      <c r="A1603" s="7">
        <f>IMAGE("https://images.lululemon.com/is/image/lululemon/LW3IR9S_069299_1?wid=320&amp;op_usm=0.8",1)</f>
        <v/>
      </c>
      <c r="B1603" s="7" t="inlineStr">
        <is>
          <t>Court Rival Tennis Track Jacket</t>
        </is>
      </c>
      <c r="C1603" s="7" t="inlineStr">
        <is>
          <t>157708501</t>
        </is>
      </c>
      <c r="D1603" s="7" t="inlineStr">
        <is>
          <t>157708501-white/clubblue</t>
        </is>
      </c>
      <c r="E1603" s="7" t="inlineStr">
        <is>
          <t>Court Rival Tennis Track Jacket WHT/CLBL 2</t>
        </is>
      </c>
      <c r="F1603" s="7" t="inlineStr">
        <is>
          <t>$128.00</t>
        </is>
      </c>
      <c r="G1603" s="7" t="inlineStr">
        <is>
          <t>$64.00</t>
        </is>
      </c>
      <c r="H1603" s="7" t="inlineStr">
        <is>
          <t>White/Club Blue</t>
        </is>
      </c>
      <c r="I1603" s="7">
        <f>IMAGE("https://images.lululemon.com/is/image/lululemon/69502",1)</f>
        <v/>
      </c>
      <c r="J1603" s="7" t="inlineStr">
        <is>
          <t>10</t>
        </is>
      </c>
      <c r="K1603" s="7" t="inlineStr">
        <is>
          <t>53/888</t>
        </is>
      </c>
      <c r="L1603" s="7" t="inlineStr">
        <is>
          <t>Yes</t>
        </is>
      </c>
      <c r="M1603" s="7" t="inlineStr">
        <is>
          <t>Keep your warm-up look on (match) point in this vintage-inspired jacket. Piping details, ribbed cuffs, and lightweight, quick-drying fabric make it a key courtside companion.</t>
        </is>
      </c>
      <c r="N1603" s="7" t="inlineStr">
        <is>
          <t>Court-Rival-Tennis-Track-Jacket</t>
        </is>
      </c>
      <c r="O1603" s="7" t="inlineStr">
        <is>
          <t>Athletic Jackets, Track Jackets</t>
        </is>
      </c>
    </row>
    <row r="1604" ht="80" customHeight="1">
      <c r="A1604" s="4">
        <f>IMAGE("https://images.lululemon.com/is/image/lululemon/LW3IR9S_069299_1?wid=320&amp;op_usm=0.8",1)</f>
        <v/>
      </c>
      <c r="B1604" s="4" t="inlineStr">
        <is>
          <t>Court Rival Tennis Track Jacket</t>
        </is>
      </c>
      <c r="C1604" s="4" t="inlineStr">
        <is>
          <t>157708508</t>
        </is>
      </c>
      <c r="D1604" s="4" t="inlineStr">
        <is>
          <t>157708508-white/clubblue</t>
        </is>
      </c>
      <c r="E1604" s="4" t="inlineStr">
        <is>
          <t>Court Rival Tennis Track Jacket WHT/CLBL 2</t>
        </is>
      </c>
      <c r="F1604" s="4" t="inlineStr">
        <is>
          <t>$128.00</t>
        </is>
      </c>
      <c r="G1604" s="4" t="inlineStr">
        <is>
          <t>$64.00</t>
        </is>
      </c>
      <c r="H1604" s="4" t="inlineStr">
        <is>
          <t>White/Club Blue</t>
        </is>
      </c>
      <c r="I1604" s="4">
        <f>IMAGE("https://images.lululemon.com/is/image/lululemon/69502",1)</f>
        <v/>
      </c>
      <c r="J1604" s="4" t="inlineStr">
        <is>
          <t>12</t>
        </is>
      </c>
      <c r="K1604" s="4" t="inlineStr">
        <is>
          <t>45/888</t>
        </is>
      </c>
      <c r="L1604" s="4" t="inlineStr">
        <is>
          <t>Yes</t>
        </is>
      </c>
      <c r="M1604" s="4" t="inlineStr">
        <is>
          <t>Keep your warm-up look on (match) point in this vintage-inspired jacket. Piping details, ribbed cuffs, and lightweight, quick-drying fabric make it a key courtside companion.</t>
        </is>
      </c>
      <c r="N1604" s="4" t="inlineStr">
        <is>
          <t>Court-Rival-Tennis-Track-Jacket</t>
        </is>
      </c>
      <c r="O1604" s="4" t="inlineStr">
        <is>
          <t>Athletic Jackets, Track Jackets</t>
        </is>
      </c>
    </row>
    <row r="1605" ht="80" customHeight="1">
      <c r="A1605" s="7">
        <f>IMAGE("https://images.lululemon.com/is/image/lululemon/LW3IR9S_069299_1?wid=320&amp;op_usm=0.8",1)</f>
        <v/>
      </c>
      <c r="B1605" s="7" t="inlineStr">
        <is>
          <t>Court Rival Tennis Track Jacket</t>
        </is>
      </c>
      <c r="C1605" s="7" t="inlineStr">
        <is>
          <t>157708644</t>
        </is>
      </c>
      <c r="D1605" s="7" t="inlineStr">
        <is>
          <t>157708644-clubblue/white</t>
        </is>
      </c>
      <c r="E1605" s="7" t="inlineStr">
        <is>
          <t>Court Rival Tennis Track Jacket WHT/CLBL 2</t>
        </is>
      </c>
      <c r="F1605" s="7" t="inlineStr">
        <is>
          <t>$128.00</t>
        </is>
      </c>
      <c r="G1605" s="7" t="inlineStr">
        <is>
          <t>$64.00</t>
        </is>
      </c>
      <c r="H1605" s="7" t="inlineStr">
        <is>
          <t>Club Blue/White</t>
        </is>
      </c>
      <c r="I1605" s="7">
        <f>IMAGE("https://images.lululemon.com/is/image/lululemon/68898",1)</f>
        <v/>
      </c>
      <c r="J1605" s="7" t="inlineStr">
        <is>
          <t>2</t>
        </is>
      </c>
      <c r="K1605" s="7" t="inlineStr">
        <is>
          <t>46/888</t>
        </is>
      </c>
      <c r="L1605" s="7" t="inlineStr">
        <is>
          <t>Yes</t>
        </is>
      </c>
      <c r="M1605" s="7" t="inlineStr">
        <is>
          <t>Keep your warm-up look on (match) point in this vintage-inspired jacket. Piping details, ribbed cuffs, and lightweight, quick-drying fabric make it a key courtside companion.</t>
        </is>
      </c>
      <c r="N1605" s="7" t="inlineStr">
        <is>
          <t>Court-Rival-Tennis-Track-Jacket</t>
        </is>
      </c>
      <c r="O1605" s="7" t="inlineStr">
        <is>
          <t>Athletic Jackets, Track Jackets</t>
        </is>
      </c>
    </row>
    <row r="1606" ht="80" customHeight="1">
      <c r="A1606" s="4">
        <f>IMAGE("https://images.lululemon.com/is/image/lululemon/LW3IR9S_069299_1?wid=320&amp;op_usm=0.8",1)</f>
        <v/>
      </c>
      <c r="B1606" s="4" t="inlineStr">
        <is>
          <t>Court Rival Tennis Track Jacket</t>
        </is>
      </c>
      <c r="C1606" s="4" t="inlineStr">
        <is>
          <t>157708654</t>
        </is>
      </c>
      <c r="D1606" s="4" t="inlineStr">
        <is>
          <t>157708654-clubblue/white</t>
        </is>
      </c>
      <c r="E1606" s="4" t="inlineStr">
        <is>
          <t>Court Rival Tennis Track Jacket WHT/CLBL 2</t>
        </is>
      </c>
      <c r="F1606" s="4" t="inlineStr">
        <is>
          <t>$128.00</t>
        </is>
      </c>
      <c r="G1606" s="4" t="inlineStr">
        <is>
          <t>$64.00</t>
        </is>
      </c>
      <c r="H1606" s="4" t="inlineStr">
        <is>
          <t>Club Blue/White</t>
        </is>
      </c>
      <c r="I1606" s="4">
        <f>IMAGE("https://images.lululemon.com/is/image/lululemon/68898",1)</f>
        <v/>
      </c>
      <c r="J1606" s="4" t="inlineStr">
        <is>
          <t>4</t>
        </is>
      </c>
      <c r="K1606" s="4" t="inlineStr">
        <is>
          <t>113/888</t>
        </is>
      </c>
      <c r="L1606" s="4" t="inlineStr">
        <is>
          <t>Yes</t>
        </is>
      </c>
      <c r="M1606" s="4" t="inlineStr">
        <is>
          <t>Keep your warm-up look on (match) point in this vintage-inspired jacket. Piping details, ribbed cuffs, and lightweight, quick-drying fabric make it a key courtside companion.</t>
        </is>
      </c>
      <c r="N1606" s="4" t="inlineStr">
        <is>
          <t>Court-Rival-Tennis-Track-Jacket</t>
        </is>
      </c>
      <c r="O1606" s="4" t="inlineStr">
        <is>
          <t>Athletic Jackets, Track Jackets</t>
        </is>
      </c>
    </row>
    <row r="1607" ht="80" customHeight="1">
      <c r="A1607" s="7">
        <f>IMAGE("https://images.lululemon.com/is/image/lululemon/LW3IR9S_069299_1?wid=320&amp;op_usm=0.8",1)</f>
        <v/>
      </c>
      <c r="B1607" s="7" t="inlineStr">
        <is>
          <t>Court Rival Tennis Track Jacket</t>
        </is>
      </c>
      <c r="C1607" s="7" t="inlineStr">
        <is>
          <t>157708661</t>
        </is>
      </c>
      <c r="D1607" s="7" t="inlineStr">
        <is>
          <t>157708661-clubblue/white</t>
        </is>
      </c>
      <c r="E1607" s="7" t="inlineStr">
        <is>
          <t>Court Rival Tennis Track Jacket WHT/CLBL 2</t>
        </is>
      </c>
      <c r="F1607" s="7" t="inlineStr">
        <is>
          <t>$128.00</t>
        </is>
      </c>
      <c r="G1607" s="7" t="inlineStr">
        <is>
          <t>$64.00</t>
        </is>
      </c>
      <c r="H1607" s="7" t="inlineStr">
        <is>
          <t>Club Blue/White</t>
        </is>
      </c>
      <c r="I1607" s="7">
        <f>IMAGE("https://images.lululemon.com/is/image/lululemon/68898",1)</f>
        <v/>
      </c>
      <c r="J1607" s="7" t="inlineStr">
        <is>
          <t>6</t>
        </is>
      </c>
      <c r="K1607" s="7" t="inlineStr">
        <is>
          <t>150/888</t>
        </is>
      </c>
      <c r="L1607" s="7" t="inlineStr">
        <is>
          <t>Yes</t>
        </is>
      </c>
      <c r="M1607" s="7" t="inlineStr">
        <is>
          <t>Keep your warm-up look on (match) point in this vintage-inspired jacket. Piping details, ribbed cuffs, and lightweight, quick-drying fabric make it a key courtside companion.</t>
        </is>
      </c>
      <c r="N1607" s="7" t="inlineStr">
        <is>
          <t>Court-Rival-Tennis-Track-Jacket</t>
        </is>
      </c>
      <c r="O1607" s="7" t="inlineStr">
        <is>
          <t>Athletic Jackets, Track Jackets</t>
        </is>
      </c>
    </row>
    <row r="1608" ht="80" customHeight="1">
      <c r="A1608" s="4">
        <f>IMAGE("https://images.lululemon.com/is/image/lululemon/LW3IR9S_069299_1?wid=320&amp;op_usm=0.8",1)</f>
        <v/>
      </c>
      <c r="B1608" s="4" t="inlineStr">
        <is>
          <t>Court Rival Tennis Track Jacket</t>
        </is>
      </c>
      <c r="C1608" s="4" t="inlineStr">
        <is>
          <t>157708667</t>
        </is>
      </c>
      <c r="D1608" s="4" t="inlineStr">
        <is>
          <t>157708667-clubblue/white</t>
        </is>
      </c>
      <c r="E1608" s="4" t="inlineStr">
        <is>
          <t>Court Rival Tennis Track Jacket WHT/CLBL 2</t>
        </is>
      </c>
      <c r="F1608" s="4" t="inlineStr">
        <is>
          <t>$128.00</t>
        </is>
      </c>
      <c r="G1608" s="4" t="inlineStr">
        <is>
          <t>$64.00</t>
        </is>
      </c>
      <c r="H1608" s="4" t="inlineStr">
        <is>
          <t>Club Blue/White</t>
        </is>
      </c>
      <c r="I1608" s="4">
        <f>IMAGE("https://images.lululemon.com/is/image/lululemon/68898",1)</f>
        <v/>
      </c>
      <c r="J1608" s="4" t="inlineStr">
        <is>
          <t>8</t>
        </is>
      </c>
      <c r="K1608" s="4" t="inlineStr">
        <is>
          <t>155/888</t>
        </is>
      </c>
      <c r="L1608" s="4" t="inlineStr">
        <is>
          <t>Yes</t>
        </is>
      </c>
      <c r="M1608" s="4" t="inlineStr">
        <is>
          <t>Keep your warm-up look on (match) point in this vintage-inspired jacket. Piping details, ribbed cuffs, and lightweight, quick-drying fabric make it a key courtside companion.</t>
        </is>
      </c>
      <c r="N1608" s="4" t="inlineStr">
        <is>
          <t>Court-Rival-Tennis-Track-Jacket</t>
        </is>
      </c>
      <c r="O1608" s="4" t="inlineStr">
        <is>
          <t>Athletic Jackets, Track Jackets</t>
        </is>
      </c>
    </row>
    <row r="1609" ht="80" customHeight="1">
      <c r="A1609" s="7">
        <f>IMAGE("https://images.lululemon.com/is/image/lululemon/LW3IR9S_069299_1?wid=320&amp;op_usm=0.8",1)</f>
        <v/>
      </c>
      <c r="B1609" s="7" t="inlineStr">
        <is>
          <t>Court Rival Tennis Track Jacket</t>
        </is>
      </c>
      <c r="C1609" s="7" t="inlineStr">
        <is>
          <t>157708620</t>
        </is>
      </c>
      <c r="D1609" s="7" t="inlineStr">
        <is>
          <t>157708620-clubblue/white</t>
        </is>
      </c>
      <c r="E1609" s="7" t="inlineStr">
        <is>
          <t>Court Rival Tennis Track Jacket WHT/CLBL 2</t>
        </is>
      </c>
      <c r="F1609" s="7" t="inlineStr">
        <is>
          <t>$128.00</t>
        </is>
      </c>
      <c r="G1609" s="7" t="inlineStr">
        <is>
          <t>$64.00</t>
        </is>
      </c>
      <c r="H1609" s="7" t="inlineStr">
        <is>
          <t>Club Blue/White</t>
        </is>
      </c>
      <c r="I1609" s="7">
        <f>IMAGE("https://images.lululemon.com/is/image/lululemon/68898",1)</f>
        <v/>
      </c>
      <c r="J1609" s="7" t="inlineStr">
        <is>
          <t>10</t>
        </is>
      </c>
      <c r="K1609" s="7" t="inlineStr">
        <is>
          <t>115/888</t>
        </is>
      </c>
      <c r="L1609" s="7" t="inlineStr">
        <is>
          <t>Yes</t>
        </is>
      </c>
      <c r="M1609" s="7" t="inlineStr">
        <is>
          <t>Keep your warm-up look on (match) point in this vintage-inspired jacket. Piping details, ribbed cuffs, and lightweight, quick-drying fabric make it a key courtside companion.</t>
        </is>
      </c>
      <c r="N1609" s="7" t="inlineStr">
        <is>
          <t>Court-Rival-Tennis-Track-Jacket</t>
        </is>
      </c>
      <c r="O1609" s="7" t="inlineStr">
        <is>
          <t>Athletic Jackets, Track Jackets</t>
        </is>
      </c>
    </row>
    <row r="1610" ht="80" customHeight="1">
      <c r="A1610" s="4">
        <f>IMAGE("https://images.lululemon.com/is/image/lululemon/LW3IR9S_069299_1?wid=320&amp;op_usm=0.8",1)</f>
        <v/>
      </c>
      <c r="B1610" s="4" t="inlineStr">
        <is>
          <t>Court Rival Tennis Track Jacket</t>
        </is>
      </c>
      <c r="C1610" s="4" t="inlineStr">
        <is>
          <t>157708628</t>
        </is>
      </c>
      <c r="D1610" s="4" t="inlineStr">
        <is>
          <t>157708628-clubblue/white</t>
        </is>
      </c>
      <c r="E1610" s="4" t="inlineStr">
        <is>
          <t>Court Rival Tennis Track Jacket WHT/CLBL 2</t>
        </is>
      </c>
      <c r="F1610" s="4" t="inlineStr">
        <is>
          <t>$128.00</t>
        </is>
      </c>
      <c r="G1610" s="4" t="inlineStr">
        <is>
          <t>$64.00</t>
        </is>
      </c>
      <c r="H1610" s="4" t="inlineStr">
        <is>
          <t>Club Blue/White</t>
        </is>
      </c>
      <c r="I1610" s="4">
        <f>IMAGE("https://images.lululemon.com/is/image/lululemon/68898",1)</f>
        <v/>
      </c>
      <c r="J1610" s="4" t="inlineStr">
        <is>
          <t>12</t>
        </is>
      </c>
      <c r="K1610" s="4" t="inlineStr">
        <is>
          <t>52/888</t>
        </is>
      </c>
      <c r="L1610" s="4" t="inlineStr">
        <is>
          <t>Yes</t>
        </is>
      </c>
      <c r="M1610" s="4" t="inlineStr">
        <is>
          <t>Keep your warm-up look on (match) point in this vintage-inspired jacket. Piping details, ribbed cuffs, and lightweight, quick-drying fabric make it a key courtside companion.</t>
        </is>
      </c>
      <c r="N1610" s="4" t="inlineStr">
        <is>
          <t>Court-Rival-Tennis-Track-Jacket</t>
        </is>
      </c>
      <c r="O1610" s="4" t="inlineStr">
        <is>
          <t>Athletic Jackets, Track Jackets</t>
        </is>
      </c>
    </row>
    <row r="1611" ht="80" customHeight="1">
      <c r="A1611" s="7">
        <f>IMAGE("https://images.lululemon.com/is/image/lululemon/LW3IR9S_069299_1?wid=320&amp;op_usm=0.8",1)</f>
        <v/>
      </c>
      <c r="B1611" s="7" t="inlineStr">
        <is>
          <t>Court Rival Tennis Track Jacket</t>
        </is>
      </c>
      <c r="C1611" s="7" t="inlineStr">
        <is>
          <t>156600734</t>
        </is>
      </c>
      <c r="D1611" s="7" t="inlineStr">
        <is>
          <t>156600734-clubblue/clubblue</t>
        </is>
      </c>
      <c r="E1611" s="7" t="inlineStr">
        <is>
          <t>Court Rival Tennis Track Jacket WHT/CLBL 2</t>
        </is>
      </c>
      <c r="F1611" s="7" t="inlineStr">
        <is>
          <t>$128.00</t>
        </is>
      </c>
      <c r="G1611" s="7" t="inlineStr">
        <is>
          <t>$64.00</t>
        </is>
      </c>
      <c r="H1611" s="7" t="inlineStr">
        <is>
          <t>Club Blue/Club Blue</t>
        </is>
      </c>
      <c r="I1611" s="7">
        <f>IMAGE("https://images.lululemon.com/is/image/lululemon/69299",1)</f>
        <v/>
      </c>
      <c r="J1611" s="7" t="inlineStr">
        <is>
          <t>4</t>
        </is>
      </c>
      <c r="K1611" s="7" t="inlineStr">
        <is>
          <t>10/888</t>
        </is>
      </c>
      <c r="L1611" s="7" t="inlineStr">
        <is>
          <t>Yes</t>
        </is>
      </c>
      <c r="M1611" s="7" t="inlineStr">
        <is>
          <t>Keep your warm-up look on (match) point in this vintage-inspired jacket. Piping details, ribbed cuffs, and lightweight, quick-drying fabric make it a key courtside companion.</t>
        </is>
      </c>
      <c r="N1611" s="7" t="inlineStr">
        <is>
          <t>Court-Rival-Tennis-Track-Jacket</t>
        </is>
      </c>
      <c r="O1611" s="7" t="inlineStr">
        <is>
          <t>Athletic Jackets, Track Jackets</t>
        </is>
      </c>
    </row>
    <row r="1612" ht="80" customHeight="1">
      <c r="A1612" s="4">
        <f>IMAGE("https://images.lululemon.com/is/image/lululemon/LW3IR9S_069299_1?wid=320&amp;op_usm=0.8",1)</f>
        <v/>
      </c>
      <c r="B1612" s="4" t="inlineStr">
        <is>
          <t>Court Rival Tennis Track Jacket</t>
        </is>
      </c>
      <c r="C1612" s="4" t="inlineStr">
        <is>
          <t>156600735</t>
        </is>
      </c>
      <c r="D1612" s="4" t="inlineStr">
        <is>
          <t>156600735-clubblue/clubblue</t>
        </is>
      </c>
      <c r="E1612" s="4" t="inlineStr">
        <is>
          <t>Court Rival Tennis Track Jacket WHT/CLBL 2</t>
        </is>
      </c>
      <c r="F1612" s="4" t="inlineStr">
        <is>
          <t>$128.00</t>
        </is>
      </c>
      <c r="G1612" s="4" t="inlineStr">
        <is>
          <t>$64.00</t>
        </is>
      </c>
      <c r="H1612" s="4" t="inlineStr">
        <is>
          <t>Club Blue/Club Blue</t>
        </is>
      </c>
      <c r="I1612" s="4">
        <f>IMAGE("https://images.lululemon.com/is/image/lululemon/69299",1)</f>
        <v/>
      </c>
      <c r="J1612" s="4" t="inlineStr">
        <is>
          <t>6</t>
        </is>
      </c>
      <c r="K1612" s="4" t="inlineStr">
        <is>
          <t>1/888</t>
        </is>
      </c>
      <c r="L1612" s="4" t="inlineStr">
        <is>
          <t>Yes</t>
        </is>
      </c>
      <c r="M1612" s="4" t="inlineStr">
        <is>
          <t>Keep your warm-up look on (match) point in this vintage-inspired jacket. Piping details, ribbed cuffs, and lightweight, quick-drying fabric make it a key courtside companion.</t>
        </is>
      </c>
      <c r="N1612" s="4" t="inlineStr">
        <is>
          <t>Court-Rival-Tennis-Track-Jacket</t>
        </is>
      </c>
      <c r="O1612" s="4" t="inlineStr">
        <is>
          <t>Athletic Jackets, Track Jackets</t>
        </is>
      </c>
    </row>
    <row r="1613" ht="80" customHeight="1">
      <c r="A1613" s="7">
        <f>IMAGE("https://images.lululemon.com/is/image/lululemon/LW3IR9S_069299_1?wid=320&amp;op_usm=0.8",1)</f>
        <v/>
      </c>
      <c r="B1613" s="7" t="inlineStr">
        <is>
          <t>Court Rival Tennis Track Jacket</t>
        </is>
      </c>
      <c r="C1613" s="7" t="inlineStr">
        <is>
          <t>156600736</t>
        </is>
      </c>
      <c r="D1613" s="7" t="inlineStr">
        <is>
          <t>156600736-clubblue/clubblue</t>
        </is>
      </c>
      <c r="E1613" s="7" t="inlineStr">
        <is>
          <t>Court Rival Tennis Track Jacket WHT/CLBL 2</t>
        </is>
      </c>
      <c r="F1613" s="7" t="inlineStr">
        <is>
          <t>$128.00</t>
        </is>
      </c>
      <c r="G1613" s="7" t="inlineStr">
        <is>
          <t>$64.00</t>
        </is>
      </c>
      <c r="H1613" s="7" t="inlineStr">
        <is>
          <t>Club Blue/Club Blue</t>
        </is>
      </c>
      <c r="I1613" s="7">
        <f>IMAGE("https://images.lululemon.com/is/image/lululemon/69299",1)</f>
        <v/>
      </c>
      <c r="J1613" s="7" t="inlineStr">
        <is>
          <t>8</t>
        </is>
      </c>
      <c r="K1613" s="7" t="inlineStr">
        <is>
          <t>17/888</t>
        </is>
      </c>
      <c r="L1613" s="7" t="inlineStr">
        <is>
          <t>Yes</t>
        </is>
      </c>
      <c r="M1613" s="7" t="inlineStr">
        <is>
          <t>Keep your warm-up look on (match) point in this vintage-inspired jacket. Piping details, ribbed cuffs, and lightweight, quick-drying fabric make it a key courtside companion.</t>
        </is>
      </c>
      <c r="N1613" s="7" t="inlineStr">
        <is>
          <t>Court-Rival-Tennis-Track-Jacket</t>
        </is>
      </c>
      <c r="O1613" s="7" t="inlineStr">
        <is>
          <t>Athletic Jackets, Track Jackets</t>
        </is>
      </c>
    </row>
    <row r="1614" ht="80" customHeight="1">
      <c r="A1614" s="4">
        <f>IMAGE("https://images.lululemon.com/is/image/lululemon/LW3IR9S_069299_1?wid=320&amp;op_usm=0.8",1)</f>
        <v/>
      </c>
      <c r="B1614" s="4" t="inlineStr">
        <is>
          <t>Court Rival Tennis Track Jacket</t>
        </is>
      </c>
      <c r="C1614" s="4" t="inlineStr">
        <is>
          <t>156600724</t>
        </is>
      </c>
      <c r="D1614" s="4" t="inlineStr">
        <is>
          <t>156600724-clubblue/clubblue</t>
        </is>
      </c>
      <c r="E1614" s="4" t="inlineStr">
        <is>
          <t>Court Rival Tennis Track Jacket WHT/CLBL 2</t>
        </is>
      </c>
      <c r="F1614" s="4" t="inlineStr">
        <is>
          <t>$128.00</t>
        </is>
      </c>
      <c r="G1614" s="4" t="inlineStr">
        <is>
          <t>$64.00</t>
        </is>
      </c>
      <c r="H1614" s="4" t="inlineStr">
        <is>
          <t>Club Blue/Club Blue</t>
        </is>
      </c>
      <c r="I1614" s="4">
        <f>IMAGE("https://images.lululemon.com/is/image/lululemon/69299",1)</f>
        <v/>
      </c>
      <c r="J1614" s="4" t="inlineStr">
        <is>
          <t>10</t>
        </is>
      </c>
      <c r="K1614" s="4" t="inlineStr">
        <is>
          <t>32/888</t>
        </is>
      </c>
      <c r="L1614" s="4" t="inlineStr">
        <is>
          <t>Yes</t>
        </is>
      </c>
      <c r="M1614" s="4" t="inlineStr">
        <is>
          <t>Keep your warm-up look on (match) point in this vintage-inspired jacket. Piping details, ribbed cuffs, and lightweight, quick-drying fabric make it a key courtside companion.</t>
        </is>
      </c>
      <c r="N1614" s="4" t="inlineStr">
        <is>
          <t>Court-Rival-Tennis-Track-Jacket</t>
        </is>
      </c>
      <c r="O1614" s="4" t="inlineStr">
        <is>
          <t>Athletic Jackets, Track Jackets</t>
        </is>
      </c>
    </row>
    <row r="1615" ht="80" customHeight="1">
      <c r="A1615" s="5">
        <f>IMAGE("https://images.lululemon.com/is/image/lululemon/LW3IR9S_069299_1?wid=320&amp;op_usm=0.8",1)</f>
        <v/>
      </c>
      <c r="B1615" s="5" t="inlineStr">
        <is>
          <t>Court Rival Tennis Track Jacket</t>
        </is>
      </c>
      <c r="C1615" s="5" t="inlineStr">
        <is>
          <t>156600725</t>
        </is>
      </c>
      <c r="D1615" s="5" t="inlineStr">
        <is>
          <t>156600725-clubblue/clubblue</t>
        </is>
      </c>
      <c r="E1615" s="5" t="inlineStr">
        <is>
          <t>Court Rival Tennis Track Jacket WHT/CLBL 2</t>
        </is>
      </c>
      <c r="F1615" s="5" t="inlineStr">
        <is>
          <t>$128.00</t>
        </is>
      </c>
      <c r="G1615" s="5" t="inlineStr">
        <is>
          <t>$64.00</t>
        </is>
      </c>
      <c r="H1615" s="5" t="inlineStr">
        <is>
          <t>Club Blue/Club Blue</t>
        </is>
      </c>
      <c r="I1615" s="5">
        <f>IMAGE("https://images.lululemon.com/is/image/lululemon/69299",1)</f>
        <v/>
      </c>
      <c r="J1615" s="5" t="inlineStr">
        <is>
          <t>12</t>
        </is>
      </c>
      <c r="K1615" s="5" t="inlineStr">
        <is>
          <t>17/888</t>
        </is>
      </c>
      <c r="L1615" s="5" t="inlineStr">
        <is>
          <t>Yes</t>
        </is>
      </c>
      <c r="M1615" s="5" t="inlineStr">
        <is>
          <t>Keep your warm-up look on (match) point in this vintage-inspired jacket. Piping details, ribbed cuffs, and lightweight, quick-drying fabric make it a key courtside companion.</t>
        </is>
      </c>
      <c r="N1615" s="5" t="inlineStr">
        <is>
          <t>Court-Rival-Tennis-Track-Jacket</t>
        </is>
      </c>
      <c r="O1615" s="5" t="inlineStr">
        <is>
          <t>Athletic Jackets, Track Jackets</t>
        </is>
      </c>
    </row>
    <row r="1616" ht="80" customHeight="1">
      <c r="A1616" s="4">
        <f>IMAGE("https://images.lululemon.com/is/image/lululemon/LU9BSJS_072760_1?wid=320&amp;op_usm=0.8",1)</f>
        <v/>
      </c>
      <c r="B1616" s="4" t="inlineStr">
        <is>
          <t>Curved Crossbody Bag 3L</t>
        </is>
      </c>
      <c r="C1616" s="4" t="inlineStr">
        <is>
          <t>158029888</t>
        </is>
      </c>
      <c r="D1616" s="4" t="inlineStr">
        <is>
          <t>158029888-onyxgrey</t>
        </is>
      </c>
      <c r="E1616" s="4" t="inlineStr">
        <is>
          <t>Curved Crossbody Bag ONGE ONE SIZE</t>
        </is>
      </c>
      <c r="F1616" s="4" t="inlineStr">
        <is>
          <t>$78.00</t>
        </is>
      </c>
      <c r="G1616" s="4" t="inlineStr">
        <is>
          <t>$39.00</t>
        </is>
      </c>
      <c r="H1616" s="4" t="inlineStr">
        <is>
          <t>Onyx Grey</t>
        </is>
      </c>
      <c r="I1616" s="4">
        <f>IMAGE("https://images.lululemon.com/is/image/lululemon/72760",1)</f>
        <v/>
      </c>
      <c r="J1616" s="4" t="inlineStr">
        <is>
          <t>O/S</t>
        </is>
      </c>
      <c r="K1616" s="4" t="inlineStr">
        <is>
          <t>484/1184</t>
        </is>
      </c>
      <c r="L1616" s="4" t="inlineStr">
        <is>
          <t>Yes</t>
        </is>
      </c>
      <c r="M1616" s="4" t="inlineStr">
        <is>
          <t>Look at you, all hands-free and hydrated. This cross-body's unique design lets you stow your water bottle in a hidden drop-down pocket.</t>
        </is>
      </c>
      <c r="N1616" s="4" t="inlineStr">
        <is>
          <t>Curved-Crossbody-Bag-3L</t>
        </is>
      </c>
      <c r="O1616" s="4" t="inlineStr">
        <is>
          <t>Crossbody Bags</t>
        </is>
      </c>
    </row>
    <row r="1617" ht="80" customHeight="1">
      <c r="A1617" s="5">
        <f>IMAGE("https://images.lululemon.com/is/image/lululemon/LU9BSJS_072760_1?wid=320&amp;op_usm=0.8",1)</f>
        <v/>
      </c>
      <c r="B1617" s="5" t="inlineStr">
        <is>
          <t>Curved Crossbody Bag 3L</t>
        </is>
      </c>
      <c r="C1617" s="5" t="inlineStr">
        <is>
          <t>158029839</t>
        </is>
      </c>
      <c r="D1617" s="5" t="inlineStr">
        <is>
          <t>158029839-berryrumble</t>
        </is>
      </c>
      <c r="E1617" s="5" t="inlineStr">
        <is>
          <t>Curved Crossbody Bag ONGE ONE SIZE</t>
        </is>
      </c>
      <c r="F1617" s="5" t="inlineStr">
        <is>
          <t>$78.00</t>
        </is>
      </c>
      <c r="G1617" s="5" t="inlineStr">
        <is>
          <t>$39.00</t>
        </is>
      </c>
      <c r="H1617" s="5" t="inlineStr">
        <is>
          <t>Berry Rumble</t>
        </is>
      </c>
      <c r="I1617" s="5">
        <f>IMAGE("https://images.lululemon.com/is/image/lululemon/21363",1)</f>
        <v/>
      </c>
      <c r="J1617" s="5" t="inlineStr">
        <is>
          <t>O/S</t>
        </is>
      </c>
      <c r="K1617" s="5" t="inlineStr">
        <is>
          <t>700/1184</t>
        </is>
      </c>
      <c r="L1617" s="5" t="inlineStr">
        <is>
          <t>Yes</t>
        </is>
      </c>
      <c r="M1617" s="5" t="inlineStr">
        <is>
          <t>Look at you, all hands-free and hydrated. This cross-body's unique design lets you stow your water bottle in a hidden drop-down pocket.</t>
        </is>
      </c>
      <c r="N1617" s="5" t="inlineStr">
        <is>
          <t>Curved-Crossbody-Bag-3L</t>
        </is>
      </c>
      <c r="O1617" s="5" t="inlineStr">
        <is>
          <t>Crossbody Bags</t>
        </is>
      </c>
    </row>
    <row r="1618" ht="80" customHeight="1">
      <c r="A1618" s="6">
        <f>IMAGE("https://images.lululemon.com/is/image/lululemon/LW9GCYS_074104_1?wid=320&amp;op_usm=0.8",1)</f>
        <v/>
      </c>
      <c r="B1618" s="6" t="inlineStr">
        <is>
          <t>Dual Pouch Wristlet *Plush Fleece</t>
        </is>
      </c>
      <c r="C1618" s="6" t="inlineStr">
        <is>
          <t>158098791</t>
        </is>
      </c>
      <c r="D1618" s="6" t="inlineStr">
        <is>
          <t>158098791-blackplum/gold</t>
        </is>
      </c>
      <c r="E1618" s="6" t="inlineStr">
        <is>
          <t>Dual Pouch Wristlet *Plush Fleece BLPM/GOLD ONE SIZE</t>
        </is>
      </c>
      <c r="F1618" s="6" t="inlineStr">
        <is>
          <t>$58.00</t>
        </is>
      </c>
      <c r="G1618" s="6" t="inlineStr">
        <is>
          <t>$29.00</t>
        </is>
      </c>
      <c r="H1618" s="6" t="inlineStr">
        <is>
          <t>Black Plum/Gold</t>
        </is>
      </c>
      <c r="I1618" s="6">
        <f>IMAGE("https://images.lululemon.com/is/image/lululemon/74104",1)</f>
        <v/>
      </c>
      <c r="J1618" s="6" t="inlineStr">
        <is>
          <t>O/S</t>
        </is>
      </c>
      <c r="K1618" s="6" t="inlineStr">
        <is>
          <t>608/608</t>
        </is>
      </c>
      <c r="L1618" s="6" t="inlineStr">
        <is>
          <t>Yes</t>
        </is>
      </c>
      <c r="M1618" s="6" t="inlineStr">
        <is>
          <t>Ready to go with the flick of a wrist. This wristlet comes with two zippered pouches to keep small items in place while you're on the move.</t>
        </is>
      </c>
      <c r="N1618" s="6" t="inlineStr">
        <is>
          <t>Dual-Pouch-Wristlet-Plush-Fleece</t>
        </is>
      </c>
      <c r="O1618" s="6" t="inlineStr">
        <is>
          <t>Wallets and Pouches, Keychains, Bag Accessories</t>
        </is>
      </c>
    </row>
    <row r="1619" ht="80" customHeight="1">
      <c r="A1619" s="7">
        <f>IMAGE("https://images.lululemon.com/is/image/lululemon/LW5ENPS_036865_1?wid=320&amp;op_usm=0.8",1)</f>
        <v/>
      </c>
      <c r="B1619" s="7" t="inlineStr">
        <is>
          <t>Dance Studio Mid-Rise Jogger *Full Length</t>
        </is>
      </c>
      <c r="C1619" s="7" t="inlineStr">
        <is>
          <t>158030027</t>
        </is>
      </c>
      <c r="D1619" s="7" t="inlineStr">
        <is>
          <t>158030027-dovegrey</t>
        </is>
      </c>
      <c r="E1619" s="7" t="inlineStr">
        <is>
          <t>Dance Studio Mid-Rise Jogger *Lined DVGY 2</t>
        </is>
      </c>
      <c r="F1619" s="7" t="inlineStr">
        <is>
          <t>$118.00</t>
        </is>
      </c>
      <c r="G1619" s="7" t="inlineStr">
        <is>
          <t>$59.00</t>
        </is>
      </c>
      <c r="H1619" s="7" t="inlineStr">
        <is>
          <t>Dove Grey</t>
        </is>
      </c>
      <c r="I1619" s="7">
        <f>IMAGE("https://images.lululemon.com/is/image/lululemon/36865",1)</f>
        <v/>
      </c>
      <c r="J1619" s="7" t="inlineStr">
        <is>
          <t>2</t>
        </is>
      </c>
      <c r="K1619" s="7" t="inlineStr">
        <is>
          <t>7/172</t>
        </is>
      </c>
      <c r="L1619" s="7" t="inlineStr">
        <is>
          <t>Yes</t>
        </is>
      </c>
      <c r="M1619" s="7" t="inlineStr">
        <is>
          <t>Easy, comfortable, and never clingy, these joggers are in our after-practice hall of fame.</t>
        </is>
      </c>
      <c r="N1619" s="7" t="inlineStr">
        <is>
          <t>Dance-Studio-Jogger-29</t>
        </is>
      </c>
      <c r="O1619" s="7" t="inlineStr"/>
    </row>
    <row r="1620" ht="80" customHeight="1">
      <c r="A1620" s="4">
        <f>IMAGE("https://images.lululemon.com/is/image/lululemon/LW5ENPS_036865_1?wid=320&amp;op_usm=0.8",1)</f>
        <v/>
      </c>
      <c r="B1620" s="4" t="inlineStr">
        <is>
          <t>Dance Studio Mid-Rise Jogger *Full Length</t>
        </is>
      </c>
      <c r="C1620" s="4" t="inlineStr">
        <is>
          <t>158030048</t>
        </is>
      </c>
      <c r="D1620" s="4" t="inlineStr">
        <is>
          <t>158030048-dovegrey</t>
        </is>
      </c>
      <c r="E1620" s="4" t="inlineStr">
        <is>
          <t>Dance Studio Mid-Rise Jogger *Lined DVGY 2</t>
        </is>
      </c>
      <c r="F1620" s="4" t="inlineStr">
        <is>
          <t>$118.00</t>
        </is>
      </c>
      <c r="G1620" s="4" t="inlineStr">
        <is>
          <t>$59.00</t>
        </is>
      </c>
      <c r="H1620" s="4" t="inlineStr">
        <is>
          <t>Dove Grey</t>
        </is>
      </c>
      <c r="I1620" s="4">
        <f>IMAGE("https://images.lululemon.com/is/image/lululemon/36865",1)</f>
        <v/>
      </c>
      <c r="J1620" s="4" t="inlineStr">
        <is>
          <t>4</t>
        </is>
      </c>
      <c r="K1620" s="4" t="inlineStr">
        <is>
          <t>44/172</t>
        </is>
      </c>
      <c r="L1620" s="4" t="inlineStr">
        <is>
          <t>Yes</t>
        </is>
      </c>
      <c r="M1620" s="4" t="inlineStr">
        <is>
          <t>Easy, comfortable, and never clingy, these joggers are in our after-practice hall of fame.</t>
        </is>
      </c>
      <c r="N1620" s="4" t="inlineStr">
        <is>
          <t>Dance-Studio-Jogger-29</t>
        </is>
      </c>
      <c r="O1620" s="4" t="inlineStr"/>
    </row>
    <row r="1621" ht="80" customHeight="1">
      <c r="A1621" s="7">
        <f>IMAGE("https://images.lululemon.com/is/image/lululemon/LW5ENPS_036865_1?wid=320&amp;op_usm=0.8",1)</f>
        <v/>
      </c>
      <c r="B1621" s="7" t="inlineStr">
        <is>
          <t>Dance Studio Mid-Rise Jogger *Full Length</t>
        </is>
      </c>
      <c r="C1621" s="7" t="inlineStr">
        <is>
          <t>158030060</t>
        </is>
      </c>
      <c r="D1621" s="7" t="inlineStr">
        <is>
          <t>158030060-dovegrey</t>
        </is>
      </c>
      <c r="E1621" s="7" t="inlineStr">
        <is>
          <t>Dance Studio Mid-Rise Jogger *Lined DVGY 2</t>
        </is>
      </c>
      <c r="F1621" s="7" t="inlineStr">
        <is>
          <t>$118.00</t>
        </is>
      </c>
      <c r="G1621" s="7" t="inlineStr">
        <is>
          <t>$59.00</t>
        </is>
      </c>
      <c r="H1621" s="7" t="inlineStr">
        <is>
          <t>Dove Grey</t>
        </is>
      </c>
      <c r="I1621" s="7">
        <f>IMAGE("https://images.lululemon.com/is/image/lululemon/36865",1)</f>
        <v/>
      </c>
      <c r="J1621" s="7" t="inlineStr">
        <is>
          <t>6</t>
        </is>
      </c>
      <c r="K1621" s="7" t="inlineStr">
        <is>
          <t>56/172</t>
        </is>
      </c>
      <c r="L1621" s="7" t="inlineStr">
        <is>
          <t>Yes</t>
        </is>
      </c>
      <c r="M1621" s="7" t="inlineStr">
        <is>
          <t>Easy, comfortable, and never clingy, these joggers are in our after-practice hall of fame.</t>
        </is>
      </c>
      <c r="N1621" s="7" t="inlineStr">
        <is>
          <t>Dance-Studio-Jogger-29</t>
        </is>
      </c>
      <c r="O1621" s="7" t="inlineStr"/>
    </row>
    <row r="1622" ht="80" customHeight="1">
      <c r="A1622" s="4">
        <f>IMAGE("https://images.lululemon.com/is/image/lululemon/LW5ENPS_036865_1?wid=320&amp;op_usm=0.8",1)</f>
        <v/>
      </c>
      <c r="B1622" s="4" t="inlineStr">
        <is>
          <t>Dance Studio Mid-Rise Jogger *Full Length</t>
        </is>
      </c>
      <c r="C1622" s="4" t="inlineStr">
        <is>
          <t>158030071</t>
        </is>
      </c>
      <c r="D1622" s="4" t="inlineStr">
        <is>
          <t>158030071-dovegrey</t>
        </is>
      </c>
      <c r="E1622" s="4" t="inlineStr">
        <is>
          <t>Dance Studio Mid-Rise Jogger *Lined DVGY 2</t>
        </is>
      </c>
      <c r="F1622" s="4" t="inlineStr">
        <is>
          <t>$118.00</t>
        </is>
      </c>
      <c r="G1622" s="4" t="inlineStr">
        <is>
          <t>$59.00</t>
        </is>
      </c>
      <c r="H1622" s="4" t="inlineStr">
        <is>
          <t>Dove Grey</t>
        </is>
      </c>
      <c r="I1622" s="4">
        <f>IMAGE("https://images.lululemon.com/is/image/lululemon/36865",1)</f>
        <v/>
      </c>
      <c r="J1622" s="4" t="inlineStr">
        <is>
          <t>8</t>
        </is>
      </c>
      <c r="K1622" s="4" t="inlineStr">
        <is>
          <t>42/172</t>
        </is>
      </c>
      <c r="L1622" s="4" t="inlineStr">
        <is>
          <t>Yes</t>
        </is>
      </c>
      <c r="M1622" s="4" t="inlineStr">
        <is>
          <t>Easy, comfortable, and never clingy, these joggers are in our after-practice hall of fame.</t>
        </is>
      </c>
      <c r="N1622" s="4" t="inlineStr">
        <is>
          <t>Dance-Studio-Jogger-29</t>
        </is>
      </c>
      <c r="O1622" s="4" t="inlineStr"/>
    </row>
    <row r="1623" ht="80" customHeight="1">
      <c r="A1623" s="7">
        <f>IMAGE("https://images.lululemon.com/is/image/lululemon/LW5ENPS_036865_1?wid=320&amp;op_usm=0.8",1)</f>
        <v/>
      </c>
      <c r="B1623" s="7" t="inlineStr">
        <is>
          <t>Dance Studio Mid-Rise Jogger *Full Length</t>
        </is>
      </c>
      <c r="C1623" s="7" t="inlineStr">
        <is>
          <t>158029977</t>
        </is>
      </c>
      <c r="D1623" s="7" t="inlineStr">
        <is>
          <t>158029977-dovegrey</t>
        </is>
      </c>
      <c r="E1623" s="7" t="inlineStr">
        <is>
          <t>Dance Studio Mid-Rise Jogger *Lined DVGY 2</t>
        </is>
      </c>
      <c r="F1623" s="7" t="inlineStr">
        <is>
          <t>$118.00</t>
        </is>
      </c>
      <c r="G1623" s="7" t="inlineStr">
        <is>
          <t>$59.00</t>
        </is>
      </c>
      <c r="H1623" s="7" t="inlineStr">
        <is>
          <t>Dove Grey</t>
        </is>
      </c>
      <c r="I1623" s="7">
        <f>IMAGE("https://images.lululemon.com/is/image/lululemon/36865",1)</f>
        <v/>
      </c>
      <c r="J1623" s="7" t="inlineStr">
        <is>
          <t>10</t>
        </is>
      </c>
      <c r="K1623" s="7" t="inlineStr">
        <is>
          <t>20/172</t>
        </is>
      </c>
      <c r="L1623" s="7" t="inlineStr">
        <is>
          <t>Yes</t>
        </is>
      </c>
      <c r="M1623" s="7" t="inlineStr">
        <is>
          <t>Easy, comfortable, and never clingy, these joggers are in our after-practice hall of fame.</t>
        </is>
      </c>
      <c r="N1623" s="7" t="inlineStr">
        <is>
          <t>Dance-Studio-Jogger-29</t>
        </is>
      </c>
      <c r="O1623" s="7" t="inlineStr"/>
    </row>
    <row r="1624" ht="80" customHeight="1">
      <c r="A1624" s="6">
        <f>IMAGE("https://images.lululemon.com/is/image/lululemon/LW5ENPS_036865_1?wid=320&amp;op_usm=0.8",1)</f>
        <v/>
      </c>
      <c r="B1624" s="6" t="inlineStr">
        <is>
          <t>Dance Studio Mid-Rise Jogger *Full Length</t>
        </is>
      </c>
      <c r="C1624" s="6" t="inlineStr">
        <is>
          <t>158029989</t>
        </is>
      </c>
      <c r="D1624" s="6" t="inlineStr">
        <is>
          <t>158029989-dovegrey</t>
        </is>
      </c>
      <c r="E1624" s="6" t="inlineStr">
        <is>
          <t>Dance Studio Mid-Rise Jogger *Lined DVGY 2</t>
        </is>
      </c>
      <c r="F1624" s="6" t="inlineStr">
        <is>
          <t>$118.00</t>
        </is>
      </c>
      <c r="G1624" s="6" t="inlineStr">
        <is>
          <t>$59.00</t>
        </is>
      </c>
      <c r="H1624" s="6" t="inlineStr">
        <is>
          <t>Dove Grey</t>
        </is>
      </c>
      <c r="I1624" s="6">
        <f>IMAGE("https://images.lululemon.com/is/image/lululemon/36865",1)</f>
        <v/>
      </c>
      <c r="J1624" s="6" t="inlineStr">
        <is>
          <t>12</t>
        </is>
      </c>
      <c r="K1624" s="6" t="inlineStr">
        <is>
          <t>3/172</t>
        </is>
      </c>
      <c r="L1624" s="6" t="inlineStr">
        <is>
          <t>Yes</t>
        </is>
      </c>
      <c r="M1624" s="6" t="inlineStr">
        <is>
          <t>Easy, comfortable, and never clingy, these joggers are in our after-practice hall of fame.</t>
        </is>
      </c>
      <c r="N1624" s="6" t="inlineStr">
        <is>
          <t>Dance-Studio-Jogger-29</t>
        </is>
      </c>
      <c r="O1624" s="6" t="inlineStr"/>
    </row>
    <row r="1625" ht="80" customHeight="1">
      <c r="A1625" s="7">
        <f>IMAGE("https://images.lululemon.com/is/image/lululemon/LW3JSFS_0002_1?wid=320&amp;op_usm=0.8",1)</f>
        <v/>
      </c>
      <c r="B1625" s="7" t="inlineStr">
        <is>
          <t>All Yours Organic Cotton Crewneck T-Shirt</t>
        </is>
      </c>
      <c r="C1625" s="7" t="inlineStr">
        <is>
          <t>156486633</t>
        </is>
      </c>
      <c r="D1625" s="7" t="inlineStr">
        <is>
          <t>156486633-white</t>
        </is>
      </c>
      <c r="E1625" s="7" t="inlineStr">
        <is>
          <t>All Yours Organic Cotton T-Shirt WHT XS</t>
        </is>
      </c>
      <c r="F1625" s="7" t="inlineStr">
        <is>
          <t>$48.00</t>
        </is>
      </c>
      <c r="G1625" s="7" t="inlineStr">
        <is>
          <t>$24.00</t>
        </is>
      </c>
      <c r="H1625" s="7" t="inlineStr">
        <is>
          <t>White</t>
        </is>
      </c>
      <c r="I1625" s="7">
        <f>IMAGE("https://images.lululemon.com/is/image/lululemon/0002",1)</f>
        <v/>
      </c>
      <c r="J1625" s="7" t="inlineStr">
        <is>
          <t>XS</t>
        </is>
      </c>
      <c r="K1625" s="7" t="inlineStr">
        <is>
          <t>5/81</t>
        </is>
      </c>
      <c r="L1625" s="7" t="inlineStr">
        <is>
          <t>Yes</t>
        </is>
      </c>
      <c r="M1625" s="7" t="inlineStr">
        <is>
          <t>The All Yours collection is made from soft, comfortable fabrics and easy-to-wear silhouettes that feel amazing and go with just about everything.</t>
        </is>
      </c>
      <c r="N1625" s="7" t="inlineStr">
        <is>
          <t>All-Yours-Organic-Cotton-Crewneck-T-Shirt</t>
        </is>
      </c>
      <c r="O1625" s="7" t="inlineStr"/>
    </row>
    <row r="1626" ht="80" customHeight="1">
      <c r="A1626" s="4">
        <f>IMAGE("https://images.lululemon.com/is/image/lululemon/LW3JSFS_0002_1?wid=320&amp;op_usm=0.8",1)</f>
        <v/>
      </c>
      <c r="B1626" s="4" t="inlineStr">
        <is>
          <t>All Yours Organic Cotton Crewneck T-Shirt</t>
        </is>
      </c>
      <c r="C1626" s="4" t="inlineStr">
        <is>
          <t>156486624</t>
        </is>
      </c>
      <c r="D1626" s="4" t="inlineStr">
        <is>
          <t>156486624-white</t>
        </is>
      </c>
      <c r="E1626" s="4" t="inlineStr">
        <is>
          <t>All Yours Organic Cotton T-Shirt WHT XS</t>
        </is>
      </c>
      <c r="F1626" s="4" t="inlineStr">
        <is>
          <t>$48.00</t>
        </is>
      </c>
      <c r="G1626" s="4" t="inlineStr">
        <is>
          <t>$24.00</t>
        </is>
      </c>
      <c r="H1626" s="4" t="inlineStr">
        <is>
          <t>White</t>
        </is>
      </c>
      <c r="I1626" s="4">
        <f>IMAGE("https://images.lululemon.com/is/image/lululemon/0002",1)</f>
        <v/>
      </c>
      <c r="J1626" s="4" t="inlineStr">
        <is>
          <t>S</t>
        </is>
      </c>
      <c r="K1626" s="4" t="inlineStr">
        <is>
          <t>5/81</t>
        </is>
      </c>
      <c r="L1626" s="4" t="inlineStr">
        <is>
          <t>Yes</t>
        </is>
      </c>
      <c r="M1626" s="4" t="inlineStr">
        <is>
          <t>The All Yours collection is made from soft, comfortable fabrics and easy-to-wear silhouettes that feel amazing and go with just about everything.</t>
        </is>
      </c>
      <c r="N1626" s="4" t="inlineStr">
        <is>
          <t>All-Yours-Organic-Cotton-Crewneck-T-Shirt</t>
        </is>
      </c>
      <c r="O1626" s="4" t="inlineStr"/>
    </row>
    <row r="1627" ht="80" customHeight="1">
      <c r="A1627" s="7">
        <f>IMAGE("https://images.lululemon.com/is/image/lululemon/LW3JSFS_0002_1?wid=320&amp;op_usm=0.8",1)</f>
        <v/>
      </c>
      <c r="B1627" s="7" t="inlineStr">
        <is>
          <t>All Yours Organic Cotton Crewneck T-Shirt</t>
        </is>
      </c>
      <c r="C1627" s="7" t="inlineStr">
        <is>
          <t>156486621</t>
        </is>
      </c>
      <c r="D1627" s="7" t="inlineStr">
        <is>
          <t>156486621-white</t>
        </is>
      </c>
      <c r="E1627" s="7" t="inlineStr">
        <is>
          <t>All Yours Organic Cotton T-Shirt WHT XS</t>
        </is>
      </c>
      <c r="F1627" s="7" t="inlineStr">
        <is>
          <t>$48.00</t>
        </is>
      </c>
      <c r="G1627" s="7" t="inlineStr">
        <is>
          <t>$24.00</t>
        </is>
      </c>
      <c r="H1627" s="7" t="inlineStr">
        <is>
          <t>White</t>
        </is>
      </c>
      <c r="I1627" s="7">
        <f>IMAGE("https://images.lululemon.com/is/image/lululemon/0002",1)</f>
        <v/>
      </c>
      <c r="J1627" s="7" t="inlineStr">
        <is>
          <t>M</t>
        </is>
      </c>
      <c r="K1627" s="7" t="inlineStr">
        <is>
          <t>14/81</t>
        </is>
      </c>
      <c r="L1627" s="7" t="inlineStr">
        <is>
          <t>Yes</t>
        </is>
      </c>
      <c r="M1627" s="7" t="inlineStr">
        <is>
          <t>The All Yours collection is made from soft, comfortable fabrics and easy-to-wear silhouettes that feel amazing and go with just about everything.</t>
        </is>
      </c>
      <c r="N1627" s="7" t="inlineStr">
        <is>
          <t>All-Yours-Organic-Cotton-Crewneck-T-Shirt</t>
        </is>
      </c>
      <c r="O1627" s="7" t="inlineStr"/>
    </row>
    <row r="1628" ht="80" customHeight="1">
      <c r="A1628" s="4">
        <f>IMAGE("https://images.lululemon.com/is/image/lululemon/LW3JSFS_0002_1?wid=320&amp;op_usm=0.8",1)</f>
        <v/>
      </c>
      <c r="B1628" s="4" t="inlineStr">
        <is>
          <t>All Yours Organic Cotton Crewneck T-Shirt</t>
        </is>
      </c>
      <c r="C1628" s="4" t="inlineStr">
        <is>
          <t>156486615</t>
        </is>
      </c>
      <c r="D1628" s="4" t="inlineStr">
        <is>
          <t>156486615-white</t>
        </is>
      </c>
      <c r="E1628" s="4" t="inlineStr">
        <is>
          <t>All Yours Organic Cotton T-Shirt WHT XS</t>
        </is>
      </c>
      <c r="F1628" s="4" t="inlineStr">
        <is>
          <t>$48.00</t>
        </is>
      </c>
      <c r="G1628" s="4" t="inlineStr">
        <is>
          <t>$24.00</t>
        </is>
      </c>
      <c r="H1628" s="4" t="inlineStr">
        <is>
          <t>White</t>
        </is>
      </c>
      <c r="I1628" s="4">
        <f>IMAGE("https://images.lululemon.com/is/image/lululemon/0002",1)</f>
        <v/>
      </c>
      <c r="J1628" s="4" t="inlineStr">
        <is>
          <t>L</t>
        </is>
      </c>
      <c r="K1628" s="4" t="inlineStr">
        <is>
          <t>12/81</t>
        </is>
      </c>
      <c r="L1628" s="4" t="inlineStr">
        <is>
          <t>Yes</t>
        </is>
      </c>
      <c r="M1628" s="4" t="inlineStr">
        <is>
          <t>The All Yours collection is made from soft, comfortable fabrics and easy-to-wear silhouettes that feel amazing and go with just about everything.</t>
        </is>
      </c>
      <c r="N1628" s="4" t="inlineStr">
        <is>
          <t>All-Yours-Organic-Cotton-Crewneck-T-Shirt</t>
        </is>
      </c>
      <c r="O1628" s="4" t="inlineStr"/>
    </row>
    <row r="1629" ht="80" customHeight="1">
      <c r="A1629" s="7">
        <f>IMAGE("https://images.lululemon.com/is/image/lululemon/LW3JSFS_0002_1?wid=320&amp;op_usm=0.8",1)</f>
        <v/>
      </c>
      <c r="B1629" s="7" t="inlineStr">
        <is>
          <t>All Yours Organic Cotton Crewneck T-Shirt</t>
        </is>
      </c>
      <c r="C1629" s="7" t="inlineStr">
        <is>
          <t>156486629</t>
        </is>
      </c>
      <c r="D1629" s="7" t="inlineStr">
        <is>
          <t>156486629-white</t>
        </is>
      </c>
      <c r="E1629" s="7" t="inlineStr">
        <is>
          <t>All Yours Organic Cotton T-Shirt WHT XS</t>
        </is>
      </c>
      <c r="F1629" s="7" t="inlineStr">
        <is>
          <t>$48.00</t>
        </is>
      </c>
      <c r="G1629" s="7" t="inlineStr">
        <is>
          <t>$24.00</t>
        </is>
      </c>
      <c r="H1629" s="7" t="inlineStr">
        <is>
          <t>White</t>
        </is>
      </c>
      <c r="I1629" s="7">
        <f>IMAGE("https://images.lululemon.com/is/image/lululemon/0002",1)</f>
        <v/>
      </c>
      <c r="J1629" s="7" t="inlineStr">
        <is>
          <t>XL</t>
        </is>
      </c>
      <c r="K1629" s="7" t="inlineStr">
        <is>
          <t>22/81</t>
        </is>
      </c>
      <c r="L1629" s="7" t="inlineStr">
        <is>
          <t>Yes</t>
        </is>
      </c>
      <c r="M1629" s="7" t="inlineStr">
        <is>
          <t>The All Yours collection is made from soft, comfortable fabrics and easy-to-wear silhouettes that feel amazing and go with just about everything.</t>
        </is>
      </c>
      <c r="N1629" s="7" t="inlineStr">
        <is>
          <t>All-Yours-Organic-Cotton-Crewneck-T-Shirt</t>
        </is>
      </c>
      <c r="O1629" s="7" t="inlineStr"/>
    </row>
    <row r="1630" ht="80" customHeight="1">
      <c r="A1630" s="4">
        <f>IMAGE("https://images.lululemon.com/is/image/lululemon/LW3JSFS_0002_1?wid=320&amp;op_usm=0.8",1)</f>
        <v/>
      </c>
      <c r="B1630" s="4" t="inlineStr">
        <is>
          <t>All Yours Organic Cotton Crewneck T-Shirt</t>
        </is>
      </c>
      <c r="C1630" s="4" t="inlineStr">
        <is>
          <t>157706126</t>
        </is>
      </c>
      <c r="D1630" s="4" t="inlineStr">
        <is>
          <t>157706126-lightivory</t>
        </is>
      </c>
      <c r="E1630" s="4" t="inlineStr">
        <is>
          <t>All Yours Organic Cotton T-Shirt WHT XS</t>
        </is>
      </c>
      <c r="F1630" s="4" t="inlineStr">
        <is>
          <t>$48.00</t>
        </is>
      </c>
      <c r="G1630" s="4" t="inlineStr">
        <is>
          <t>$24.00</t>
        </is>
      </c>
      <c r="H1630" s="4" t="inlineStr">
        <is>
          <t>Light Ivory</t>
        </is>
      </c>
      <c r="I1630" s="4">
        <f>IMAGE("https://images.lululemon.com/is/image/lululemon/33454",1)</f>
        <v/>
      </c>
      <c r="J1630" s="4" t="inlineStr">
        <is>
          <t>S</t>
        </is>
      </c>
      <c r="K1630" s="4" t="inlineStr">
        <is>
          <t>2/81</t>
        </is>
      </c>
      <c r="L1630" s="4" t="inlineStr">
        <is>
          <t>Yes</t>
        </is>
      </c>
      <c r="M1630" s="4" t="inlineStr">
        <is>
          <t>The All Yours collection is made from soft, comfortable fabrics and easy-to-wear silhouettes that feel amazing and go with just about everything.</t>
        </is>
      </c>
      <c r="N1630" s="4" t="inlineStr">
        <is>
          <t>All-Yours-Organic-Cotton-Crewneck-T-Shirt</t>
        </is>
      </c>
      <c r="O1630" s="4" t="inlineStr"/>
    </row>
    <row r="1631" ht="80" customHeight="1">
      <c r="A1631" s="7">
        <f>IMAGE("https://images.lululemon.com/is/image/lululemon/LW3JSFS_0002_1?wid=320&amp;op_usm=0.8",1)</f>
        <v/>
      </c>
      <c r="B1631" s="7" t="inlineStr">
        <is>
          <t>All Yours Organic Cotton Crewneck T-Shirt</t>
        </is>
      </c>
      <c r="C1631" s="7" t="inlineStr">
        <is>
          <t>157706116</t>
        </is>
      </c>
      <c r="D1631" s="7" t="inlineStr">
        <is>
          <t>157706116-lightivory</t>
        </is>
      </c>
      <c r="E1631" s="7" t="inlineStr">
        <is>
          <t>All Yours Organic Cotton T-Shirt WHT XS</t>
        </is>
      </c>
      <c r="F1631" s="7" t="inlineStr">
        <is>
          <t>$48.00</t>
        </is>
      </c>
      <c r="G1631" s="7" t="inlineStr">
        <is>
          <t>$24.00</t>
        </is>
      </c>
      <c r="H1631" s="7" t="inlineStr">
        <is>
          <t>Light Ivory</t>
        </is>
      </c>
      <c r="I1631" s="7">
        <f>IMAGE("https://images.lululemon.com/is/image/lululemon/33454",1)</f>
        <v/>
      </c>
      <c r="J1631" s="7" t="inlineStr">
        <is>
          <t>M</t>
        </is>
      </c>
      <c r="K1631" s="7" t="inlineStr">
        <is>
          <t>16/81</t>
        </is>
      </c>
      <c r="L1631" s="7" t="inlineStr">
        <is>
          <t>Yes</t>
        </is>
      </c>
      <c r="M1631" s="7" t="inlineStr">
        <is>
          <t>The All Yours collection is made from soft, comfortable fabrics and easy-to-wear silhouettes that feel amazing and go with just about everything.</t>
        </is>
      </c>
      <c r="N1631" s="7" t="inlineStr">
        <is>
          <t>All-Yours-Organic-Cotton-Crewneck-T-Shirt</t>
        </is>
      </c>
      <c r="O1631" s="7" t="inlineStr"/>
    </row>
    <row r="1632" ht="80" customHeight="1">
      <c r="A1632" s="6">
        <f>IMAGE("https://images.lululemon.com/is/image/lululemon/LW3JSFS_0002_1?wid=320&amp;op_usm=0.8",1)</f>
        <v/>
      </c>
      <c r="B1632" s="6" t="inlineStr">
        <is>
          <t>All Yours Organic Cotton Crewneck T-Shirt</t>
        </is>
      </c>
      <c r="C1632" s="6" t="inlineStr">
        <is>
          <t>157706105</t>
        </is>
      </c>
      <c r="D1632" s="6" t="inlineStr">
        <is>
          <t>157706105-lightivory</t>
        </is>
      </c>
      <c r="E1632" s="6" t="inlineStr">
        <is>
          <t>All Yours Organic Cotton T-Shirt WHT XS</t>
        </is>
      </c>
      <c r="F1632" s="6" t="inlineStr">
        <is>
          <t>$48.00</t>
        </is>
      </c>
      <c r="G1632" s="6" t="inlineStr">
        <is>
          <t>$24.00</t>
        </is>
      </c>
      <c r="H1632" s="6" t="inlineStr">
        <is>
          <t>Light Ivory</t>
        </is>
      </c>
      <c r="I1632" s="6">
        <f>IMAGE("https://images.lululemon.com/is/image/lululemon/33454",1)</f>
        <v/>
      </c>
      <c r="J1632" s="6" t="inlineStr">
        <is>
          <t>L</t>
        </is>
      </c>
      <c r="K1632" s="6" t="inlineStr">
        <is>
          <t>5/81</t>
        </is>
      </c>
      <c r="L1632" s="6" t="inlineStr">
        <is>
          <t>Yes</t>
        </is>
      </c>
      <c r="M1632" s="6" t="inlineStr">
        <is>
          <t>The All Yours collection is made from soft, comfortable fabrics and easy-to-wear silhouettes that feel amazing and go with just about everything.</t>
        </is>
      </c>
      <c r="N1632" s="6" t="inlineStr">
        <is>
          <t>All-Yours-Organic-Cotton-Crewneck-T-Shirt</t>
        </is>
      </c>
      <c r="O1632" s="6" t="inlineStr"/>
    </row>
    <row r="1633" ht="80" customHeight="1">
      <c r="A1633" s="7">
        <f>IMAGE("https://images.lululemon.com/is/image/lululemon/LW5ENOR_0001_1?wid=320&amp;op_usm=0.8",1)</f>
        <v/>
      </c>
      <c r="B1633" s="7" t="inlineStr">
        <is>
          <t>Dance Studio Mid-Rise Pant *Regular</t>
        </is>
      </c>
      <c r="C1633" s="7" t="inlineStr">
        <is>
          <t>144350164</t>
        </is>
      </c>
      <c r="D1633" s="7" t="inlineStr">
        <is>
          <t>144350164-black</t>
        </is>
      </c>
      <c r="E1633" s="7" t="inlineStr">
        <is>
          <t>Dance Studio Mid-Rise Pant *Regular BLK 2</t>
        </is>
      </c>
      <c r="F1633" s="7" t="inlineStr">
        <is>
          <t>$128.00</t>
        </is>
      </c>
      <c r="G1633" s="7" t="inlineStr">
        <is>
          <t>$64.00</t>
        </is>
      </c>
      <c r="H1633" s="7" t="inlineStr">
        <is>
          <t>Black</t>
        </is>
      </c>
      <c r="I1633" s="7">
        <f>IMAGE("https://images.lululemon.com/is/image/lululemon/0001",1)</f>
        <v/>
      </c>
      <c r="J1633" s="7" t="inlineStr">
        <is>
          <t>2</t>
        </is>
      </c>
      <c r="K1633" s="7" t="inlineStr">
        <is>
          <t>210/3642</t>
        </is>
      </c>
      <c r="L1633" s="7" t="inlineStr">
        <is>
          <t>Yes</t>
        </is>
      </c>
      <c r="M1633" s="7" t="inlineStr">
        <is>
          <t>Easy, comfortable, and never clingy, these pants are in our after-practice hall of fame.</t>
        </is>
      </c>
      <c r="N1633" s="7" t="inlineStr">
        <is>
          <t>Dance-Studio-Pant-MR-Reg</t>
        </is>
      </c>
      <c r="O1633" s="7" t="inlineStr"/>
    </row>
    <row r="1634" ht="80" customHeight="1">
      <c r="A1634" s="4">
        <f>IMAGE("https://images.lululemon.com/is/image/lululemon/LW5ENOR_0001_1?wid=320&amp;op_usm=0.8",1)</f>
        <v/>
      </c>
      <c r="B1634" s="4" t="inlineStr">
        <is>
          <t>Dance Studio Mid-Rise Pant *Regular</t>
        </is>
      </c>
      <c r="C1634" s="4" t="inlineStr">
        <is>
          <t>144350175</t>
        </is>
      </c>
      <c r="D1634" s="4" t="inlineStr">
        <is>
          <t>144350175-black</t>
        </is>
      </c>
      <c r="E1634" s="4" t="inlineStr">
        <is>
          <t>Dance Studio Mid-Rise Pant *Regular BLK 2</t>
        </is>
      </c>
      <c r="F1634" s="4" t="inlineStr">
        <is>
          <t>$128.00</t>
        </is>
      </c>
      <c r="G1634" s="4" t="inlineStr">
        <is>
          <t>$64.00</t>
        </is>
      </c>
      <c r="H1634" s="4" t="inlineStr">
        <is>
          <t>Black</t>
        </is>
      </c>
      <c r="I1634" s="4">
        <f>IMAGE("https://images.lululemon.com/is/image/lululemon/0001",1)</f>
        <v/>
      </c>
      <c r="J1634" s="4" t="inlineStr">
        <is>
          <t>4</t>
        </is>
      </c>
      <c r="K1634" s="4" t="inlineStr">
        <is>
          <t>815/3642</t>
        </is>
      </c>
      <c r="L1634" s="4" t="inlineStr">
        <is>
          <t>Yes</t>
        </is>
      </c>
      <c r="M1634" s="4" t="inlineStr">
        <is>
          <t>Easy, comfortable, and never clingy, these pants are in our after-practice hall of fame.</t>
        </is>
      </c>
      <c r="N1634" s="4" t="inlineStr">
        <is>
          <t>Dance-Studio-Pant-MR-Reg</t>
        </is>
      </c>
      <c r="O1634" s="4" t="inlineStr"/>
    </row>
    <row r="1635" ht="80" customHeight="1">
      <c r="A1635" s="7">
        <f>IMAGE("https://images.lululemon.com/is/image/lululemon/LW5ENOR_0001_1?wid=320&amp;op_usm=0.8",1)</f>
        <v/>
      </c>
      <c r="B1635" s="7" t="inlineStr">
        <is>
          <t>Dance Studio Mid-Rise Pant *Regular</t>
        </is>
      </c>
      <c r="C1635" s="7" t="inlineStr">
        <is>
          <t>144350179</t>
        </is>
      </c>
      <c r="D1635" s="7" t="inlineStr">
        <is>
          <t>144350179-black</t>
        </is>
      </c>
      <c r="E1635" s="7" t="inlineStr">
        <is>
          <t>Dance Studio Mid-Rise Pant *Regular BLK 2</t>
        </is>
      </c>
      <c r="F1635" s="7" t="inlineStr">
        <is>
          <t>$128.00</t>
        </is>
      </c>
      <c r="G1635" s="7" t="inlineStr">
        <is>
          <t>$64.00</t>
        </is>
      </c>
      <c r="H1635" s="7" t="inlineStr">
        <is>
          <t>Black</t>
        </is>
      </c>
      <c r="I1635" s="7">
        <f>IMAGE("https://images.lululemon.com/is/image/lululemon/0001",1)</f>
        <v/>
      </c>
      <c r="J1635" s="7" t="inlineStr">
        <is>
          <t>6</t>
        </is>
      </c>
      <c r="K1635" s="7" t="inlineStr">
        <is>
          <t>850/3642</t>
        </is>
      </c>
      <c r="L1635" s="7" t="inlineStr">
        <is>
          <t>Yes</t>
        </is>
      </c>
      <c r="M1635" s="7" t="inlineStr">
        <is>
          <t>Easy, comfortable, and never clingy, these pants are in our after-practice hall of fame.</t>
        </is>
      </c>
      <c r="N1635" s="7" t="inlineStr">
        <is>
          <t>Dance-Studio-Pant-MR-Reg</t>
        </is>
      </c>
      <c r="O1635" s="7" t="inlineStr"/>
    </row>
    <row r="1636" ht="80" customHeight="1">
      <c r="A1636" s="4">
        <f>IMAGE("https://images.lululemon.com/is/image/lululemon/LW5ENOR_0001_1?wid=320&amp;op_usm=0.8",1)</f>
        <v/>
      </c>
      <c r="B1636" s="4" t="inlineStr">
        <is>
          <t>Dance Studio Mid-Rise Pant *Regular</t>
        </is>
      </c>
      <c r="C1636" s="4" t="inlineStr">
        <is>
          <t>144350181</t>
        </is>
      </c>
      <c r="D1636" s="4" t="inlineStr">
        <is>
          <t>144350181-black</t>
        </is>
      </c>
      <c r="E1636" s="4" t="inlineStr">
        <is>
          <t>Dance Studio Mid-Rise Pant *Regular BLK 2</t>
        </is>
      </c>
      <c r="F1636" s="4" t="inlineStr">
        <is>
          <t>$128.00</t>
        </is>
      </c>
      <c r="G1636" s="4" t="inlineStr">
        <is>
          <t>$64.00</t>
        </is>
      </c>
      <c r="H1636" s="4" t="inlineStr">
        <is>
          <t>Black</t>
        </is>
      </c>
      <c r="I1636" s="4">
        <f>IMAGE("https://images.lululemon.com/is/image/lululemon/0001",1)</f>
        <v/>
      </c>
      <c r="J1636" s="4" t="inlineStr">
        <is>
          <t>8</t>
        </is>
      </c>
      <c r="K1636" s="4" t="inlineStr">
        <is>
          <t>745/3642</t>
        </is>
      </c>
      <c r="L1636" s="4" t="inlineStr">
        <is>
          <t>Yes</t>
        </is>
      </c>
      <c r="M1636" s="4" t="inlineStr">
        <is>
          <t>Easy, comfortable, and never clingy, these pants are in our after-practice hall of fame.</t>
        </is>
      </c>
      <c r="N1636" s="4" t="inlineStr">
        <is>
          <t>Dance-Studio-Pant-MR-Reg</t>
        </is>
      </c>
      <c r="O1636" s="4" t="inlineStr"/>
    </row>
    <row r="1637" ht="80" customHeight="1">
      <c r="A1637" s="7">
        <f>IMAGE("https://images.lululemon.com/is/image/lululemon/LW5ENOR_0001_1?wid=320&amp;op_usm=0.8",1)</f>
        <v/>
      </c>
      <c r="B1637" s="7" t="inlineStr">
        <is>
          <t>Dance Studio Mid-Rise Pant *Regular</t>
        </is>
      </c>
      <c r="C1637" s="7" t="inlineStr">
        <is>
          <t>144350154</t>
        </is>
      </c>
      <c r="D1637" s="7" t="inlineStr">
        <is>
          <t>144350154-black</t>
        </is>
      </c>
      <c r="E1637" s="7" t="inlineStr">
        <is>
          <t>Dance Studio Mid-Rise Pant *Regular BLK 2</t>
        </is>
      </c>
      <c r="F1637" s="7" t="inlineStr">
        <is>
          <t>$128.00</t>
        </is>
      </c>
      <c r="G1637" s="7" t="inlineStr">
        <is>
          <t>$64.00</t>
        </is>
      </c>
      <c r="H1637" s="7" t="inlineStr">
        <is>
          <t>Black</t>
        </is>
      </c>
      <c r="I1637" s="7">
        <f>IMAGE("https://images.lululemon.com/is/image/lululemon/0001",1)</f>
        <v/>
      </c>
      <c r="J1637" s="7" t="inlineStr">
        <is>
          <t>10</t>
        </is>
      </c>
      <c r="K1637" s="7" t="inlineStr">
        <is>
          <t>381/3642</t>
        </is>
      </c>
      <c r="L1637" s="7" t="inlineStr">
        <is>
          <t>Yes</t>
        </is>
      </c>
      <c r="M1637" s="7" t="inlineStr">
        <is>
          <t>Easy, comfortable, and never clingy, these pants are in our after-practice hall of fame.</t>
        </is>
      </c>
      <c r="N1637" s="7" t="inlineStr">
        <is>
          <t>Dance-Studio-Pant-MR-Reg</t>
        </is>
      </c>
      <c r="O1637" s="7" t="inlineStr"/>
    </row>
    <row r="1638" ht="80" customHeight="1">
      <c r="A1638" s="4">
        <f>IMAGE("https://images.lululemon.com/is/image/lululemon/LW5ENOR_0001_1?wid=320&amp;op_usm=0.8",1)</f>
        <v/>
      </c>
      <c r="B1638" s="4" t="inlineStr">
        <is>
          <t>Dance Studio Mid-Rise Pant *Regular</t>
        </is>
      </c>
      <c r="C1638" s="4" t="inlineStr">
        <is>
          <t>144350156</t>
        </is>
      </c>
      <c r="D1638" s="4" t="inlineStr">
        <is>
          <t>144350156-black</t>
        </is>
      </c>
      <c r="E1638" s="4" t="inlineStr">
        <is>
          <t>Dance Studio Mid-Rise Pant *Regular BLK 2</t>
        </is>
      </c>
      <c r="F1638" s="4" t="inlineStr">
        <is>
          <t>$128.00</t>
        </is>
      </c>
      <c r="G1638" s="4" t="inlineStr">
        <is>
          <t>$64.00</t>
        </is>
      </c>
      <c r="H1638" s="4" t="inlineStr">
        <is>
          <t>Black</t>
        </is>
      </c>
      <c r="I1638" s="4">
        <f>IMAGE("https://images.lululemon.com/is/image/lululemon/0001",1)</f>
        <v/>
      </c>
      <c r="J1638" s="4" t="inlineStr">
        <is>
          <t>12</t>
        </is>
      </c>
      <c r="K1638" s="4" t="inlineStr">
        <is>
          <t>103/3642</t>
        </is>
      </c>
      <c r="L1638" s="4" t="inlineStr">
        <is>
          <t>Yes</t>
        </is>
      </c>
      <c r="M1638" s="4" t="inlineStr">
        <is>
          <t>Easy, comfortable, and never clingy, these pants are in our after-practice hall of fame.</t>
        </is>
      </c>
      <c r="N1638" s="4" t="inlineStr">
        <is>
          <t>Dance-Studio-Pant-MR-Reg</t>
        </is>
      </c>
      <c r="O1638" s="4" t="inlineStr"/>
    </row>
    <row r="1639" ht="80" customHeight="1">
      <c r="A1639" s="7">
        <f>IMAGE("https://images.lululemon.com/is/image/lululemon/LW5ENOR_0001_1?wid=320&amp;op_usm=0.8",1)</f>
        <v/>
      </c>
      <c r="B1639" s="7" t="inlineStr">
        <is>
          <t>Dance Studio Mid-Rise Pant *Regular</t>
        </is>
      </c>
      <c r="C1639" s="7" t="inlineStr">
        <is>
          <t>156487203</t>
        </is>
      </c>
      <c r="D1639" s="7" t="inlineStr">
        <is>
          <t>156487203-washedblue</t>
        </is>
      </c>
      <c r="E1639" s="7" t="inlineStr">
        <is>
          <t>Dance Studio Mid-Rise Pant *Regular BLK 2</t>
        </is>
      </c>
      <c r="F1639" s="7" t="inlineStr">
        <is>
          <t>$128.00</t>
        </is>
      </c>
      <c r="G1639" s="7" t="inlineStr">
        <is>
          <t>$64.00</t>
        </is>
      </c>
      <c r="H1639" s="7" t="inlineStr">
        <is>
          <t>Washed Blue</t>
        </is>
      </c>
      <c r="I1639" s="7">
        <f>IMAGE("https://images.lululemon.com/is/image/lululemon/70135",1)</f>
        <v/>
      </c>
      <c r="J1639" s="7" t="inlineStr">
        <is>
          <t>2</t>
        </is>
      </c>
      <c r="K1639" s="7" t="inlineStr">
        <is>
          <t>51/3642</t>
        </is>
      </c>
      <c r="L1639" s="7" t="inlineStr">
        <is>
          <t>Yes</t>
        </is>
      </c>
      <c r="M1639" s="7" t="inlineStr">
        <is>
          <t>Easy, comfortable, and never clingy, these pants are in our after-practice hall of fame.</t>
        </is>
      </c>
      <c r="N1639" s="7" t="inlineStr">
        <is>
          <t>Dance-Studio-Pant-MR-Reg</t>
        </is>
      </c>
      <c r="O1639" s="7" t="inlineStr"/>
    </row>
    <row r="1640" ht="80" customHeight="1">
      <c r="A1640" s="4">
        <f>IMAGE("https://images.lululemon.com/is/image/lululemon/LW5ENOR_0001_1?wid=320&amp;op_usm=0.8",1)</f>
        <v/>
      </c>
      <c r="B1640" s="4" t="inlineStr">
        <is>
          <t>Dance Studio Mid-Rise Pant *Regular</t>
        </is>
      </c>
      <c r="C1640" s="4" t="inlineStr">
        <is>
          <t>156487248</t>
        </is>
      </c>
      <c r="D1640" s="4" t="inlineStr">
        <is>
          <t>156487248-washedblue</t>
        </is>
      </c>
      <c r="E1640" s="4" t="inlineStr">
        <is>
          <t>Dance Studio Mid-Rise Pant *Regular BLK 2</t>
        </is>
      </c>
      <c r="F1640" s="4" t="inlineStr">
        <is>
          <t>$128.00</t>
        </is>
      </c>
      <c r="G1640" s="4" t="inlineStr">
        <is>
          <t>$64.00</t>
        </is>
      </c>
      <c r="H1640" s="4" t="inlineStr">
        <is>
          <t>Washed Blue</t>
        </is>
      </c>
      <c r="I1640" s="4">
        <f>IMAGE("https://images.lululemon.com/is/image/lululemon/70135",1)</f>
        <v/>
      </c>
      <c r="J1640" s="4" t="inlineStr">
        <is>
          <t>4</t>
        </is>
      </c>
      <c r="K1640" s="4" t="inlineStr">
        <is>
          <t>123/3642</t>
        </is>
      </c>
      <c r="L1640" s="4" t="inlineStr">
        <is>
          <t>Yes</t>
        </is>
      </c>
      <c r="M1640" s="4" t="inlineStr">
        <is>
          <t>Easy, comfortable, and never clingy, these pants are in our after-practice hall of fame.</t>
        </is>
      </c>
      <c r="N1640" s="4" t="inlineStr">
        <is>
          <t>Dance-Studio-Pant-MR-Reg</t>
        </is>
      </c>
      <c r="O1640" s="4" t="inlineStr"/>
    </row>
    <row r="1641" ht="80" customHeight="1">
      <c r="A1641" s="7">
        <f>IMAGE("https://images.lululemon.com/is/image/lululemon/LW5ENOR_0001_1?wid=320&amp;op_usm=0.8",1)</f>
        <v/>
      </c>
      <c r="B1641" s="7" t="inlineStr">
        <is>
          <t>Dance Studio Mid-Rise Pant *Regular</t>
        </is>
      </c>
      <c r="C1641" s="7" t="inlineStr">
        <is>
          <t>156487260</t>
        </is>
      </c>
      <c r="D1641" s="7" t="inlineStr">
        <is>
          <t>156487260-washedblue</t>
        </is>
      </c>
      <c r="E1641" s="7" t="inlineStr">
        <is>
          <t>Dance Studio Mid-Rise Pant *Regular BLK 2</t>
        </is>
      </c>
      <c r="F1641" s="7" t="inlineStr">
        <is>
          <t>$128.00</t>
        </is>
      </c>
      <c r="G1641" s="7" t="inlineStr">
        <is>
          <t>$64.00</t>
        </is>
      </c>
      <c r="H1641" s="7" t="inlineStr">
        <is>
          <t>Washed Blue</t>
        </is>
      </c>
      <c r="I1641" s="7">
        <f>IMAGE("https://images.lululemon.com/is/image/lululemon/70135",1)</f>
        <v/>
      </c>
      <c r="J1641" s="7" t="inlineStr">
        <is>
          <t>6</t>
        </is>
      </c>
      <c r="K1641" s="7" t="inlineStr">
        <is>
          <t>135/3642</t>
        </is>
      </c>
      <c r="L1641" s="7" t="inlineStr">
        <is>
          <t>Yes</t>
        </is>
      </c>
      <c r="M1641" s="7" t="inlineStr">
        <is>
          <t>Easy, comfortable, and never clingy, these pants are in our after-practice hall of fame.</t>
        </is>
      </c>
      <c r="N1641" s="7" t="inlineStr">
        <is>
          <t>Dance-Studio-Pant-MR-Reg</t>
        </is>
      </c>
      <c r="O1641" s="7" t="inlineStr"/>
    </row>
    <row r="1642" ht="80" customHeight="1">
      <c r="A1642" s="4">
        <f>IMAGE("https://images.lululemon.com/is/image/lululemon/LW5ENOR_0001_1?wid=320&amp;op_usm=0.8",1)</f>
        <v/>
      </c>
      <c r="B1642" s="4" t="inlineStr">
        <is>
          <t>Dance Studio Mid-Rise Pant *Regular</t>
        </is>
      </c>
      <c r="C1642" s="4" t="inlineStr">
        <is>
          <t>156487270</t>
        </is>
      </c>
      <c r="D1642" s="4" t="inlineStr">
        <is>
          <t>156487270-washedblue</t>
        </is>
      </c>
      <c r="E1642" s="4" t="inlineStr">
        <is>
          <t>Dance Studio Mid-Rise Pant *Regular BLK 2</t>
        </is>
      </c>
      <c r="F1642" s="4" t="inlineStr">
        <is>
          <t>$128.00</t>
        </is>
      </c>
      <c r="G1642" s="4" t="inlineStr">
        <is>
          <t>$64.00</t>
        </is>
      </c>
      <c r="H1642" s="4" t="inlineStr">
        <is>
          <t>Washed Blue</t>
        </is>
      </c>
      <c r="I1642" s="4">
        <f>IMAGE("https://images.lululemon.com/is/image/lululemon/70135",1)</f>
        <v/>
      </c>
      <c r="J1642" s="4" t="inlineStr">
        <is>
          <t>8</t>
        </is>
      </c>
      <c r="K1642" s="4" t="inlineStr">
        <is>
          <t>128/3642</t>
        </is>
      </c>
      <c r="L1642" s="4" t="inlineStr">
        <is>
          <t>Yes</t>
        </is>
      </c>
      <c r="M1642" s="4" t="inlineStr">
        <is>
          <t>Easy, comfortable, and never clingy, these pants are in our after-practice hall of fame.</t>
        </is>
      </c>
      <c r="N1642" s="4" t="inlineStr">
        <is>
          <t>Dance-Studio-Pant-MR-Reg</t>
        </is>
      </c>
      <c r="O1642" s="4" t="inlineStr"/>
    </row>
    <row r="1643" ht="80" customHeight="1">
      <c r="A1643" s="7">
        <f>IMAGE("https://images.lululemon.com/is/image/lululemon/LW5ENOR_0001_1?wid=320&amp;op_usm=0.8",1)</f>
        <v/>
      </c>
      <c r="B1643" s="7" t="inlineStr">
        <is>
          <t>Dance Studio Mid-Rise Pant *Regular</t>
        </is>
      </c>
      <c r="C1643" s="7" t="inlineStr">
        <is>
          <t>156487157</t>
        </is>
      </c>
      <c r="D1643" s="7" t="inlineStr">
        <is>
          <t>156487157-washedblue</t>
        </is>
      </c>
      <c r="E1643" s="7" t="inlineStr">
        <is>
          <t>Dance Studio Mid-Rise Pant *Regular BLK 2</t>
        </is>
      </c>
      <c r="F1643" s="7" t="inlineStr">
        <is>
          <t>$128.00</t>
        </is>
      </c>
      <c r="G1643" s="7" t="inlineStr">
        <is>
          <t>$64.00</t>
        </is>
      </c>
      <c r="H1643" s="7" t="inlineStr">
        <is>
          <t>Washed Blue</t>
        </is>
      </c>
      <c r="I1643" s="7">
        <f>IMAGE("https://images.lululemon.com/is/image/lululemon/70135",1)</f>
        <v/>
      </c>
      <c r="J1643" s="7" t="inlineStr">
        <is>
          <t>10</t>
        </is>
      </c>
      <c r="K1643" s="7" t="inlineStr">
        <is>
          <t>69/3642</t>
        </is>
      </c>
      <c r="L1643" s="7" t="inlineStr">
        <is>
          <t>Yes</t>
        </is>
      </c>
      <c r="M1643" s="7" t="inlineStr">
        <is>
          <t>Easy, comfortable, and never clingy, these pants are in our after-practice hall of fame.</t>
        </is>
      </c>
      <c r="N1643" s="7" t="inlineStr">
        <is>
          <t>Dance-Studio-Pant-MR-Reg</t>
        </is>
      </c>
      <c r="O1643" s="7" t="inlineStr"/>
    </row>
    <row r="1644" ht="80" customHeight="1">
      <c r="A1644" s="4">
        <f>IMAGE("https://images.lululemon.com/is/image/lululemon/LW5ENOR_0001_1?wid=320&amp;op_usm=0.8",1)</f>
        <v/>
      </c>
      <c r="B1644" s="4" t="inlineStr">
        <is>
          <t>Dance Studio Mid-Rise Pant *Regular</t>
        </is>
      </c>
      <c r="C1644" s="4" t="inlineStr">
        <is>
          <t>156487163</t>
        </is>
      </c>
      <c r="D1644" s="4" t="inlineStr">
        <is>
          <t>156487163-washedblue</t>
        </is>
      </c>
      <c r="E1644" s="4" t="inlineStr">
        <is>
          <t>Dance Studio Mid-Rise Pant *Regular BLK 2</t>
        </is>
      </c>
      <c r="F1644" s="4" t="inlineStr">
        <is>
          <t>$128.00</t>
        </is>
      </c>
      <c r="G1644" s="4" t="inlineStr">
        <is>
          <t>$64.00</t>
        </is>
      </c>
      <c r="H1644" s="4" t="inlineStr">
        <is>
          <t>Washed Blue</t>
        </is>
      </c>
      <c r="I1644" s="4">
        <f>IMAGE("https://images.lululemon.com/is/image/lululemon/70135",1)</f>
        <v/>
      </c>
      <c r="J1644" s="4" t="inlineStr">
        <is>
          <t>12</t>
        </is>
      </c>
      <c r="K1644" s="4" t="inlineStr">
        <is>
          <t>17/3642</t>
        </is>
      </c>
      <c r="L1644" s="4" t="inlineStr">
        <is>
          <t>Yes</t>
        </is>
      </c>
      <c r="M1644" s="4" t="inlineStr">
        <is>
          <t>Easy, comfortable, and never clingy, these pants are in our after-practice hall of fame.</t>
        </is>
      </c>
      <c r="N1644" s="4" t="inlineStr">
        <is>
          <t>Dance-Studio-Pant-MR-Reg</t>
        </is>
      </c>
      <c r="O1644" s="4" t="inlineStr"/>
    </row>
    <row r="1645" ht="80" customHeight="1">
      <c r="A1645" s="5">
        <f>IMAGE("https://images.lululemon.com/is/image/lululemon/LW5ENOR_0001_1?wid=320&amp;op_usm=0.8",1)</f>
        <v/>
      </c>
      <c r="B1645" s="5" t="inlineStr">
        <is>
          <t>Dance Studio Mid-Rise Pant *Regular</t>
        </is>
      </c>
      <c r="C1645" s="5" t="inlineStr">
        <is>
          <t>156487125</t>
        </is>
      </c>
      <c r="D1645" s="5" t="inlineStr">
        <is>
          <t>156487125-warmashgrey</t>
        </is>
      </c>
      <c r="E1645" s="5" t="inlineStr">
        <is>
          <t>Dance Studio Mid-Rise Pant *Regular BLK 2</t>
        </is>
      </c>
      <c r="F1645" s="5" t="inlineStr">
        <is>
          <t>$128.00</t>
        </is>
      </c>
      <c r="G1645" s="5" t="inlineStr">
        <is>
          <t>$64.00</t>
        </is>
      </c>
      <c r="H1645" s="5" t="inlineStr">
        <is>
          <t>Warm Ash Grey</t>
        </is>
      </c>
      <c r="I1645" s="5">
        <f>IMAGE("https://images.lululemon.com/is/image/lululemon/70108",1)</f>
        <v/>
      </c>
      <c r="J1645" s="5" t="inlineStr">
        <is>
          <t>6</t>
        </is>
      </c>
      <c r="K1645" s="5" t="inlineStr">
        <is>
          <t>15/3642</t>
        </is>
      </c>
      <c r="L1645" s="5" t="inlineStr">
        <is>
          <t>Yes</t>
        </is>
      </c>
      <c r="M1645" s="5" t="inlineStr">
        <is>
          <t>Easy, comfortable, and never clingy, these pants are in our after-practice hall of fame.</t>
        </is>
      </c>
      <c r="N1645" s="5" t="inlineStr">
        <is>
          <t>Dance-Studio-Pant-MR-Reg</t>
        </is>
      </c>
      <c r="O1645" s="5" t="inlineStr"/>
    </row>
    <row r="1646" ht="80" customHeight="1">
      <c r="A1646" s="4">
        <f>IMAGE("https://images.lululemon.com/is/image/lululemon/LW3JEDS_032493_1?wid=320&amp;op_usm=0.8",1)</f>
        <v/>
      </c>
      <c r="B1646" s="4" t="inlineStr">
        <is>
          <t>Scuba Oversized Long Crewneck</t>
        </is>
      </c>
      <c r="C1646" s="4" t="inlineStr">
        <is>
          <t>155853672</t>
        </is>
      </c>
      <c r="D1646" s="4" t="inlineStr">
        <is>
          <t>155853672-heatheredcoreultralightgrey</t>
        </is>
      </c>
      <c r="E1646" s="4" t="inlineStr">
        <is>
          <t>Scuba Oversized Long Crewneck HCUG XS/S</t>
        </is>
      </c>
      <c r="F1646" s="4" t="inlineStr">
        <is>
          <t>$118.00</t>
        </is>
      </c>
      <c r="G1646" s="4" t="inlineStr">
        <is>
          <t>$59.00</t>
        </is>
      </c>
      <c r="H1646" s="4" t="inlineStr">
        <is>
          <t>Heathered Core Ultra Light Grey</t>
        </is>
      </c>
      <c r="I1646" s="4">
        <f>IMAGE("https://images.lululemon.com/is/image/lululemon/32493",1)</f>
        <v/>
      </c>
      <c r="J1646" s="4" t="inlineStr">
        <is>
          <t>XS/S</t>
        </is>
      </c>
      <c r="K1646" s="4" t="inlineStr">
        <is>
          <t>329/608</t>
        </is>
      </c>
      <c r="L1646" s="4" t="inlineStr">
        <is>
          <t>Yes</t>
        </is>
      </c>
      <c r="M1646" s="4" t="inlineStr">
        <is>
          <t>Serious about softness. Made from our fleecy Scuba fabric, this crewneck tunic makes cool days cozy. Pair it with some leggings for a comfy, put-together look.</t>
        </is>
      </c>
      <c r="N1646" s="4" t="inlineStr">
        <is>
          <t>Scuba-Oversized-Long-Crewneck</t>
        </is>
      </c>
      <c r="O1646" s="4" t="inlineStr">
        <is>
          <t>Crewneck Sweatshirts</t>
        </is>
      </c>
    </row>
    <row r="1647" ht="80" customHeight="1">
      <c r="A1647" s="7">
        <f>IMAGE("https://images.lululemon.com/is/image/lululemon/LW3JEDS_032493_1?wid=320&amp;op_usm=0.8",1)</f>
        <v/>
      </c>
      <c r="B1647" s="7" t="inlineStr">
        <is>
          <t>Scuba Oversized Long Crewneck</t>
        </is>
      </c>
      <c r="C1647" s="7" t="inlineStr">
        <is>
          <t>155853643</t>
        </is>
      </c>
      <c r="D1647" s="7" t="inlineStr">
        <is>
          <t>155853643-heatheredcoreultralightgrey</t>
        </is>
      </c>
      <c r="E1647" s="7" t="inlineStr">
        <is>
          <t>Scuba Oversized Long Crewneck HCUG XS/S</t>
        </is>
      </c>
      <c r="F1647" s="7" t="inlineStr">
        <is>
          <t>$118.00</t>
        </is>
      </c>
      <c r="G1647" s="7" t="inlineStr">
        <is>
          <t>$59.00</t>
        </is>
      </c>
      <c r="H1647" s="7" t="inlineStr">
        <is>
          <t>Heathered Core Ultra Light Grey</t>
        </is>
      </c>
      <c r="I1647" s="7">
        <f>IMAGE("https://images.lululemon.com/is/image/lululemon/32493",1)</f>
        <v/>
      </c>
      <c r="J1647" s="7" t="inlineStr">
        <is>
          <t>M/L</t>
        </is>
      </c>
      <c r="K1647" s="7" t="inlineStr">
        <is>
          <t>226/608</t>
        </is>
      </c>
      <c r="L1647" s="7" t="inlineStr">
        <is>
          <t>Yes</t>
        </is>
      </c>
      <c r="M1647" s="7" t="inlineStr">
        <is>
          <t>Serious about softness. Made from our fleecy Scuba fabric, this crewneck tunic makes cool days cozy. Pair it with some leggings for a comfy, put-together look.</t>
        </is>
      </c>
      <c r="N1647" s="7" t="inlineStr">
        <is>
          <t>Scuba-Oversized-Long-Crewneck</t>
        </is>
      </c>
      <c r="O1647" s="7" t="inlineStr">
        <is>
          <t>Crewneck Sweatshirts</t>
        </is>
      </c>
    </row>
    <row r="1648" ht="80" customHeight="1">
      <c r="A1648" s="6">
        <f>IMAGE("https://images.lululemon.com/is/image/lululemon/LW3JEDS_032493_1?wid=320&amp;op_usm=0.8",1)</f>
        <v/>
      </c>
      <c r="B1648" s="6" t="inlineStr">
        <is>
          <t>Scuba Oversized Long Crewneck</t>
        </is>
      </c>
      <c r="C1648" s="6" t="inlineStr">
        <is>
          <t>155853661</t>
        </is>
      </c>
      <c r="D1648" s="6" t="inlineStr">
        <is>
          <t>155853661-heatheredcoreultralightgrey</t>
        </is>
      </c>
      <c r="E1648" s="6" t="inlineStr">
        <is>
          <t>Scuba Oversized Long Crewneck HCUG XS/S</t>
        </is>
      </c>
      <c r="F1648" s="6" t="inlineStr">
        <is>
          <t>$118.00</t>
        </is>
      </c>
      <c r="G1648" s="6" t="inlineStr">
        <is>
          <t>$59.00</t>
        </is>
      </c>
      <c r="H1648" s="6" t="inlineStr">
        <is>
          <t>Heathered Core Ultra Light Grey</t>
        </is>
      </c>
      <c r="I1648" s="6">
        <f>IMAGE("https://images.lululemon.com/is/image/lululemon/32493",1)</f>
        <v/>
      </c>
      <c r="J1648" s="6" t="inlineStr">
        <is>
          <t>XL/XXL</t>
        </is>
      </c>
      <c r="K1648" s="6" t="inlineStr">
        <is>
          <t>53/608</t>
        </is>
      </c>
      <c r="L1648" s="6" t="inlineStr">
        <is>
          <t>Yes</t>
        </is>
      </c>
      <c r="M1648" s="6" t="inlineStr">
        <is>
          <t>Serious about softness. Made from our fleecy Scuba fabric, this crewneck tunic makes cool days cozy. Pair it with some leggings for a comfy, put-together look.</t>
        </is>
      </c>
      <c r="N1648" s="6" t="inlineStr">
        <is>
          <t>Scuba-Oversized-Long-Crewneck</t>
        </is>
      </c>
      <c r="O1648" s="6" t="inlineStr">
        <is>
          <t>Crewneck Sweatshirts</t>
        </is>
      </c>
    </row>
    <row r="1649" ht="80" customHeight="1">
      <c r="A1649" s="7">
        <f>IMAGE("https://images.lululemon.com/is/image/lululemon/LW9FHKS_073564_1?wid=320&amp;op_usm=0.8",1)</f>
        <v/>
      </c>
      <c r="B1649" s="7" t="inlineStr">
        <is>
          <t>Medium Claw Hair Clip</t>
        </is>
      </c>
      <c r="C1649" s="7" t="inlineStr">
        <is>
          <t>158022935</t>
        </is>
      </c>
      <c r="D1649" s="7" t="inlineStr">
        <is>
          <t>158022935-jewelledmagenta/rockwood</t>
        </is>
      </c>
      <c r="E1649" s="7" t="inlineStr">
        <is>
          <t>Medium Claw Hair Clip JWMG/ROWD ONE SIZE</t>
        </is>
      </c>
      <c r="F1649" s="7" t="inlineStr">
        <is>
          <t>$18.00</t>
        </is>
      </c>
      <c r="G1649" s="7" t="inlineStr">
        <is>
          <t>$9.00</t>
        </is>
      </c>
      <c r="H1649" s="7" t="inlineStr">
        <is>
          <t>Jewelled Magenta/Rockwood</t>
        </is>
      </c>
      <c r="I1649" s="7">
        <f>IMAGE("https://images.lululemon.com/is/image/lululemon/73564",1)</f>
        <v/>
      </c>
      <c r="J1649" s="7" t="inlineStr">
        <is>
          <t>O/S</t>
        </is>
      </c>
      <c r="K1649" s="7" t="inlineStr">
        <is>
          <t>186/635</t>
        </is>
      </c>
      <c r="L1649" s="7" t="inlineStr">
        <is>
          <t>Yes</t>
        </is>
      </c>
      <c r="M1649" s="7" t="inlineStr">
        <is>
          <t>Wavy, textured, curly, or straight—whatever kind of hair you've got, this clip will keep it together.</t>
        </is>
      </c>
      <c r="N1649" s="7" t="inlineStr">
        <is>
          <t>Medium-Claw-Hair-Clip</t>
        </is>
      </c>
      <c r="O1649" s="7" t="inlineStr">
        <is>
          <t>Hair Clips</t>
        </is>
      </c>
    </row>
    <row r="1650" ht="80" customHeight="1">
      <c r="A1650" s="6">
        <f>IMAGE("https://images.lululemon.com/is/image/lululemon/LW9FHKS_073564_1?wid=320&amp;op_usm=0.8",1)</f>
        <v/>
      </c>
      <c r="B1650" s="6" t="inlineStr">
        <is>
          <t>Medium Claw Hair Clip</t>
        </is>
      </c>
      <c r="C1650" s="6" t="inlineStr">
        <is>
          <t>157707550</t>
        </is>
      </c>
      <c r="D1650" s="6" t="inlineStr">
        <is>
          <t>157707550-frenchpress/burntcaramel</t>
        </is>
      </c>
      <c r="E1650" s="6" t="inlineStr">
        <is>
          <t>Medium Claw Hair Clip JWMG/ROWD ONE SIZE</t>
        </is>
      </c>
      <c r="F1650" s="6" t="inlineStr">
        <is>
          <t>$18.00</t>
        </is>
      </c>
      <c r="G1650" s="6" t="inlineStr">
        <is>
          <t>$9.00</t>
        </is>
      </c>
      <c r="H1650" s="6" t="inlineStr">
        <is>
          <t>French Press/Burnt Caramel</t>
        </is>
      </c>
      <c r="I1650" s="6">
        <f>IMAGE("https://images.lululemon.com/is/image/lululemon/65675",1)</f>
        <v/>
      </c>
      <c r="J1650" s="6" t="inlineStr">
        <is>
          <t>O/S</t>
        </is>
      </c>
      <c r="K1650" s="6" t="inlineStr">
        <is>
          <t>449/635</t>
        </is>
      </c>
      <c r="L1650" s="6" t="inlineStr">
        <is>
          <t>Yes</t>
        </is>
      </c>
      <c r="M1650" s="6" t="inlineStr">
        <is>
          <t>Wavy, textured, curly, or straight—whatever kind of hair you've got, this clip will keep it together.</t>
        </is>
      </c>
      <c r="N1650" s="6" t="inlineStr">
        <is>
          <t>Medium-Claw-Hair-Clip</t>
        </is>
      </c>
      <c r="O1650" s="6" t="inlineStr">
        <is>
          <t>Hair Clips</t>
        </is>
      </c>
    </row>
    <row r="1651" ht="80" customHeight="1">
      <c r="A1651" s="7">
        <f>IMAGE("https://images.lululemon.com/is/image/lululemon/LW1FU2S_0001_1?wid=320&amp;op_usm=0.8",1)</f>
        <v/>
      </c>
      <c r="B1651" s="7" t="inlineStr">
        <is>
          <t>lululemon Align™ Twist-Strap Cropped Tank Top *Light Support, B/C Cup</t>
        </is>
      </c>
      <c r="C1651" s="7" t="inlineStr">
        <is>
          <t>158035748</t>
        </is>
      </c>
      <c r="D1651" s="7" t="inlineStr">
        <is>
          <t>158035748-black</t>
        </is>
      </c>
      <c r="E1651" s="7" t="inlineStr">
        <is>
          <t>lululemon Align™ Twist-Strap Crop Tank BLK XS</t>
        </is>
      </c>
      <c r="F1651" s="7" t="inlineStr">
        <is>
          <t>$68.00</t>
        </is>
      </c>
      <c r="G1651" s="7" t="inlineStr">
        <is>
          <t>$34.00</t>
        </is>
      </c>
      <c r="H1651" s="7" t="inlineStr">
        <is>
          <t>Black</t>
        </is>
      </c>
      <c r="I1651" s="7">
        <f>IMAGE("https://images.lululemon.com/is/image/lululemon/0001",1)</f>
        <v/>
      </c>
      <c r="J1651" s="7" t="inlineStr">
        <is>
          <t>XS</t>
        </is>
      </c>
      <c r="K1651" s="7" t="inlineStr">
        <is>
          <t>5/243</t>
        </is>
      </c>
      <c r="L1651" s="7" t="inlineStr">
        <is>
          <t>Yes</t>
        </is>
      </c>
      <c r="M1651" s="7" t="inlineStr">
        <is>
          <t>When feeling nothing is everything. This version of our buttery-soft lululemon Align™ tank has twisted straps and a back keyhole.</t>
        </is>
      </c>
      <c r="N1651" s="7" t="inlineStr">
        <is>
          <t>lululemon-Align-Twist-Strap-Cropped-Tank-Top-LS-BC</t>
        </is>
      </c>
      <c r="O1651" s="7" t="inlineStr"/>
    </row>
    <row r="1652" ht="80" customHeight="1">
      <c r="A1652" s="4">
        <f>IMAGE("https://images.lululemon.com/is/image/lululemon/LW1FU2S_0001_1?wid=320&amp;op_usm=0.8",1)</f>
        <v/>
      </c>
      <c r="B1652" s="4" t="inlineStr">
        <is>
          <t>lululemon Align™ Twist-Strap Cropped Tank Top *Light Support, B/C Cup</t>
        </is>
      </c>
      <c r="C1652" s="4" t="inlineStr">
        <is>
          <t>158035746</t>
        </is>
      </c>
      <c r="D1652" s="4" t="inlineStr">
        <is>
          <t>158035746-black</t>
        </is>
      </c>
      <c r="E1652" s="4" t="inlineStr">
        <is>
          <t>lululemon Align™ Twist-Strap Crop Tank BLK XS</t>
        </is>
      </c>
      <c r="F1652" s="4" t="inlineStr">
        <is>
          <t>$68.00</t>
        </is>
      </c>
      <c r="G1652" s="4" t="inlineStr">
        <is>
          <t>$34.00</t>
        </is>
      </c>
      <c r="H1652" s="4" t="inlineStr">
        <is>
          <t>Black</t>
        </is>
      </c>
      <c r="I1652" s="4">
        <f>IMAGE("https://images.lululemon.com/is/image/lululemon/0001",1)</f>
        <v/>
      </c>
      <c r="J1652" s="4" t="inlineStr">
        <is>
          <t>S</t>
        </is>
      </c>
      <c r="K1652" s="4" t="inlineStr">
        <is>
          <t>33/243</t>
        </is>
      </c>
      <c r="L1652" s="4" t="inlineStr">
        <is>
          <t>Yes</t>
        </is>
      </c>
      <c r="M1652" s="4" t="inlineStr">
        <is>
          <t>When feeling nothing is everything. This version of our buttery-soft lululemon Align™ tank has twisted straps and a back keyhole.</t>
        </is>
      </c>
      <c r="N1652" s="4" t="inlineStr">
        <is>
          <t>lululemon-Align-Twist-Strap-Cropped-Tank-Top-LS-BC</t>
        </is>
      </c>
      <c r="O1652" s="4" t="inlineStr"/>
    </row>
    <row r="1653" ht="80" customHeight="1">
      <c r="A1653" s="7">
        <f>IMAGE("https://images.lululemon.com/is/image/lululemon/LW1FU2S_0001_1?wid=320&amp;op_usm=0.8",1)</f>
        <v/>
      </c>
      <c r="B1653" s="7" t="inlineStr">
        <is>
          <t>lululemon Align™ Twist-Strap Cropped Tank Top *Light Support, B/C Cup</t>
        </is>
      </c>
      <c r="C1653" s="7" t="inlineStr">
        <is>
          <t>158035745</t>
        </is>
      </c>
      <c r="D1653" s="7" t="inlineStr">
        <is>
          <t>158035745-black</t>
        </is>
      </c>
      <c r="E1653" s="7" t="inlineStr">
        <is>
          <t>lululemon Align™ Twist-Strap Crop Tank BLK XS</t>
        </is>
      </c>
      <c r="F1653" s="7" t="inlineStr">
        <is>
          <t>$68.00</t>
        </is>
      </c>
      <c r="G1653" s="7" t="inlineStr">
        <is>
          <t>$34.00</t>
        </is>
      </c>
      <c r="H1653" s="7" t="inlineStr">
        <is>
          <t>Black</t>
        </is>
      </c>
      <c r="I1653" s="7">
        <f>IMAGE("https://images.lululemon.com/is/image/lululemon/0001",1)</f>
        <v/>
      </c>
      <c r="J1653" s="7" t="inlineStr">
        <is>
          <t>M</t>
        </is>
      </c>
      <c r="K1653" s="7" t="inlineStr">
        <is>
          <t>43/243</t>
        </is>
      </c>
      <c r="L1653" s="7" t="inlineStr">
        <is>
          <t>Yes</t>
        </is>
      </c>
      <c r="M1653" s="7" t="inlineStr">
        <is>
          <t>When feeling nothing is everything. This version of our buttery-soft lululemon Align™ tank has twisted straps and a back keyhole.</t>
        </is>
      </c>
      <c r="N1653" s="7" t="inlineStr">
        <is>
          <t>lululemon-Align-Twist-Strap-Cropped-Tank-Top-LS-BC</t>
        </is>
      </c>
      <c r="O1653" s="7" t="inlineStr"/>
    </row>
    <row r="1654" ht="80" customHeight="1">
      <c r="A1654" s="4">
        <f>IMAGE("https://images.lululemon.com/is/image/lululemon/LW1FU2S_0001_1?wid=320&amp;op_usm=0.8",1)</f>
        <v/>
      </c>
      <c r="B1654" s="4" t="inlineStr">
        <is>
          <t>lululemon Align™ Twist-Strap Cropped Tank Top *Light Support, B/C Cup</t>
        </is>
      </c>
      <c r="C1654" s="4" t="inlineStr">
        <is>
          <t>158035744</t>
        </is>
      </c>
      <c r="D1654" s="4" t="inlineStr">
        <is>
          <t>158035744-black</t>
        </is>
      </c>
      <c r="E1654" s="4" t="inlineStr">
        <is>
          <t>lululemon Align™ Twist-Strap Crop Tank BLK XS</t>
        </is>
      </c>
      <c r="F1654" s="4" t="inlineStr">
        <is>
          <t>$68.00</t>
        </is>
      </c>
      <c r="G1654" s="4" t="inlineStr">
        <is>
          <t>$34.00</t>
        </is>
      </c>
      <c r="H1654" s="4" t="inlineStr">
        <is>
          <t>Black</t>
        </is>
      </c>
      <c r="I1654" s="4">
        <f>IMAGE("https://images.lululemon.com/is/image/lululemon/0001",1)</f>
        <v/>
      </c>
      <c r="J1654" s="4" t="inlineStr">
        <is>
          <t>L</t>
        </is>
      </c>
      <c r="K1654" s="4" t="inlineStr">
        <is>
          <t>42/243</t>
        </is>
      </c>
      <c r="L1654" s="4" t="inlineStr">
        <is>
          <t>Yes</t>
        </is>
      </c>
      <c r="M1654" s="4" t="inlineStr">
        <is>
          <t>When feeling nothing is everything. This version of our buttery-soft lululemon Align™ tank has twisted straps and a back keyhole.</t>
        </is>
      </c>
      <c r="N1654" s="4" t="inlineStr">
        <is>
          <t>lululemon-Align-Twist-Strap-Cropped-Tank-Top-LS-BC</t>
        </is>
      </c>
      <c r="O1654" s="4" t="inlineStr"/>
    </row>
    <row r="1655" ht="80" customHeight="1">
      <c r="A1655" s="7">
        <f>IMAGE("https://images.lululemon.com/is/image/lululemon/LW1FU2S_0001_1?wid=320&amp;op_usm=0.8",1)</f>
        <v/>
      </c>
      <c r="B1655" s="7" t="inlineStr">
        <is>
          <t>lululemon Align™ Twist-Strap Cropped Tank Top *Light Support, B/C Cup</t>
        </is>
      </c>
      <c r="C1655" s="7" t="inlineStr">
        <is>
          <t>158035747</t>
        </is>
      </c>
      <c r="D1655" s="7" t="inlineStr">
        <is>
          <t>158035747-black</t>
        </is>
      </c>
      <c r="E1655" s="7" t="inlineStr">
        <is>
          <t>lululemon Align™ Twist-Strap Crop Tank BLK XS</t>
        </is>
      </c>
      <c r="F1655" s="7" t="inlineStr">
        <is>
          <t>$68.00</t>
        </is>
      </c>
      <c r="G1655" s="7" t="inlineStr">
        <is>
          <t>$34.00</t>
        </is>
      </c>
      <c r="H1655" s="7" t="inlineStr">
        <is>
          <t>Black</t>
        </is>
      </c>
      <c r="I1655" s="7">
        <f>IMAGE("https://images.lululemon.com/is/image/lululemon/0001",1)</f>
        <v/>
      </c>
      <c r="J1655" s="7" t="inlineStr">
        <is>
          <t>XL</t>
        </is>
      </c>
      <c r="K1655" s="7" t="inlineStr">
        <is>
          <t>38/243</t>
        </is>
      </c>
      <c r="L1655" s="7" t="inlineStr">
        <is>
          <t>Yes</t>
        </is>
      </c>
      <c r="M1655" s="7" t="inlineStr">
        <is>
          <t>When feeling nothing is everything. This version of our buttery-soft lululemon Align™ tank has twisted straps and a back keyhole.</t>
        </is>
      </c>
      <c r="N1655" s="7" t="inlineStr">
        <is>
          <t>lululemon-Align-Twist-Strap-Cropped-Tank-Top-LS-BC</t>
        </is>
      </c>
      <c r="O1655" s="7" t="inlineStr"/>
    </row>
    <row r="1656" ht="80" customHeight="1">
      <c r="A1656" s="4">
        <f>IMAGE("https://images.lululemon.com/is/image/lululemon/LW1FU2S_0001_1?wid=320&amp;op_usm=0.8",1)</f>
        <v/>
      </c>
      <c r="B1656" s="4" t="inlineStr">
        <is>
          <t>lululemon Align™ Twist-Strap Cropped Tank Top *Light Support, B/C Cup</t>
        </is>
      </c>
      <c r="C1656" s="4" t="inlineStr">
        <is>
          <t>158035755</t>
        </is>
      </c>
      <c r="D1656" s="4" t="inlineStr">
        <is>
          <t>158035755-grapemist</t>
        </is>
      </c>
      <c r="E1656" s="4" t="inlineStr">
        <is>
          <t>lululemon Align™ Twist-Strap Crop Tank BLK XS</t>
        </is>
      </c>
      <c r="F1656" s="4" t="inlineStr">
        <is>
          <t>$68.00</t>
        </is>
      </c>
      <c r="G1656" s="4" t="inlineStr">
        <is>
          <t>$34.00</t>
        </is>
      </c>
      <c r="H1656" s="4" t="inlineStr">
        <is>
          <t>Grape Mist</t>
        </is>
      </c>
      <c r="I1656" s="4">
        <f>IMAGE("https://images.lululemon.com/is/image/lululemon/0554",1)</f>
        <v/>
      </c>
      <c r="J1656" s="4" t="inlineStr">
        <is>
          <t>XS</t>
        </is>
      </c>
      <c r="K1656" s="4" t="inlineStr">
        <is>
          <t>1/243</t>
        </is>
      </c>
      <c r="L1656" s="4" t="inlineStr">
        <is>
          <t>Yes</t>
        </is>
      </c>
      <c r="M1656" s="4" t="inlineStr">
        <is>
          <t>When feeling nothing is everything. This version of our buttery-soft lululemon Align™ tank has twisted straps and a back keyhole.</t>
        </is>
      </c>
      <c r="N1656" s="4" t="inlineStr">
        <is>
          <t>lululemon-Align-Twist-Strap-Cropped-Tank-Top-LS-BC</t>
        </is>
      </c>
      <c r="O1656" s="4" t="inlineStr"/>
    </row>
    <row r="1657" ht="80" customHeight="1">
      <c r="A1657" s="7">
        <f>IMAGE("https://images.lululemon.com/is/image/lululemon/LW1FU2S_0001_1?wid=320&amp;op_usm=0.8",1)</f>
        <v/>
      </c>
      <c r="B1657" s="7" t="inlineStr">
        <is>
          <t>lululemon Align™ Twist-Strap Cropped Tank Top *Light Support, B/C Cup</t>
        </is>
      </c>
      <c r="C1657" s="7" t="inlineStr">
        <is>
          <t>158035752</t>
        </is>
      </c>
      <c r="D1657" s="7" t="inlineStr">
        <is>
          <t>158035752-grapemist</t>
        </is>
      </c>
      <c r="E1657" s="7" t="inlineStr">
        <is>
          <t>lululemon Align™ Twist-Strap Crop Tank BLK XS</t>
        </is>
      </c>
      <c r="F1657" s="7" t="inlineStr">
        <is>
          <t>$68.00</t>
        </is>
      </c>
      <c r="G1657" s="7" t="inlineStr">
        <is>
          <t>$34.00</t>
        </is>
      </c>
      <c r="H1657" s="7" t="inlineStr">
        <is>
          <t>Grape Mist</t>
        </is>
      </c>
      <c r="I1657" s="7">
        <f>IMAGE("https://images.lululemon.com/is/image/lululemon/0554",1)</f>
        <v/>
      </c>
      <c r="J1657" s="7" t="inlineStr">
        <is>
          <t>S</t>
        </is>
      </c>
      <c r="K1657" s="7" t="inlineStr">
        <is>
          <t>6/243</t>
        </is>
      </c>
      <c r="L1657" s="7" t="inlineStr">
        <is>
          <t>Yes</t>
        </is>
      </c>
      <c r="M1657" s="7" t="inlineStr">
        <is>
          <t>When feeling nothing is everything. This version of our buttery-soft lululemon Align™ tank has twisted straps and a back keyhole.</t>
        </is>
      </c>
      <c r="N1657" s="7" t="inlineStr">
        <is>
          <t>lululemon-Align-Twist-Strap-Cropped-Tank-Top-LS-BC</t>
        </is>
      </c>
      <c r="O1657" s="7" t="inlineStr"/>
    </row>
    <row r="1658" ht="80" customHeight="1">
      <c r="A1658" s="4">
        <f>IMAGE("https://images.lululemon.com/is/image/lululemon/LW1FU2S_0001_1?wid=320&amp;op_usm=0.8",1)</f>
        <v/>
      </c>
      <c r="B1658" s="4" t="inlineStr">
        <is>
          <t>lululemon Align™ Twist-Strap Cropped Tank Top *Light Support, B/C Cup</t>
        </is>
      </c>
      <c r="C1658" s="4" t="inlineStr">
        <is>
          <t>158035751</t>
        </is>
      </c>
      <c r="D1658" s="4" t="inlineStr">
        <is>
          <t>158035751-grapemist</t>
        </is>
      </c>
      <c r="E1658" s="4" t="inlineStr">
        <is>
          <t>lululemon Align™ Twist-Strap Crop Tank BLK XS</t>
        </is>
      </c>
      <c r="F1658" s="4" t="inlineStr">
        <is>
          <t>$68.00</t>
        </is>
      </c>
      <c r="G1658" s="4" t="inlineStr">
        <is>
          <t>$34.00</t>
        </is>
      </c>
      <c r="H1658" s="4" t="inlineStr">
        <is>
          <t>Grape Mist</t>
        </is>
      </c>
      <c r="I1658" s="4">
        <f>IMAGE("https://images.lululemon.com/is/image/lululemon/0554",1)</f>
        <v/>
      </c>
      <c r="J1658" s="4" t="inlineStr">
        <is>
          <t>M</t>
        </is>
      </c>
      <c r="K1658" s="4" t="inlineStr">
        <is>
          <t>17/243</t>
        </is>
      </c>
      <c r="L1658" s="4" t="inlineStr">
        <is>
          <t>Yes</t>
        </is>
      </c>
      <c r="M1658" s="4" t="inlineStr">
        <is>
          <t>When feeling nothing is everything. This version of our buttery-soft lululemon Align™ tank has twisted straps and a back keyhole.</t>
        </is>
      </c>
      <c r="N1658" s="4" t="inlineStr">
        <is>
          <t>lululemon-Align-Twist-Strap-Cropped-Tank-Top-LS-BC</t>
        </is>
      </c>
      <c r="O1658" s="4" t="inlineStr"/>
    </row>
    <row r="1659" ht="80" customHeight="1">
      <c r="A1659" s="7">
        <f>IMAGE("https://images.lululemon.com/is/image/lululemon/LW1FU2S_0001_1?wid=320&amp;op_usm=0.8",1)</f>
        <v/>
      </c>
      <c r="B1659" s="7" t="inlineStr">
        <is>
          <t>lululemon Align™ Twist-Strap Cropped Tank Top *Light Support, B/C Cup</t>
        </is>
      </c>
      <c r="C1659" s="7" t="inlineStr">
        <is>
          <t>158035749</t>
        </is>
      </c>
      <c r="D1659" s="7" t="inlineStr">
        <is>
          <t>158035749-grapemist</t>
        </is>
      </c>
      <c r="E1659" s="7" t="inlineStr">
        <is>
          <t>lululemon Align™ Twist-Strap Crop Tank BLK XS</t>
        </is>
      </c>
      <c r="F1659" s="7" t="inlineStr">
        <is>
          <t>$68.00</t>
        </is>
      </c>
      <c r="G1659" s="7" t="inlineStr">
        <is>
          <t>$34.00</t>
        </is>
      </c>
      <c r="H1659" s="7" t="inlineStr">
        <is>
          <t>Grape Mist</t>
        </is>
      </c>
      <c r="I1659" s="7">
        <f>IMAGE("https://images.lululemon.com/is/image/lululemon/0554",1)</f>
        <v/>
      </c>
      <c r="J1659" s="7" t="inlineStr">
        <is>
          <t>L</t>
        </is>
      </c>
      <c r="K1659" s="7" t="inlineStr">
        <is>
          <t>29/243</t>
        </is>
      </c>
      <c r="L1659" s="7" t="inlineStr">
        <is>
          <t>Yes</t>
        </is>
      </c>
      <c r="M1659" s="7" t="inlineStr">
        <is>
          <t>When feeling nothing is everything. This version of our buttery-soft lululemon Align™ tank has twisted straps and a back keyhole.</t>
        </is>
      </c>
      <c r="N1659" s="7" t="inlineStr">
        <is>
          <t>lululemon-Align-Twist-Strap-Cropped-Tank-Top-LS-BC</t>
        </is>
      </c>
      <c r="O1659" s="7" t="inlineStr"/>
    </row>
    <row r="1660" ht="80" customHeight="1">
      <c r="A1660" s="6">
        <f>IMAGE("https://images.lululemon.com/is/image/lululemon/LW1FU2S_0001_1?wid=320&amp;op_usm=0.8",1)</f>
        <v/>
      </c>
      <c r="B1660" s="6" t="inlineStr">
        <is>
          <t>lululemon Align™ Twist-Strap Cropped Tank Top *Light Support, B/C Cup</t>
        </is>
      </c>
      <c r="C1660" s="6" t="inlineStr">
        <is>
          <t>158035753</t>
        </is>
      </c>
      <c r="D1660" s="6" t="inlineStr">
        <is>
          <t>158035753-grapemist</t>
        </is>
      </c>
      <c r="E1660" s="6" t="inlineStr">
        <is>
          <t>lululemon Align™ Twist-Strap Crop Tank BLK XS</t>
        </is>
      </c>
      <c r="F1660" s="6" t="inlineStr">
        <is>
          <t>$68.00</t>
        </is>
      </c>
      <c r="G1660" s="6" t="inlineStr">
        <is>
          <t>$34.00</t>
        </is>
      </c>
      <c r="H1660" s="6" t="inlineStr">
        <is>
          <t>Grape Mist</t>
        </is>
      </c>
      <c r="I1660" s="6">
        <f>IMAGE("https://images.lululemon.com/is/image/lululemon/0554",1)</f>
        <v/>
      </c>
      <c r="J1660" s="6" t="inlineStr">
        <is>
          <t>XL</t>
        </is>
      </c>
      <c r="K1660" s="6" t="inlineStr">
        <is>
          <t>29/243</t>
        </is>
      </c>
      <c r="L1660" s="6" t="inlineStr">
        <is>
          <t>Yes</t>
        </is>
      </c>
      <c r="M1660" s="6" t="inlineStr">
        <is>
          <t>When feeling nothing is everything. This version of our buttery-soft lululemon Align™ tank has twisted straps and a back keyhole.</t>
        </is>
      </c>
      <c r="N1660" s="6" t="inlineStr">
        <is>
          <t>lululemon-Align-Twist-Strap-Cropped-Tank-Top-LS-BC</t>
        </is>
      </c>
      <c r="O1660" s="6" t="inlineStr"/>
    </row>
    <row r="1661" ht="80" customHeight="1">
      <c r="A1661" s="7">
        <f>IMAGE("https://images.lululemon.com/is/image/lululemon/LW2E45S_072761_1?wid=320&amp;op_usm=0.8",1)</f>
        <v/>
      </c>
      <c r="B1661" s="7" t="inlineStr">
        <is>
          <t>lululemon Glow Up™ Bra *Medium Support, B/C Cup</t>
        </is>
      </c>
      <c r="C1661" s="7" t="inlineStr">
        <is>
          <t>158094194</t>
        </is>
      </c>
      <c r="D1661" s="7" t="inlineStr">
        <is>
          <t>158094194-walnutcrunch</t>
        </is>
      </c>
      <c r="E1661" s="7" t="inlineStr">
        <is>
          <t>Glow Up Bra WALC XS</t>
        </is>
      </c>
      <c r="F1661" s="7" t="inlineStr">
        <is>
          <t>$68.00</t>
        </is>
      </c>
      <c r="G1661" s="7" t="inlineStr">
        <is>
          <t>$34.00</t>
        </is>
      </c>
      <c r="H1661" s="7" t="inlineStr">
        <is>
          <t>Walnut Crunch</t>
        </is>
      </c>
      <c r="I1661" s="7">
        <f>IMAGE("https://images.lululemon.com/is/image/lululemon/72761",1)</f>
        <v/>
      </c>
      <c r="J1661" s="7" t="inlineStr">
        <is>
          <t>XS</t>
        </is>
      </c>
      <c r="K1661" s="7" t="inlineStr">
        <is>
          <t>16/604</t>
        </is>
      </c>
      <c r="L1661" s="7" t="inlineStr">
        <is>
          <t>Yes</t>
        </is>
      </c>
      <c r="M1661" s="7" t="inlineStr">
        <is>
          <t>Confident in every way, shape, and form. We designed this sports bra to give you a supportive fit with a smooth, sleek look.</t>
        </is>
      </c>
      <c r="N1661" s="7" t="inlineStr">
        <is>
          <t>lululemon-Glow-Up-Bra-Light-Medium-BC-Cup</t>
        </is>
      </c>
      <c r="O1661" s="7" t="inlineStr">
        <is>
          <t>Bralettes</t>
        </is>
      </c>
    </row>
    <row r="1662" ht="80" customHeight="1">
      <c r="A1662" s="4">
        <f>IMAGE("https://images.lululemon.com/is/image/lululemon/LW2E45S_072761_1?wid=320&amp;op_usm=0.8",1)</f>
        <v/>
      </c>
      <c r="B1662" s="4" t="inlineStr">
        <is>
          <t>lululemon Glow Up™ Bra *Medium Support, B/C Cup</t>
        </is>
      </c>
      <c r="C1662" s="4" t="inlineStr">
        <is>
          <t>158094192</t>
        </is>
      </c>
      <c r="D1662" s="4" t="inlineStr">
        <is>
          <t>158094192-walnutcrunch</t>
        </is>
      </c>
      <c r="E1662" s="4" t="inlineStr">
        <is>
          <t>Glow Up Bra WALC XS</t>
        </is>
      </c>
      <c r="F1662" s="4" t="inlineStr">
        <is>
          <t>$68.00</t>
        </is>
      </c>
      <c r="G1662" s="4" t="inlineStr">
        <is>
          <t>$34.00</t>
        </is>
      </c>
      <c r="H1662" s="4" t="inlineStr">
        <is>
          <t>Walnut Crunch</t>
        </is>
      </c>
      <c r="I1662" s="4">
        <f>IMAGE("https://images.lululemon.com/is/image/lululemon/72761",1)</f>
        <v/>
      </c>
      <c r="J1662" s="4" t="inlineStr">
        <is>
          <t>S</t>
        </is>
      </c>
      <c r="K1662" s="4" t="inlineStr">
        <is>
          <t>51/604</t>
        </is>
      </c>
      <c r="L1662" s="4" t="inlineStr">
        <is>
          <t>Yes</t>
        </is>
      </c>
      <c r="M1662" s="4" t="inlineStr">
        <is>
          <t>Confident in every way, shape, and form. We designed this sports bra to give you a supportive fit with a smooth, sleek look.</t>
        </is>
      </c>
      <c r="N1662" s="4" t="inlineStr">
        <is>
          <t>lululemon-Glow-Up-Bra-Light-Medium-BC-Cup</t>
        </is>
      </c>
      <c r="O1662" s="4" t="inlineStr">
        <is>
          <t>Bralettes</t>
        </is>
      </c>
    </row>
    <row r="1663" ht="80" customHeight="1">
      <c r="A1663" s="7">
        <f>IMAGE("https://images.lululemon.com/is/image/lululemon/LW2E45S_072761_1?wid=320&amp;op_usm=0.8",1)</f>
        <v/>
      </c>
      <c r="B1663" s="7" t="inlineStr">
        <is>
          <t>lululemon Glow Up™ Bra *Medium Support, B/C Cup</t>
        </is>
      </c>
      <c r="C1663" s="7" t="inlineStr">
        <is>
          <t>158094191</t>
        </is>
      </c>
      <c r="D1663" s="7" t="inlineStr">
        <is>
          <t>158094191-walnutcrunch</t>
        </is>
      </c>
      <c r="E1663" s="7" t="inlineStr">
        <is>
          <t>Glow Up Bra WALC XS</t>
        </is>
      </c>
      <c r="F1663" s="7" t="inlineStr">
        <is>
          <t>$68.00</t>
        </is>
      </c>
      <c r="G1663" s="7" t="inlineStr">
        <is>
          <t>$34.00</t>
        </is>
      </c>
      <c r="H1663" s="7" t="inlineStr">
        <is>
          <t>Walnut Crunch</t>
        </is>
      </c>
      <c r="I1663" s="7">
        <f>IMAGE("https://images.lululemon.com/is/image/lululemon/72761",1)</f>
        <v/>
      </c>
      <c r="J1663" s="7" t="inlineStr">
        <is>
          <t>M</t>
        </is>
      </c>
      <c r="K1663" s="7" t="inlineStr">
        <is>
          <t>106/604</t>
        </is>
      </c>
      <c r="L1663" s="7" t="inlineStr">
        <is>
          <t>Yes</t>
        </is>
      </c>
      <c r="M1663" s="7" t="inlineStr">
        <is>
          <t>Confident in every way, shape, and form. We designed this sports bra to give you a supportive fit with a smooth, sleek look.</t>
        </is>
      </c>
      <c r="N1663" s="7" t="inlineStr">
        <is>
          <t>lululemon-Glow-Up-Bra-Light-Medium-BC-Cup</t>
        </is>
      </c>
      <c r="O1663" s="7" t="inlineStr">
        <is>
          <t>Bralettes</t>
        </is>
      </c>
    </row>
    <row r="1664" ht="80" customHeight="1">
      <c r="A1664" s="4">
        <f>IMAGE("https://images.lululemon.com/is/image/lululemon/LW2E45S_072761_1?wid=320&amp;op_usm=0.8",1)</f>
        <v/>
      </c>
      <c r="B1664" s="4" t="inlineStr">
        <is>
          <t>lululemon Glow Up™ Bra *Medium Support, B/C Cup</t>
        </is>
      </c>
      <c r="C1664" s="4" t="inlineStr">
        <is>
          <t>158094189</t>
        </is>
      </c>
      <c r="D1664" s="4" t="inlineStr">
        <is>
          <t>158094189-walnutcrunch</t>
        </is>
      </c>
      <c r="E1664" s="4" t="inlineStr">
        <is>
          <t>Glow Up Bra WALC XS</t>
        </is>
      </c>
      <c r="F1664" s="4" t="inlineStr">
        <is>
          <t>$68.00</t>
        </is>
      </c>
      <c r="G1664" s="4" t="inlineStr">
        <is>
          <t>$34.00</t>
        </is>
      </c>
      <c r="H1664" s="4" t="inlineStr">
        <is>
          <t>Walnut Crunch</t>
        </is>
      </c>
      <c r="I1664" s="4">
        <f>IMAGE("https://images.lululemon.com/is/image/lululemon/72761",1)</f>
        <v/>
      </c>
      <c r="J1664" s="4" t="inlineStr">
        <is>
          <t>L</t>
        </is>
      </c>
      <c r="K1664" s="4" t="inlineStr">
        <is>
          <t>67/604</t>
        </is>
      </c>
      <c r="L1664" s="4" t="inlineStr">
        <is>
          <t>Yes</t>
        </is>
      </c>
      <c r="M1664" s="4" t="inlineStr">
        <is>
          <t>Confident in every way, shape, and form. We designed this sports bra to give you a supportive fit with a smooth, sleek look.</t>
        </is>
      </c>
      <c r="N1664" s="4" t="inlineStr">
        <is>
          <t>lululemon-Glow-Up-Bra-Light-Medium-BC-Cup</t>
        </is>
      </c>
      <c r="O1664" s="4" t="inlineStr">
        <is>
          <t>Bralettes</t>
        </is>
      </c>
    </row>
    <row r="1665" ht="80" customHeight="1">
      <c r="A1665" s="7">
        <f>IMAGE("https://images.lululemon.com/is/image/lululemon/LW2E45S_072761_1?wid=320&amp;op_usm=0.8",1)</f>
        <v/>
      </c>
      <c r="B1665" s="7" t="inlineStr">
        <is>
          <t>lululemon Glow Up™ Bra *Medium Support, B/C Cup</t>
        </is>
      </c>
      <c r="C1665" s="7" t="inlineStr">
        <is>
          <t>158094193</t>
        </is>
      </c>
      <c r="D1665" s="7" t="inlineStr">
        <is>
          <t>158094193-walnutcrunch</t>
        </is>
      </c>
      <c r="E1665" s="7" t="inlineStr">
        <is>
          <t>Glow Up Bra WALC XS</t>
        </is>
      </c>
      <c r="F1665" s="7" t="inlineStr">
        <is>
          <t>$68.00</t>
        </is>
      </c>
      <c r="G1665" s="7" t="inlineStr">
        <is>
          <t>$34.00</t>
        </is>
      </c>
      <c r="H1665" s="7" t="inlineStr">
        <is>
          <t>Walnut Crunch</t>
        </is>
      </c>
      <c r="I1665" s="7">
        <f>IMAGE("https://images.lululemon.com/is/image/lululemon/72761",1)</f>
        <v/>
      </c>
      <c r="J1665" s="7" t="inlineStr">
        <is>
          <t>XL</t>
        </is>
      </c>
      <c r="K1665" s="7" t="inlineStr">
        <is>
          <t>41/604</t>
        </is>
      </c>
      <c r="L1665" s="7" t="inlineStr">
        <is>
          <t>Yes</t>
        </is>
      </c>
      <c r="M1665" s="7" t="inlineStr">
        <is>
          <t>Confident in every way, shape, and form. We designed this sports bra to give you a supportive fit with a smooth, sleek look.</t>
        </is>
      </c>
      <c r="N1665" s="7" t="inlineStr">
        <is>
          <t>lululemon-Glow-Up-Bra-Light-Medium-BC-Cup</t>
        </is>
      </c>
      <c r="O1665" s="7" t="inlineStr">
        <is>
          <t>Bralettes</t>
        </is>
      </c>
    </row>
    <row r="1666" ht="80" customHeight="1">
      <c r="A1666" s="4">
        <f>IMAGE("https://images.lululemon.com/is/image/lululemon/LW2E45S_072761_1?wid=320&amp;op_usm=0.8",1)</f>
        <v/>
      </c>
      <c r="B1666" s="4" t="inlineStr">
        <is>
          <t>lululemon Glow Up™ Bra *Medium Support, B/C Cup</t>
        </is>
      </c>
      <c r="C1666" s="4" t="inlineStr">
        <is>
          <t>158094187</t>
        </is>
      </c>
      <c r="D1666" s="4" t="inlineStr">
        <is>
          <t>158094187-ashenrose</t>
        </is>
      </c>
      <c r="E1666" s="4" t="inlineStr">
        <is>
          <t>Glow Up Bra WALC XS</t>
        </is>
      </c>
      <c r="F1666" s="4" t="inlineStr">
        <is>
          <t>$68.00</t>
        </is>
      </c>
      <c r="G1666" s="4" t="inlineStr">
        <is>
          <t>$34.00</t>
        </is>
      </c>
      <c r="H1666" s="4" t="inlineStr">
        <is>
          <t>Ashen Rose</t>
        </is>
      </c>
      <c r="I1666" s="4">
        <f>IMAGE("https://images.lululemon.com/is/image/lululemon/45797",1)</f>
        <v/>
      </c>
      <c r="J1666" s="4" t="inlineStr">
        <is>
          <t>XS</t>
        </is>
      </c>
      <c r="K1666" s="4" t="inlineStr">
        <is>
          <t>20/604</t>
        </is>
      </c>
      <c r="L1666" s="4" t="inlineStr">
        <is>
          <t>Yes</t>
        </is>
      </c>
      <c r="M1666" s="4" t="inlineStr">
        <is>
          <t>Confident in every way, shape, and form. We designed this sports bra to give you a supportive fit with a smooth, sleek look.</t>
        </is>
      </c>
      <c r="N1666" s="4" t="inlineStr">
        <is>
          <t>lululemon-Glow-Up-Bra-Light-Medium-BC-Cup</t>
        </is>
      </c>
      <c r="O1666" s="4" t="inlineStr">
        <is>
          <t>Bralettes</t>
        </is>
      </c>
    </row>
    <row r="1667" ht="80" customHeight="1">
      <c r="A1667" s="7">
        <f>IMAGE("https://images.lululemon.com/is/image/lululemon/LW2E45S_072761_1?wid=320&amp;op_usm=0.8",1)</f>
        <v/>
      </c>
      <c r="B1667" s="7" t="inlineStr">
        <is>
          <t>lululemon Glow Up™ Bra *Medium Support, B/C Cup</t>
        </is>
      </c>
      <c r="C1667" s="7" t="inlineStr">
        <is>
          <t>158094183</t>
        </is>
      </c>
      <c r="D1667" s="7" t="inlineStr">
        <is>
          <t>158094183-ashenrose</t>
        </is>
      </c>
      <c r="E1667" s="7" t="inlineStr">
        <is>
          <t>Glow Up Bra WALC XS</t>
        </is>
      </c>
      <c r="F1667" s="7" t="inlineStr">
        <is>
          <t>$68.00</t>
        </is>
      </c>
      <c r="G1667" s="7" t="inlineStr">
        <is>
          <t>$34.00</t>
        </is>
      </c>
      <c r="H1667" s="7" t="inlineStr">
        <is>
          <t>Ashen Rose</t>
        </is>
      </c>
      <c r="I1667" s="7">
        <f>IMAGE("https://images.lululemon.com/is/image/lululemon/45797",1)</f>
        <v/>
      </c>
      <c r="J1667" s="7" t="inlineStr">
        <is>
          <t>S</t>
        </is>
      </c>
      <c r="K1667" s="7" t="inlineStr">
        <is>
          <t>63/604</t>
        </is>
      </c>
      <c r="L1667" s="7" t="inlineStr">
        <is>
          <t>Yes</t>
        </is>
      </c>
      <c r="M1667" s="7" t="inlineStr">
        <is>
          <t>Confident in every way, shape, and form. We designed this sports bra to give you a supportive fit with a smooth, sleek look.</t>
        </is>
      </c>
      <c r="N1667" s="7" t="inlineStr">
        <is>
          <t>lululemon-Glow-Up-Bra-Light-Medium-BC-Cup</t>
        </is>
      </c>
      <c r="O1667" s="7" t="inlineStr">
        <is>
          <t>Bralettes</t>
        </is>
      </c>
    </row>
    <row r="1668" ht="80" customHeight="1">
      <c r="A1668" s="4">
        <f>IMAGE("https://images.lululemon.com/is/image/lululemon/LW2E45S_072761_1?wid=320&amp;op_usm=0.8",1)</f>
        <v/>
      </c>
      <c r="B1668" s="4" t="inlineStr">
        <is>
          <t>lululemon Glow Up™ Bra *Medium Support, B/C Cup</t>
        </is>
      </c>
      <c r="C1668" s="4" t="inlineStr">
        <is>
          <t>158094182</t>
        </is>
      </c>
      <c r="D1668" s="4" t="inlineStr">
        <is>
          <t>158094182-ashenrose</t>
        </is>
      </c>
      <c r="E1668" s="4" t="inlineStr">
        <is>
          <t>Glow Up Bra WALC XS</t>
        </is>
      </c>
      <c r="F1668" s="4" t="inlineStr">
        <is>
          <t>$68.00</t>
        </is>
      </c>
      <c r="G1668" s="4" t="inlineStr">
        <is>
          <t>$34.00</t>
        </is>
      </c>
      <c r="H1668" s="4" t="inlineStr">
        <is>
          <t>Ashen Rose</t>
        </is>
      </c>
      <c r="I1668" s="4">
        <f>IMAGE("https://images.lululemon.com/is/image/lululemon/45797",1)</f>
        <v/>
      </c>
      <c r="J1668" s="4" t="inlineStr">
        <is>
          <t>M</t>
        </is>
      </c>
      <c r="K1668" s="4" t="inlineStr">
        <is>
          <t>119/604</t>
        </is>
      </c>
      <c r="L1668" s="4" t="inlineStr">
        <is>
          <t>Yes</t>
        </is>
      </c>
      <c r="M1668" s="4" t="inlineStr">
        <is>
          <t>Confident in every way, shape, and form. We designed this sports bra to give you a supportive fit with a smooth, sleek look.</t>
        </is>
      </c>
      <c r="N1668" s="4" t="inlineStr">
        <is>
          <t>lululemon-Glow-Up-Bra-Light-Medium-BC-Cup</t>
        </is>
      </c>
      <c r="O1668" s="4" t="inlineStr">
        <is>
          <t>Bralettes</t>
        </is>
      </c>
    </row>
    <row r="1669" ht="80" customHeight="1">
      <c r="A1669" s="7">
        <f>IMAGE("https://images.lululemon.com/is/image/lululemon/LW2E45S_072761_1?wid=320&amp;op_usm=0.8",1)</f>
        <v/>
      </c>
      <c r="B1669" s="7" t="inlineStr">
        <is>
          <t>lululemon Glow Up™ Bra *Medium Support, B/C Cup</t>
        </is>
      </c>
      <c r="C1669" s="7" t="inlineStr">
        <is>
          <t>158094179</t>
        </is>
      </c>
      <c r="D1669" s="7" t="inlineStr">
        <is>
          <t>158094179-ashenrose</t>
        </is>
      </c>
      <c r="E1669" s="7" t="inlineStr">
        <is>
          <t>Glow Up Bra WALC XS</t>
        </is>
      </c>
      <c r="F1669" s="7" t="inlineStr">
        <is>
          <t>$68.00</t>
        </is>
      </c>
      <c r="G1669" s="7" t="inlineStr">
        <is>
          <t>$34.00</t>
        </is>
      </c>
      <c r="H1669" s="7" t="inlineStr">
        <is>
          <t>Ashen Rose</t>
        </is>
      </c>
      <c r="I1669" s="7">
        <f>IMAGE("https://images.lululemon.com/is/image/lululemon/45797",1)</f>
        <v/>
      </c>
      <c r="J1669" s="7" t="inlineStr">
        <is>
          <t>L</t>
        </is>
      </c>
      <c r="K1669" s="7" t="inlineStr">
        <is>
          <t>76/604</t>
        </is>
      </c>
      <c r="L1669" s="7" t="inlineStr">
        <is>
          <t>Yes</t>
        </is>
      </c>
      <c r="M1669" s="7" t="inlineStr">
        <is>
          <t>Confident in every way, shape, and form. We designed this sports bra to give you a supportive fit with a smooth, sleek look.</t>
        </is>
      </c>
      <c r="N1669" s="7" t="inlineStr">
        <is>
          <t>lululemon-Glow-Up-Bra-Light-Medium-BC-Cup</t>
        </is>
      </c>
      <c r="O1669" s="7" t="inlineStr">
        <is>
          <t>Bralettes</t>
        </is>
      </c>
    </row>
    <row r="1670" ht="80" customHeight="1">
      <c r="A1670" s="6">
        <f>IMAGE("https://images.lululemon.com/is/image/lululemon/LW2E45S_072761_1?wid=320&amp;op_usm=0.8",1)</f>
        <v/>
      </c>
      <c r="B1670" s="6" t="inlineStr">
        <is>
          <t>lululemon Glow Up™ Bra *Medium Support, B/C Cup</t>
        </is>
      </c>
      <c r="C1670" s="6" t="inlineStr">
        <is>
          <t>158094185</t>
        </is>
      </c>
      <c r="D1670" s="6" t="inlineStr">
        <is>
          <t>158094185-ashenrose</t>
        </is>
      </c>
      <c r="E1670" s="6" t="inlineStr">
        <is>
          <t>Glow Up Bra WALC XS</t>
        </is>
      </c>
      <c r="F1670" s="6" t="inlineStr">
        <is>
          <t>$68.00</t>
        </is>
      </c>
      <c r="G1670" s="6" t="inlineStr">
        <is>
          <t>$34.00</t>
        </is>
      </c>
      <c r="H1670" s="6" t="inlineStr">
        <is>
          <t>Ashen Rose</t>
        </is>
      </c>
      <c r="I1670" s="6">
        <f>IMAGE("https://images.lululemon.com/is/image/lululemon/45797",1)</f>
        <v/>
      </c>
      <c r="J1670" s="6" t="inlineStr">
        <is>
          <t>XL</t>
        </is>
      </c>
      <c r="K1670" s="6" t="inlineStr">
        <is>
          <t>45/604</t>
        </is>
      </c>
      <c r="L1670" s="6" t="inlineStr">
        <is>
          <t>Yes</t>
        </is>
      </c>
      <c r="M1670" s="6" t="inlineStr">
        <is>
          <t>Confident in every way, shape, and form. We designed this sports bra to give you a supportive fit with a smooth, sleek look.</t>
        </is>
      </c>
      <c r="N1670" s="6" t="inlineStr">
        <is>
          <t>lululemon-Glow-Up-Bra-Light-Medium-BC-Cup</t>
        </is>
      </c>
      <c r="O1670" s="6" t="inlineStr">
        <is>
          <t>Bralettes</t>
        </is>
      </c>
    </row>
    <row r="1671" ht="80" customHeight="1">
      <c r="A1671" s="7">
        <f>IMAGE("https://images.lululemon.com/is/image/lululemon/LW2EKXS_4780_1?wid=320&amp;op_usm=0.8",1)</f>
        <v/>
      </c>
      <c r="B1671" s="7" t="inlineStr">
        <is>
          <t>Softy Suedey Wrap-Front Bra *Light Support, B/C Cup</t>
        </is>
      </c>
      <c r="C1671" s="7" t="inlineStr">
        <is>
          <t>158019889</t>
        </is>
      </c>
      <c r="D1671" s="7" t="inlineStr">
        <is>
          <t>158019889-black/black</t>
        </is>
      </c>
      <c r="E1671" s="7" t="inlineStr">
        <is>
          <t>Softy Suedey Wrap-Front Bra BLK/BLK XS</t>
        </is>
      </c>
      <c r="F1671" s="7" t="inlineStr">
        <is>
          <t>$48.00</t>
        </is>
      </c>
      <c r="G1671" s="7" t="inlineStr">
        <is>
          <t>$24.00</t>
        </is>
      </c>
      <c r="H1671" s="7" t="inlineStr">
        <is>
          <t>Black/Black</t>
        </is>
      </c>
      <c r="I1671" s="7">
        <f>IMAGE("https://images.lululemon.com/is/image/lululemon/4780",1)</f>
        <v/>
      </c>
      <c r="J1671" s="7" t="inlineStr">
        <is>
          <t>XS</t>
        </is>
      </c>
      <c r="K1671" s="7" t="inlineStr">
        <is>
          <t>3/218</t>
        </is>
      </c>
      <c r="L1671" s="7" t="inlineStr">
        <is>
          <t>Yes</t>
        </is>
      </c>
      <c r="M1671" s="7" t="inlineStr">
        <is>
          <t>Cross over to the soft side. This yoga bra has a front crossover design and adjustable straps.</t>
        </is>
      </c>
      <c r="N1671" s="7" t="inlineStr">
        <is>
          <t>Softy-Suedey-Wrap-Front-Bra-Light-Support-BC-Cup</t>
        </is>
      </c>
      <c r="O1671" s="7" t="inlineStr">
        <is>
          <t>Bralettes</t>
        </is>
      </c>
    </row>
    <row r="1672" ht="80" customHeight="1">
      <c r="A1672" s="4">
        <f>IMAGE("https://images.lululemon.com/is/image/lululemon/LW2EKXS_4780_1?wid=320&amp;op_usm=0.8",1)</f>
        <v/>
      </c>
      <c r="B1672" s="4" t="inlineStr">
        <is>
          <t>Softy Suedey Wrap-Front Bra *Light Support, B/C Cup</t>
        </is>
      </c>
      <c r="C1672" s="4" t="inlineStr">
        <is>
          <t>158019878</t>
        </is>
      </c>
      <c r="D1672" s="4" t="inlineStr">
        <is>
          <t>158019878-black/black</t>
        </is>
      </c>
      <c r="E1672" s="4" t="inlineStr">
        <is>
          <t>Softy Suedey Wrap-Front Bra BLK/BLK XS</t>
        </is>
      </c>
      <c r="F1672" s="4" t="inlineStr">
        <is>
          <t>$48.00</t>
        </is>
      </c>
      <c r="G1672" s="4" t="inlineStr">
        <is>
          <t>$24.00</t>
        </is>
      </c>
      <c r="H1672" s="4" t="inlineStr">
        <is>
          <t>Black/Black</t>
        </is>
      </c>
      <c r="I1672" s="4">
        <f>IMAGE("https://images.lululemon.com/is/image/lululemon/4780",1)</f>
        <v/>
      </c>
      <c r="J1672" s="4" t="inlineStr">
        <is>
          <t>S</t>
        </is>
      </c>
      <c r="K1672" s="4" t="inlineStr">
        <is>
          <t>25/218</t>
        </is>
      </c>
      <c r="L1672" s="4" t="inlineStr">
        <is>
          <t>Yes</t>
        </is>
      </c>
      <c r="M1672" s="4" t="inlineStr">
        <is>
          <t>Cross over to the soft side. This yoga bra has a front crossover design and adjustable straps.</t>
        </is>
      </c>
      <c r="N1672" s="4" t="inlineStr">
        <is>
          <t>Softy-Suedey-Wrap-Front-Bra-Light-Support-BC-Cup</t>
        </is>
      </c>
      <c r="O1672" s="4" t="inlineStr">
        <is>
          <t>Bralettes</t>
        </is>
      </c>
    </row>
    <row r="1673" ht="80" customHeight="1">
      <c r="A1673" s="7">
        <f>IMAGE("https://images.lululemon.com/is/image/lululemon/LW2EKXS_4780_1?wid=320&amp;op_usm=0.8",1)</f>
        <v/>
      </c>
      <c r="B1673" s="7" t="inlineStr">
        <is>
          <t>Softy Suedey Wrap-Front Bra *Light Support, B/C Cup</t>
        </is>
      </c>
      <c r="C1673" s="7" t="inlineStr">
        <is>
          <t>158019873</t>
        </is>
      </c>
      <c r="D1673" s="7" t="inlineStr">
        <is>
          <t>158019873-black/black</t>
        </is>
      </c>
      <c r="E1673" s="7" t="inlineStr">
        <is>
          <t>Softy Suedey Wrap-Front Bra BLK/BLK XS</t>
        </is>
      </c>
      <c r="F1673" s="7" t="inlineStr">
        <is>
          <t>$48.00</t>
        </is>
      </c>
      <c r="G1673" s="7" t="inlineStr">
        <is>
          <t>$24.00</t>
        </is>
      </c>
      <c r="H1673" s="7" t="inlineStr">
        <is>
          <t>Black/Black</t>
        </is>
      </c>
      <c r="I1673" s="7">
        <f>IMAGE("https://images.lululemon.com/is/image/lululemon/4780",1)</f>
        <v/>
      </c>
      <c r="J1673" s="7" t="inlineStr">
        <is>
          <t>M</t>
        </is>
      </c>
      <c r="K1673" s="7" t="inlineStr">
        <is>
          <t>48/218</t>
        </is>
      </c>
      <c r="L1673" s="7" t="inlineStr">
        <is>
          <t>Yes</t>
        </is>
      </c>
      <c r="M1673" s="7" t="inlineStr">
        <is>
          <t>Cross over to the soft side. This yoga bra has a front crossover design and adjustable straps.</t>
        </is>
      </c>
      <c r="N1673" s="7" t="inlineStr">
        <is>
          <t>Softy-Suedey-Wrap-Front-Bra-Light-Support-BC-Cup</t>
        </is>
      </c>
      <c r="O1673" s="7" t="inlineStr">
        <is>
          <t>Bralettes</t>
        </is>
      </c>
    </row>
    <row r="1674" ht="80" customHeight="1">
      <c r="A1674" s="4">
        <f>IMAGE("https://images.lululemon.com/is/image/lululemon/LW2EKXS_4780_1?wid=320&amp;op_usm=0.8",1)</f>
        <v/>
      </c>
      <c r="B1674" s="4" t="inlineStr">
        <is>
          <t>Softy Suedey Wrap-Front Bra *Light Support, B/C Cup</t>
        </is>
      </c>
      <c r="C1674" s="4" t="inlineStr">
        <is>
          <t>158019868</t>
        </is>
      </c>
      <c r="D1674" s="4" t="inlineStr">
        <is>
          <t>158019868-black/black</t>
        </is>
      </c>
      <c r="E1674" s="4" t="inlineStr">
        <is>
          <t>Softy Suedey Wrap-Front Bra BLK/BLK XS</t>
        </is>
      </c>
      <c r="F1674" s="4" t="inlineStr">
        <is>
          <t>$48.00</t>
        </is>
      </c>
      <c r="G1674" s="4" t="inlineStr">
        <is>
          <t>$24.00</t>
        </is>
      </c>
      <c r="H1674" s="4" t="inlineStr">
        <is>
          <t>Black/Black</t>
        </is>
      </c>
      <c r="I1674" s="4">
        <f>IMAGE("https://images.lululemon.com/is/image/lululemon/4780",1)</f>
        <v/>
      </c>
      <c r="J1674" s="4" t="inlineStr">
        <is>
          <t>L</t>
        </is>
      </c>
      <c r="K1674" s="4" t="inlineStr">
        <is>
          <t>31/218</t>
        </is>
      </c>
      <c r="L1674" s="4" t="inlineStr">
        <is>
          <t>Yes</t>
        </is>
      </c>
      <c r="M1674" s="4" t="inlineStr">
        <is>
          <t>Cross over to the soft side. This yoga bra has a front crossover design and adjustable straps.</t>
        </is>
      </c>
      <c r="N1674" s="4" t="inlineStr">
        <is>
          <t>Softy-Suedey-Wrap-Front-Bra-Light-Support-BC-Cup</t>
        </is>
      </c>
      <c r="O1674" s="4" t="inlineStr">
        <is>
          <t>Bralettes</t>
        </is>
      </c>
    </row>
    <row r="1675" ht="80" customHeight="1">
      <c r="A1675" s="7">
        <f>IMAGE("https://images.lululemon.com/is/image/lululemon/LW2EKXS_4780_1?wid=320&amp;op_usm=0.8",1)</f>
        <v/>
      </c>
      <c r="B1675" s="7" t="inlineStr">
        <is>
          <t>Softy Suedey Wrap-Front Bra *Light Support, B/C Cup</t>
        </is>
      </c>
      <c r="C1675" s="7" t="inlineStr">
        <is>
          <t>158019882</t>
        </is>
      </c>
      <c r="D1675" s="7" t="inlineStr">
        <is>
          <t>158019882-black/black</t>
        </is>
      </c>
      <c r="E1675" s="7" t="inlineStr">
        <is>
          <t>Softy Suedey Wrap-Front Bra BLK/BLK XS</t>
        </is>
      </c>
      <c r="F1675" s="7" t="inlineStr">
        <is>
          <t>$48.00</t>
        </is>
      </c>
      <c r="G1675" s="7" t="inlineStr">
        <is>
          <t>$24.00</t>
        </is>
      </c>
      <c r="H1675" s="7" t="inlineStr">
        <is>
          <t>Black/Black</t>
        </is>
      </c>
      <c r="I1675" s="7">
        <f>IMAGE("https://images.lululemon.com/is/image/lululemon/4780",1)</f>
        <v/>
      </c>
      <c r="J1675" s="7" t="inlineStr">
        <is>
          <t>XL</t>
        </is>
      </c>
      <c r="K1675" s="7" t="inlineStr">
        <is>
          <t>18/218</t>
        </is>
      </c>
      <c r="L1675" s="7" t="inlineStr">
        <is>
          <t>Yes</t>
        </is>
      </c>
      <c r="M1675" s="7" t="inlineStr">
        <is>
          <t>Cross over to the soft side. This yoga bra has a front crossover design and adjustable straps.</t>
        </is>
      </c>
      <c r="N1675" s="7" t="inlineStr">
        <is>
          <t>Softy-Suedey-Wrap-Front-Bra-Light-Support-BC-Cup</t>
        </is>
      </c>
      <c r="O1675" s="7" t="inlineStr">
        <is>
          <t>Bralettes</t>
        </is>
      </c>
    </row>
    <row r="1676" ht="80" customHeight="1">
      <c r="A1676" s="4">
        <f>IMAGE("https://images.lululemon.com/is/image/lululemon/LW2EKXS_4780_1?wid=320&amp;op_usm=0.8",1)</f>
        <v/>
      </c>
      <c r="B1676" s="4" t="inlineStr">
        <is>
          <t>Softy Suedey Wrap-Front Bra *Light Support, B/C Cup</t>
        </is>
      </c>
      <c r="C1676" s="4" t="inlineStr">
        <is>
          <t>158019857</t>
        </is>
      </c>
      <c r="D1676" s="4" t="inlineStr">
        <is>
          <t>158019857-foggreen/white</t>
        </is>
      </c>
      <c r="E1676" s="4" t="inlineStr">
        <is>
          <t>Softy Suedey Wrap-Front Bra BLK/BLK XS</t>
        </is>
      </c>
      <c r="F1676" s="4" t="inlineStr">
        <is>
          <t>$48.00</t>
        </is>
      </c>
      <c r="G1676" s="4" t="inlineStr">
        <is>
          <t>$24.00</t>
        </is>
      </c>
      <c r="H1676" s="4" t="inlineStr">
        <is>
          <t>Fog Green/White</t>
        </is>
      </c>
      <c r="I1676" s="4">
        <f>IMAGE("https://images.lululemon.com/is/image/lululemon/71595",1)</f>
        <v/>
      </c>
      <c r="J1676" s="4" t="inlineStr">
        <is>
          <t>XS</t>
        </is>
      </c>
      <c r="K1676" s="4" t="inlineStr">
        <is>
          <t>2/218</t>
        </is>
      </c>
      <c r="L1676" s="4" t="inlineStr">
        <is>
          <t>Yes</t>
        </is>
      </c>
      <c r="M1676" s="4" t="inlineStr">
        <is>
          <t>Cross over to the soft side. This yoga bra has a front crossover design and adjustable straps.</t>
        </is>
      </c>
      <c r="N1676" s="4" t="inlineStr">
        <is>
          <t>Softy-Suedey-Wrap-Front-Bra-Light-Support-BC-Cup</t>
        </is>
      </c>
      <c r="O1676" s="4" t="inlineStr">
        <is>
          <t>Bralettes</t>
        </is>
      </c>
    </row>
    <row r="1677" ht="80" customHeight="1">
      <c r="A1677" s="7">
        <f>IMAGE("https://images.lululemon.com/is/image/lululemon/LW2EKXS_4780_1?wid=320&amp;op_usm=0.8",1)</f>
        <v/>
      </c>
      <c r="B1677" s="7" t="inlineStr">
        <is>
          <t>Softy Suedey Wrap-Front Bra *Light Support, B/C Cup</t>
        </is>
      </c>
      <c r="C1677" s="7" t="inlineStr">
        <is>
          <t>158019847</t>
        </is>
      </c>
      <c r="D1677" s="7" t="inlineStr">
        <is>
          <t>158019847-foggreen/white</t>
        </is>
      </c>
      <c r="E1677" s="7" t="inlineStr">
        <is>
          <t>Softy Suedey Wrap-Front Bra BLK/BLK XS</t>
        </is>
      </c>
      <c r="F1677" s="7" t="inlineStr">
        <is>
          <t>$48.00</t>
        </is>
      </c>
      <c r="G1677" s="7" t="inlineStr">
        <is>
          <t>$24.00</t>
        </is>
      </c>
      <c r="H1677" s="7" t="inlineStr">
        <is>
          <t>Fog Green/White</t>
        </is>
      </c>
      <c r="I1677" s="7">
        <f>IMAGE("https://images.lululemon.com/is/image/lululemon/71595",1)</f>
        <v/>
      </c>
      <c r="J1677" s="7" t="inlineStr">
        <is>
          <t>S</t>
        </is>
      </c>
      <c r="K1677" s="7" t="inlineStr">
        <is>
          <t>14/218</t>
        </is>
      </c>
      <c r="L1677" s="7" t="inlineStr">
        <is>
          <t>Yes</t>
        </is>
      </c>
      <c r="M1677" s="7" t="inlineStr">
        <is>
          <t>Cross over to the soft side. This yoga bra has a front crossover design and adjustable straps.</t>
        </is>
      </c>
      <c r="N1677" s="7" t="inlineStr">
        <is>
          <t>Softy-Suedey-Wrap-Front-Bra-Light-Support-BC-Cup</t>
        </is>
      </c>
      <c r="O1677" s="7" t="inlineStr">
        <is>
          <t>Bralettes</t>
        </is>
      </c>
    </row>
    <row r="1678" ht="80" customHeight="1">
      <c r="A1678" s="4">
        <f>IMAGE("https://images.lululemon.com/is/image/lululemon/LW2EKXS_4780_1?wid=320&amp;op_usm=0.8",1)</f>
        <v/>
      </c>
      <c r="B1678" s="4" t="inlineStr">
        <is>
          <t>Softy Suedey Wrap-Front Bra *Light Support, B/C Cup</t>
        </is>
      </c>
      <c r="C1678" s="4" t="inlineStr">
        <is>
          <t>158019842</t>
        </is>
      </c>
      <c r="D1678" s="4" t="inlineStr">
        <is>
          <t>158019842-foggreen/white</t>
        </is>
      </c>
      <c r="E1678" s="4" t="inlineStr">
        <is>
          <t>Softy Suedey Wrap-Front Bra BLK/BLK XS</t>
        </is>
      </c>
      <c r="F1678" s="4" t="inlineStr">
        <is>
          <t>$48.00</t>
        </is>
      </c>
      <c r="G1678" s="4" t="inlineStr">
        <is>
          <t>$24.00</t>
        </is>
      </c>
      <c r="H1678" s="4" t="inlineStr">
        <is>
          <t>Fog Green/White</t>
        </is>
      </c>
      <c r="I1678" s="4">
        <f>IMAGE("https://images.lululemon.com/is/image/lululemon/71595",1)</f>
        <v/>
      </c>
      <c r="J1678" s="4" t="inlineStr">
        <is>
          <t>M</t>
        </is>
      </c>
      <c r="K1678" s="4" t="inlineStr">
        <is>
          <t>36/218</t>
        </is>
      </c>
      <c r="L1678" s="4" t="inlineStr">
        <is>
          <t>Yes</t>
        </is>
      </c>
      <c r="M1678" s="4" t="inlineStr">
        <is>
          <t>Cross over to the soft side. This yoga bra has a front crossover design and adjustable straps.</t>
        </is>
      </c>
      <c r="N1678" s="4" t="inlineStr">
        <is>
          <t>Softy-Suedey-Wrap-Front-Bra-Light-Support-BC-Cup</t>
        </is>
      </c>
      <c r="O1678" s="4" t="inlineStr">
        <is>
          <t>Bralettes</t>
        </is>
      </c>
    </row>
    <row r="1679" ht="80" customHeight="1">
      <c r="A1679" s="7">
        <f>IMAGE("https://images.lululemon.com/is/image/lululemon/LW2EKXS_4780_1?wid=320&amp;op_usm=0.8",1)</f>
        <v/>
      </c>
      <c r="B1679" s="7" t="inlineStr">
        <is>
          <t>Softy Suedey Wrap-Front Bra *Light Support, B/C Cup</t>
        </is>
      </c>
      <c r="C1679" s="7" t="inlineStr">
        <is>
          <t>158019836</t>
        </is>
      </c>
      <c r="D1679" s="7" t="inlineStr">
        <is>
          <t>158019836-foggreen/white</t>
        </is>
      </c>
      <c r="E1679" s="7" t="inlineStr">
        <is>
          <t>Softy Suedey Wrap-Front Bra BLK/BLK XS</t>
        </is>
      </c>
      <c r="F1679" s="7" t="inlineStr">
        <is>
          <t>$48.00</t>
        </is>
      </c>
      <c r="G1679" s="7" t="inlineStr">
        <is>
          <t>$24.00</t>
        </is>
      </c>
      <c r="H1679" s="7" t="inlineStr">
        <is>
          <t>Fog Green/White</t>
        </is>
      </c>
      <c r="I1679" s="7">
        <f>IMAGE("https://images.lululemon.com/is/image/lululemon/71595",1)</f>
        <v/>
      </c>
      <c r="J1679" s="7" t="inlineStr">
        <is>
          <t>L</t>
        </is>
      </c>
      <c r="K1679" s="7" t="inlineStr">
        <is>
          <t>24/218</t>
        </is>
      </c>
      <c r="L1679" s="7" t="inlineStr">
        <is>
          <t>Yes</t>
        </is>
      </c>
      <c r="M1679" s="7" t="inlineStr">
        <is>
          <t>Cross over to the soft side. This yoga bra has a front crossover design and adjustable straps.</t>
        </is>
      </c>
      <c r="N1679" s="7" t="inlineStr">
        <is>
          <t>Softy-Suedey-Wrap-Front-Bra-Light-Support-BC-Cup</t>
        </is>
      </c>
      <c r="O1679" s="7" t="inlineStr">
        <is>
          <t>Bralettes</t>
        </is>
      </c>
    </row>
    <row r="1680" ht="80" customHeight="1">
      <c r="A1680" s="6">
        <f>IMAGE("https://images.lululemon.com/is/image/lululemon/LW2EKXS_4780_1?wid=320&amp;op_usm=0.8",1)</f>
        <v/>
      </c>
      <c r="B1680" s="6" t="inlineStr">
        <is>
          <t>Softy Suedey Wrap-Front Bra *Light Support, B/C Cup</t>
        </is>
      </c>
      <c r="C1680" s="6" t="inlineStr">
        <is>
          <t>158019853</t>
        </is>
      </c>
      <c r="D1680" s="6" t="inlineStr">
        <is>
          <t>158019853-foggreen/white</t>
        </is>
      </c>
      <c r="E1680" s="6" t="inlineStr">
        <is>
          <t>Softy Suedey Wrap-Front Bra BLK/BLK XS</t>
        </is>
      </c>
      <c r="F1680" s="6" t="inlineStr">
        <is>
          <t>$48.00</t>
        </is>
      </c>
      <c r="G1680" s="6" t="inlineStr">
        <is>
          <t>$24.00</t>
        </is>
      </c>
      <c r="H1680" s="6" t="inlineStr">
        <is>
          <t>Fog Green/White</t>
        </is>
      </c>
      <c r="I1680" s="6">
        <f>IMAGE("https://images.lululemon.com/is/image/lululemon/71595",1)</f>
        <v/>
      </c>
      <c r="J1680" s="6" t="inlineStr">
        <is>
          <t>XL</t>
        </is>
      </c>
      <c r="K1680" s="6" t="inlineStr">
        <is>
          <t>17/218</t>
        </is>
      </c>
      <c r="L1680" s="6" t="inlineStr">
        <is>
          <t>Yes</t>
        </is>
      </c>
      <c r="M1680" s="6" t="inlineStr">
        <is>
          <t>Cross over to the soft side. This yoga bra has a front crossover design and adjustable straps.</t>
        </is>
      </c>
      <c r="N1680" s="6" t="inlineStr">
        <is>
          <t>Softy-Suedey-Wrap-Front-Bra-Light-Support-BC-Cup</t>
        </is>
      </c>
      <c r="O1680" s="6" t="inlineStr">
        <is>
          <t>Bralettes</t>
        </is>
      </c>
    </row>
    <row r="1681" ht="80" customHeight="1">
      <c r="A1681" s="7">
        <f>IMAGE("https://images.lululemon.com/is/image/lululemon/LW9DAWS_0001_1?wid=320&amp;op_usm=0.8",1)</f>
        <v/>
      </c>
      <c r="B1681" s="7" t="inlineStr">
        <is>
          <t>InvisiWear Mid-Rise Thong Underwear</t>
        </is>
      </c>
      <c r="C1681" s="7" t="inlineStr">
        <is>
          <t>131275094</t>
        </is>
      </c>
      <c r="D1681" s="7" t="inlineStr">
        <is>
          <t>131275094-black</t>
        </is>
      </c>
      <c r="E1681" s="7" t="inlineStr">
        <is>
          <t>InvisiWear Mid-Rise Thong BLK XS</t>
        </is>
      </c>
      <c r="F1681" s="7" t="inlineStr">
        <is>
          <t>$18.00</t>
        </is>
      </c>
      <c r="G1681" s="7" t="inlineStr">
        <is>
          <t>$9.00</t>
        </is>
      </c>
      <c r="H1681" s="7" t="inlineStr">
        <is>
          <t>Black</t>
        </is>
      </c>
      <c r="I1681" s="7">
        <f>IMAGE("https://images.lululemon.com/is/image/lululemon/0001",1)</f>
        <v/>
      </c>
      <c r="J1681" s="7" t="inlineStr">
        <is>
          <t>XS</t>
        </is>
      </c>
      <c r="K1681" s="7" t="inlineStr">
        <is>
          <t>87/1490</t>
        </is>
      </c>
      <c r="L1681" s="7" t="inlineStr">
        <is>
          <t>Yes</t>
        </is>
      </c>
      <c r="M1681" s="7" t="inlineStr">
        <is>
          <t>Nothing to see here. Virtually undetectable underneath your leggings, these smooth underwear have a comfortable fit that doesn't slip or slide.</t>
        </is>
      </c>
      <c r="N1681" s="7" t="inlineStr">
        <is>
          <t>InvisiWear-Mid-Rise-Thong-Underwear</t>
        </is>
      </c>
      <c r="O1681" s="7" t="inlineStr">
        <is>
          <t>Thongs</t>
        </is>
      </c>
    </row>
    <row r="1682" ht="80" customHeight="1">
      <c r="A1682" s="4">
        <f>IMAGE("https://images.lululemon.com/is/image/lululemon/LW9DAWS_0001_1?wid=320&amp;op_usm=0.8",1)</f>
        <v/>
      </c>
      <c r="B1682" s="4" t="inlineStr">
        <is>
          <t>InvisiWear Mid-Rise Thong Underwear</t>
        </is>
      </c>
      <c r="C1682" s="4" t="inlineStr">
        <is>
          <t>131275082</t>
        </is>
      </c>
      <c r="D1682" s="4" t="inlineStr">
        <is>
          <t>131275082-black</t>
        </is>
      </c>
      <c r="E1682" s="4" t="inlineStr">
        <is>
          <t>InvisiWear Mid-Rise Thong BLK XS</t>
        </is>
      </c>
      <c r="F1682" s="4" t="inlineStr">
        <is>
          <t>$18.00</t>
        </is>
      </c>
      <c r="G1682" s="4" t="inlineStr">
        <is>
          <t>$9.00</t>
        </is>
      </c>
      <c r="H1682" s="4" t="inlineStr">
        <is>
          <t>Black</t>
        </is>
      </c>
      <c r="I1682" s="4">
        <f>IMAGE("https://images.lululemon.com/is/image/lululemon/0001",1)</f>
        <v/>
      </c>
      <c r="J1682" s="4" t="inlineStr">
        <is>
          <t>S</t>
        </is>
      </c>
      <c r="K1682" s="4" t="inlineStr">
        <is>
          <t>340/1490</t>
        </is>
      </c>
      <c r="L1682" s="4" t="inlineStr">
        <is>
          <t>Yes</t>
        </is>
      </c>
      <c r="M1682" s="4" t="inlineStr">
        <is>
          <t>Nothing to see here. Virtually undetectable underneath your leggings, these smooth underwear have a comfortable fit that doesn't slip or slide.</t>
        </is>
      </c>
      <c r="N1682" s="4" t="inlineStr">
        <is>
          <t>InvisiWear-Mid-Rise-Thong-Underwear</t>
        </is>
      </c>
      <c r="O1682" s="4" t="inlineStr">
        <is>
          <t>Thongs</t>
        </is>
      </c>
    </row>
    <row r="1683" ht="80" customHeight="1">
      <c r="A1683" s="7">
        <f>IMAGE("https://images.lululemon.com/is/image/lululemon/LW9DAWS_0001_1?wid=320&amp;op_usm=0.8",1)</f>
        <v/>
      </c>
      <c r="B1683" s="7" t="inlineStr">
        <is>
          <t>InvisiWear Mid-Rise Thong Underwear</t>
        </is>
      </c>
      <c r="C1683" s="7" t="inlineStr">
        <is>
          <t>131275076</t>
        </is>
      </c>
      <c r="D1683" s="7" t="inlineStr">
        <is>
          <t>131275076-black</t>
        </is>
      </c>
      <c r="E1683" s="7" t="inlineStr">
        <is>
          <t>InvisiWear Mid-Rise Thong BLK XS</t>
        </is>
      </c>
      <c r="F1683" s="7" t="inlineStr">
        <is>
          <t>$18.00</t>
        </is>
      </c>
      <c r="G1683" s="7" t="inlineStr">
        <is>
          <t>$9.00</t>
        </is>
      </c>
      <c r="H1683" s="7" t="inlineStr">
        <is>
          <t>Black</t>
        </is>
      </c>
      <c r="I1683" s="7">
        <f>IMAGE("https://images.lululemon.com/is/image/lululemon/0001",1)</f>
        <v/>
      </c>
      <c r="J1683" s="7" t="inlineStr">
        <is>
          <t>M</t>
        </is>
      </c>
      <c r="K1683" s="7" t="inlineStr">
        <is>
          <t>534/1490</t>
        </is>
      </c>
      <c r="L1683" s="7" t="inlineStr">
        <is>
          <t>Yes</t>
        </is>
      </c>
      <c r="M1683" s="7" t="inlineStr">
        <is>
          <t>Nothing to see here. Virtually undetectable underneath your leggings, these smooth underwear have a comfortable fit that doesn't slip or slide.</t>
        </is>
      </c>
      <c r="N1683" s="7" t="inlineStr">
        <is>
          <t>InvisiWear-Mid-Rise-Thong-Underwear</t>
        </is>
      </c>
      <c r="O1683" s="7" t="inlineStr">
        <is>
          <t>Thongs</t>
        </is>
      </c>
    </row>
    <row r="1684" ht="80" customHeight="1">
      <c r="A1684" s="4">
        <f>IMAGE("https://images.lululemon.com/is/image/lululemon/LW9DAWS_0001_1?wid=320&amp;op_usm=0.8",1)</f>
        <v/>
      </c>
      <c r="B1684" s="4" t="inlineStr">
        <is>
          <t>InvisiWear Mid-Rise Thong Underwear</t>
        </is>
      </c>
      <c r="C1684" s="4" t="inlineStr">
        <is>
          <t>131275070</t>
        </is>
      </c>
      <c r="D1684" s="4" t="inlineStr">
        <is>
          <t>131275070-black</t>
        </is>
      </c>
      <c r="E1684" s="4" t="inlineStr">
        <is>
          <t>InvisiWear Mid-Rise Thong BLK XS</t>
        </is>
      </c>
      <c r="F1684" s="4" t="inlineStr">
        <is>
          <t>$18.00</t>
        </is>
      </c>
      <c r="G1684" s="4" t="inlineStr">
        <is>
          <t>$9.00</t>
        </is>
      </c>
      <c r="H1684" s="4" t="inlineStr">
        <is>
          <t>Black</t>
        </is>
      </c>
      <c r="I1684" s="4">
        <f>IMAGE("https://images.lululemon.com/is/image/lululemon/0001",1)</f>
        <v/>
      </c>
      <c r="J1684" s="4" t="inlineStr">
        <is>
          <t>L</t>
        </is>
      </c>
      <c r="K1684" s="4" t="inlineStr">
        <is>
          <t>256/1490</t>
        </is>
      </c>
      <c r="L1684" s="4" t="inlineStr">
        <is>
          <t>Yes</t>
        </is>
      </c>
      <c r="M1684" s="4" t="inlineStr">
        <is>
          <t>Nothing to see here. Virtually undetectable underneath your leggings, these smooth underwear have a comfortable fit that doesn't slip or slide.</t>
        </is>
      </c>
      <c r="N1684" s="4" t="inlineStr">
        <is>
          <t>InvisiWear-Mid-Rise-Thong-Underwear</t>
        </is>
      </c>
      <c r="O1684" s="4" t="inlineStr">
        <is>
          <t>Thongs</t>
        </is>
      </c>
    </row>
    <row r="1685" ht="80" customHeight="1">
      <c r="A1685" s="7">
        <f>IMAGE("https://images.lululemon.com/is/image/lululemon/LW9DAWS_0001_1?wid=320&amp;op_usm=0.8",1)</f>
        <v/>
      </c>
      <c r="B1685" s="7" t="inlineStr">
        <is>
          <t>InvisiWear Mid-Rise Thong Underwear</t>
        </is>
      </c>
      <c r="C1685" s="7" t="inlineStr">
        <is>
          <t>131275088</t>
        </is>
      </c>
      <c r="D1685" s="7" t="inlineStr">
        <is>
          <t>131275088-black</t>
        </is>
      </c>
      <c r="E1685" s="7" t="inlineStr">
        <is>
          <t>InvisiWear Mid-Rise Thong BLK XS</t>
        </is>
      </c>
      <c r="F1685" s="7" t="inlineStr">
        <is>
          <t>$18.00</t>
        </is>
      </c>
      <c r="G1685" s="7" t="inlineStr">
        <is>
          <t>$9.00</t>
        </is>
      </c>
      <c r="H1685" s="7" t="inlineStr">
        <is>
          <t>Black</t>
        </is>
      </c>
      <c r="I1685" s="7">
        <f>IMAGE("https://images.lululemon.com/is/image/lululemon/0001",1)</f>
        <v/>
      </c>
      <c r="J1685" s="7" t="inlineStr">
        <is>
          <t>XL</t>
        </is>
      </c>
      <c r="K1685" s="7" t="inlineStr">
        <is>
          <t>240/1490</t>
        </is>
      </c>
      <c r="L1685" s="7" t="inlineStr">
        <is>
          <t>Yes</t>
        </is>
      </c>
      <c r="M1685" s="7" t="inlineStr">
        <is>
          <t>Nothing to see here. Virtually undetectable underneath your leggings, these smooth underwear have a comfortable fit that doesn't slip or slide.</t>
        </is>
      </c>
      <c r="N1685" s="7" t="inlineStr">
        <is>
          <t>InvisiWear-Mid-Rise-Thong-Underwear</t>
        </is>
      </c>
      <c r="O1685" s="7" t="inlineStr">
        <is>
          <t>Thongs</t>
        </is>
      </c>
    </row>
    <row r="1686" ht="80" customHeight="1">
      <c r="A1686" s="6">
        <f>IMAGE("https://images.lululemon.com/is/image/lululemon/LW9DAWS_0001_1?wid=320&amp;op_usm=0.8",1)</f>
        <v/>
      </c>
      <c r="B1686" s="6" t="inlineStr">
        <is>
          <t>InvisiWear Mid-Rise Thong Underwear</t>
        </is>
      </c>
      <c r="C1686" s="6" t="inlineStr">
        <is>
          <t>131275100</t>
        </is>
      </c>
      <c r="D1686" s="6" t="inlineStr">
        <is>
          <t>131275100-black</t>
        </is>
      </c>
      <c r="E1686" s="6" t="inlineStr">
        <is>
          <t>InvisiWear Mid-Rise Thong BLK XS</t>
        </is>
      </c>
      <c r="F1686" s="6" t="inlineStr">
        <is>
          <t>$18.00</t>
        </is>
      </c>
      <c r="G1686" s="6" t="inlineStr">
        <is>
          <t>$9.00</t>
        </is>
      </c>
      <c r="H1686" s="6" t="inlineStr">
        <is>
          <t>Black</t>
        </is>
      </c>
      <c r="I1686" s="6">
        <f>IMAGE("https://images.lululemon.com/is/image/lululemon/0001",1)</f>
        <v/>
      </c>
      <c r="J1686" s="6" t="inlineStr">
        <is>
          <t>XXL</t>
        </is>
      </c>
      <c r="K1686" s="6" t="inlineStr">
        <is>
          <t>33/1490</t>
        </is>
      </c>
      <c r="L1686" s="6" t="inlineStr">
        <is>
          <t>Yes</t>
        </is>
      </c>
      <c r="M1686" s="6" t="inlineStr">
        <is>
          <t>Nothing to see here. Virtually undetectable underneath your leggings, these smooth underwear have a comfortable fit that doesn't slip or slide.</t>
        </is>
      </c>
      <c r="N1686" s="6" t="inlineStr">
        <is>
          <t>InvisiWear-Mid-Rise-Thong-Underwear</t>
        </is>
      </c>
      <c r="O1686" s="6" t="inlineStr">
        <is>
          <t>Thongs</t>
        </is>
      </c>
    </row>
    <row r="1687" ht="80" customHeight="1">
      <c r="A1687" s="7">
        <f>IMAGE("https://images.lululemon.com/is/image/lululemon/LW3IG3S_0001_1?wid=320&amp;op_usm=0.8",1)</f>
        <v/>
      </c>
      <c r="B1687" s="7" t="inlineStr">
        <is>
          <t>Scuba Oversized Half-Zip Hoodie</t>
        </is>
      </c>
      <c r="C1687" s="7" t="inlineStr">
        <is>
          <t>123176187</t>
        </is>
      </c>
      <c r="D1687" s="7" t="inlineStr">
        <is>
          <t>123176187-black</t>
        </is>
      </c>
      <c r="E1687" s="7" t="inlineStr">
        <is>
          <t>Scuba Oversized Half-Zip Hoodie BLK XS/S</t>
        </is>
      </c>
      <c r="F1687" s="7" t="inlineStr">
        <is>
          <t>$128.00</t>
        </is>
      </c>
      <c r="G1687" s="7" t="inlineStr">
        <is>
          <t>$64.00</t>
        </is>
      </c>
      <c r="H1687" s="7" t="inlineStr">
        <is>
          <t>Black</t>
        </is>
      </c>
      <c r="I1687" s="7">
        <f>IMAGE("https://images.lululemon.com/is/image/lululemon/0001",1)</f>
        <v/>
      </c>
      <c r="J1687" s="7" t="inlineStr">
        <is>
          <t>XS/S</t>
        </is>
      </c>
      <c r="K1687" s="7" t="inlineStr">
        <is>
          <t>2258/20169</t>
        </is>
      </c>
      <c r="L1687" s="7" t="inlineStr">
        <is>
          <t>Yes</t>
        </is>
      </c>
      <c r="M1687" s="7" t="inlineStr">
        <is>
          <t>Serious about softness. This half-zip hooded sweatshirt is all about fleecy fabric and pairs perfectly with our Scuba sweatpants.</t>
        </is>
      </c>
      <c r="N1687" s="7" t="inlineStr">
        <is>
          <t>Scuba-Oversized-12-Zip-Hoodie</t>
        </is>
      </c>
      <c r="O1687" s="7" t="inlineStr">
        <is>
          <t>Hoodies, Half Zip Sweatshirts, Quarter Zip Sweatshirts</t>
        </is>
      </c>
    </row>
    <row r="1688" ht="80" customHeight="1">
      <c r="A1688" s="4">
        <f>IMAGE("https://images.lululemon.com/is/image/lululemon/LW3IG3S_0001_1?wid=320&amp;op_usm=0.8",1)</f>
        <v/>
      </c>
      <c r="B1688" s="4" t="inlineStr">
        <is>
          <t>Scuba Oversized Half-Zip Hoodie</t>
        </is>
      </c>
      <c r="C1688" s="4" t="inlineStr">
        <is>
          <t>153106618</t>
        </is>
      </c>
      <c r="D1688" s="4" t="inlineStr">
        <is>
          <t>153106618-black</t>
        </is>
      </c>
      <c r="E1688" s="4" t="inlineStr">
        <is>
          <t>Scuba Oversized Half-Zip Hoodie BLK XS/S</t>
        </is>
      </c>
      <c r="F1688" s="4" t="inlineStr">
        <is>
          <t>$128.00</t>
        </is>
      </c>
      <c r="G1688" s="4" t="inlineStr">
        <is>
          <t>$64.00</t>
        </is>
      </c>
      <c r="H1688" s="4" t="inlineStr">
        <is>
          <t>Black</t>
        </is>
      </c>
      <c r="I1688" s="4">
        <f>IMAGE("https://images.lululemon.com/is/image/lululemon/0001",1)</f>
        <v/>
      </c>
      <c r="J1688" s="4" t="inlineStr">
        <is>
          <t>M/L</t>
        </is>
      </c>
      <c r="K1688" s="4" t="inlineStr">
        <is>
          <t>1845/20169</t>
        </is>
      </c>
      <c r="L1688" s="4" t="inlineStr">
        <is>
          <t>Yes</t>
        </is>
      </c>
      <c r="M1688" s="4" t="inlineStr">
        <is>
          <t>Serious about softness. This half-zip hooded sweatshirt is all about fleecy fabric and pairs perfectly with our Scuba sweatpants.</t>
        </is>
      </c>
      <c r="N1688" s="4" t="inlineStr">
        <is>
          <t>Scuba-Oversized-12-Zip-Hoodie</t>
        </is>
      </c>
      <c r="O1688" s="4" t="inlineStr">
        <is>
          <t>Hoodies, Half Zip Sweatshirts, Quarter Zip Sweatshirts</t>
        </is>
      </c>
    </row>
    <row r="1689" ht="80" customHeight="1">
      <c r="A1689" s="7">
        <f>IMAGE("https://images.lululemon.com/is/image/lululemon/LW3IG3S_0001_1?wid=320&amp;op_usm=0.8",1)</f>
        <v/>
      </c>
      <c r="B1689" s="7" t="inlineStr">
        <is>
          <t>Scuba Oversized Half-Zip Hoodie</t>
        </is>
      </c>
      <c r="C1689" s="7" t="inlineStr">
        <is>
          <t>123176193</t>
        </is>
      </c>
      <c r="D1689" s="7" t="inlineStr">
        <is>
          <t>123176193-black</t>
        </is>
      </c>
      <c r="E1689" s="7" t="inlineStr">
        <is>
          <t>Scuba Oversized Half-Zip Hoodie BLK XS/S</t>
        </is>
      </c>
      <c r="F1689" s="7" t="inlineStr">
        <is>
          <t>$128.00</t>
        </is>
      </c>
      <c r="G1689" s="7" t="inlineStr">
        <is>
          <t>$64.00</t>
        </is>
      </c>
      <c r="H1689" s="7" t="inlineStr">
        <is>
          <t>Black</t>
        </is>
      </c>
      <c r="I1689" s="7">
        <f>IMAGE("https://images.lululemon.com/is/image/lululemon/0001",1)</f>
        <v/>
      </c>
      <c r="J1689" s="7" t="inlineStr">
        <is>
          <t>XL/XXL</t>
        </is>
      </c>
      <c r="K1689" s="7" t="inlineStr">
        <is>
          <t>1051/20169</t>
        </is>
      </c>
      <c r="L1689" s="7" t="inlineStr">
        <is>
          <t>Yes</t>
        </is>
      </c>
      <c r="M1689" s="7" t="inlineStr">
        <is>
          <t>Serious about softness. This half-zip hooded sweatshirt is all about fleecy fabric and pairs perfectly with our Scuba sweatpants.</t>
        </is>
      </c>
      <c r="N1689" s="7" t="inlineStr">
        <is>
          <t>Scuba-Oversized-12-Zip-Hoodie</t>
        </is>
      </c>
      <c r="O1689" s="7" t="inlineStr">
        <is>
          <t>Hoodies, Half Zip Sweatshirts, Quarter Zip Sweatshirts</t>
        </is>
      </c>
    </row>
    <row r="1690" ht="80" customHeight="1">
      <c r="A1690" s="4">
        <f>IMAGE("https://images.lululemon.com/is/image/lululemon/LW3IG3S_0001_1?wid=320&amp;op_usm=0.8",1)</f>
        <v/>
      </c>
      <c r="B1690" s="4" t="inlineStr">
        <is>
          <t>Scuba Oversized Half-Zip Hoodie</t>
        </is>
      </c>
      <c r="C1690" s="4" t="inlineStr">
        <is>
          <t>153845654</t>
        </is>
      </c>
      <c r="D1690" s="4" t="inlineStr">
        <is>
          <t>153845654-truenavy</t>
        </is>
      </c>
      <c r="E1690" s="4" t="inlineStr">
        <is>
          <t>Scuba Oversized Half-Zip Hoodie BLK XS/S</t>
        </is>
      </c>
      <c r="F1690" s="4" t="inlineStr">
        <is>
          <t>$128.00</t>
        </is>
      </c>
      <c r="G1690" s="4" t="inlineStr">
        <is>
          <t>$64.00</t>
        </is>
      </c>
      <c r="H1690" s="4" t="inlineStr">
        <is>
          <t>True Navy</t>
        </is>
      </c>
      <c r="I1690" s="4">
        <f>IMAGE("https://images.lululemon.com/is/image/lululemon/31382",1)</f>
        <v/>
      </c>
      <c r="J1690" s="4" t="inlineStr">
        <is>
          <t>XS/S</t>
        </is>
      </c>
      <c r="K1690" s="4" t="inlineStr">
        <is>
          <t>259/20169</t>
        </is>
      </c>
      <c r="L1690" s="4" t="inlineStr">
        <is>
          <t>Yes</t>
        </is>
      </c>
      <c r="M1690" s="4" t="inlineStr">
        <is>
          <t>Serious about softness. This half-zip hooded sweatshirt is all about fleecy fabric and pairs perfectly with our Scuba sweatpants.</t>
        </is>
      </c>
      <c r="N1690" s="4" t="inlineStr">
        <is>
          <t>Scuba-Oversized-12-Zip-Hoodie</t>
        </is>
      </c>
      <c r="O1690" s="4" t="inlineStr">
        <is>
          <t>Hoodies, Half Zip Sweatshirts, Quarter Zip Sweatshirts</t>
        </is>
      </c>
    </row>
    <row r="1691" ht="80" customHeight="1">
      <c r="A1691" s="7">
        <f>IMAGE("https://images.lululemon.com/is/image/lululemon/LW3IG3S_0001_1?wid=320&amp;op_usm=0.8",1)</f>
        <v/>
      </c>
      <c r="B1691" s="7" t="inlineStr">
        <is>
          <t>Scuba Oversized Half-Zip Hoodie</t>
        </is>
      </c>
      <c r="C1691" s="7" t="inlineStr">
        <is>
          <t>153845636</t>
        </is>
      </c>
      <c r="D1691" s="7" t="inlineStr">
        <is>
          <t>153845636-truenavy</t>
        </is>
      </c>
      <c r="E1691" s="7" t="inlineStr">
        <is>
          <t>Scuba Oversized Half-Zip Hoodie BLK XS/S</t>
        </is>
      </c>
      <c r="F1691" s="7" t="inlineStr">
        <is>
          <t>$128.00</t>
        </is>
      </c>
      <c r="G1691" s="7" t="inlineStr">
        <is>
          <t>$64.00</t>
        </is>
      </c>
      <c r="H1691" s="7" t="inlineStr">
        <is>
          <t>True Navy</t>
        </is>
      </c>
      <c r="I1691" s="7">
        <f>IMAGE("https://images.lululemon.com/is/image/lululemon/31382",1)</f>
        <v/>
      </c>
      <c r="J1691" s="7" t="inlineStr">
        <is>
          <t>M/L</t>
        </is>
      </c>
      <c r="K1691" s="7" t="inlineStr">
        <is>
          <t>690/20169</t>
        </is>
      </c>
      <c r="L1691" s="7" t="inlineStr">
        <is>
          <t>Yes</t>
        </is>
      </c>
      <c r="M1691" s="7" t="inlineStr">
        <is>
          <t>Serious about softness. This half-zip hooded sweatshirt is all about fleecy fabric and pairs perfectly with our Scuba sweatpants.</t>
        </is>
      </c>
      <c r="N1691" s="7" t="inlineStr">
        <is>
          <t>Scuba-Oversized-12-Zip-Hoodie</t>
        </is>
      </c>
      <c r="O1691" s="7" t="inlineStr">
        <is>
          <t>Hoodies, Half Zip Sweatshirts, Quarter Zip Sweatshirts</t>
        </is>
      </c>
    </row>
    <row r="1692" ht="80" customHeight="1">
      <c r="A1692" s="4">
        <f>IMAGE("https://images.lululemon.com/is/image/lululemon/LW3IG3S_0001_1?wid=320&amp;op_usm=0.8",1)</f>
        <v/>
      </c>
      <c r="B1692" s="4" t="inlineStr">
        <is>
          <t>Scuba Oversized Half-Zip Hoodie</t>
        </is>
      </c>
      <c r="C1692" s="4" t="inlineStr">
        <is>
          <t>153845648</t>
        </is>
      </c>
      <c r="D1692" s="4" t="inlineStr">
        <is>
          <t>153845648-truenavy</t>
        </is>
      </c>
      <c r="E1692" s="4" t="inlineStr">
        <is>
          <t>Scuba Oversized Half-Zip Hoodie BLK XS/S</t>
        </is>
      </c>
      <c r="F1692" s="4" t="inlineStr">
        <is>
          <t>$128.00</t>
        </is>
      </c>
      <c r="G1692" s="4" t="inlineStr">
        <is>
          <t>$64.00</t>
        </is>
      </c>
      <c r="H1692" s="4" t="inlineStr">
        <is>
          <t>True Navy</t>
        </is>
      </c>
      <c r="I1692" s="4">
        <f>IMAGE("https://images.lululemon.com/is/image/lululemon/31382",1)</f>
        <v/>
      </c>
      <c r="J1692" s="4" t="inlineStr">
        <is>
          <t>XL/XXL</t>
        </is>
      </c>
      <c r="K1692" s="4" t="inlineStr">
        <is>
          <t>445/20169</t>
        </is>
      </c>
      <c r="L1692" s="4" t="inlineStr">
        <is>
          <t>Yes</t>
        </is>
      </c>
      <c r="M1692" s="4" t="inlineStr">
        <is>
          <t>Serious about softness. This half-zip hooded sweatshirt is all about fleecy fabric and pairs perfectly with our Scuba sweatpants.</t>
        </is>
      </c>
      <c r="N1692" s="4" t="inlineStr">
        <is>
          <t>Scuba-Oversized-12-Zip-Hoodie</t>
        </is>
      </c>
      <c r="O1692" s="4" t="inlineStr">
        <is>
          <t>Hoodies, Half Zip Sweatshirts, Quarter Zip Sweatshirts</t>
        </is>
      </c>
    </row>
    <row r="1693" ht="80" customHeight="1">
      <c r="A1693" s="7">
        <f>IMAGE("https://images.lululemon.com/is/image/lululemon/LW3IG3S_0001_1?wid=320&amp;op_usm=0.8",1)</f>
        <v/>
      </c>
      <c r="B1693" s="7" t="inlineStr">
        <is>
          <t>Scuba Oversized Half-Zip Hoodie</t>
        </is>
      </c>
      <c r="C1693" s="7" t="inlineStr">
        <is>
          <t>151678221</t>
        </is>
      </c>
      <c r="D1693" s="7" t="inlineStr">
        <is>
          <t>151678221-maizeyellow</t>
        </is>
      </c>
      <c r="E1693" s="7" t="inlineStr">
        <is>
          <t>Scuba Oversized Half-Zip Hoodie BLK XS/S</t>
        </is>
      </c>
      <c r="F1693" s="7" t="inlineStr">
        <is>
          <t>$128.00</t>
        </is>
      </c>
      <c r="G1693" s="7" t="inlineStr">
        <is>
          <t>$64.00</t>
        </is>
      </c>
      <c r="H1693" s="7" t="inlineStr">
        <is>
          <t>Maize Yellow</t>
        </is>
      </c>
      <c r="I1693" s="7">
        <f>IMAGE("https://images.lululemon.com/is/image/lululemon/59067",1)</f>
        <v/>
      </c>
      <c r="J1693" s="7" t="inlineStr">
        <is>
          <t>XS/S</t>
        </is>
      </c>
      <c r="K1693" s="7" t="inlineStr">
        <is>
          <t>20/20169</t>
        </is>
      </c>
      <c r="L1693" s="7" t="inlineStr">
        <is>
          <t>Yes</t>
        </is>
      </c>
      <c r="M1693" s="7" t="inlineStr">
        <is>
          <t>Serious about softness. This half-zip hooded sweatshirt is all about fleecy fabric and pairs perfectly with our Scuba sweatpants.</t>
        </is>
      </c>
      <c r="N1693" s="7" t="inlineStr">
        <is>
          <t>Scuba-Oversized-12-Zip-Hoodie</t>
        </is>
      </c>
      <c r="O1693" s="7" t="inlineStr">
        <is>
          <t>Hoodies, Half Zip Sweatshirts, Quarter Zip Sweatshirts</t>
        </is>
      </c>
    </row>
    <row r="1694" ht="80" customHeight="1">
      <c r="A1694" s="4">
        <f>IMAGE("https://images.lululemon.com/is/image/lululemon/LW3IG3S_0001_1?wid=320&amp;op_usm=0.8",1)</f>
        <v/>
      </c>
      <c r="B1694" s="4" t="inlineStr">
        <is>
          <t>Scuba Oversized Half-Zip Hoodie</t>
        </is>
      </c>
      <c r="C1694" s="4" t="inlineStr">
        <is>
          <t>151678165</t>
        </is>
      </c>
      <c r="D1694" s="4" t="inlineStr">
        <is>
          <t>151678165-maizeyellow</t>
        </is>
      </c>
      <c r="E1694" s="4" t="inlineStr">
        <is>
          <t>Scuba Oversized Half-Zip Hoodie BLK XS/S</t>
        </is>
      </c>
      <c r="F1694" s="4" t="inlineStr">
        <is>
          <t>$128.00</t>
        </is>
      </c>
      <c r="G1694" s="4" t="inlineStr">
        <is>
          <t>$64.00</t>
        </is>
      </c>
      <c r="H1694" s="4" t="inlineStr">
        <is>
          <t>Maize Yellow</t>
        </is>
      </c>
      <c r="I1694" s="4">
        <f>IMAGE("https://images.lululemon.com/is/image/lululemon/59067",1)</f>
        <v/>
      </c>
      <c r="J1694" s="4" t="inlineStr">
        <is>
          <t>M/L</t>
        </is>
      </c>
      <c r="K1694" s="4" t="inlineStr">
        <is>
          <t>10/20169</t>
        </is>
      </c>
      <c r="L1694" s="4" t="inlineStr">
        <is>
          <t>Yes</t>
        </is>
      </c>
      <c r="M1694" s="4" t="inlineStr">
        <is>
          <t>Serious about softness. This half-zip hooded sweatshirt is all about fleecy fabric and pairs perfectly with our Scuba sweatpants.</t>
        </is>
      </c>
      <c r="N1694" s="4" t="inlineStr">
        <is>
          <t>Scuba-Oversized-12-Zip-Hoodie</t>
        </is>
      </c>
      <c r="O1694" s="4" t="inlineStr">
        <is>
          <t>Hoodies, Half Zip Sweatshirts, Quarter Zip Sweatshirts</t>
        </is>
      </c>
    </row>
    <row r="1695" ht="80" customHeight="1">
      <c r="A1695" s="7">
        <f>IMAGE("https://images.lululemon.com/is/image/lululemon/LW3IG3S_0001_1?wid=320&amp;op_usm=0.8",1)</f>
        <v/>
      </c>
      <c r="B1695" s="7" t="inlineStr">
        <is>
          <t>Scuba Oversized Half-Zip Hoodie</t>
        </is>
      </c>
      <c r="C1695" s="7" t="inlineStr">
        <is>
          <t>151678202</t>
        </is>
      </c>
      <c r="D1695" s="7" t="inlineStr">
        <is>
          <t>151678202-maizeyellow</t>
        </is>
      </c>
      <c r="E1695" s="7" t="inlineStr">
        <is>
          <t>Scuba Oversized Half-Zip Hoodie BLK XS/S</t>
        </is>
      </c>
      <c r="F1695" s="7" t="inlineStr">
        <is>
          <t>$128.00</t>
        </is>
      </c>
      <c r="G1695" s="7" t="inlineStr">
        <is>
          <t>$64.00</t>
        </is>
      </c>
      <c r="H1695" s="7" t="inlineStr">
        <is>
          <t>Maize Yellow</t>
        </is>
      </c>
      <c r="I1695" s="7">
        <f>IMAGE("https://images.lululemon.com/is/image/lululemon/59067",1)</f>
        <v/>
      </c>
      <c r="J1695" s="7" t="inlineStr">
        <is>
          <t>XL/XXL</t>
        </is>
      </c>
      <c r="K1695" s="7" t="inlineStr">
        <is>
          <t>79/20169</t>
        </is>
      </c>
      <c r="L1695" s="7" t="inlineStr">
        <is>
          <t>Yes</t>
        </is>
      </c>
      <c r="M1695" s="7" t="inlineStr">
        <is>
          <t>Serious about softness. This half-zip hooded sweatshirt is all about fleecy fabric and pairs perfectly with our Scuba sweatpants.</t>
        </is>
      </c>
      <c r="N1695" s="7" t="inlineStr">
        <is>
          <t>Scuba-Oversized-12-Zip-Hoodie</t>
        </is>
      </c>
      <c r="O1695" s="7" t="inlineStr">
        <is>
          <t>Hoodies, Half Zip Sweatshirts, Quarter Zip Sweatshirts</t>
        </is>
      </c>
    </row>
    <row r="1696" ht="80" customHeight="1">
      <c r="A1696" s="4">
        <f>IMAGE("https://images.lululemon.com/is/image/lululemon/LW3IG3S_0001_1?wid=320&amp;op_usm=0.8",1)</f>
        <v/>
      </c>
      <c r="B1696" s="4" t="inlineStr">
        <is>
          <t>Scuba Oversized Half-Zip Hoodie</t>
        </is>
      </c>
      <c r="C1696" s="4" t="inlineStr">
        <is>
          <t>153106695</t>
        </is>
      </c>
      <c r="D1696" s="4" t="inlineStr">
        <is>
          <t>153106695-heatheredcoreultralightgrey</t>
        </is>
      </c>
      <c r="E1696" s="4" t="inlineStr">
        <is>
          <t>Scuba Oversized Half-Zip Hoodie BLK XS/S</t>
        </is>
      </c>
      <c r="F1696" s="4" t="inlineStr">
        <is>
          <t>$128.00</t>
        </is>
      </c>
      <c r="G1696" s="4" t="inlineStr">
        <is>
          <t>$64.00</t>
        </is>
      </c>
      <c r="H1696" s="4" t="inlineStr">
        <is>
          <t>Heathered Core Ultra Light Grey</t>
        </is>
      </c>
      <c r="I1696" s="4">
        <f>IMAGE("https://images.lululemon.com/is/image/lululemon/32493",1)</f>
        <v/>
      </c>
      <c r="J1696" s="4" t="inlineStr">
        <is>
          <t>XS/S</t>
        </is>
      </c>
      <c r="K1696" s="4" t="inlineStr">
        <is>
          <t>447/20169</t>
        </is>
      </c>
      <c r="L1696" s="4" t="inlineStr">
        <is>
          <t>Yes</t>
        </is>
      </c>
      <c r="M1696" s="4" t="inlineStr">
        <is>
          <t>Serious about softness. This half-zip hooded sweatshirt is all about fleecy fabric and pairs perfectly with our Scuba sweatpants.</t>
        </is>
      </c>
      <c r="N1696" s="4" t="inlineStr">
        <is>
          <t>Scuba-Oversized-12-Zip-Hoodie</t>
        </is>
      </c>
      <c r="O1696" s="4" t="inlineStr">
        <is>
          <t>Hoodies, Half Zip Sweatshirts, Quarter Zip Sweatshirts</t>
        </is>
      </c>
    </row>
    <row r="1697" ht="80" customHeight="1">
      <c r="A1697" s="7">
        <f>IMAGE("https://images.lululemon.com/is/image/lululemon/LW3IG3S_0001_1?wid=320&amp;op_usm=0.8",1)</f>
        <v/>
      </c>
      <c r="B1697" s="7" t="inlineStr">
        <is>
          <t>Scuba Oversized Half-Zip Hoodie</t>
        </is>
      </c>
      <c r="C1697" s="7" t="inlineStr">
        <is>
          <t>153106668</t>
        </is>
      </c>
      <c r="D1697" s="7" t="inlineStr">
        <is>
          <t>153106668-heatheredcoreultralightgrey</t>
        </is>
      </c>
      <c r="E1697" s="7" t="inlineStr">
        <is>
          <t>Scuba Oversized Half-Zip Hoodie BLK XS/S</t>
        </is>
      </c>
      <c r="F1697" s="7" t="inlineStr">
        <is>
          <t>$128.00</t>
        </is>
      </c>
      <c r="G1697" s="7" t="inlineStr">
        <is>
          <t>$64.00</t>
        </is>
      </c>
      <c r="H1697" s="7" t="inlineStr">
        <is>
          <t>Heathered Core Ultra Light Grey</t>
        </is>
      </c>
      <c r="I1697" s="7">
        <f>IMAGE("https://images.lululemon.com/is/image/lululemon/32493",1)</f>
        <v/>
      </c>
      <c r="J1697" s="7" t="inlineStr">
        <is>
          <t>M/L</t>
        </is>
      </c>
      <c r="K1697" s="7" t="inlineStr">
        <is>
          <t>802/20169</t>
        </is>
      </c>
      <c r="L1697" s="7" t="inlineStr">
        <is>
          <t>Yes</t>
        </is>
      </c>
      <c r="M1697" s="7" t="inlineStr">
        <is>
          <t>Serious about softness. This half-zip hooded sweatshirt is all about fleecy fabric and pairs perfectly with our Scuba sweatpants.</t>
        </is>
      </c>
      <c r="N1697" s="7" t="inlineStr">
        <is>
          <t>Scuba-Oversized-12-Zip-Hoodie</t>
        </is>
      </c>
      <c r="O1697" s="7" t="inlineStr">
        <is>
          <t>Hoodies, Half Zip Sweatshirts, Quarter Zip Sweatshirts</t>
        </is>
      </c>
    </row>
    <row r="1698" ht="80" customHeight="1">
      <c r="A1698" s="4">
        <f>IMAGE("https://images.lululemon.com/is/image/lululemon/LW3IG3S_0001_1?wid=320&amp;op_usm=0.8",1)</f>
        <v/>
      </c>
      <c r="B1698" s="4" t="inlineStr">
        <is>
          <t>Scuba Oversized Half-Zip Hoodie</t>
        </is>
      </c>
      <c r="C1698" s="4" t="inlineStr">
        <is>
          <t>153106687</t>
        </is>
      </c>
      <c r="D1698" s="4" t="inlineStr">
        <is>
          <t>153106687-heatheredcoreultralightgrey</t>
        </is>
      </c>
      <c r="E1698" s="4" t="inlineStr">
        <is>
          <t>Scuba Oversized Half-Zip Hoodie BLK XS/S</t>
        </is>
      </c>
      <c r="F1698" s="4" t="inlineStr">
        <is>
          <t>$128.00</t>
        </is>
      </c>
      <c r="G1698" s="4" t="inlineStr">
        <is>
          <t>$64.00</t>
        </is>
      </c>
      <c r="H1698" s="4" t="inlineStr">
        <is>
          <t>Heathered Core Ultra Light Grey</t>
        </is>
      </c>
      <c r="I1698" s="4">
        <f>IMAGE("https://images.lululemon.com/is/image/lululemon/32493",1)</f>
        <v/>
      </c>
      <c r="J1698" s="4" t="inlineStr">
        <is>
          <t>XL/XXL</t>
        </is>
      </c>
      <c r="K1698" s="4" t="inlineStr">
        <is>
          <t>210/20169</t>
        </is>
      </c>
      <c r="L1698" s="4" t="inlineStr">
        <is>
          <t>Yes</t>
        </is>
      </c>
      <c r="M1698" s="4" t="inlineStr">
        <is>
          <t>Serious about softness. This half-zip hooded sweatshirt is all about fleecy fabric and pairs perfectly with our Scuba sweatpants.</t>
        </is>
      </c>
      <c r="N1698" s="4" t="inlineStr">
        <is>
          <t>Scuba-Oversized-12-Zip-Hoodie</t>
        </is>
      </c>
      <c r="O1698" s="4" t="inlineStr">
        <is>
          <t>Hoodies, Half Zip Sweatshirts, Quarter Zip Sweatshirts</t>
        </is>
      </c>
    </row>
    <row r="1699" ht="80" customHeight="1">
      <c r="A1699" s="7">
        <f>IMAGE("https://images.lululemon.com/is/image/lululemon/LW3IG3S_0001_1?wid=320&amp;op_usm=0.8",1)</f>
        <v/>
      </c>
      <c r="B1699" s="7" t="inlineStr">
        <is>
          <t>Scuba Oversized Half-Zip Hoodie</t>
        </is>
      </c>
      <c r="C1699" s="7" t="inlineStr">
        <is>
          <t>156498679</t>
        </is>
      </c>
      <c r="D1699" s="7" t="inlineStr">
        <is>
          <t>156498679-white</t>
        </is>
      </c>
      <c r="E1699" s="7" t="inlineStr">
        <is>
          <t>Scuba Oversized Half-Zip Hoodie BLK XS/S</t>
        </is>
      </c>
      <c r="F1699" s="7" t="inlineStr">
        <is>
          <t>$128.00</t>
        </is>
      </c>
      <c r="G1699" s="7" t="inlineStr">
        <is>
          <t>$64.00</t>
        </is>
      </c>
      <c r="H1699" s="7" t="inlineStr">
        <is>
          <t>White</t>
        </is>
      </c>
      <c r="I1699" s="7">
        <f>IMAGE("https://images.lululemon.com/is/image/lululemon/0002",1)</f>
        <v/>
      </c>
      <c r="J1699" s="7" t="inlineStr">
        <is>
          <t>XS/S</t>
        </is>
      </c>
      <c r="K1699" s="7" t="inlineStr">
        <is>
          <t>46/20169</t>
        </is>
      </c>
      <c r="L1699" s="7" t="inlineStr">
        <is>
          <t>Yes</t>
        </is>
      </c>
      <c r="M1699" s="7" t="inlineStr">
        <is>
          <t>Serious about softness. This half-zip hooded sweatshirt is all about fleecy fabric and pairs perfectly with our Scuba sweatpants.</t>
        </is>
      </c>
      <c r="N1699" s="7" t="inlineStr">
        <is>
          <t>Scuba-Oversized-12-Zip-Hoodie</t>
        </is>
      </c>
      <c r="O1699" s="7" t="inlineStr">
        <is>
          <t>Hoodies, Half Zip Sweatshirts, Quarter Zip Sweatshirts</t>
        </is>
      </c>
    </row>
    <row r="1700" ht="80" customHeight="1">
      <c r="A1700" s="4">
        <f>IMAGE("https://images.lululemon.com/is/image/lululemon/LW3IG3S_0001_1?wid=320&amp;op_usm=0.8",1)</f>
        <v/>
      </c>
      <c r="B1700" s="4" t="inlineStr">
        <is>
          <t>Scuba Oversized Half-Zip Hoodie</t>
        </is>
      </c>
      <c r="C1700" s="4" t="inlineStr">
        <is>
          <t>156498634</t>
        </is>
      </c>
      <c r="D1700" s="4" t="inlineStr">
        <is>
          <t>156498634-white</t>
        </is>
      </c>
      <c r="E1700" s="4" t="inlineStr">
        <is>
          <t>Scuba Oversized Half-Zip Hoodie BLK XS/S</t>
        </is>
      </c>
      <c r="F1700" s="4" t="inlineStr">
        <is>
          <t>$128.00</t>
        </is>
      </c>
      <c r="G1700" s="4" t="inlineStr">
        <is>
          <t>$64.00</t>
        </is>
      </c>
      <c r="H1700" s="4" t="inlineStr">
        <is>
          <t>White</t>
        </is>
      </c>
      <c r="I1700" s="4">
        <f>IMAGE("https://images.lululemon.com/is/image/lululemon/0002",1)</f>
        <v/>
      </c>
      <c r="J1700" s="4" t="inlineStr">
        <is>
          <t>M/L</t>
        </is>
      </c>
      <c r="K1700" s="4" t="inlineStr">
        <is>
          <t>70/20169</t>
        </is>
      </c>
      <c r="L1700" s="4" t="inlineStr">
        <is>
          <t>Yes</t>
        </is>
      </c>
      <c r="M1700" s="4" t="inlineStr">
        <is>
          <t>Serious about softness. This half-zip hooded sweatshirt is all about fleecy fabric and pairs perfectly with our Scuba sweatpants.</t>
        </is>
      </c>
      <c r="N1700" s="4" t="inlineStr">
        <is>
          <t>Scuba-Oversized-12-Zip-Hoodie</t>
        </is>
      </c>
      <c r="O1700" s="4" t="inlineStr">
        <is>
          <t>Hoodies, Half Zip Sweatshirts, Quarter Zip Sweatshirts</t>
        </is>
      </c>
    </row>
    <row r="1701" ht="80" customHeight="1">
      <c r="A1701" s="7">
        <f>IMAGE("https://images.lululemon.com/is/image/lululemon/LW3IG3S_0001_1?wid=320&amp;op_usm=0.8",1)</f>
        <v/>
      </c>
      <c r="B1701" s="7" t="inlineStr">
        <is>
          <t>Scuba Oversized Half-Zip Hoodie</t>
        </is>
      </c>
      <c r="C1701" s="7" t="inlineStr">
        <is>
          <t>156498666</t>
        </is>
      </c>
      <c r="D1701" s="7" t="inlineStr">
        <is>
          <t>156498666-white</t>
        </is>
      </c>
      <c r="E1701" s="7" t="inlineStr">
        <is>
          <t>Scuba Oversized Half-Zip Hoodie BLK XS/S</t>
        </is>
      </c>
      <c r="F1701" s="7" t="inlineStr">
        <is>
          <t>$128.00</t>
        </is>
      </c>
      <c r="G1701" s="7" t="inlineStr">
        <is>
          <t>$64.00</t>
        </is>
      </c>
      <c r="H1701" s="7" t="inlineStr">
        <is>
          <t>White</t>
        </is>
      </c>
      <c r="I1701" s="7">
        <f>IMAGE("https://images.lululemon.com/is/image/lululemon/0002",1)</f>
        <v/>
      </c>
      <c r="J1701" s="7" t="inlineStr">
        <is>
          <t>XL/XXL</t>
        </is>
      </c>
      <c r="K1701" s="7" t="inlineStr">
        <is>
          <t>19/20169</t>
        </is>
      </c>
      <c r="L1701" s="7" t="inlineStr">
        <is>
          <t>Yes</t>
        </is>
      </c>
      <c r="M1701" s="7" t="inlineStr">
        <is>
          <t>Serious about softness. This half-zip hooded sweatshirt is all about fleecy fabric and pairs perfectly with our Scuba sweatpants.</t>
        </is>
      </c>
      <c r="N1701" s="7" t="inlineStr">
        <is>
          <t>Scuba-Oversized-12-Zip-Hoodie</t>
        </is>
      </c>
      <c r="O1701" s="7" t="inlineStr">
        <is>
          <t>Hoodies, Half Zip Sweatshirts, Quarter Zip Sweatshirts</t>
        </is>
      </c>
    </row>
    <row r="1702" ht="80" customHeight="1">
      <c r="A1702" s="4">
        <f>IMAGE("https://images.lululemon.com/is/image/lululemon/LW3IG3S_0001_1?wid=320&amp;op_usm=0.8",1)</f>
        <v/>
      </c>
      <c r="B1702" s="4" t="inlineStr">
        <is>
          <t>Scuba Oversized Half-Zip Hoodie</t>
        </is>
      </c>
      <c r="C1702" s="4" t="inlineStr">
        <is>
          <t>154883072</t>
        </is>
      </c>
      <c r="D1702" s="4" t="inlineStr">
        <is>
          <t>154883072-black/gold</t>
        </is>
      </c>
      <c r="E1702" s="4" t="inlineStr">
        <is>
          <t>Scuba Oversized Half-Zip Hoodie BLK XS/S</t>
        </is>
      </c>
      <c r="F1702" s="4" t="inlineStr">
        <is>
          <t>$128.00</t>
        </is>
      </c>
      <c r="G1702" s="4" t="inlineStr">
        <is>
          <t>$64.00</t>
        </is>
      </c>
      <c r="H1702" s="4" t="inlineStr">
        <is>
          <t>Black/Gold</t>
        </is>
      </c>
      <c r="I1702" s="4">
        <f>IMAGE("https://images.lululemon.com/is/image/lululemon/3385",1)</f>
        <v/>
      </c>
      <c r="J1702" s="4" t="inlineStr">
        <is>
          <t>XS/S</t>
        </is>
      </c>
      <c r="K1702" s="4" t="inlineStr">
        <is>
          <t>953/20169</t>
        </is>
      </c>
      <c r="L1702" s="4" t="inlineStr">
        <is>
          <t>Yes</t>
        </is>
      </c>
      <c r="M1702" s="4" t="inlineStr">
        <is>
          <t>Serious about softness. This half-zip hooded sweatshirt is all about fleecy fabric and pairs perfectly with our Scuba sweatpants.</t>
        </is>
      </c>
      <c r="N1702" s="4" t="inlineStr">
        <is>
          <t>Scuba-Oversized-12-Zip-Hoodie</t>
        </is>
      </c>
      <c r="O1702" s="4" t="inlineStr">
        <is>
          <t>Hoodies, Half Zip Sweatshirts, Quarter Zip Sweatshirts</t>
        </is>
      </c>
    </row>
    <row r="1703" ht="80" customHeight="1">
      <c r="A1703" s="7">
        <f>IMAGE("https://images.lululemon.com/is/image/lululemon/LW3IG3S_0001_1?wid=320&amp;op_usm=0.8",1)</f>
        <v/>
      </c>
      <c r="B1703" s="7" t="inlineStr">
        <is>
          <t>Scuba Oversized Half-Zip Hoodie</t>
        </is>
      </c>
      <c r="C1703" s="7" t="inlineStr">
        <is>
          <t>154883058</t>
        </is>
      </c>
      <c r="D1703" s="7" t="inlineStr">
        <is>
          <t>154883058-black/gold</t>
        </is>
      </c>
      <c r="E1703" s="7" t="inlineStr">
        <is>
          <t>Scuba Oversized Half-Zip Hoodie BLK XS/S</t>
        </is>
      </c>
      <c r="F1703" s="7" t="inlineStr">
        <is>
          <t>$128.00</t>
        </is>
      </c>
      <c r="G1703" s="7" t="inlineStr">
        <is>
          <t>$64.00</t>
        </is>
      </c>
      <c r="H1703" s="7" t="inlineStr">
        <is>
          <t>Black/Gold</t>
        </is>
      </c>
      <c r="I1703" s="7">
        <f>IMAGE("https://images.lululemon.com/is/image/lululemon/3385",1)</f>
        <v/>
      </c>
      <c r="J1703" s="7" t="inlineStr">
        <is>
          <t>M/L</t>
        </is>
      </c>
      <c r="K1703" s="7" t="inlineStr">
        <is>
          <t>1228/20169</t>
        </is>
      </c>
      <c r="L1703" s="7" t="inlineStr">
        <is>
          <t>Yes</t>
        </is>
      </c>
      <c r="M1703" s="7" t="inlineStr">
        <is>
          <t>Serious about softness. This half-zip hooded sweatshirt is all about fleecy fabric and pairs perfectly with our Scuba sweatpants.</t>
        </is>
      </c>
      <c r="N1703" s="7" t="inlineStr">
        <is>
          <t>Scuba-Oversized-12-Zip-Hoodie</t>
        </is>
      </c>
      <c r="O1703" s="7" t="inlineStr">
        <is>
          <t>Hoodies, Half Zip Sweatshirts, Quarter Zip Sweatshirts</t>
        </is>
      </c>
    </row>
    <row r="1704" ht="80" customHeight="1">
      <c r="A1704" s="4">
        <f>IMAGE("https://images.lululemon.com/is/image/lululemon/LW3IG3S_0001_1?wid=320&amp;op_usm=0.8",1)</f>
        <v/>
      </c>
      <c r="B1704" s="4" t="inlineStr">
        <is>
          <t>Scuba Oversized Half-Zip Hoodie</t>
        </is>
      </c>
      <c r="C1704" s="4" t="inlineStr">
        <is>
          <t>153900318</t>
        </is>
      </c>
      <c r="D1704" s="4" t="inlineStr">
        <is>
          <t>153900318-black/gold</t>
        </is>
      </c>
      <c r="E1704" s="4" t="inlineStr">
        <is>
          <t>Scuba Oversized Half-Zip Hoodie BLK XS/S</t>
        </is>
      </c>
      <c r="F1704" s="4" t="inlineStr">
        <is>
          <t>$128.00</t>
        </is>
      </c>
      <c r="G1704" s="4" t="inlineStr">
        <is>
          <t>$64.00</t>
        </is>
      </c>
      <c r="H1704" s="4" t="inlineStr">
        <is>
          <t>Black/Gold</t>
        </is>
      </c>
      <c r="I1704" s="4">
        <f>IMAGE("https://images.lululemon.com/is/image/lululemon/3385",1)</f>
        <v/>
      </c>
      <c r="J1704" s="4" t="inlineStr">
        <is>
          <t>XL/XXL</t>
        </is>
      </c>
      <c r="K1704" s="4" t="inlineStr">
        <is>
          <t>467/20169</t>
        </is>
      </c>
      <c r="L1704" s="4" t="inlineStr">
        <is>
          <t>Yes</t>
        </is>
      </c>
      <c r="M1704" s="4" t="inlineStr">
        <is>
          <t>Serious about softness. This half-zip hooded sweatshirt is all about fleecy fabric and pairs perfectly with our Scuba sweatpants.</t>
        </is>
      </c>
      <c r="N1704" s="4" t="inlineStr">
        <is>
          <t>Scuba-Oversized-12-Zip-Hoodie</t>
        </is>
      </c>
      <c r="O1704" s="4" t="inlineStr">
        <is>
          <t>Hoodies, Half Zip Sweatshirts, Quarter Zip Sweatshirts</t>
        </is>
      </c>
    </row>
    <row r="1705" ht="80" customHeight="1">
      <c r="A1705" s="7">
        <f>IMAGE("https://images.lululemon.com/is/image/lululemon/LW3IG3S_0001_1?wid=320&amp;op_usm=0.8",1)</f>
        <v/>
      </c>
      <c r="B1705" s="7" t="inlineStr">
        <is>
          <t>Scuba Oversized Half-Zip Hoodie</t>
        </is>
      </c>
      <c r="C1705" s="7" t="inlineStr">
        <is>
          <t>155751498</t>
        </is>
      </c>
      <c r="D1705" s="7" t="inlineStr">
        <is>
          <t>155751498-pinkhaze/rosegold</t>
        </is>
      </c>
      <c r="E1705" s="7" t="inlineStr">
        <is>
          <t>Scuba Oversized Half-Zip Hoodie BLK XS/S</t>
        </is>
      </c>
      <c r="F1705" s="7" t="inlineStr">
        <is>
          <t>$128.00</t>
        </is>
      </c>
      <c r="G1705" s="7" t="inlineStr">
        <is>
          <t>$64.00</t>
        </is>
      </c>
      <c r="H1705" s="7" t="inlineStr">
        <is>
          <t>Pink Haze/Rose Gold</t>
        </is>
      </c>
      <c r="I1705" s="7">
        <f>IMAGE("https://images.lululemon.com/is/image/lululemon/69753",1)</f>
        <v/>
      </c>
      <c r="J1705" s="7" t="inlineStr">
        <is>
          <t>XS/S</t>
        </is>
      </c>
      <c r="K1705" s="7" t="inlineStr">
        <is>
          <t>25/20169</t>
        </is>
      </c>
      <c r="L1705" s="7" t="inlineStr">
        <is>
          <t>Yes</t>
        </is>
      </c>
      <c r="M1705" s="7" t="inlineStr">
        <is>
          <t>Serious about softness. This half-zip hooded sweatshirt is all about fleecy fabric and pairs perfectly with our Scuba sweatpants.</t>
        </is>
      </c>
      <c r="N1705" s="7" t="inlineStr">
        <is>
          <t>Scuba-Oversized-12-Zip-Hoodie</t>
        </is>
      </c>
      <c r="O1705" s="7" t="inlineStr">
        <is>
          <t>Hoodies, Half Zip Sweatshirts, Quarter Zip Sweatshirts</t>
        </is>
      </c>
    </row>
    <row r="1706" ht="80" customHeight="1">
      <c r="A1706" s="4">
        <f>IMAGE("https://images.lululemon.com/is/image/lululemon/LW3IG3S_0001_1?wid=320&amp;op_usm=0.8",1)</f>
        <v/>
      </c>
      <c r="B1706" s="4" t="inlineStr">
        <is>
          <t>Scuba Oversized Half-Zip Hoodie</t>
        </is>
      </c>
      <c r="C1706" s="4" t="inlineStr">
        <is>
          <t>155751448</t>
        </is>
      </c>
      <c r="D1706" s="4" t="inlineStr">
        <is>
          <t>155751448-pinkhaze/rosegold</t>
        </is>
      </c>
      <c r="E1706" s="4" t="inlineStr">
        <is>
          <t>Scuba Oversized Half-Zip Hoodie BLK XS/S</t>
        </is>
      </c>
      <c r="F1706" s="4" t="inlineStr">
        <is>
          <t>$128.00</t>
        </is>
      </c>
      <c r="G1706" s="4" t="inlineStr">
        <is>
          <t>$64.00</t>
        </is>
      </c>
      <c r="H1706" s="4" t="inlineStr">
        <is>
          <t>Pink Haze/Rose Gold</t>
        </is>
      </c>
      <c r="I1706" s="4">
        <f>IMAGE("https://images.lululemon.com/is/image/lululemon/69753",1)</f>
        <v/>
      </c>
      <c r="J1706" s="4" t="inlineStr">
        <is>
          <t>M/L</t>
        </is>
      </c>
      <c r="K1706" s="4" t="inlineStr">
        <is>
          <t>150/20169</t>
        </is>
      </c>
      <c r="L1706" s="4" t="inlineStr">
        <is>
          <t>Yes</t>
        </is>
      </c>
      <c r="M1706" s="4" t="inlineStr">
        <is>
          <t>Serious about softness. This half-zip hooded sweatshirt is all about fleecy fabric and pairs perfectly with our Scuba sweatpants.</t>
        </is>
      </c>
      <c r="N1706" s="4" t="inlineStr">
        <is>
          <t>Scuba-Oversized-12-Zip-Hoodie</t>
        </is>
      </c>
      <c r="O1706" s="4" t="inlineStr">
        <is>
          <t>Hoodies, Half Zip Sweatshirts, Quarter Zip Sweatshirts</t>
        </is>
      </c>
    </row>
    <row r="1707" ht="80" customHeight="1">
      <c r="A1707" s="7">
        <f>IMAGE("https://images.lululemon.com/is/image/lululemon/LW3IG3S_0001_1?wid=320&amp;op_usm=0.8",1)</f>
        <v/>
      </c>
      <c r="B1707" s="7" t="inlineStr">
        <is>
          <t>Scuba Oversized Half-Zip Hoodie</t>
        </is>
      </c>
      <c r="C1707" s="7" t="inlineStr">
        <is>
          <t>155751479</t>
        </is>
      </c>
      <c r="D1707" s="7" t="inlineStr">
        <is>
          <t>155751479-pinkhaze/rosegold</t>
        </is>
      </c>
      <c r="E1707" s="7" t="inlineStr">
        <is>
          <t>Scuba Oversized Half-Zip Hoodie BLK XS/S</t>
        </is>
      </c>
      <c r="F1707" s="7" t="inlineStr">
        <is>
          <t>$128.00</t>
        </is>
      </c>
      <c r="G1707" s="7" t="inlineStr">
        <is>
          <t>$64.00</t>
        </is>
      </c>
      <c r="H1707" s="7" t="inlineStr">
        <is>
          <t>Pink Haze/Rose Gold</t>
        </is>
      </c>
      <c r="I1707" s="7">
        <f>IMAGE("https://images.lululemon.com/is/image/lululemon/69753",1)</f>
        <v/>
      </c>
      <c r="J1707" s="7" t="inlineStr">
        <is>
          <t>XL/XXL</t>
        </is>
      </c>
      <c r="K1707" s="7" t="inlineStr">
        <is>
          <t>9/20169</t>
        </is>
      </c>
      <c r="L1707" s="7" t="inlineStr">
        <is>
          <t>Yes</t>
        </is>
      </c>
      <c r="M1707" s="7" t="inlineStr">
        <is>
          <t>Serious about softness. This half-zip hooded sweatshirt is all about fleecy fabric and pairs perfectly with our Scuba sweatpants.</t>
        </is>
      </c>
      <c r="N1707" s="7" t="inlineStr">
        <is>
          <t>Scuba-Oversized-12-Zip-Hoodie</t>
        </is>
      </c>
      <c r="O1707" s="7" t="inlineStr">
        <is>
          <t>Hoodies, Half Zip Sweatshirts, Quarter Zip Sweatshirts</t>
        </is>
      </c>
    </row>
    <row r="1708" ht="80" customHeight="1">
      <c r="A1708" s="4">
        <f>IMAGE("https://images.lululemon.com/is/image/lululemon/LW3IG3S_0001_1?wid=320&amp;op_usm=0.8",1)</f>
        <v/>
      </c>
      <c r="B1708" s="4" t="inlineStr">
        <is>
          <t>Scuba Oversized Half-Zip Hoodie</t>
        </is>
      </c>
      <c r="C1708" s="4" t="inlineStr">
        <is>
          <t>155853440</t>
        </is>
      </c>
      <c r="D1708" s="4" t="inlineStr">
        <is>
          <t>155853440-lavenderlux/mirrorsilver</t>
        </is>
      </c>
      <c r="E1708" s="4" t="inlineStr">
        <is>
          <t>Scuba Oversized Half-Zip Hoodie BLK XS/S</t>
        </is>
      </c>
      <c r="F1708" s="4" t="inlineStr">
        <is>
          <t>$128.00</t>
        </is>
      </c>
      <c r="G1708" s="4" t="inlineStr">
        <is>
          <t>$64.00</t>
        </is>
      </c>
      <c r="H1708" s="4" t="inlineStr">
        <is>
          <t>Lavender Lux/Mirror Silver</t>
        </is>
      </c>
      <c r="I1708" s="4">
        <f>IMAGE("https://images.lululemon.com/is/image/lululemon/69781",1)</f>
        <v/>
      </c>
      <c r="J1708" s="4" t="inlineStr">
        <is>
          <t>XS/S</t>
        </is>
      </c>
      <c r="K1708" s="4" t="inlineStr">
        <is>
          <t>522/20169</t>
        </is>
      </c>
      <c r="L1708" s="4" t="inlineStr">
        <is>
          <t>Yes</t>
        </is>
      </c>
      <c r="M1708" s="4" t="inlineStr">
        <is>
          <t>Serious about softness. This half-zip hooded sweatshirt is all about fleecy fabric and pairs perfectly with our Scuba sweatpants.</t>
        </is>
      </c>
      <c r="N1708" s="4" t="inlineStr">
        <is>
          <t>Scuba-Oversized-12-Zip-Hoodie</t>
        </is>
      </c>
      <c r="O1708" s="4" t="inlineStr">
        <is>
          <t>Hoodies, Half Zip Sweatshirts, Quarter Zip Sweatshirts</t>
        </is>
      </c>
    </row>
    <row r="1709" ht="80" customHeight="1">
      <c r="A1709" s="7">
        <f>IMAGE("https://images.lululemon.com/is/image/lululemon/LW3IG3S_0001_1?wid=320&amp;op_usm=0.8",1)</f>
        <v/>
      </c>
      <c r="B1709" s="7" t="inlineStr">
        <is>
          <t>Scuba Oversized Half-Zip Hoodie</t>
        </is>
      </c>
      <c r="C1709" s="7" t="inlineStr">
        <is>
          <t>155853390</t>
        </is>
      </c>
      <c r="D1709" s="7" t="inlineStr">
        <is>
          <t>155853390-lavenderlux/mirrorsilver</t>
        </is>
      </c>
      <c r="E1709" s="7" t="inlineStr">
        <is>
          <t>Scuba Oversized Half-Zip Hoodie BLK XS/S</t>
        </is>
      </c>
      <c r="F1709" s="7" t="inlineStr">
        <is>
          <t>$128.00</t>
        </is>
      </c>
      <c r="G1709" s="7" t="inlineStr">
        <is>
          <t>$64.00</t>
        </is>
      </c>
      <c r="H1709" s="7" t="inlineStr">
        <is>
          <t>Lavender Lux/Mirror Silver</t>
        </is>
      </c>
      <c r="I1709" s="7">
        <f>IMAGE("https://images.lululemon.com/is/image/lululemon/69781",1)</f>
        <v/>
      </c>
      <c r="J1709" s="7" t="inlineStr">
        <is>
          <t>M/L</t>
        </is>
      </c>
      <c r="K1709" s="7" t="inlineStr">
        <is>
          <t>611/20169</t>
        </is>
      </c>
      <c r="L1709" s="7" t="inlineStr">
        <is>
          <t>Yes</t>
        </is>
      </c>
      <c r="M1709" s="7" t="inlineStr">
        <is>
          <t>Serious about softness. This half-zip hooded sweatshirt is all about fleecy fabric and pairs perfectly with our Scuba sweatpants.</t>
        </is>
      </c>
      <c r="N1709" s="7" t="inlineStr">
        <is>
          <t>Scuba-Oversized-12-Zip-Hoodie</t>
        </is>
      </c>
      <c r="O1709" s="7" t="inlineStr">
        <is>
          <t>Hoodies, Half Zip Sweatshirts, Quarter Zip Sweatshirts</t>
        </is>
      </c>
    </row>
    <row r="1710" ht="80" customHeight="1">
      <c r="A1710" s="4">
        <f>IMAGE("https://images.lululemon.com/is/image/lululemon/LW3IG3S_0001_1?wid=320&amp;op_usm=0.8",1)</f>
        <v/>
      </c>
      <c r="B1710" s="4" t="inlineStr">
        <is>
          <t>Scuba Oversized Half-Zip Hoodie</t>
        </is>
      </c>
      <c r="C1710" s="4" t="inlineStr">
        <is>
          <t>155853424</t>
        </is>
      </c>
      <c r="D1710" s="4" t="inlineStr">
        <is>
          <t>155853424-lavenderlux/mirrorsilver</t>
        </is>
      </c>
      <c r="E1710" s="4" t="inlineStr">
        <is>
          <t>Scuba Oversized Half-Zip Hoodie BLK XS/S</t>
        </is>
      </c>
      <c r="F1710" s="4" t="inlineStr">
        <is>
          <t>$128.00</t>
        </is>
      </c>
      <c r="G1710" s="4" t="inlineStr">
        <is>
          <t>$64.00</t>
        </is>
      </c>
      <c r="H1710" s="4" t="inlineStr">
        <is>
          <t>Lavender Lux/Mirror Silver</t>
        </is>
      </c>
      <c r="I1710" s="4">
        <f>IMAGE("https://images.lululemon.com/is/image/lululemon/69781",1)</f>
        <v/>
      </c>
      <c r="J1710" s="4" t="inlineStr">
        <is>
          <t>XL/XXL</t>
        </is>
      </c>
      <c r="K1710" s="4" t="inlineStr">
        <is>
          <t>200/20169</t>
        </is>
      </c>
      <c r="L1710" s="4" t="inlineStr">
        <is>
          <t>Yes</t>
        </is>
      </c>
      <c r="M1710" s="4" t="inlineStr">
        <is>
          <t>Serious about softness. This half-zip hooded sweatshirt is all about fleecy fabric and pairs perfectly with our Scuba sweatpants.</t>
        </is>
      </c>
      <c r="N1710" s="4" t="inlineStr">
        <is>
          <t>Scuba-Oversized-12-Zip-Hoodie</t>
        </is>
      </c>
      <c r="O1710" s="4" t="inlineStr">
        <is>
          <t>Hoodies, Half Zip Sweatshirts, Quarter Zip Sweatshirts</t>
        </is>
      </c>
    </row>
    <row r="1711" ht="80" customHeight="1">
      <c r="A1711" s="7">
        <f>IMAGE("https://images.lululemon.com/is/image/lululemon/LW3IG3S_0001_1?wid=320&amp;op_usm=0.8",1)</f>
        <v/>
      </c>
      <c r="B1711" s="7" t="inlineStr">
        <is>
          <t>Scuba Oversized Half-Zip Hoodie</t>
        </is>
      </c>
      <c r="C1711" s="7" t="inlineStr">
        <is>
          <t>154900852</t>
        </is>
      </c>
      <c r="D1711" s="7" t="inlineStr">
        <is>
          <t>154900852-proudcloud</t>
        </is>
      </c>
      <c r="E1711" s="7" t="inlineStr">
        <is>
          <t>Scuba Oversized Half-Zip Hoodie BLK XS/S</t>
        </is>
      </c>
      <c r="F1711" s="7" t="inlineStr">
        <is>
          <t>$128.00</t>
        </is>
      </c>
      <c r="G1711" s="7" t="inlineStr">
        <is>
          <t>$64.00</t>
        </is>
      </c>
      <c r="H1711" s="7" t="inlineStr">
        <is>
          <t>Proud Cloud</t>
        </is>
      </c>
      <c r="I1711" s="7">
        <f>IMAGE("https://images.lululemon.com/is/image/lululemon/68365",1)</f>
        <v/>
      </c>
      <c r="J1711" s="7" t="inlineStr">
        <is>
          <t>XS/S</t>
        </is>
      </c>
      <c r="K1711" s="7" t="inlineStr">
        <is>
          <t>33/20169</t>
        </is>
      </c>
      <c r="L1711" s="7" t="inlineStr">
        <is>
          <t>Yes</t>
        </is>
      </c>
      <c r="M1711" s="7" t="inlineStr">
        <is>
          <t>Serious about softness. This half-zip hooded sweatshirt is all about fleecy fabric and pairs perfectly with our Scuba sweatpants.</t>
        </is>
      </c>
      <c r="N1711" s="7" t="inlineStr">
        <is>
          <t>Scuba-Oversized-12-Zip-Hoodie</t>
        </is>
      </c>
      <c r="O1711" s="7" t="inlineStr">
        <is>
          <t>Hoodies, Half Zip Sweatshirts, Quarter Zip Sweatshirts</t>
        </is>
      </c>
    </row>
    <row r="1712" ht="80" customHeight="1">
      <c r="A1712" s="4">
        <f>IMAGE("https://images.lululemon.com/is/image/lululemon/LW3IG3S_0001_1?wid=320&amp;op_usm=0.8",1)</f>
        <v/>
      </c>
      <c r="B1712" s="4" t="inlineStr">
        <is>
          <t>Scuba Oversized Half-Zip Hoodie</t>
        </is>
      </c>
      <c r="C1712" s="4" t="inlineStr">
        <is>
          <t>154900849</t>
        </is>
      </c>
      <c r="D1712" s="4" t="inlineStr">
        <is>
          <t>154900849-proudcloud</t>
        </is>
      </c>
      <c r="E1712" s="4" t="inlineStr">
        <is>
          <t>Scuba Oversized Half-Zip Hoodie BLK XS/S</t>
        </is>
      </c>
      <c r="F1712" s="4" t="inlineStr">
        <is>
          <t>$128.00</t>
        </is>
      </c>
      <c r="G1712" s="4" t="inlineStr">
        <is>
          <t>$64.00</t>
        </is>
      </c>
      <c r="H1712" s="4" t="inlineStr">
        <is>
          <t>Proud Cloud</t>
        </is>
      </c>
      <c r="I1712" s="4">
        <f>IMAGE("https://images.lululemon.com/is/image/lululemon/68365",1)</f>
        <v/>
      </c>
      <c r="J1712" s="4" t="inlineStr">
        <is>
          <t>M/L</t>
        </is>
      </c>
      <c r="K1712" s="4" t="inlineStr">
        <is>
          <t>20/20169</t>
        </is>
      </c>
      <c r="L1712" s="4" t="inlineStr">
        <is>
          <t>Yes</t>
        </is>
      </c>
      <c r="M1712" s="4" t="inlineStr">
        <is>
          <t>Serious about softness. This half-zip hooded sweatshirt is all about fleecy fabric and pairs perfectly with our Scuba sweatpants.</t>
        </is>
      </c>
      <c r="N1712" s="4" t="inlineStr">
        <is>
          <t>Scuba-Oversized-12-Zip-Hoodie</t>
        </is>
      </c>
      <c r="O1712" s="4" t="inlineStr">
        <is>
          <t>Hoodies, Half Zip Sweatshirts, Quarter Zip Sweatshirts</t>
        </is>
      </c>
    </row>
    <row r="1713" ht="80" customHeight="1">
      <c r="A1713" s="7">
        <f>IMAGE("https://images.lululemon.com/is/image/lululemon/LW3IG3S_0001_1?wid=320&amp;op_usm=0.8",1)</f>
        <v/>
      </c>
      <c r="B1713" s="7" t="inlineStr">
        <is>
          <t>Scuba Oversized Half-Zip Hoodie</t>
        </is>
      </c>
      <c r="C1713" s="7" t="inlineStr">
        <is>
          <t>156476482</t>
        </is>
      </c>
      <c r="D1713" s="7" t="inlineStr">
        <is>
          <t>156476482-lavenderfrost</t>
        </is>
      </c>
      <c r="E1713" s="7" t="inlineStr">
        <is>
          <t>Scuba Oversized Half-Zip Hoodie BLK XS/S</t>
        </is>
      </c>
      <c r="F1713" s="7" t="inlineStr">
        <is>
          <t>$128.00</t>
        </is>
      </c>
      <c r="G1713" s="7" t="inlineStr">
        <is>
          <t>$64.00</t>
        </is>
      </c>
      <c r="H1713" s="7" t="inlineStr">
        <is>
          <t>Lavender Frost</t>
        </is>
      </c>
      <c r="I1713" s="7">
        <f>IMAGE("https://images.lululemon.com/is/image/lululemon/0641",1)</f>
        <v/>
      </c>
      <c r="J1713" s="7" t="inlineStr">
        <is>
          <t>XS/S</t>
        </is>
      </c>
      <c r="K1713" s="7" t="inlineStr">
        <is>
          <t>76/20169</t>
        </is>
      </c>
      <c r="L1713" s="7" t="inlineStr">
        <is>
          <t>Yes</t>
        </is>
      </c>
      <c r="M1713" s="7" t="inlineStr">
        <is>
          <t>Serious about softness. This half-zip hooded sweatshirt is all about fleecy fabric and pairs perfectly with our Scuba sweatpants.</t>
        </is>
      </c>
      <c r="N1713" s="7" t="inlineStr">
        <is>
          <t>Scuba-Oversized-12-Zip-Hoodie</t>
        </is>
      </c>
      <c r="O1713" s="7" t="inlineStr">
        <is>
          <t>Hoodies, Half Zip Sweatshirts, Quarter Zip Sweatshirts</t>
        </is>
      </c>
    </row>
    <row r="1714" ht="80" customHeight="1">
      <c r="A1714" s="4">
        <f>IMAGE("https://images.lululemon.com/is/image/lululemon/LW3IG3S_0001_1?wid=320&amp;op_usm=0.8",1)</f>
        <v/>
      </c>
      <c r="B1714" s="4" t="inlineStr">
        <is>
          <t>Scuba Oversized Half-Zip Hoodie</t>
        </is>
      </c>
      <c r="C1714" s="4" t="inlineStr">
        <is>
          <t>156476436</t>
        </is>
      </c>
      <c r="D1714" s="4" t="inlineStr">
        <is>
          <t>156476436-lavenderfrost</t>
        </is>
      </c>
      <c r="E1714" s="4" t="inlineStr">
        <is>
          <t>Scuba Oversized Half-Zip Hoodie BLK XS/S</t>
        </is>
      </c>
      <c r="F1714" s="4" t="inlineStr">
        <is>
          <t>$128.00</t>
        </is>
      </c>
      <c r="G1714" s="4" t="inlineStr">
        <is>
          <t>$64.00</t>
        </is>
      </c>
      <c r="H1714" s="4" t="inlineStr">
        <is>
          <t>Lavender Frost</t>
        </is>
      </c>
      <c r="I1714" s="4">
        <f>IMAGE("https://images.lululemon.com/is/image/lululemon/0641",1)</f>
        <v/>
      </c>
      <c r="J1714" s="4" t="inlineStr">
        <is>
          <t>M/L</t>
        </is>
      </c>
      <c r="K1714" s="4" t="inlineStr">
        <is>
          <t>541/20169</t>
        </is>
      </c>
      <c r="L1714" s="4" t="inlineStr">
        <is>
          <t>Yes</t>
        </is>
      </c>
      <c r="M1714" s="4" t="inlineStr">
        <is>
          <t>Serious about softness. This half-zip hooded sweatshirt is all about fleecy fabric and pairs perfectly with our Scuba sweatpants.</t>
        </is>
      </c>
      <c r="N1714" s="4" t="inlineStr">
        <is>
          <t>Scuba-Oversized-12-Zip-Hoodie</t>
        </is>
      </c>
      <c r="O1714" s="4" t="inlineStr">
        <is>
          <t>Hoodies, Half Zip Sweatshirts, Quarter Zip Sweatshirts</t>
        </is>
      </c>
    </row>
    <row r="1715" ht="80" customHeight="1">
      <c r="A1715" s="7">
        <f>IMAGE("https://images.lululemon.com/is/image/lululemon/LW3IG3S_0001_1?wid=320&amp;op_usm=0.8",1)</f>
        <v/>
      </c>
      <c r="B1715" s="7" t="inlineStr">
        <is>
          <t>Scuba Oversized Half-Zip Hoodie</t>
        </is>
      </c>
      <c r="C1715" s="7" t="inlineStr">
        <is>
          <t>156476465</t>
        </is>
      </c>
      <c r="D1715" s="7" t="inlineStr">
        <is>
          <t>156476465-lavenderfrost</t>
        </is>
      </c>
      <c r="E1715" s="7" t="inlineStr">
        <is>
          <t>Scuba Oversized Half-Zip Hoodie BLK XS/S</t>
        </is>
      </c>
      <c r="F1715" s="7" t="inlineStr">
        <is>
          <t>$128.00</t>
        </is>
      </c>
      <c r="G1715" s="7" t="inlineStr">
        <is>
          <t>$64.00</t>
        </is>
      </c>
      <c r="H1715" s="7" t="inlineStr">
        <is>
          <t>Lavender Frost</t>
        </is>
      </c>
      <c r="I1715" s="7">
        <f>IMAGE("https://images.lululemon.com/is/image/lululemon/0641",1)</f>
        <v/>
      </c>
      <c r="J1715" s="7" t="inlineStr">
        <is>
          <t>XL/XXL</t>
        </is>
      </c>
      <c r="K1715" s="7" t="inlineStr">
        <is>
          <t>327/20169</t>
        </is>
      </c>
      <c r="L1715" s="7" t="inlineStr">
        <is>
          <t>Yes</t>
        </is>
      </c>
      <c r="M1715" s="7" t="inlineStr">
        <is>
          <t>Serious about softness. This half-zip hooded sweatshirt is all about fleecy fabric and pairs perfectly with our Scuba sweatpants.</t>
        </is>
      </c>
      <c r="N1715" s="7" t="inlineStr">
        <is>
          <t>Scuba-Oversized-12-Zip-Hoodie</t>
        </is>
      </c>
      <c r="O1715" s="7" t="inlineStr">
        <is>
          <t>Hoodies, Half Zip Sweatshirts, Quarter Zip Sweatshirts</t>
        </is>
      </c>
    </row>
    <row r="1716" ht="80" customHeight="1">
      <c r="A1716" s="4">
        <f>IMAGE("https://images.lululemon.com/is/image/lululemon/LW3IG3S_0001_1?wid=320&amp;op_usm=0.8",1)</f>
        <v/>
      </c>
      <c r="B1716" s="4" t="inlineStr">
        <is>
          <t>Scuba Oversized Half-Zip Hoodie</t>
        </is>
      </c>
      <c r="C1716" s="4" t="inlineStr">
        <is>
          <t>157704147</t>
        </is>
      </c>
      <c r="D1716" s="4" t="inlineStr">
        <is>
          <t>157704147-pinkfrosting</t>
        </is>
      </c>
      <c r="E1716" s="4" t="inlineStr">
        <is>
          <t>Scuba Oversized Half-Zip Hoodie BLK XS/S</t>
        </is>
      </c>
      <c r="F1716" s="4" t="inlineStr">
        <is>
          <t>$128.00</t>
        </is>
      </c>
      <c r="G1716" s="4" t="inlineStr">
        <is>
          <t>$64.00</t>
        </is>
      </c>
      <c r="H1716" s="4" t="inlineStr">
        <is>
          <t>Pink Frosting</t>
        </is>
      </c>
      <c r="I1716" s="4">
        <f>IMAGE("https://images.lululemon.com/is/image/lululemon/71152",1)</f>
        <v/>
      </c>
      <c r="J1716" s="4" t="inlineStr">
        <is>
          <t>XS/S</t>
        </is>
      </c>
      <c r="K1716" s="4" t="inlineStr">
        <is>
          <t>371/20169</t>
        </is>
      </c>
      <c r="L1716" s="4" t="inlineStr">
        <is>
          <t>Yes</t>
        </is>
      </c>
      <c r="M1716" s="4" t="inlineStr">
        <is>
          <t>Serious about softness. This half-zip hooded sweatshirt is all about fleecy fabric and pairs perfectly with our Scuba sweatpants.</t>
        </is>
      </c>
      <c r="N1716" s="4" t="inlineStr">
        <is>
          <t>Scuba-Oversized-12-Zip-Hoodie</t>
        </is>
      </c>
      <c r="O1716" s="4" t="inlineStr">
        <is>
          <t>Hoodies, Half Zip Sweatshirts, Quarter Zip Sweatshirts</t>
        </is>
      </c>
    </row>
    <row r="1717" ht="80" customHeight="1">
      <c r="A1717" s="7">
        <f>IMAGE("https://images.lululemon.com/is/image/lululemon/LW3IG3S_0001_1?wid=320&amp;op_usm=0.8",1)</f>
        <v/>
      </c>
      <c r="B1717" s="7" t="inlineStr">
        <is>
          <t>Scuba Oversized Half-Zip Hoodie</t>
        </is>
      </c>
      <c r="C1717" s="7" t="inlineStr">
        <is>
          <t>157704128</t>
        </is>
      </c>
      <c r="D1717" s="7" t="inlineStr">
        <is>
          <t>157704128-pinkfrosting</t>
        </is>
      </c>
      <c r="E1717" s="7" t="inlineStr">
        <is>
          <t>Scuba Oversized Half-Zip Hoodie BLK XS/S</t>
        </is>
      </c>
      <c r="F1717" s="7" t="inlineStr">
        <is>
          <t>$128.00</t>
        </is>
      </c>
      <c r="G1717" s="7" t="inlineStr">
        <is>
          <t>$64.00</t>
        </is>
      </c>
      <c r="H1717" s="7" t="inlineStr">
        <is>
          <t>Pink Frosting</t>
        </is>
      </c>
      <c r="I1717" s="7">
        <f>IMAGE("https://images.lululemon.com/is/image/lululemon/71152",1)</f>
        <v/>
      </c>
      <c r="J1717" s="7" t="inlineStr">
        <is>
          <t>M/L</t>
        </is>
      </c>
      <c r="K1717" s="7" t="inlineStr">
        <is>
          <t>276/20169</t>
        </is>
      </c>
      <c r="L1717" s="7" t="inlineStr">
        <is>
          <t>Yes</t>
        </is>
      </c>
      <c r="M1717" s="7" t="inlineStr">
        <is>
          <t>Serious about softness. This half-zip hooded sweatshirt is all about fleecy fabric and pairs perfectly with our Scuba sweatpants.</t>
        </is>
      </c>
      <c r="N1717" s="7" t="inlineStr">
        <is>
          <t>Scuba-Oversized-12-Zip-Hoodie</t>
        </is>
      </c>
      <c r="O1717" s="7" t="inlineStr">
        <is>
          <t>Hoodies, Half Zip Sweatshirts, Quarter Zip Sweatshirts</t>
        </is>
      </c>
    </row>
    <row r="1718" ht="80" customHeight="1">
      <c r="A1718" s="4">
        <f>IMAGE("https://images.lululemon.com/is/image/lululemon/LW3IG3S_0001_1?wid=320&amp;op_usm=0.8",1)</f>
        <v/>
      </c>
      <c r="B1718" s="4" t="inlineStr">
        <is>
          <t>Scuba Oversized Half-Zip Hoodie</t>
        </is>
      </c>
      <c r="C1718" s="4" t="inlineStr">
        <is>
          <t>157704138</t>
        </is>
      </c>
      <c r="D1718" s="4" t="inlineStr">
        <is>
          <t>157704138-pinkfrosting</t>
        </is>
      </c>
      <c r="E1718" s="4" t="inlineStr">
        <is>
          <t>Scuba Oversized Half-Zip Hoodie BLK XS/S</t>
        </is>
      </c>
      <c r="F1718" s="4" t="inlineStr">
        <is>
          <t>$128.00</t>
        </is>
      </c>
      <c r="G1718" s="4" t="inlineStr">
        <is>
          <t>$64.00</t>
        </is>
      </c>
      <c r="H1718" s="4" t="inlineStr">
        <is>
          <t>Pink Frosting</t>
        </is>
      </c>
      <c r="I1718" s="4">
        <f>IMAGE("https://images.lululemon.com/is/image/lululemon/71152",1)</f>
        <v/>
      </c>
      <c r="J1718" s="4" t="inlineStr">
        <is>
          <t>XL/XXL</t>
        </is>
      </c>
      <c r="K1718" s="4" t="inlineStr">
        <is>
          <t>38/20169</t>
        </is>
      </c>
      <c r="L1718" s="4" t="inlineStr">
        <is>
          <t>Yes</t>
        </is>
      </c>
      <c r="M1718" s="4" t="inlineStr">
        <is>
          <t>Serious about softness. This half-zip hooded sweatshirt is all about fleecy fabric and pairs perfectly with our Scuba sweatpants.</t>
        </is>
      </c>
      <c r="N1718" s="4" t="inlineStr">
        <is>
          <t>Scuba-Oversized-12-Zip-Hoodie</t>
        </is>
      </c>
      <c r="O1718" s="4" t="inlineStr">
        <is>
          <t>Hoodies, Half Zip Sweatshirts, Quarter Zip Sweatshirts</t>
        </is>
      </c>
    </row>
    <row r="1719" ht="80" customHeight="1">
      <c r="A1719" s="7">
        <f>IMAGE("https://images.lululemon.com/is/image/lululemon/LW3IG3S_0001_1?wid=320&amp;op_usm=0.8",1)</f>
        <v/>
      </c>
      <c r="B1719" s="7" t="inlineStr">
        <is>
          <t>Scuba Oversized Half-Zip Hoodie</t>
        </is>
      </c>
      <c r="C1719" s="7" t="inlineStr">
        <is>
          <t>157704000</t>
        </is>
      </c>
      <c r="D1719" s="7" t="inlineStr">
        <is>
          <t>157704000-blissfulpink</t>
        </is>
      </c>
      <c r="E1719" s="7" t="inlineStr">
        <is>
          <t>Scuba Oversized Half-Zip Hoodie BLK XS/S</t>
        </is>
      </c>
      <c r="F1719" s="7" t="inlineStr">
        <is>
          <t>$128.00</t>
        </is>
      </c>
      <c r="G1719" s="7" t="inlineStr">
        <is>
          <t>$64.00</t>
        </is>
      </c>
      <c r="H1719" s="7" t="inlineStr">
        <is>
          <t>Blissful Pink</t>
        </is>
      </c>
      <c r="I1719" s="7">
        <f>IMAGE("https://images.lululemon.com/is/image/lululemon/35486",1)</f>
        <v/>
      </c>
      <c r="J1719" s="7" t="inlineStr">
        <is>
          <t>XS/S</t>
        </is>
      </c>
      <c r="K1719" s="7" t="inlineStr">
        <is>
          <t>291/20169</t>
        </is>
      </c>
      <c r="L1719" s="7" t="inlineStr">
        <is>
          <t>Yes</t>
        </is>
      </c>
      <c r="M1719" s="7" t="inlineStr">
        <is>
          <t>Serious about softness. This half-zip hooded sweatshirt is all about fleecy fabric and pairs perfectly with our Scuba sweatpants.</t>
        </is>
      </c>
      <c r="N1719" s="7" t="inlineStr">
        <is>
          <t>Scuba-Oversized-12-Zip-Hoodie</t>
        </is>
      </c>
      <c r="O1719" s="7" t="inlineStr">
        <is>
          <t>Hoodies, Half Zip Sweatshirts, Quarter Zip Sweatshirts</t>
        </is>
      </c>
    </row>
    <row r="1720" ht="80" customHeight="1">
      <c r="A1720" s="4">
        <f>IMAGE("https://images.lululemon.com/is/image/lululemon/LW3IG3S_0001_1?wid=320&amp;op_usm=0.8",1)</f>
        <v/>
      </c>
      <c r="B1720" s="4" t="inlineStr">
        <is>
          <t>Scuba Oversized Half-Zip Hoodie</t>
        </is>
      </c>
      <c r="C1720" s="4" t="inlineStr">
        <is>
          <t>157703978</t>
        </is>
      </c>
      <c r="D1720" s="4" t="inlineStr">
        <is>
          <t>157703978-blissfulpink</t>
        </is>
      </c>
      <c r="E1720" s="4" t="inlineStr">
        <is>
          <t>Scuba Oversized Half-Zip Hoodie BLK XS/S</t>
        </is>
      </c>
      <c r="F1720" s="4" t="inlineStr">
        <is>
          <t>$128.00</t>
        </is>
      </c>
      <c r="G1720" s="4" t="inlineStr">
        <is>
          <t>$64.00</t>
        </is>
      </c>
      <c r="H1720" s="4" t="inlineStr">
        <is>
          <t>Blissful Pink</t>
        </is>
      </c>
      <c r="I1720" s="4">
        <f>IMAGE("https://images.lululemon.com/is/image/lululemon/35486",1)</f>
        <v/>
      </c>
      <c r="J1720" s="4" t="inlineStr">
        <is>
          <t>M/L</t>
        </is>
      </c>
      <c r="K1720" s="4" t="inlineStr">
        <is>
          <t>348/20169</t>
        </is>
      </c>
      <c r="L1720" s="4" t="inlineStr">
        <is>
          <t>Yes</t>
        </is>
      </c>
      <c r="M1720" s="4" t="inlineStr">
        <is>
          <t>Serious about softness. This half-zip hooded sweatshirt is all about fleecy fabric and pairs perfectly with our Scuba sweatpants.</t>
        </is>
      </c>
      <c r="N1720" s="4" t="inlineStr">
        <is>
          <t>Scuba-Oversized-12-Zip-Hoodie</t>
        </is>
      </c>
      <c r="O1720" s="4" t="inlineStr">
        <is>
          <t>Hoodies, Half Zip Sweatshirts, Quarter Zip Sweatshirts</t>
        </is>
      </c>
    </row>
    <row r="1721" ht="80" customHeight="1">
      <c r="A1721" s="7">
        <f>IMAGE("https://images.lululemon.com/is/image/lululemon/LW3IG3S_0001_1?wid=320&amp;op_usm=0.8",1)</f>
        <v/>
      </c>
      <c r="B1721" s="7" t="inlineStr">
        <is>
          <t>Scuba Oversized Half-Zip Hoodie</t>
        </is>
      </c>
      <c r="C1721" s="7" t="inlineStr">
        <is>
          <t>157703989</t>
        </is>
      </c>
      <c r="D1721" s="7" t="inlineStr">
        <is>
          <t>157703989-blissfulpink</t>
        </is>
      </c>
      <c r="E1721" s="7" t="inlineStr">
        <is>
          <t>Scuba Oversized Half-Zip Hoodie BLK XS/S</t>
        </is>
      </c>
      <c r="F1721" s="7" t="inlineStr">
        <is>
          <t>$128.00</t>
        </is>
      </c>
      <c r="G1721" s="7" t="inlineStr">
        <is>
          <t>$64.00</t>
        </is>
      </c>
      <c r="H1721" s="7" t="inlineStr">
        <is>
          <t>Blissful Pink</t>
        </is>
      </c>
      <c r="I1721" s="7">
        <f>IMAGE("https://images.lululemon.com/is/image/lululemon/35486",1)</f>
        <v/>
      </c>
      <c r="J1721" s="7" t="inlineStr">
        <is>
          <t>XL/XXL</t>
        </is>
      </c>
      <c r="K1721" s="7" t="inlineStr">
        <is>
          <t>93/20169</t>
        </is>
      </c>
      <c r="L1721" s="7" t="inlineStr">
        <is>
          <t>Yes</t>
        </is>
      </c>
      <c r="M1721" s="7" t="inlineStr">
        <is>
          <t>Serious about softness. This half-zip hooded sweatshirt is all about fleecy fabric and pairs perfectly with our Scuba sweatpants.</t>
        </is>
      </c>
      <c r="N1721" s="7" t="inlineStr">
        <is>
          <t>Scuba-Oversized-12-Zip-Hoodie</t>
        </is>
      </c>
      <c r="O1721" s="7" t="inlineStr">
        <is>
          <t>Hoodies, Half Zip Sweatshirts, Quarter Zip Sweatshirts</t>
        </is>
      </c>
    </row>
    <row r="1722" ht="80" customHeight="1">
      <c r="A1722" s="4">
        <f>IMAGE("https://images.lululemon.com/is/image/lululemon/LW3IG3S_0001_1?wid=320&amp;op_usm=0.8",1)</f>
        <v/>
      </c>
      <c r="B1722" s="4" t="inlineStr">
        <is>
          <t>Scuba Oversized Half-Zip Hoodie</t>
        </is>
      </c>
      <c r="C1722" s="4" t="inlineStr">
        <is>
          <t>157711777</t>
        </is>
      </c>
      <c r="D1722" s="4" t="inlineStr">
        <is>
          <t>157711777-sunburstorange</t>
        </is>
      </c>
      <c r="E1722" s="4" t="inlineStr">
        <is>
          <t>Scuba Oversized Half-Zip Hoodie BLK XS/S</t>
        </is>
      </c>
      <c r="F1722" s="4" t="inlineStr">
        <is>
          <t>$128.00</t>
        </is>
      </c>
      <c r="G1722" s="4" t="inlineStr">
        <is>
          <t>$64.00</t>
        </is>
      </c>
      <c r="H1722" s="4" t="inlineStr">
        <is>
          <t>Sunburst Orange</t>
        </is>
      </c>
      <c r="I1722" s="4">
        <f>IMAGE("https://images.lululemon.com/is/image/lululemon/71177",1)</f>
        <v/>
      </c>
      <c r="J1722" s="4" t="inlineStr">
        <is>
          <t>XS/S</t>
        </is>
      </c>
      <c r="K1722" s="4" t="inlineStr">
        <is>
          <t>243/20169</t>
        </is>
      </c>
      <c r="L1722" s="4" t="inlineStr">
        <is>
          <t>Yes</t>
        </is>
      </c>
      <c r="M1722" s="4" t="inlineStr">
        <is>
          <t>Serious about softness. This half-zip hooded sweatshirt is all about fleecy fabric and pairs perfectly with our Scuba sweatpants.</t>
        </is>
      </c>
      <c r="N1722" s="4" t="inlineStr">
        <is>
          <t>Scuba-Oversized-12-Zip-Hoodie</t>
        </is>
      </c>
      <c r="O1722" s="4" t="inlineStr">
        <is>
          <t>Hoodies, Half Zip Sweatshirts, Quarter Zip Sweatshirts</t>
        </is>
      </c>
    </row>
    <row r="1723" ht="80" customHeight="1">
      <c r="A1723" s="7">
        <f>IMAGE("https://images.lululemon.com/is/image/lululemon/LW3IG3S_0001_1?wid=320&amp;op_usm=0.8",1)</f>
        <v/>
      </c>
      <c r="B1723" s="7" t="inlineStr">
        <is>
          <t>Scuba Oversized Half-Zip Hoodie</t>
        </is>
      </c>
      <c r="C1723" s="7" t="inlineStr">
        <is>
          <t>157711767</t>
        </is>
      </c>
      <c r="D1723" s="7" t="inlineStr">
        <is>
          <t>157711767-sunburstorange</t>
        </is>
      </c>
      <c r="E1723" s="7" t="inlineStr">
        <is>
          <t>Scuba Oversized Half-Zip Hoodie BLK XS/S</t>
        </is>
      </c>
      <c r="F1723" s="7" t="inlineStr">
        <is>
          <t>$128.00</t>
        </is>
      </c>
      <c r="G1723" s="7" t="inlineStr">
        <is>
          <t>$64.00</t>
        </is>
      </c>
      <c r="H1723" s="7" t="inlineStr">
        <is>
          <t>Sunburst Orange</t>
        </is>
      </c>
      <c r="I1723" s="7">
        <f>IMAGE("https://images.lululemon.com/is/image/lululemon/71177",1)</f>
        <v/>
      </c>
      <c r="J1723" s="7" t="inlineStr">
        <is>
          <t>M/L</t>
        </is>
      </c>
      <c r="K1723" s="7" t="inlineStr">
        <is>
          <t>278/20169</t>
        </is>
      </c>
      <c r="L1723" s="7" t="inlineStr">
        <is>
          <t>Yes</t>
        </is>
      </c>
      <c r="M1723" s="7" t="inlineStr">
        <is>
          <t>Serious about softness. This half-zip hooded sweatshirt is all about fleecy fabric and pairs perfectly with our Scuba sweatpants.</t>
        </is>
      </c>
      <c r="N1723" s="7" t="inlineStr">
        <is>
          <t>Scuba-Oversized-12-Zip-Hoodie</t>
        </is>
      </c>
      <c r="O1723" s="7" t="inlineStr">
        <is>
          <t>Hoodies, Half Zip Sweatshirts, Quarter Zip Sweatshirts</t>
        </is>
      </c>
    </row>
    <row r="1724" ht="80" customHeight="1">
      <c r="A1724" s="4">
        <f>IMAGE("https://images.lululemon.com/is/image/lululemon/LW3IG3S_0001_1?wid=320&amp;op_usm=0.8",1)</f>
        <v/>
      </c>
      <c r="B1724" s="4" t="inlineStr">
        <is>
          <t>Scuba Oversized Half-Zip Hoodie</t>
        </is>
      </c>
      <c r="C1724" s="4" t="inlineStr">
        <is>
          <t>157711773</t>
        </is>
      </c>
      <c r="D1724" s="4" t="inlineStr">
        <is>
          <t>157711773-sunburstorange</t>
        </is>
      </c>
      <c r="E1724" s="4" t="inlineStr">
        <is>
          <t>Scuba Oversized Half-Zip Hoodie BLK XS/S</t>
        </is>
      </c>
      <c r="F1724" s="4" t="inlineStr">
        <is>
          <t>$128.00</t>
        </is>
      </c>
      <c r="G1724" s="4" t="inlineStr">
        <is>
          <t>$64.00</t>
        </is>
      </c>
      <c r="H1724" s="4" t="inlineStr">
        <is>
          <t>Sunburst Orange</t>
        </is>
      </c>
      <c r="I1724" s="4">
        <f>IMAGE("https://images.lululemon.com/is/image/lululemon/71177",1)</f>
        <v/>
      </c>
      <c r="J1724" s="4" t="inlineStr">
        <is>
          <t>XL/XXL</t>
        </is>
      </c>
      <c r="K1724" s="4" t="inlineStr">
        <is>
          <t>62/20169</t>
        </is>
      </c>
      <c r="L1724" s="4" t="inlineStr">
        <is>
          <t>Yes</t>
        </is>
      </c>
      <c r="M1724" s="4" t="inlineStr">
        <is>
          <t>Serious about softness. This half-zip hooded sweatshirt is all about fleecy fabric and pairs perfectly with our Scuba sweatpants.</t>
        </is>
      </c>
      <c r="N1724" s="4" t="inlineStr">
        <is>
          <t>Scuba-Oversized-12-Zip-Hoodie</t>
        </is>
      </c>
      <c r="O1724" s="4" t="inlineStr">
        <is>
          <t>Hoodies, Half Zip Sweatshirts, Quarter Zip Sweatshirts</t>
        </is>
      </c>
    </row>
    <row r="1725" ht="80" customHeight="1">
      <c r="A1725" s="7">
        <f>IMAGE("https://images.lululemon.com/is/image/lululemon/LW3IG3S_0001_1?wid=320&amp;op_usm=0.8",1)</f>
        <v/>
      </c>
      <c r="B1725" s="7" t="inlineStr">
        <is>
          <t>Scuba Oversized Half-Zip Hoodie</t>
        </is>
      </c>
      <c r="C1725" s="7" t="inlineStr">
        <is>
          <t>157711742</t>
        </is>
      </c>
      <c r="D1725" s="7" t="inlineStr">
        <is>
          <t>157711742-palmdeco</t>
        </is>
      </c>
      <c r="E1725" s="7" t="inlineStr">
        <is>
          <t>Scuba Oversized Half-Zip Hoodie BLK XS/S</t>
        </is>
      </c>
      <c r="F1725" s="7" t="inlineStr">
        <is>
          <t>$128.00</t>
        </is>
      </c>
      <c r="G1725" s="7" t="inlineStr">
        <is>
          <t>$64.00</t>
        </is>
      </c>
      <c r="H1725" s="7" t="inlineStr">
        <is>
          <t>Palm Deco</t>
        </is>
      </c>
      <c r="I1725" s="7">
        <f>IMAGE("https://images.lululemon.com/is/image/lululemon/35487",1)</f>
        <v/>
      </c>
      <c r="J1725" s="7" t="inlineStr">
        <is>
          <t>XS/S</t>
        </is>
      </c>
      <c r="K1725" s="7" t="inlineStr">
        <is>
          <t>215/20169</t>
        </is>
      </c>
      <c r="L1725" s="7" t="inlineStr">
        <is>
          <t>Yes</t>
        </is>
      </c>
      <c r="M1725" s="7" t="inlineStr">
        <is>
          <t>Serious about softness. This half-zip hooded sweatshirt is all about fleecy fabric and pairs perfectly with our Scuba sweatpants.</t>
        </is>
      </c>
      <c r="N1725" s="7" t="inlineStr">
        <is>
          <t>Scuba-Oversized-12-Zip-Hoodie</t>
        </is>
      </c>
      <c r="O1725" s="7" t="inlineStr">
        <is>
          <t>Hoodies, Half Zip Sweatshirts, Quarter Zip Sweatshirts</t>
        </is>
      </c>
    </row>
    <row r="1726" ht="80" customHeight="1">
      <c r="A1726" s="4">
        <f>IMAGE("https://images.lululemon.com/is/image/lululemon/LW3IG3S_0001_1?wid=320&amp;op_usm=0.8",1)</f>
        <v/>
      </c>
      <c r="B1726" s="4" t="inlineStr">
        <is>
          <t>Scuba Oversized Half-Zip Hoodie</t>
        </is>
      </c>
      <c r="C1726" s="4" t="inlineStr">
        <is>
          <t>157711722</t>
        </is>
      </c>
      <c r="D1726" s="4" t="inlineStr">
        <is>
          <t>157711722-palmdeco</t>
        </is>
      </c>
      <c r="E1726" s="4" t="inlineStr">
        <is>
          <t>Scuba Oversized Half-Zip Hoodie BLK XS/S</t>
        </is>
      </c>
      <c r="F1726" s="4" t="inlineStr">
        <is>
          <t>$128.00</t>
        </is>
      </c>
      <c r="G1726" s="4" t="inlineStr">
        <is>
          <t>$64.00</t>
        </is>
      </c>
      <c r="H1726" s="4" t="inlineStr">
        <is>
          <t>Palm Deco</t>
        </is>
      </c>
      <c r="I1726" s="4">
        <f>IMAGE("https://images.lululemon.com/is/image/lululemon/35487",1)</f>
        <v/>
      </c>
      <c r="J1726" s="4" t="inlineStr">
        <is>
          <t>M/L</t>
        </is>
      </c>
      <c r="K1726" s="4" t="inlineStr">
        <is>
          <t>180/20169</t>
        </is>
      </c>
      <c r="L1726" s="4" t="inlineStr">
        <is>
          <t>Yes</t>
        </is>
      </c>
      <c r="M1726" s="4" t="inlineStr">
        <is>
          <t>Serious about softness. This half-zip hooded sweatshirt is all about fleecy fabric and pairs perfectly with our Scuba sweatpants.</t>
        </is>
      </c>
      <c r="N1726" s="4" t="inlineStr">
        <is>
          <t>Scuba-Oversized-12-Zip-Hoodie</t>
        </is>
      </c>
      <c r="O1726" s="4" t="inlineStr">
        <is>
          <t>Hoodies, Half Zip Sweatshirts, Quarter Zip Sweatshirts</t>
        </is>
      </c>
    </row>
    <row r="1727" ht="80" customHeight="1">
      <c r="A1727" s="7">
        <f>IMAGE("https://images.lululemon.com/is/image/lululemon/LW3IG3S_0001_1?wid=320&amp;op_usm=0.8",1)</f>
        <v/>
      </c>
      <c r="B1727" s="7" t="inlineStr">
        <is>
          <t>Scuba Oversized Half-Zip Hoodie</t>
        </is>
      </c>
      <c r="C1727" s="7" t="inlineStr">
        <is>
          <t>157711734</t>
        </is>
      </c>
      <c r="D1727" s="7" t="inlineStr">
        <is>
          <t>157711734-palmdeco</t>
        </is>
      </c>
      <c r="E1727" s="7" t="inlineStr">
        <is>
          <t>Scuba Oversized Half-Zip Hoodie BLK XS/S</t>
        </is>
      </c>
      <c r="F1727" s="7" t="inlineStr">
        <is>
          <t>$128.00</t>
        </is>
      </c>
      <c r="G1727" s="7" t="inlineStr">
        <is>
          <t>$64.00</t>
        </is>
      </c>
      <c r="H1727" s="7" t="inlineStr">
        <is>
          <t>Palm Deco</t>
        </is>
      </c>
      <c r="I1727" s="7">
        <f>IMAGE("https://images.lululemon.com/is/image/lululemon/35487",1)</f>
        <v/>
      </c>
      <c r="J1727" s="7" t="inlineStr">
        <is>
          <t>XL/XXL</t>
        </is>
      </c>
      <c r="K1727" s="7" t="inlineStr">
        <is>
          <t>46/20169</t>
        </is>
      </c>
      <c r="L1727" s="7" t="inlineStr">
        <is>
          <t>Yes</t>
        </is>
      </c>
      <c r="M1727" s="7" t="inlineStr">
        <is>
          <t>Serious about softness. This half-zip hooded sweatshirt is all about fleecy fabric and pairs perfectly with our Scuba sweatpants.</t>
        </is>
      </c>
      <c r="N1727" s="7" t="inlineStr">
        <is>
          <t>Scuba-Oversized-12-Zip-Hoodie</t>
        </is>
      </c>
      <c r="O1727" s="7" t="inlineStr">
        <is>
          <t>Hoodies, Half Zip Sweatshirts, Quarter Zip Sweatshirts</t>
        </is>
      </c>
    </row>
    <row r="1728" ht="80" customHeight="1">
      <c r="A1728" s="4">
        <f>IMAGE("https://images.lululemon.com/is/image/lululemon/LW3IG3S_0001_1?wid=320&amp;op_usm=0.8",1)</f>
        <v/>
      </c>
      <c r="B1728" s="4" t="inlineStr">
        <is>
          <t>Scuba Oversized Half-Zip Hoodie</t>
        </is>
      </c>
      <c r="C1728" s="4" t="inlineStr">
        <is>
          <t>157704171</t>
        </is>
      </c>
      <c r="D1728" s="4" t="inlineStr">
        <is>
          <t>157704171-rockwood</t>
        </is>
      </c>
      <c r="E1728" s="4" t="inlineStr">
        <is>
          <t>Scuba Oversized Half-Zip Hoodie BLK XS/S</t>
        </is>
      </c>
      <c r="F1728" s="4" t="inlineStr">
        <is>
          <t>$128.00</t>
        </is>
      </c>
      <c r="G1728" s="4" t="inlineStr">
        <is>
          <t>$64.00</t>
        </is>
      </c>
      <c r="H1728" s="4" t="inlineStr">
        <is>
          <t>Rockwood</t>
        </is>
      </c>
      <c r="I1728" s="4">
        <f>IMAGE("https://images.lululemon.com/is/image/lululemon/71195",1)</f>
        <v/>
      </c>
      <c r="J1728" s="4" t="inlineStr">
        <is>
          <t>XS/S</t>
        </is>
      </c>
      <c r="K1728" s="4" t="inlineStr">
        <is>
          <t>8/20169</t>
        </is>
      </c>
      <c r="L1728" s="4" t="inlineStr">
        <is>
          <t>Yes</t>
        </is>
      </c>
      <c r="M1728" s="4" t="inlineStr">
        <is>
          <t>Serious about softness. This half-zip hooded sweatshirt is all about fleecy fabric and pairs perfectly with our Scuba sweatpants.</t>
        </is>
      </c>
      <c r="N1728" s="4" t="inlineStr">
        <is>
          <t>Scuba-Oversized-12-Zip-Hoodie</t>
        </is>
      </c>
      <c r="O1728" s="4" t="inlineStr">
        <is>
          <t>Hoodies, Half Zip Sweatshirts, Quarter Zip Sweatshirts</t>
        </is>
      </c>
    </row>
    <row r="1729" ht="80" customHeight="1">
      <c r="A1729" s="7">
        <f>IMAGE("https://images.lululemon.com/is/image/lululemon/LW3IG3S_0001_1?wid=320&amp;op_usm=0.8",1)</f>
        <v/>
      </c>
      <c r="B1729" s="7" t="inlineStr">
        <is>
          <t>Scuba Oversized Half-Zip Hoodie</t>
        </is>
      </c>
      <c r="C1729" s="7" t="inlineStr">
        <is>
          <t>157704157</t>
        </is>
      </c>
      <c r="D1729" s="7" t="inlineStr">
        <is>
          <t>157704157-rockwood</t>
        </is>
      </c>
      <c r="E1729" s="7" t="inlineStr">
        <is>
          <t>Scuba Oversized Half-Zip Hoodie BLK XS/S</t>
        </is>
      </c>
      <c r="F1729" s="7" t="inlineStr">
        <is>
          <t>$128.00</t>
        </is>
      </c>
      <c r="G1729" s="7" t="inlineStr">
        <is>
          <t>$64.00</t>
        </is>
      </c>
      <c r="H1729" s="7" t="inlineStr">
        <is>
          <t>Rockwood</t>
        </is>
      </c>
      <c r="I1729" s="7">
        <f>IMAGE("https://images.lululemon.com/is/image/lululemon/71195",1)</f>
        <v/>
      </c>
      <c r="J1729" s="7" t="inlineStr">
        <is>
          <t>M/L</t>
        </is>
      </c>
      <c r="K1729" s="7" t="inlineStr">
        <is>
          <t>42/20169</t>
        </is>
      </c>
      <c r="L1729" s="7" t="inlineStr">
        <is>
          <t>Yes</t>
        </is>
      </c>
      <c r="M1729" s="7" t="inlineStr">
        <is>
          <t>Serious about softness. This half-zip hooded sweatshirt is all about fleecy fabric and pairs perfectly with our Scuba sweatpants.</t>
        </is>
      </c>
      <c r="N1729" s="7" t="inlineStr">
        <is>
          <t>Scuba-Oversized-12-Zip-Hoodie</t>
        </is>
      </c>
      <c r="O1729" s="7" t="inlineStr">
        <is>
          <t>Hoodies, Half Zip Sweatshirts, Quarter Zip Sweatshirts</t>
        </is>
      </c>
    </row>
    <row r="1730" ht="80" customHeight="1">
      <c r="A1730" s="4">
        <f>IMAGE("https://images.lululemon.com/is/image/lululemon/LW3IG3S_0001_1?wid=320&amp;op_usm=0.8",1)</f>
        <v/>
      </c>
      <c r="B1730" s="4" t="inlineStr">
        <is>
          <t>Scuba Oversized Half-Zip Hoodie</t>
        </is>
      </c>
      <c r="C1730" s="4" t="inlineStr">
        <is>
          <t>158098593</t>
        </is>
      </c>
      <c r="D1730" s="4" t="inlineStr">
        <is>
          <t>158098593-brilliantblue/gold</t>
        </is>
      </c>
      <c r="E1730" s="4" t="inlineStr">
        <is>
          <t>Scuba Oversized Half-Zip Hoodie BLK XS/S</t>
        </is>
      </c>
      <c r="F1730" s="4" t="inlineStr">
        <is>
          <t>$128.00</t>
        </is>
      </c>
      <c r="G1730" s="4" t="inlineStr">
        <is>
          <t>$64.00</t>
        </is>
      </c>
      <c r="H1730" s="4" t="inlineStr">
        <is>
          <t>Brilliant Blue/Gold</t>
        </is>
      </c>
      <c r="I1730" s="4">
        <f>IMAGE("https://images.lululemon.com/is/image/lululemon/74904",1)</f>
        <v/>
      </c>
      <c r="J1730" s="4" t="inlineStr">
        <is>
          <t>XS/S</t>
        </is>
      </c>
      <c r="K1730" s="4" t="inlineStr">
        <is>
          <t>192/20169</t>
        </is>
      </c>
      <c r="L1730" s="4" t="inlineStr">
        <is>
          <t>Yes</t>
        </is>
      </c>
      <c r="M1730" s="4" t="inlineStr">
        <is>
          <t>Serious about softness. This half-zip hooded sweatshirt is all about fleecy fabric and pairs perfectly with our Scuba sweatpants.</t>
        </is>
      </c>
      <c r="N1730" s="4" t="inlineStr">
        <is>
          <t>Scuba-Oversized-12-Zip-Hoodie</t>
        </is>
      </c>
      <c r="O1730" s="4" t="inlineStr">
        <is>
          <t>Hoodies, Half Zip Sweatshirts, Quarter Zip Sweatshirts</t>
        </is>
      </c>
    </row>
    <row r="1731" ht="80" customHeight="1">
      <c r="A1731" s="7">
        <f>IMAGE("https://images.lululemon.com/is/image/lululemon/LW3IG3S_0001_1?wid=320&amp;op_usm=0.8",1)</f>
        <v/>
      </c>
      <c r="B1731" s="7" t="inlineStr">
        <is>
          <t>Scuba Oversized Half-Zip Hoodie</t>
        </is>
      </c>
      <c r="C1731" s="7" t="inlineStr">
        <is>
          <t>158098586</t>
        </is>
      </c>
      <c r="D1731" s="7" t="inlineStr">
        <is>
          <t>158098586-brilliantblue/gold</t>
        </is>
      </c>
      <c r="E1731" s="7" t="inlineStr">
        <is>
          <t>Scuba Oversized Half-Zip Hoodie BLK XS/S</t>
        </is>
      </c>
      <c r="F1731" s="7" t="inlineStr">
        <is>
          <t>$128.00</t>
        </is>
      </c>
      <c r="G1731" s="7" t="inlineStr">
        <is>
          <t>$64.00</t>
        </is>
      </c>
      <c r="H1731" s="7" t="inlineStr">
        <is>
          <t>Brilliant Blue/Gold</t>
        </is>
      </c>
      <c r="I1731" s="7">
        <f>IMAGE("https://images.lululemon.com/is/image/lululemon/74904",1)</f>
        <v/>
      </c>
      <c r="J1731" s="7" t="inlineStr">
        <is>
          <t>M/L</t>
        </is>
      </c>
      <c r="K1731" s="7" t="inlineStr">
        <is>
          <t>215/20169</t>
        </is>
      </c>
      <c r="L1731" s="7" t="inlineStr">
        <is>
          <t>Yes</t>
        </is>
      </c>
      <c r="M1731" s="7" t="inlineStr">
        <is>
          <t>Serious about softness. This half-zip hooded sweatshirt is all about fleecy fabric and pairs perfectly with our Scuba sweatpants.</t>
        </is>
      </c>
      <c r="N1731" s="7" t="inlineStr">
        <is>
          <t>Scuba-Oversized-12-Zip-Hoodie</t>
        </is>
      </c>
      <c r="O1731" s="7" t="inlineStr">
        <is>
          <t>Hoodies, Half Zip Sweatshirts, Quarter Zip Sweatshirts</t>
        </is>
      </c>
    </row>
    <row r="1732" ht="80" customHeight="1">
      <c r="A1732" s="4">
        <f>IMAGE("https://images.lululemon.com/is/image/lululemon/LW3IG3S_0001_1?wid=320&amp;op_usm=0.8",1)</f>
        <v/>
      </c>
      <c r="B1732" s="4" t="inlineStr">
        <is>
          <t>Scuba Oversized Half-Zip Hoodie</t>
        </is>
      </c>
      <c r="C1732" s="4" t="inlineStr">
        <is>
          <t>158098589</t>
        </is>
      </c>
      <c r="D1732" s="4" t="inlineStr">
        <is>
          <t>158098589-brilliantblue/gold</t>
        </is>
      </c>
      <c r="E1732" s="4" t="inlineStr">
        <is>
          <t>Scuba Oversized Half-Zip Hoodie BLK XS/S</t>
        </is>
      </c>
      <c r="F1732" s="4" t="inlineStr">
        <is>
          <t>$128.00</t>
        </is>
      </c>
      <c r="G1732" s="4" t="inlineStr">
        <is>
          <t>$64.00</t>
        </is>
      </c>
      <c r="H1732" s="4" t="inlineStr">
        <is>
          <t>Brilliant Blue/Gold</t>
        </is>
      </c>
      <c r="I1732" s="4">
        <f>IMAGE("https://images.lululemon.com/is/image/lululemon/74904",1)</f>
        <v/>
      </c>
      <c r="J1732" s="4" t="inlineStr">
        <is>
          <t>XL/XXL</t>
        </is>
      </c>
      <c r="K1732" s="4" t="inlineStr">
        <is>
          <t>68/20169</t>
        </is>
      </c>
      <c r="L1732" s="4" t="inlineStr">
        <is>
          <t>Yes</t>
        </is>
      </c>
      <c r="M1732" s="4" t="inlineStr">
        <is>
          <t>Serious about softness. This half-zip hooded sweatshirt is all about fleecy fabric and pairs perfectly with our Scuba sweatpants.</t>
        </is>
      </c>
      <c r="N1732" s="4" t="inlineStr">
        <is>
          <t>Scuba-Oversized-12-Zip-Hoodie</t>
        </is>
      </c>
      <c r="O1732" s="4" t="inlineStr">
        <is>
          <t>Hoodies, Half Zip Sweatshirts, Quarter Zip Sweatshirts</t>
        </is>
      </c>
    </row>
    <row r="1733" ht="80" customHeight="1">
      <c r="A1733" s="7">
        <f>IMAGE("https://images.lululemon.com/is/image/lululemon/LW3IG3S_0001_1?wid=320&amp;op_usm=0.8",1)</f>
        <v/>
      </c>
      <c r="B1733" s="7" t="inlineStr">
        <is>
          <t>Scuba Oversized Half-Zip Hoodie</t>
        </is>
      </c>
      <c r="C1733" s="7" t="inlineStr">
        <is>
          <t>158028052</t>
        </is>
      </c>
      <c r="D1733" s="7" t="inlineStr">
        <is>
          <t>158028052-blackplum/gold</t>
        </is>
      </c>
      <c r="E1733" s="7" t="inlineStr">
        <is>
          <t>Scuba Oversized Half-Zip Hoodie BLK XS/S</t>
        </is>
      </c>
      <c r="F1733" s="7" t="inlineStr">
        <is>
          <t>$128.00</t>
        </is>
      </c>
      <c r="G1733" s="7" t="inlineStr">
        <is>
          <t>$64.00</t>
        </is>
      </c>
      <c r="H1733" s="7" t="inlineStr">
        <is>
          <t>Black Plum/Gold</t>
        </is>
      </c>
      <c r="I1733" s="7">
        <f>IMAGE("https://images.lululemon.com/is/image/lululemon/74104",1)</f>
        <v/>
      </c>
      <c r="J1733" s="7" t="inlineStr">
        <is>
          <t>XS/S</t>
        </is>
      </c>
      <c r="K1733" s="7" t="inlineStr">
        <is>
          <t>283/20169</t>
        </is>
      </c>
      <c r="L1733" s="7" t="inlineStr">
        <is>
          <t>Yes</t>
        </is>
      </c>
      <c r="M1733" s="7" t="inlineStr">
        <is>
          <t>Serious about softness. This half-zip hooded sweatshirt is all about fleecy fabric and pairs perfectly with our Scuba sweatpants.</t>
        </is>
      </c>
      <c r="N1733" s="7" t="inlineStr">
        <is>
          <t>Scuba-Oversized-12-Zip-Hoodie</t>
        </is>
      </c>
      <c r="O1733" s="7" t="inlineStr">
        <is>
          <t>Hoodies, Half Zip Sweatshirts, Quarter Zip Sweatshirts</t>
        </is>
      </c>
    </row>
    <row r="1734" ht="80" customHeight="1">
      <c r="A1734" s="4">
        <f>IMAGE("https://images.lululemon.com/is/image/lululemon/LW3IG3S_0001_1?wid=320&amp;op_usm=0.8",1)</f>
        <v/>
      </c>
      <c r="B1734" s="4" t="inlineStr">
        <is>
          <t>Scuba Oversized Half-Zip Hoodie</t>
        </is>
      </c>
      <c r="C1734" s="4" t="inlineStr">
        <is>
          <t>158028013</t>
        </is>
      </c>
      <c r="D1734" s="4" t="inlineStr">
        <is>
          <t>158028013-blackplum/gold</t>
        </is>
      </c>
      <c r="E1734" s="4" t="inlineStr">
        <is>
          <t>Scuba Oversized Half-Zip Hoodie BLK XS/S</t>
        </is>
      </c>
      <c r="F1734" s="4" t="inlineStr">
        <is>
          <t>$128.00</t>
        </is>
      </c>
      <c r="G1734" s="4" t="inlineStr">
        <is>
          <t>$64.00</t>
        </is>
      </c>
      <c r="H1734" s="4" t="inlineStr">
        <is>
          <t>Black Plum/Gold</t>
        </is>
      </c>
      <c r="I1734" s="4">
        <f>IMAGE("https://images.lululemon.com/is/image/lululemon/74104",1)</f>
        <v/>
      </c>
      <c r="J1734" s="4" t="inlineStr">
        <is>
          <t>M/L</t>
        </is>
      </c>
      <c r="K1734" s="4" t="inlineStr">
        <is>
          <t>284/20169</t>
        </is>
      </c>
      <c r="L1734" s="4" t="inlineStr">
        <is>
          <t>Yes</t>
        </is>
      </c>
      <c r="M1734" s="4" t="inlineStr">
        <is>
          <t>Serious about softness. This half-zip hooded sweatshirt is all about fleecy fabric and pairs perfectly with our Scuba sweatpants.</t>
        </is>
      </c>
      <c r="N1734" s="4" t="inlineStr">
        <is>
          <t>Scuba-Oversized-12-Zip-Hoodie</t>
        </is>
      </c>
      <c r="O1734" s="4" t="inlineStr">
        <is>
          <t>Hoodies, Half Zip Sweatshirts, Quarter Zip Sweatshirts</t>
        </is>
      </c>
    </row>
    <row r="1735" ht="80" customHeight="1">
      <c r="A1735" s="7">
        <f>IMAGE("https://images.lululemon.com/is/image/lululemon/LW3IG3S_0001_1?wid=320&amp;op_usm=0.8",1)</f>
        <v/>
      </c>
      <c r="B1735" s="7" t="inlineStr">
        <is>
          <t>Scuba Oversized Half-Zip Hoodie</t>
        </is>
      </c>
      <c r="C1735" s="7" t="inlineStr">
        <is>
          <t>158028032</t>
        </is>
      </c>
      <c r="D1735" s="7" t="inlineStr">
        <is>
          <t>158028032-blackplum/gold</t>
        </is>
      </c>
      <c r="E1735" s="7" t="inlineStr">
        <is>
          <t>Scuba Oversized Half-Zip Hoodie BLK XS/S</t>
        </is>
      </c>
      <c r="F1735" s="7" t="inlineStr">
        <is>
          <t>$128.00</t>
        </is>
      </c>
      <c r="G1735" s="7" t="inlineStr">
        <is>
          <t>$64.00</t>
        </is>
      </c>
      <c r="H1735" s="7" t="inlineStr">
        <is>
          <t>Black Plum/Gold</t>
        </is>
      </c>
      <c r="I1735" s="7">
        <f>IMAGE("https://images.lululemon.com/is/image/lululemon/74104",1)</f>
        <v/>
      </c>
      <c r="J1735" s="7" t="inlineStr">
        <is>
          <t>XL/XXL</t>
        </is>
      </c>
      <c r="K1735" s="7" t="inlineStr">
        <is>
          <t>107/20169</t>
        </is>
      </c>
      <c r="L1735" s="7" t="inlineStr">
        <is>
          <t>Yes</t>
        </is>
      </c>
      <c r="M1735" s="7" t="inlineStr">
        <is>
          <t>Serious about softness. This half-zip hooded sweatshirt is all about fleecy fabric and pairs perfectly with our Scuba sweatpants.</t>
        </is>
      </c>
      <c r="N1735" s="7" t="inlineStr">
        <is>
          <t>Scuba-Oversized-12-Zip-Hoodie</t>
        </is>
      </c>
      <c r="O1735" s="7" t="inlineStr">
        <is>
          <t>Hoodies, Half Zip Sweatshirts, Quarter Zip Sweatshirts</t>
        </is>
      </c>
    </row>
    <row r="1736" ht="80" customHeight="1">
      <c r="A1736" s="4">
        <f>IMAGE("https://images.lululemon.com/is/image/lululemon/LW3IG3S_0001_1?wid=320&amp;op_usm=0.8",1)</f>
        <v/>
      </c>
      <c r="B1736" s="4" t="inlineStr">
        <is>
          <t>Scuba Oversized Half-Zip Hoodie</t>
        </is>
      </c>
      <c r="C1736" s="4" t="inlineStr">
        <is>
          <t>157711844</t>
        </is>
      </c>
      <c r="D1736" s="4" t="inlineStr">
        <is>
          <t>157711844-heatheredcoremediumgrey</t>
        </is>
      </c>
      <c r="E1736" s="4" t="inlineStr">
        <is>
          <t>Scuba Oversized Half-Zip Hoodie BLK XS/S</t>
        </is>
      </c>
      <c r="F1736" s="4" t="inlineStr">
        <is>
          <t>$128.00</t>
        </is>
      </c>
      <c r="G1736" s="4" t="inlineStr">
        <is>
          <t>$64.00</t>
        </is>
      </c>
      <c r="H1736" s="4" t="inlineStr">
        <is>
          <t>Heathered Core Medium Grey</t>
        </is>
      </c>
      <c r="I1736" s="4">
        <f>IMAGE("https://images.lululemon.com/is/image/lululemon/31045",1)</f>
        <v/>
      </c>
      <c r="J1736" s="4" t="inlineStr">
        <is>
          <t>XS/S</t>
        </is>
      </c>
      <c r="K1736" s="4" t="inlineStr">
        <is>
          <t>393/20169</t>
        </is>
      </c>
      <c r="L1736" s="4" t="inlineStr">
        <is>
          <t>Yes</t>
        </is>
      </c>
      <c r="M1736" s="4" t="inlineStr">
        <is>
          <t>Serious about softness. This half-zip hooded sweatshirt is all about fleecy fabric and pairs perfectly with our Scuba sweatpants.</t>
        </is>
      </c>
      <c r="N1736" s="4" t="inlineStr">
        <is>
          <t>Scuba-Oversized-12-Zip-Hoodie</t>
        </is>
      </c>
      <c r="O1736" s="4" t="inlineStr">
        <is>
          <t>Hoodies, Half Zip Sweatshirts, Quarter Zip Sweatshirts</t>
        </is>
      </c>
    </row>
    <row r="1737" ht="80" customHeight="1">
      <c r="A1737" s="7">
        <f>IMAGE("https://images.lululemon.com/is/image/lululemon/LW3IG3S_0001_1?wid=320&amp;op_usm=0.8",1)</f>
        <v/>
      </c>
      <c r="B1737" s="7" t="inlineStr">
        <is>
          <t>Scuba Oversized Half-Zip Hoodie</t>
        </is>
      </c>
      <c r="C1737" s="7" t="inlineStr">
        <is>
          <t>157711829</t>
        </is>
      </c>
      <c r="D1737" s="7" t="inlineStr">
        <is>
          <t>157711829-heatheredcoremediumgrey</t>
        </is>
      </c>
      <c r="E1737" s="7" t="inlineStr">
        <is>
          <t>Scuba Oversized Half-Zip Hoodie BLK XS/S</t>
        </is>
      </c>
      <c r="F1737" s="7" t="inlineStr">
        <is>
          <t>$128.00</t>
        </is>
      </c>
      <c r="G1737" s="7" t="inlineStr">
        <is>
          <t>$64.00</t>
        </is>
      </c>
      <c r="H1737" s="7" t="inlineStr">
        <is>
          <t>Heathered Core Medium Grey</t>
        </is>
      </c>
      <c r="I1737" s="7">
        <f>IMAGE("https://images.lululemon.com/is/image/lululemon/31045",1)</f>
        <v/>
      </c>
      <c r="J1737" s="7" t="inlineStr">
        <is>
          <t>M/L</t>
        </is>
      </c>
      <c r="K1737" s="7" t="inlineStr">
        <is>
          <t>384/20169</t>
        </is>
      </c>
      <c r="L1737" s="7" t="inlineStr">
        <is>
          <t>Yes</t>
        </is>
      </c>
      <c r="M1737" s="7" t="inlineStr">
        <is>
          <t>Serious about softness. This half-zip hooded sweatshirt is all about fleecy fabric and pairs perfectly with our Scuba sweatpants.</t>
        </is>
      </c>
      <c r="N1737" s="7" t="inlineStr">
        <is>
          <t>Scuba-Oversized-12-Zip-Hoodie</t>
        </is>
      </c>
      <c r="O1737" s="7" t="inlineStr">
        <is>
          <t>Hoodies, Half Zip Sweatshirts, Quarter Zip Sweatshirts</t>
        </is>
      </c>
    </row>
    <row r="1738" ht="80" customHeight="1">
      <c r="A1738" s="4">
        <f>IMAGE("https://images.lululemon.com/is/image/lululemon/LW3IG3S_0001_1?wid=320&amp;op_usm=0.8",1)</f>
        <v/>
      </c>
      <c r="B1738" s="4" t="inlineStr">
        <is>
          <t>Scuba Oversized Half-Zip Hoodie</t>
        </is>
      </c>
      <c r="C1738" s="4" t="inlineStr">
        <is>
          <t>157711838</t>
        </is>
      </c>
      <c r="D1738" s="4" t="inlineStr">
        <is>
          <t>157711838-heatheredcoremediumgrey</t>
        </is>
      </c>
      <c r="E1738" s="4" t="inlineStr">
        <is>
          <t>Scuba Oversized Half-Zip Hoodie BLK XS/S</t>
        </is>
      </c>
      <c r="F1738" s="4" t="inlineStr">
        <is>
          <t>$128.00</t>
        </is>
      </c>
      <c r="G1738" s="4" t="inlineStr">
        <is>
          <t>$64.00</t>
        </is>
      </c>
      <c r="H1738" s="4" t="inlineStr">
        <is>
          <t>Heathered Core Medium Grey</t>
        </is>
      </c>
      <c r="I1738" s="4">
        <f>IMAGE("https://images.lululemon.com/is/image/lululemon/31045",1)</f>
        <v/>
      </c>
      <c r="J1738" s="4" t="inlineStr">
        <is>
          <t>XL/XXL</t>
        </is>
      </c>
      <c r="K1738" s="4" t="inlineStr">
        <is>
          <t>129/20169</t>
        </is>
      </c>
      <c r="L1738" s="4" t="inlineStr">
        <is>
          <t>Yes</t>
        </is>
      </c>
      <c r="M1738" s="4" t="inlineStr">
        <is>
          <t>Serious about softness. This half-zip hooded sweatshirt is all about fleecy fabric and pairs perfectly with our Scuba sweatpants.</t>
        </is>
      </c>
      <c r="N1738" s="4" t="inlineStr">
        <is>
          <t>Scuba-Oversized-12-Zip-Hoodie</t>
        </is>
      </c>
      <c r="O1738" s="4" t="inlineStr">
        <is>
          <t>Hoodies, Half Zip Sweatshirts, Quarter Zip Sweatshirts</t>
        </is>
      </c>
    </row>
    <row r="1739" ht="80" customHeight="1">
      <c r="A1739" s="7">
        <f>IMAGE("https://images.lululemon.com/is/image/lululemon/LW3IG3S_0001_1?wid=320&amp;op_usm=0.8",1)</f>
        <v/>
      </c>
      <c r="B1739" s="7" t="inlineStr">
        <is>
          <t>Scuba Oversized Half-Zip Hoodie</t>
        </is>
      </c>
      <c r="C1739" s="7" t="inlineStr">
        <is>
          <t>158098582</t>
        </is>
      </c>
      <c r="D1739" s="7" t="inlineStr">
        <is>
          <t>158098582-oxfordred</t>
        </is>
      </c>
      <c r="E1739" s="7" t="inlineStr">
        <is>
          <t>Scuba Oversized Half-Zip Hoodie BLK XS/S</t>
        </is>
      </c>
      <c r="F1739" s="7" t="inlineStr">
        <is>
          <t>$128.00</t>
        </is>
      </c>
      <c r="G1739" s="7" t="inlineStr">
        <is>
          <t>$64.00</t>
        </is>
      </c>
      <c r="H1739" s="7" t="inlineStr">
        <is>
          <t>Oxford Red</t>
        </is>
      </c>
      <c r="I1739" s="7">
        <f>IMAGE("https://images.lululemon.com/is/image/lululemon/72757",1)</f>
        <v/>
      </c>
      <c r="J1739" s="7" t="inlineStr">
        <is>
          <t>XS/S</t>
        </is>
      </c>
      <c r="K1739" s="7" t="inlineStr">
        <is>
          <t>137/20169</t>
        </is>
      </c>
      <c r="L1739" s="7" t="inlineStr">
        <is>
          <t>Yes</t>
        </is>
      </c>
      <c r="M1739" s="7" t="inlineStr">
        <is>
          <t>Serious about softness. This half-zip hooded sweatshirt is all about fleecy fabric and pairs perfectly with our Scuba sweatpants.</t>
        </is>
      </c>
      <c r="N1739" s="7" t="inlineStr">
        <is>
          <t>Scuba-Oversized-12-Zip-Hoodie</t>
        </is>
      </c>
      <c r="O1739" s="7" t="inlineStr">
        <is>
          <t>Hoodies, Half Zip Sweatshirts, Quarter Zip Sweatshirts</t>
        </is>
      </c>
    </row>
    <row r="1740" ht="80" customHeight="1">
      <c r="A1740" s="4">
        <f>IMAGE("https://images.lululemon.com/is/image/lululemon/LW3IG3S_0001_1?wid=320&amp;op_usm=0.8",1)</f>
        <v/>
      </c>
      <c r="B1740" s="4" t="inlineStr">
        <is>
          <t>Scuba Oversized Half-Zip Hoodie</t>
        </is>
      </c>
      <c r="C1740" s="4" t="inlineStr">
        <is>
          <t>158098576</t>
        </is>
      </c>
      <c r="D1740" s="4" t="inlineStr">
        <is>
          <t>158098576-oxfordred</t>
        </is>
      </c>
      <c r="E1740" s="4" t="inlineStr">
        <is>
          <t>Scuba Oversized Half-Zip Hoodie BLK XS/S</t>
        </is>
      </c>
      <c r="F1740" s="4" t="inlineStr">
        <is>
          <t>$128.00</t>
        </is>
      </c>
      <c r="G1740" s="4" t="inlineStr">
        <is>
          <t>$64.00</t>
        </is>
      </c>
      <c r="H1740" s="4" t="inlineStr">
        <is>
          <t>Oxford Red</t>
        </is>
      </c>
      <c r="I1740" s="4">
        <f>IMAGE("https://images.lululemon.com/is/image/lululemon/72757",1)</f>
        <v/>
      </c>
      <c r="J1740" s="4" t="inlineStr">
        <is>
          <t>M/L</t>
        </is>
      </c>
      <c r="K1740" s="4" t="inlineStr">
        <is>
          <t>194/20169</t>
        </is>
      </c>
      <c r="L1740" s="4" t="inlineStr">
        <is>
          <t>Yes</t>
        </is>
      </c>
      <c r="M1740" s="4" t="inlineStr">
        <is>
          <t>Serious about softness. This half-zip hooded sweatshirt is all about fleecy fabric and pairs perfectly with our Scuba sweatpants.</t>
        </is>
      </c>
      <c r="N1740" s="4" t="inlineStr">
        <is>
          <t>Scuba-Oversized-12-Zip-Hoodie</t>
        </is>
      </c>
      <c r="O1740" s="4" t="inlineStr">
        <is>
          <t>Hoodies, Half Zip Sweatshirts, Quarter Zip Sweatshirts</t>
        </is>
      </c>
    </row>
    <row r="1741" ht="80" customHeight="1">
      <c r="A1741" s="7">
        <f>IMAGE("https://images.lululemon.com/is/image/lululemon/LW3IG3S_0001_1?wid=320&amp;op_usm=0.8",1)</f>
        <v/>
      </c>
      <c r="B1741" s="7" t="inlineStr">
        <is>
          <t>Scuba Oversized Half-Zip Hoodie</t>
        </is>
      </c>
      <c r="C1741" s="7" t="inlineStr">
        <is>
          <t>158098578</t>
        </is>
      </c>
      <c r="D1741" s="7" t="inlineStr">
        <is>
          <t>158098578-oxfordred</t>
        </is>
      </c>
      <c r="E1741" s="7" t="inlineStr">
        <is>
          <t>Scuba Oversized Half-Zip Hoodie BLK XS/S</t>
        </is>
      </c>
      <c r="F1741" s="7" t="inlineStr">
        <is>
          <t>$128.00</t>
        </is>
      </c>
      <c r="G1741" s="7" t="inlineStr">
        <is>
          <t>$64.00</t>
        </is>
      </c>
      <c r="H1741" s="7" t="inlineStr">
        <is>
          <t>Oxford Red</t>
        </is>
      </c>
      <c r="I1741" s="7">
        <f>IMAGE("https://images.lululemon.com/is/image/lululemon/72757",1)</f>
        <v/>
      </c>
      <c r="J1741" s="7" t="inlineStr">
        <is>
          <t>XL/XXL</t>
        </is>
      </c>
      <c r="K1741" s="7" t="inlineStr">
        <is>
          <t>46/20169</t>
        </is>
      </c>
      <c r="L1741" s="7" t="inlineStr">
        <is>
          <t>Yes</t>
        </is>
      </c>
      <c r="M1741" s="7" t="inlineStr">
        <is>
          <t>Serious about softness. This half-zip hooded sweatshirt is all about fleecy fabric and pairs perfectly with our Scuba sweatpants.</t>
        </is>
      </c>
      <c r="N1741" s="7" t="inlineStr">
        <is>
          <t>Scuba-Oversized-12-Zip-Hoodie</t>
        </is>
      </c>
      <c r="O1741" s="7" t="inlineStr">
        <is>
          <t>Hoodies, Half Zip Sweatshirts, Quarter Zip Sweatshirts</t>
        </is>
      </c>
    </row>
    <row r="1742" ht="80" customHeight="1">
      <c r="A1742" s="4">
        <f>IMAGE("https://images.lululemon.com/is/image/lululemon/LW3IG3S_0001_1?wid=320&amp;op_usm=0.8",1)</f>
        <v/>
      </c>
      <c r="B1742" s="4" t="inlineStr">
        <is>
          <t>Scuba Oversized Half-Zip Hoodie</t>
        </is>
      </c>
      <c r="C1742" s="4" t="inlineStr">
        <is>
          <t>158028103</t>
        </is>
      </c>
      <c r="D1742" s="4" t="inlineStr">
        <is>
          <t>158028103-willowleaf/gold</t>
        </is>
      </c>
      <c r="E1742" s="4" t="inlineStr">
        <is>
          <t>Scuba Oversized Half-Zip Hoodie BLK XS/S</t>
        </is>
      </c>
      <c r="F1742" s="4" t="inlineStr">
        <is>
          <t>$128.00</t>
        </is>
      </c>
      <c r="G1742" s="4" t="inlineStr">
        <is>
          <t>$64.00</t>
        </is>
      </c>
      <c r="H1742" s="4" t="inlineStr">
        <is>
          <t>Willow Leaf/Gold</t>
        </is>
      </c>
      <c r="I1742" s="4">
        <f>IMAGE("https://images.lululemon.com/is/image/lululemon/74344",1)</f>
        <v/>
      </c>
      <c r="J1742" s="4" t="inlineStr">
        <is>
          <t>XS/S</t>
        </is>
      </c>
      <c r="K1742" s="4" t="inlineStr">
        <is>
          <t>710/20169</t>
        </is>
      </c>
      <c r="L1742" s="4" t="inlineStr">
        <is>
          <t>Yes</t>
        </is>
      </c>
      <c r="M1742" s="4" t="inlineStr">
        <is>
          <t>Serious about softness. This half-zip hooded sweatshirt is all about fleecy fabric and pairs perfectly with our Scuba sweatpants.</t>
        </is>
      </c>
      <c r="N1742" s="4" t="inlineStr">
        <is>
          <t>Scuba-Oversized-12-Zip-Hoodie</t>
        </is>
      </c>
      <c r="O1742" s="4" t="inlineStr">
        <is>
          <t>Hoodies, Half Zip Sweatshirts, Quarter Zip Sweatshirts</t>
        </is>
      </c>
    </row>
    <row r="1743" ht="80" customHeight="1">
      <c r="A1743" s="7">
        <f>IMAGE("https://images.lululemon.com/is/image/lululemon/LW3IG3S_0001_1?wid=320&amp;op_usm=0.8",1)</f>
        <v/>
      </c>
      <c r="B1743" s="7" t="inlineStr">
        <is>
          <t>Scuba Oversized Half-Zip Hoodie</t>
        </is>
      </c>
      <c r="C1743" s="7" t="inlineStr">
        <is>
          <t>158028069</t>
        </is>
      </c>
      <c r="D1743" s="7" t="inlineStr">
        <is>
          <t>158028069-willowleaf/gold</t>
        </is>
      </c>
      <c r="E1743" s="7" t="inlineStr">
        <is>
          <t>Scuba Oversized Half-Zip Hoodie BLK XS/S</t>
        </is>
      </c>
      <c r="F1743" s="7" t="inlineStr">
        <is>
          <t>$128.00</t>
        </is>
      </c>
      <c r="G1743" s="7" t="inlineStr">
        <is>
          <t>$64.00</t>
        </is>
      </c>
      <c r="H1743" s="7" t="inlineStr">
        <is>
          <t>Willow Leaf/Gold</t>
        </is>
      </c>
      <c r="I1743" s="7">
        <f>IMAGE("https://images.lululemon.com/is/image/lululemon/74344",1)</f>
        <v/>
      </c>
      <c r="J1743" s="7" t="inlineStr">
        <is>
          <t>M/L</t>
        </is>
      </c>
      <c r="K1743" s="7" t="inlineStr">
        <is>
          <t>754/20169</t>
        </is>
      </c>
      <c r="L1743" s="7" t="inlineStr">
        <is>
          <t>Yes</t>
        </is>
      </c>
      <c r="M1743" s="7" t="inlineStr">
        <is>
          <t>Serious about softness. This half-zip hooded sweatshirt is all about fleecy fabric and pairs perfectly with our Scuba sweatpants.</t>
        </is>
      </c>
      <c r="N1743" s="7" t="inlineStr">
        <is>
          <t>Scuba-Oversized-12-Zip-Hoodie</t>
        </is>
      </c>
      <c r="O1743" s="7" t="inlineStr">
        <is>
          <t>Hoodies, Half Zip Sweatshirts, Quarter Zip Sweatshirts</t>
        </is>
      </c>
    </row>
    <row r="1744" ht="80" customHeight="1">
      <c r="A1744" s="4">
        <f>IMAGE("https://images.lululemon.com/is/image/lululemon/LW3IG3S_0001_1?wid=320&amp;op_usm=0.8",1)</f>
        <v/>
      </c>
      <c r="B1744" s="4" t="inlineStr">
        <is>
          <t>Scuba Oversized Half-Zip Hoodie</t>
        </is>
      </c>
      <c r="C1744" s="4" t="inlineStr">
        <is>
          <t>158028084</t>
        </is>
      </c>
      <c r="D1744" s="4" t="inlineStr">
        <is>
          <t>158028084-willowleaf/gold</t>
        </is>
      </c>
      <c r="E1744" s="4" t="inlineStr">
        <is>
          <t>Scuba Oversized Half-Zip Hoodie BLK XS/S</t>
        </is>
      </c>
      <c r="F1744" s="4" t="inlineStr">
        <is>
          <t>$128.00</t>
        </is>
      </c>
      <c r="G1744" s="4" t="inlineStr">
        <is>
          <t>$64.00</t>
        </is>
      </c>
      <c r="H1744" s="4" t="inlineStr">
        <is>
          <t>Willow Leaf/Gold</t>
        </is>
      </c>
      <c r="I1744" s="4">
        <f>IMAGE("https://images.lululemon.com/is/image/lululemon/74344",1)</f>
        <v/>
      </c>
      <c r="J1744" s="4" t="inlineStr">
        <is>
          <t>XL/XXL</t>
        </is>
      </c>
      <c r="K1744" s="4" t="inlineStr">
        <is>
          <t>249/20169</t>
        </is>
      </c>
      <c r="L1744" s="4" t="inlineStr">
        <is>
          <t>Yes</t>
        </is>
      </c>
      <c r="M1744" s="4" t="inlineStr">
        <is>
          <t>Serious about softness. This half-zip hooded sweatshirt is all about fleecy fabric and pairs perfectly with our Scuba sweatpants.</t>
        </is>
      </c>
      <c r="N1744" s="4" t="inlineStr">
        <is>
          <t>Scuba-Oversized-12-Zip-Hoodie</t>
        </is>
      </c>
      <c r="O1744" s="4" t="inlineStr">
        <is>
          <t>Hoodies, Half Zip Sweatshirts, Quarter Zip Sweatshirts</t>
        </is>
      </c>
    </row>
    <row r="1745" ht="80" customHeight="1">
      <c r="A1745" s="7">
        <f>IMAGE("https://images.lululemon.com/is/image/lululemon/LW3IG3S_0001_1?wid=320&amp;op_usm=0.8",1)</f>
        <v/>
      </c>
      <c r="B1745" s="7" t="inlineStr">
        <is>
          <t>Scuba Oversized Half-Zip Hoodie</t>
        </is>
      </c>
      <c r="C1745" s="7" t="inlineStr">
        <is>
          <t>156476515</t>
        </is>
      </c>
      <c r="D1745" s="7" t="inlineStr">
        <is>
          <t>156476515-pinkorganza</t>
        </is>
      </c>
      <c r="E1745" s="7" t="inlineStr">
        <is>
          <t>Scuba Oversized Half-Zip Hoodie BLK XS/S</t>
        </is>
      </c>
      <c r="F1745" s="7" t="inlineStr">
        <is>
          <t>$128.00</t>
        </is>
      </c>
      <c r="G1745" s="7" t="inlineStr">
        <is>
          <t>$64.00</t>
        </is>
      </c>
      <c r="H1745" s="7" t="inlineStr">
        <is>
          <t>Pink Organza</t>
        </is>
      </c>
      <c r="I1745" s="7">
        <f>IMAGE("https://images.lululemon.com/is/image/lululemon/70105",1)</f>
        <v/>
      </c>
      <c r="J1745" s="7" t="inlineStr">
        <is>
          <t>M/L</t>
        </is>
      </c>
      <c r="K1745" s="7" t="inlineStr">
        <is>
          <t>80/20169</t>
        </is>
      </c>
      <c r="L1745" s="7" t="inlineStr">
        <is>
          <t>Yes</t>
        </is>
      </c>
      <c r="M1745" s="7" t="inlineStr">
        <is>
          <t>Serious about softness. This half-zip hooded sweatshirt is all about fleecy fabric and pairs perfectly with our Scuba sweatpants.</t>
        </is>
      </c>
      <c r="N1745" s="7" t="inlineStr">
        <is>
          <t>Scuba-Oversized-12-Zip-Hoodie</t>
        </is>
      </c>
      <c r="O1745" s="7" t="inlineStr">
        <is>
          <t>Hoodies, Half Zip Sweatshirts, Quarter Zip Sweatshirts</t>
        </is>
      </c>
    </row>
    <row r="1746" ht="80" customHeight="1">
      <c r="A1746" s="4">
        <f>IMAGE("https://images.lululemon.com/is/image/lululemon/LW3IG3S_0001_1?wid=320&amp;op_usm=0.8",1)</f>
        <v/>
      </c>
      <c r="B1746" s="4" t="inlineStr">
        <is>
          <t>Scuba Oversized Half-Zip Hoodie</t>
        </is>
      </c>
      <c r="C1746" s="4" t="inlineStr">
        <is>
          <t>156476545</t>
        </is>
      </c>
      <c r="D1746" s="4" t="inlineStr">
        <is>
          <t>156476545-pinkorganza</t>
        </is>
      </c>
      <c r="E1746" s="4" t="inlineStr">
        <is>
          <t>Scuba Oversized Half-Zip Hoodie BLK XS/S</t>
        </is>
      </c>
      <c r="F1746" s="4" t="inlineStr">
        <is>
          <t>$128.00</t>
        </is>
      </c>
      <c r="G1746" s="4" t="inlineStr">
        <is>
          <t>$64.00</t>
        </is>
      </c>
      <c r="H1746" s="4" t="inlineStr">
        <is>
          <t>Pink Organza</t>
        </is>
      </c>
      <c r="I1746" s="4">
        <f>IMAGE("https://images.lululemon.com/is/image/lululemon/70105",1)</f>
        <v/>
      </c>
      <c r="J1746" s="4" t="inlineStr">
        <is>
          <t>XL/XXL</t>
        </is>
      </c>
      <c r="K1746" s="4" t="inlineStr">
        <is>
          <t>27/20169</t>
        </is>
      </c>
      <c r="L1746" s="4" t="inlineStr">
        <is>
          <t>Yes</t>
        </is>
      </c>
      <c r="M1746" s="4" t="inlineStr">
        <is>
          <t>Serious about softness. This half-zip hooded sweatshirt is all about fleecy fabric and pairs perfectly with our Scuba sweatpants.</t>
        </is>
      </c>
      <c r="N1746" s="4" t="inlineStr">
        <is>
          <t>Scuba-Oversized-12-Zip-Hoodie</t>
        </is>
      </c>
      <c r="O1746" s="4" t="inlineStr">
        <is>
          <t>Hoodies, Half Zip Sweatshirts, Quarter Zip Sweatshirts</t>
        </is>
      </c>
    </row>
    <row r="1747" ht="80" customHeight="1">
      <c r="A1747" s="5">
        <f>IMAGE("https://images.lululemon.com/is/image/lululemon/LW3IG3S_0001_1?wid=320&amp;op_usm=0.8",1)</f>
        <v/>
      </c>
      <c r="B1747" s="5" t="inlineStr">
        <is>
          <t>Scuba Oversized Half-Zip Hoodie</t>
        </is>
      </c>
      <c r="C1747" s="5" t="inlineStr">
        <is>
          <t>157704054</t>
        </is>
      </c>
      <c r="D1747" s="5" t="inlineStr">
        <is>
          <t>157704054-bayleaf</t>
        </is>
      </c>
      <c r="E1747" s="5" t="inlineStr">
        <is>
          <t>Scuba Oversized Half-Zip Hoodie BLK XS/S</t>
        </is>
      </c>
      <c r="F1747" s="5" t="inlineStr">
        <is>
          <t>$128.00</t>
        </is>
      </c>
      <c r="G1747" s="5" t="inlineStr">
        <is>
          <t>$64.00</t>
        </is>
      </c>
      <c r="H1747" s="5" t="inlineStr">
        <is>
          <t>Bay Leaf</t>
        </is>
      </c>
      <c r="I1747" s="5">
        <f>IMAGE("https://images.lululemon.com/is/image/lululemon/62214",1)</f>
        <v/>
      </c>
      <c r="J1747" s="5" t="inlineStr">
        <is>
          <t>XL/XXL</t>
        </is>
      </c>
      <c r="K1747" s="5" t="inlineStr">
        <is>
          <t>13/20169</t>
        </is>
      </c>
      <c r="L1747" s="5" t="inlineStr">
        <is>
          <t>Yes</t>
        </is>
      </c>
      <c r="M1747" s="5" t="inlineStr">
        <is>
          <t>Serious about softness. This half-zip hooded sweatshirt is all about fleecy fabric and pairs perfectly with our Scuba sweatpants.</t>
        </is>
      </c>
      <c r="N1747" s="5" t="inlineStr">
        <is>
          <t>Scuba-Oversized-12-Zip-Hoodie</t>
        </is>
      </c>
      <c r="O1747" s="5" t="inlineStr">
        <is>
          <t>Hoodies, Half Zip Sweatshirts, Quarter Zip Sweatshirts</t>
        </is>
      </c>
    </row>
    <row r="1748" ht="80" customHeight="1">
      <c r="A1748" s="4">
        <f>IMAGE("https://images.lululemon.com/is/image/lululemon/LW3JMJS_073826_1?wid=320&amp;op_usm=0.8",1)</f>
        <v/>
      </c>
      <c r="B1748" s="4" t="inlineStr">
        <is>
          <t>Swiftly Tech Long-Sleeve Shirt 2.0 Waist Length *Sparkle</t>
        </is>
      </c>
      <c r="C1748" s="4" t="inlineStr">
        <is>
          <t>158026906</t>
        </is>
      </c>
      <c r="D1748" s="4" t="inlineStr">
        <is>
          <t>158026906-indochineblue/rainbowlurex</t>
        </is>
      </c>
      <c r="E1748" s="4" t="inlineStr">
        <is>
          <t>Swiftly Tech LS 2.0 Race *Sparkle INCB/RLUX 8</t>
        </is>
      </c>
      <c r="F1748" s="4" t="inlineStr">
        <is>
          <t>$78.00</t>
        </is>
      </c>
      <c r="G1748" s="4" t="inlineStr">
        <is>
          <t>$39.00</t>
        </is>
      </c>
      <c r="H1748" s="4" t="inlineStr">
        <is>
          <t>Indochine Blue/Rainbow Lurex</t>
        </is>
      </c>
      <c r="I1748" s="4">
        <f>IMAGE("https://images.lululemon.com/is/image/lululemon/73826",1)</f>
        <v/>
      </c>
      <c r="J1748" s="4" t="inlineStr">
        <is>
          <t>8</t>
        </is>
      </c>
      <c r="K1748" s="4" t="inlineStr">
        <is>
          <t>3/27</t>
        </is>
      </c>
      <c r="L1748" s="4" t="inlineStr">
        <is>
          <t>Yes</t>
        </is>
      </c>
      <c r="M1748" s="4" t="inlineStr">
        <is>
          <t>Go ahead, get glowing. This version of our high-performing Swiftly top features colourful metallic yarns that complement your post-workout glow.</t>
        </is>
      </c>
      <c r="N1748" s="4" t="inlineStr">
        <is>
          <t>Swiftly-Tech-LS-Shirt-2-Waist-Length-Sparkle</t>
        </is>
      </c>
      <c r="O1748" s="4" t="inlineStr"/>
    </row>
    <row r="1749" ht="80" customHeight="1">
      <c r="A1749" s="7">
        <f>IMAGE("https://images.lululemon.com/is/image/lululemon/LW3JMJS_073826_1?wid=320&amp;op_usm=0.8",1)</f>
        <v/>
      </c>
      <c r="B1749" s="7" t="inlineStr">
        <is>
          <t>Swiftly Tech Long-Sleeve Shirt 2.0 Waist Length *Sparkle</t>
        </is>
      </c>
      <c r="C1749" s="7" t="inlineStr">
        <is>
          <t>158026818</t>
        </is>
      </c>
      <c r="D1749" s="7" t="inlineStr">
        <is>
          <t>158026818-indochineblue/rainbowlurex</t>
        </is>
      </c>
      <c r="E1749" s="7" t="inlineStr">
        <is>
          <t>Swiftly Tech LS 2.0 Race *Sparkle INCB/RLUX 8</t>
        </is>
      </c>
      <c r="F1749" s="7" t="inlineStr">
        <is>
          <t>$78.00</t>
        </is>
      </c>
      <c r="G1749" s="7" t="inlineStr">
        <is>
          <t>$39.00</t>
        </is>
      </c>
      <c r="H1749" s="7" t="inlineStr">
        <is>
          <t>Indochine Blue/Rainbow Lurex</t>
        </is>
      </c>
      <c r="I1749" s="7">
        <f>IMAGE("https://images.lululemon.com/is/image/lululemon/73826",1)</f>
        <v/>
      </c>
      <c r="J1749" s="7" t="inlineStr">
        <is>
          <t>10</t>
        </is>
      </c>
      <c r="K1749" s="7" t="inlineStr">
        <is>
          <t>12/27</t>
        </is>
      </c>
      <c r="L1749" s="7" t="inlineStr">
        <is>
          <t>Yes</t>
        </is>
      </c>
      <c r="M1749" s="7" t="inlineStr">
        <is>
          <t>Go ahead, get glowing. This version of our high-performing Swiftly top features colourful metallic yarns that complement your post-workout glow.</t>
        </is>
      </c>
      <c r="N1749" s="7" t="inlineStr">
        <is>
          <t>Swiftly-Tech-LS-Shirt-2-Waist-Length-Sparkle</t>
        </is>
      </c>
      <c r="O1749" s="7" t="inlineStr"/>
    </row>
    <row r="1750" ht="80" customHeight="1">
      <c r="A1750" s="6">
        <f>IMAGE("https://images.lululemon.com/is/image/lululemon/LW3JMJS_073826_1?wid=320&amp;op_usm=0.8",1)</f>
        <v/>
      </c>
      <c r="B1750" s="6" t="inlineStr">
        <is>
          <t>Swiftly Tech Long-Sleeve Shirt 2.0 Waist Length *Sparkle</t>
        </is>
      </c>
      <c r="C1750" s="6" t="inlineStr">
        <is>
          <t>158026828</t>
        </is>
      </c>
      <c r="D1750" s="6" t="inlineStr">
        <is>
          <t>158026828-indochineblue/rainbowlurex</t>
        </is>
      </c>
      <c r="E1750" s="6" t="inlineStr">
        <is>
          <t>Swiftly Tech LS 2.0 Race *Sparkle INCB/RLUX 8</t>
        </is>
      </c>
      <c r="F1750" s="6" t="inlineStr">
        <is>
          <t>$78.00</t>
        </is>
      </c>
      <c r="G1750" s="6" t="inlineStr">
        <is>
          <t>$39.00</t>
        </is>
      </c>
      <c r="H1750" s="6" t="inlineStr">
        <is>
          <t>Indochine Blue/Rainbow Lurex</t>
        </is>
      </c>
      <c r="I1750" s="6">
        <f>IMAGE("https://images.lululemon.com/is/image/lululemon/73826",1)</f>
        <v/>
      </c>
      <c r="J1750" s="6" t="inlineStr">
        <is>
          <t>12</t>
        </is>
      </c>
      <c r="K1750" s="6" t="inlineStr">
        <is>
          <t>12/27</t>
        </is>
      </c>
      <c r="L1750" s="6" t="inlineStr">
        <is>
          <t>Yes</t>
        </is>
      </c>
      <c r="M1750" s="6" t="inlineStr">
        <is>
          <t>Go ahead, get glowing. This version of our high-performing Swiftly top features colourful metallic yarns that complement your post-workout glow.</t>
        </is>
      </c>
      <c r="N1750" s="6" t="inlineStr">
        <is>
          <t>Swiftly-Tech-LS-Shirt-2-Waist-Length-Sparkle</t>
        </is>
      </c>
      <c r="O1750" s="6" t="inlineStr"/>
    </row>
    <row r="1751" ht="80" customHeight="1">
      <c r="A1751" s="7">
        <f>IMAGE("https://images.lululemon.com/is/image/lululemon/LW9FL8S_035486_1?wid=320&amp;op_usm=0.8",1)</f>
        <v/>
      </c>
      <c r="B1751" s="7" t="inlineStr">
        <is>
          <t>City Essentials Pouch *Mini 2L</t>
        </is>
      </c>
      <c r="C1751" s="7" t="inlineStr">
        <is>
          <t>157706652</t>
        </is>
      </c>
      <c r="D1751" s="7" t="inlineStr">
        <is>
          <t>157706652-blissfulpink</t>
        </is>
      </c>
      <c r="E1751" s="7" t="inlineStr">
        <is>
          <t>City Essentials Pouch Mini BLLP ONE SIZE</t>
        </is>
      </c>
      <c r="F1751" s="7" t="inlineStr">
        <is>
          <t>$38.00</t>
        </is>
      </c>
      <c r="G1751" s="7" t="inlineStr">
        <is>
          <t>$19.00</t>
        </is>
      </c>
      <c r="H1751" s="7" t="inlineStr">
        <is>
          <t>Blissful Pink</t>
        </is>
      </c>
      <c r="I1751" s="7">
        <f>IMAGE("https://images.lululemon.com/is/image/lululemon/35486",1)</f>
        <v/>
      </c>
      <c r="J1751" s="7" t="inlineStr">
        <is>
          <t>O/S</t>
        </is>
      </c>
      <c r="K1751" s="7" t="inlineStr">
        <is>
          <t>1006/1096</t>
        </is>
      </c>
      <c r="L1751" s="7" t="inlineStr">
        <is>
          <t>Yes</t>
        </is>
      </c>
      <c r="M1751" s="7" t="inlineStr">
        <is>
          <t>Spend less time searching for things and more time knowing exactly where they are. From makeup to electronic accessories, this pouch will keep you organized.</t>
        </is>
      </c>
      <c r="N1751" s="7" t="inlineStr">
        <is>
          <t>City-Essentials-Pouch-Mini</t>
        </is>
      </c>
      <c r="O1751" s="7" t="inlineStr">
        <is>
          <t>Wallets and Pouches</t>
        </is>
      </c>
    </row>
    <row r="1752" ht="80" customHeight="1">
      <c r="A1752" s="6">
        <f>IMAGE("https://images.lululemon.com/is/image/lululemon/LW9FL8S_035486_1?wid=320&amp;op_usm=0.8",1)</f>
        <v/>
      </c>
      <c r="B1752" s="6" t="inlineStr">
        <is>
          <t>City Essentials Pouch *Mini 2L</t>
        </is>
      </c>
      <c r="C1752" s="6" t="inlineStr">
        <is>
          <t>158023026</t>
        </is>
      </c>
      <c r="D1752" s="6" t="inlineStr">
        <is>
          <t>158023026-blackplum</t>
        </is>
      </c>
      <c r="E1752" s="6" t="inlineStr">
        <is>
          <t>City Essentials Pouch Mini BLLP ONE SIZE</t>
        </is>
      </c>
      <c r="F1752" s="6" t="inlineStr">
        <is>
          <t>$38.00</t>
        </is>
      </c>
      <c r="G1752" s="6" t="inlineStr">
        <is>
          <t>$19.00</t>
        </is>
      </c>
      <c r="H1752" s="6" t="inlineStr">
        <is>
          <t>Black Plum</t>
        </is>
      </c>
      <c r="I1752" s="6">
        <f>IMAGE("https://images.lululemon.com/is/image/lululemon/34697",1)</f>
        <v/>
      </c>
      <c r="J1752" s="6" t="inlineStr">
        <is>
          <t>O/S</t>
        </is>
      </c>
      <c r="K1752" s="6" t="inlineStr">
        <is>
          <t>90/1096</t>
        </is>
      </c>
      <c r="L1752" s="6" t="inlineStr">
        <is>
          <t>Yes</t>
        </is>
      </c>
      <c r="M1752" s="6" t="inlineStr">
        <is>
          <t>Spend less time searching for things and more time knowing exactly where they are. From makeup to electronic accessories, this pouch will keep you organized.</t>
        </is>
      </c>
      <c r="N1752" s="6" t="inlineStr">
        <is>
          <t>City-Essentials-Pouch-Mini</t>
        </is>
      </c>
      <c r="O1752" s="6" t="inlineStr">
        <is>
          <t>Wallets and Pouches</t>
        </is>
      </c>
    </row>
    <row r="1753" ht="80" customHeight="1">
      <c r="A1753" s="7">
        <f>IMAGE("https://images.lululemon.com/is/image/lululemon/LW3FQFS_0572_1?wid=320&amp;op_usm=0.8",1)</f>
        <v/>
      </c>
      <c r="B1753" s="7" t="inlineStr">
        <is>
          <t>Swiftly Tech Long-Sleeve Shirt 2.0 *Waist Length</t>
        </is>
      </c>
      <c r="C1753" s="7" t="inlineStr">
        <is>
          <t>157715231</t>
        </is>
      </c>
      <c r="D1753" s="7" t="inlineStr">
        <is>
          <t>157715231-blissfulpink/blissfulpink</t>
        </is>
      </c>
      <c r="E1753" s="7" t="inlineStr">
        <is>
          <t>Swiftly Tech Long Sleeve 2.0 *Race BLLP/BLLP 2</t>
        </is>
      </c>
      <c r="F1753" s="7" t="inlineStr">
        <is>
          <t>$78.00</t>
        </is>
      </c>
      <c r="G1753" s="7" t="inlineStr">
        <is>
          <t>$39.00</t>
        </is>
      </c>
      <c r="H1753" s="7" t="inlineStr">
        <is>
          <t>Blissful Pink/Blissful Pink</t>
        </is>
      </c>
      <c r="I1753" s="7">
        <f>IMAGE("https://images.lululemon.com/is/image/lululemon/35647",1)</f>
        <v/>
      </c>
      <c r="J1753" s="7" t="inlineStr">
        <is>
          <t>2</t>
        </is>
      </c>
      <c r="K1753" s="7" t="inlineStr">
        <is>
          <t>26/2454</t>
        </is>
      </c>
      <c r="L1753" s="7" t="inlineStr">
        <is>
          <t>Yes</t>
        </is>
      </c>
      <c r="M1753" s="7" t="inlineStr">
        <is>
          <t>Go ahead, get sweaty. The Swiftly collection is all about high-performing fabric that seamlessly adapts to you and your workout.</t>
        </is>
      </c>
      <c r="N1753" s="7" t="inlineStr">
        <is>
          <t>Swiftly-Tech-LS-2-Race</t>
        </is>
      </c>
      <c r="O1753" s="7" t="inlineStr"/>
    </row>
    <row r="1754" ht="80" customHeight="1">
      <c r="A1754" s="4">
        <f>IMAGE("https://images.lululemon.com/is/image/lululemon/LW3FQFS_0572_1?wid=320&amp;op_usm=0.8",1)</f>
        <v/>
      </c>
      <c r="B1754" s="4" t="inlineStr">
        <is>
          <t>Swiftly Tech Long-Sleeve Shirt 2.0 *Waist Length</t>
        </is>
      </c>
      <c r="C1754" s="4" t="inlineStr">
        <is>
          <t>157715232</t>
        </is>
      </c>
      <c r="D1754" s="4" t="inlineStr">
        <is>
          <t>157715232-blissfulpink/blissfulpink</t>
        </is>
      </c>
      <c r="E1754" s="4" t="inlineStr">
        <is>
          <t>Swiftly Tech Long Sleeve 2.0 *Race BLLP/BLLP 2</t>
        </is>
      </c>
      <c r="F1754" s="4" t="inlineStr">
        <is>
          <t>$78.00</t>
        </is>
      </c>
      <c r="G1754" s="4" t="inlineStr">
        <is>
          <t>$39.00</t>
        </is>
      </c>
      <c r="H1754" s="4" t="inlineStr">
        <is>
          <t>Blissful Pink/Blissful Pink</t>
        </is>
      </c>
      <c r="I1754" s="4">
        <f>IMAGE("https://images.lululemon.com/is/image/lululemon/35647",1)</f>
        <v/>
      </c>
      <c r="J1754" s="4" t="inlineStr">
        <is>
          <t>4</t>
        </is>
      </c>
      <c r="K1754" s="4" t="inlineStr">
        <is>
          <t>108/2454</t>
        </is>
      </c>
      <c r="L1754" s="4" t="inlineStr">
        <is>
          <t>Yes</t>
        </is>
      </c>
      <c r="M1754" s="4" t="inlineStr">
        <is>
          <t>Go ahead, get sweaty. The Swiftly collection is all about high-performing fabric that seamlessly adapts to you and your workout.</t>
        </is>
      </c>
      <c r="N1754" s="4" t="inlineStr">
        <is>
          <t>Swiftly-Tech-LS-2-Race</t>
        </is>
      </c>
      <c r="O1754" s="4" t="inlineStr"/>
    </row>
    <row r="1755" ht="80" customHeight="1">
      <c r="A1755" s="7">
        <f>IMAGE("https://images.lululemon.com/is/image/lululemon/LW3FQFS_0572_1?wid=320&amp;op_usm=0.8",1)</f>
        <v/>
      </c>
      <c r="B1755" s="7" t="inlineStr">
        <is>
          <t>Swiftly Tech Long-Sleeve Shirt 2.0 *Waist Length</t>
        </is>
      </c>
      <c r="C1755" s="7" t="inlineStr">
        <is>
          <t>157715233</t>
        </is>
      </c>
      <c r="D1755" s="7" t="inlineStr">
        <is>
          <t>157715233-blissfulpink/blissfulpink</t>
        </is>
      </c>
      <c r="E1755" s="7" t="inlineStr">
        <is>
          <t>Swiftly Tech Long Sleeve 2.0 *Race BLLP/BLLP 2</t>
        </is>
      </c>
      <c r="F1755" s="7" t="inlineStr">
        <is>
          <t>$78.00</t>
        </is>
      </c>
      <c r="G1755" s="7" t="inlineStr">
        <is>
          <t>$39.00</t>
        </is>
      </c>
      <c r="H1755" s="7" t="inlineStr">
        <is>
          <t>Blissful Pink/Blissful Pink</t>
        </is>
      </c>
      <c r="I1755" s="7">
        <f>IMAGE("https://images.lululemon.com/is/image/lululemon/35647",1)</f>
        <v/>
      </c>
      <c r="J1755" s="7" t="inlineStr">
        <is>
          <t>6</t>
        </is>
      </c>
      <c r="K1755" s="7" t="inlineStr">
        <is>
          <t>128/2454</t>
        </is>
      </c>
      <c r="L1755" s="7" t="inlineStr">
        <is>
          <t>Yes</t>
        </is>
      </c>
      <c r="M1755" s="7" t="inlineStr">
        <is>
          <t>Go ahead, get sweaty. The Swiftly collection is all about high-performing fabric that seamlessly adapts to you and your workout.</t>
        </is>
      </c>
      <c r="N1755" s="7" t="inlineStr">
        <is>
          <t>Swiftly-Tech-LS-2-Race</t>
        </is>
      </c>
      <c r="O1755" s="7" t="inlineStr"/>
    </row>
    <row r="1756" ht="80" customHeight="1">
      <c r="A1756" s="4">
        <f>IMAGE("https://images.lululemon.com/is/image/lululemon/LW3FQFS_0572_1?wid=320&amp;op_usm=0.8",1)</f>
        <v/>
      </c>
      <c r="B1756" s="4" t="inlineStr">
        <is>
          <t>Swiftly Tech Long-Sleeve Shirt 2.0 *Waist Length</t>
        </is>
      </c>
      <c r="C1756" s="4" t="inlineStr">
        <is>
          <t>157715234</t>
        </is>
      </c>
      <c r="D1756" s="4" t="inlineStr">
        <is>
          <t>157715234-blissfulpink/blissfulpink</t>
        </is>
      </c>
      <c r="E1756" s="4" t="inlineStr">
        <is>
          <t>Swiftly Tech Long Sleeve 2.0 *Race BLLP/BLLP 2</t>
        </is>
      </c>
      <c r="F1756" s="4" t="inlineStr">
        <is>
          <t>$78.00</t>
        </is>
      </c>
      <c r="G1756" s="4" t="inlineStr">
        <is>
          <t>$39.00</t>
        </is>
      </c>
      <c r="H1756" s="4" t="inlineStr">
        <is>
          <t>Blissful Pink/Blissful Pink</t>
        </is>
      </c>
      <c r="I1756" s="4">
        <f>IMAGE("https://images.lululemon.com/is/image/lululemon/35647",1)</f>
        <v/>
      </c>
      <c r="J1756" s="4" t="inlineStr">
        <is>
          <t>8</t>
        </is>
      </c>
      <c r="K1756" s="4" t="inlineStr">
        <is>
          <t>115/2454</t>
        </is>
      </c>
      <c r="L1756" s="4" t="inlineStr">
        <is>
          <t>Yes</t>
        </is>
      </c>
      <c r="M1756" s="4" t="inlineStr">
        <is>
          <t>Go ahead, get sweaty. The Swiftly collection is all about high-performing fabric that seamlessly adapts to you and your workout.</t>
        </is>
      </c>
      <c r="N1756" s="4" t="inlineStr">
        <is>
          <t>Swiftly-Tech-LS-2-Race</t>
        </is>
      </c>
      <c r="O1756" s="4" t="inlineStr"/>
    </row>
    <row r="1757" ht="80" customHeight="1">
      <c r="A1757" s="7">
        <f>IMAGE("https://images.lululemon.com/is/image/lululemon/LW3FQFS_0572_1?wid=320&amp;op_usm=0.8",1)</f>
        <v/>
      </c>
      <c r="B1757" s="7" t="inlineStr">
        <is>
          <t>Swiftly Tech Long-Sleeve Shirt 2.0 *Waist Length</t>
        </is>
      </c>
      <c r="C1757" s="7" t="inlineStr">
        <is>
          <t>157715229</t>
        </is>
      </c>
      <c r="D1757" s="7" t="inlineStr">
        <is>
          <t>157715229-blissfulpink/blissfulpink</t>
        </is>
      </c>
      <c r="E1757" s="7" t="inlineStr">
        <is>
          <t>Swiftly Tech Long Sleeve 2.0 *Race BLLP/BLLP 2</t>
        </is>
      </c>
      <c r="F1757" s="7" t="inlineStr">
        <is>
          <t>$78.00</t>
        </is>
      </c>
      <c r="G1757" s="7" t="inlineStr">
        <is>
          <t>$39.00</t>
        </is>
      </c>
      <c r="H1757" s="7" t="inlineStr">
        <is>
          <t>Blissful Pink/Blissful Pink</t>
        </is>
      </c>
      <c r="I1757" s="7">
        <f>IMAGE("https://images.lululemon.com/is/image/lululemon/35647",1)</f>
        <v/>
      </c>
      <c r="J1757" s="7" t="inlineStr">
        <is>
          <t>10</t>
        </is>
      </c>
      <c r="K1757" s="7" t="inlineStr">
        <is>
          <t>95/2454</t>
        </is>
      </c>
      <c r="L1757" s="7" t="inlineStr">
        <is>
          <t>Yes</t>
        </is>
      </c>
      <c r="M1757" s="7" t="inlineStr">
        <is>
          <t>Go ahead, get sweaty. The Swiftly collection is all about high-performing fabric that seamlessly adapts to you and your workout.</t>
        </is>
      </c>
      <c r="N1757" s="7" t="inlineStr">
        <is>
          <t>Swiftly-Tech-LS-2-Race</t>
        </is>
      </c>
      <c r="O1757" s="7" t="inlineStr"/>
    </row>
    <row r="1758" ht="80" customHeight="1">
      <c r="A1758" s="4">
        <f>IMAGE("https://images.lululemon.com/is/image/lululemon/LW3FQFS_0572_1?wid=320&amp;op_usm=0.8",1)</f>
        <v/>
      </c>
      <c r="B1758" s="4" t="inlineStr">
        <is>
          <t>Swiftly Tech Long-Sleeve Shirt 2.0 *Waist Length</t>
        </is>
      </c>
      <c r="C1758" s="4" t="inlineStr">
        <is>
          <t>157715230</t>
        </is>
      </c>
      <c r="D1758" s="4" t="inlineStr">
        <is>
          <t>157715230-blissfulpink/blissfulpink</t>
        </is>
      </c>
      <c r="E1758" s="4" t="inlineStr">
        <is>
          <t>Swiftly Tech Long Sleeve 2.0 *Race BLLP/BLLP 2</t>
        </is>
      </c>
      <c r="F1758" s="4" t="inlineStr">
        <is>
          <t>$78.00</t>
        </is>
      </c>
      <c r="G1758" s="4" t="inlineStr">
        <is>
          <t>$39.00</t>
        </is>
      </c>
      <c r="H1758" s="4" t="inlineStr">
        <is>
          <t>Blissful Pink/Blissful Pink</t>
        </is>
      </c>
      <c r="I1758" s="4">
        <f>IMAGE("https://images.lululemon.com/is/image/lululemon/35647",1)</f>
        <v/>
      </c>
      <c r="J1758" s="4" t="inlineStr">
        <is>
          <t>12</t>
        </is>
      </c>
      <c r="K1758" s="4" t="inlineStr">
        <is>
          <t>54/2454</t>
        </is>
      </c>
      <c r="L1758" s="4" t="inlineStr">
        <is>
          <t>Yes</t>
        </is>
      </c>
      <c r="M1758" s="4" t="inlineStr">
        <is>
          <t>Go ahead, get sweaty. The Swiftly collection is all about high-performing fabric that seamlessly adapts to you and your workout.</t>
        </is>
      </c>
      <c r="N1758" s="4" t="inlineStr">
        <is>
          <t>Swiftly-Tech-LS-2-Race</t>
        </is>
      </c>
      <c r="O1758" s="4" t="inlineStr"/>
    </row>
    <row r="1759" ht="80" customHeight="1">
      <c r="A1759" s="7">
        <f>IMAGE("https://images.lululemon.com/is/image/lululemon/LW3FQFS_0572_1?wid=320&amp;op_usm=0.8",1)</f>
        <v/>
      </c>
      <c r="B1759" s="7" t="inlineStr">
        <is>
          <t>Swiftly Tech Long-Sleeve Shirt 2.0 *Waist Length</t>
        </is>
      </c>
      <c r="C1759" s="7" t="inlineStr">
        <is>
          <t>158032869</t>
        </is>
      </c>
      <c r="D1759" s="7" t="inlineStr">
        <is>
          <t>158032869-brilliantblue/brilliantblue</t>
        </is>
      </c>
      <c r="E1759" s="7" t="inlineStr">
        <is>
          <t>Swiftly Tech Long Sleeve 2.0 *Race BLLP/BLLP 2</t>
        </is>
      </c>
      <c r="F1759" s="7" t="inlineStr">
        <is>
          <t>$78.00</t>
        </is>
      </c>
      <c r="G1759" s="7" t="inlineStr">
        <is>
          <t>$39.00</t>
        </is>
      </c>
      <c r="H1759" s="7" t="inlineStr">
        <is>
          <t>Brilliant Blue/Brilliant Blue</t>
        </is>
      </c>
      <c r="I1759" s="7">
        <f>IMAGE("https://images.lululemon.com/is/image/lululemon/33547",1)</f>
        <v/>
      </c>
      <c r="J1759" s="7" t="inlineStr">
        <is>
          <t>2</t>
        </is>
      </c>
      <c r="K1759" s="7" t="inlineStr">
        <is>
          <t>28/2454</t>
        </is>
      </c>
      <c r="L1759" s="7" t="inlineStr">
        <is>
          <t>Yes</t>
        </is>
      </c>
      <c r="M1759" s="7" t="inlineStr">
        <is>
          <t>Go ahead, get sweaty. The Swiftly collection is all about high-performing fabric that seamlessly adapts to you and your workout.</t>
        </is>
      </c>
      <c r="N1759" s="7" t="inlineStr">
        <is>
          <t>Swiftly-Tech-LS-2-Race</t>
        </is>
      </c>
      <c r="O1759" s="7" t="inlineStr"/>
    </row>
    <row r="1760" ht="80" customHeight="1">
      <c r="A1760" s="4">
        <f>IMAGE("https://images.lululemon.com/is/image/lululemon/LW3FQFS_0572_1?wid=320&amp;op_usm=0.8",1)</f>
        <v/>
      </c>
      <c r="B1760" s="4" t="inlineStr">
        <is>
          <t>Swiftly Tech Long-Sleeve Shirt 2.0 *Waist Length</t>
        </is>
      </c>
      <c r="C1760" s="4" t="inlineStr">
        <is>
          <t>158032912</t>
        </is>
      </c>
      <c r="D1760" s="4" t="inlineStr">
        <is>
          <t>158032912-brilliantblue/brilliantblue</t>
        </is>
      </c>
      <c r="E1760" s="4" t="inlineStr">
        <is>
          <t>Swiftly Tech Long Sleeve 2.0 *Race BLLP/BLLP 2</t>
        </is>
      </c>
      <c r="F1760" s="4" t="inlineStr">
        <is>
          <t>$78.00</t>
        </is>
      </c>
      <c r="G1760" s="4" t="inlineStr">
        <is>
          <t>$39.00</t>
        </is>
      </c>
      <c r="H1760" s="4" t="inlineStr">
        <is>
          <t>Brilliant Blue/Brilliant Blue</t>
        </is>
      </c>
      <c r="I1760" s="4">
        <f>IMAGE("https://images.lululemon.com/is/image/lululemon/33547",1)</f>
        <v/>
      </c>
      <c r="J1760" s="4" t="inlineStr">
        <is>
          <t>4</t>
        </is>
      </c>
      <c r="K1760" s="4" t="inlineStr">
        <is>
          <t>75/2454</t>
        </is>
      </c>
      <c r="L1760" s="4" t="inlineStr">
        <is>
          <t>Yes</t>
        </is>
      </c>
      <c r="M1760" s="4" t="inlineStr">
        <is>
          <t>Go ahead, get sweaty. The Swiftly collection is all about high-performing fabric that seamlessly adapts to you and your workout.</t>
        </is>
      </c>
      <c r="N1760" s="4" t="inlineStr">
        <is>
          <t>Swiftly-Tech-LS-2-Race</t>
        </is>
      </c>
      <c r="O1760" s="4" t="inlineStr"/>
    </row>
    <row r="1761" ht="80" customHeight="1">
      <c r="A1761" s="7">
        <f>IMAGE("https://images.lululemon.com/is/image/lululemon/LW3FQFS_0572_1?wid=320&amp;op_usm=0.8",1)</f>
        <v/>
      </c>
      <c r="B1761" s="7" t="inlineStr">
        <is>
          <t>Swiftly Tech Long-Sleeve Shirt 2.0 *Waist Length</t>
        </is>
      </c>
      <c r="C1761" s="7" t="inlineStr">
        <is>
          <t>158032930</t>
        </is>
      </c>
      <c r="D1761" s="7" t="inlineStr">
        <is>
          <t>158032930-brilliantblue/brilliantblue</t>
        </is>
      </c>
      <c r="E1761" s="7" t="inlineStr">
        <is>
          <t>Swiftly Tech Long Sleeve 2.0 *Race BLLP/BLLP 2</t>
        </is>
      </c>
      <c r="F1761" s="7" t="inlineStr">
        <is>
          <t>$78.00</t>
        </is>
      </c>
      <c r="G1761" s="7" t="inlineStr">
        <is>
          <t>$39.00</t>
        </is>
      </c>
      <c r="H1761" s="7" t="inlineStr">
        <is>
          <t>Brilliant Blue/Brilliant Blue</t>
        </is>
      </c>
      <c r="I1761" s="7">
        <f>IMAGE("https://images.lululemon.com/is/image/lululemon/33547",1)</f>
        <v/>
      </c>
      <c r="J1761" s="7" t="inlineStr">
        <is>
          <t>6</t>
        </is>
      </c>
      <c r="K1761" s="7" t="inlineStr">
        <is>
          <t>80/2454</t>
        </is>
      </c>
      <c r="L1761" s="7" t="inlineStr">
        <is>
          <t>Yes</t>
        </is>
      </c>
      <c r="M1761" s="7" t="inlineStr">
        <is>
          <t>Go ahead, get sweaty. The Swiftly collection is all about high-performing fabric that seamlessly adapts to you and your workout.</t>
        </is>
      </c>
      <c r="N1761" s="7" t="inlineStr">
        <is>
          <t>Swiftly-Tech-LS-2-Race</t>
        </is>
      </c>
      <c r="O1761" s="7" t="inlineStr"/>
    </row>
    <row r="1762" ht="80" customHeight="1">
      <c r="A1762" s="4">
        <f>IMAGE("https://images.lululemon.com/is/image/lululemon/LW3FQFS_0572_1?wid=320&amp;op_usm=0.8",1)</f>
        <v/>
      </c>
      <c r="B1762" s="4" t="inlineStr">
        <is>
          <t>Swiftly Tech Long-Sleeve Shirt 2.0 *Waist Length</t>
        </is>
      </c>
      <c r="C1762" s="4" t="inlineStr">
        <is>
          <t>158032949</t>
        </is>
      </c>
      <c r="D1762" s="4" t="inlineStr">
        <is>
          <t>158032949-brilliantblue/brilliantblue</t>
        </is>
      </c>
      <c r="E1762" s="4" t="inlineStr">
        <is>
          <t>Swiftly Tech Long Sleeve 2.0 *Race BLLP/BLLP 2</t>
        </is>
      </c>
      <c r="F1762" s="4" t="inlineStr">
        <is>
          <t>$78.00</t>
        </is>
      </c>
      <c r="G1762" s="4" t="inlineStr">
        <is>
          <t>$39.00</t>
        </is>
      </c>
      <c r="H1762" s="4" t="inlineStr">
        <is>
          <t>Brilliant Blue/Brilliant Blue</t>
        </is>
      </c>
      <c r="I1762" s="4">
        <f>IMAGE("https://images.lululemon.com/is/image/lululemon/33547",1)</f>
        <v/>
      </c>
      <c r="J1762" s="4" t="inlineStr">
        <is>
          <t>8</t>
        </is>
      </c>
      <c r="K1762" s="4" t="inlineStr">
        <is>
          <t>86/2454</t>
        </is>
      </c>
      <c r="L1762" s="4" t="inlineStr">
        <is>
          <t>Yes</t>
        </is>
      </c>
      <c r="M1762" s="4" t="inlineStr">
        <is>
          <t>Go ahead, get sweaty. The Swiftly collection is all about high-performing fabric that seamlessly adapts to you and your workout.</t>
        </is>
      </c>
      <c r="N1762" s="4" t="inlineStr">
        <is>
          <t>Swiftly-Tech-LS-2-Race</t>
        </is>
      </c>
      <c r="O1762" s="4" t="inlineStr"/>
    </row>
    <row r="1763" ht="80" customHeight="1">
      <c r="A1763" s="7">
        <f>IMAGE("https://images.lululemon.com/is/image/lululemon/LW3FQFS_0572_1?wid=320&amp;op_usm=0.8",1)</f>
        <v/>
      </c>
      <c r="B1763" s="7" t="inlineStr">
        <is>
          <t>Swiftly Tech Long-Sleeve Shirt 2.0 *Waist Length</t>
        </is>
      </c>
      <c r="C1763" s="7" t="inlineStr">
        <is>
          <t>158032762</t>
        </is>
      </c>
      <c r="D1763" s="7" t="inlineStr">
        <is>
          <t>158032762-brilliantblue/brilliantblue</t>
        </is>
      </c>
      <c r="E1763" s="7" t="inlineStr">
        <is>
          <t>Swiftly Tech Long Sleeve 2.0 *Race BLLP/BLLP 2</t>
        </is>
      </c>
      <c r="F1763" s="7" t="inlineStr">
        <is>
          <t>$78.00</t>
        </is>
      </c>
      <c r="G1763" s="7" t="inlineStr">
        <is>
          <t>$39.00</t>
        </is>
      </c>
      <c r="H1763" s="7" t="inlineStr">
        <is>
          <t>Brilliant Blue/Brilliant Blue</t>
        </is>
      </c>
      <c r="I1763" s="7">
        <f>IMAGE("https://images.lululemon.com/is/image/lululemon/33547",1)</f>
        <v/>
      </c>
      <c r="J1763" s="7" t="inlineStr">
        <is>
          <t>10</t>
        </is>
      </c>
      <c r="K1763" s="7" t="inlineStr">
        <is>
          <t>46/2454</t>
        </is>
      </c>
      <c r="L1763" s="7" t="inlineStr">
        <is>
          <t>Yes</t>
        </is>
      </c>
      <c r="M1763" s="7" t="inlineStr">
        <is>
          <t>Go ahead, get sweaty. The Swiftly collection is all about high-performing fabric that seamlessly adapts to you and your workout.</t>
        </is>
      </c>
      <c r="N1763" s="7" t="inlineStr">
        <is>
          <t>Swiftly-Tech-LS-2-Race</t>
        </is>
      </c>
      <c r="O1763" s="7" t="inlineStr"/>
    </row>
    <row r="1764" ht="80" customHeight="1">
      <c r="A1764" s="4">
        <f>IMAGE("https://images.lululemon.com/is/image/lululemon/LW3FQFS_0572_1?wid=320&amp;op_usm=0.8",1)</f>
        <v/>
      </c>
      <c r="B1764" s="4" t="inlineStr">
        <is>
          <t>Swiftly Tech Long-Sleeve Shirt 2.0 *Waist Length</t>
        </is>
      </c>
      <c r="C1764" s="4" t="inlineStr">
        <is>
          <t>158032785</t>
        </is>
      </c>
      <c r="D1764" s="4" t="inlineStr">
        <is>
          <t>158032785-brilliantblue/brilliantblue</t>
        </is>
      </c>
      <c r="E1764" s="4" t="inlineStr">
        <is>
          <t>Swiftly Tech Long Sleeve 2.0 *Race BLLP/BLLP 2</t>
        </is>
      </c>
      <c r="F1764" s="4" t="inlineStr">
        <is>
          <t>$78.00</t>
        </is>
      </c>
      <c r="G1764" s="4" t="inlineStr">
        <is>
          <t>$39.00</t>
        </is>
      </c>
      <c r="H1764" s="4" t="inlineStr">
        <is>
          <t>Brilliant Blue/Brilliant Blue</t>
        </is>
      </c>
      <c r="I1764" s="4">
        <f>IMAGE("https://images.lululemon.com/is/image/lululemon/33547",1)</f>
        <v/>
      </c>
      <c r="J1764" s="4" t="inlineStr">
        <is>
          <t>12</t>
        </is>
      </c>
      <c r="K1764" s="4" t="inlineStr">
        <is>
          <t>25/2454</t>
        </is>
      </c>
      <c r="L1764" s="4" t="inlineStr">
        <is>
          <t>Yes</t>
        </is>
      </c>
      <c r="M1764" s="4" t="inlineStr">
        <is>
          <t>Go ahead, get sweaty. The Swiftly collection is all about high-performing fabric that seamlessly adapts to you and your workout.</t>
        </is>
      </c>
      <c r="N1764" s="4" t="inlineStr">
        <is>
          <t>Swiftly-Tech-LS-2-Race</t>
        </is>
      </c>
      <c r="O1764" s="4" t="inlineStr"/>
    </row>
    <row r="1765" ht="80" customHeight="1">
      <c r="A1765" s="7">
        <f>IMAGE("https://images.lululemon.com/is/image/lululemon/LW3FQFS_0572_1?wid=320&amp;op_usm=0.8",1)</f>
        <v/>
      </c>
      <c r="B1765" s="7" t="inlineStr">
        <is>
          <t>Swiftly Tech Long-Sleeve Shirt 2.0 *Waist Length</t>
        </is>
      </c>
      <c r="C1765" s="7" t="inlineStr">
        <is>
          <t>156478426</t>
        </is>
      </c>
      <c r="D1765" s="7" t="inlineStr">
        <is>
          <t>156478426-black/black</t>
        </is>
      </c>
      <c r="E1765" s="7" t="inlineStr">
        <is>
          <t>Swiftly Tech Long Sleeve 2.0 *Race BLLP/BLLP 2</t>
        </is>
      </c>
      <c r="F1765" s="7" t="inlineStr">
        <is>
          <t>$78.00</t>
        </is>
      </c>
      <c r="G1765" s="7" t="inlineStr">
        <is>
          <t>$39.00</t>
        </is>
      </c>
      <c r="H1765" s="7" t="inlineStr">
        <is>
          <t>Black/Black</t>
        </is>
      </c>
      <c r="I1765" s="7">
        <f>IMAGE("https://images.lululemon.com/is/image/lululemon/4780",1)</f>
        <v/>
      </c>
      <c r="J1765" s="7" t="inlineStr">
        <is>
          <t>4</t>
        </is>
      </c>
      <c r="K1765" s="7" t="inlineStr">
        <is>
          <t>177/2454</t>
        </is>
      </c>
      <c r="L1765" s="7" t="inlineStr">
        <is>
          <t>Yes</t>
        </is>
      </c>
      <c r="M1765" s="7" t="inlineStr">
        <is>
          <t>Go ahead, get sweaty. The Swiftly collection is all about high-performing fabric that seamlessly adapts to you and your workout.</t>
        </is>
      </c>
      <c r="N1765" s="7" t="inlineStr">
        <is>
          <t>Swiftly-Tech-LS-2-Race</t>
        </is>
      </c>
      <c r="O1765" s="7" t="inlineStr"/>
    </row>
    <row r="1766" ht="80" customHeight="1">
      <c r="A1766" s="4">
        <f>IMAGE("https://images.lululemon.com/is/image/lululemon/LW3FQFS_0572_1?wid=320&amp;op_usm=0.8",1)</f>
        <v/>
      </c>
      <c r="B1766" s="4" t="inlineStr">
        <is>
          <t>Swiftly Tech Long-Sleeve Shirt 2.0 *Waist Length</t>
        </is>
      </c>
      <c r="C1766" s="4" t="inlineStr">
        <is>
          <t>124975681</t>
        </is>
      </c>
      <c r="D1766" s="4" t="inlineStr">
        <is>
          <t>124975681-black/black</t>
        </is>
      </c>
      <c r="E1766" s="4" t="inlineStr">
        <is>
          <t>Swiftly Tech Long Sleeve 2.0 *Race BLLP/BLLP 2</t>
        </is>
      </c>
      <c r="F1766" s="4" t="inlineStr">
        <is>
          <t>$78.00</t>
        </is>
      </c>
      <c r="G1766" s="4" t="inlineStr">
        <is>
          <t>$39.00</t>
        </is>
      </c>
      <c r="H1766" s="4" t="inlineStr">
        <is>
          <t>Black/Black</t>
        </is>
      </c>
      <c r="I1766" s="4">
        <f>IMAGE("https://images.lululemon.com/is/image/lululemon/4780",1)</f>
        <v/>
      </c>
      <c r="J1766" s="4" t="inlineStr">
        <is>
          <t>6</t>
        </is>
      </c>
      <c r="K1766" s="4" t="inlineStr">
        <is>
          <t>552/2454</t>
        </is>
      </c>
      <c r="L1766" s="4" t="inlineStr">
        <is>
          <t>Yes</t>
        </is>
      </c>
      <c r="M1766" s="4" t="inlineStr">
        <is>
          <t>Go ahead, get sweaty. The Swiftly collection is all about high-performing fabric that seamlessly adapts to you and your workout.</t>
        </is>
      </c>
      <c r="N1766" s="4" t="inlineStr">
        <is>
          <t>Swiftly-Tech-LS-2-Race</t>
        </is>
      </c>
      <c r="O1766" s="4" t="inlineStr"/>
    </row>
    <row r="1767" ht="80" customHeight="1">
      <c r="A1767" s="7">
        <f>IMAGE("https://images.lululemon.com/is/image/lululemon/LW3FQFS_0572_1?wid=320&amp;op_usm=0.8",1)</f>
        <v/>
      </c>
      <c r="B1767" s="7" t="inlineStr">
        <is>
          <t>Swiftly Tech Long-Sleeve Shirt 2.0 *Waist Length</t>
        </is>
      </c>
      <c r="C1767" s="7" t="inlineStr">
        <is>
          <t>156478435</t>
        </is>
      </c>
      <c r="D1767" s="7" t="inlineStr">
        <is>
          <t>156478435-black/black</t>
        </is>
      </c>
      <c r="E1767" s="7" t="inlineStr">
        <is>
          <t>Swiftly Tech Long Sleeve 2.0 *Race BLLP/BLLP 2</t>
        </is>
      </c>
      <c r="F1767" s="7" t="inlineStr">
        <is>
          <t>$78.00</t>
        </is>
      </c>
      <c r="G1767" s="7" t="inlineStr">
        <is>
          <t>$39.00</t>
        </is>
      </c>
      <c r="H1767" s="7" t="inlineStr">
        <is>
          <t>Black/Black</t>
        </is>
      </c>
      <c r="I1767" s="7">
        <f>IMAGE("https://images.lululemon.com/is/image/lululemon/4780",1)</f>
        <v/>
      </c>
      <c r="J1767" s="7" t="inlineStr">
        <is>
          <t>8</t>
        </is>
      </c>
      <c r="K1767" s="7" t="inlineStr">
        <is>
          <t>88/2454</t>
        </is>
      </c>
      <c r="L1767" s="7" t="inlineStr">
        <is>
          <t>Yes</t>
        </is>
      </c>
      <c r="M1767" s="7" t="inlineStr">
        <is>
          <t>Go ahead, get sweaty. The Swiftly collection is all about high-performing fabric that seamlessly adapts to you and your workout.</t>
        </is>
      </c>
      <c r="N1767" s="7" t="inlineStr">
        <is>
          <t>Swiftly-Tech-LS-2-Race</t>
        </is>
      </c>
      <c r="O1767" s="7" t="inlineStr"/>
    </row>
    <row r="1768" ht="80" customHeight="1">
      <c r="A1768" s="4">
        <f>IMAGE("https://images.lululemon.com/is/image/lululemon/LW3FQFS_0572_1?wid=320&amp;op_usm=0.8",1)</f>
        <v/>
      </c>
      <c r="B1768" s="4" t="inlineStr">
        <is>
          <t>Swiftly Tech Long-Sleeve Shirt 2.0 *Waist Length</t>
        </is>
      </c>
      <c r="C1768" s="4" t="inlineStr">
        <is>
          <t>124975641</t>
        </is>
      </c>
      <c r="D1768" s="4" t="inlineStr">
        <is>
          <t>124975641-black/black</t>
        </is>
      </c>
      <c r="E1768" s="4" t="inlineStr">
        <is>
          <t>Swiftly Tech Long Sleeve 2.0 *Race BLLP/BLLP 2</t>
        </is>
      </c>
      <c r="F1768" s="4" t="inlineStr">
        <is>
          <t>$78.00</t>
        </is>
      </c>
      <c r="G1768" s="4" t="inlineStr">
        <is>
          <t>$39.00</t>
        </is>
      </c>
      <c r="H1768" s="4" t="inlineStr">
        <is>
          <t>Black/Black</t>
        </is>
      </c>
      <c r="I1768" s="4">
        <f>IMAGE("https://images.lululemon.com/is/image/lululemon/4780",1)</f>
        <v/>
      </c>
      <c r="J1768" s="4" t="inlineStr">
        <is>
          <t>10</t>
        </is>
      </c>
      <c r="K1768" s="4" t="inlineStr">
        <is>
          <t>314/2454</t>
        </is>
      </c>
      <c r="L1768" s="4" t="inlineStr">
        <is>
          <t>Yes</t>
        </is>
      </c>
      <c r="M1768" s="4" t="inlineStr">
        <is>
          <t>Go ahead, get sweaty. The Swiftly collection is all about high-performing fabric that seamlessly adapts to you and your workout.</t>
        </is>
      </c>
      <c r="N1768" s="4" t="inlineStr">
        <is>
          <t>Swiftly-Tech-LS-2-Race</t>
        </is>
      </c>
      <c r="O1768" s="4" t="inlineStr"/>
    </row>
    <row r="1769" ht="80" customHeight="1">
      <c r="A1769" s="7">
        <f>IMAGE("https://images.lululemon.com/is/image/lululemon/LW3FQFS_0572_1?wid=320&amp;op_usm=0.8",1)</f>
        <v/>
      </c>
      <c r="B1769" s="7" t="inlineStr">
        <is>
          <t>Swiftly Tech Long-Sleeve Shirt 2.0 *Waist Length</t>
        </is>
      </c>
      <c r="C1769" s="7" t="inlineStr">
        <is>
          <t>124975645</t>
        </is>
      </c>
      <c r="D1769" s="7" t="inlineStr">
        <is>
          <t>124975645-black/black</t>
        </is>
      </c>
      <c r="E1769" s="7" t="inlineStr">
        <is>
          <t>Swiftly Tech Long Sleeve 2.0 *Race BLLP/BLLP 2</t>
        </is>
      </c>
      <c r="F1769" s="7" t="inlineStr">
        <is>
          <t>$78.00</t>
        </is>
      </c>
      <c r="G1769" s="7" t="inlineStr">
        <is>
          <t>$39.00</t>
        </is>
      </c>
      <c r="H1769" s="7" t="inlineStr">
        <is>
          <t>Black/Black</t>
        </is>
      </c>
      <c r="I1769" s="7">
        <f>IMAGE("https://images.lululemon.com/is/image/lululemon/4780",1)</f>
        <v/>
      </c>
      <c r="J1769" s="7" t="inlineStr">
        <is>
          <t>12</t>
        </is>
      </c>
      <c r="K1769" s="7" t="inlineStr">
        <is>
          <t>333/2454</t>
        </is>
      </c>
      <c r="L1769" s="7" t="inlineStr">
        <is>
          <t>Yes</t>
        </is>
      </c>
      <c r="M1769" s="7" t="inlineStr">
        <is>
          <t>Go ahead, get sweaty. The Swiftly collection is all about high-performing fabric that seamlessly adapts to you and your workout.</t>
        </is>
      </c>
      <c r="N1769" s="7" t="inlineStr">
        <is>
          <t>Swiftly-Tech-LS-2-Race</t>
        </is>
      </c>
      <c r="O1769" s="7" t="inlineStr"/>
    </row>
    <row r="1770" ht="80" customHeight="1">
      <c r="A1770" s="4">
        <f>IMAGE("https://images.lululemon.com/is/image/lululemon/LW3FQFS_0572_1?wid=320&amp;op_usm=0.8",1)</f>
        <v/>
      </c>
      <c r="B1770" s="4" t="inlineStr">
        <is>
          <t>Swiftly Tech Long-Sleeve Shirt 2.0 *Waist Length</t>
        </is>
      </c>
      <c r="C1770" s="4" t="inlineStr">
        <is>
          <t>156478404</t>
        </is>
      </c>
      <c r="D1770" s="4" t="inlineStr">
        <is>
          <t>156478404-black/black</t>
        </is>
      </c>
      <c r="E1770" s="4" t="inlineStr">
        <is>
          <t>Swiftly Tech Long Sleeve 2.0 *Race BLLP/BLLP 2</t>
        </is>
      </c>
      <c r="F1770" s="4" t="inlineStr">
        <is>
          <t>$78.00</t>
        </is>
      </c>
      <c r="G1770" s="4" t="inlineStr">
        <is>
          <t>$39.00</t>
        </is>
      </c>
      <c r="H1770" s="4" t="inlineStr">
        <is>
          <t>Black/Black</t>
        </is>
      </c>
      <c r="I1770" s="4">
        <f>IMAGE("https://images.lululemon.com/is/image/lululemon/4780",1)</f>
        <v/>
      </c>
      <c r="J1770" s="4" t="inlineStr">
        <is>
          <t>14</t>
        </is>
      </c>
      <c r="K1770" s="4" t="inlineStr">
        <is>
          <t>13/2454</t>
        </is>
      </c>
      <c r="L1770" s="4" t="inlineStr">
        <is>
          <t>Yes</t>
        </is>
      </c>
      <c r="M1770" s="4" t="inlineStr">
        <is>
          <t>Go ahead, get sweaty. The Swiftly collection is all about high-performing fabric that seamlessly adapts to you and your workout.</t>
        </is>
      </c>
      <c r="N1770" s="4" t="inlineStr">
        <is>
          <t>Swiftly-Tech-LS-2-Race</t>
        </is>
      </c>
      <c r="O1770" s="4" t="inlineStr"/>
    </row>
    <row r="1771" ht="80" customHeight="1">
      <c r="A1771" s="7">
        <f>IMAGE("https://images.lululemon.com/is/image/lululemon/LW3FQFS_0572_1?wid=320&amp;op_usm=0.8",1)</f>
        <v/>
      </c>
      <c r="B1771" s="7" t="inlineStr">
        <is>
          <t>Swiftly Tech Long-Sleeve Shirt 2.0 *Waist Length</t>
        </is>
      </c>
      <c r="C1771" s="7" t="inlineStr">
        <is>
          <t>158098154</t>
        </is>
      </c>
      <c r="D1771" s="7" t="inlineStr">
        <is>
          <t>158098154-berryrumble/berryrumble</t>
        </is>
      </c>
      <c r="E1771" s="7" t="inlineStr">
        <is>
          <t>Swiftly Tech Long Sleeve 2.0 *Race BLLP/BLLP 2</t>
        </is>
      </c>
      <c r="F1771" s="7" t="inlineStr">
        <is>
          <t>$78.00</t>
        </is>
      </c>
      <c r="G1771" s="7" t="inlineStr">
        <is>
          <t>$39.00</t>
        </is>
      </c>
      <c r="H1771" s="7" t="inlineStr">
        <is>
          <t>Berry Rumble/Berry Rumble</t>
        </is>
      </c>
      <c r="I1771" s="7">
        <f>IMAGE("https://images.lululemon.com/is/image/lululemon/21861",1)</f>
        <v/>
      </c>
      <c r="J1771" s="7" t="inlineStr">
        <is>
          <t>4</t>
        </is>
      </c>
      <c r="K1771" s="7" t="inlineStr">
        <is>
          <t>8/2454</t>
        </is>
      </c>
      <c r="L1771" s="7" t="inlineStr">
        <is>
          <t>Yes</t>
        </is>
      </c>
      <c r="M1771" s="7" t="inlineStr">
        <is>
          <t>Go ahead, get sweaty. The Swiftly collection is all about high-performing fabric that seamlessly adapts to you and your workout.</t>
        </is>
      </c>
      <c r="N1771" s="7" t="inlineStr">
        <is>
          <t>Swiftly-Tech-LS-2-Race</t>
        </is>
      </c>
      <c r="O1771" s="7" t="inlineStr"/>
    </row>
    <row r="1772" ht="80" customHeight="1">
      <c r="A1772" s="4">
        <f>IMAGE("https://images.lululemon.com/is/image/lululemon/LW3FQFS_0572_1?wid=320&amp;op_usm=0.8",1)</f>
        <v/>
      </c>
      <c r="B1772" s="4" t="inlineStr">
        <is>
          <t>Swiftly Tech Long-Sleeve Shirt 2.0 *Waist Length</t>
        </is>
      </c>
      <c r="C1772" s="4" t="inlineStr">
        <is>
          <t>158098167</t>
        </is>
      </c>
      <c r="D1772" s="4" t="inlineStr">
        <is>
          <t>158098167-berryrumble/berryrumble</t>
        </is>
      </c>
      <c r="E1772" s="4" t="inlineStr">
        <is>
          <t>Swiftly Tech Long Sleeve 2.0 *Race BLLP/BLLP 2</t>
        </is>
      </c>
      <c r="F1772" s="4" t="inlineStr">
        <is>
          <t>$78.00</t>
        </is>
      </c>
      <c r="G1772" s="4" t="inlineStr">
        <is>
          <t>$39.00</t>
        </is>
      </c>
      <c r="H1772" s="4" t="inlineStr">
        <is>
          <t>Berry Rumble/Berry Rumble</t>
        </is>
      </c>
      <c r="I1772" s="4">
        <f>IMAGE("https://images.lululemon.com/is/image/lululemon/21861",1)</f>
        <v/>
      </c>
      <c r="J1772" s="4" t="inlineStr">
        <is>
          <t>6</t>
        </is>
      </c>
      <c r="K1772" s="4" t="inlineStr">
        <is>
          <t>5/2454</t>
        </is>
      </c>
      <c r="L1772" s="4" t="inlineStr">
        <is>
          <t>Yes</t>
        </is>
      </c>
      <c r="M1772" s="4" t="inlineStr">
        <is>
          <t>Go ahead, get sweaty. The Swiftly collection is all about high-performing fabric that seamlessly adapts to you and your workout.</t>
        </is>
      </c>
      <c r="N1772" s="4" t="inlineStr">
        <is>
          <t>Swiftly-Tech-LS-2-Race</t>
        </is>
      </c>
      <c r="O1772" s="4" t="inlineStr"/>
    </row>
    <row r="1773" ht="80" customHeight="1">
      <c r="A1773" s="7">
        <f>IMAGE("https://images.lululemon.com/is/image/lululemon/LW3FQFS_0572_1?wid=320&amp;op_usm=0.8",1)</f>
        <v/>
      </c>
      <c r="B1773" s="7" t="inlineStr">
        <is>
          <t>Swiftly Tech Long-Sleeve Shirt 2.0 *Waist Length</t>
        </is>
      </c>
      <c r="C1773" s="7" t="inlineStr">
        <is>
          <t>158098183</t>
        </is>
      </c>
      <c r="D1773" s="7" t="inlineStr">
        <is>
          <t>158098183-berryrumble/berryrumble</t>
        </is>
      </c>
      <c r="E1773" s="7" t="inlineStr">
        <is>
          <t>Swiftly Tech Long Sleeve 2.0 *Race BLLP/BLLP 2</t>
        </is>
      </c>
      <c r="F1773" s="7" t="inlineStr">
        <is>
          <t>$78.00</t>
        </is>
      </c>
      <c r="G1773" s="7" t="inlineStr">
        <is>
          <t>$39.00</t>
        </is>
      </c>
      <c r="H1773" s="7" t="inlineStr">
        <is>
          <t>Berry Rumble/Berry Rumble</t>
        </is>
      </c>
      <c r="I1773" s="7">
        <f>IMAGE("https://images.lululemon.com/is/image/lululemon/21861",1)</f>
        <v/>
      </c>
      <c r="J1773" s="7" t="inlineStr">
        <is>
          <t>8</t>
        </is>
      </c>
      <c r="K1773" s="7" t="inlineStr">
        <is>
          <t>17/2454</t>
        </is>
      </c>
      <c r="L1773" s="7" t="inlineStr">
        <is>
          <t>Yes</t>
        </is>
      </c>
      <c r="M1773" s="7" t="inlineStr">
        <is>
          <t>Go ahead, get sweaty. The Swiftly collection is all about high-performing fabric that seamlessly adapts to you and your workout.</t>
        </is>
      </c>
      <c r="N1773" s="7" t="inlineStr">
        <is>
          <t>Swiftly-Tech-LS-2-Race</t>
        </is>
      </c>
      <c r="O1773" s="7" t="inlineStr"/>
    </row>
    <row r="1774" ht="80" customHeight="1">
      <c r="A1774" s="4">
        <f>IMAGE("https://images.lululemon.com/is/image/lululemon/LW3FQFS_0572_1?wid=320&amp;op_usm=0.8",1)</f>
        <v/>
      </c>
      <c r="B1774" s="4" t="inlineStr">
        <is>
          <t>Swiftly Tech Long-Sleeve Shirt 2.0 *Waist Length</t>
        </is>
      </c>
      <c r="C1774" s="4" t="inlineStr">
        <is>
          <t>158098043</t>
        </is>
      </c>
      <c r="D1774" s="4" t="inlineStr">
        <is>
          <t>158098043-berryrumble/berryrumble</t>
        </is>
      </c>
      <c r="E1774" s="4" t="inlineStr">
        <is>
          <t>Swiftly Tech Long Sleeve 2.0 *Race BLLP/BLLP 2</t>
        </is>
      </c>
      <c r="F1774" s="4" t="inlineStr">
        <is>
          <t>$78.00</t>
        </is>
      </c>
      <c r="G1774" s="4" t="inlineStr">
        <is>
          <t>$39.00</t>
        </is>
      </c>
      <c r="H1774" s="4" t="inlineStr">
        <is>
          <t>Berry Rumble/Berry Rumble</t>
        </is>
      </c>
      <c r="I1774" s="4">
        <f>IMAGE("https://images.lululemon.com/is/image/lululemon/21861",1)</f>
        <v/>
      </c>
      <c r="J1774" s="4" t="inlineStr">
        <is>
          <t>10</t>
        </is>
      </c>
      <c r="K1774" s="4" t="inlineStr">
        <is>
          <t>17/2454</t>
        </is>
      </c>
      <c r="L1774" s="4" t="inlineStr">
        <is>
          <t>Yes</t>
        </is>
      </c>
      <c r="M1774" s="4" t="inlineStr">
        <is>
          <t>Go ahead, get sweaty. The Swiftly collection is all about high-performing fabric that seamlessly adapts to you and your workout.</t>
        </is>
      </c>
      <c r="N1774" s="4" t="inlineStr">
        <is>
          <t>Swiftly-Tech-LS-2-Race</t>
        </is>
      </c>
      <c r="O1774" s="4" t="inlineStr"/>
    </row>
    <row r="1775" ht="80" customHeight="1">
      <c r="A1775" s="7">
        <f>IMAGE("https://images.lululemon.com/is/image/lululemon/LW3FQFS_0572_1?wid=320&amp;op_usm=0.8",1)</f>
        <v/>
      </c>
      <c r="B1775" s="7" t="inlineStr">
        <is>
          <t>Swiftly Tech Long-Sleeve Shirt 2.0 *Waist Length</t>
        </is>
      </c>
      <c r="C1775" s="7" t="inlineStr">
        <is>
          <t>158098061</t>
        </is>
      </c>
      <c r="D1775" s="7" t="inlineStr">
        <is>
          <t>158098061-berryrumble/berryrumble</t>
        </is>
      </c>
      <c r="E1775" s="7" t="inlineStr">
        <is>
          <t>Swiftly Tech Long Sleeve 2.0 *Race BLLP/BLLP 2</t>
        </is>
      </c>
      <c r="F1775" s="7" t="inlineStr">
        <is>
          <t>$78.00</t>
        </is>
      </c>
      <c r="G1775" s="7" t="inlineStr">
        <is>
          <t>$39.00</t>
        </is>
      </c>
      <c r="H1775" s="7" t="inlineStr">
        <is>
          <t>Berry Rumble/Berry Rumble</t>
        </is>
      </c>
      <c r="I1775" s="7">
        <f>IMAGE("https://images.lululemon.com/is/image/lululemon/21861",1)</f>
        <v/>
      </c>
      <c r="J1775" s="7" t="inlineStr">
        <is>
          <t>12</t>
        </is>
      </c>
      <c r="K1775" s="7" t="inlineStr">
        <is>
          <t>10/2454</t>
        </is>
      </c>
      <c r="L1775" s="7" t="inlineStr">
        <is>
          <t>Yes</t>
        </is>
      </c>
      <c r="M1775" s="7" t="inlineStr">
        <is>
          <t>Go ahead, get sweaty. The Swiftly collection is all about high-performing fabric that seamlessly adapts to you and your workout.</t>
        </is>
      </c>
      <c r="N1775" s="7" t="inlineStr">
        <is>
          <t>Swiftly-Tech-LS-2-Race</t>
        </is>
      </c>
      <c r="O1775" s="7" t="inlineStr"/>
    </row>
    <row r="1776" ht="80" customHeight="1">
      <c r="A1776" s="4">
        <f>IMAGE("https://images.lululemon.com/is/image/lululemon/LW3FQFS_0572_1?wid=320&amp;op_usm=0.8",1)</f>
        <v/>
      </c>
      <c r="B1776" s="4" t="inlineStr">
        <is>
          <t>Swiftly Tech Long-Sleeve Shirt 2.0 *Waist Length</t>
        </is>
      </c>
      <c r="C1776" s="4" t="inlineStr">
        <is>
          <t>144075101</t>
        </is>
      </c>
      <c r="D1776" s="4" t="inlineStr">
        <is>
          <t>144075101-slate/white</t>
        </is>
      </c>
      <c r="E1776" s="4" t="inlineStr">
        <is>
          <t>Swiftly Tech Long Sleeve 2.0 *Race BLLP/BLLP 2</t>
        </is>
      </c>
      <c r="F1776" s="4" t="inlineStr">
        <is>
          <t>$78.00</t>
        </is>
      </c>
      <c r="G1776" s="4" t="inlineStr">
        <is>
          <t>$39.00</t>
        </is>
      </c>
      <c r="H1776" s="4" t="inlineStr">
        <is>
          <t>Slate/White</t>
        </is>
      </c>
      <c r="I1776" s="4">
        <f>IMAGE("https://images.lululemon.com/is/image/lululemon/0572",1)</f>
        <v/>
      </c>
      <c r="J1776" s="4" t="inlineStr">
        <is>
          <t>8</t>
        </is>
      </c>
      <c r="K1776" s="4" t="inlineStr">
        <is>
          <t>13/2454</t>
        </is>
      </c>
      <c r="L1776" s="4" t="inlineStr">
        <is>
          <t>Yes</t>
        </is>
      </c>
      <c r="M1776" s="4" t="inlineStr">
        <is>
          <t>Go ahead, get sweaty. The Swiftly collection is all about high-performing fabric that seamlessly adapts to you and your workout.</t>
        </is>
      </c>
      <c r="N1776" s="4" t="inlineStr">
        <is>
          <t>Swiftly-Tech-LS-2-Race</t>
        </is>
      </c>
      <c r="O1776" s="4" t="inlineStr"/>
    </row>
    <row r="1777" ht="80" customHeight="1">
      <c r="A1777" s="7">
        <f>IMAGE("https://images.lululemon.com/is/image/lululemon/LW3FQFS_0572_1?wid=320&amp;op_usm=0.8",1)</f>
        <v/>
      </c>
      <c r="B1777" s="7" t="inlineStr">
        <is>
          <t>Swiftly Tech Long-Sleeve Shirt 2.0 *Waist Length</t>
        </is>
      </c>
      <c r="C1777" s="7" t="inlineStr">
        <is>
          <t>144075089</t>
        </is>
      </c>
      <c r="D1777" s="7" t="inlineStr">
        <is>
          <t>144075089-slate/white</t>
        </is>
      </c>
      <c r="E1777" s="7" t="inlineStr">
        <is>
          <t>Swiftly Tech Long Sleeve 2.0 *Race BLLP/BLLP 2</t>
        </is>
      </c>
      <c r="F1777" s="7" t="inlineStr">
        <is>
          <t>$78.00</t>
        </is>
      </c>
      <c r="G1777" s="7" t="inlineStr">
        <is>
          <t>$39.00</t>
        </is>
      </c>
      <c r="H1777" s="7" t="inlineStr">
        <is>
          <t>Slate/White</t>
        </is>
      </c>
      <c r="I1777" s="7">
        <f>IMAGE("https://images.lululemon.com/is/image/lululemon/0572",1)</f>
        <v/>
      </c>
      <c r="J1777" s="7" t="inlineStr">
        <is>
          <t>10</t>
        </is>
      </c>
      <c r="K1777" s="7" t="inlineStr">
        <is>
          <t>31/2454</t>
        </is>
      </c>
      <c r="L1777" s="7" t="inlineStr">
        <is>
          <t>Yes</t>
        </is>
      </c>
      <c r="M1777" s="7" t="inlineStr">
        <is>
          <t>Go ahead, get sweaty. The Swiftly collection is all about high-performing fabric that seamlessly adapts to you and your workout.</t>
        </is>
      </c>
      <c r="N1777" s="7" t="inlineStr">
        <is>
          <t>Swiftly-Tech-LS-2-Race</t>
        </is>
      </c>
      <c r="O1777" s="7" t="inlineStr"/>
    </row>
    <row r="1778" ht="80" customHeight="1">
      <c r="A1778" s="6">
        <f>IMAGE("https://images.lululemon.com/is/image/lululemon/LW3FQFS_0572_1?wid=320&amp;op_usm=0.8",1)</f>
        <v/>
      </c>
      <c r="B1778" s="6" t="inlineStr">
        <is>
          <t>Swiftly Tech Long-Sleeve Shirt 2.0 *Waist Length</t>
        </is>
      </c>
      <c r="C1778" s="6" t="inlineStr">
        <is>
          <t>144075090</t>
        </is>
      </c>
      <c r="D1778" s="6" t="inlineStr">
        <is>
          <t>144075090-slate/white</t>
        </is>
      </c>
      <c r="E1778" s="6" t="inlineStr">
        <is>
          <t>Swiftly Tech Long Sleeve 2.0 *Race BLLP/BLLP 2</t>
        </is>
      </c>
      <c r="F1778" s="6" t="inlineStr">
        <is>
          <t>$78.00</t>
        </is>
      </c>
      <c r="G1778" s="6" t="inlineStr">
        <is>
          <t>$39.00</t>
        </is>
      </c>
      <c r="H1778" s="6" t="inlineStr">
        <is>
          <t>Slate/White</t>
        </is>
      </c>
      <c r="I1778" s="6">
        <f>IMAGE("https://images.lululemon.com/is/image/lululemon/0572",1)</f>
        <v/>
      </c>
      <c r="J1778" s="6" t="inlineStr">
        <is>
          <t>12</t>
        </is>
      </c>
      <c r="K1778" s="6" t="inlineStr">
        <is>
          <t>10/2454</t>
        </is>
      </c>
      <c r="L1778" s="6" t="inlineStr">
        <is>
          <t>Yes</t>
        </is>
      </c>
      <c r="M1778" s="6" t="inlineStr">
        <is>
          <t>Go ahead, get sweaty. The Swiftly collection is all about high-performing fabric that seamlessly adapts to you and your workout.</t>
        </is>
      </c>
      <c r="N1778" s="6" t="inlineStr">
        <is>
          <t>Swiftly-Tech-LS-2-Race</t>
        </is>
      </c>
      <c r="O1778" s="6" t="inlineStr"/>
    </row>
    <row r="1779" ht="80" customHeight="1">
      <c r="A1779" s="7">
        <f>IMAGE("https://images.lululemon.com/is/image/lululemon/LW2EF3S_071189_1?wid=320&amp;op_usm=0.8",1)</f>
        <v/>
      </c>
      <c r="B1779" s="7" t="inlineStr">
        <is>
          <t>Wunder Train Strappy Racer Bra *Light Support, C/D Cup</t>
        </is>
      </c>
      <c r="C1779" s="7" t="inlineStr">
        <is>
          <t>157702692</t>
        </is>
      </c>
      <c r="D1779" s="7" t="inlineStr">
        <is>
          <t>157702692-leopardoshiftmicroembossblack</t>
        </is>
      </c>
      <c r="E1779" s="7" t="inlineStr">
        <is>
          <t>Wunder Train Strappy Racer Bra C/D LDOE 2</t>
        </is>
      </c>
      <c r="F1779" s="7" t="inlineStr">
        <is>
          <t>$58.00</t>
        </is>
      </c>
      <c r="G1779" s="7" t="inlineStr">
        <is>
          <t>$29.00</t>
        </is>
      </c>
      <c r="H1779" s="7" t="inlineStr">
        <is>
          <t>Leopardo Shift Micro Emboss Black</t>
        </is>
      </c>
      <c r="I1779" s="7">
        <f>IMAGE("https://images.lululemon.com/is/image/lululemon/71189",1)</f>
        <v/>
      </c>
      <c r="J1779" s="7" t="inlineStr">
        <is>
          <t>2</t>
        </is>
      </c>
      <c r="K1779" s="7" t="inlineStr">
        <is>
          <t>6/88</t>
        </is>
      </c>
      <c r="L1779" s="7" t="inlineStr">
        <is>
          <t>Yes</t>
        </is>
      </c>
      <c r="M1779" s="7" t="inlineStr">
        <is>
          <t>Focus on every push, press, and hold. This narrow-strap bra is intentionally designed with a light feel that lets you stay hyper-mindful.</t>
        </is>
      </c>
      <c r="N1779" s="7" t="inlineStr">
        <is>
          <t>Wunder-Train-Strappy-Race-Bra-Light-CD</t>
        </is>
      </c>
      <c r="O1779" s="7" t="inlineStr">
        <is>
          <t>Racerback Bras, Bralettes, Strappy Bras</t>
        </is>
      </c>
    </row>
    <row r="1780" ht="80" customHeight="1">
      <c r="A1780" s="4">
        <f>IMAGE("https://images.lululemon.com/is/image/lululemon/LW2EF3S_071189_1?wid=320&amp;op_usm=0.8",1)</f>
        <v/>
      </c>
      <c r="B1780" s="4" t="inlineStr">
        <is>
          <t>Wunder Train Strappy Racer Bra *Light Support, C/D Cup</t>
        </is>
      </c>
      <c r="C1780" s="4" t="inlineStr">
        <is>
          <t>157702705</t>
        </is>
      </c>
      <c r="D1780" s="4" t="inlineStr">
        <is>
          <t>157702705-leopardoshiftmicroembossblack</t>
        </is>
      </c>
      <c r="E1780" s="4" t="inlineStr">
        <is>
          <t>Wunder Train Strappy Racer Bra C/D LDOE 2</t>
        </is>
      </c>
      <c r="F1780" s="4" t="inlineStr">
        <is>
          <t>$58.00</t>
        </is>
      </c>
      <c r="G1780" s="4" t="inlineStr">
        <is>
          <t>$29.00</t>
        </is>
      </c>
      <c r="H1780" s="4" t="inlineStr">
        <is>
          <t>Leopardo Shift Micro Emboss Black</t>
        </is>
      </c>
      <c r="I1780" s="4">
        <f>IMAGE("https://images.lululemon.com/is/image/lululemon/71189",1)</f>
        <v/>
      </c>
      <c r="J1780" s="4" t="inlineStr">
        <is>
          <t>4</t>
        </is>
      </c>
      <c r="K1780" s="4" t="inlineStr">
        <is>
          <t>17/88</t>
        </is>
      </c>
      <c r="L1780" s="4" t="inlineStr">
        <is>
          <t>Yes</t>
        </is>
      </c>
      <c r="M1780" s="4" t="inlineStr">
        <is>
          <t>Focus on every push, press, and hold. This narrow-strap bra is intentionally designed with a light feel that lets you stay hyper-mindful.</t>
        </is>
      </c>
      <c r="N1780" s="4" t="inlineStr">
        <is>
          <t>Wunder-Train-Strappy-Race-Bra-Light-CD</t>
        </is>
      </c>
      <c r="O1780" s="4" t="inlineStr">
        <is>
          <t>Racerback Bras, Bralettes, Strappy Bras</t>
        </is>
      </c>
    </row>
    <row r="1781" ht="80" customHeight="1">
      <c r="A1781" s="7">
        <f>IMAGE("https://images.lululemon.com/is/image/lululemon/LW2EF3S_071189_1?wid=320&amp;op_usm=0.8",1)</f>
        <v/>
      </c>
      <c r="B1781" s="7" t="inlineStr">
        <is>
          <t>Wunder Train Strappy Racer Bra *Light Support, C/D Cup</t>
        </is>
      </c>
      <c r="C1781" s="7" t="inlineStr">
        <is>
          <t>157702716</t>
        </is>
      </c>
      <c r="D1781" s="7" t="inlineStr">
        <is>
          <t>157702716-leopardoshiftmicroembossblack</t>
        </is>
      </c>
      <c r="E1781" s="7" t="inlineStr">
        <is>
          <t>Wunder Train Strappy Racer Bra C/D LDOE 2</t>
        </is>
      </c>
      <c r="F1781" s="7" t="inlineStr">
        <is>
          <t>$58.00</t>
        </is>
      </c>
      <c r="G1781" s="7" t="inlineStr">
        <is>
          <t>$29.00</t>
        </is>
      </c>
      <c r="H1781" s="7" t="inlineStr">
        <is>
          <t>Leopardo Shift Micro Emboss Black</t>
        </is>
      </c>
      <c r="I1781" s="7">
        <f>IMAGE("https://images.lululemon.com/is/image/lululemon/71189",1)</f>
        <v/>
      </c>
      <c r="J1781" s="7" t="inlineStr">
        <is>
          <t>6</t>
        </is>
      </c>
      <c r="K1781" s="7" t="inlineStr">
        <is>
          <t>26/88</t>
        </is>
      </c>
      <c r="L1781" s="7" t="inlineStr">
        <is>
          <t>Yes</t>
        </is>
      </c>
      <c r="M1781" s="7" t="inlineStr">
        <is>
          <t>Focus on every push, press, and hold. This narrow-strap bra is intentionally designed with a light feel that lets you stay hyper-mindful.</t>
        </is>
      </c>
      <c r="N1781" s="7" t="inlineStr">
        <is>
          <t>Wunder-Train-Strappy-Race-Bra-Light-CD</t>
        </is>
      </c>
      <c r="O1781" s="7" t="inlineStr">
        <is>
          <t>Racerback Bras, Bralettes, Strappy Bras</t>
        </is>
      </c>
    </row>
    <row r="1782" ht="80" customHeight="1">
      <c r="A1782" s="4">
        <f>IMAGE("https://images.lululemon.com/is/image/lululemon/LW2EF3S_071189_1?wid=320&amp;op_usm=0.8",1)</f>
        <v/>
      </c>
      <c r="B1782" s="4" t="inlineStr">
        <is>
          <t>Wunder Train Strappy Racer Bra *Light Support, C/D Cup</t>
        </is>
      </c>
      <c r="C1782" s="4" t="inlineStr">
        <is>
          <t>157702731</t>
        </is>
      </c>
      <c r="D1782" s="4" t="inlineStr">
        <is>
          <t>157702731-leopardoshiftmicroembossblack</t>
        </is>
      </c>
      <c r="E1782" s="4" t="inlineStr">
        <is>
          <t>Wunder Train Strappy Racer Bra C/D LDOE 2</t>
        </is>
      </c>
      <c r="F1782" s="4" t="inlineStr">
        <is>
          <t>$58.00</t>
        </is>
      </c>
      <c r="G1782" s="4" t="inlineStr">
        <is>
          <t>$29.00</t>
        </is>
      </c>
      <c r="H1782" s="4" t="inlineStr">
        <is>
          <t>Leopardo Shift Micro Emboss Black</t>
        </is>
      </c>
      <c r="I1782" s="4">
        <f>IMAGE("https://images.lululemon.com/is/image/lululemon/71189",1)</f>
        <v/>
      </c>
      <c r="J1782" s="4" t="inlineStr">
        <is>
          <t>8</t>
        </is>
      </c>
      <c r="K1782" s="4" t="inlineStr">
        <is>
          <t>22/88</t>
        </is>
      </c>
      <c r="L1782" s="4" t="inlineStr">
        <is>
          <t>Yes</t>
        </is>
      </c>
      <c r="M1782" s="4" t="inlineStr">
        <is>
          <t>Focus on every push, press, and hold. This narrow-strap bra is intentionally designed with a light feel that lets you stay hyper-mindful.</t>
        </is>
      </c>
      <c r="N1782" s="4" t="inlineStr">
        <is>
          <t>Wunder-Train-Strappy-Race-Bra-Light-CD</t>
        </is>
      </c>
      <c r="O1782" s="4" t="inlineStr">
        <is>
          <t>Racerback Bras, Bralettes, Strappy Bras</t>
        </is>
      </c>
    </row>
    <row r="1783" ht="80" customHeight="1">
      <c r="A1783" s="7">
        <f>IMAGE("https://images.lululemon.com/is/image/lululemon/LW2EF3S_071189_1?wid=320&amp;op_usm=0.8",1)</f>
        <v/>
      </c>
      <c r="B1783" s="7" t="inlineStr">
        <is>
          <t>Wunder Train Strappy Racer Bra *Light Support, C/D Cup</t>
        </is>
      </c>
      <c r="C1783" s="7" t="inlineStr">
        <is>
          <t>157702666</t>
        </is>
      </c>
      <c r="D1783" s="7" t="inlineStr">
        <is>
          <t>157702666-leopardoshiftmicroembossblack</t>
        </is>
      </c>
      <c r="E1783" s="7" t="inlineStr">
        <is>
          <t>Wunder Train Strappy Racer Bra C/D LDOE 2</t>
        </is>
      </c>
      <c r="F1783" s="7" t="inlineStr">
        <is>
          <t>$58.00</t>
        </is>
      </c>
      <c r="G1783" s="7" t="inlineStr">
        <is>
          <t>$29.00</t>
        </is>
      </c>
      <c r="H1783" s="7" t="inlineStr">
        <is>
          <t>Leopardo Shift Micro Emboss Black</t>
        </is>
      </c>
      <c r="I1783" s="7">
        <f>IMAGE("https://images.lululemon.com/is/image/lululemon/71189",1)</f>
        <v/>
      </c>
      <c r="J1783" s="7" t="inlineStr">
        <is>
          <t>10</t>
        </is>
      </c>
      <c r="K1783" s="7" t="inlineStr">
        <is>
          <t>13/88</t>
        </is>
      </c>
      <c r="L1783" s="7" t="inlineStr">
        <is>
          <t>Yes</t>
        </is>
      </c>
      <c r="M1783" s="7" t="inlineStr">
        <is>
          <t>Focus on every push, press, and hold. This narrow-strap bra is intentionally designed with a light feel that lets you stay hyper-mindful.</t>
        </is>
      </c>
      <c r="N1783" s="7" t="inlineStr">
        <is>
          <t>Wunder-Train-Strappy-Race-Bra-Light-CD</t>
        </is>
      </c>
      <c r="O1783" s="7" t="inlineStr">
        <is>
          <t>Racerback Bras, Bralettes, Strappy Bras</t>
        </is>
      </c>
    </row>
    <row r="1784" ht="80" customHeight="1">
      <c r="A1784" s="6">
        <f>IMAGE("https://images.lululemon.com/is/image/lululemon/LW2EF3S_071189_1?wid=320&amp;op_usm=0.8",1)</f>
        <v/>
      </c>
      <c r="B1784" s="6" t="inlineStr">
        <is>
          <t>Wunder Train Strappy Racer Bra *Light Support, C/D Cup</t>
        </is>
      </c>
      <c r="C1784" s="6" t="inlineStr">
        <is>
          <t>157702679</t>
        </is>
      </c>
      <c r="D1784" s="6" t="inlineStr">
        <is>
          <t>157702679-leopardoshiftmicroembossblack</t>
        </is>
      </c>
      <c r="E1784" s="6" t="inlineStr">
        <is>
          <t>Wunder Train Strappy Racer Bra C/D LDOE 2</t>
        </is>
      </c>
      <c r="F1784" s="6" t="inlineStr">
        <is>
          <t>$58.00</t>
        </is>
      </c>
      <c r="G1784" s="6" t="inlineStr">
        <is>
          <t>$29.00</t>
        </is>
      </c>
      <c r="H1784" s="6" t="inlineStr">
        <is>
          <t>Leopardo Shift Micro Emboss Black</t>
        </is>
      </c>
      <c r="I1784" s="6">
        <f>IMAGE("https://images.lululemon.com/is/image/lululemon/71189",1)</f>
        <v/>
      </c>
      <c r="J1784" s="6" t="inlineStr">
        <is>
          <t>12</t>
        </is>
      </c>
      <c r="K1784" s="6" t="inlineStr">
        <is>
          <t>4/88</t>
        </is>
      </c>
      <c r="L1784" s="6" t="inlineStr">
        <is>
          <t>Yes</t>
        </is>
      </c>
      <c r="M1784" s="6" t="inlineStr">
        <is>
          <t>Focus on every push, press, and hold. This narrow-strap bra is intentionally designed with a light feel that lets you stay hyper-mindful.</t>
        </is>
      </c>
      <c r="N1784" s="6" t="inlineStr">
        <is>
          <t>Wunder-Train-Strappy-Race-Bra-Light-CD</t>
        </is>
      </c>
      <c r="O1784" s="6" t="inlineStr">
        <is>
          <t>Racerback Bras, Bralettes, Strappy Bras</t>
        </is>
      </c>
    </row>
    <row r="1785" ht="80" customHeight="1">
      <c r="A1785" s="7">
        <f>IMAGE("https://images.lululemon.com/is/image/lululemon/LW6BHCS_031382_1?wid=320&amp;op_usm=0.8",1)</f>
        <v/>
      </c>
      <c r="B1785" s="7" t="inlineStr">
        <is>
          <t>lululemon Align™ High-Rise Crop 17"</t>
        </is>
      </c>
      <c r="C1785" s="7" t="inlineStr">
        <is>
          <t>117151150</t>
        </is>
      </c>
      <c r="D1785" s="7" t="inlineStr">
        <is>
          <t>117151150-truenavy</t>
        </is>
      </c>
      <c r="E1785" s="7" t="inlineStr">
        <is>
          <t>lululemon Align™ High-Rise Crop 17" TRNV 2</t>
        </is>
      </c>
      <c r="F1785" s="7" t="inlineStr">
        <is>
          <t>$88.00</t>
        </is>
      </c>
      <c r="G1785" s="7" t="inlineStr">
        <is>
          <t>$44.00</t>
        </is>
      </c>
      <c r="H1785" s="7" t="inlineStr">
        <is>
          <t>True Navy</t>
        </is>
      </c>
      <c r="I1785" s="7">
        <f>IMAGE("https://images.lululemon.com/is/image/lululemon/31382",1)</f>
        <v/>
      </c>
      <c r="J1785" s="7" t="inlineStr">
        <is>
          <t>2</t>
        </is>
      </c>
      <c r="K1785" s="7" t="inlineStr">
        <is>
          <t>11/219</t>
        </is>
      </c>
      <c r="L1785" s="7" t="inlineStr">
        <is>
          <t>Yes</t>
        </is>
      </c>
      <c r="M1785" s="7" t="inlineStr">
        <is>
          <t>When feeling nothing is everything. The lululemon Align™ collection is so weightless and buttery soft, all you feel is your practice.</t>
        </is>
      </c>
      <c r="N1785" s="7" t="inlineStr">
        <is>
          <t>Align-High-Rise-Crop-17</t>
        </is>
      </c>
      <c r="O1785" s="7" t="inlineStr"/>
    </row>
    <row r="1786" ht="80" customHeight="1">
      <c r="A1786" s="4">
        <f>IMAGE("https://images.lululemon.com/is/image/lululemon/LW6BHCS_031382_1?wid=320&amp;op_usm=0.8",1)</f>
        <v/>
      </c>
      <c r="B1786" s="4" t="inlineStr">
        <is>
          <t>lululemon Align™ High-Rise Crop 17"</t>
        </is>
      </c>
      <c r="C1786" s="4" t="inlineStr">
        <is>
          <t>117151152</t>
        </is>
      </c>
      <c r="D1786" s="4" t="inlineStr">
        <is>
          <t>117151152-truenavy</t>
        </is>
      </c>
      <c r="E1786" s="4" t="inlineStr">
        <is>
          <t>lululemon Align™ High-Rise Crop 17" TRNV 2</t>
        </is>
      </c>
      <c r="F1786" s="4" t="inlineStr">
        <is>
          <t>$88.00</t>
        </is>
      </c>
      <c r="G1786" s="4" t="inlineStr">
        <is>
          <t>$44.00</t>
        </is>
      </c>
      <c r="H1786" s="4" t="inlineStr">
        <is>
          <t>True Navy</t>
        </is>
      </c>
      <c r="I1786" s="4">
        <f>IMAGE("https://images.lululemon.com/is/image/lululemon/31382",1)</f>
        <v/>
      </c>
      <c r="J1786" s="4" t="inlineStr">
        <is>
          <t>4</t>
        </is>
      </c>
      <c r="K1786" s="4" t="inlineStr">
        <is>
          <t>23/219</t>
        </is>
      </c>
      <c r="L1786" s="4" t="inlineStr">
        <is>
          <t>Yes</t>
        </is>
      </c>
      <c r="M1786" s="4" t="inlineStr">
        <is>
          <t>When feeling nothing is everything. The lululemon Align™ collection is so weightless and buttery soft, all you feel is your practice.</t>
        </is>
      </c>
      <c r="N1786" s="4" t="inlineStr">
        <is>
          <t>Align-High-Rise-Crop-17</t>
        </is>
      </c>
      <c r="O1786" s="4" t="inlineStr"/>
    </row>
    <row r="1787" ht="80" customHeight="1">
      <c r="A1787" s="7">
        <f>IMAGE("https://images.lululemon.com/is/image/lululemon/LW6BHCS_031382_1?wid=320&amp;op_usm=0.8",1)</f>
        <v/>
      </c>
      <c r="B1787" s="7" t="inlineStr">
        <is>
          <t>lululemon Align™ High-Rise Crop 17"</t>
        </is>
      </c>
      <c r="C1787" s="7" t="inlineStr">
        <is>
          <t>117151155</t>
        </is>
      </c>
      <c r="D1787" s="7" t="inlineStr">
        <is>
          <t>117151155-truenavy</t>
        </is>
      </c>
      <c r="E1787" s="7" t="inlineStr">
        <is>
          <t>lululemon Align™ High-Rise Crop 17" TRNV 2</t>
        </is>
      </c>
      <c r="F1787" s="7" t="inlineStr">
        <is>
          <t>$88.00</t>
        </is>
      </c>
      <c r="G1787" s="7" t="inlineStr">
        <is>
          <t>$44.00</t>
        </is>
      </c>
      <c r="H1787" s="7" t="inlineStr">
        <is>
          <t>True Navy</t>
        </is>
      </c>
      <c r="I1787" s="7">
        <f>IMAGE("https://images.lululemon.com/is/image/lululemon/31382",1)</f>
        <v/>
      </c>
      <c r="J1787" s="7" t="inlineStr">
        <is>
          <t>6</t>
        </is>
      </c>
      <c r="K1787" s="7" t="inlineStr">
        <is>
          <t>31/219</t>
        </is>
      </c>
      <c r="L1787" s="7" t="inlineStr">
        <is>
          <t>Yes</t>
        </is>
      </c>
      <c r="M1787" s="7" t="inlineStr">
        <is>
          <t>When feeling nothing is everything. The lululemon Align™ collection is so weightless and buttery soft, all you feel is your practice.</t>
        </is>
      </c>
      <c r="N1787" s="7" t="inlineStr">
        <is>
          <t>Align-High-Rise-Crop-17</t>
        </is>
      </c>
      <c r="O1787" s="7" t="inlineStr"/>
    </row>
    <row r="1788" ht="80" customHeight="1">
      <c r="A1788" s="4">
        <f>IMAGE("https://images.lululemon.com/is/image/lululemon/LW6BHCS_031382_1?wid=320&amp;op_usm=0.8",1)</f>
        <v/>
      </c>
      <c r="B1788" s="4" t="inlineStr">
        <is>
          <t>lululemon Align™ High-Rise Crop 17"</t>
        </is>
      </c>
      <c r="C1788" s="4" t="inlineStr">
        <is>
          <t>117151157</t>
        </is>
      </c>
      <c r="D1788" s="4" t="inlineStr">
        <is>
          <t>117151157-truenavy</t>
        </is>
      </c>
      <c r="E1788" s="4" t="inlineStr">
        <is>
          <t>lululemon Align™ High-Rise Crop 17" TRNV 2</t>
        </is>
      </c>
      <c r="F1788" s="4" t="inlineStr">
        <is>
          <t>$88.00</t>
        </is>
      </c>
      <c r="G1788" s="4" t="inlineStr">
        <is>
          <t>$44.00</t>
        </is>
      </c>
      <c r="H1788" s="4" t="inlineStr">
        <is>
          <t>True Navy</t>
        </is>
      </c>
      <c r="I1788" s="4">
        <f>IMAGE("https://images.lululemon.com/is/image/lululemon/31382",1)</f>
        <v/>
      </c>
      <c r="J1788" s="4" t="inlineStr">
        <is>
          <t>8</t>
        </is>
      </c>
      <c r="K1788" s="4" t="inlineStr">
        <is>
          <t>37/219</t>
        </is>
      </c>
      <c r="L1788" s="4" t="inlineStr">
        <is>
          <t>Yes</t>
        </is>
      </c>
      <c r="M1788" s="4" t="inlineStr">
        <is>
          <t>When feeling nothing is everything. The lululemon Align™ collection is so weightless and buttery soft, all you feel is your practice.</t>
        </is>
      </c>
      <c r="N1788" s="4" t="inlineStr">
        <is>
          <t>Align-High-Rise-Crop-17</t>
        </is>
      </c>
      <c r="O1788" s="4" t="inlineStr"/>
    </row>
    <row r="1789" ht="80" customHeight="1">
      <c r="A1789" s="7">
        <f>IMAGE("https://images.lululemon.com/is/image/lululemon/LW6BHCS_031382_1?wid=320&amp;op_usm=0.8",1)</f>
        <v/>
      </c>
      <c r="B1789" s="7" t="inlineStr">
        <is>
          <t>lululemon Align™ High-Rise Crop 17"</t>
        </is>
      </c>
      <c r="C1789" s="7" t="inlineStr">
        <is>
          <t>117151134</t>
        </is>
      </c>
      <c r="D1789" s="7" t="inlineStr">
        <is>
          <t>117151134-truenavy</t>
        </is>
      </c>
      <c r="E1789" s="7" t="inlineStr">
        <is>
          <t>lululemon Align™ High-Rise Crop 17" TRNV 2</t>
        </is>
      </c>
      <c r="F1789" s="7" t="inlineStr">
        <is>
          <t>$88.00</t>
        </is>
      </c>
      <c r="G1789" s="7" t="inlineStr">
        <is>
          <t>$44.00</t>
        </is>
      </c>
      <c r="H1789" s="7" t="inlineStr">
        <is>
          <t>True Navy</t>
        </is>
      </c>
      <c r="I1789" s="7">
        <f>IMAGE("https://images.lululemon.com/is/image/lululemon/31382",1)</f>
        <v/>
      </c>
      <c r="J1789" s="7" t="inlineStr">
        <is>
          <t>10</t>
        </is>
      </c>
      <c r="K1789" s="7" t="inlineStr">
        <is>
          <t>10/219</t>
        </is>
      </c>
      <c r="L1789" s="7" t="inlineStr">
        <is>
          <t>Yes</t>
        </is>
      </c>
      <c r="M1789" s="7" t="inlineStr">
        <is>
          <t>When feeling nothing is everything. The lululemon Align™ collection is so weightless and buttery soft, all you feel is your practice.</t>
        </is>
      </c>
      <c r="N1789" s="7" t="inlineStr">
        <is>
          <t>Align-High-Rise-Crop-17</t>
        </is>
      </c>
      <c r="O1789" s="7" t="inlineStr"/>
    </row>
    <row r="1790" ht="80" customHeight="1">
      <c r="A1790" s="4">
        <f>IMAGE("https://images.lululemon.com/is/image/lululemon/LW6BHCS_031382_1?wid=320&amp;op_usm=0.8",1)</f>
        <v/>
      </c>
      <c r="B1790" s="4" t="inlineStr">
        <is>
          <t>lululemon Align™ High-Rise Crop 17"</t>
        </is>
      </c>
      <c r="C1790" s="4" t="inlineStr">
        <is>
          <t>117151138</t>
        </is>
      </c>
      <c r="D1790" s="4" t="inlineStr">
        <is>
          <t>117151138-truenavy</t>
        </is>
      </c>
      <c r="E1790" s="4" t="inlineStr">
        <is>
          <t>lululemon Align™ High-Rise Crop 17" TRNV 2</t>
        </is>
      </c>
      <c r="F1790" s="4" t="inlineStr">
        <is>
          <t>$88.00</t>
        </is>
      </c>
      <c r="G1790" s="4" t="inlineStr">
        <is>
          <t>$44.00</t>
        </is>
      </c>
      <c r="H1790" s="4" t="inlineStr">
        <is>
          <t>True Navy</t>
        </is>
      </c>
      <c r="I1790" s="4">
        <f>IMAGE("https://images.lululemon.com/is/image/lululemon/31382",1)</f>
        <v/>
      </c>
      <c r="J1790" s="4" t="inlineStr">
        <is>
          <t>12</t>
        </is>
      </c>
      <c r="K1790" s="4" t="inlineStr">
        <is>
          <t>7/219</t>
        </is>
      </c>
      <c r="L1790" s="4" t="inlineStr">
        <is>
          <t>Yes</t>
        </is>
      </c>
      <c r="M1790" s="4" t="inlineStr">
        <is>
          <t>When feeling nothing is everything. The lululemon Align™ collection is so weightless and buttery soft, all you feel is your practice.</t>
        </is>
      </c>
      <c r="N1790" s="4" t="inlineStr">
        <is>
          <t>Align-High-Rise-Crop-17</t>
        </is>
      </c>
      <c r="O1790" s="4" t="inlineStr"/>
    </row>
    <row r="1791" ht="80" customHeight="1">
      <c r="A1791" s="7">
        <f>IMAGE("https://images.lululemon.com/is/image/lululemon/LW6BHCS_031382_1?wid=320&amp;op_usm=0.8",1)</f>
        <v/>
      </c>
      <c r="B1791" s="7" t="inlineStr">
        <is>
          <t>lululemon Align™ High-Rise Crop 17"</t>
        </is>
      </c>
      <c r="C1791" s="7" t="inlineStr">
        <is>
          <t>117151087</t>
        </is>
      </c>
      <c r="D1791" s="7" t="inlineStr">
        <is>
          <t>117151087-black</t>
        </is>
      </c>
      <c r="E1791" s="7" t="inlineStr">
        <is>
          <t>lululemon Align™ High-Rise Crop 17" TRNV 2</t>
        </is>
      </c>
      <c r="F1791" s="7" t="inlineStr">
        <is>
          <t>$88.00</t>
        </is>
      </c>
      <c r="G1791" s="7" t="inlineStr">
        <is>
          <t>$44.00</t>
        </is>
      </c>
      <c r="H1791" s="7" t="inlineStr">
        <is>
          <t>Black</t>
        </is>
      </c>
      <c r="I1791" s="7">
        <f>IMAGE("https://images.lululemon.com/is/image/lululemon/0001",1)</f>
        <v/>
      </c>
      <c r="J1791" s="7" t="inlineStr">
        <is>
          <t>4</t>
        </is>
      </c>
      <c r="K1791" s="7" t="inlineStr">
        <is>
          <t>29/219</t>
        </is>
      </c>
      <c r="L1791" s="7" t="inlineStr">
        <is>
          <t>Yes</t>
        </is>
      </c>
      <c r="M1791" s="7" t="inlineStr">
        <is>
          <t>When feeling nothing is everything. The lululemon Align™ collection is so weightless and buttery soft, all you feel is your practice.</t>
        </is>
      </c>
      <c r="N1791" s="7" t="inlineStr">
        <is>
          <t>Align-High-Rise-Crop-17</t>
        </is>
      </c>
      <c r="O1791" s="7" t="inlineStr"/>
    </row>
    <row r="1792" ht="80" customHeight="1">
      <c r="A1792" s="4">
        <f>IMAGE("https://images.lululemon.com/is/image/lululemon/LW6BHCS_031382_1?wid=320&amp;op_usm=0.8",1)</f>
        <v/>
      </c>
      <c r="B1792" s="4" t="inlineStr">
        <is>
          <t>lululemon Align™ High-Rise Crop 17"</t>
        </is>
      </c>
      <c r="C1792" s="4" t="inlineStr">
        <is>
          <t>117151089</t>
        </is>
      </c>
      <c r="D1792" s="4" t="inlineStr">
        <is>
          <t>117151089-black</t>
        </is>
      </c>
      <c r="E1792" s="4" t="inlineStr">
        <is>
          <t>lululemon Align™ High-Rise Crop 17" TRNV 2</t>
        </is>
      </c>
      <c r="F1792" s="4" t="inlineStr">
        <is>
          <t>$88.00</t>
        </is>
      </c>
      <c r="G1792" s="4" t="inlineStr">
        <is>
          <t>$44.00</t>
        </is>
      </c>
      <c r="H1792" s="4" t="inlineStr">
        <is>
          <t>Black</t>
        </is>
      </c>
      <c r="I1792" s="4">
        <f>IMAGE("https://images.lululemon.com/is/image/lululemon/0001",1)</f>
        <v/>
      </c>
      <c r="J1792" s="4" t="inlineStr">
        <is>
          <t>6</t>
        </is>
      </c>
      <c r="K1792" s="4" t="inlineStr">
        <is>
          <t>26/219</t>
        </is>
      </c>
      <c r="L1792" s="4" t="inlineStr">
        <is>
          <t>Yes</t>
        </is>
      </c>
      <c r="M1792" s="4" t="inlineStr">
        <is>
          <t>When feeling nothing is everything. The lululemon Align™ collection is so weightless and buttery soft, all you feel is your practice.</t>
        </is>
      </c>
      <c r="N1792" s="4" t="inlineStr">
        <is>
          <t>Align-High-Rise-Crop-17</t>
        </is>
      </c>
      <c r="O1792" s="4" t="inlineStr"/>
    </row>
    <row r="1793" ht="80" customHeight="1">
      <c r="A1793" s="7">
        <f>IMAGE("https://images.lululemon.com/is/image/lululemon/LW6BHCS_031382_1?wid=320&amp;op_usm=0.8",1)</f>
        <v/>
      </c>
      <c r="B1793" s="7" t="inlineStr">
        <is>
          <t>lululemon Align™ High-Rise Crop 17"</t>
        </is>
      </c>
      <c r="C1793" s="7" t="inlineStr">
        <is>
          <t>117151092</t>
        </is>
      </c>
      <c r="D1793" s="7" t="inlineStr">
        <is>
          <t>117151092-black</t>
        </is>
      </c>
      <c r="E1793" s="7" t="inlineStr">
        <is>
          <t>lululemon Align™ High-Rise Crop 17" TRNV 2</t>
        </is>
      </c>
      <c r="F1793" s="7" t="inlineStr">
        <is>
          <t>$88.00</t>
        </is>
      </c>
      <c r="G1793" s="7" t="inlineStr">
        <is>
          <t>$44.00</t>
        </is>
      </c>
      <c r="H1793" s="7" t="inlineStr">
        <is>
          <t>Black</t>
        </is>
      </c>
      <c r="I1793" s="7">
        <f>IMAGE("https://images.lululemon.com/is/image/lululemon/0001",1)</f>
        <v/>
      </c>
      <c r="J1793" s="7" t="inlineStr">
        <is>
          <t>8</t>
        </is>
      </c>
      <c r="K1793" s="7" t="inlineStr">
        <is>
          <t>30/219</t>
        </is>
      </c>
      <c r="L1793" s="7" t="inlineStr">
        <is>
          <t>Yes</t>
        </is>
      </c>
      <c r="M1793" s="7" t="inlineStr">
        <is>
          <t>When feeling nothing is everything. The lululemon Align™ collection is so weightless and buttery soft, all you feel is your practice.</t>
        </is>
      </c>
      <c r="N1793" s="7" t="inlineStr">
        <is>
          <t>Align-High-Rise-Crop-17</t>
        </is>
      </c>
      <c r="O1793" s="7" t="inlineStr"/>
    </row>
    <row r="1794" ht="80" customHeight="1">
      <c r="A1794" s="4">
        <f>IMAGE("https://images.lululemon.com/is/image/lululemon/LW6BHCS_031382_1?wid=320&amp;op_usm=0.8",1)</f>
        <v/>
      </c>
      <c r="B1794" s="4" t="inlineStr">
        <is>
          <t>lululemon Align™ High-Rise Crop 17"</t>
        </is>
      </c>
      <c r="C1794" s="4" t="inlineStr">
        <is>
          <t>117151070</t>
        </is>
      </c>
      <c r="D1794" s="4" t="inlineStr">
        <is>
          <t>117151070-black</t>
        </is>
      </c>
      <c r="E1794" s="4" t="inlineStr">
        <is>
          <t>lululemon Align™ High-Rise Crop 17" TRNV 2</t>
        </is>
      </c>
      <c r="F1794" s="4" t="inlineStr">
        <is>
          <t>$88.00</t>
        </is>
      </c>
      <c r="G1794" s="4" t="inlineStr">
        <is>
          <t>$44.00</t>
        </is>
      </c>
      <c r="H1794" s="4" t="inlineStr">
        <is>
          <t>Black</t>
        </is>
      </c>
      <c r="I1794" s="4">
        <f>IMAGE("https://images.lululemon.com/is/image/lululemon/0001",1)</f>
        <v/>
      </c>
      <c r="J1794" s="4" t="inlineStr">
        <is>
          <t>10</t>
        </is>
      </c>
      <c r="K1794" s="4" t="inlineStr">
        <is>
          <t>10/219</t>
        </is>
      </c>
      <c r="L1794" s="4" t="inlineStr">
        <is>
          <t>Yes</t>
        </is>
      </c>
      <c r="M1794" s="4" t="inlineStr">
        <is>
          <t>When feeling nothing is everything. The lululemon Align™ collection is so weightless and buttery soft, all you feel is your practice.</t>
        </is>
      </c>
      <c r="N1794" s="4" t="inlineStr">
        <is>
          <t>Align-High-Rise-Crop-17</t>
        </is>
      </c>
      <c r="O1794" s="4" t="inlineStr"/>
    </row>
    <row r="1795" ht="80" customHeight="1">
      <c r="A1795" s="5">
        <f>IMAGE("https://images.lululemon.com/is/image/lululemon/LW6BHCS_031382_1?wid=320&amp;op_usm=0.8",1)</f>
        <v/>
      </c>
      <c r="B1795" s="5" t="inlineStr">
        <is>
          <t>lululemon Align™ High-Rise Crop 17"</t>
        </is>
      </c>
      <c r="C1795" s="5" t="inlineStr">
        <is>
          <t>117151074</t>
        </is>
      </c>
      <c r="D1795" s="5" t="inlineStr">
        <is>
          <t>117151074-black</t>
        </is>
      </c>
      <c r="E1795" s="5" t="inlineStr">
        <is>
          <t>lululemon Align™ High-Rise Crop 17" TRNV 2</t>
        </is>
      </c>
      <c r="F1795" s="5" t="inlineStr">
        <is>
          <t>$88.00</t>
        </is>
      </c>
      <c r="G1795" s="5" t="inlineStr">
        <is>
          <t>$44.00</t>
        </is>
      </c>
      <c r="H1795" s="5" t="inlineStr">
        <is>
          <t>Black</t>
        </is>
      </c>
      <c r="I1795" s="5">
        <f>IMAGE("https://images.lululemon.com/is/image/lululemon/0001",1)</f>
        <v/>
      </c>
      <c r="J1795" s="5" t="inlineStr">
        <is>
          <t>12</t>
        </is>
      </c>
      <c r="K1795" s="5" t="inlineStr">
        <is>
          <t>5/219</t>
        </is>
      </c>
      <c r="L1795" s="5" t="inlineStr">
        <is>
          <t>Yes</t>
        </is>
      </c>
      <c r="M1795" s="5" t="inlineStr">
        <is>
          <t>When feeling nothing is everything. The lululemon Align™ collection is so weightless and buttery soft, all you feel is your practice.</t>
        </is>
      </c>
      <c r="N1795" s="5" t="inlineStr">
        <is>
          <t>Align-High-Rise-Crop-17</t>
        </is>
      </c>
      <c r="O1795" s="5" t="inlineStr"/>
    </row>
    <row r="1796" ht="80" customHeight="1">
      <c r="A1796" s="6">
        <f>IMAGE("https://images.lululemon.com/is/image/lululemon/LU9BW1S_0001_1?wid=320&amp;op_usm=0.8",1)</f>
        <v/>
      </c>
      <c r="B1796" s="6" t="inlineStr">
        <is>
          <t>Close-Fit Wool-Blend Ribbed Knit Beanie</t>
        </is>
      </c>
      <c r="C1796" s="6" t="inlineStr">
        <is>
          <t>153826998</t>
        </is>
      </c>
      <c r="D1796" s="6" t="inlineStr">
        <is>
          <t>153826998-black</t>
        </is>
      </c>
      <c r="E1796" s="6" t="inlineStr">
        <is>
          <t>Close-Fit Wool-Blend Ribbed Knit Beanie BLK ONE SIZE</t>
        </is>
      </c>
      <c r="F1796" s="6" t="inlineStr">
        <is>
          <t>$48.00</t>
        </is>
      </c>
      <c r="G1796" s="6" t="inlineStr">
        <is>
          <t>$24.00</t>
        </is>
      </c>
      <c r="H1796" s="6" t="inlineStr">
        <is>
          <t>Black</t>
        </is>
      </c>
      <c r="I1796" s="6">
        <f>IMAGE("https://images.lululemon.com/is/image/lululemon/0001",1)</f>
        <v/>
      </c>
      <c r="J1796" s="6" t="inlineStr">
        <is>
          <t>O/S</t>
        </is>
      </c>
      <c r="K1796" s="6" t="inlineStr">
        <is>
          <t>380/380</t>
        </is>
      </c>
      <c r="L1796" s="6" t="inlineStr">
        <is>
          <t>Yes</t>
        </is>
      </c>
      <c r="M1796" s="6" t="inlineStr">
        <is>
          <t>Keep the cozy close. This lightweight, soft beanie is strategically knit to maintain a close fit, keeping things toasty up top.</t>
        </is>
      </c>
      <c r="N1796" s="6" t="inlineStr">
        <is>
          <t>Close-Wool-Blend-Ribbed-Knit-Beanie</t>
        </is>
      </c>
      <c r="O1796" s="6" t="inlineStr">
        <is>
          <t>Beanies</t>
        </is>
      </c>
    </row>
    <row r="1797" ht="80" customHeight="1">
      <c r="A1797" s="7">
        <f>IMAGE("https://images.lululemon.com/is/image/lululemon/LU9BYLS_069147_1?wid=320&amp;op_usm=0.8",1)</f>
        <v/>
      </c>
      <c r="B1797" s="7" t="inlineStr">
        <is>
          <t>Back to Life Sport Bottle 24oz *Straw Lid</t>
        </is>
      </c>
      <c r="C1797" s="7" t="inlineStr">
        <is>
          <t>157718272</t>
        </is>
      </c>
      <c r="D1797" s="7" t="inlineStr">
        <is>
          <t>157718272-black/violetindigo/duskylavender</t>
        </is>
      </c>
      <c r="E1797" s="7" t="inlineStr">
        <is>
          <t>Back to Life Sport Bottle 24oz*Straw Lid BLK/VIOI/DKLV ONE SIZE</t>
        </is>
      </c>
      <c r="F1797" s="7" t="inlineStr">
        <is>
          <t>$44.00</t>
        </is>
      </c>
      <c r="G1797" s="7" t="inlineStr">
        <is>
          <t>$22.00</t>
        </is>
      </c>
      <c r="H1797" s="7" t="inlineStr">
        <is>
          <t>Black/Violet Indigo/Dusky Lavender</t>
        </is>
      </c>
      <c r="I1797" s="7">
        <f>IMAGE("https://images.lululemon.com/is/image/lululemon/69147",1)</f>
        <v/>
      </c>
      <c r="J1797" s="7" t="inlineStr">
        <is>
          <t>O/S</t>
        </is>
      </c>
      <c r="K1797" s="7" t="inlineStr">
        <is>
          <t>106/220</t>
        </is>
      </c>
      <c r="L1797" s="7" t="inlineStr">
        <is>
          <t>Yes</t>
        </is>
      </c>
      <c r="M1797" s="7" t="inlineStr">
        <is>
          <t>Sport mode: activated. This insulated water bottle has a built-in straw lid and a slip-free texture to make one-handed drinking a breeze.</t>
        </is>
      </c>
      <c r="N1797" s="7" t="inlineStr">
        <is>
          <t>Bck-to-Life-Sprt-Bttle-24oz-Straw-Lid</t>
        </is>
      </c>
      <c r="O1797" s="7" t="inlineStr"/>
    </row>
    <row r="1798" ht="80" customHeight="1">
      <c r="A1798" s="4">
        <f>IMAGE("https://images.lululemon.com/is/image/lululemon/LU9BYLS_069147_1?wid=320&amp;op_usm=0.8",1)</f>
        <v/>
      </c>
      <c r="B1798" s="4" t="inlineStr">
        <is>
          <t>Back to Life Sport Bottle 24oz *Straw Lid</t>
        </is>
      </c>
      <c r="C1798" s="4" t="inlineStr">
        <is>
          <t>157718216</t>
        </is>
      </c>
      <c r="D1798" s="4" t="inlineStr">
        <is>
          <t>157718216-white/dovegrey/pelican</t>
        </is>
      </c>
      <c r="E1798" s="4" t="inlineStr">
        <is>
          <t>Back to Life Sport Bottle 24oz*Straw Lid BLK/VIOI/DKLV ONE SIZE</t>
        </is>
      </c>
      <c r="F1798" s="4" t="inlineStr">
        <is>
          <t>$44.00</t>
        </is>
      </c>
      <c r="G1798" s="4" t="inlineStr">
        <is>
          <t>$22.00</t>
        </is>
      </c>
      <c r="H1798" s="4" t="inlineStr">
        <is>
          <t>White/Dove Grey/Pelican</t>
        </is>
      </c>
      <c r="I1798" s="4">
        <f>IMAGE("https://images.lululemon.com/is/image/lululemon/74492",1)</f>
        <v/>
      </c>
      <c r="J1798" s="4" t="inlineStr">
        <is>
          <t>O/S</t>
        </is>
      </c>
      <c r="K1798" s="4" t="inlineStr">
        <is>
          <t>112/220</t>
        </is>
      </c>
      <c r="L1798" s="4" t="inlineStr">
        <is>
          <t>Yes</t>
        </is>
      </c>
      <c r="M1798" s="4" t="inlineStr">
        <is>
          <t>Sport mode: activated. This insulated water bottle has a built-in straw lid and a slip-free texture to make one-handed drinking a breeze.</t>
        </is>
      </c>
      <c r="N1798" s="4" t="inlineStr">
        <is>
          <t>Bck-to-Life-Sprt-Bttle-24oz-Straw-Lid</t>
        </is>
      </c>
      <c r="O1798" s="4" t="inlineStr"/>
    </row>
    <row r="1799" ht="80" customHeight="1">
      <c r="A1799" s="5">
        <f>IMAGE("https://images.lululemon.com/is/image/lululemon/LU9BYLS_069147_1?wid=320&amp;op_usm=0.8",1)</f>
        <v/>
      </c>
      <c r="B1799" s="5" t="inlineStr">
        <is>
          <t>Back to Life Sport Bottle 24oz *Straw Lid</t>
        </is>
      </c>
      <c r="C1799" s="5" t="inlineStr">
        <is>
          <t>148400244</t>
        </is>
      </c>
      <c r="D1799" s="5" t="inlineStr">
        <is>
          <t>148400244-white</t>
        </is>
      </c>
      <c r="E1799" s="5" t="inlineStr">
        <is>
          <t>Back to Life Sport Bottle 24oz*Straw Lid BLK/VIOI/DKLV ONE SIZE</t>
        </is>
      </c>
      <c r="F1799" s="5" t="inlineStr">
        <is>
          <t>$44.00</t>
        </is>
      </c>
      <c r="G1799" s="5" t="inlineStr">
        <is>
          <t>$22.00</t>
        </is>
      </c>
      <c r="H1799" s="5" t="inlineStr">
        <is>
          <t>White</t>
        </is>
      </c>
      <c r="I1799" s="5">
        <f>IMAGE("https://images.lululemon.com/is/image/lululemon/0002",1)</f>
        <v/>
      </c>
      <c r="J1799" s="5" t="inlineStr">
        <is>
          <t>O/S</t>
        </is>
      </c>
      <c r="K1799" s="5" t="inlineStr">
        <is>
          <t>2/220</t>
        </is>
      </c>
      <c r="L1799" s="5" t="inlineStr">
        <is>
          <t>Yes</t>
        </is>
      </c>
      <c r="M1799" s="5" t="inlineStr">
        <is>
          <t>Sport mode: activated. This insulated water bottle has a built-in straw lid and a slip-free texture to make one-handed drinking a breeze.</t>
        </is>
      </c>
      <c r="N1799" s="5" t="inlineStr">
        <is>
          <t>Bck-to-Life-Sprt-Bttle-24oz-Straw-Lid</t>
        </is>
      </c>
      <c r="O1799" s="5" t="inlineStr"/>
    </row>
    <row r="1800" ht="80" customHeight="1">
      <c r="A1800" s="6">
        <f>IMAGE("https://images.lululemon.com/is/image/lululemon/LW9FM7S_0002_1?wid=320&amp;op_usm=0.8",1)</f>
        <v/>
      </c>
      <c r="B1800" s="6" t="inlineStr">
        <is>
          <t>Women's Fast Paced Wide Band Running Visor</t>
        </is>
      </c>
      <c r="C1800" s="6" t="inlineStr">
        <is>
          <t>150750152</t>
        </is>
      </c>
      <c r="D1800" s="6" t="inlineStr">
        <is>
          <t>150750152-white</t>
        </is>
      </c>
      <c r="E1800" s="6" t="inlineStr">
        <is>
          <t>Fast Paced Wide Band Run Visor WHT ONE SIZE</t>
        </is>
      </c>
      <c r="F1800" s="6" t="inlineStr">
        <is>
          <t>$28.00</t>
        </is>
      </c>
      <c r="G1800" s="6" t="inlineStr">
        <is>
          <t>$14.00</t>
        </is>
      </c>
      <c r="H1800" s="6" t="inlineStr">
        <is>
          <t>White</t>
        </is>
      </c>
      <c r="I1800" s="6">
        <f>IMAGE("https://images.lululemon.com/is/image/lululemon/0002",1)</f>
        <v/>
      </c>
      <c r="J1800" s="6" t="inlineStr">
        <is>
          <t>O/S</t>
        </is>
      </c>
      <c r="K1800" s="6" t="inlineStr">
        <is>
          <t>716/716</t>
        </is>
      </c>
      <c r="L1800" s="6" t="inlineStr">
        <is>
          <t>Yes</t>
        </is>
      </c>
      <c r="M1800" s="6" t="inlineStr">
        <is>
          <t>Feel the wind, not the rays. We added height to the front band of this visor for extra coverage on your forehead. The ultimate run-in-the-sun solution just levelled up.</t>
        </is>
      </c>
      <c r="N1800" s="6" t="inlineStr">
        <is>
          <t>W-Fast-Paced-Wide-Band-Running-Visor</t>
        </is>
      </c>
      <c r="O1800" s="6" t="inlineStr">
        <is>
          <t>Visors</t>
        </is>
      </c>
    </row>
    <row r="1801" ht="80" customHeight="1">
      <c r="A1801" s="5">
        <f>IMAGE("https://images.lululemon.com/is/image/lululemon/LW1DDUS_0001_1?wid=320&amp;op_usm=0.8",1)</f>
        <v/>
      </c>
      <c r="B1801" s="5" t="inlineStr">
        <is>
          <t>Love Tank Top</t>
        </is>
      </c>
      <c r="C1801" s="5" t="inlineStr">
        <is>
          <t>136025135</t>
        </is>
      </c>
      <c r="D1801" s="5" t="inlineStr">
        <is>
          <t>136025135-black</t>
        </is>
      </c>
      <c r="E1801" s="5" t="inlineStr">
        <is>
          <t>Love Tank BLK 8</t>
        </is>
      </c>
      <c r="F1801" s="5" t="inlineStr">
        <is>
          <t>$38.00</t>
        </is>
      </c>
      <c r="G1801" s="5" t="inlineStr">
        <is>
          <t>$19.00</t>
        </is>
      </c>
      <c r="H1801" s="5" t="inlineStr">
        <is>
          <t>Black</t>
        </is>
      </c>
      <c r="I1801" s="5">
        <f>IMAGE("https://images.lululemon.com/is/image/lululemon/0001",1)</f>
        <v/>
      </c>
      <c r="J1801" s="5" t="inlineStr">
        <is>
          <t>8</t>
        </is>
      </c>
      <c r="K1801" s="5" t="inlineStr">
        <is>
          <t>8/8</t>
        </is>
      </c>
      <c r="L1801" s="5" t="inlineStr">
        <is>
          <t>Yes</t>
        </is>
      </c>
      <c r="M1801" s="5" t="inlineStr">
        <is>
          <t>Lots of reasons to love this tank top. Soft cotton fabric, a hint of stretch, and a just-right curved hem that pairs perfectly with leggings.</t>
        </is>
      </c>
      <c r="N1801" s="5" t="inlineStr">
        <is>
          <t>Love-Tank</t>
        </is>
      </c>
      <c r="O1801" s="5" t="inlineStr"/>
    </row>
    <row r="1802" ht="80" customHeight="1">
      <c r="A1802" s="4">
        <f>IMAGE("https://images.lululemon.com/is/image/lululemon/LU9DO5S_0002_1?wid=320&amp;op_usm=0.8",1)</f>
        <v/>
      </c>
      <c r="B1802" s="4" t="inlineStr">
        <is>
          <t>Unisex Daily Essential Crew Socks</t>
        </is>
      </c>
      <c r="C1802" s="4" t="inlineStr">
        <is>
          <t>157768511</t>
        </is>
      </c>
      <c r="D1802" s="4" t="inlineStr">
        <is>
          <t>157768511-white</t>
        </is>
      </c>
      <c r="E1802" s="4" t="inlineStr">
        <is>
          <t>Daily Essential Socks WHT S</t>
        </is>
      </c>
      <c r="F1802" s="4" t="inlineStr">
        <is>
          <t>$14.00</t>
        </is>
      </c>
      <c r="G1802" s="4" t="inlineStr">
        <is>
          <t>$7.00</t>
        </is>
      </c>
      <c r="H1802" s="4" t="inlineStr">
        <is>
          <t>White</t>
        </is>
      </c>
      <c r="I1802" s="4">
        <f>IMAGE("https://images.lululemon.com/is/image/lululemon/0002",1)</f>
        <v/>
      </c>
      <c r="J1802" s="4" t="inlineStr">
        <is>
          <t>S</t>
        </is>
      </c>
      <c r="K1802" s="4" t="inlineStr">
        <is>
          <t>38/183</t>
        </is>
      </c>
      <c r="L1802" s="4" t="inlineStr">
        <is>
          <t>Yes</t>
        </is>
      </c>
      <c r="M1802" s="4" t="inlineStr">
        <is>
          <t>Top drawer comfort. These soft cotton socks combine integrated arch support and plush cushioning.</t>
        </is>
      </c>
      <c r="N1802" s="4" t="inlineStr">
        <is>
          <t>Unisex-Daily-Essential-Crew-Socks</t>
        </is>
      </c>
      <c r="O1802" s="4" t="inlineStr">
        <is>
          <t>Crew Socks</t>
        </is>
      </c>
    </row>
    <row r="1803" ht="80" customHeight="1">
      <c r="A1803" s="7">
        <f>IMAGE("https://images.lululemon.com/is/image/lululemon/LU9DO5S_0002_1?wid=320&amp;op_usm=0.8",1)</f>
        <v/>
      </c>
      <c r="B1803" s="7" t="inlineStr">
        <is>
          <t>Unisex Daily Essential Crew Socks</t>
        </is>
      </c>
      <c r="C1803" s="7" t="inlineStr">
        <is>
          <t>157768509</t>
        </is>
      </c>
      <c r="D1803" s="7" t="inlineStr">
        <is>
          <t>157768509-white</t>
        </is>
      </c>
      <c r="E1803" s="7" t="inlineStr">
        <is>
          <t>Daily Essential Socks WHT S</t>
        </is>
      </c>
      <c r="F1803" s="7" t="inlineStr">
        <is>
          <t>$14.00</t>
        </is>
      </c>
      <c r="G1803" s="7" t="inlineStr">
        <is>
          <t>$7.00</t>
        </is>
      </c>
      <c r="H1803" s="7" t="inlineStr">
        <is>
          <t>White</t>
        </is>
      </c>
      <c r="I1803" s="7">
        <f>IMAGE("https://images.lululemon.com/is/image/lululemon/0002",1)</f>
        <v/>
      </c>
      <c r="J1803" s="7" t="inlineStr">
        <is>
          <t>M</t>
        </is>
      </c>
      <c r="K1803" s="7" t="inlineStr">
        <is>
          <t>68/183</t>
        </is>
      </c>
      <c r="L1803" s="7" t="inlineStr">
        <is>
          <t>Yes</t>
        </is>
      </c>
      <c r="M1803" s="7" t="inlineStr">
        <is>
          <t>Top drawer comfort. These soft cotton socks combine integrated arch support and plush cushioning.</t>
        </is>
      </c>
      <c r="N1803" s="7" t="inlineStr">
        <is>
          <t>Unisex-Daily-Essential-Crew-Socks</t>
        </is>
      </c>
      <c r="O1803" s="7" t="inlineStr">
        <is>
          <t>Crew Socks</t>
        </is>
      </c>
    </row>
    <row r="1804" ht="80" customHeight="1">
      <c r="A1804" s="4">
        <f>IMAGE("https://images.lululemon.com/is/image/lululemon/LU9DO5S_0002_1?wid=320&amp;op_usm=0.8",1)</f>
        <v/>
      </c>
      <c r="B1804" s="4" t="inlineStr">
        <is>
          <t>Unisex Daily Essential Crew Socks</t>
        </is>
      </c>
      <c r="C1804" s="4" t="inlineStr">
        <is>
          <t>157768503</t>
        </is>
      </c>
      <c r="D1804" s="4" t="inlineStr">
        <is>
          <t>157768503-white</t>
        </is>
      </c>
      <c r="E1804" s="4" t="inlineStr">
        <is>
          <t>Daily Essential Socks WHT S</t>
        </is>
      </c>
      <c r="F1804" s="4" t="inlineStr">
        <is>
          <t>$14.00</t>
        </is>
      </c>
      <c r="G1804" s="4" t="inlineStr">
        <is>
          <t>$7.00</t>
        </is>
      </c>
      <c r="H1804" s="4" t="inlineStr">
        <is>
          <t>White</t>
        </is>
      </c>
      <c r="I1804" s="4">
        <f>IMAGE("https://images.lululemon.com/is/image/lululemon/0002",1)</f>
        <v/>
      </c>
      <c r="J1804" s="4" t="inlineStr">
        <is>
          <t>L</t>
        </is>
      </c>
      <c r="K1804" s="4" t="inlineStr">
        <is>
          <t>56/183</t>
        </is>
      </c>
      <c r="L1804" s="4" t="inlineStr">
        <is>
          <t>Yes</t>
        </is>
      </c>
      <c r="M1804" s="4" t="inlineStr">
        <is>
          <t>Top drawer comfort. These soft cotton socks combine integrated arch support and plush cushioning.</t>
        </is>
      </c>
      <c r="N1804" s="4" t="inlineStr">
        <is>
          <t>Unisex-Daily-Essential-Crew-Socks</t>
        </is>
      </c>
      <c r="O1804" s="4" t="inlineStr">
        <is>
          <t>Crew Socks</t>
        </is>
      </c>
    </row>
    <row r="1805" ht="80" customHeight="1">
      <c r="A1805" s="5">
        <f>IMAGE("https://images.lululemon.com/is/image/lululemon/LU9DO5S_0002_1?wid=320&amp;op_usm=0.8",1)</f>
        <v/>
      </c>
      <c r="B1805" s="5" t="inlineStr">
        <is>
          <t>Unisex Daily Essential Crew Socks</t>
        </is>
      </c>
      <c r="C1805" s="5" t="inlineStr">
        <is>
          <t>157768518</t>
        </is>
      </c>
      <c r="D1805" s="5" t="inlineStr">
        <is>
          <t>157768518-white</t>
        </is>
      </c>
      <c r="E1805" s="5" t="inlineStr">
        <is>
          <t>Daily Essential Socks WHT S</t>
        </is>
      </c>
      <c r="F1805" s="5" t="inlineStr">
        <is>
          <t>$14.00</t>
        </is>
      </c>
      <c r="G1805" s="5" t="inlineStr">
        <is>
          <t>$7.00</t>
        </is>
      </c>
      <c r="H1805" s="5" t="inlineStr">
        <is>
          <t>White</t>
        </is>
      </c>
      <c r="I1805" s="5">
        <f>IMAGE("https://images.lululemon.com/is/image/lululemon/0002",1)</f>
        <v/>
      </c>
      <c r="J1805" s="5" t="inlineStr">
        <is>
          <t>XL</t>
        </is>
      </c>
      <c r="K1805" s="5" t="inlineStr">
        <is>
          <t>21/183</t>
        </is>
      </c>
      <c r="L1805" s="5" t="inlineStr">
        <is>
          <t>Yes</t>
        </is>
      </c>
      <c r="M1805" s="5" t="inlineStr">
        <is>
          <t>Top drawer comfort. These soft cotton socks combine integrated arch support and plush cushioning.</t>
        </is>
      </c>
      <c r="N1805" s="5" t="inlineStr">
        <is>
          <t>Unisex-Daily-Essential-Crew-Socks</t>
        </is>
      </c>
      <c r="O1805" s="5" t="inlineStr">
        <is>
          <t>Crew Socks</t>
        </is>
      </c>
    </row>
    <row r="1806" ht="80" customHeight="1">
      <c r="A1806" s="4">
        <f>IMAGE("https://images.lululemon.com/is/image/lululemon/LW1FKXS_068898_1?wid=320&amp;op_usm=0.8",1)</f>
        <v/>
      </c>
      <c r="B1806" s="4" t="inlineStr">
        <is>
          <t>Scoop-Neck Cutout Tennis Dress</t>
        </is>
      </c>
      <c r="C1806" s="4" t="inlineStr">
        <is>
          <t>156504468</t>
        </is>
      </c>
      <c r="D1806" s="4" t="inlineStr">
        <is>
          <t>156504468-clubblue/white</t>
        </is>
      </c>
      <c r="E1806" s="4" t="inlineStr">
        <is>
          <t>Scoop-Neck Cutout Tennis Dress CLBL/WHT XS</t>
        </is>
      </c>
      <c r="F1806" s="4" t="inlineStr">
        <is>
          <t>$148.00</t>
        </is>
      </c>
      <c r="G1806" s="4" t="inlineStr">
        <is>
          <t>$74.00</t>
        </is>
      </c>
      <c r="H1806" s="4" t="inlineStr">
        <is>
          <t>Club Blue/White</t>
        </is>
      </c>
      <c r="I1806" s="4">
        <f>IMAGE("https://images.lululemon.com/is/image/lululemon/68898",1)</f>
        <v/>
      </c>
      <c r="J1806" s="4" t="inlineStr">
        <is>
          <t>XS</t>
        </is>
      </c>
      <c r="K1806" s="4" t="inlineStr">
        <is>
          <t>10/425</t>
        </is>
      </c>
      <c r="L1806" s="4" t="inlineStr">
        <is>
          <t>Yes</t>
        </is>
      </c>
      <c r="M1806" s="4" t="inlineStr">
        <is>
          <t>Advantage: this tennis dress.  With a built-in bra for  support and a shorts liner for  coverage, this tight-fitting  mini lets you move with ease  and confidence.</t>
        </is>
      </c>
      <c r="N1806" s="4" t="inlineStr">
        <is>
          <t>Scoop-Neck-Cutout-Tennis-Dress</t>
        </is>
      </c>
      <c r="O1806" s="4" t="inlineStr">
        <is>
          <t>Athletic Dresses</t>
        </is>
      </c>
    </row>
    <row r="1807" ht="80" customHeight="1">
      <c r="A1807" s="7">
        <f>IMAGE("https://images.lululemon.com/is/image/lululemon/LW1FKXS_068898_1?wid=320&amp;op_usm=0.8",1)</f>
        <v/>
      </c>
      <c r="B1807" s="7" t="inlineStr">
        <is>
          <t>Scoop-Neck Cutout Tennis Dress</t>
        </is>
      </c>
      <c r="C1807" s="7" t="inlineStr">
        <is>
          <t>156504463</t>
        </is>
      </c>
      <c r="D1807" s="7" t="inlineStr">
        <is>
          <t>156504463-clubblue/white</t>
        </is>
      </c>
      <c r="E1807" s="7" t="inlineStr">
        <is>
          <t>Scoop-Neck Cutout Tennis Dress CLBL/WHT XS</t>
        </is>
      </c>
      <c r="F1807" s="7" t="inlineStr">
        <is>
          <t>$148.00</t>
        </is>
      </c>
      <c r="G1807" s="7" t="inlineStr">
        <is>
          <t>$74.00</t>
        </is>
      </c>
      <c r="H1807" s="7" t="inlineStr">
        <is>
          <t>Club Blue/White</t>
        </is>
      </c>
      <c r="I1807" s="7">
        <f>IMAGE("https://images.lululemon.com/is/image/lululemon/68898",1)</f>
        <v/>
      </c>
      <c r="J1807" s="7" t="inlineStr">
        <is>
          <t>S</t>
        </is>
      </c>
      <c r="K1807" s="7" t="inlineStr">
        <is>
          <t>32/425</t>
        </is>
      </c>
      <c r="L1807" s="7" t="inlineStr">
        <is>
          <t>Yes</t>
        </is>
      </c>
      <c r="M1807" s="7" t="inlineStr">
        <is>
          <t>Advantage: this tennis dress.  With a built-in bra for  support and a shorts liner for  coverage, this tight-fitting  mini lets you move with ease  and confidence.</t>
        </is>
      </c>
      <c r="N1807" s="7" t="inlineStr">
        <is>
          <t>Scoop-Neck-Cutout-Tennis-Dress</t>
        </is>
      </c>
      <c r="O1807" s="7" t="inlineStr">
        <is>
          <t>Athletic Dresses</t>
        </is>
      </c>
    </row>
    <row r="1808" ht="80" customHeight="1">
      <c r="A1808" s="4">
        <f>IMAGE("https://images.lululemon.com/is/image/lululemon/LW1FKXS_068898_1?wid=320&amp;op_usm=0.8",1)</f>
        <v/>
      </c>
      <c r="B1808" s="4" t="inlineStr">
        <is>
          <t>Scoop-Neck Cutout Tennis Dress</t>
        </is>
      </c>
      <c r="C1808" s="4" t="inlineStr">
        <is>
          <t>156504459</t>
        </is>
      </c>
      <c r="D1808" s="4" t="inlineStr">
        <is>
          <t>156504459-clubblue/white</t>
        </is>
      </c>
      <c r="E1808" s="4" t="inlineStr">
        <is>
          <t>Scoop-Neck Cutout Tennis Dress CLBL/WHT XS</t>
        </is>
      </c>
      <c r="F1808" s="4" t="inlineStr">
        <is>
          <t>$148.00</t>
        </is>
      </c>
      <c r="G1808" s="4" t="inlineStr">
        <is>
          <t>$74.00</t>
        </is>
      </c>
      <c r="H1808" s="4" t="inlineStr">
        <is>
          <t>Club Blue/White</t>
        </is>
      </c>
      <c r="I1808" s="4">
        <f>IMAGE("https://images.lululemon.com/is/image/lululemon/68898",1)</f>
        <v/>
      </c>
      <c r="J1808" s="4" t="inlineStr">
        <is>
          <t>M</t>
        </is>
      </c>
      <c r="K1808" s="4" t="inlineStr">
        <is>
          <t>88/425</t>
        </is>
      </c>
      <c r="L1808" s="4" t="inlineStr">
        <is>
          <t>Yes</t>
        </is>
      </c>
      <c r="M1808" s="4" t="inlineStr">
        <is>
          <t>Advantage: this tennis dress.  With a built-in bra for  support and a shorts liner for  coverage, this tight-fitting  mini lets you move with ease  and confidence.</t>
        </is>
      </c>
      <c r="N1808" s="4" t="inlineStr">
        <is>
          <t>Scoop-Neck-Cutout-Tennis-Dress</t>
        </is>
      </c>
      <c r="O1808" s="4" t="inlineStr">
        <is>
          <t>Athletic Dresses</t>
        </is>
      </c>
    </row>
    <row r="1809" ht="80" customHeight="1">
      <c r="A1809" s="7">
        <f>IMAGE("https://images.lululemon.com/is/image/lululemon/LW1FKXS_068898_1?wid=320&amp;op_usm=0.8",1)</f>
        <v/>
      </c>
      <c r="B1809" s="7" t="inlineStr">
        <is>
          <t>Scoop-Neck Cutout Tennis Dress</t>
        </is>
      </c>
      <c r="C1809" s="7" t="inlineStr">
        <is>
          <t>156504457</t>
        </is>
      </c>
      <c r="D1809" s="7" t="inlineStr">
        <is>
          <t>156504457-clubblue/white</t>
        </is>
      </c>
      <c r="E1809" s="7" t="inlineStr">
        <is>
          <t>Scoop-Neck Cutout Tennis Dress CLBL/WHT XS</t>
        </is>
      </c>
      <c r="F1809" s="7" t="inlineStr">
        <is>
          <t>$148.00</t>
        </is>
      </c>
      <c r="G1809" s="7" t="inlineStr">
        <is>
          <t>$74.00</t>
        </is>
      </c>
      <c r="H1809" s="7" t="inlineStr">
        <is>
          <t>Club Blue/White</t>
        </is>
      </c>
      <c r="I1809" s="7">
        <f>IMAGE("https://images.lululemon.com/is/image/lululemon/68898",1)</f>
        <v/>
      </c>
      <c r="J1809" s="7" t="inlineStr">
        <is>
          <t>L</t>
        </is>
      </c>
      <c r="K1809" s="7" t="inlineStr">
        <is>
          <t>149/425</t>
        </is>
      </c>
      <c r="L1809" s="7" t="inlineStr">
        <is>
          <t>Yes</t>
        </is>
      </c>
      <c r="M1809" s="7" t="inlineStr">
        <is>
          <t>Advantage: this tennis dress.  With a built-in bra for  support and a shorts liner for  coverage, this tight-fitting  mini lets you move with ease  and confidence.</t>
        </is>
      </c>
      <c r="N1809" s="7" t="inlineStr">
        <is>
          <t>Scoop-Neck-Cutout-Tennis-Dress</t>
        </is>
      </c>
      <c r="O1809" s="7" t="inlineStr">
        <is>
          <t>Athletic Dresses</t>
        </is>
      </c>
    </row>
    <row r="1810" ht="80" customHeight="1">
      <c r="A1810" s="6">
        <f>IMAGE("https://images.lululemon.com/is/image/lululemon/LW1FKXS_068898_1?wid=320&amp;op_usm=0.8",1)</f>
        <v/>
      </c>
      <c r="B1810" s="6" t="inlineStr">
        <is>
          <t>Scoop-Neck Cutout Tennis Dress</t>
        </is>
      </c>
      <c r="C1810" s="6" t="inlineStr">
        <is>
          <t>156504465</t>
        </is>
      </c>
      <c r="D1810" s="6" t="inlineStr">
        <is>
          <t>156504465-clubblue/white</t>
        </is>
      </c>
      <c r="E1810" s="6" t="inlineStr">
        <is>
          <t>Scoop-Neck Cutout Tennis Dress CLBL/WHT XS</t>
        </is>
      </c>
      <c r="F1810" s="6" t="inlineStr">
        <is>
          <t>$148.00</t>
        </is>
      </c>
      <c r="G1810" s="6" t="inlineStr">
        <is>
          <t>$74.00</t>
        </is>
      </c>
      <c r="H1810" s="6" t="inlineStr">
        <is>
          <t>Club Blue/White</t>
        </is>
      </c>
      <c r="I1810" s="6">
        <f>IMAGE("https://images.lululemon.com/is/image/lululemon/68898",1)</f>
        <v/>
      </c>
      <c r="J1810" s="6" t="inlineStr">
        <is>
          <t>XL</t>
        </is>
      </c>
      <c r="K1810" s="6" t="inlineStr">
        <is>
          <t>146/425</t>
        </is>
      </c>
      <c r="L1810" s="6" t="inlineStr">
        <is>
          <t>Yes</t>
        </is>
      </c>
      <c r="M1810" s="6" t="inlineStr">
        <is>
          <t>Advantage: this tennis dress.  With a built-in bra for  support and a shorts liner for  coverage, this tight-fitting  mini lets you move with ease  and confidence.</t>
        </is>
      </c>
      <c r="N1810" s="6" t="inlineStr">
        <is>
          <t>Scoop-Neck-Cutout-Tennis-Dress</t>
        </is>
      </c>
      <c r="O1810" s="6" t="inlineStr">
        <is>
          <t>Athletic Dresses</t>
        </is>
      </c>
    </row>
    <row r="1811" ht="80" customHeight="1">
      <c r="A1811" s="7">
        <f>IMAGE("https://images.lululemon.com/is/image/lululemon/LW5HJHS_0001_1?wid=320&amp;op_usm=0.8",1)</f>
        <v/>
      </c>
      <c r="B1811" s="7" t="inlineStr">
        <is>
          <t>Scuba Mid-Rise Oversized Jogger *Regular</t>
        </is>
      </c>
      <c r="C1811" s="7" t="inlineStr">
        <is>
          <t>155700723</t>
        </is>
      </c>
      <c r="D1811" s="7" t="inlineStr">
        <is>
          <t>155700723-heatheredcoreultralightgrey</t>
        </is>
      </c>
      <c r="E1811" s="7" t="inlineStr">
        <is>
          <t>Scuba MR Oversized Jogger *Regular HCUG XS</t>
        </is>
      </c>
      <c r="F1811" s="7" t="inlineStr">
        <is>
          <t>$118.00</t>
        </is>
      </c>
      <c r="G1811" s="7" t="inlineStr">
        <is>
          <t>$59.00</t>
        </is>
      </c>
      <c r="H1811" s="7" t="inlineStr">
        <is>
          <t>Heathered Core Ultra Light Grey</t>
        </is>
      </c>
      <c r="I1811" s="7">
        <f>IMAGE("https://images.lululemon.com/is/image/lululemon/32493",1)</f>
        <v/>
      </c>
      <c r="J1811" s="7" t="inlineStr">
        <is>
          <t>XS</t>
        </is>
      </c>
      <c r="K1811" s="7" t="inlineStr">
        <is>
          <t>30/4101</t>
        </is>
      </c>
      <c r="L1811" s="7" t="inlineStr">
        <is>
          <t>Yes</t>
        </is>
      </c>
      <c r="M1811" s="7" t="inlineStr">
        <is>
          <t>Serious about softness. These Scuba sweatpants are all about fleecy fabric and sinking in to a slouchy oversized fit.</t>
        </is>
      </c>
      <c r="N1811" s="7" t="inlineStr">
        <is>
          <t>Scuba-MR-Oversized-Jogger-Regular</t>
        </is>
      </c>
      <c r="O1811" s="7" t="inlineStr"/>
    </row>
    <row r="1812" ht="80" customHeight="1">
      <c r="A1812" s="4">
        <f>IMAGE("https://images.lululemon.com/is/image/lululemon/LW5HJHS_0001_1?wid=320&amp;op_usm=0.8",1)</f>
        <v/>
      </c>
      <c r="B1812" s="4" t="inlineStr">
        <is>
          <t>Scuba Mid-Rise Oversized Jogger *Regular</t>
        </is>
      </c>
      <c r="C1812" s="4" t="inlineStr">
        <is>
          <t>155700721</t>
        </is>
      </c>
      <c r="D1812" s="4" t="inlineStr">
        <is>
          <t>155700721-heatheredcoreultralightgrey</t>
        </is>
      </c>
      <c r="E1812" s="4" t="inlineStr">
        <is>
          <t>Scuba MR Oversized Jogger *Regular HCUG XS</t>
        </is>
      </c>
      <c r="F1812" s="4" t="inlineStr">
        <is>
          <t>$118.00</t>
        </is>
      </c>
      <c r="G1812" s="4" t="inlineStr">
        <is>
          <t>$59.00</t>
        </is>
      </c>
      <c r="H1812" s="4" t="inlineStr">
        <is>
          <t>Heathered Core Ultra Light Grey</t>
        </is>
      </c>
      <c r="I1812" s="4">
        <f>IMAGE("https://images.lululemon.com/is/image/lululemon/32493",1)</f>
        <v/>
      </c>
      <c r="J1812" s="4" t="inlineStr">
        <is>
          <t>S</t>
        </is>
      </c>
      <c r="K1812" s="4" t="inlineStr">
        <is>
          <t>243/4101</t>
        </is>
      </c>
      <c r="L1812" s="4" t="inlineStr">
        <is>
          <t>Yes</t>
        </is>
      </c>
      <c r="M1812" s="4" t="inlineStr">
        <is>
          <t>Serious about softness. These Scuba sweatpants are all about fleecy fabric and sinking in to a slouchy oversized fit.</t>
        </is>
      </c>
      <c r="N1812" s="4" t="inlineStr">
        <is>
          <t>Scuba-MR-Oversized-Jogger-Regular</t>
        </is>
      </c>
      <c r="O1812" s="4" t="inlineStr"/>
    </row>
    <row r="1813" ht="80" customHeight="1">
      <c r="A1813" s="7">
        <f>IMAGE("https://images.lululemon.com/is/image/lululemon/LW5HJHS_0001_1?wid=320&amp;op_usm=0.8",1)</f>
        <v/>
      </c>
      <c r="B1813" s="7" t="inlineStr">
        <is>
          <t>Scuba Mid-Rise Oversized Jogger *Regular</t>
        </is>
      </c>
      <c r="C1813" s="7" t="inlineStr">
        <is>
          <t>155700720</t>
        </is>
      </c>
      <c r="D1813" s="7" t="inlineStr">
        <is>
          <t>155700720-heatheredcoreultralightgrey</t>
        </is>
      </c>
      <c r="E1813" s="7" t="inlineStr">
        <is>
          <t>Scuba MR Oversized Jogger *Regular HCUG XS</t>
        </is>
      </c>
      <c r="F1813" s="7" t="inlineStr">
        <is>
          <t>$118.00</t>
        </is>
      </c>
      <c r="G1813" s="7" t="inlineStr">
        <is>
          <t>$59.00</t>
        </is>
      </c>
      <c r="H1813" s="7" t="inlineStr">
        <is>
          <t>Heathered Core Ultra Light Grey</t>
        </is>
      </c>
      <c r="I1813" s="7">
        <f>IMAGE("https://images.lululemon.com/is/image/lululemon/32493",1)</f>
        <v/>
      </c>
      <c r="J1813" s="7" t="inlineStr">
        <is>
          <t>M</t>
        </is>
      </c>
      <c r="K1813" s="7" t="inlineStr">
        <is>
          <t>330/4101</t>
        </is>
      </c>
      <c r="L1813" s="7" t="inlineStr">
        <is>
          <t>Yes</t>
        </is>
      </c>
      <c r="M1813" s="7" t="inlineStr">
        <is>
          <t>Serious about softness. These Scuba sweatpants are all about fleecy fabric and sinking in to a slouchy oversized fit.</t>
        </is>
      </c>
      <c r="N1813" s="7" t="inlineStr">
        <is>
          <t>Scuba-MR-Oversized-Jogger-Regular</t>
        </is>
      </c>
      <c r="O1813" s="7" t="inlineStr"/>
    </row>
    <row r="1814" ht="80" customHeight="1">
      <c r="A1814" s="4">
        <f>IMAGE("https://images.lululemon.com/is/image/lululemon/LW5HJHS_0001_1?wid=320&amp;op_usm=0.8",1)</f>
        <v/>
      </c>
      <c r="B1814" s="4" t="inlineStr">
        <is>
          <t>Scuba Mid-Rise Oversized Jogger *Regular</t>
        </is>
      </c>
      <c r="C1814" s="4" t="inlineStr">
        <is>
          <t>155700719</t>
        </is>
      </c>
      <c r="D1814" s="4" t="inlineStr">
        <is>
          <t>155700719-heatheredcoreultralightgrey</t>
        </is>
      </c>
      <c r="E1814" s="4" t="inlineStr">
        <is>
          <t>Scuba MR Oversized Jogger *Regular HCUG XS</t>
        </is>
      </c>
      <c r="F1814" s="4" t="inlineStr">
        <is>
          <t>$118.00</t>
        </is>
      </c>
      <c r="G1814" s="4" t="inlineStr">
        <is>
          <t>$59.00</t>
        </is>
      </c>
      <c r="H1814" s="4" t="inlineStr">
        <is>
          <t>Heathered Core Ultra Light Grey</t>
        </is>
      </c>
      <c r="I1814" s="4">
        <f>IMAGE("https://images.lululemon.com/is/image/lululemon/32493",1)</f>
        <v/>
      </c>
      <c r="J1814" s="4" t="inlineStr">
        <is>
          <t>L</t>
        </is>
      </c>
      <c r="K1814" s="4" t="inlineStr">
        <is>
          <t>349/4101</t>
        </is>
      </c>
      <c r="L1814" s="4" t="inlineStr">
        <is>
          <t>Yes</t>
        </is>
      </c>
      <c r="M1814" s="4" t="inlineStr">
        <is>
          <t>Serious about softness. These Scuba sweatpants are all about fleecy fabric and sinking in to a slouchy oversized fit.</t>
        </is>
      </c>
      <c r="N1814" s="4" t="inlineStr">
        <is>
          <t>Scuba-MR-Oversized-Jogger-Regular</t>
        </is>
      </c>
      <c r="O1814" s="4" t="inlineStr"/>
    </row>
    <row r="1815" ht="80" customHeight="1">
      <c r="A1815" s="7">
        <f>IMAGE("https://images.lululemon.com/is/image/lululemon/LW5HJHS_0001_1?wid=320&amp;op_usm=0.8",1)</f>
        <v/>
      </c>
      <c r="B1815" s="7" t="inlineStr">
        <is>
          <t>Scuba Mid-Rise Oversized Jogger *Regular</t>
        </is>
      </c>
      <c r="C1815" s="7" t="inlineStr">
        <is>
          <t>154836361</t>
        </is>
      </c>
      <c r="D1815" s="7" t="inlineStr">
        <is>
          <t>154836361-heatheredcoreultralightgrey</t>
        </is>
      </c>
      <c r="E1815" s="7" t="inlineStr">
        <is>
          <t>Scuba MR Oversized Jogger *Regular HCUG XS</t>
        </is>
      </c>
      <c r="F1815" s="7" t="inlineStr">
        <is>
          <t>$118.00</t>
        </is>
      </c>
      <c r="G1815" s="7" t="inlineStr">
        <is>
          <t>$59.00</t>
        </is>
      </c>
      <c r="H1815" s="7" t="inlineStr">
        <is>
          <t>Heathered Core Ultra Light Grey</t>
        </is>
      </c>
      <c r="I1815" s="7">
        <f>IMAGE("https://images.lululemon.com/is/image/lululemon/32493",1)</f>
        <v/>
      </c>
      <c r="J1815" s="7" t="inlineStr">
        <is>
          <t>XL</t>
        </is>
      </c>
      <c r="K1815" s="7" t="inlineStr">
        <is>
          <t>208/4101</t>
        </is>
      </c>
      <c r="L1815" s="7" t="inlineStr">
        <is>
          <t>Yes</t>
        </is>
      </c>
      <c r="M1815" s="7" t="inlineStr">
        <is>
          <t>Serious about softness. These Scuba sweatpants are all about fleecy fabric and sinking in to a slouchy oversized fit.</t>
        </is>
      </c>
      <c r="N1815" s="7" t="inlineStr">
        <is>
          <t>Scuba-MR-Oversized-Jogger-Regular</t>
        </is>
      </c>
      <c r="O1815" s="7" t="inlineStr"/>
    </row>
    <row r="1816" ht="80" customHeight="1">
      <c r="A1816" s="4">
        <f>IMAGE("https://images.lululemon.com/is/image/lululemon/LW5HJHS_0001_1?wid=320&amp;op_usm=0.8",1)</f>
        <v/>
      </c>
      <c r="B1816" s="4" t="inlineStr">
        <is>
          <t>Scuba Mid-Rise Oversized Jogger *Regular</t>
        </is>
      </c>
      <c r="C1816" s="4" t="inlineStr">
        <is>
          <t>157703242</t>
        </is>
      </c>
      <c r="D1816" s="4" t="inlineStr">
        <is>
          <t>157703242-sunburstorange</t>
        </is>
      </c>
      <c r="E1816" s="4" t="inlineStr">
        <is>
          <t>Scuba MR Oversized Jogger *Regular HCUG XS</t>
        </is>
      </c>
      <c r="F1816" s="4" t="inlineStr">
        <is>
          <t>$118.00</t>
        </is>
      </c>
      <c r="G1816" s="4" t="inlineStr">
        <is>
          <t>$59.00</t>
        </is>
      </c>
      <c r="H1816" s="4" t="inlineStr">
        <is>
          <t>Sunburst Orange</t>
        </is>
      </c>
      <c r="I1816" s="4">
        <f>IMAGE("https://images.lululemon.com/is/image/lululemon/71177",1)</f>
        <v/>
      </c>
      <c r="J1816" s="4" t="inlineStr">
        <is>
          <t>XS</t>
        </is>
      </c>
      <c r="K1816" s="4" t="inlineStr">
        <is>
          <t>23/4101</t>
        </is>
      </c>
      <c r="L1816" s="4" t="inlineStr">
        <is>
          <t>Yes</t>
        </is>
      </c>
      <c r="M1816" s="4" t="inlineStr">
        <is>
          <t>Serious about softness. These Scuba sweatpants are all about fleecy fabric and sinking in to a slouchy oversized fit.</t>
        </is>
      </c>
      <c r="N1816" s="4" t="inlineStr">
        <is>
          <t>Scuba-MR-Oversized-Jogger-Regular</t>
        </is>
      </c>
      <c r="O1816" s="4" t="inlineStr"/>
    </row>
    <row r="1817" ht="80" customHeight="1">
      <c r="A1817" s="7">
        <f>IMAGE("https://images.lululemon.com/is/image/lululemon/LW5HJHS_0001_1?wid=320&amp;op_usm=0.8",1)</f>
        <v/>
      </c>
      <c r="B1817" s="7" t="inlineStr">
        <is>
          <t>Scuba Mid-Rise Oversized Jogger *Regular</t>
        </is>
      </c>
      <c r="C1817" s="7" t="inlineStr">
        <is>
          <t>157703210</t>
        </is>
      </c>
      <c r="D1817" s="7" t="inlineStr">
        <is>
          <t>157703210-sunburstorange</t>
        </is>
      </c>
      <c r="E1817" s="7" t="inlineStr">
        <is>
          <t>Scuba MR Oversized Jogger *Regular HCUG XS</t>
        </is>
      </c>
      <c r="F1817" s="7" t="inlineStr">
        <is>
          <t>$118.00</t>
        </is>
      </c>
      <c r="G1817" s="7" t="inlineStr">
        <is>
          <t>$59.00</t>
        </is>
      </c>
      <c r="H1817" s="7" t="inlineStr">
        <is>
          <t>Sunburst Orange</t>
        </is>
      </c>
      <c r="I1817" s="7">
        <f>IMAGE("https://images.lululemon.com/is/image/lululemon/71177",1)</f>
        <v/>
      </c>
      <c r="J1817" s="7" t="inlineStr">
        <is>
          <t>S</t>
        </is>
      </c>
      <c r="K1817" s="7" t="inlineStr">
        <is>
          <t>113/4101</t>
        </is>
      </c>
      <c r="L1817" s="7" t="inlineStr">
        <is>
          <t>Yes</t>
        </is>
      </c>
      <c r="M1817" s="7" t="inlineStr">
        <is>
          <t>Serious about softness. These Scuba sweatpants are all about fleecy fabric and sinking in to a slouchy oversized fit.</t>
        </is>
      </c>
      <c r="N1817" s="7" t="inlineStr">
        <is>
          <t>Scuba-MR-Oversized-Jogger-Regular</t>
        </is>
      </c>
      <c r="O1817" s="7" t="inlineStr"/>
    </row>
    <row r="1818" ht="80" customHeight="1">
      <c r="A1818" s="4">
        <f>IMAGE("https://images.lululemon.com/is/image/lululemon/LW5HJHS_0001_1?wid=320&amp;op_usm=0.8",1)</f>
        <v/>
      </c>
      <c r="B1818" s="4" t="inlineStr">
        <is>
          <t>Scuba Mid-Rise Oversized Jogger *Regular</t>
        </is>
      </c>
      <c r="C1818" s="4" t="inlineStr">
        <is>
          <t>157703189</t>
        </is>
      </c>
      <c r="D1818" s="4" t="inlineStr">
        <is>
          <t>157703189-sunburstorange</t>
        </is>
      </c>
      <c r="E1818" s="4" t="inlineStr">
        <is>
          <t>Scuba MR Oversized Jogger *Regular HCUG XS</t>
        </is>
      </c>
      <c r="F1818" s="4" t="inlineStr">
        <is>
          <t>$118.00</t>
        </is>
      </c>
      <c r="G1818" s="4" t="inlineStr">
        <is>
          <t>$59.00</t>
        </is>
      </c>
      <c r="H1818" s="4" t="inlineStr">
        <is>
          <t>Sunburst Orange</t>
        </is>
      </c>
      <c r="I1818" s="4">
        <f>IMAGE("https://images.lululemon.com/is/image/lululemon/71177",1)</f>
        <v/>
      </c>
      <c r="J1818" s="4" t="inlineStr">
        <is>
          <t>M</t>
        </is>
      </c>
      <c r="K1818" s="4" t="inlineStr">
        <is>
          <t>151/4101</t>
        </is>
      </c>
      <c r="L1818" s="4" t="inlineStr">
        <is>
          <t>Yes</t>
        </is>
      </c>
      <c r="M1818" s="4" t="inlineStr">
        <is>
          <t>Serious about softness. These Scuba sweatpants are all about fleecy fabric and sinking in to a slouchy oversized fit.</t>
        </is>
      </c>
      <c r="N1818" s="4" t="inlineStr">
        <is>
          <t>Scuba-MR-Oversized-Jogger-Regular</t>
        </is>
      </c>
      <c r="O1818" s="4" t="inlineStr"/>
    </row>
    <row r="1819" ht="80" customHeight="1">
      <c r="A1819" s="7">
        <f>IMAGE("https://images.lululemon.com/is/image/lululemon/LW5HJHS_0001_1?wid=320&amp;op_usm=0.8",1)</f>
        <v/>
      </c>
      <c r="B1819" s="7" t="inlineStr">
        <is>
          <t>Scuba Mid-Rise Oversized Jogger *Regular</t>
        </is>
      </c>
      <c r="C1819" s="7" t="inlineStr">
        <is>
          <t>157703173</t>
        </is>
      </c>
      <c r="D1819" s="7" t="inlineStr">
        <is>
          <t>157703173-sunburstorange</t>
        </is>
      </c>
      <c r="E1819" s="7" t="inlineStr">
        <is>
          <t>Scuba MR Oversized Jogger *Regular HCUG XS</t>
        </is>
      </c>
      <c r="F1819" s="7" t="inlineStr">
        <is>
          <t>$118.00</t>
        </is>
      </c>
      <c r="G1819" s="7" t="inlineStr">
        <is>
          <t>$59.00</t>
        </is>
      </c>
      <c r="H1819" s="7" t="inlineStr">
        <is>
          <t>Sunburst Orange</t>
        </is>
      </c>
      <c r="I1819" s="7">
        <f>IMAGE("https://images.lululemon.com/is/image/lululemon/71177",1)</f>
        <v/>
      </c>
      <c r="J1819" s="7" t="inlineStr">
        <is>
          <t>L</t>
        </is>
      </c>
      <c r="K1819" s="7" t="inlineStr">
        <is>
          <t>180/4101</t>
        </is>
      </c>
      <c r="L1819" s="7" t="inlineStr">
        <is>
          <t>Yes</t>
        </is>
      </c>
      <c r="M1819" s="7" t="inlineStr">
        <is>
          <t>Serious about softness. These Scuba sweatpants are all about fleecy fabric and sinking in to a slouchy oversized fit.</t>
        </is>
      </c>
      <c r="N1819" s="7" t="inlineStr">
        <is>
          <t>Scuba-MR-Oversized-Jogger-Regular</t>
        </is>
      </c>
      <c r="O1819" s="7" t="inlineStr"/>
    </row>
    <row r="1820" ht="80" customHeight="1">
      <c r="A1820" s="4">
        <f>IMAGE("https://images.lululemon.com/is/image/lululemon/LW5HJHS_0001_1?wid=320&amp;op_usm=0.8",1)</f>
        <v/>
      </c>
      <c r="B1820" s="4" t="inlineStr">
        <is>
          <t>Scuba Mid-Rise Oversized Jogger *Regular</t>
        </is>
      </c>
      <c r="C1820" s="4" t="inlineStr">
        <is>
          <t>157703225</t>
        </is>
      </c>
      <c r="D1820" s="4" t="inlineStr">
        <is>
          <t>157703225-sunburstorange</t>
        </is>
      </c>
      <c r="E1820" s="4" t="inlineStr">
        <is>
          <t>Scuba MR Oversized Jogger *Regular HCUG XS</t>
        </is>
      </c>
      <c r="F1820" s="4" t="inlineStr">
        <is>
          <t>$118.00</t>
        </is>
      </c>
      <c r="G1820" s="4" t="inlineStr">
        <is>
          <t>$59.00</t>
        </is>
      </c>
      <c r="H1820" s="4" t="inlineStr">
        <is>
          <t>Sunburst Orange</t>
        </is>
      </c>
      <c r="I1820" s="4">
        <f>IMAGE("https://images.lululemon.com/is/image/lululemon/71177",1)</f>
        <v/>
      </c>
      <c r="J1820" s="4" t="inlineStr">
        <is>
          <t>XL</t>
        </is>
      </c>
      <c r="K1820" s="4" t="inlineStr">
        <is>
          <t>83/4101</t>
        </is>
      </c>
      <c r="L1820" s="4" t="inlineStr">
        <is>
          <t>Yes</t>
        </is>
      </c>
      <c r="M1820" s="4" t="inlineStr">
        <is>
          <t>Serious about softness. These Scuba sweatpants are all about fleecy fabric and sinking in to a slouchy oversized fit.</t>
        </is>
      </c>
      <c r="N1820" s="4" t="inlineStr">
        <is>
          <t>Scuba-MR-Oversized-Jogger-Regular</t>
        </is>
      </c>
      <c r="O1820" s="4" t="inlineStr"/>
    </row>
    <row r="1821" ht="80" customHeight="1">
      <c r="A1821" s="7">
        <f>IMAGE("https://images.lululemon.com/is/image/lululemon/LW5HJHS_0001_1?wid=320&amp;op_usm=0.8",1)</f>
        <v/>
      </c>
      <c r="B1821" s="7" t="inlineStr">
        <is>
          <t>Scuba Mid-Rise Oversized Jogger *Regular</t>
        </is>
      </c>
      <c r="C1821" s="7" t="inlineStr">
        <is>
          <t>156497641</t>
        </is>
      </c>
      <c r="D1821" s="7" t="inlineStr">
        <is>
          <t>156497641-truenavy</t>
        </is>
      </c>
      <c r="E1821" s="7" t="inlineStr">
        <is>
          <t>Scuba MR Oversized Jogger *Regular HCUG XS</t>
        </is>
      </c>
      <c r="F1821" s="7" t="inlineStr">
        <is>
          <t>$118.00</t>
        </is>
      </c>
      <c r="G1821" s="7" t="inlineStr">
        <is>
          <t>$59.00</t>
        </is>
      </c>
      <c r="H1821" s="7" t="inlineStr">
        <is>
          <t>True Navy</t>
        </is>
      </c>
      <c r="I1821" s="7">
        <f>IMAGE("https://images.lululemon.com/is/image/lululemon/31382",1)</f>
        <v/>
      </c>
      <c r="J1821" s="7" t="inlineStr">
        <is>
          <t>XS</t>
        </is>
      </c>
      <c r="K1821" s="7" t="inlineStr">
        <is>
          <t>13/4101</t>
        </is>
      </c>
      <c r="L1821" s="7" t="inlineStr">
        <is>
          <t>Yes</t>
        </is>
      </c>
      <c r="M1821" s="7" t="inlineStr">
        <is>
          <t>Serious about softness. These Scuba sweatpants are all about fleecy fabric and sinking in to a slouchy oversized fit.</t>
        </is>
      </c>
      <c r="N1821" s="7" t="inlineStr">
        <is>
          <t>Scuba-MR-Oversized-Jogger-Regular</t>
        </is>
      </c>
      <c r="O1821" s="7" t="inlineStr"/>
    </row>
    <row r="1822" ht="80" customHeight="1">
      <c r="A1822" s="4">
        <f>IMAGE("https://images.lululemon.com/is/image/lululemon/LW5HJHS_0001_1?wid=320&amp;op_usm=0.8",1)</f>
        <v/>
      </c>
      <c r="B1822" s="4" t="inlineStr">
        <is>
          <t>Scuba Mid-Rise Oversized Jogger *Regular</t>
        </is>
      </c>
      <c r="C1822" s="4" t="inlineStr">
        <is>
          <t>156497610</t>
        </is>
      </c>
      <c r="D1822" s="4" t="inlineStr">
        <is>
          <t>156497610-truenavy</t>
        </is>
      </c>
      <c r="E1822" s="4" t="inlineStr">
        <is>
          <t>Scuba MR Oversized Jogger *Regular HCUG XS</t>
        </is>
      </c>
      <c r="F1822" s="4" t="inlineStr">
        <is>
          <t>$118.00</t>
        </is>
      </c>
      <c r="G1822" s="4" t="inlineStr">
        <is>
          <t>$59.00</t>
        </is>
      </c>
      <c r="H1822" s="4" t="inlineStr">
        <is>
          <t>True Navy</t>
        </is>
      </c>
      <c r="I1822" s="4">
        <f>IMAGE("https://images.lululemon.com/is/image/lululemon/31382",1)</f>
        <v/>
      </c>
      <c r="J1822" s="4" t="inlineStr">
        <is>
          <t>S</t>
        </is>
      </c>
      <c r="K1822" s="4" t="inlineStr">
        <is>
          <t>79/4101</t>
        </is>
      </c>
      <c r="L1822" s="4" t="inlineStr">
        <is>
          <t>Yes</t>
        </is>
      </c>
      <c r="M1822" s="4" t="inlineStr">
        <is>
          <t>Serious about softness. These Scuba sweatpants are all about fleecy fabric and sinking in to a slouchy oversized fit.</t>
        </is>
      </c>
      <c r="N1822" s="4" t="inlineStr">
        <is>
          <t>Scuba-MR-Oversized-Jogger-Regular</t>
        </is>
      </c>
      <c r="O1822" s="4" t="inlineStr"/>
    </row>
    <row r="1823" ht="80" customHeight="1">
      <c r="A1823" s="7">
        <f>IMAGE("https://images.lululemon.com/is/image/lululemon/LW5HJHS_0001_1?wid=320&amp;op_usm=0.8",1)</f>
        <v/>
      </c>
      <c r="B1823" s="7" t="inlineStr">
        <is>
          <t>Scuba Mid-Rise Oversized Jogger *Regular</t>
        </is>
      </c>
      <c r="C1823" s="7" t="inlineStr">
        <is>
          <t>156497597</t>
        </is>
      </c>
      <c r="D1823" s="7" t="inlineStr">
        <is>
          <t>156497597-truenavy</t>
        </is>
      </c>
      <c r="E1823" s="7" t="inlineStr">
        <is>
          <t>Scuba MR Oversized Jogger *Regular HCUG XS</t>
        </is>
      </c>
      <c r="F1823" s="7" t="inlineStr">
        <is>
          <t>$118.00</t>
        </is>
      </c>
      <c r="G1823" s="7" t="inlineStr">
        <is>
          <t>$59.00</t>
        </is>
      </c>
      <c r="H1823" s="7" t="inlineStr">
        <is>
          <t>True Navy</t>
        </is>
      </c>
      <c r="I1823" s="7">
        <f>IMAGE("https://images.lululemon.com/is/image/lululemon/31382",1)</f>
        <v/>
      </c>
      <c r="J1823" s="7" t="inlineStr">
        <is>
          <t>M</t>
        </is>
      </c>
      <c r="K1823" s="7" t="inlineStr">
        <is>
          <t>178/4101</t>
        </is>
      </c>
      <c r="L1823" s="7" t="inlineStr">
        <is>
          <t>Yes</t>
        </is>
      </c>
      <c r="M1823" s="7" t="inlineStr">
        <is>
          <t>Serious about softness. These Scuba sweatpants are all about fleecy fabric and sinking in to a slouchy oversized fit.</t>
        </is>
      </c>
      <c r="N1823" s="7" t="inlineStr">
        <is>
          <t>Scuba-MR-Oversized-Jogger-Regular</t>
        </is>
      </c>
      <c r="O1823" s="7" t="inlineStr"/>
    </row>
    <row r="1824" ht="80" customHeight="1">
      <c r="A1824" s="4">
        <f>IMAGE("https://images.lululemon.com/is/image/lululemon/LW5HJHS_0001_1?wid=320&amp;op_usm=0.8",1)</f>
        <v/>
      </c>
      <c r="B1824" s="4" t="inlineStr">
        <is>
          <t>Scuba Mid-Rise Oversized Jogger *Regular</t>
        </is>
      </c>
      <c r="C1824" s="4" t="inlineStr">
        <is>
          <t>156497582</t>
        </is>
      </c>
      <c r="D1824" s="4" t="inlineStr">
        <is>
          <t>156497582-truenavy</t>
        </is>
      </c>
      <c r="E1824" s="4" t="inlineStr">
        <is>
          <t>Scuba MR Oversized Jogger *Regular HCUG XS</t>
        </is>
      </c>
      <c r="F1824" s="4" t="inlineStr">
        <is>
          <t>$118.00</t>
        </is>
      </c>
      <c r="G1824" s="4" t="inlineStr">
        <is>
          <t>$59.00</t>
        </is>
      </c>
      <c r="H1824" s="4" t="inlineStr">
        <is>
          <t>True Navy</t>
        </is>
      </c>
      <c r="I1824" s="4">
        <f>IMAGE("https://images.lululemon.com/is/image/lululemon/31382",1)</f>
        <v/>
      </c>
      <c r="J1824" s="4" t="inlineStr">
        <is>
          <t>L</t>
        </is>
      </c>
      <c r="K1824" s="4" t="inlineStr">
        <is>
          <t>147/4101</t>
        </is>
      </c>
      <c r="L1824" s="4" t="inlineStr">
        <is>
          <t>Yes</t>
        </is>
      </c>
      <c r="M1824" s="4" t="inlineStr">
        <is>
          <t>Serious about softness. These Scuba sweatpants are all about fleecy fabric and sinking in to a slouchy oversized fit.</t>
        </is>
      </c>
      <c r="N1824" s="4" t="inlineStr">
        <is>
          <t>Scuba-MR-Oversized-Jogger-Regular</t>
        </is>
      </c>
      <c r="O1824" s="4" t="inlineStr"/>
    </row>
    <row r="1825" ht="80" customHeight="1">
      <c r="A1825" s="7">
        <f>IMAGE("https://images.lululemon.com/is/image/lululemon/LW5HJHS_0001_1?wid=320&amp;op_usm=0.8",1)</f>
        <v/>
      </c>
      <c r="B1825" s="7" t="inlineStr">
        <is>
          <t>Scuba Mid-Rise Oversized Jogger *Regular</t>
        </is>
      </c>
      <c r="C1825" s="7" t="inlineStr">
        <is>
          <t>156497625</t>
        </is>
      </c>
      <c r="D1825" s="7" t="inlineStr">
        <is>
          <t>156497625-truenavy</t>
        </is>
      </c>
      <c r="E1825" s="7" t="inlineStr">
        <is>
          <t>Scuba MR Oversized Jogger *Regular HCUG XS</t>
        </is>
      </c>
      <c r="F1825" s="7" t="inlineStr">
        <is>
          <t>$118.00</t>
        </is>
      </c>
      <c r="G1825" s="7" t="inlineStr">
        <is>
          <t>$59.00</t>
        </is>
      </c>
      <c r="H1825" s="7" t="inlineStr">
        <is>
          <t>True Navy</t>
        </is>
      </c>
      <c r="I1825" s="7">
        <f>IMAGE("https://images.lululemon.com/is/image/lululemon/31382",1)</f>
        <v/>
      </c>
      <c r="J1825" s="7" t="inlineStr">
        <is>
          <t>XL</t>
        </is>
      </c>
      <c r="K1825" s="7" t="inlineStr">
        <is>
          <t>91/4101</t>
        </is>
      </c>
      <c r="L1825" s="7" t="inlineStr">
        <is>
          <t>Yes</t>
        </is>
      </c>
      <c r="M1825" s="7" t="inlineStr">
        <is>
          <t>Serious about softness. These Scuba sweatpants are all about fleecy fabric and sinking in to a slouchy oversized fit.</t>
        </is>
      </c>
      <c r="N1825" s="7" t="inlineStr">
        <is>
          <t>Scuba-MR-Oversized-Jogger-Regular</t>
        </is>
      </c>
      <c r="O1825" s="7" t="inlineStr"/>
    </row>
    <row r="1826" ht="80" customHeight="1">
      <c r="A1826" s="4">
        <f>IMAGE("https://images.lululemon.com/is/image/lululemon/LW5HJHS_0001_1?wid=320&amp;op_usm=0.8",1)</f>
        <v/>
      </c>
      <c r="B1826" s="4" t="inlineStr">
        <is>
          <t>Scuba Mid-Rise Oversized Jogger *Regular</t>
        </is>
      </c>
      <c r="C1826" s="4" t="inlineStr">
        <is>
          <t>157703111</t>
        </is>
      </c>
      <c r="D1826" s="4" t="inlineStr">
        <is>
          <t>157703111-pinkfrosting</t>
        </is>
      </c>
      <c r="E1826" s="4" t="inlineStr">
        <is>
          <t>Scuba MR Oversized Jogger *Regular HCUG XS</t>
        </is>
      </c>
      <c r="F1826" s="4" t="inlineStr">
        <is>
          <t>$118.00</t>
        </is>
      </c>
      <c r="G1826" s="4" t="inlineStr">
        <is>
          <t>$59.00</t>
        </is>
      </c>
      <c r="H1826" s="4" t="inlineStr">
        <is>
          <t>Pink Frosting</t>
        </is>
      </c>
      <c r="I1826" s="4">
        <f>IMAGE("https://images.lululemon.com/is/image/lululemon/71152",1)</f>
        <v/>
      </c>
      <c r="J1826" s="4" t="inlineStr">
        <is>
          <t>S</t>
        </is>
      </c>
      <c r="K1826" s="4" t="inlineStr">
        <is>
          <t>51/4101</t>
        </is>
      </c>
      <c r="L1826" s="4" t="inlineStr">
        <is>
          <t>Yes</t>
        </is>
      </c>
      <c r="M1826" s="4" t="inlineStr">
        <is>
          <t>Serious about softness. These Scuba sweatpants are all about fleecy fabric and sinking in to a slouchy oversized fit.</t>
        </is>
      </c>
      <c r="N1826" s="4" t="inlineStr">
        <is>
          <t>Scuba-MR-Oversized-Jogger-Regular</t>
        </is>
      </c>
      <c r="O1826" s="4" t="inlineStr"/>
    </row>
    <row r="1827" ht="80" customHeight="1">
      <c r="A1827" s="7">
        <f>IMAGE("https://images.lululemon.com/is/image/lululemon/LW5HJHS_0001_1?wid=320&amp;op_usm=0.8",1)</f>
        <v/>
      </c>
      <c r="B1827" s="7" t="inlineStr">
        <is>
          <t>Scuba Mid-Rise Oversized Jogger *Regular</t>
        </is>
      </c>
      <c r="C1827" s="7" t="inlineStr">
        <is>
          <t>157703090</t>
        </is>
      </c>
      <c r="D1827" s="7" t="inlineStr">
        <is>
          <t>157703090-pinkfrosting</t>
        </is>
      </c>
      <c r="E1827" s="7" t="inlineStr">
        <is>
          <t>Scuba MR Oversized Jogger *Regular HCUG XS</t>
        </is>
      </c>
      <c r="F1827" s="7" t="inlineStr">
        <is>
          <t>$118.00</t>
        </is>
      </c>
      <c r="G1827" s="7" t="inlineStr">
        <is>
          <t>$59.00</t>
        </is>
      </c>
      <c r="H1827" s="7" t="inlineStr">
        <is>
          <t>Pink Frosting</t>
        </is>
      </c>
      <c r="I1827" s="7">
        <f>IMAGE("https://images.lululemon.com/is/image/lululemon/71152",1)</f>
        <v/>
      </c>
      <c r="J1827" s="7" t="inlineStr">
        <is>
          <t>M</t>
        </is>
      </c>
      <c r="K1827" s="7" t="inlineStr">
        <is>
          <t>112/4101</t>
        </is>
      </c>
      <c r="L1827" s="7" t="inlineStr">
        <is>
          <t>Yes</t>
        </is>
      </c>
      <c r="M1827" s="7" t="inlineStr">
        <is>
          <t>Serious about softness. These Scuba sweatpants are all about fleecy fabric and sinking in to a slouchy oversized fit.</t>
        </is>
      </c>
      <c r="N1827" s="7" t="inlineStr">
        <is>
          <t>Scuba-MR-Oversized-Jogger-Regular</t>
        </is>
      </c>
      <c r="O1827" s="7" t="inlineStr"/>
    </row>
    <row r="1828" ht="80" customHeight="1">
      <c r="A1828" s="4">
        <f>IMAGE("https://images.lululemon.com/is/image/lululemon/LW5HJHS_0001_1?wid=320&amp;op_usm=0.8",1)</f>
        <v/>
      </c>
      <c r="B1828" s="4" t="inlineStr">
        <is>
          <t>Scuba Mid-Rise Oversized Jogger *Regular</t>
        </is>
      </c>
      <c r="C1828" s="4" t="inlineStr">
        <is>
          <t>157703071</t>
        </is>
      </c>
      <c r="D1828" s="4" t="inlineStr">
        <is>
          <t>157703071-pinkfrosting</t>
        </is>
      </c>
      <c r="E1828" s="4" t="inlineStr">
        <is>
          <t>Scuba MR Oversized Jogger *Regular HCUG XS</t>
        </is>
      </c>
      <c r="F1828" s="4" t="inlineStr">
        <is>
          <t>$118.00</t>
        </is>
      </c>
      <c r="G1828" s="4" t="inlineStr">
        <is>
          <t>$59.00</t>
        </is>
      </c>
      <c r="H1828" s="4" t="inlineStr">
        <is>
          <t>Pink Frosting</t>
        </is>
      </c>
      <c r="I1828" s="4">
        <f>IMAGE("https://images.lululemon.com/is/image/lululemon/71152",1)</f>
        <v/>
      </c>
      <c r="J1828" s="4" t="inlineStr">
        <is>
          <t>L</t>
        </is>
      </c>
      <c r="K1828" s="4" t="inlineStr">
        <is>
          <t>207/4101</t>
        </is>
      </c>
      <c r="L1828" s="4" t="inlineStr">
        <is>
          <t>Yes</t>
        </is>
      </c>
      <c r="M1828" s="4" t="inlineStr">
        <is>
          <t>Serious about softness. These Scuba sweatpants are all about fleecy fabric and sinking in to a slouchy oversized fit.</t>
        </is>
      </c>
      <c r="N1828" s="4" t="inlineStr">
        <is>
          <t>Scuba-MR-Oversized-Jogger-Regular</t>
        </is>
      </c>
      <c r="O1828" s="4" t="inlineStr"/>
    </row>
    <row r="1829" ht="80" customHeight="1">
      <c r="A1829" s="7">
        <f>IMAGE("https://images.lululemon.com/is/image/lululemon/LW5HJHS_0001_1?wid=320&amp;op_usm=0.8",1)</f>
        <v/>
      </c>
      <c r="B1829" s="7" t="inlineStr">
        <is>
          <t>Scuba Mid-Rise Oversized Jogger *Regular</t>
        </is>
      </c>
      <c r="C1829" s="7" t="inlineStr">
        <is>
          <t>157703133</t>
        </is>
      </c>
      <c r="D1829" s="7" t="inlineStr">
        <is>
          <t>157703133-pinkfrosting</t>
        </is>
      </c>
      <c r="E1829" s="7" t="inlineStr">
        <is>
          <t>Scuba MR Oversized Jogger *Regular HCUG XS</t>
        </is>
      </c>
      <c r="F1829" s="7" t="inlineStr">
        <is>
          <t>$118.00</t>
        </is>
      </c>
      <c r="G1829" s="7" t="inlineStr">
        <is>
          <t>$59.00</t>
        </is>
      </c>
      <c r="H1829" s="7" t="inlineStr">
        <is>
          <t>Pink Frosting</t>
        </is>
      </c>
      <c r="I1829" s="7">
        <f>IMAGE("https://images.lululemon.com/is/image/lululemon/71152",1)</f>
        <v/>
      </c>
      <c r="J1829" s="7" t="inlineStr">
        <is>
          <t>XL</t>
        </is>
      </c>
      <c r="K1829" s="7" t="inlineStr">
        <is>
          <t>92/4101</t>
        </is>
      </c>
      <c r="L1829" s="7" t="inlineStr">
        <is>
          <t>Yes</t>
        </is>
      </c>
      <c r="M1829" s="7" t="inlineStr">
        <is>
          <t>Serious about softness. These Scuba sweatpants are all about fleecy fabric and sinking in to a slouchy oversized fit.</t>
        </is>
      </c>
      <c r="N1829" s="7" t="inlineStr">
        <is>
          <t>Scuba-MR-Oversized-Jogger-Regular</t>
        </is>
      </c>
      <c r="O1829" s="7" t="inlineStr"/>
    </row>
    <row r="1830" ht="80" customHeight="1">
      <c r="A1830" s="4">
        <f>IMAGE("https://images.lululemon.com/is/image/lululemon/LW5HJHS_0001_1?wid=320&amp;op_usm=0.8",1)</f>
        <v/>
      </c>
      <c r="B1830" s="4" t="inlineStr">
        <is>
          <t>Scuba Mid-Rise Oversized Jogger *Regular</t>
        </is>
      </c>
      <c r="C1830" s="4" t="inlineStr">
        <is>
          <t>151608559</t>
        </is>
      </c>
      <c r="D1830" s="4" t="inlineStr">
        <is>
          <t>151608559-black</t>
        </is>
      </c>
      <c r="E1830" s="4" t="inlineStr">
        <is>
          <t>Scuba MR Oversized Jogger *Regular HCUG XS</t>
        </is>
      </c>
      <c r="F1830" s="4" t="inlineStr">
        <is>
          <t>$118.00</t>
        </is>
      </c>
      <c r="G1830" s="4" t="inlineStr">
        <is>
          <t>$59.00</t>
        </is>
      </c>
      <c r="H1830" s="4" t="inlineStr">
        <is>
          <t>Black</t>
        </is>
      </c>
      <c r="I1830" s="4">
        <f>IMAGE("https://images.lululemon.com/is/image/lululemon/0001",1)</f>
        <v/>
      </c>
      <c r="J1830" s="4" t="inlineStr">
        <is>
          <t>M</t>
        </is>
      </c>
      <c r="K1830" s="4" t="inlineStr">
        <is>
          <t>394/4101</t>
        </is>
      </c>
      <c r="L1830" s="4" t="inlineStr">
        <is>
          <t>Yes</t>
        </is>
      </c>
      <c r="M1830" s="4" t="inlineStr">
        <is>
          <t>Serious about softness. These Scuba sweatpants are all about fleecy fabric and sinking in to a slouchy oversized fit.</t>
        </is>
      </c>
      <c r="N1830" s="4" t="inlineStr">
        <is>
          <t>Scuba-MR-Oversized-Jogger-Regular</t>
        </is>
      </c>
      <c r="O1830" s="4" t="inlineStr"/>
    </row>
    <row r="1831" ht="80" customHeight="1">
      <c r="A1831" s="7">
        <f>IMAGE("https://images.lululemon.com/is/image/lululemon/LW5HJHS_0001_1?wid=320&amp;op_usm=0.8",1)</f>
        <v/>
      </c>
      <c r="B1831" s="7" t="inlineStr">
        <is>
          <t>Scuba Mid-Rise Oversized Jogger *Regular</t>
        </is>
      </c>
      <c r="C1831" s="7" t="inlineStr">
        <is>
          <t>151608550</t>
        </is>
      </c>
      <c r="D1831" s="7" t="inlineStr">
        <is>
          <t>151608550-black</t>
        </is>
      </c>
      <c r="E1831" s="7" t="inlineStr">
        <is>
          <t>Scuba MR Oversized Jogger *Regular HCUG XS</t>
        </is>
      </c>
      <c r="F1831" s="7" t="inlineStr">
        <is>
          <t>$118.00</t>
        </is>
      </c>
      <c r="G1831" s="7" t="inlineStr">
        <is>
          <t>$59.00</t>
        </is>
      </c>
      <c r="H1831" s="7" t="inlineStr">
        <is>
          <t>Black</t>
        </is>
      </c>
      <c r="I1831" s="7">
        <f>IMAGE("https://images.lululemon.com/is/image/lululemon/0001",1)</f>
        <v/>
      </c>
      <c r="J1831" s="7" t="inlineStr">
        <is>
          <t>L</t>
        </is>
      </c>
      <c r="K1831" s="7" t="inlineStr">
        <is>
          <t>591/4101</t>
        </is>
      </c>
      <c r="L1831" s="7" t="inlineStr">
        <is>
          <t>Yes</t>
        </is>
      </c>
      <c r="M1831" s="7" t="inlineStr">
        <is>
          <t>Serious about softness. These Scuba sweatpants are all about fleecy fabric and sinking in to a slouchy oversized fit.</t>
        </is>
      </c>
      <c r="N1831" s="7" t="inlineStr">
        <is>
          <t>Scuba-MR-Oversized-Jogger-Regular</t>
        </is>
      </c>
      <c r="O1831" s="7" t="inlineStr"/>
    </row>
    <row r="1832" ht="80" customHeight="1">
      <c r="A1832" s="6">
        <f>IMAGE("https://images.lululemon.com/is/image/lululemon/LW5HJHS_0001_1?wid=320&amp;op_usm=0.8",1)</f>
        <v/>
      </c>
      <c r="B1832" s="6" t="inlineStr">
        <is>
          <t>Scuba Mid-Rise Oversized Jogger *Regular</t>
        </is>
      </c>
      <c r="C1832" s="6" t="inlineStr">
        <is>
          <t>151608567</t>
        </is>
      </c>
      <c r="D1832" s="6" t="inlineStr">
        <is>
          <t>151608567-black</t>
        </is>
      </c>
      <c r="E1832" s="6" t="inlineStr">
        <is>
          <t>Scuba MR Oversized Jogger *Regular HCUG XS</t>
        </is>
      </c>
      <c r="F1832" s="6" t="inlineStr">
        <is>
          <t>$118.00</t>
        </is>
      </c>
      <c r="G1832" s="6" t="inlineStr">
        <is>
          <t>$59.00</t>
        </is>
      </c>
      <c r="H1832" s="6" t="inlineStr">
        <is>
          <t>Black</t>
        </is>
      </c>
      <c r="I1832" s="6">
        <f>IMAGE("https://images.lululemon.com/is/image/lululemon/0001",1)</f>
        <v/>
      </c>
      <c r="J1832" s="6" t="inlineStr">
        <is>
          <t>XL</t>
        </is>
      </c>
      <c r="K1832" s="6" t="inlineStr">
        <is>
          <t>436/4101</t>
        </is>
      </c>
      <c r="L1832" s="6" t="inlineStr">
        <is>
          <t>Yes</t>
        </is>
      </c>
      <c r="M1832" s="6" t="inlineStr">
        <is>
          <t>Serious about softness. These Scuba sweatpants are all about fleecy fabric and sinking in to a slouchy oversized fit.</t>
        </is>
      </c>
      <c r="N1832" s="6" t="inlineStr">
        <is>
          <t>Scuba-MR-Oversized-Jogger-Regular</t>
        </is>
      </c>
      <c r="O1832" s="6" t="inlineStr"/>
    </row>
    <row r="1833" ht="80" customHeight="1">
      <c r="A1833" s="7">
        <f>IMAGE("https://images.lululemon.com/is/image/lululemon/LW1FM4S_0001_1?wid=320&amp;op_usm=0.8",1)</f>
        <v/>
      </c>
      <c r="B1833" s="7" t="inlineStr">
        <is>
          <t>Sculpt Tank Top</t>
        </is>
      </c>
      <c r="C1833" s="7" t="inlineStr">
        <is>
          <t>155869143</t>
        </is>
      </c>
      <c r="D1833" s="7" t="inlineStr">
        <is>
          <t>155869143-black</t>
        </is>
      </c>
      <c r="E1833" s="7" t="inlineStr">
        <is>
          <t>Sculpt Tank BLK 2</t>
        </is>
      </c>
      <c r="F1833" s="7" t="inlineStr">
        <is>
          <t>$58.00</t>
        </is>
      </c>
      <c r="G1833" s="7" t="inlineStr">
        <is>
          <t>$29.00</t>
        </is>
      </c>
      <c r="H1833" s="7" t="inlineStr">
        <is>
          <t>Black</t>
        </is>
      </c>
      <c r="I1833" s="7">
        <f>IMAGE("https://images.lululemon.com/is/image/lululemon/0001",1)</f>
        <v/>
      </c>
      <c r="J1833" s="7" t="inlineStr">
        <is>
          <t>2</t>
        </is>
      </c>
      <c r="K1833" s="7" t="inlineStr">
        <is>
          <t>15/533</t>
        </is>
      </c>
      <c r="L1833" s="7" t="inlineStr">
        <is>
          <t>Yes</t>
        </is>
      </c>
      <c r="M1833" s="7" t="inlineStr">
        <is>
          <t>Sprints anyone? This lightweight tank has mesh fabric panels for breathability in sweaty situations.</t>
        </is>
      </c>
      <c r="N1833" s="7" t="inlineStr">
        <is>
          <t>Sculpt-Tank-Top</t>
        </is>
      </c>
      <c r="O1833" s="7" t="inlineStr"/>
    </row>
    <row r="1834" ht="80" customHeight="1">
      <c r="A1834" s="4">
        <f>IMAGE("https://images.lululemon.com/is/image/lululemon/LW1FM4S_0001_1?wid=320&amp;op_usm=0.8",1)</f>
        <v/>
      </c>
      <c r="B1834" s="4" t="inlineStr">
        <is>
          <t>Sculpt Tank Top</t>
        </is>
      </c>
      <c r="C1834" s="4" t="inlineStr">
        <is>
          <t>155869148</t>
        </is>
      </c>
      <c r="D1834" s="4" t="inlineStr">
        <is>
          <t>155869148-black</t>
        </is>
      </c>
      <c r="E1834" s="4" t="inlineStr">
        <is>
          <t>Sculpt Tank BLK 2</t>
        </is>
      </c>
      <c r="F1834" s="4" t="inlineStr">
        <is>
          <t>$58.00</t>
        </is>
      </c>
      <c r="G1834" s="4" t="inlineStr">
        <is>
          <t>$29.00</t>
        </is>
      </c>
      <c r="H1834" s="4" t="inlineStr">
        <is>
          <t>Black</t>
        </is>
      </c>
      <c r="I1834" s="4">
        <f>IMAGE("https://images.lululemon.com/is/image/lululemon/0001",1)</f>
        <v/>
      </c>
      <c r="J1834" s="4" t="inlineStr">
        <is>
          <t>4</t>
        </is>
      </c>
      <c r="K1834" s="4" t="inlineStr">
        <is>
          <t>36/533</t>
        </is>
      </c>
      <c r="L1834" s="4" t="inlineStr">
        <is>
          <t>Yes</t>
        </is>
      </c>
      <c r="M1834" s="4" t="inlineStr">
        <is>
          <t>Sprints anyone? This lightweight tank has mesh fabric panels for breathability in sweaty situations.</t>
        </is>
      </c>
      <c r="N1834" s="4" t="inlineStr">
        <is>
          <t>Sculpt-Tank-Top</t>
        </is>
      </c>
      <c r="O1834" s="4" t="inlineStr"/>
    </row>
    <row r="1835" ht="80" customHeight="1">
      <c r="A1835" s="7">
        <f>IMAGE("https://images.lululemon.com/is/image/lululemon/LW1FM4S_0001_1?wid=320&amp;op_usm=0.8",1)</f>
        <v/>
      </c>
      <c r="B1835" s="7" t="inlineStr">
        <is>
          <t>Sculpt Tank Top</t>
        </is>
      </c>
      <c r="C1835" s="7" t="inlineStr">
        <is>
          <t>155869149</t>
        </is>
      </c>
      <c r="D1835" s="7" t="inlineStr">
        <is>
          <t>155869149-black</t>
        </is>
      </c>
      <c r="E1835" s="7" t="inlineStr">
        <is>
          <t>Sculpt Tank BLK 2</t>
        </is>
      </c>
      <c r="F1835" s="7" t="inlineStr">
        <is>
          <t>$58.00</t>
        </is>
      </c>
      <c r="G1835" s="7" t="inlineStr">
        <is>
          <t>$29.00</t>
        </is>
      </c>
      <c r="H1835" s="7" t="inlineStr">
        <is>
          <t>Black</t>
        </is>
      </c>
      <c r="I1835" s="7">
        <f>IMAGE("https://images.lululemon.com/is/image/lululemon/0001",1)</f>
        <v/>
      </c>
      <c r="J1835" s="7" t="inlineStr">
        <is>
          <t>6</t>
        </is>
      </c>
      <c r="K1835" s="7" t="inlineStr">
        <is>
          <t>43/533</t>
        </is>
      </c>
      <c r="L1835" s="7" t="inlineStr">
        <is>
          <t>Yes</t>
        </is>
      </c>
      <c r="M1835" s="7" t="inlineStr">
        <is>
          <t>Sprints anyone? This lightweight tank has mesh fabric panels for breathability in sweaty situations.</t>
        </is>
      </c>
      <c r="N1835" s="7" t="inlineStr">
        <is>
          <t>Sculpt-Tank-Top</t>
        </is>
      </c>
      <c r="O1835" s="7" t="inlineStr"/>
    </row>
    <row r="1836" ht="80" customHeight="1">
      <c r="A1836" s="4">
        <f>IMAGE("https://images.lululemon.com/is/image/lululemon/LW1FM4S_0001_1?wid=320&amp;op_usm=0.8",1)</f>
        <v/>
      </c>
      <c r="B1836" s="4" t="inlineStr">
        <is>
          <t>Sculpt Tank Top</t>
        </is>
      </c>
      <c r="C1836" s="4" t="inlineStr">
        <is>
          <t>155869150</t>
        </is>
      </c>
      <c r="D1836" s="4" t="inlineStr">
        <is>
          <t>155869150-black</t>
        </is>
      </c>
      <c r="E1836" s="4" t="inlineStr">
        <is>
          <t>Sculpt Tank BLK 2</t>
        </is>
      </c>
      <c r="F1836" s="4" t="inlineStr">
        <is>
          <t>$58.00</t>
        </is>
      </c>
      <c r="G1836" s="4" t="inlineStr">
        <is>
          <t>$29.00</t>
        </is>
      </c>
      <c r="H1836" s="4" t="inlineStr">
        <is>
          <t>Black</t>
        </is>
      </c>
      <c r="I1836" s="4">
        <f>IMAGE("https://images.lululemon.com/is/image/lululemon/0001",1)</f>
        <v/>
      </c>
      <c r="J1836" s="4" t="inlineStr">
        <is>
          <t>8</t>
        </is>
      </c>
      <c r="K1836" s="4" t="inlineStr">
        <is>
          <t>27/533</t>
        </is>
      </c>
      <c r="L1836" s="4" t="inlineStr">
        <is>
          <t>Yes</t>
        </is>
      </c>
      <c r="M1836" s="4" t="inlineStr">
        <is>
          <t>Sprints anyone? This lightweight tank has mesh fabric panels for breathability in sweaty situations.</t>
        </is>
      </c>
      <c r="N1836" s="4" t="inlineStr">
        <is>
          <t>Sculpt-Tank-Top</t>
        </is>
      </c>
      <c r="O1836" s="4" t="inlineStr"/>
    </row>
    <row r="1837" ht="80" customHeight="1">
      <c r="A1837" s="7">
        <f>IMAGE("https://images.lululemon.com/is/image/lululemon/LW1FM4S_0001_1?wid=320&amp;op_usm=0.8",1)</f>
        <v/>
      </c>
      <c r="B1837" s="7" t="inlineStr">
        <is>
          <t>Sculpt Tank Top</t>
        </is>
      </c>
      <c r="C1837" s="7" t="inlineStr">
        <is>
          <t>155869138</t>
        </is>
      </c>
      <c r="D1837" s="7" t="inlineStr">
        <is>
          <t>155869138-black</t>
        </is>
      </c>
      <c r="E1837" s="7" t="inlineStr">
        <is>
          <t>Sculpt Tank BLK 2</t>
        </is>
      </c>
      <c r="F1837" s="7" t="inlineStr">
        <is>
          <t>$58.00</t>
        </is>
      </c>
      <c r="G1837" s="7" t="inlineStr">
        <is>
          <t>$29.00</t>
        </is>
      </c>
      <c r="H1837" s="7" t="inlineStr">
        <is>
          <t>Black</t>
        </is>
      </c>
      <c r="I1837" s="7">
        <f>IMAGE("https://images.lululemon.com/is/image/lululemon/0001",1)</f>
        <v/>
      </c>
      <c r="J1837" s="7" t="inlineStr">
        <is>
          <t>10</t>
        </is>
      </c>
      <c r="K1837" s="7" t="inlineStr">
        <is>
          <t>15/533</t>
        </is>
      </c>
      <c r="L1837" s="7" t="inlineStr">
        <is>
          <t>Yes</t>
        </is>
      </c>
      <c r="M1837" s="7" t="inlineStr">
        <is>
          <t>Sprints anyone? This lightweight tank has mesh fabric panels for breathability in sweaty situations.</t>
        </is>
      </c>
      <c r="N1837" s="7" t="inlineStr">
        <is>
          <t>Sculpt-Tank-Top</t>
        </is>
      </c>
      <c r="O1837" s="7" t="inlineStr"/>
    </row>
    <row r="1838" ht="80" customHeight="1">
      <c r="A1838" s="4">
        <f>IMAGE("https://images.lululemon.com/is/image/lululemon/LW1FM4S_0001_1?wid=320&amp;op_usm=0.8",1)</f>
        <v/>
      </c>
      <c r="B1838" s="4" t="inlineStr">
        <is>
          <t>Sculpt Tank Top</t>
        </is>
      </c>
      <c r="C1838" s="4" t="inlineStr">
        <is>
          <t>155869139</t>
        </is>
      </c>
      <c r="D1838" s="4" t="inlineStr">
        <is>
          <t>155869139-black</t>
        </is>
      </c>
      <c r="E1838" s="4" t="inlineStr">
        <is>
          <t>Sculpt Tank BLK 2</t>
        </is>
      </c>
      <c r="F1838" s="4" t="inlineStr">
        <is>
          <t>$58.00</t>
        </is>
      </c>
      <c r="G1838" s="4" t="inlineStr">
        <is>
          <t>$29.00</t>
        </is>
      </c>
      <c r="H1838" s="4" t="inlineStr">
        <is>
          <t>Black</t>
        </is>
      </c>
      <c r="I1838" s="4">
        <f>IMAGE("https://images.lululemon.com/is/image/lululemon/0001",1)</f>
        <v/>
      </c>
      <c r="J1838" s="4" t="inlineStr">
        <is>
          <t>12</t>
        </is>
      </c>
      <c r="K1838" s="4" t="inlineStr">
        <is>
          <t>11/533</t>
        </is>
      </c>
      <c r="L1838" s="4" t="inlineStr">
        <is>
          <t>Yes</t>
        </is>
      </c>
      <c r="M1838" s="4" t="inlineStr">
        <is>
          <t>Sprints anyone? This lightweight tank has mesh fabric panels for breathability in sweaty situations.</t>
        </is>
      </c>
      <c r="N1838" s="4" t="inlineStr">
        <is>
          <t>Sculpt-Tank-Top</t>
        </is>
      </c>
      <c r="O1838" s="4" t="inlineStr"/>
    </row>
    <row r="1839" ht="80" customHeight="1">
      <c r="A1839" s="7">
        <f>IMAGE("https://images.lululemon.com/is/image/lululemon/LW1FM4S_0001_1?wid=320&amp;op_usm=0.8",1)</f>
        <v/>
      </c>
      <c r="B1839" s="7" t="inlineStr">
        <is>
          <t>Sculpt Tank Top</t>
        </is>
      </c>
      <c r="C1839" s="7" t="inlineStr">
        <is>
          <t>155869157</t>
        </is>
      </c>
      <c r="D1839" s="7" t="inlineStr">
        <is>
          <t>155869157-white</t>
        </is>
      </c>
      <c r="E1839" s="7" t="inlineStr">
        <is>
          <t>Sculpt Tank BLK 2</t>
        </is>
      </c>
      <c r="F1839" s="7" t="inlineStr">
        <is>
          <t>$58.00</t>
        </is>
      </c>
      <c r="G1839" s="7" t="inlineStr">
        <is>
          <t>$29.00</t>
        </is>
      </c>
      <c r="H1839" s="7" t="inlineStr">
        <is>
          <t>White</t>
        </is>
      </c>
      <c r="I1839" s="7">
        <f>IMAGE("https://images.lululemon.com/is/image/lululemon/0002",1)</f>
        <v/>
      </c>
      <c r="J1839" s="7" t="inlineStr">
        <is>
          <t>2</t>
        </is>
      </c>
      <c r="K1839" s="7" t="inlineStr">
        <is>
          <t>33/533</t>
        </is>
      </c>
      <c r="L1839" s="7" t="inlineStr">
        <is>
          <t>Yes</t>
        </is>
      </c>
      <c r="M1839" s="7" t="inlineStr">
        <is>
          <t>Sprints anyone? This lightweight tank has mesh fabric panels for breathability in sweaty situations.</t>
        </is>
      </c>
      <c r="N1839" s="7" t="inlineStr">
        <is>
          <t>Sculpt-Tank-Top</t>
        </is>
      </c>
      <c r="O1839" s="7" t="inlineStr"/>
    </row>
    <row r="1840" ht="80" customHeight="1">
      <c r="A1840" s="4">
        <f>IMAGE("https://images.lululemon.com/is/image/lululemon/LW1FM4S_0001_1?wid=320&amp;op_usm=0.8",1)</f>
        <v/>
      </c>
      <c r="B1840" s="4" t="inlineStr">
        <is>
          <t>Sculpt Tank Top</t>
        </is>
      </c>
      <c r="C1840" s="4" t="inlineStr">
        <is>
          <t>155869162</t>
        </is>
      </c>
      <c r="D1840" s="4" t="inlineStr">
        <is>
          <t>155869162-white</t>
        </is>
      </c>
      <c r="E1840" s="4" t="inlineStr">
        <is>
          <t>Sculpt Tank BLK 2</t>
        </is>
      </c>
      <c r="F1840" s="4" t="inlineStr">
        <is>
          <t>$58.00</t>
        </is>
      </c>
      <c r="G1840" s="4" t="inlineStr">
        <is>
          <t>$29.00</t>
        </is>
      </c>
      <c r="H1840" s="4" t="inlineStr">
        <is>
          <t>White</t>
        </is>
      </c>
      <c r="I1840" s="4">
        <f>IMAGE("https://images.lululemon.com/is/image/lululemon/0002",1)</f>
        <v/>
      </c>
      <c r="J1840" s="4" t="inlineStr">
        <is>
          <t>4</t>
        </is>
      </c>
      <c r="K1840" s="4" t="inlineStr">
        <is>
          <t>97/533</t>
        </is>
      </c>
      <c r="L1840" s="4" t="inlineStr">
        <is>
          <t>Yes</t>
        </is>
      </c>
      <c r="M1840" s="4" t="inlineStr">
        <is>
          <t>Sprints anyone? This lightweight tank has mesh fabric panels for breathability in sweaty situations.</t>
        </is>
      </c>
      <c r="N1840" s="4" t="inlineStr">
        <is>
          <t>Sculpt-Tank-Top</t>
        </is>
      </c>
      <c r="O1840" s="4" t="inlineStr"/>
    </row>
    <row r="1841" ht="80" customHeight="1">
      <c r="A1841" s="7">
        <f>IMAGE("https://images.lululemon.com/is/image/lululemon/LW1FM4S_0001_1?wid=320&amp;op_usm=0.8",1)</f>
        <v/>
      </c>
      <c r="B1841" s="7" t="inlineStr">
        <is>
          <t>Sculpt Tank Top</t>
        </is>
      </c>
      <c r="C1841" s="7" t="inlineStr">
        <is>
          <t>155869163</t>
        </is>
      </c>
      <c r="D1841" s="7" t="inlineStr">
        <is>
          <t>155869163-white</t>
        </is>
      </c>
      <c r="E1841" s="7" t="inlineStr">
        <is>
          <t>Sculpt Tank BLK 2</t>
        </is>
      </c>
      <c r="F1841" s="7" t="inlineStr">
        <is>
          <t>$58.00</t>
        </is>
      </c>
      <c r="G1841" s="7" t="inlineStr">
        <is>
          <t>$29.00</t>
        </is>
      </c>
      <c r="H1841" s="7" t="inlineStr">
        <is>
          <t>White</t>
        </is>
      </c>
      <c r="I1841" s="7">
        <f>IMAGE("https://images.lululemon.com/is/image/lululemon/0002",1)</f>
        <v/>
      </c>
      <c r="J1841" s="7" t="inlineStr">
        <is>
          <t>6</t>
        </is>
      </c>
      <c r="K1841" s="7" t="inlineStr">
        <is>
          <t>112/533</t>
        </is>
      </c>
      <c r="L1841" s="7" t="inlineStr">
        <is>
          <t>Yes</t>
        </is>
      </c>
      <c r="M1841" s="7" t="inlineStr">
        <is>
          <t>Sprints anyone? This lightweight tank has mesh fabric panels for breathability in sweaty situations.</t>
        </is>
      </c>
      <c r="N1841" s="7" t="inlineStr">
        <is>
          <t>Sculpt-Tank-Top</t>
        </is>
      </c>
      <c r="O1841" s="7" t="inlineStr"/>
    </row>
    <row r="1842" ht="80" customHeight="1">
      <c r="A1842" s="4">
        <f>IMAGE("https://images.lululemon.com/is/image/lululemon/LW1FM4S_0001_1?wid=320&amp;op_usm=0.8",1)</f>
        <v/>
      </c>
      <c r="B1842" s="4" t="inlineStr">
        <is>
          <t>Sculpt Tank Top</t>
        </is>
      </c>
      <c r="C1842" s="4" t="inlineStr">
        <is>
          <t>155869164</t>
        </is>
      </c>
      <c r="D1842" s="4" t="inlineStr">
        <is>
          <t>155869164-white</t>
        </is>
      </c>
      <c r="E1842" s="4" t="inlineStr">
        <is>
          <t>Sculpt Tank BLK 2</t>
        </is>
      </c>
      <c r="F1842" s="4" t="inlineStr">
        <is>
          <t>$58.00</t>
        </is>
      </c>
      <c r="G1842" s="4" t="inlineStr">
        <is>
          <t>$29.00</t>
        </is>
      </c>
      <c r="H1842" s="4" t="inlineStr">
        <is>
          <t>White</t>
        </is>
      </c>
      <c r="I1842" s="4">
        <f>IMAGE("https://images.lululemon.com/is/image/lululemon/0002",1)</f>
        <v/>
      </c>
      <c r="J1842" s="4" t="inlineStr">
        <is>
          <t>8</t>
        </is>
      </c>
      <c r="K1842" s="4" t="inlineStr">
        <is>
          <t>78/533</t>
        </is>
      </c>
      <c r="L1842" s="4" t="inlineStr">
        <is>
          <t>Yes</t>
        </is>
      </c>
      <c r="M1842" s="4" t="inlineStr">
        <is>
          <t>Sprints anyone? This lightweight tank has mesh fabric panels for breathability in sweaty situations.</t>
        </is>
      </c>
      <c r="N1842" s="4" t="inlineStr">
        <is>
          <t>Sculpt-Tank-Top</t>
        </is>
      </c>
      <c r="O1842" s="4" t="inlineStr"/>
    </row>
    <row r="1843" ht="80" customHeight="1">
      <c r="A1843" s="7">
        <f>IMAGE("https://images.lululemon.com/is/image/lululemon/LW1FM4S_0001_1?wid=320&amp;op_usm=0.8",1)</f>
        <v/>
      </c>
      <c r="B1843" s="7" t="inlineStr">
        <is>
          <t>Sculpt Tank Top</t>
        </is>
      </c>
      <c r="C1843" s="7" t="inlineStr">
        <is>
          <t>155869152</t>
        </is>
      </c>
      <c r="D1843" s="7" t="inlineStr">
        <is>
          <t>155869152-white</t>
        </is>
      </c>
      <c r="E1843" s="7" t="inlineStr">
        <is>
          <t>Sculpt Tank BLK 2</t>
        </is>
      </c>
      <c r="F1843" s="7" t="inlineStr">
        <is>
          <t>$58.00</t>
        </is>
      </c>
      <c r="G1843" s="7" t="inlineStr">
        <is>
          <t>$29.00</t>
        </is>
      </c>
      <c r="H1843" s="7" t="inlineStr">
        <is>
          <t>White</t>
        </is>
      </c>
      <c r="I1843" s="7">
        <f>IMAGE("https://images.lululemon.com/is/image/lululemon/0002",1)</f>
        <v/>
      </c>
      <c r="J1843" s="7" t="inlineStr">
        <is>
          <t>10</t>
        </is>
      </c>
      <c r="K1843" s="7" t="inlineStr">
        <is>
          <t>39/533</t>
        </is>
      </c>
      <c r="L1843" s="7" t="inlineStr">
        <is>
          <t>Yes</t>
        </is>
      </c>
      <c r="M1843" s="7" t="inlineStr">
        <is>
          <t>Sprints anyone? This lightweight tank has mesh fabric panels for breathability in sweaty situations.</t>
        </is>
      </c>
      <c r="N1843" s="7" t="inlineStr">
        <is>
          <t>Sculpt-Tank-Top</t>
        </is>
      </c>
      <c r="O1843" s="7" t="inlineStr"/>
    </row>
    <row r="1844" ht="80" customHeight="1">
      <c r="A1844" s="6">
        <f>IMAGE("https://images.lululemon.com/is/image/lululemon/LW1FM4S_0001_1?wid=320&amp;op_usm=0.8",1)</f>
        <v/>
      </c>
      <c r="B1844" s="6" t="inlineStr">
        <is>
          <t>Sculpt Tank Top</t>
        </is>
      </c>
      <c r="C1844" s="6" t="inlineStr">
        <is>
          <t>155869153</t>
        </is>
      </c>
      <c r="D1844" s="6" t="inlineStr">
        <is>
          <t>155869153-white</t>
        </is>
      </c>
      <c r="E1844" s="6" t="inlineStr">
        <is>
          <t>Sculpt Tank BLK 2</t>
        </is>
      </c>
      <c r="F1844" s="6" t="inlineStr">
        <is>
          <t>$58.00</t>
        </is>
      </c>
      <c r="G1844" s="6" t="inlineStr">
        <is>
          <t>$29.00</t>
        </is>
      </c>
      <c r="H1844" s="6" t="inlineStr">
        <is>
          <t>White</t>
        </is>
      </c>
      <c r="I1844" s="6">
        <f>IMAGE("https://images.lululemon.com/is/image/lululemon/0002",1)</f>
        <v/>
      </c>
      <c r="J1844" s="6" t="inlineStr">
        <is>
          <t>12</t>
        </is>
      </c>
      <c r="K1844" s="6" t="inlineStr">
        <is>
          <t>27/533</t>
        </is>
      </c>
      <c r="L1844" s="6" t="inlineStr">
        <is>
          <t>Yes</t>
        </is>
      </c>
      <c r="M1844" s="6" t="inlineStr">
        <is>
          <t>Sprints anyone? This lightweight tank has mesh fabric panels for breathability in sweaty situations.</t>
        </is>
      </c>
      <c r="N1844" s="6" t="inlineStr">
        <is>
          <t>Sculpt-Tank-Top</t>
        </is>
      </c>
      <c r="O1844" s="6" t="inlineStr"/>
    </row>
    <row r="1845" ht="80" customHeight="1">
      <c r="A1845" s="7">
        <f>IMAGE("https://images.lululemon.com/is/image/lululemon/LW3KBKS_033454_1?wid=320&amp;op_usm=0.8",1)</f>
        <v/>
      </c>
      <c r="B1845" s="7" t="inlineStr">
        <is>
          <t>It's Rulu Classic-Fit Half Zip</t>
        </is>
      </c>
      <c r="C1845" s="7" t="inlineStr">
        <is>
          <t>158119526</t>
        </is>
      </c>
      <c r="D1845" s="7" t="inlineStr">
        <is>
          <t>158119526-black</t>
        </is>
      </c>
      <c r="E1845" s="7" t="inlineStr">
        <is>
          <t>It's Rulu Classic-Fit Half Zip BLK XS</t>
        </is>
      </c>
      <c r="F1845" s="7" t="inlineStr">
        <is>
          <t>$98.00</t>
        </is>
      </c>
      <c r="G1845" s="7" t="inlineStr">
        <is>
          <t>$49.00</t>
        </is>
      </c>
      <c r="H1845" s="7" t="inlineStr">
        <is>
          <t>Black</t>
        </is>
      </c>
      <c r="I1845" s="7">
        <f>IMAGE("https://images.lululemon.com/is/image/lululemon/0001",1)</f>
        <v/>
      </c>
      <c r="J1845" s="7" t="inlineStr">
        <is>
          <t>XS</t>
        </is>
      </c>
      <c r="K1845" s="7" t="inlineStr">
        <is>
          <t>76/1268</t>
        </is>
      </c>
      <c r="L1845" s="7" t="inlineStr">
        <is>
          <t>Yes</t>
        </is>
      </c>
      <c r="M1845" s="7" t="inlineStr">
        <is>
          <t>Warm up to cold-weather workouts. This soft half zip wicks away sweat so you can stay comfortable when the temperature drops.</t>
        </is>
      </c>
      <c r="N1845" s="7" t="inlineStr">
        <is>
          <t>Its-Rulu-Classic-Fit-Half-Zip</t>
        </is>
      </c>
      <c r="O1845" s="7" t="inlineStr">
        <is>
          <t>Half Zip Sweatshirts, Quarter Zip Sweatshirts</t>
        </is>
      </c>
    </row>
    <row r="1846" ht="80" customHeight="1">
      <c r="A1846" s="4">
        <f>IMAGE("https://images.lululemon.com/is/image/lululemon/LW3KBKS_033454_1?wid=320&amp;op_usm=0.8",1)</f>
        <v/>
      </c>
      <c r="B1846" s="4" t="inlineStr">
        <is>
          <t>It's Rulu Classic-Fit Half Zip</t>
        </is>
      </c>
      <c r="C1846" s="4" t="inlineStr">
        <is>
          <t>158119524</t>
        </is>
      </c>
      <c r="D1846" s="4" t="inlineStr">
        <is>
          <t>158119524-black</t>
        </is>
      </c>
      <c r="E1846" s="4" t="inlineStr">
        <is>
          <t>It's Rulu Classic-Fit Half Zip BLK XS</t>
        </is>
      </c>
      <c r="F1846" s="4" t="inlineStr">
        <is>
          <t>$98.00</t>
        </is>
      </c>
      <c r="G1846" s="4" t="inlineStr">
        <is>
          <t>$49.00</t>
        </is>
      </c>
      <c r="H1846" s="4" t="inlineStr">
        <is>
          <t>Black</t>
        </is>
      </c>
      <c r="I1846" s="4">
        <f>IMAGE("https://images.lululemon.com/is/image/lululemon/0001",1)</f>
        <v/>
      </c>
      <c r="J1846" s="4" t="inlineStr">
        <is>
          <t>S</t>
        </is>
      </c>
      <c r="K1846" s="4" t="inlineStr">
        <is>
          <t>189/1268</t>
        </is>
      </c>
      <c r="L1846" s="4" t="inlineStr">
        <is>
          <t>Yes</t>
        </is>
      </c>
      <c r="M1846" s="4" t="inlineStr">
        <is>
          <t>Warm up to cold-weather workouts. This soft half zip wicks away sweat so you can stay comfortable when the temperature drops.</t>
        </is>
      </c>
      <c r="N1846" s="4" t="inlineStr">
        <is>
          <t>Its-Rulu-Classic-Fit-Half-Zip</t>
        </is>
      </c>
      <c r="O1846" s="4" t="inlineStr">
        <is>
          <t>Half Zip Sweatshirts, Quarter Zip Sweatshirts</t>
        </is>
      </c>
    </row>
    <row r="1847" ht="80" customHeight="1">
      <c r="A1847" s="7">
        <f>IMAGE("https://images.lululemon.com/is/image/lululemon/LW3KBKS_033454_1?wid=320&amp;op_usm=0.8",1)</f>
        <v/>
      </c>
      <c r="B1847" s="7" t="inlineStr">
        <is>
          <t>It's Rulu Classic-Fit Half Zip</t>
        </is>
      </c>
      <c r="C1847" s="7" t="inlineStr">
        <is>
          <t>158119523</t>
        </is>
      </c>
      <c r="D1847" s="7" t="inlineStr">
        <is>
          <t>158119523-black</t>
        </is>
      </c>
      <c r="E1847" s="7" t="inlineStr">
        <is>
          <t>It's Rulu Classic-Fit Half Zip BLK XS</t>
        </is>
      </c>
      <c r="F1847" s="7" t="inlineStr">
        <is>
          <t>$98.00</t>
        </is>
      </c>
      <c r="G1847" s="7" t="inlineStr">
        <is>
          <t>$49.00</t>
        </is>
      </c>
      <c r="H1847" s="7" t="inlineStr">
        <is>
          <t>Black</t>
        </is>
      </c>
      <c r="I1847" s="7">
        <f>IMAGE("https://images.lululemon.com/is/image/lululemon/0001",1)</f>
        <v/>
      </c>
      <c r="J1847" s="7" t="inlineStr">
        <is>
          <t>M</t>
        </is>
      </c>
      <c r="K1847" s="7" t="inlineStr">
        <is>
          <t>248/1268</t>
        </is>
      </c>
      <c r="L1847" s="7" t="inlineStr">
        <is>
          <t>Yes</t>
        </is>
      </c>
      <c r="M1847" s="7" t="inlineStr">
        <is>
          <t>Warm up to cold-weather workouts. This soft half zip wicks away sweat so you can stay comfortable when the temperature drops.</t>
        </is>
      </c>
      <c r="N1847" s="7" t="inlineStr">
        <is>
          <t>Its-Rulu-Classic-Fit-Half-Zip</t>
        </is>
      </c>
      <c r="O1847" s="7" t="inlineStr">
        <is>
          <t>Half Zip Sweatshirts, Quarter Zip Sweatshirts</t>
        </is>
      </c>
    </row>
    <row r="1848" ht="80" customHeight="1">
      <c r="A1848" s="4">
        <f>IMAGE("https://images.lululemon.com/is/image/lululemon/LW3KBKS_033454_1?wid=320&amp;op_usm=0.8",1)</f>
        <v/>
      </c>
      <c r="B1848" s="4" t="inlineStr">
        <is>
          <t>It's Rulu Classic-Fit Half Zip</t>
        </is>
      </c>
      <c r="C1848" s="4" t="inlineStr">
        <is>
          <t>158119522</t>
        </is>
      </c>
      <c r="D1848" s="4" t="inlineStr">
        <is>
          <t>158119522-black</t>
        </is>
      </c>
      <c r="E1848" s="4" t="inlineStr">
        <is>
          <t>It's Rulu Classic-Fit Half Zip BLK XS</t>
        </is>
      </c>
      <c r="F1848" s="4" t="inlineStr">
        <is>
          <t>$98.00</t>
        </is>
      </c>
      <c r="G1848" s="4" t="inlineStr">
        <is>
          <t>$49.00</t>
        </is>
      </c>
      <c r="H1848" s="4" t="inlineStr">
        <is>
          <t>Black</t>
        </is>
      </c>
      <c r="I1848" s="4">
        <f>IMAGE("https://images.lululemon.com/is/image/lululemon/0001",1)</f>
        <v/>
      </c>
      <c r="J1848" s="4" t="inlineStr">
        <is>
          <t>L</t>
        </is>
      </c>
      <c r="K1848" s="4" t="inlineStr">
        <is>
          <t>211/1268</t>
        </is>
      </c>
      <c r="L1848" s="4" t="inlineStr">
        <is>
          <t>Yes</t>
        </is>
      </c>
      <c r="M1848" s="4" t="inlineStr">
        <is>
          <t>Warm up to cold-weather workouts. This soft half zip wicks away sweat so you can stay comfortable when the temperature drops.</t>
        </is>
      </c>
      <c r="N1848" s="4" t="inlineStr">
        <is>
          <t>Its-Rulu-Classic-Fit-Half-Zip</t>
        </is>
      </c>
      <c r="O1848" s="4" t="inlineStr">
        <is>
          <t>Half Zip Sweatshirts, Quarter Zip Sweatshirts</t>
        </is>
      </c>
    </row>
    <row r="1849" ht="80" customHeight="1">
      <c r="A1849" s="7">
        <f>IMAGE("https://images.lululemon.com/is/image/lululemon/LW3KBKS_033454_1?wid=320&amp;op_usm=0.8",1)</f>
        <v/>
      </c>
      <c r="B1849" s="7" t="inlineStr">
        <is>
          <t>It's Rulu Classic-Fit Half Zip</t>
        </is>
      </c>
      <c r="C1849" s="7" t="inlineStr">
        <is>
          <t>158119525</t>
        </is>
      </c>
      <c r="D1849" s="7" t="inlineStr">
        <is>
          <t>158119525-black</t>
        </is>
      </c>
      <c r="E1849" s="7" t="inlineStr">
        <is>
          <t>It's Rulu Classic-Fit Half Zip BLK XS</t>
        </is>
      </c>
      <c r="F1849" s="7" t="inlineStr">
        <is>
          <t>$98.00</t>
        </is>
      </c>
      <c r="G1849" s="7" t="inlineStr">
        <is>
          <t>$49.00</t>
        </is>
      </c>
      <c r="H1849" s="7" t="inlineStr">
        <is>
          <t>Black</t>
        </is>
      </c>
      <c r="I1849" s="7">
        <f>IMAGE("https://images.lululemon.com/is/image/lululemon/0001",1)</f>
        <v/>
      </c>
      <c r="J1849" s="7" t="inlineStr">
        <is>
          <t>XL</t>
        </is>
      </c>
      <c r="K1849" s="7" t="inlineStr">
        <is>
          <t>146/1268</t>
        </is>
      </c>
      <c r="L1849" s="7" t="inlineStr">
        <is>
          <t>Yes</t>
        </is>
      </c>
      <c r="M1849" s="7" t="inlineStr">
        <is>
          <t>Warm up to cold-weather workouts. This soft half zip wicks away sweat so you can stay comfortable when the temperature drops.</t>
        </is>
      </c>
      <c r="N1849" s="7" t="inlineStr">
        <is>
          <t>Its-Rulu-Classic-Fit-Half-Zip</t>
        </is>
      </c>
      <c r="O1849" s="7" t="inlineStr">
        <is>
          <t>Half Zip Sweatshirts, Quarter Zip Sweatshirts</t>
        </is>
      </c>
    </row>
    <row r="1850" ht="80" customHeight="1">
      <c r="A1850" s="4">
        <f>IMAGE("https://images.lululemon.com/is/image/lululemon/LW3KBKS_033454_1?wid=320&amp;op_usm=0.8",1)</f>
        <v/>
      </c>
      <c r="B1850" s="4" t="inlineStr">
        <is>
          <t>It's Rulu Classic-Fit Half Zip</t>
        </is>
      </c>
      <c r="C1850" s="4" t="inlineStr">
        <is>
          <t>158118587</t>
        </is>
      </c>
      <c r="D1850" s="4" t="inlineStr">
        <is>
          <t>158118587-dovegrey</t>
        </is>
      </c>
      <c r="E1850" s="4" t="inlineStr">
        <is>
          <t>It's Rulu Classic-Fit Half Zip BLK XS</t>
        </is>
      </c>
      <c r="F1850" s="4" t="inlineStr">
        <is>
          <t>$98.00</t>
        </is>
      </c>
      <c r="G1850" s="4" t="inlineStr">
        <is>
          <t>$49.00</t>
        </is>
      </c>
      <c r="H1850" s="4" t="inlineStr">
        <is>
          <t>Dove Grey</t>
        </is>
      </c>
      <c r="I1850" s="4">
        <f>IMAGE("https://images.lululemon.com/is/image/lululemon/36865",1)</f>
        <v/>
      </c>
      <c r="J1850" s="4" t="inlineStr">
        <is>
          <t>XS</t>
        </is>
      </c>
      <c r="K1850" s="4" t="inlineStr">
        <is>
          <t>24/1268</t>
        </is>
      </c>
      <c r="L1850" s="4" t="inlineStr">
        <is>
          <t>Yes</t>
        </is>
      </c>
      <c r="M1850" s="4" t="inlineStr">
        <is>
          <t>Warm up to cold-weather workouts. This soft half zip wicks away sweat so you can stay comfortable when the temperature drops.</t>
        </is>
      </c>
      <c r="N1850" s="4" t="inlineStr">
        <is>
          <t>Its-Rulu-Classic-Fit-Half-Zip</t>
        </is>
      </c>
      <c r="O1850" s="4" t="inlineStr">
        <is>
          <t>Half Zip Sweatshirts, Quarter Zip Sweatshirts</t>
        </is>
      </c>
    </row>
    <row r="1851" ht="80" customHeight="1">
      <c r="A1851" s="7">
        <f>IMAGE("https://images.lululemon.com/is/image/lululemon/LW3KBKS_033454_1?wid=320&amp;op_usm=0.8",1)</f>
        <v/>
      </c>
      <c r="B1851" s="7" t="inlineStr">
        <is>
          <t>It's Rulu Classic-Fit Half Zip</t>
        </is>
      </c>
      <c r="C1851" s="7" t="inlineStr">
        <is>
          <t>158118573</t>
        </is>
      </c>
      <c r="D1851" s="7" t="inlineStr">
        <is>
          <t>158118573-dovegrey</t>
        </is>
      </c>
      <c r="E1851" s="7" t="inlineStr">
        <is>
          <t>It's Rulu Classic-Fit Half Zip BLK XS</t>
        </is>
      </c>
      <c r="F1851" s="7" t="inlineStr">
        <is>
          <t>$98.00</t>
        </is>
      </c>
      <c r="G1851" s="7" t="inlineStr">
        <is>
          <t>$49.00</t>
        </is>
      </c>
      <c r="H1851" s="7" t="inlineStr">
        <is>
          <t>Dove Grey</t>
        </is>
      </c>
      <c r="I1851" s="7">
        <f>IMAGE("https://images.lululemon.com/is/image/lululemon/36865",1)</f>
        <v/>
      </c>
      <c r="J1851" s="7" t="inlineStr">
        <is>
          <t>S</t>
        </is>
      </c>
      <c r="K1851" s="7" t="inlineStr">
        <is>
          <t>66/1268</t>
        </is>
      </c>
      <c r="L1851" s="7" t="inlineStr">
        <is>
          <t>Yes</t>
        </is>
      </c>
      <c r="M1851" s="7" t="inlineStr">
        <is>
          <t>Warm up to cold-weather workouts. This soft half zip wicks away sweat so you can stay comfortable when the temperature drops.</t>
        </is>
      </c>
      <c r="N1851" s="7" t="inlineStr">
        <is>
          <t>Its-Rulu-Classic-Fit-Half-Zip</t>
        </is>
      </c>
      <c r="O1851" s="7" t="inlineStr">
        <is>
          <t>Half Zip Sweatshirts, Quarter Zip Sweatshirts</t>
        </is>
      </c>
    </row>
    <row r="1852" ht="80" customHeight="1">
      <c r="A1852" s="4">
        <f>IMAGE("https://images.lululemon.com/is/image/lululemon/LW3KBKS_033454_1?wid=320&amp;op_usm=0.8",1)</f>
        <v/>
      </c>
      <c r="B1852" s="4" t="inlineStr">
        <is>
          <t>It's Rulu Classic-Fit Half Zip</t>
        </is>
      </c>
      <c r="C1852" s="4" t="inlineStr">
        <is>
          <t>158118568</t>
        </is>
      </c>
      <c r="D1852" s="4" t="inlineStr">
        <is>
          <t>158118568-dovegrey</t>
        </is>
      </c>
      <c r="E1852" s="4" t="inlineStr">
        <is>
          <t>It's Rulu Classic-Fit Half Zip BLK XS</t>
        </is>
      </c>
      <c r="F1852" s="4" t="inlineStr">
        <is>
          <t>$98.00</t>
        </is>
      </c>
      <c r="G1852" s="4" t="inlineStr">
        <is>
          <t>$49.00</t>
        </is>
      </c>
      <c r="H1852" s="4" t="inlineStr">
        <is>
          <t>Dove Grey</t>
        </is>
      </c>
      <c r="I1852" s="4">
        <f>IMAGE("https://images.lululemon.com/is/image/lululemon/36865",1)</f>
        <v/>
      </c>
      <c r="J1852" s="4" t="inlineStr">
        <is>
          <t>M</t>
        </is>
      </c>
      <c r="K1852" s="4" t="inlineStr">
        <is>
          <t>80/1268</t>
        </is>
      </c>
      <c r="L1852" s="4" t="inlineStr">
        <is>
          <t>Yes</t>
        </is>
      </c>
      <c r="M1852" s="4" t="inlineStr">
        <is>
          <t>Warm up to cold-weather workouts. This soft half zip wicks away sweat so you can stay comfortable when the temperature drops.</t>
        </is>
      </c>
      <c r="N1852" s="4" t="inlineStr">
        <is>
          <t>Its-Rulu-Classic-Fit-Half-Zip</t>
        </is>
      </c>
      <c r="O1852" s="4" t="inlineStr">
        <is>
          <t>Half Zip Sweatshirts, Quarter Zip Sweatshirts</t>
        </is>
      </c>
    </row>
    <row r="1853" ht="80" customHeight="1">
      <c r="A1853" s="7">
        <f>IMAGE("https://images.lululemon.com/is/image/lululemon/LW3KBKS_033454_1?wid=320&amp;op_usm=0.8",1)</f>
        <v/>
      </c>
      <c r="B1853" s="7" t="inlineStr">
        <is>
          <t>It's Rulu Classic-Fit Half Zip</t>
        </is>
      </c>
      <c r="C1853" s="7" t="inlineStr">
        <is>
          <t>158118561</t>
        </is>
      </c>
      <c r="D1853" s="7" t="inlineStr">
        <is>
          <t>158118561-dovegrey</t>
        </is>
      </c>
      <c r="E1853" s="7" t="inlineStr">
        <is>
          <t>It's Rulu Classic-Fit Half Zip BLK XS</t>
        </is>
      </c>
      <c r="F1853" s="7" t="inlineStr">
        <is>
          <t>$98.00</t>
        </is>
      </c>
      <c r="G1853" s="7" t="inlineStr">
        <is>
          <t>$49.00</t>
        </is>
      </c>
      <c r="H1853" s="7" t="inlineStr">
        <is>
          <t>Dove Grey</t>
        </is>
      </c>
      <c r="I1853" s="7">
        <f>IMAGE("https://images.lululemon.com/is/image/lululemon/36865",1)</f>
        <v/>
      </c>
      <c r="J1853" s="7" t="inlineStr">
        <is>
          <t>L</t>
        </is>
      </c>
      <c r="K1853" s="7" t="inlineStr">
        <is>
          <t>68/1268</t>
        </is>
      </c>
      <c r="L1853" s="7" t="inlineStr">
        <is>
          <t>Yes</t>
        </is>
      </c>
      <c r="M1853" s="7" t="inlineStr">
        <is>
          <t>Warm up to cold-weather workouts. This soft half zip wicks away sweat so you can stay comfortable when the temperature drops.</t>
        </is>
      </c>
      <c r="N1853" s="7" t="inlineStr">
        <is>
          <t>Its-Rulu-Classic-Fit-Half-Zip</t>
        </is>
      </c>
      <c r="O1853" s="7" t="inlineStr">
        <is>
          <t>Half Zip Sweatshirts, Quarter Zip Sweatshirts</t>
        </is>
      </c>
    </row>
    <row r="1854" ht="80" customHeight="1">
      <c r="A1854" s="4">
        <f>IMAGE("https://images.lululemon.com/is/image/lululemon/LW3KBKS_033454_1?wid=320&amp;op_usm=0.8",1)</f>
        <v/>
      </c>
      <c r="B1854" s="4" t="inlineStr">
        <is>
          <t>It's Rulu Classic-Fit Half Zip</t>
        </is>
      </c>
      <c r="C1854" s="4" t="inlineStr">
        <is>
          <t>158118580</t>
        </is>
      </c>
      <c r="D1854" s="4" t="inlineStr">
        <is>
          <t>158118580-dovegrey</t>
        </is>
      </c>
      <c r="E1854" s="4" t="inlineStr">
        <is>
          <t>It's Rulu Classic-Fit Half Zip BLK XS</t>
        </is>
      </c>
      <c r="F1854" s="4" t="inlineStr">
        <is>
          <t>$98.00</t>
        </is>
      </c>
      <c r="G1854" s="4" t="inlineStr">
        <is>
          <t>$49.00</t>
        </is>
      </c>
      <c r="H1854" s="4" t="inlineStr">
        <is>
          <t>Dove Grey</t>
        </is>
      </c>
      <c r="I1854" s="4">
        <f>IMAGE("https://images.lululemon.com/is/image/lululemon/36865",1)</f>
        <v/>
      </c>
      <c r="J1854" s="4" t="inlineStr">
        <is>
          <t>XL</t>
        </is>
      </c>
      <c r="K1854" s="4" t="inlineStr">
        <is>
          <t>46/1268</t>
        </is>
      </c>
      <c r="L1854" s="4" t="inlineStr">
        <is>
          <t>Yes</t>
        </is>
      </c>
      <c r="M1854" s="4" t="inlineStr">
        <is>
          <t>Warm up to cold-weather workouts. This soft half zip wicks away sweat so you can stay comfortable when the temperature drops.</t>
        </is>
      </c>
      <c r="N1854" s="4" t="inlineStr">
        <is>
          <t>Its-Rulu-Classic-Fit-Half-Zip</t>
        </is>
      </c>
      <c r="O1854" s="4" t="inlineStr">
        <is>
          <t>Half Zip Sweatshirts, Quarter Zip Sweatshirts</t>
        </is>
      </c>
    </row>
    <row r="1855" ht="80" customHeight="1">
      <c r="A1855" s="7">
        <f>IMAGE("https://images.lululemon.com/is/image/lululemon/LW3KBKS_033454_1?wid=320&amp;op_usm=0.8",1)</f>
        <v/>
      </c>
      <c r="B1855" s="7" t="inlineStr">
        <is>
          <t>It's Rulu Classic-Fit Half Zip</t>
        </is>
      </c>
      <c r="C1855" s="7" t="inlineStr">
        <is>
          <t>158118521</t>
        </is>
      </c>
      <c r="D1855" s="7" t="inlineStr">
        <is>
          <t>158118521-lightivory</t>
        </is>
      </c>
      <c r="E1855" s="7" t="inlineStr">
        <is>
          <t>It's Rulu Classic-Fit Half Zip BLK XS</t>
        </is>
      </c>
      <c r="F1855" s="7" t="inlineStr">
        <is>
          <t>$98.00</t>
        </is>
      </c>
      <c r="G1855" s="7" t="inlineStr">
        <is>
          <t>$49.00</t>
        </is>
      </c>
      <c r="H1855" s="7" t="inlineStr">
        <is>
          <t>Light Ivory</t>
        </is>
      </c>
      <c r="I1855" s="7">
        <f>IMAGE("https://images.lululemon.com/is/image/lululemon/33454",1)</f>
        <v/>
      </c>
      <c r="J1855" s="7" t="inlineStr">
        <is>
          <t>S</t>
        </is>
      </c>
      <c r="K1855" s="7" t="inlineStr">
        <is>
          <t>11/1268</t>
        </is>
      </c>
      <c r="L1855" s="7" t="inlineStr">
        <is>
          <t>Yes</t>
        </is>
      </c>
      <c r="M1855" s="7" t="inlineStr">
        <is>
          <t>Warm up to cold-weather workouts. This soft half zip wicks away sweat so you can stay comfortable when the temperature drops.</t>
        </is>
      </c>
      <c r="N1855" s="7" t="inlineStr">
        <is>
          <t>Its-Rulu-Classic-Fit-Half-Zip</t>
        </is>
      </c>
      <c r="O1855" s="7" t="inlineStr">
        <is>
          <t>Half Zip Sweatshirts, Quarter Zip Sweatshirts</t>
        </is>
      </c>
    </row>
    <row r="1856" ht="80" customHeight="1">
      <c r="A1856" s="4">
        <f>IMAGE("https://images.lululemon.com/is/image/lululemon/LW3KBKS_033454_1?wid=320&amp;op_usm=0.8",1)</f>
        <v/>
      </c>
      <c r="B1856" s="4" t="inlineStr">
        <is>
          <t>It's Rulu Classic-Fit Half Zip</t>
        </is>
      </c>
      <c r="C1856" s="4" t="inlineStr">
        <is>
          <t>158118516</t>
        </is>
      </c>
      <c r="D1856" s="4" t="inlineStr">
        <is>
          <t>158118516-lightivory</t>
        </is>
      </c>
      <c r="E1856" s="4" t="inlineStr">
        <is>
          <t>It's Rulu Classic-Fit Half Zip BLK XS</t>
        </is>
      </c>
      <c r="F1856" s="4" t="inlineStr">
        <is>
          <t>$98.00</t>
        </is>
      </c>
      <c r="G1856" s="4" t="inlineStr">
        <is>
          <t>$49.00</t>
        </is>
      </c>
      <c r="H1856" s="4" t="inlineStr">
        <is>
          <t>Light Ivory</t>
        </is>
      </c>
      <c r="I1856" s="4">
        <f>IMAGE("https://images.lululemon.com/is/image/lululemon/33454",1)</f>
        <v/>
      </c>
      <c r="J1856" s="4" t="inlineStr">
        <is>
          <t>M</t>
        </is>
      </c>
      <c r="K1856" s="4" t="inlineStr">
        <is>
          <t>14/1268</t>
        </is>
      </c>
      <c r="L1856" s="4" t="inlineStr">
        <is>
          <t>Yes</t>
        </is>
      </c>
      <c r="M1856" s="4" t="inlineStr">
        <is>
          <t>Warm up to cold-weather workouts. This soft half zip wicks away sweat so you can stay comfortable when the temperature drops.</t>
        </is>
      </c>
      <c r="N1856" s="4" t="inlineStr">
        <is>
          <t>Its-Rulu-Classic-Fit-Half-Zip</t>
        </is>
      </c>
      <c r="O1856" s="4" t="inlineStr">
        <is>
          <t>Half Zip Sweatshirts, Quarter Zip Sweatshirts</t>
        </is>
      </c>
    </row>
    <row r="1857" ht="80" customHeight="1">
      <c r="A1857" s="7">
        <f>IMAGE("https://images.lululemon.com/is/image/lululemon/LW3KBKS_033454_1?wid=320&amp;op_usm=0.8",1)</f>
        <v/>
      </c>
      <c r="B1857" s="7" t="inlineStr">
        <is>
          <t>It's Rulu Classic-Fit Half Zip</t>
        </is>
      </c>
      <c r="C1857" s="7" t="inlineStr">
        <is>
          <t>158118505</t>
        </is>
      </c>
      <c r="D1857" s="7" t="inlineStr">
        <is>
          <t>158118505-lightivory</t>
        </is>
      </c>
      <c r="E1857" s="7" t="inlineStr">
        <is>
          <t>It's Rulu Classic-Fit Half Zip BLK XS</t>
        </is>
      </c>
      <c r="F1857" s="7" t="inlineStr">
        <is>
          <t>$98.00</t>
        </is>
      </c>
      <c r="G1857" s="7" t="inlineStr">
        <is>
          <t>$49.00</t>
        </is>
      </c>
      <c r="H1857" s="7" t="inlineStr">
        <is>
          <t>Light Ivory</t>
        </is>
      </c>
      <c r="I1857" s="7">
        <f>IMAGE("https://images.lululemon.com/is/image/lululemon/33454",1)</f>
        <v/>
      </c>
      <c r="J1857" s="7" t="inlineStr">
        <is>
          <t>L</t>
        </is>
      </c>
      <c r="K1857" s="7" t="inlineStr">
        <is>
          <t>35/1268</t>
        </is>
      </c>
      <c r="L1857" s="7" t="inlineStr">
        <is>
          <t>Yes</t>
        </is>
      </c>
      <c r="M1857" s="7" t="inlineStr">
        <is>
          <t>Warm up to cold-weather workouts. This soft half zip wicks away sweat so you can stay comfortable when the temperature drops.</t>
        </is>
      </c>
      <c r="N1857" s="7" t="inlineStr">
        <is>
          <t>Its-Rulu-Classic-Fit-Half-Zip</t>
        </is>
      </c>
      <c r="O1857" s="7" t="inlineStr">
        <is>
          <t>Half Zip Sweatshirts, Quarter Zip Sweatshirts</t>
        </is>
      </c>
    </row>
    <row r="1858" ht="80" customHeight="1">
      <c r="A1858" s="6">
        <f>IMAGE("https://images.lululemon.com/is/image/lululemon/LW3KBKS_033454_1?wid=320&amp;op_usm=0.8",1)</f>
        <v/>
      </c>
      <c r="B1858" s="6" t="inlineStr">
        <is>
          <t>It's Rulu Classic-Fit Half Zip</t>
        </is>
      </c>
      <c r="C1858" s="6" t="inlineStr">
        <is>
          <t>158118531</t>
        </is>
      </c>
      <c r="D1858" s="6" t="inlineStr">
        <is>
          <t>158118531-lightivory</t>
        </is>
      </c>
      <c r="E1858" s="6" t="inlineStr">
        <is>
          <t>It's Rulu Classic-Fit Half Zip BLK XS</t>
        </is>
      </c>
      <c r="F1858" s="6" t="inlineStr">
        <is>
          <t>$98.00</t>
        </is>
      </c>
      <c r="G1858" s="6" t="inlineStr">
        <is>
          <t>$49.00</t>
        </is>
      </c>
      <c r="H1858" s="6" t="inlineStr">
        <is>
          <t>Light Ivory</t>
        </is>
      </c>
      <c r="I1858" s="6">
        <f>IMAGE("https://images.lululemon.com/is/image/lululemon/33454",1)</f>
        <v/>
      </c>
      <c r="J1858" s="6" t="inlineStr">
        <is>
          <t>XL</t>
        </is>
      </c>
      <c r="K1858" s="6" t="inlineStr">
        <is>
          <t>54/1268</t>
        </is>
      </c>
      <c r="L1858" s="6" t="inlineStr">
        <is>
          <t>Yes</t>
        </is>
      </c>
      <c r="M1858" s="6" t="inlineStr">
        <is>
          <t>Warm up to cold-weather workouts. This soft half zip wicks away sweat so you can stay comfortable when the temperature drops.</t>
        </is>
      </c>
      <c r="N1858" s="6" t="inlineStr">
        <is>
          <t>Its-Rulu-Classic-Fit-Half-Zip</t>
        </is>
      </c>
      <c r="O1858" s="6" t="inlineStr">
        <is>
          <t>Half Zip Sweatshirts, Quarter Zip Sweatshirts</t>
        </is>
      </c>
    </row>
    <row r="1859" ht="80" customHeight="1">
      <c r="A1859" s="7">
        <f>IMAGE("https://images.lululemon.com/is/image/lululemon/LW9FXRS_070108_1?wid=320&amp;op_usm=0.8",1)</f>
        <v/>
      </c>
      <c r="B1859" s="7" t="inlineStr">
        <is>
          <t>Quilty Pleasures Tote Bag *Medium 12L</t>
        </is>
      </c>
      <c r="C1859" s="7" t="inlineStr">
        <is>
          <t>157686546</t>
        </is>
      </c>
      <c r="D1859" s="7" t="inlineStr">
        <is>
          <t>157686546-warmashgrey</t>
        </is>
      </c>
      <c r="E1859" s="7" t="inlineStr">
        <is>
          <t>Quilty Pleasures Tote Medium WSHG ONE SIZE</t>
        </is>
      </c>
      <c r="F1859" s="7" t="inlineStr">
        <is>
          <t>$148.00</t>
        </is>
      </c>
      <c r="G1859" s="7" t="inlineStr">
        <is>
          <t>$74.00</t>
        </is>
      </c>
      <c r="H1859" s="7" t="inlineStr">
        <is>
          <t>Warm Ash Grey</t>
        </is>
      </c>
      <c r="I1859" s="7">
        <f>IMAGE("https://images.lululemon.com/is/image/lululemon/70108",1)</f>
        <v/>
      </c>
      <c r="J1859" s="7" t="inlineStr">
        <is>
          <t>O/S</t>
        </is>
      </c>
      <c r="K1859" s="7" t="inlineStr">
        <is>
          <t>126/403</t>
        </is>
      </c>
      <c r="L1859" s="7" t="inlineStr">
        <is>
          <t>Yes</t>
        </is>
      </c>
      <c r="M1859" s="7" t="inlineStr">
        <is>
          <t>Softly does it. Daily essentials find a cushioned landing in this quilted tote that's stamped all over with our wordmark design.</t>
        </is>
      </c>
      <c r="N1859" s="7" t="inlineStr">
        <is>
          <t>Quilty-Pleasures-Tote-Bag-Medium-12L</t>
        </is>
      </c>
      <c r="O1859" s="7" t="inlineStr">
        <is>
          <t>Totes</t>
        </is>
      </c>
    </row>
    <row r="1860" ht="80" customHeight="1">
      <c r="A1860" s="6">
        <f>IMAGE("https://images.lululemon.com/is/image/lululemon/LW9FXRS_070108_1?wid=320&amp;op_usm=0.8",1)</f>
        <v/>
      </c>
      <c r="B1860" s="6" t="inlineStr">
        <is>
          <t>Quilty Pleasures Tote Bag *Medium 12L</t>
        </is>
      </c>
      <c r="C1860" s="6" t="inlineStr">
        <is>
          <t>157686537</t>
        </is>
      </c>
      <c r="D1860" s="6" t="inlineStr">
        <is>
          <t>157686537-black</t>
        </is>
      </c>
      <c r="E1860" s="6" t="inlineStr">
        <is>
          <t>Quilty Pleasures Tote Medium WSHG ONE SIZE</t>
        </is>
      </c>
      <c r="F1860" s="6" t="inlineStr">
        <is>
          <t>$148.00</t>
        </is>
      </c>
      <c r="G1860" s="6" t="inlineStr">
        <is>
          <t>$74.00</t>
        </is>
      </c>
      <c r="H1860" s="6" t="inlineStr">
        <is>
          <t>Black</t>
        </is>
      </c>
      <c r="I1860" s="6">
        <f>IMAGE("https://images.lululemon.com/is/image/lululemon/0001",1)</f>
        <v/>
      </c>
      <c r="J1860" s="6" t="inlineStr">
        <is>
          <t>O/S</t>
        </is>
      </c>
      <c r="K1860" s="6" t="inlineStr">
        <is>
          <t>277/403</t>
        </is>
      </c>
      <c r="L1860" s="6" t="inlineStr">
        <is>
          <t>Yes</t>
        </is>
      </c>
      <c r="M1860" s="6" t="inlineStr">
        <is>
          <t>Softly does it. Daily essentials find a cushioned landing in this quilted tote that's stamped all over with our wordmark design.</t>
        </is>
      </c>
      <c r="N1860" s="6" t="inlineStr">
        <is>
          <t>Quilty-Pleasures-Tote-Bag-Medium-12L</t>
        </is>
      </c>
      <c r="O1860" s="6" t="inlineStr">
        <is>
          <t>Totes</t>
        </is>
      </c>
    </row>
    <row r="1861" ht="80" customHeight="1">
      <c r="A1861" s="5">
        <f>IMAGE("https://images.lululemon.com/is/image/lululemon/LU9BXQS_0001_1?wid=320&amp;op_usm=0.8",1)</f>
        <v/>
      </c>
      <c r="B1861" s="5" t="inlineStr">
        <is>
          <t>Everywhere Belt Bag 1L Clear *Logo</t>
        </is>
      </c>
      <c r="C1861" s="5" t="inlineStr">
        <is>
          <t>153107559</t>
        </is>
      </c>
      <c r="D1861" s="5" t="inlineStr">
        <is>
          <t>153107559-black</t>
        </is>
      </c>
      <c r="E1861" s="5" t="inlineStr">
        <is>
          <t>Everywhere Belt Bag *Clear BLK ONE SIZE</t>
        </is>
      </c>
      <c r="F1861" s="5" t="inlineStr">
        <is>
          <t>$38.00</t>
        </is>
      </c>
      <c r="G1861" s="5" t="inlineStr">
        <is>
          <t>$19.00</t>
        </is>
      </c>
      <c r="H1861" s="5" t="inlineStr">
        <is>
          <t>Black</t>
        </is>
      </c>
      <c r="I1861" s="5">
        <f>IMAGE("https://images.lululemon.com/is/image/lululemon/0001",1)</f>
        <v/>
      </c>
      <c r="J1861" s="5" t="inlineStr">
        <is>
          <t>O/S</t>
        </is>
      </c>
      <c r="K1861" s="5" t="inlineStr">
        <is>
          <t>3690/3690</t>
        </is>
      </c>
      <c r="L1861" s="5" t="inlineStr">
        <is>
          <t>Yes</t>
        </is>
      </c>
      <c r="M1861" s="5" t="inlineStr">
        <is>
          <t>Stadium ready. Whether you're heading to a concert or a game, this clear version of our Everywhere Belt Bag keeps belongings visible so lineups are a breeze.</t>
        </is>
      </c>
      <c r="N1861" s="5" t="inlineStr">
        <is>
          <t>Everywhere-Belt-Bag-1L-Clear-Logo</t>
        </is>
      </c>
      <c r="O1861" s="5" t="inlineStr">
        <is>
          <t>Belt Bags, Crossbody Bags</t>
        </is>
      </c>
    </row>
    <row r="1862" ht="80" customHeight="1">
      <c r="A1862" s="4">
        <f>IMAGE("https://images.lululemon.com/is/image/lululemon/LW7DHHS_0001_1?wid=320&amp;op_usm=0.8",1)</f>
        <v/>
      </c>
      <c r="B1862" s="4" t="inlineStr">
        <is>
          <t>Pace Rival High-Rise Short 3"</t>
        </is>
      </c>
      <c r="C1862" s="4" t="inlineStr">
        <is>
          <t>155852081</t>
        </is>
      </c>
      <c r="D1862" s="4" t="inlineStr">
        <is>
          <t>155852081-black</t>
        </is>
      </c>
      <c r="E1862" s="4" t="inlineStr">
        <is>
          <t>Pace Rival High-Rise Short 3" BLK 6</t>
        </is>
      </c>
      <c r="F1862" s="4" t="inlineStr">
        <is>
          <t>$68.00</t>
        </is>
      </c>
      <c r="G1862" s="4" t="inlineStr">
        <is>
          <t>$34.00</t>
        </is>
      </c>
      <c r="H1862" s="4" t="inlineStr">
        <is>
          <t>Black</t>
        </is>
      </c>
      <c r="I1862" s="4">
        <f>IMAGE("https://images.lululemon.com/is/image/lululemon/0001",1)</f>
        <v/>
      </c>
      <c r="J1862" s="4" t="inlineStr">
        <is>
          <t>6</t>
        </is>
      </c>
      <c r="K1862" s="4" t="inlineStr">
        <is>
          <t>55/78</t>
        </is>
      </c>
      <c r="L1862" s="4" t="inlineStr">
        <is>
          <t>Yes</t>
        </is>
      </c>
      <c r="M1862" s="4" t="inlineStr">
        <is>
          <t>From side shuffles to sprints—give it your all in these shorts. Angled split hems give you space for dynamic movement while a breathable brief liner offers coverage mid-stride.</t>
        </is>
      </c>
      <c r="N1862" s="4" t="inlineStr">
        <is>
          <t>Pace-Rival-High-Rise-Short-3</t>
        </is>
      </c>
      <c r="O1862" s="4" t="inlineStr">
        <is>
          <t>Athletic Shorts</t>
        </is>
      </c>
    </row>
    <row r="1863" ht="80" customHeight="1">
      <c r="A1863" s="5">
        <f>IMAGE("https://images.lululemon.com/is/image/lululemon/LW7DHHS_0001_1?wid=320&amp;op_usm=0.8",1)</f>
        <v/>
      </c>
      <c r="B1863" s="5" t="inlineStr">
        <is>
          <t>Pace Rival High-Rise Short 3"</t>
        </is>
      </c>
      <c r="C1863" s="5" t="inlineStr">
        <is>
          <t>155852084</t>
        </is>
      </c>
      <c r="D1863" s="5" t="inlineStr">
        <is>
          <t>155852084-black</t>
        </is>
      </c>
      <c r="E1863" s="5" t="inlineStr">
        <is>
          <t>Pace Rival High-Rise Short 3" BLK 6</t>
        </is>
      </c>
      <c r="F1863" s="5" t="inlineStr">
        <is>
          <t>$68.00</t>
        </is>
      </c>
      <c r="G1863" s="5" t="inlineStr">
        <is>
          <t>$34.00</t>
        </is>
      </c>
      <c r="H1863" s="5" t="inlineStr">
        <is>
          <t>Black</t>
        </is>
      </c>
      <c r="I1863" s="5">
        <f>IMAGE("https://images.lululemon.com/is/image/lululemon/0001",1)</f>
        <v/>
      </c>
      <c r="J1863" s="5" t="inlineStr">
        <is>
          <t>8</t>
        </is>
      </c>
      <c r="K1863" s="5" t="inlineStr">
        <is>
          <t>23/78</t>
        </is>
      </c>
      <c r="L1863" s="5" t="inlineStr">
        <is>
          <t>Yes</t>
        </is>
      </c>
      <c r="M1863" s="5" t="inlineStr">
        <is>
          <t>From side shuffles to sprints—give it your all in these shorts. Angled split hems give you space for dynamic movement while a breathable brief liner offers coverage mid-stride.</t>
        </is>
      </c>
      <c r="N1863" s="5" t="inlineStr">
        <is>
          <t>Pace-Rival-High-Rise-Short-3</t>
        </is>
      </c>
      <c r="O1863" s="5" t="inlineStr">
        <is>
          <t>Athletic Shorts</t>
        </is>
      </c>
    </row>
    <row r="1864" ht="80" customHeight="1">
      <c r="A1864" s="4">
        <f>IMAGE("https://images.lululemon.com/is/image/lululemon/LW9FL7S_035486_1?wid=320&amp;op_usm=0.8",1)</f>
        <v/>
      </c>
      <c r="B1864" s="4" t="inlineStr">
        <is>
          <t>City Essentials Pouch 4L</t>
        </is>
      </c>
      <c r="C1864" s="4" t="inlineStr">
        <is>
          <t>157706634</t>
        </is>
      </c>
      <c r="D1864" s="4" t="inlineStr">
        <is>
          <t>157706634-blissfulpink</t>
        </is>
      </c>
      <c r="E1864" s="4" t="inlineStr">
        <is>
          <t>City Essentials Pouch BLLP ONE SIZE</t>
        </is>
      </c>
      <c r="F1864" s="4" t="inlineStr">
        <is>
          <t>$48.00</t>
        </is>
      </c>
      <c r="G1864" s="4" t="inlineStr">
        <is>
          <t>$24.00</t>
        </is>
      </c>
      <c r="H1864" s="4" t="inlineStr">
        <is>
          <t>Blissful Pink</t>
        </is>
      </c>
      <c r="I1864" s="4">
        <f>IMAGE("https://images.lululemon.com/is/image/lululemon/35486",1)</f>
        <v/>
      </c>
      <c r="J1864" s="4" t="inlineStr">
        <is>
          <t>O/S</t>
        </is>
      </c>
      <c r="K1864" s="4" t="inlineStr">
        <is>
          <t>191/425</t>
        </is>
      </c>
      <c r="L1864" s="4" t="inlineStr">
        <is>
          <t>Yes</t>
        </is>
      </c>
      <c r="M1864" s="4" t="inlineStr">
        <is>
          <t>Spend less time searching for things and more time knowing exactly where they are. From makeup to electronic accessories, this pouch will keep you organized.</t>
        </is>
      </c>
      <c r="N1864" s="4" t="inlineStr">
        <is>
          <t>City-Essentials-Pouch-4L</t>
        </is>
      </c>
      <c r="O1864" s="4" t="inlineStr">
        <is>
          <t>Wallets and Pouches</t>
        </is>
      </c>
    </row>
    <row r="1865" ht="80" customHeight="1">
      <c r="A1865" s="5">
        <f>IMAGE("https://images.lululemon.com/is/image/lululemon/LW9FL7S_035486_1?wid=320&amp;op_usm=0.8",1)</f>
        <v/>
      </c>
      <c r="B1865" s="5" t="inlineStr">
        <is>
          <t>City Essentials Pouch 4L</t>
        </is>
      </c>
      <c r="C1865" s="5" t="inlineStr">
        <is>
          <t>158022959</t>
        </is>
      </c>
      <c r="D1865" s="5" t="inlineStr">
        <is>
          <t>158022959-berryrumble</t>
        </is>
      </c>
      <c r="E1865" s="5" t="inlineStr">
        <is>
          <t>City Essentials Pouch BLLP ONE SIZE</t>
        </is>
      </c>
      <c r="F1865" s="5" t="inlineStr">
        <is>
          <t>$48.00</t>
        </is>
      </c>
      <c r="G1865" s="5" t="inlineStr">
        <is>
          <t>$24.00</t>
        </is>
      </c>
      <c r="H1865" s="5" t="inlineStr">
        <is>
          <t>Berry Rumble</t>
        </is>
      </c>
      <c r="I1865" s="5">
        <f>IMAGE("https://images.lululemon.com/is/image/lululemon/21363",1)</f>
        <v/>
      </c>
      <c r="J1865" s="5" t="inlineStr">
        <is>
          <t>O/S</t>
        </is>
      </c>
      <c r="K1865" s="5" t="inlineStr">
        <is>
          <t>234/425</t>
        </is>
      </c>
      <c r="L1865" s="5" t="inlineStr">
        <is>
          <t>Yes</t>
        </is>
      </c>
      <c r="M1865" s="5" t="inlineStr">
        <is>
          <t>Spend less time searching for things and more time knowing exactly where they are. From makeup to electronic accessories, this pouch will keep you organized.</t>
        </is>
      </c>
      <c r="N1865" s="5" t="inlineStr">
        <is>
          <t>City-Essentials-Pouch-4L</t>
        </is>
      </c>
      <c r="O1865" s="5" t="inlineStr">
        <is>
          <t>Wallets and Pouches</t>
        </is>
      </c>
    </row>
    <row r="1866" ht="80" customHeight="1">
      <c r="A1866" s="6">
        <f>IMAGE("https://images.lululemon.com/is/image/lululemon/LU9AQAS_0001_1?wid=320&amp;op_usm=0.8",1)</f>
        <v/>
      </c>
      <c r="B1866" s="6" t="inlineStr">
        <is>
          <t>Workout Sliders *Set of 2</t>
        </is>
      </c>
      <c r="C1866" s="6" t="inlineStr">
        <is>
          <t>142975048</t>
        </is>
      </c>
      <c r="D1866" s="6" t="inlineStr">
        <is>
          <t>142975048-black</t>
        </is>
      </c>
      <c r="E1866" s="6" t="inlineStr">
        <is>
          <t>Workout Sliders BLK ONE SIZE</t>
        </is>
      </c>
      <c r="F1866" s="6" t="inlineStr">
        <is>
          <t>$28.00</t>
        </is>
      </c>
      <c r="G1866" s="6" t="inlineStr">
        <is>
          <t>$14.00</t>
        </is>
      </c>
      <c r="H1866" s="6" t="inlineStr">
        <is>
          <t>Black</t>
        </is>
      </c>
      <c r="I1866" s="6">
        <f>IMAGE("https://images.lululemon.com/is/image/lululemon/0001",1)</f>
        <v/>
      </c>
      <c r="J1866" s="6" t="inlineStr">
        <is>
          <t>O/S</t>
        </is>
      </c>
      <c r="K1866" s="6" t="inlineStr">
        <is>
          <t>759/759</t>
        </is>
      </c>
      <c r="L1866" s="6" t="inlineStr">
        <is>
          <t>Yes</t>
        </is>
      </c>
      <c r="M1866" s="6" t="inlineStr">
        <is>
          <t>Glide past your limits. These versatile sliding discs are double-sided for core and stability work on any surface.</t>
        </is>
      </c>
      <c r="N1866" s="6" t="inlineStr">
        <is>
          <t>Workout-Sliders-Set-of-2</t>
        </is>
      </c>
      <c r="O1866" s="6" t="inlineStr">
        <is>
          <t>Sliders</t>
        </is>
      </c>
    </row>
    <row r="1867" ht="80" customHeight="1">
      <c r="A1867" s="7">
        <f>IMAGE("https://images.lululemon.com/is/image/lululemon/LW1FKES_0572_1?wid=320&amp;op_usm=0.8",1)</f>
        <v/>
      </c>
      <c r="B1867" s="7" t="inlineStr">
        <is>
          <t>Swiftly Relaxed Tank Top Hip Length *Updated Fit</t>
        </is>
      </c>
      <c r="C1867" s="7" t="inlineStr">
        <is>
          <t>156751499</t>
        </is>
      </c>
      <c r="D1867" s="7" t="inlineStr">
        <is>
          <t>156751499-slate/white</t>
        </is>
      </c>
      <c r="E1867" s="7" t="inlineStr">
        <is>
          <t>Swiftly Relaxed Tank SLTE/WHT 2</t>
        </is>
      </c>
      <c r="F1867" s="7" t="inlineStr">
        <is>
          <t>$58.00</t>
        </is>
      </c>
      <c r="G1867" s="7" t="inlineStr">
        <is>
          <t>$29.00</t>
        </is>
      </c>
      <c r="H1867" s="7" t="inlineStr">
        <is>
          <t>Slate/White</t>
        </is>
      </c>
      <c r="I1867" s="7">
        <f>IMAGE("https://images.lululemon.com/is/image/lululemon/0572",1)</f>
        <v/>
      </c>
      <c r="J1867" s="7" t="inlineStr">
        <is>
          <t>2</t>
        </is>
      </c>
      <c r="K1867" s="7" t="inlineStr">
        <is>
          <t>15/165</t>
        </is>
      </c>
      <c r="L1867" s="7" t="inlineStr">
        <is>
          <t>Yes</t>
        </is>
      </c>
      <c r="M1867" s="7" t="inlineStr">
        <is>
          <t>Go ahead, get sweaty. The Swiftly Relaxed collection is all about high performing-fabric that seamlessly adapts to you and your workout. An updated fit gives you slightly more room to move.</t>
        </is>
      </c>
      <c r="N1867" s="7" t="inlineStr">
        <is>
          <t>Swiftly-Relaxed-Tank-Top-Hip-Length-Updated-Fit</t>
        </is>
      </c>
      <c r="O1867" s="7" t="inlineStr"/>
    </row>
    <row r="1868" ht="80" customHeight="1">
      <c r="A1868" s="4">
        <f>IMAGE("https://images.lululemon.com/is/image/lululemon/LW1FKES_0572_1?wid=320&amp;op_usm=0.8",1)</f>
        <v/>
      </c>
      <c r="B1868" s="4" t="inlineStr">
        <is>
          <t>Swiftly Relaxed Tank Top Hip Length *Updated Fit</t>
        </is>
      </c>
      <c r="C1868" s="4" t="inlineStr">
        <is>
          <t>156751504</t>
        </is>
      </c>
      <c r="D1868" s="4" t="inlineStr">
        <is>
          <t>156751504-slate/white</t>
        </is>
      </c>
      <c r="E1868" s="4" t="inlineStr">
        <is>
          <t>Swiftly Relaxed Tank SLTE/WHT 2</t>
        </is>
      </c>
      <c r="F1868" s="4" t="inlineStr">
        <is>
          <t>$58.00</t>
        </is>
      </c>
      <c r="G1868" s="4" t="inlineStr">
        <is>
          <t>$29.00</t>
        </is>
      </c>
      <c r="H1868" s="4" t="inlineStr">
        <is>
          <t>Slate/White</t>
        </is>
      </c>
      <c r="I1868" s="4">
        <f>IMAGE("https://images.lululemon.com/is/image/lululemon/0572",1)</f>
        <v/>
      </c>
      <c r="J1868" s="4" t="inlineStr">
        <is>
          <t>4</t>
        </is>
      </c>
      <c r="K1868" s="4" t="inlineStr">
        <is>
          <t>39/165</t>
        </is>
      </c>
      <c r="L1868" s="4" t="inlineStr">
        <is>
          <t>Yes</t>
        </is>
      </c>
      <c r="M1868" s="4" t="inlineStr">
        <is>
          <t>Go ahead, get sweaty. The Swiftly Relaxed collection is all about high performing-fabric that seamlessly adapts to you and your workout. An updated fit gives you slightly more room to move.</t>
        </is>
      </c>
      <c r="N1868" s="4" t="inlineStr">
        <is>
          <t>Swiftly-Relaxed-Tank-Top-Hip-Length-Updated-Fit</t>
        </is>
      </c>
      <c r="O1868" s="4" t="inlineStr"/>
    </row>
    <row r="1869" ht="80" customHeight="1">
      <c r="A1869" s="7">
        <f>IMAGE("https://images.lululemon.com/is/image/lululemon/LW1FKES_0572_1?wid=320&amp;op_usm=0.8",1)</f>
        <v/>
      </c>
      <c r="B1869" s="7" t="inlineStr">
        <is>
          <t>Swiftly Relaxed Tank Top Hip Length *Updated Fit</t>
        </is>
      </c>
      <c r="C1869" s="7" t="inlineStr">
        <is>
          <t>156751506</t>
        </is>
      </c>
      <c r="D1869" s="7" t="inlineStr">
        <is>
          <t>156751506-slate/white</t>
        </is>
      </c>
      <c r="E1869" s="7" t="inlineStr">
        <is>
          <t>Swiftly Relaxed Tank SLTE/WHT 2</t>
        </is>
      </c>
      <c r="F1869" s="7" t="inlineStr">
        <is>
          <t>$58.00</t>
        </is>
      </c>
      <c r="G1869" s="7" t="inlineStr">
        <is>
          <t>$29.00</t>
        </is>
      </c>
      <c r="H1869" s="7" t="inlineStr">
        <is>
          <t>Slate/White</t>
        </is>
      </c>
      <c r="I1869" s="7">
        <f>IMAGE("https://images.lululemon.com/is/image/lululemon/0572",1)</f>
        <v/>
      </c>
      <c r="J1869" s="7" t="inlineStr">
        <is>
          <t>6</t>
        </is>
      </c>
      <c r="K1869" s="7" t="inlineStr">
        <is>
          <t>45/165</t>
        </is>
      </c>
      <c r="L1869" s="7" t="inlineStr">
        <is>
          <t>Yes</t>
        </is>
      </c>
      <c r="M1869" s="7" t="inlineStr">
        <is>
          <t>Go ahead, get sweaty. The Swiftly Relaxed collection is all about high performing-fabric that seamlessly adapts to you and your workout. An updated fit gives you slightly more room to move.</t>
        </is>
      </c>
      <c r="N1869" s="7" t="inlineStr">
        <is>
          <t>Swiftly-Relaxed-Tank-Top-Hip-Length-Updated-Fit</t>
        </is>
      </c>
      <c r="O1869" s="7" t="inlineStr"/>
    </row>
    <row r="1870" ht="80" customHeight="1">
      <c r="A1870" s="4">
        <f>IMAGE("https://images.lululemon.com/is/image/lululemon/LW1FKES_0572_1?wid=320&amp;op_usm=0.8",1)</f>
        <v/>
      </c>
      <c r="B1870" s="4" t="inlineStr">
        <is>
          <t>Swiftly Relaxed Tank Top Hip Length *Updated Fit</t>
        </is>
      </c>
      <c r="C1870" s="4" t="inlineStr">
        <is>
          <t>156751509</t>
        </is>
      </c>
      <c r="D1870" s="4" t="inlineStr">
        <is>
          <t>156751509-slate/white</t>
        </is>
      </c>
      <c r="E1870" s="4" t="inlineStr">
        <is>
          <t>Swiftly Relaxed Tank SLTE/WHT 2</t>
        </is>
      </c>
      <c r="F1870" s="4" t="inlineStr">
        <is>
          <t>$58.00</t>
        </is>
      </c>
      <c r="G1870" s="4" t="inlineStr">
        <is>
          <t>$29.00</t>
        </is>
      </c>
      <c r="H1870" s="4" t="inlineStr">
        <is>
          <t>Slate/White</t>
        </is>
      </c>
      <c r="I1870" s="4">
        <f>IMAGE("https://images.lululemon.com/is/image/lululemon/0572",1)</f>
        <v/>
      </c>
      <c r="J1870" s="4" t="inlineStr">
        <is>
          <t>8</t>
        </is>
      </c>
      <c r="K1870" s="4" t="inlineStr">
        <is>
          <t>35/165</t>
        </is>
      </c>
      <c r="L1870" s="4" t="inlineStr">
        <is>
          <t>Yes</t>
        </is>
      </c>
      <c r="M1870" s="4" t="inlineStr">
        <is>
          <t>Go ahead, get sweaty. The Swiftly Relaxed collection is all about high performing-fabric that seamlessly adapts to you and your workout. An updated fit gives you slightly more room to move.</t>
        </is>
      </c>
      <c r="N1870" s="4" t="inlineStr">
        <is>
          <t>Swiftly-Relaxed-Tank-Top-Hip-Length-Updated-Fit</t>
        </is>
      </c>
      <c r="O1870" s="4" t="inlineStr"/>
    </row>
    <row r="1871" ht="80" customHeight="1">
      <c r="A1871" s="7">
        <f>IMAGE("https://images.lululemon.com/is/image/lululemon/LW1FKES_0572_1?wid=320&amp;op_usm=0.8",1)</f>
        <v/>
      </c>
      <c r="B1871" s="7" t="inlineStr">
        <is>
          <t>Swiftly Relaxed Tank Top Hip Length *Updated Fit</t>
        </is>
      </c>
      <c r="C1871" s="7" t="inlineStr">
        <is>
          <t>156751487</t>
        </is>
      </c>
      <c r="D1871" s="7" t="inlineStr">
        <is>
          <t>156751487-slate/white</t>
        </is>
      </c>
      <c r="E1871" s="7" t="inlineStr">
        <is>
          <t>Swiftly Relaxed Tank SLTE/WHT 2</t>
        </is>
      </c>
      <c r="F1871" s="7" t="inlineStr">
        <is>
          <t>$58.00</t>
        </is>
      </c>
      <c r="G1871" s="7" t="inlineStr">
        <is>
          <t>$29.00</t>
        </is>
      </c>
      <c r="H1871" s="7" t="inlineStr">
        <is>
          <t>Slate/White</t>
        </is>
      </c>
      <c r="I1871" s="7">
        <f>IMAGE("https://images.lululemon.com/is/image/lululemon/0572",1)</f>
        <v/>
      </c>
      <c r="J1871" s="7" t="inlineStr">
        <is>
          <t>10</t>
        </is>
      </c>
      <c r="K1871" s="7" t="inlineStr">
        <is>
          <t>18/165</t>
        </is>
      </c>
      <c r="L1871" s="7" t="inlineStr">
        <is>
          <t>Yes</t>
        </is>
      </c>
      <c r="M1871" s="7" t="inlineStr">
        <is>
          <t>Go ahead, get sweaty. The Swiftly Relaxed collection is all about high performing-fabric that seamlessly adapts to you and your workout. An updated fit gives you slightly more room to move.</t>
        </is>
      </c>
      <c r="N1871" s="7" t="inlineStr">
        <is>
          <t>Swiftly-Relaxed-Tank-Top-Hip-Length-Updated-Fit</t>
        </is>
      </c>
      <c r="O1871" s="7" t="inlineStr"/>
    </row>
    <row r="1872" ht="80" customHeight="1">
      <c r="A1872" s="6">
        <f>IMAGE("https://images.lululemon.com/is/image/lululemon/LW1FKES_0572_1?wid=320&amp;op_usm=0.8",1)</f>
        <v/>
      </c>
      <c r="B1872" s="6" t="inlineStr">
        <is>
          <t>Swiftly Relaxed Tank Top Hip Length *Updated Fit</t>
        </is>
      </c>
      <c r="C1872" s="6" t="inlineStr">
        <is>
          <t>156751490</t>
        </is>
      </c>
      <c r="D1872" s="6" t="inlineStr">
        <is>
          <t>156751490-slate/white</t>
        </is>
      </c>
      <c r="E1872" s="6" t="inlineStr">
        <is>
          <t>Swiftly Relaxed Tank SLTE/WHT 2</t>
        </is>
      </c>
      <c r="F1872" s="6" t="inlineStr">
        <is>
          <t>$58.00</t>
        </is>
      </c>
      <c r="G1872" s="6" t="inlineStr">
        <is>
          <t>$29.00</t>
        </is>
      </c>
      <c r="H1872" s="6" t="inlineStr">
        <is>
          <t>Slate/White</t>
        </is>
      </c>
      <c r="I1872" s="6">
        <f>IMAGE("https://images.lululemon.com/is/image/lululemon/0572",1)</f>
        <v/>
      </c>
      <c r="J1872" s="6" t="inlineStr">
        <is>
          <t>12</t>
        </is>
      </c>
      <c r="K1872" s="6" t="inlineStr">
        <is>
          <t>13/165</t>
        </is>
      </c>
      <c r="L1872" s="6" t="inlineStr">
        <is>
          <t>Yes</t>
        </is>
      </c>
      <c r="M1872" s="6" t="inlineStr">
        <is>
          <t>Go ahead, get sweaty. The Swiftly Relaxed collection is all about high performing-fabric that seamlessly adapts to you and your workout. An updated fit gives you slightly more room to move.</t>
        </is>
      </c>
      <c r="N1872" s="6" t="inlineStr">
        <is>
          <t>Swiftly-Relaxed-Tank-Top-Hip-Length-Updated-Fit</t>
        </is>
      </c>
      <c r="O1872" s="6" t="inlineStr"/>
    </row>
    <row r="1873" ht="80" customHeight="1">
      <c r="A1873" s="7">
        <f>IMAGE("https://images.lululemon.com/is/image/lululemon/LW5CQDS_0001_1?wid=320&amp;op_usm=0.8",1)</f>
        <v/>
      </c>
      <c r="B1873" s="7" t="inlineStr">
        <is>
          <t>Wunder Train High-Rise Tight 25"</t>
        </is>
      </c>
      <c r="C1873" s="7" t="inlineStr">
        <is>
          <t>114825578</t>
        </is>
      </c>
      <c r="D1873" s="7" t="inlineStr">
        <is>
          <t>114825578-black</t>
        </is>
      </c>
      <c r="E1873" s="7" t="inlineStr">
        <is>
          <t>Wunder Train HR Tight 25" BLK 2</t>
        </is>
      </c>
      <c r="F1873" s="7" t="inlineStr">
        <is>
          <t>$98.00</t>
        </is>
      </c>
      <c r="G1873" s="7" t="inlineStr">
        <is>
          <t>$49.00</t>
        </is>
      </c>
      <c r="H1873" s="7" t="inlineStr">
        <is>
          <t>Black</t>
        </is>
      </c>
      <c r="I1873" s="7">
        <f>IMAGE("https://images.lululemon.com/is/image/lululemon/0001",1)</f>
        <v/>
      </c>
      <c r="J1873" s="7" t="inlineStr">
        <is>
          <t>2</t>
        </is>
      </c>
      <c r="K1873" s="7" t="inlineStr">
        <is>
          <t>62/4627</t>
        </is>
      </c>
      <c r="L1873" s="7" t="inlineStr">
        <is>
          <t>Yes</t>
        </is>
      </c>
      <c r="M1873" s="7" t="inlineStr">
        <is>
          <t>Train hard, not hot. Made from Everlux™, the Wunder Train collection is highly breathable and quickly wicks sweat so you feel less sweaty during (and after) your workout.</t>
        </is>
      </c>
      <c r="N1873" s="7" t="inlineStr">
        <is>
          <t>Wunder-Train-HR-Tight-25</t>
        </is>
      </c>
      <c r="O1873" s="7" t="inlineStr"/>
    </row>
    <row r="1874" ht="80" customHeight="1">
      <c r="A1874" s="4">
        <f>IMAGE("https://images.lululemon.com/is/image/lululemon/LW5CQDS_0001_1?wid=320&amp;op_usm=0.8",1)</f>
        <v/>
      </c>
      <c r="B1874" s="4" t="inlineStr">
        <is>
          <t>Wunder Train High-Rise Tight 25"</t>
        </is>
      </c>
      <c r="C1874" s="4" t="inlineStr">
        <is>
          <t>114825579</t>
        </is>
      </c>
      <c r="D1874" s="4" t="inlineStr">
        <is>
          <t>114825579-black</t>
        </is>
      </c>
      <c r="E1874" s="4" t="inlineStr">
        <is>
          <t>Wunder Train HR Tight 25" BLK 2</t>
        </is>
      </c>
      <c r="F1874" s="4" t="inlineStr">
        <is>
          <t>$98.00</t>
        </is>
      </c>
      <c r="G1874" s="4" t="inlineStr">
        <is>
          <t>$49.00</t>
        </is>
      </c>
      <c r="H1874" s="4" t="inlineStr">
        <is>
          <t>Black</t>
        </is>
      </c>
      <c r="I1874" s="4">
        <f>IMAGE("https://images.lululemon.com/is/image/lululemon/0001",1)</f>
        <v/>
      </c>
      <c r="J1874" s="4" t="inlineStr">
        <is>
          <t>4</t>
        </is>
      </c>
      <c r="K1874" s="4" t="inlineStr">
        <is>
          <t>662/4627</t>
        </is>
      </c>
      <c r="L1874" s="4" t="inlineStr">
        <is>
          <t>Yes</t>
        </is>
      </c>
      <c r="M1874" s="4" t="inlineStr">
        <is>
          <t>Train hard, not hot. Made from Everlux™, the Wunder Train collection is highly breathable and quickly wicks sweat so you feel less sweaty during (and after) your workout.</t>
        </is>
      </c>
      <c r="N1874" s="4" t="inlineStr">
        <is>
          <t>Wunder-Train-HR-Tight-25</t>
        </is>
      </c>
      <c r="O1874" s="4" t="inlineStr"/>
    </row>
    <row r="1875" ht="80" customHeight="1">
      <c r="A1875" s="7">
        <f>IMAGE("https://images.lululemon.com/is/image/lululemon/LW5CQDS_0001_1?wid=320&amp;op_usm=0.8",1)</f>
        <v/>
      </c>
      <c r="B1875" s="7" t="inlineStr">
        <is>
          <t>Wunder Train High-Rise Tight 25"</t>
        </is>
      </c>
      <c r="C1875" s="7" t="inlineStr">
        <is>
          <t>114825580</t>
        </is>
      </c>
      <c r="D1875" s="7" t="inlineStr">
        <is>
          <t>114825580-black</t>
        </is>
      </c>
      <c r="E1875" s="7" t="inlineStr">
        <is>
          <t>Wunder Train HR Tight 25" BLK 2</t>
        </is>
      </c>
      <c r="F1875" s="7" t="inlineStr">
        <is>
          <t>$98.00</t>
        </is>
      </c>
      <c r="G1875" s="7" t="inlineStr">
        <is>
          <t>$49.00</t>
        </is>
      </c>
      <c r="H1875" s="7" t="inlineStr">
        <is>
          <t>Black</t>
        </is>
      </c>
      <c r="I1875" s="7">
        <f>IMAGE("https://images.lululemon.com/is/image/lululemon/0001",1)</f>
        <v/>
      </c>
      <c r="J1875" s="7" t="inlineStr">
        <is>
          <t>6</t>
        </is>
      </c>
      <c r="K1875" s="7" t="inlineStr">
        <is>
          <t>783/4627</t>
        </is>
      </c>
      <c r="L1875" s="7" t="inlineStr">
        <is>
          <t>Yes</t>
        </is>
      </c>
      <c r="M1875" s="7" t="inlineStr">
        <is>
          <t>Train hard, not hot. Made from Everlux™, the Wunder Train collection is highly breathable and quickly wicks sweat so you feel less sweaty during (and after) your workout.</t>
        </is>
      </c>
      <c r="N1875" s="7" t="inlineStr">
        <is>
          <t>Wunder-Train-HR-Tight-25</t>
        </is>
      </c>
      <c r="O1875" s="7" t="inlineStr"/>
    </row>
    <row r="1876" ht="80" customHeight="1">
      <c r="A1876" s="4">
        <f>IMAGE("https://images.lululemon.com/is/image/lululemon/LW5CQDS_0001_1?wid=320&amp;op_usm=0.8",1)</f>
        <v/>
      </c>
      <c r="B1876" s="4" t="inlineStr">
        <is>
          <t>Wunder Train High-Rise Tight 25"</t>
        </is>
      </c>
      <c r="C1876" s="4" t="inlineStr">
        <is>
          <t>114825582</t>
        </is>
      </c>
      <c r="D1876" s="4" t="inlineStr">
        <is>
          <t>114825582-black</t>
        </is>
      </c>
      <c r="E1876" s="4" t="inlineStr">
        <is>
          <t>Wunder Train HR Tight 25" BLK 2</t>
        </is>
      </c>
      <c r="F1876" s="4" t="inlineStr">
        <is>
          <t>$98.00</t>
        </is>
      </c>
      <c r="G1876" s="4" t="inlineStr">
        <is>
          <t>$49.00</t>
        </is>
      </c>
      <c r="H1876" s="4" t="inlineStr">
        <is>
          <t>Black</t>
        </is>
      </c>
      <c r="I1876" s="4">
        <f>IMAGE("https://images.lululemon.com/is/image/lululemon/0001",1)</f>
        <v/>
      </c>
      <c r="J1876" s="4" t="inlineStr">
        <is>
          <t>8</t>
        </is>
      </c>
      <c r="K1876" s="4" t="inlineStr">
        <is>
          <t>664/4627</t>
        </is>
      </c>
      <c r="L1876" s="4" t="inlineStr">
        <is>
          <t>Yes</t>
        </is>
      </c>
      <c r="M1876" s="4" t="inlineStr">
        <is>
          <t>Train hard, not hot. Made from Everlux™, the Wunder Train collection is highly breathable and quickly wicks sweat so you feel less sweaty during (and after) your workout.</t>
        </is>
      </c>
      <c r="N1876" s="4" t="inlineStr">
        <is>
          <t>Wunder-Train-HR-Tight-25</t>
        </is>
      </c>
      <c r="O1876" s="4" t="inlineStr"/>
    </row>
    <row r="1877" ht="80" customHeight="1">
      <c r="A1877" s="7">
        <f>IMAGE("https://images.lululemon.com/is/image/lululemon/LW5CQDS_0001_1?wid=320&amp;op_usm=0.8",1)</f>
        <v/>
      </c>
      <c r="B1877" s="7" t="inlineStr">
        <is>
          <t>Wunder Train High-Rise Tight 25"</t>
        </is>
      </c>
      <c r="C1877" s="7" t="inlineStr">
        <is>
          <t>114825572</t>
        </is>
      </c>
      <c r="D1877" s="7" t="inlineStr">
        <is>
          <t>114825572-black</t>
        </is>
      </c>
      <c r="E1877" s="7" t="inlineStr">
        <is>
          <t>Wunder Train HR Tight 25" BLK 2</t>
        </is>
      </c>
      <c r="F1877" s="7" t="inlineStr">
        <is>
          <t>$98.00</t>
        </is>
      </c>
      <c r="G1877" s="7" t="inlineStr">
        <is>
          <t>$49.00</t>
        </is>
      </c>
      <c r="H1877" s="7" t="inlineStr">
        <is>
          <t>Black</t>
        </is>
      </c>
      <c r="I1877" s="7">
        <f>IMAGE("https://images.lululemon.com/is/image/lululemon/0001",1)</f>
        <v/>
      </c>
      <c r="J1877" s="7" t="inlineStr">
        <is>
          <t>10</t>
        </is>
      </c>
      <c r="K1877" s="7" t="inlineStr">
        <is>
          <t>226/4627</t>
        </is>
      </c>
      <c r="L1877" s="7" t="inlineStr">
        <is>
          <t>Yes</t>
        </is>
      </c>
      <c r="M1877" s="7" t="inlineStr">
        <is>
          <t>Train hard, not hot. Made from Everlux™, the Wunder Train collection is highly breathable and quickly wicks sweat so you feel less sweaty during (and after) your workout.</t>
        </is>
      </c>
      <c r="N1877" s="7" t="inlineStr">
        <is>
          <t>Wunder-Train-HR-Tight-25</t>
        </is>
      </c>
      <c r="O1877" s="7" t="inlineStr"/>
    </row>
    <row r="1878" ht="80" customHeight="1">
      <c r="A1878" s="4">
        <f>IMAGE("https://images.lululemon.com/is/image/lululemon/LW5CQDS_0001_1?wid=320&amp;op_usm=0.8",1)</f>
        <v/>
      </c>
      <c r="B1878" s="4" t="inlineStr">
        <is>
          <t>Wunder Train High-Rise Tight 25"</t>
        </is>
      </c>
      <c r="C1878" s="4" t="inlineStr">
        <is>
          <t>114825573</t>
        </is>
      </c>
      <c r="D1878" s="4" t="inlineStr">
        <is>
          <t>114825573-black</t>
        </is>
      </c>
      <c r="E1878" s="4" t="inlineStr">
        <is>
          <t>Wunder Train HR Tight 25" BLK 2</t>
        </is>
      </c>
      <c r="F1878" s="4" t="inlineStr">
        <is>
          <t>$98.00</t>
        </is>
      </c>
      <c r="G1878" s="4" t="inlineStr">
        <is>
          <t>$49.00</t>
        </is>
      </c>
      <c r="H1878" s="4" t="inlineStr">
        <is>
          <t>Black</t>
        </is>
      </c>
      <c r="I1878" s="4">
        <f>IMAGE("https://images.lululemon.com/is/image/lululemon/0001",1)</f>
        <v/>
      </c>
      <c r="J1878" s="4" t="inlineStr">
        <is>
          <t>12</t>
        </is>
      </c>
      <c r="K1878" s="4" t="inlineStr">
        <is>
          <t>247/4627</t>
        </is>
      </c>
      <c r="L1878" s="4" t="inlineStr">
        <is>
          <t>Yes</t>
        </is>
      </c>
      <c r="M1878" s="4" t="inlineStr">
        <is>
          <t>Train hard, not hot. Made from Everlux™, the Wunder Train collection is highly breathable and quickly wicks sweat so you feel less sweaty during (and after) your workout.</t>
        </is>
      </c>
      <c r="N1878" s="4" t="inlineStr">
        <is>
          <t>Wunder-Train-HR-Tight-25</t>
        </is>
      </c>
      <c r="O1878" s="4" t="inlineStr"/>
    </row>
    <row r="1879" ht="80" customHeight="1">
      <c r="A1879" s="7">
        <f>IMAGE("https://images.lululemon.com/is/image/lululemon/LW5CQDS_0001_1?wid=320&amp;op_usm=0.8",1)</f>
        <v/>
      </c>
      <c r="B1879" s="7" t="inlineStr">
        <is>
          <t>Wunder Train High-Rise Tight 25"</t>
        </is>
      </c>
      <c r="C1879" s="7" t="inlineStr">
        <is>
          <t>114825575</t>
        </is>
      </c>
      <c r="D1879" s="7" t="inlineStr">
        <is>
          <t>114825575-black</t>
        </is>
      </c>
      <c r="E1879" s="7" t="inlineStr">
        <is>
          <t>Wunder Train HR Tight 25" BLK 2</t>
        </is>
      </c>
      <c r="F1879" s="7" t="inlineStr">
        <is>
          <t>$98.00</t>
        </is>
      </c>
      <c r="G1879" s="7" t="inlineStr">
        <is>
          <t>$49.00</t>
        </is>
      </c>
      <c r="H1879" s="7" t="inlineStr">
        <is>
          <t>Black</t>
        </is>
      </c>
      <c r="I1879" s="7">
        <f>IMAGE("https://images.lululemon.com/is/image/lululemon/0001",1)</f>
        <v/>
      </c>
      <c r="J1879" s="7" t="inlineStr">
        <is>
          <t>16</t>
        </is>
      </c>
      <c r="K1879" s="7" t="inlineStr">
        <is>
          <t>17/4627</t>
        </is>
      </c>
      <c r="L1879" s="7" t="inlineStr">
        <is>
          <t>Yes</t>
        </is>
      </c>
      <c r="M1879" s="7" t="inlineStr">
        <is>
          <t>Train hard, not hot. Made from Everlux™, the Wunder Train collection is highly breathable and quickly wicks sweat so you feel less sweaty during (and after) your workout.</t>
        </is>
      </c>
      <c r="N1879" s="7" t="inlineStr">
        <is>
          <t>Wunder-Train-HR-Tight-25</t>
        </is>
      </c>
      <c r="O1879" s="7" t="inlineStr"/>
    </row>
    <row r="1880" ht="80" customHeight="1">
      <c r="A1880" s="4">
        <f>IMAGE("https://images.lululemon.com/is/image/lululemon/LW5CQDS_0001_1?wid=320&amp;op_usm=0.8",1)</f>
        <v/>
      </c>
      <c r="B1880" s="4" t="inlineStr">
        <is>
          <t>Wunder Train High-Rise Tight 25"</t>
        </is>
      </c>
      <c r="C1880" s="4" t="inlineStr">
        <is>
          <t>114825577</t>
        </is>
      </c>
      <c r="D1880" s="4" t="inlineStr">
        <is>
          <t>114825577-black</t>
        </is>
      </c>
      <c r="E1880" s="4" t="inlineStr">
        <is>
          <t>Wunder Train HR Tight 25" BLK 2</t>
        </is>
      </c>
      <c r="F1880" s="4" t="inlineStr">
        <is>
          <t>$98.00</t>
        </is>
      </c>
      <c r="G1880" s="4" t="inlineStr">
        <is>
          <t>$49.00</t>
        </is>
      </c>
      <c r="H1880" s="4" t="inlineStr">
        <is>
          <t>Black</t>
        </is>
      </c>
      <c r="I1880" s="4">
        <f>IMAGE("https://images.lululemon.com/is/image/lululemon/0001",1)</f>
        <v/>
      </c>
      <c r="J1880" s="4" t="inlineStr">
        <is>
          <t>18</t>
        </is>
      </c>
      <c r="K1880" s="4" t="inlineStr">
        <is>
          <t>27/4627</t>
        </is>
      </c>
      <c r="L1880" s="4" t="inlineStr">
        <is>
          <t>Yes</t>
        </is>
      </c>
      <c r="M1880" s="4" t="inlineStr">
        <is>
          <t>Train hard, not hot. Made from Everlux™, the Wunder Train collection is highly breathable and quickly wicks sweat so you feel less sweaty during (and after) your workout.</t>
        </is>
      </c>
      <c r="N1880" s="4" t="inlineStr">
        <is>
          <t>Wunder-Train-HR-Tight-25</t>
        </is>
      </c>
      <c r="O1880" s="4" t="inlineStr"/>
    </row>
    <row r="1881" ht="80" customHeight="1">
      <c r="A1881" s="7">
        <f>IMAGE("https://images.lululemon.com/is/image/lululemon/LW5CQDS_0001_1?wid=320&amp;op_usm=0.8",1)</f>
        <v/>
      </c>
      <c r="B1881" s="7" t="inlineStr">
        <is>
          <t>Wunder Train High-Rise Tight 25"</t>
        </is>
      </c>
      <c r="C1881" s="7" t="inlineStr">
        <is>
          <t>123028156</t>
        </is>
      </c>
      <c r="D1881" s="7" t="inlineStr">
        <is>
          <t>123028156-black</t>
        </is>
      </c>
      <c r="E1881" s="7" t="inlineStr">
        <is>
          <t>Wunder Train HR Tight 25" BLK 2</t>
        </is>
      </c>
      <c r="F1881" s="7" t="inlineStr">
        <is>
          <t>$98.00</t>
        </is>
      </c>
      <c r="G1881" s="7" t="inlineStr">
        <is>
          <t>$49.00</t>
        </is>
      </c>
      <c r="H1881" s="7" t="inlineStr">
        <is>
          <t>Black</t>
        </is>
      </c>
      <c r="I1881" s="7">
        <f>IMAGE("https://images.lululemon.com/is/image/lululemon/0001",1)</f>
        <v/>
      </c>
      <c r="J1881" s="7" t="inlineStr">
        <is>
          <t>20</t>
        </is>
      </c>
      <c r="K1881" s="7" t="inlineStr">
        <is>
          <t>17/4627</t>
        </is>
      </c>
      <c r="L1881" s="7" t="inlineStr">
        <is>
          <t>Yes</t>
        </is>
      </c>
      <c r="M1881" s="7" t="inlineStr">
        <is>
          <t>Train hard, not hot. Made from Everlux™, the Wunder Train collection is highly breathable and quickly wicks sweat so you feel less sweaty during (and after) your workout.</t>
        </is>
      </c>
      <c r="N1881" s="7" t="inlineStr">
        <is>
          <t>Wunder-Train-HR-Tight-25</t>
        </is>
      </c>
      <c r="O1881" s="7" t="inlineStr"/>
    </row>
    <row r="1882" ht="80" customHeight="1">
      <c r="A1882" s="4">
        <f>IMAGE("https://images.lululemon.com/is/image/lululemon/LW5CQDS_0001_1?wid=320&amp;op_usm=0.8",1)</f>
        <v/>
      </c>
      <c r="B1882" s="4" t="inlineStr">
        <is>
          <t>Wunder Train High-Rise Tight 25"</t>
        </is>
      </c>
      <c r="C1882" s="4" t="inlineStr">
        <is>
          <t>158019386</t>
        </is>
      </c>
      <c r="D1882" s="4" t="inlineStr">
        <is>
          <t>158019386-indochineblue</t>
        </is>
      </c>
      <c r="E1882" s="4" t="inlineStr">
        <is>
          <t>Wunder Train HR Tight 25" BLK 2</t>
        </is>
      </c>
      <c r="F1882" s="4" t="inlineStr">
        <is>
          <t>$98.00</t>
        </is>
      </c>
      <c r="G1882" s="4" t="inlineStr">
        <is>
          <t>$49.00</t>
        </is>
      </c>
      <c r="H1882" s="4" t="inlineStr">
        <is>
          <t>Indochine Blue</t>
        </is>
      </c>
      <c r="I1882" s="4">
        <f>IMAGE("https://images.lululemon.com/is/image/lululemon/28022",1)</f>
        <v/>
      </c>
      <c r="J1882" s="4" t="inlineStr">
        <is>
          <t>2</t>
        </is>
      </c>
      <c r="K1882" s="4" t="inlineStr">
        <is>
          <t>105/4627</t>
        </is>
      </c>
      <c r="L1882" s="4" t="inlineStr">
        <is>
          <t>Yes</t>
        </is>
      </c>
      <c r="M1882" s="4" t="inlineStr">
        <is>
          <t>Train hard, not hot. Made from Everlux™, the Wunder Train collection is highly breathable and quickly wicks sweat so you feel less sweaty during (and after) your workout.</t>
        </is>
      </c>
      <c r="N1882" s="4" t="inlineStr">
        <is>
          <t>Wunder-Train-HR-Tight-25</t>
        </is>
      </c>
      <c r="O1882" s="4" t="inlineStr"/>
    </row>
    <row r="1883" ht="80" customHeight="1">
      <c r="A1883" s="7">
        <f>IMAGE("https://images.lululemon.com/is/image/lululemon/LW5CQDS_0001_1?wid=320&amp;op_usm=0.8",1)</f>
        <v/>
      </c>
      <c r="B1883" s="7" t="inlineStr">
        <is>
          <t>Wunder Train High-Rise Tight 25"</t>
        </is>
      </c>
      <c r="C1883" s="7" t="inlineStr">
        <is>
          <t>158019404</t>
        </is>
      </c>
      <c r="D1883" s="7" t="inlineStr">
        <is>
          <t>158019404-indochineblue</t>
        </is>
      </c>
      <c r="E1883" s="7" t="inlineStr">
        <is>
          <t>Wunder Train HR Tight 25" BLK 2</t>
        </is>
      </c>
      <c r="F1883" s="7" t="inlineStr">
        <is>
          <t>$98.00</t>
        </is>
      </c>
      <c r="G1883" s="7" t="inlineStr">
        <is>
          <t>$49.00</t>
        </is>
      </c>
      <c r="H1883" s="7" t="inlineStr">
        <is>
          <t>Indochine Blue</t>
        </is>
      </c>
      <c r="I1883" s="7">
        <f>IMAGE("https://images.lululemon.com/is/image/lululemon/28022",1)</f>
        <v/>
      </c>
      <c r="J1883" s="7" t="inlineStr">
        <is>
          <t>4</t>
        </is>
      </c>
      <c r="K1883" s="7" t="inlineStr">
        <is>
          <t>238/4627</t>
        </is>
      </c>
      <c r="L1883" s="7" t="inlineStr">
        <is>
          <t>Yes</t>
        </is>
      </c>
      <c r="M1883" s="7" t="inlineStr">
        <is>
          <t>Train hard, not hot. Made from Everlux™, the Wunder Train collection is highly breathable and quickly wicks sweat so you feel less sweaty during (and after) your workout.</t>
        </is>
      </c>
      <c r="N1883" s="7" t="inlineStr">
        <is>
          <t>Wunder-Train-HR-Tight-25</t>
        </is>
      </c>
      <c r="O1883" s="7" t="inlineStr"/>
    </row>
    <row r="1884" ht="80" customHeight="1">
      <c r="A1884" s="4">
        <f>IMAGE("https://images.lululemon.com/is/image/lululemon/LW5CQDS_0001_1?wid=320&amp;op_usm=0.8",1)</f>
        <v/>
      </c>
      <c r="B1884" s="4" t="inlineStr">
        <is>
          <t>Wunder Train High-Rise Tight 25"</t>
        </is>
      </c>
      <c r="C1884" s="4" t="inlineStr">
        <is>
          <t>158019414</t>
        </is>
      </c>
      <c r="D1884" s="4" t="inlineStr">
        <is>
          <t>158019414-indochineblue</t>
        </is>
      </c>
      <c r="E1884" s="4" t="inlineStr">
        <is>
          <t>Wunder Train HR Tight 25" BLK 2</t>
        </is>
      </c>
      <c r="F1884" s="4" t="inlineStr">
        <is>
          <t>$98.00</t>
        </is>
      </c>
      <c r="G1884" s="4" t="inlineStr">
        <is>
          <t>$49.00</t>
        </is>
      </c>
      <c r="H1884" s="4" t="inlineStr">
        <is>
          <t>Indochine Blue</t>
        </is>
      </c>
      <c r="I1884" s="4">
        <f>IMAGE("https://images.lululemon.com/is/image/lululemon/28022",1)</f>
        <v/>
      </c>
      <c r="J1884" s="4" t="inlineStr">
        <is>
          <t>6</t>
        </is>
      </c>
      <c r="K1884" s="4" t="inlineStr">
        <is>
          <t>275/4627</t>
        </is>
      </c>
      <c r="L1884" s="4" t="inlineStr">
        <is>
          <t>Yes</t>
        </is>
      </c>
      <c r="M1884" s="4" t="inlineStr">
        <is>
          <t>Train hard, not hot. Made from Everlux™, the Wunder Train collection is highly breathable and quickly wicks sweat so you feel less sweaty during (and after) your workout.</t>
        </is>
      </c>
      <c r="N1884" s="4" t="inlineStr">
        <is>
          <t>Wunder-Train-HR-Tight-25</t>
        </is>
      </c>
      <c r="O1884" s="4" t="inlineStr"/>
    </row>
    <row r="1885" ht="80" customHeight="1">
      <c r="A1885" s="7">
        <f>IMAGE("https://images.lululemon.com/is/image/lululemon/LW5CQDS_0001_1?wid=320&amp;op_usm=0.8",1)</f>
        <v/>
      </c>
      <c r="B1885" s="7" t="inlineStr">
        <is>
          <t>Wunder Train High-Rise Tight 25"</t>
        </is>
      </c>
      <c r="C1885" s="7" t="inlineStr">
        <is>
          <t>158019424</t>
        </is>
      </c>
      <c r="D1885" s="7" t="inlineStr">
        <is>
          <t>158019424-indochineblue</t>
        </is>
      </c>
      <c r="E1885" s="7" t="inlineStr">
        <is>
          <t>Wunder Train HR Tight 25" BLK 2</t>
        </is>
      </c>
      <c r="F1885" s="7" t="inlineStr">
        <is>
          <t>$98.00</t>
        </is>
      </c>
      <c r="G1885" s="7" t="inlineStr">
        <is>
          <t>$49.00</t>
        </is>
      </c>
      <c r="H1885" s="7" t="inlineStr">
        <is>
          <t>Indochine Blue</t>
        </is>
      </c>
      <c r="I1885" s="7">
        <f>IMAGE("https://images.lululemon.com/is/image/lululemon/28022",1)</f>
        <v/>
      </c>
      <c r="J1885" s="7" t="inlineStr">
        <is>
          <t>8</t>
        </is>
      </c>
      <c r="K1885" s="7" t="inlineStr">
        <is>
          <t>215/4627</t>
        </is>
      </c>
      <c r="L1885" s="7" t="inlineStr">
        <is>
          <t>Yes</t>
        </is>
      </c>
      <c r="M1885" s="7" t="inlineStr">
        <is>
          <t>Train hard, not hot. Made from Everlux™, the Wunder Train collection is highly breathable and quickly wicks sweat so you feel less sweaty during (and after) your workout.</t>
        </is>
      </c>
      <c r="N1885" s="7" t="inlineStr">
        <is>
          <t>Wunder-Train-HR-Tight-25</t>
        </is>
      </c>
      <c r="O1885" s="7" t="inlineStr"/>
    </row>
    <row r="1886" ht="80" customHeight="1">
      <c r="A1886" s="4">
        <f>IMAGE("https://images.lululemon.com/is/image/lululemon/LW5CQDS_0001_1?wid=320&amp;op_usm=0.8",1)</f>
        <v/>
      </c>
      <c r="B1886" s="4" t="inlineStr">
        <is>
          <t>Wunder Train High-Rise Tight 25"</t>
        </is>
      </c>
      <c r="C1886" s="4" t="inlineStr">
        <is>
          <t>158019329</t>
        </is>
      </c>
      <c r="D1886" s="4" t="inlineStr">
        <is>
          <t>158019329-indochineblue</t>
        </is>
      </c>
      <c r="E1886" s="4" t="inlineStr">
        <is>
          <t>Wunder Train HR Tight 25" BLK 2</t>
        </is>
      </c>
      <c r="F1886" s="4" t="inlineStr">
        <is>
          <t>$98.00</t>
        </is>
      </c>
      <c r="G1886" s="4" t="inlineStr">
        <is>
          <t>$49.00</t>
        </is>
      </c>
      <c r="H1886" s="4" t="inlineStr">
        <is>
          <t>Indochine Blue</t>
        </is>
      </c>
      <c r="I1886" s="4">
        <f>IMAGE("https://images.lululemon.com/is/image/lululemon/28022",1)</f>
        <v/>
      </c>
      <c r="J1886" s="4" t="inlineStr">
        <is>
          <t>10</t>
        </is>
      </c>
      <c r="K1886" s="4" t="inlineStr">
        <is>
          <t>123/4627</t>
        </is>
      </c>
      <c r="L1886" s="4" t="inlineStr">
        <is>
          <t>Yes</t>
        </is>
      </c>
      <c r="M1886" s="4" t="inlineStr">
        <is>
          <t>Train hard, not hot. Made from Everlux™, the Wunder Train collection is highly breathable and quickly wicks sweat so you feel less sweaty during (and after) your workout.</t>
        </is>
      </c>
      <c r="N1886" s="4" t="inlineStr">
        <is>
          <t>Wunder-Train-HR-Tight-25</t>
        </is>
      </c>
      <c r="O1886" s="4" t="inlineStr"/>
    </row>
    <row r="1887" ht="80" customHeight="1">
      <c r="A1887" s="7">
        <f>IMAGE("https://images.lululemon.com/is/image/lululemon/LW5CQDS_0001_1?wid=320&amp;op_usm=0.8",1)</f>
        <v/>
      </c>
      <c r="B1887" s="7" t="inlineStr">
        <is>
          <t>Wunder Train High-Rise Tight 25"</t>
        </is>
      </c>
      <c r="C1887" s="7" t="inlineStr">
        <is>
          <t>158019344</t>
        </is>
      </c>
      <c r="D1887" s="7" t="inlineStr">
        <is>
          <t>158019344-indochineblue</t>
        </is>
      </c>
      <c r="E1887" s="7" t="inlineStr">
        <is>
          <t>Wunder Train HR Tight 25" BLK 2</t>
        </is>
      </c>
      <c r="F1887" s="7" t="inlineStr">
        <is>
          <t>$98.00</t>
        </is>
      </c>
      <c r="G1887" s="7" t="inlineStr">
        <is>
          <t>$49.00</t>
        </is>
      </c>
      <c r="H1887" s="7" t="inlineStr">
        <is>
          <t>Indochine Blue</t>
        </is>
      </c>
      <c r="I1887" s="7">
        <f>IMAGE("https://images.lululemon.com/is/image/lululemon/28022",1)</f>
        <v/>
      </c>
      <c r="J1887" s="7" t="inlineStr">
        <is>
          <t>12</t>
        </is>
      </c>
      <c r="K1887" s="7" t="inlineStr">
        <is>
          <t>51/4627</t>
        </is>
      </c>
      <c r="L1887" s="7" t="inlineStr">
        <is>
          <t>Yes</t>
        </is>
      </c>
      <c r="M1887" s="7" t="inlineStr">
        <is>
          <t>Train hard, not hot. Made from Everlux™, the Wunder Train collection is highly breathable and quickly wicks sweat so you feel less sweaty during (and after) your workout.</t>
        </is>
      </c>
      <c r="N1887" s="7" t="inlineStr">
        <is>
          <t>Wunder-Train-HR-Tight-25</t>
        </is>
      </c>
      <c r="O1887" s="7" t="inlineStr"/>
    </row>
    <row r="1888" ht="80" customHeight="1">
      <c r="A1888" s="4">
        <f>IMAGE("https://images.lululemon.com/is/image/lululemon/LW5CQDS_0001_1?wid=320&amp;op_usm=0.8",1)</f>
        <v/>
      </c>
      <c r="B1888" s="4" t="inlineStr">
        <is>
          <t>Wunder Train High-Rise Tight 25"</t>
        </is>
      </c>
      <c r="C1888" s="4" t="inlineStr">
        <is>
          <t>158024304</t>
        </is>
      </c>
      <c r="D1888" s="4" t="inlineStr">
        <is>
          <t>158024304-minifiligreelacetruenavymulti</t>
        </is>
      </c>
      <c r="E1888" s="4" t="inlineStr">
        <is>
          <t>Wunder Train HR Tight 25" BLK 2</t>
        </is>
      </c>
      <c r="F1888" s="4" t="inlineStr">
        <is>
          <t>$98.00</t>
        </is>
      </c>
      <c r="G1888" s="4" t="inlineStr">
        <is>
          <t>$49.00</t>
        </is>
      </c>
      <c r="H1888" s="4" t="inlineStr">
        <is>
          <t>Mini Filigree Lace True Navy Multi</t>
        </is>
      </c>
      <c r="I1888" s="4">
        <f>IMAGE("https://images.lululemon.com/is/image/lululemon/74331",1)</f>
        <v/>
      </c>
      <c r="J1888" s="4" t="inlineStr">
        <is>
          <t>2</t>
        </is>
      </c>
      <c r="K1888" s="4" t="inlineStr">
        <is>
          <t>41/4627</t>
        </is>
      </c>
      <c r="L1888" s="4" t="inlineStr">
        <is>
          <t>Yes</t>
        </is>
      </c>
      <c r="M1888" s="4" t="inlineStr">
        <is>
          <t>Train hard, not hot. Made from Everlux™, the Wunder Train collection is highly breathable and quickly wicks sweat so you feel less sweaty during (and after) your workout.</t>
        </is>
      </c>
      <c r="N1888" s="4" t="inlineStr">
        <is>
          <t>Wunder-Train-HR-Tight-25</t>
        </is>
      </c>
      <c r="O1888" s="4" t="inlineStr"/>
    </row>
    <row r="1889" ht="80" customHeight="1">
      <c r="A1889" s="7">
        <f>IMAGE("https://images.lululemon.com/is/image/lululemon/LW5CQDS_0001_1?wid=320&amp;op_usm=0.8",1)</f>
        <v/>
      </c>
      <c r="B1889" s="7" t="inlineStr">
        <is>
          <t>Wunder Train High-Rise Tight 25"</t>
        </is>
      </c>
      <c r="C1889" s="7" t="inlineStr">
        <is>
          <t>158024331</t>
        </is>
      </c>
      <c r="D1889" s="7" t="inlineStr">
        <is>
          <t>158024331-minifiligreelacetruenavymulti</t>
        </is>
      </c>
      <c r="E1889" s="7" t="inlineStr">
        <is>
          <t>Wunder Train HR Tight 25" BLK 2</t>
        </is>
      </c>
      <c r="F1889" s="7" t="inlineStr">
        <is>
          <t>$98.00</t>
        </is>
      </c>
      <c r="G1889" s="7" t="inlineStr">
        <is>
          <t>$49.00</t>
        </is>
      </c>
      <c r="H1889" s="7" t="inlineStr">
        <is>
          <t>Mini Filigree Lace True Navy Multi</t>
        </is>
      </c>
      <c r="I1889" s="7">
        <f>IMAGE("https://images.lululemon.com/is/image/lululemon/74331",1)</f>
        <v/>
      </c>
      <c r="J1889" s="7" t="inlineStr">
        <is>
          <t>4</t>
        </is>
      </c>
      <c r="K1889" s="7" t="inlineStr">
        <is>
          <t>95/4627</t>
        </is>
      </c>
      <c r="L1889" s="7" t="inlineStr">
        <is>
          <t>Yes</t>
        </is>
      </c>
      <c r="M1889" s="7" t="inlineStr">
        <is>
          <t>Train hard, not hot. Made from Everlux™, the Wunder Train collection is highly breathable and quickly wicks sweat so you feel less sweaty during (and after) your workout.</t>
        </is>
      </c>
      <c r="N1889" s="7" t="inlineStr">
        <is>
          <t>Wunder-Train-HR-Tight-25</t>
        </is>
      </c>
      <c r="O1889" s="7" t="inlineStr"/>
    </row>
    <row r="1890" ht="80" customHeight="1">
      <c r="A1890" s="4">
        <f>IMAGE("https://images.lululemon.com/is/image/lululemon/LW5CQDS_0001_1?wid=320&amp;op_usm=0.8",1)</f>
        <v/>
      </c>
      <c r="B1890" s="4" t="inlineStr">
        <is>
          <t>Wunder Train High-Rise Tight 25"</t>
        </is>
      </c>
      <c r="C1890" s="4" t="inlineStr">
        <is>
          <t>158024344</t>
        </is>
      </c>
      <c r="D1890" s="4" t="inlineStr">
        <is>
          <t>158024344-minifiligreelacetruenavymulti</t>
        </is>
      </c>
      <c r="E1890" s="4" t="inlineStr">
        <is>
          <t>Wunder Train HR Tight 25" BLK 2</t>
        </is>
      </c>
      <c r="F1890" s="4" t="inlineStr">
        <is>
          <t>$98.00</t>
        </is>
      </c>
      <c r="G1890" s="4" t="inlineStr">
        <is>
          <t>$49.00</t>
        </is>
      </c>
      <c r="H1890" s="4" t="inlineStr">
        <is>
          <t>Mini Filigree Lace True Navy Multi</t>
        </is>
      </c>
      <c r="I1890" s="4">
        <f>IMAGE("https://images.lululemon.com/is/image/lululemon/74331",1)</f>
        <v/>
      </c>
      <c r="J1890" s="4" t="inlineStr">
        <is>
          <t>6</t>
        </is>
      </c>
      <c r="K1890" s="4" t="inlineStr">
        <is>
          <t>114/4627</t>
        </is>
      </c>
      <c r="L1890" s="4" t="inlineStr">
        <is>
          <t>Yes</t>
        </is>
      </c>
      <c r="M1890" s="4" t="inlineStr">
        <is>
          <t>Train hard, not hot. Made from Everlux™, the Wunder Train collection is highly breathable and quickly wicks sweat so you feel less sweaty during (and after) your workout.</t>
        </is>
      </c>
      <c r="N1890" s="4" t="inlineStr">
        <is>
          <t>Wunder-Train-HR-Tight-25</t>
        </is>
      </c>
      <c r="O1890" s="4" t="inlineStr"/>
    </row>
    <row r="1891" ht="80" customHeight="1">
      <c r="A1891" s="7">
        <f>IMAGE("https://images.lululemon.com/is/image/lululemon/LW5CQDS_0001_1?wid=320&amp;op_usm=0.8",1)</f>
        <v/>
      </c>
      <c r="B1891" s="7" t="inlineStr">
        <is>
          <t>Wunder Train High-Rise Tight 25"</t>
        </is>
      </c>
      <c r="C1891" s="7" t="inlineStr">
        <is>
          <t>158024357</t>
        </is>
      </c>
      <c r="D1891" s="7" t="inlineStr">
        <is>
          <t>158024357-minifiligreelacetruenavymulti</t>
        </is>
      </c>
      <c r="E1891" s="7" t="inlineStr">
        <is>
          <t>Wunder Train HR Tight 25" BLK 2</t>
        </is>
      </c>
      <c r="F1891" s="7" t="inlineStr">
        <is>
          <t>$98.00</t>
        </is>
      </c>
      <c r="G1891" s="7" t="inlineStr">
        <is>
          <t>$49.00</t>
        </is>
      </c>
      <c r="H1891" s="7" t="inlineStr">
        <is>
          <t>Mini Filigree Lace True Navy Multi</t>
        </is>
      </c>
      <c r="I1891" s="7">
        <f>IMAGE("https://images.lululemon.com/is/image/lululemon/74331",1)</f>
        <v/>
      </c>
      <c r="J1891" s="7" t="inlineStr">
        <is>
          <t>8</t>
        </is>
      </c>
      <c r="K1891" s="7" t="inlineStr">
        <is>
          <t>91/4627</t>
        </is>
      </c>
      <c r="L1891" s="7" t="inlineStr">
        <is>
          <t>Yes</t>
        </is>
      </c>
      <c r="M1891" s="7" t="inlineStr">
        <is>
          <t>Train hard, not hot. Made from Everlux™, the Wunder Train collection is highly breathable and quickly wicks sweat so you feel less sweaty during (and after) your workout.</t>
        </is>
      </c>
      <c r="N1891" s="7" t="inlineStr">
        <is>
          <t>Wunder-Train-HR-Tight-25</t>
        </is>
      </c>
      <c r="O1891" s="7" t="inlineStr"/>
    </row>
    <row r="1892" ht="80" customHeight="1">
      <c r="A1892" s="4">
        <f>IMAGE("https://images.lululemon.com/is/image/lululemon/LW5CQDS_0001_1?wid=320&amp;op_usm=0.8",1)</f>
        <v/>
      </c>
      <c r="B1892" s="4" t="inlineStr">
        <is>
          <t>Wunder Train High-Rise Tight 25"</t>
        </is>
      </c>
      <c r="C1892" s="4" t="inlineStr">
        <is>
          <t>158024232</t>
        </is>
      </c>
      <c r="D1892" s="4" t="inlineStr">
        <is>
          <t>158024232-minifiligreelacetruenavymulti</t>
        </is>
      </c>
      <c r="E1892" s="4" t="inlineStr">
        <is>
          <t>Wunder Train HR Tight 25" BLK 2</t>
        </is>
      </c>
      <c r="F1892" s="4" t="inlineStr">
        <is>
          <t>$98.00</t>
        </is>
      </c>
      <c r="G1892" s="4" t="inlineStr">
        <is>
          <t>$49.00</t>
        </is>
      </c>
      <c r="H1892" s="4" t="inlineStr">
        <is>
          <t>Mini Filigree Lace True Navy Multi</t>
        </is>
      </c>
      <c r="I1892" s="4">
        <f>IMAGE("https://images.lululemon.com/is/image/lululemon/74331",1)</f>
        <v/>
      </c>
      <c r="J1892" s="4" t="inlineStr">
        <is>
          <t>10</t>
        </is>
      </c>
      <c r="K1892" s="4" t="inlineStr">
        <is>
          <t>57/4627</t>
        </is>
      </c>
      <c r="L1892" s="4" t="inlineStr">
        <is>
          <t>Yes</t>
        </is>
      </c>
      <c r="M1892" s="4" t="inlineStr">
        <is>
          <t>Train hard, not hot. Made from Everlux™, the Wunder Train collection is highly breathable and quickly wicks sweat so you feel less sweaty during (and after) your workout.</t>
        </is>
      </c>
      <c r="N1892" s="4" t="inlineStr">
        <is>
          <t>Wunder-Train-HR-Tight-25</t>
        </is>
      </c>
      <c r="O1892" s="4" t="inlineStr"/>
    </row>
    <row r="1893" ht="80" customHeight="1">
      <c r="A1893" s="7">
        <f>IMAGE("https://images.lululemon.com/is/image/lululemon/LW5CQDS_0001_1?wid=320&amp;op_usm=0.8",1)</f>
        <v/>
      </c>
      <c r="B1893" s="7" t="inlineStr">
        <is>
          <t>Wunder Train High-Rise Tight 25"</t>
        </is>
      </c>
      <c r="C1893" s="7" t="inlineStr">
        <is>
          <t>158024248</t>
        </is>
      </c>
      <c r="D1893" s="7" t="inlineStr">
        <is>
          <t>158024248-minifiligreelacetruenavymulti</t>
        </is>
      </c>
      <c r="E1893" s="7" t="inlineStr">
        <is>
          <t>Wunder Train HR Tight 25" BLK 2</t>
        </is>
      </c>
      <c r="F1893" s="7" t="inlineStr">
        <is>
          <t>$98.00</t>
        </is>
      </c>
      <c r="G1893" s="7" t="inlineStr">
        <is>
          <t>$49.00</t>
        </is>
      </c>
      <c r="H1893" s="7" t="inlineStr">
        <is>
          <t>Mini Filigree Lace True Navy Multi</t>
        </is>
      </c>
      <c r="I1893" s="7">
        <f>IMAGE("https://images.lululemon.com/is/image/lululemon/74331",1)</f>
        <v/>
      </c>
      <c r="J1893" s="7" t="inlineStr">
        <is>
          <t>12</t>
        </is>
      </c>
      <c r="K1893" s="7" t="inlineStr">
        <is>
          <t>22/4627</t>
        </is>
      </c>
      <c r="L1893" s="7" t="inlineStr">
        <is>
          <t>Yes</t>
        </is>
      </c>
      <c r="M1893" s="7" t="inlineStr">
        <is>
          <t>Train hard, not hot. Made from Everlux™, the Wunder Train collection is highly breathable and quickly wicks sweat so you feel less sweaty during (and after) your workout.</t>
        </is>
      </c>
      <c r="N1893" s="7" t="inlineStr">
        <is>
          <t>Wunder-Train-HR-Tight-25</t>
        </is>
      </c>
      <c r="O1893" s="7" t="inlineStr"/>
    </row>
    <row r="1894" ht="80" customHeight="1">
      <c r="A1894" s="4">
        <f>IMAGE("https://images.lululemon.com/is/image/lululemon/LW5CQDS_0001_1?wid=320&amp;op_usm=0.8",1)</f>
        <v/>
      </c>
      <c r="B1894" s="4" t="inlineStr">
        <is>
          <t>Wunder Train High-Rise Tight 25"</t>
        </is>
      </c>
      <c r="C1894" s="4" t="inlineStr">
        <is>
          <t>158019479</t>
        </is>
      </c>
      <c r="D1894" s="4" t="inlineStr">
        <is>
          <t>158019479-blackplum</t>
        </is>
      </c>
      <c r="E1894" s="4" t="inlineStr">
        <is>
          <t>Wunder Train HR Tight 25" BLK 2</t>
        </is>
      </c>
      <c r="F1894" s="4" t="inlineStr">
        <is>
          <t>$98.00</t>
        </is>
      </c>
      <c r="G1894" s="4" t="inlineStr">
        <is>
          <t>$49.00</t>
        </is>
      </c>
      <c r="H1894" s="4" t="inlineStr">
        <is>
          <t>Black Plum</t>
        </is>
      </c>
      <c r="I1894" s="4">
        <f>IMAGE("https://images.lululemon.com/is/image/lululemon/34697",1)</f>
        <v/>
      </c>
      <c r="J1894" s="4" t="inlineStr">
        <is>
          <t>2</t>
        </is>
      </c>
      <c r="K1894" s="4" t="inlineStr">
        <is>
          <t>31/4627</t>
        </is>
      </c>
      <c r="L1894" s="4" t="inlineStr">
        <is>
          <t>Yes</t>
        </is>
      </c>
      <c r="M1894" s="4" t="inlineStr">
        <is>
          <t>Train hard, not hot. Made from Everlux™, the Wunder Train collection is highly breathable and quickly wicks sweat so you feel less sweaty during (and after) your workout.</t>
        </is>
      </c>
      <c r="N1894" s="4" t="inlineStr">
        <is>
          <t>Wunder-Train-HR-Tight-25</t>
        </is>
      </c>
      <c r="O1894" s="4" t="inlineStr"/>
    </row>
    <row r="1895" ht="80" customHeight="1">
      <c r="A1895" s="7">
        <f>IMAGE("https://images.lululemon.com/is/image/lululemon/LW5CQDS_0001_1?wid=320&amp;op_usm=0.8",1)</f>
        <v/>
      </c>
      <c r="B1895" s="7" t="inlineStr">
        <is>
          <t>Wunder Train High-Rise Tight 25"</t>
        </is>
      </c>
      <c r="C1895" s="7" t="inlineStr">
        <is>
          <t>158019493</t>
        </is>
      </c>
      <c r="D1895" s="7" t="inlineStr">
        <is>
          <t>158019493-blackplum</t>
        </is>
      </c>
      <c r="E1895" s="7" t="inlineStr">
        <is>
          <t>Wunder Train HR Tight 25" BLK 2</t>
        </is>
      </c>
      <c r="F1895" s="7" t="inlineStr">
        <is>
          <t>$98.00</t>
        </is>
      </c>
      <c r="G1895" s="7" t="inlineStr">
        <is>
          <t>$49.00</t>
        </is>
      </c>
      <c r="H1895" s="7" t="inlineStr">
        <is>
          <t>Black Plum</t>
        </is>
      </c>
      <c r="I1895" s="7">
        <f>IMAGE("https://images.lululemon.com/is/image/lululemon/34697",1)</f>
        <v/>
      </c>
      <c r="J1895" s="7" t="inlineStr">
        <is>
          <t>4</t>
        </is>
      </c>
      <c r="K1895" s="7" t="inlineStr">
        <is>
          <t>67/4627</t>
        </is>
      </c>
      <c r="L1895" s="7" t="inlineStr">
        <is>
          <t>Yes</t>
        </is>
      </c>
      <c r="M1895" s="7" t="inlineStr">
        <is>
          <t>Train hard, not hot. Made from Everlux™, the Wunder Train collection is highly breathable and quickly wicks sweat so you feel less sweaty during (and after) your workout.</t>
        </is>
      </c>
      <c r="N1895" s="7" t="inlineStr">
        <is>
          <t>Wunder-Train-HR-Tight-25</t>
        </is>
      </c>
      <c r="O1895" s="7" t="inlineStr"/>
    </row>
    <row r="1896" ht="80" customHeight="1">
      <c r="A1896" s="4">
        <f>IMAGE("https://images.lululemon.com/is/image/lululemon/LW5CQDS_0001_1?wid=320&amp;op_usm=0.8",1)</f>
        <v/>
      </c>
      <c r="B1896" s="4" t="inlineStr">
        <is>
          <t>Wunder Train High-Rise Tight 25"</t>
        </is>
      </c>
      <c r="C1896" s="4" t="inlineStr">
        <is>
          <t>158019500</t>
        </is>
      </c>
      <c r="D1896" s="4" t="inlineStr">
        <is>
          <t>158019500-blackplum</t>
        </is>
      </c>
      <c r="E1896" s="4" t="inlineStr">
        <is>
          <t>Wunder Train HR Tight 25" BLK 2</t>
        </is>
      </c>
      <c r="F1896" s="4" t="inlineStr">
        <is>
          <t>$98.00</t>
        </is>
      </c>
      <c r="G1896" s="4" t="inlineStr">
        <is>
          <t>$49.00</t>
        </is>
      </c>
      <c r="H1896" s="4" t="inlineStr">
        <is>
          <t>Black Plum</t>
        </is>
      </c>
      <c r="I1896" s="4">
        <f>IMAGE("https://images.lululemon.com/is/image/lululemon/34697",1)</f>
        <v/>
      </c>
      <c r="J1896" s="4" t="inlineStr">
        <is>
          <t>6</t>
        </is>
      </c>
      <c r="K1896" s="4" t="inlineStr">
        <is>
          <t>75/4627</t>
        </is>
      </c>
      <c r="L1896" s="4" t="inlineStr">
        <is>
          <t>Yes</t>
        </is>
      </c>
      <c r="M1896" s="4" t="inlineStr">
        <is>
          <t>Train hard, not hot. Made from Everlux™, the Wunder Train collection is highly breathable and quickly wicks sweat so you feel less sweaty during (and after) your workout.</t>
        </is>
      </c>
      <c r="N1896" s="4" t="inlineStr">
        <is>
          <t>Wunder-Train-HR-Tight-25</t>
        </is>
      </c>
      <c r="O1896" s="4" t="inlineStr"/>
    </row>
    <row r="1897" ht="80" customHeight="1">
      <c r="A1897" s="7">
        <f>IMAGE("https://images.lululemon.com/is/image/lululemon/LW5CQDS_0001_1?wid=320&amp;op_usm=0.8",1)</f>
        <v/>
      </c>
      <c r="B1897" s="7" t="inlineStr">
        <is>
          <t>Wunder Train High-Rise Tight 25"</t>
        </is>
      </c>
      <c r="C1897" s="7" t="inlineStr">
        <is>
          <t>158019507</t>
        </is>
      </c>
      <c r="D1897" s="7" t="inlineStr">
        <is>
          <t>158019507-blackplum</t>
        </is>
      </c>
      <c r="E1897" s="7" t="inlineStr">
        <is>
          <t>Wunder Train HR Tight 25" BLK 2</t>
        </is>
      </c>
      <c r="F1897" s="7" t="inlineStr">
        <is>
          <t>$98.00</t>
        </is>
      </c>
      <c r="G1897" s="7" t="inlineStr">
        <is>
          <t>$49.00</t>
        </is>
      </c>
      <c r="H1897" s="7" t="inlineStr">
        <is>
          <t>Black Plum</t>
        </is>
      </c>
      <c r="I1897" s="7">
        <f>IMAGE("https://images.lululemon.com/is/image/lululemon/34697",1)</f>
        <v/>
      </c>
      <c r="J1897" s="7" t="inlineStr">
        <is>
          <t>8</t>
        </is>
      </c>
      <c r="K1897" s="7" t="inlineStr">
        <is>
          <t>56/4627</t>
        </is>
      </c>
      <c r="L1897" s="7" t="inlineStr">
        <is>
          <t>Yes</t>
        </is>
      </c>
      <c r="M1897" s="7" t="inlineStr">
        <is>
          <t>Train hard, not hot. Made from Everlux™, the Wunder Train collection is highly breathable and quickly wicks sweat so you feel less sweaty during (and after) your workout.</t>
        </is>
      </c>
      <c r="N1897" s="7" t="inlineStr">
        <is>
          <t>Wunder-Train-HR-Tight-25</t>
        </is>
      </c>
      <c r="O1897" s="7" t="inlineStr"/>
    </row>
    <row r="1898" ht="80" customHeight="1">
      <c r="A1898" s="4">
        <f>IMAGE("https://images.lululemon.com/is/image/lululemon/LW5CQDS_0001_1?wid=320&amp;op_usm=0.8",1)</f>
        <v/>
      </c>
      <c r="B1898" s="4" t="inlineStr">
        <is>
          <t>Wunder Train High-Rise Tight 25"</t>
        </is>
      </c>
      <c r="C1898" s="4" t="inlineStr">
        <is>
          <t>158019445</t>
        </is>
      </c>
      <c r="D1898" s="4" t="inlineStr">
        <is>
          <t>158019445-blackplum</t>
        </is>
      </c>
      <c r="E1898" s="4" t="inlineStr">
        <is>
          <t>Wunder Train HR Tight 25" BLK 2</t>
        </is>
      </c>
      <c r="F1898" s="4" t="inlineStr">
        <is>
          <t>$98.00</t>
        </is>
      </c>
      <c r="G1898" s="4" t="inlineStr">
        <is>
          <t>$49.00</t>
        </is>
      </c>
      <c r="H1898" s="4" t="inlineStr">
        <is>
          <t>Black Plum</t>
        </is>
      </c>
      <c r="I1898" s="4">
        <f>IMAGE("https://images.lululemon.com/is/image/lululemon/34697",1)</f>
        <v/>
      </c>
      <c r="J1898" s="4" t="inlineStr">
        <is>
          <t>10</t>
        </is>
      </c>
      <c r="K1898" s="4" t="inlineStr">
        <is>
          <t>33/4627</t>
        </is>
      </c>
      <c r="L1898" s="4" t="inlineStr">
        <is>
          <t>Yes</t>
        </is>
      </c>
      <c r="M1898" s="4" t="inlineStr">
        <is>
          <t>Train hard, not hot. Made from Everlux™, the Wunder Train collection is highly breathable and quickly wicks sweat so you feel less sweaty during (and after) your workout.</t>
        </is>
      </c>
      <c r="N1898" s="4" t="inlineStr">
        <is>
          <t>Wunder-Train-HR-Tight-25</t>
        </is>
      </c>
      <c r="O1898" s="4" t="inlineStr"/>
    </row>
    <row r="1899" ht="80" customHeight="1">
      <c r="A1899" s="7">
        <f>IMAGE("https://images.lululemon.com/is/image/lululemon/LW5CQDS_0001_1?wid=320&amp;op_usm=0.8",1)</f>
        <v/>
      </c>
      <c r="B1899" s="7" t="inlineStr">
        <is>
          <t>Wunder Train High-Rise Tight 25"</t>
        </is>
      </c>
      <c r="C1899" s="7" t="inlineStr">
        <is>
          <t>158019451</t>
        </is>
      </c>
      <c r="D1899" s="7" t="inlineStr">
        <is>
          <t>158019451-blackplum</t>
        </is>
      </c>
      <c r="E1899" s="7" t="inlineStr">
        <is>
          <t>Wunder Train HR Tight 25" BLK 2</t>
        </is>
      </c>
      <c r="F1899" s="7" t="inlineStr">
        <is>
          <t>$98.00</t>
        </is>
      </c>
      <c r="G1899" s="7" t="inlineStr">
        <is>
          <t>$49.00</t>
        </is>
      </c>
      <c r="H1899" s="7" t="inlineStr">
        <is>
          <t>Black Plum</t>
        </is>
      </c>
      <c r="I1899" s="7">
        <f>IMAGE("https://images.lululemon.com/is/image/lululemon/34697",1)</f>
        <v/>
      </c>
      <c r="J1899" s="7" t="inlineStr">
        <is>
          <t>12</t>
        </is>
      </c>
      <c r="K1899" s="7" t="inlineStr">
        <is>
          <t>15/4627</t>
        </is>
      </c>
      <c r="L1899" s="7" t="inlineStr">
        <is>
          <t>Yes</t>
        </is>
      </c>
      <c r="M1899" s="7" t="inlineStr">
        <is>
          <t>Train hard, not hot. Made from Everlux™, the Wunder Train collection is highly breathable and quickly wicks sweat so you feel less sweaty during (and after) your workout.</t>
        </is>
      </c>
      <c r="N1899" s="7" t="inlineStr">
        <is>
          <t>Wunder-Train-HR-Tight-25</t>
        </is>
      </c>
      <c r="O1899" s="7" t="inlineStr"/>
    </row>
    <row r="1900" ht="80" customHeight="1">
      <c r="A1900" s="4">
        <f>IMAGE("https://images.lululemon.com/is/image/lululemon/LW5CQDS_0001_1?wid=320&amp;op_usm=0.8",1)</f>
        <v/>
      </c>
      <c r="B1900" s="4" t="inlineStr">
        <is>
          <t>Wunder Train High-Rise Tight 25"</t>
        </is>
      </c>
      <c r="C1900" s="4" t="inlineStr">
        <is>
          <t>158019545</t>
        </is>
      </c>
      <c r="D1900" s="4" t="inlineStr">
        <is>
          <t>158019545-grapemist</t>
        </is>
      </c>
      <c r="E1900" s="4" t="inlineStr">
        <is>
          <t>Wunder Train HR Tight 25" BLK 2</t>
        </is>
      </c>
      <c r="F1900" s="4" t="inlineStr">
        <is>
          <t>$98.00</t>
        </is>
      </c>
      <c r="G1900" s="4" t="inlineStr">
        <is>
          <t>$49.00</t>
        </is>
      </c>
      <c r="H1900" s="4" t="inlineStr">
        <is>
          <t>Grape Mist</t>
        </is>
      </c>
      <c r="I1900" s="4">
        <f>IMAGE("https://images.lululemon.com/is/image/lululemon/0554",1)</f>
        <v/>
      </c>
      <c r="J1900" s="4" t="inlineStr">
        <is>
          <t>2</t>
        </is>
      </c>
      <c r="K1900" s="4" t="inlineStr">
        <is>
          <t>21/4627</t>
        </is>
      </c>
      <c r="L1900" s="4" t="inlineStr">
        <is>
          <t>Yes</t>
        </is>
      </c>
      <c r="M1900" s="4" t="inlineStr">
        <is>
          <t>Train hard, not hot. Made from Everlux™, the Wunder Train collection is highly breathable and quickly wicks sweat so you feel less sweaty during (and after) your workout.</t>
        </is>
      </c>
      <c r="N1900" s="4" t="inlineStr">
        <is>
          <t>Wunder-Train-HR-Tight-25</t>
        </is>
      </c>
      <c r="O1900" s="4" t="inlineStr"/>
    </row>
    <row r="1901" ht="80" customHeight="1">
      <c r="A1901" s="7">
        <f>IMAGE("https://images.lululemon.com/is/image/lululemon/LW5CQDS_0001_1?wid=320&amp;op_usm=0.8",1)</f>
        <v/>
      </c>
      <c r="B1901" s="7" t="inlineStr">
        <is>
          <t>Wunder Train High-Rise Tight 25"</t>
        </is>
      </c>
      <c r="C1901" s="7" t="inlineStr">
        <is>
          <t>158019556</t>
        </is>
      </c>
      <c r="D1901" s="7" t="inlineStr">
        <is>
          <t>158019556-grapemist</t>
        </is>
      </c>
      <c r="E1901" s="7" t="inlineStr">
        <is>
          <t>Wunder Train HR Tight 25" BLK 2</t>
        </is>
      </c>
      <c r="F1901" s="7" t="inlineStr">
        <is>
          <t>$98.00</t>
        </is>
      </c>
      <c r="G1901" s="7" t="inlineStr">
        <is>
          <t>$49.00</t>
        </is>
      </c>
      <c r="H1901" s="7" t="inlineStr">
        <is>
          <t>Grape Mist</t>
        </is>
      </c>
      <c r="I1901" s="7">
        <f>IMAGE("https://images.lululemon.com/is/image/lululemon/0554",1)</f>
        <v/>
      </c>
      <c r="J1901" s="7" t="inlineStr">
        <is>
          <t>4</t>
        </is>
      </c>
      <c r="K1901" s="7" t="inlineStr">
        <is>
          <t>52/4627</t>
        </is>
      </c>
      <c r="L1901" s="7" t="inlineStr">
        <is>
          <t>Yes</t>
        </is>
      </c>
      <c r="M1901" s="7" t="inlineStr">
        <is>
          <t>Train hard, not hot. Made from Everlux™, the Wunder Train collection is highly breathable and quickly wicks sweat so you feel less sweaty during (and after) your workout.</t>
        </is>
      </c>
      <c r="N1901" s="7" t="inlineStr">
        <is>
          <t>Wunder-Train-HR-Tight-25</t>
        </is>
      </c>
      <c r="O1901" s="7" t="inlineStr"/>
    </row>
    <row r="1902" ht="80" customHeight="1">
      <c r="A1902" s="4">
        <f>IMAGE("https://images.lululemon.com/is/image/lululemon/LW5CQDS_0001_1?wid=320&amp;op_usm=0.8",1)</f>
        <v/>
      </c>
      <c r="B1902" s="4" t="inlineStr">
        <is>
          <t>Wunder Train High-Rise Tight 25"</t>
        </is>
      </c>
      <c r="C1902" s="4" t="inlineStr">
        <is>
          <t>158019561</t>
        </is>
      </c>
      <c r="D1902" s="4" t="inlineStr">
        <is>
          <t>158019561-grapemist</t>
        </is>
      </c>
      <c r="E1902" s="4" t="inlineStr">
        <is>
          <t>Wunder Train HR Tight 25" BLK 2</t>
        </is>
      </c>
      <c r="F1902" s="4" t="inlineStr">
        <is>
          <t>$98.00</t>
        </is>
      </c>
      <c r="G1902" s="4" t="inlineStr">
        <is>
          <t>$49.00</t>
        </is>
      </c>
      <c r="H1902" s="4" t="inlineStr">
        <is>
          <t>Grape Mist</t>
        </is>
      </c>
      <c r="I1902" s="4">
        <f>IMAGE("https://images.lululemon.com/is/image/lululemon/0554",1)</f>
        <v/>
      </c>
      <c r="J1902" s="4" t="inlineStr">
        <is>
          <t>6</t>
        </is>
      </c>
      <c r="K1902" s="4" t="inlineStr">
        <is>
          <t>59/4627</t>
        </is>
      </c>
      <c r="L1902" s="4" t="inlineStr">
        <is>
          <t>Yes</t>
        </is>
      </c>
      <c r="M1902" s="4" t="inlineStr">
        <is>
          <t>Train hard, not hot. Made from Everlux™, the Wunder Train collection is highly breathable and quickly wicks sweat so you feel less sweaty during (and after) your workout.</t>
        </is>
      </c>
      <c r="N1902" s="4" t="inlineStr">
        <is>
          <t>Wunder-Train-HR-Tight-25</t>
        </is>
      </c>
      <c r="O1902" s="4" t="inlineStr"/>
    </row>
    <row r="1903" ht="80" customHeight="1">
      <c r="A1903" s="7">
        <f>IMAGE("https://images.lululemon.com/is/image/lululemon/LW5CQDS_0001_1?wid=320&amp;op_usm=0.8",1)</f>
        <v/>
      </c>
      <c r="B1903" s="7" t="inlineStr">
        <is>
          <t>Wunder Train High-Rise Tight 25"</t>
        </is>
      </c>
      <c r="C1903" s="7" t="inlineStr">
        <is>
          <t>158019565</t>
        </is>
      </c>
      <c r="D1903" s="7" t="inlineStr">
        <is>
          <t>158019565-grapemist</t>
        </is>
      </c>
      <c r="E1903" s="7" t="inlineStr">
        <is>
          <t>Wunder Train HR Tight 25" BLK 2</t>
        </is>
      </c>
      <c r="F1903" s="7" t="inlineStr">
        <is>
          <t>$98.00</t>
        </is>
      </c>
      <c r="G1903" s="7" t="inlineStr">
        <is>
          <t>$49.00</t>
        </is>
      </c>
      <c r="H1903" s="7" t="inlineStr">
        <is>
          <t>Grape Mist</t>
        </is>
      </c>
      <c r="I1903" s="7">
        <f>IMAGE("https://images.lululemon.com/is/image/lululemon/0554",1)</f>
        <v/>
      </c>
      <c r="J1903" s="7" t="inlineStr">
        <is>
          <t>8</t>
        </is>
      </c>
      <c r="K1903" s="7" t="inlineStr">
        <is>
          <t>47/4627</t>
        </is>
      </c>
      <c r="L1903" s="7" t="inlineStr">
        <is>
          <t>Yes</t>
        </is>
      </c>
      <c r="M1903" s="7" t="inlineStr">
        <is>
          <t>Train hard, not hot. Made from Everlux™, the Wunder Train collection is highly breathable and quickly wicks sweat so you feel less sweaty during (and after) your workout.</t>
        </is>
      </c>
      <c r="N1903" s="7" t="inlineStr">
        <is>
          <t>Wunder-Train-HR-Tight-25</t>
        </is>
      </c>
      <c r="O1903" s="7" t="inlineStr"/>
    </row>
    <row r="1904" ht="80" customHeight="1">
      <c r="A1904" s="4">
        <f>IMAGE("https://images.lululemon.com/is/image/lululemon/LW5CQDS_0001_1?wid=320&amp;op_usm=0.8",1)</f>
        <v/>
      </c>
      <c r="B1904" s="4" t="inlineStr">
        <is>
          <t>Wunder Train High-Rise Tight 25"</t>
        </is>
      </c>
      <c r="C1904" s="4" t="inlineStr">
        <is>
          <t>158019517</t>
        </is>
      </c>
      <c r="D1904" s="4" t="inlineStr">
        <is>
          <t>158019517-grapemist</t>
        </is>
      </c>
      <c r="E1904" s="4" t="inlineStr">
        <is>
          <t>Wunder Train HR Tight 25" BLK 2</t>
        </is>
      </c>
      <c r="F1904" s="4" t="inlineStr">
        <is>
          <t>$98.00</t>
        </is>
      </c>
      <c r="G1904" s="4" t="inlineStr">
        <is>
          <t>$49.00</t>
        </is>
      </c>
      <c r="H1904" s="4" t="inlineStr">
        <is>
          <t>Grape Mist</t>
        </is>
      </c>
      <c r="I1904" s="4">
        <f>IMAGE("https://images.lululemon.com/is/image/lululemon/0554",1)</f>
        <v/>
      </c>
      <c r="J1904" s="4" t="inlineStr">
        <is>
          <t>10</t>
        </is>
      </c>
      <c r="K1904" s="4" t="inlineStr">
        <is>
          <t>27/4627</t>
        </is>
      </c>
      <c r="L1904" s="4" t="inlineStr">
        <is>
          <t>Yes</t>
        </is>
      </c>
      <c r="M1904" s="4" t="inlineStr">
        <is>
          <t>Train hard, not hot. Made from Everlux™, the Wunder Train collection is highly breathable and quickly wicks sweat so you feel less sweaty during (and after) your workout.</t>
        </is>
      </c>
      <c r="N1904" s="4" t="inlineStr">
        <is>
          <t>Wunder-Train-HR-Tight-25</t>
        </is>
      </c>
      <c r="O1904" s="4" t="inlineStr"/>
    </row>
    <row r="1905" ht="80" customHeight="1">
      <c r="A1905" s="5">
        <f>IMAGE("https://images.lululemon.com/is/image/lululemon/LW5CQDS_0001_1?wid=320&amp;op_usm=0.8",1)</f>
        <v/>
      </c>
      <c r="B1905" s="5" t="inlineStr">
        <is>
          <t>Wunder Train High-Rise Tight 25"</t>
        </is>
      </c>
      <c r="C1905" s="5" t="inlineStr">
        <is>
          <t>158019522</t>
        </is>
      </c>
      <c r="D1905" s="5" t="inlineStr">
        <is>
          <t>158019522-grapemist</t>
        </is>
      </c>
      <c r="E1905" s="5" t="inlineStr">
        <is>
          <t>Wunder Train HR Tight 25" BLK 2</t>
        </is>
      </c>
      <c r="F1905" s="5" t="inlineStr">
        <is>
          <t>$98.00</t>
        </is>
      </c>
      <c r="G1905" s="5" t="inlineStr">
        <is>
          <t>$49.00</t>
        </is>
      </c>
      <c r="H1905" s="5" t="inlineStr">
        <is>
          <t>Grape Mist</t>
        </is>
      </c>
      <c r="I1905" s="5">
        <f>IMAGE("https://images.lululemon.com/is/image/lululemon/0554",1)</f>
        <v/>
      </c>
      <c r="J1905" s="5" t="inlineStr">
        <is>
          <t>12</t>
        </is>
      </c>
      <c r="K1905" s="5" t="inlineStr">
        <is>
          <t>12/4627</t>
        </is>
      </c>
      <c r="L1905" s="5" t="inlineStr">
        <is>
          <t>Yes</t>
        </is>
      </c>
      <c r="M1905" s="5" t="inlineStr">
        <is>
          <t>Train hard, not hot. Made from Everlux™, the Wunder Train collection is highly breathable and quickly wicks sweat so you feel less sweaty during (and after) your workout.</t>
        </is>
      </c>
      <c r="N1905" s="5" t="inlineStr">
        <is>
          <t>Wunder-Train-HR-Tight-25</t>
        </is>
      </c>
      <c r="O1905" s="5" t="inlineStr"/>
    </row>
    <row r="1906" ht="80" customHeight="1">
      <c r="A1906" s="4">
        <f>IMAGE("https://images.lululemon.com/is/image/lululemon/LW3JSPS_0002_1?wid=320&amp;op_usm=0.8",1)</f>
        <v/>
      </c>
      <c r="B1906" s="4" t="inlineStr">
        <is>
          <t>Quick-Dry Long-Sleeve Polo Shirt *Straight Hem</t>
        </is>
      </c>
      <c r="C1906" s="4" t="inlineStr">
        <is>
          <t>157688342</t>
        </is>
      </c>
      <c r="D1906" s="4" t="inlineStr">
        <is>
          <t>157688342-white</t>
        </is>
      </c>
      <c r="E1906" s="4" t="inlineStr">
        <is>
          <t>Quick-Dry Long-Sleeve Polo *Straight Hem WHT 2</t>
        </is>
      </c>
      <c r="F1906" s="4" t="inlineStr">
        <is>
          <t>$88.00</t>
        </is>
      </c>
      <c r="G1906" s="4" t="inlineStr">
        <is>
          <t>$44.00</t>
        </is>
      </c>
      <c r="H1906" s="4" t="inlineStr">
        <is>
          <t>White</t>
        </is>
      </c>
      <c r="I1906" s="4">
        <f>IMAGE("https://images.lululemon.com/is/image/lululemon/0002",1)</f>
        <v/>
      </c>
      <c r="J1906" s="4" t="inlineStr">
        <is>
          <t>2</t>
        </is>
      </c>
      <c r="K1906" s="4" t="inlineStr">
        <is>
          <t>51/1842</t>
        </is>
      </c>
      <c r="L1906" s="4" t="inlineStr">
        <is>
          <t>Yes</t>
        </is>
      </c>
      <c r="M1906" s="4" t="inlineStr">
        <is>
          <t>Tennis serves or golf swings—whatever you're practicing, this lightweight long-sleeve polo manages sweat so you can focus on your game.</t>
        </is>
      </c>
      <c r="N1906" s="4" t="inlineStr">
        <is>
          <t>Quick-Dry-Long-Sleeve-Polo-Shirt-Straight-Hem</t>
        </is>
      </c>
      <c r="O1906" s="4" t="inlineStr"/>
    </row>
    <row r="1907" ht="80" customHeight="1">
      <c r="A1907" s="7">
        <f>IMAGE("https://images.lululemon.com/is/image/lululemon/LW3JSPS_0002_1?wid=320&amp;op_usm=0.8",1)</f>
        <v/>
      </c>
      <c r="B1907" s="7" t="inlineStr">
        <is>
          <t>Quick-Dry Long-Sleeve Polo Shirt *Straight Hem</t>
        </is>
      </c>
      <c r="C1907" s="7" t="inlineStr">
        <is>
          <t>157688345</t>
        </is>
      </c>
      <c r="D1907" s="7" t="inlineStr">
        <is>
          <t>157688345-white</t>
        </is>
      </c>
      <c r="E1907" s="7" t="inlineStr">
        <is>
          <t>Quick-Dry Long-Sleeve Polo *Straight Hem WHT 2</t>
        </is>
      </c>
      <c r="F1907" s="7" t="inlineStr">
        <is>
          <t>$88.00</t>
        </is>
      </c>
      <c r="G1907" s="7" t="inlineStr">
        <is>
          <t>$44.00</t>
        </is>
      </c>
      <c r="H1907" s="7" t="inlineStr">
        <is>
          <t>White</t>
        </is>
      </c>
      <c r="I1907" s="7">
        <f>IMAGE("https://images.lululemon.com/is/image/lululemon/0002",1)</f>
        <v/>
      </c>
      <c r="J1907" s="7" t="inlineStr">
        <is>
          <t>4</t>
        </is>
      </c>
      <c r="K1907" s="7" t="inlineStr">
        <is>
          <t>145/1842</t>
        </is>
      </c>
      <c r="L1907" s="7" t="inlineStr">
        <is>
          <t>Yes</t>
        </is>
      </c>
      <c r="M1907" s="7" t="inlineStr">
        <is>
          <t>Tennis serves or golf swings—whatever you're practicing, this lightweight long-sleeve polo manages sweat so you can focus on your game.</t>
        </is>
      </c>
      <c r="N1907" s="7" t="inlineStr">
        <is>
          <t>Quick-Dry-Long-Sleeve-Polo-Shirt-Straight-Hem</t>
        </is>
      </c>
      <c r="O1907" s="7" t="inlineStr"/>
    </row>
    <row r="1908" ht="80" customHeight="1">
      <c r="A1908" s="4">
        <f>IMAGE("https://images.lululemon.com/is/image/lululemon/LW3JSPS_0002_1?wid=320&amp;op_usm=0.8",1)</f>
        <v/>
      </c>
      <c r="B1908" s="4" t="inlineStr">
        <is>
          <t>Quick-Dry Long-Sleeve Polo Shirt *Straight Hem</t>
        </is>
      </c>
      <c r="C1908" s="4" t="inlineStr">
        <is>
          <t>157688348</t>
        </is>
      </c>
      <c r="D1908" s="4" t="inlineStr">
        <is>
          <t>157688348-white</t>
        </is>
      </c>
      <c r="E1908" s="4" t="inlineStr">
        <is>
          <t>Quick-Dry Long-Sleeve Polo *Straight Hem WHT 2</t>
        </is>
      </c>
      <c r="F1908" s="4" t="inlineStr">
        <is>
          <t>$88.00</t>
        </is>
      </c>
      <c r="G1908" s="4" t="inlineStr">
        <is>
          <t>$44.00</t>
        </is>
      </c>
      <c r="H1908" s="4" t="inlineStr">
        <is>
          <t>White</t>
        </is>
      </c>
      <c r="I1908" s="4">
        <f>IMAGE("https://images.lululemon.com/is/image/lululemon/0002",1)</f>
        <v/>
      </c>
      <c r="J1908" s="4" t="inlineStr">
        <is>
          <t>6</t>
        </is>
      </c>
      <c r="K1908" s="4" t="inlineStr">
        <is>
          <t>171/1842</t>
        </is>
      </c>
      <c r="L1908" s="4" t="inlineStr">
        <is>
          <t>Yes</t>
        </is>
      </c>
      <c r="M1908" s="4" t="inlineStr">
        <is>
          <t>Tennis serves or golf swings—whatever you're practicing, this lightweight long-sleeve polo manages sweat so you can focus on your game.</t>
        </is>
      </c>
      <c r="N1908" s="4" t="inlineStr">
        <is>
          <t>Quick-Dry-Long-Sleeve-Polo-Shirt-Straight-Hem</t>
        </is>
      </c>
      <c r="O1908" s="4" t="inlineStr"/>
    </row>
    <row r="1909" ht="80" customHeight="1">
      <c r="A1909" s="7">
        <f>IMAGE("https://images.lululemon.com/is/image/lululemon/LW3JSPS_0002_1?wid=320&amp;op_usm=0.8",1)</f>
        <v/>
      </c>
      <c r="B1909" s="7" t="inlineStr">
        <is>
          <t>Quick-Dry Long-Sleeve Polo Shirt *Straight Hem</t>
        </is>
      </c>
      <c r="C1909" s="7" t="inlineStr">
        <is>
          <t>157688352</t>
        </is>
      </c>
      <c r="D1909" s="7" t="inlineStr">
        <is>
          <t>157688352-white</t>
        </is>
      </c>
      <c r="E1909" s="7" t="inlineStr">
        <is>
          <t>Quick-Dry Long-Sleeve Polo *Straight Hem WHT 2</t>
        </is>
      </c>
      <c r="F1909" s="7" t="inlineStr">
        <is>
          <t>$88.00</t>
        </is>
      </c>
      <c r="G1909" s="7" t="inlineStr">
        <is>
          <t>$44.00</t>
        </is>
      </c>
      <c r="H1909" s="7" t="inlineStr">
        <is>
          <t>White</t>
        </is>
      </c>
      <c r="I1909" s="7">
        <f>IMAGE("https://images.lululemon.com/is/image/lululemon/0002",1)</f>
        <v/>
      </c>
      <c r="J1909" s="7" t="inlineStr">
        <is>
          <t>8</t>
        </is>
      </c>
      <c r="K1909" s="7" t="inlineStr">
        <is>
          <t>148/1842</t>
        </is>
      </c>
      <c r="L1909" s="7" t="inlineStr">
        <is>
          <t>Yes</t>
        </is>
      </c>
      <c r="M1909" s="7" t="inlineStr">
        <is>
          <t>Tennis serves or golf swings—whatever you're practicing, this lightweight long-sleeve polo manages sweat so you can focus on your game.</t>
        </is>
      </c>
      <c r="N1909" s="7" t="inlineStr">
        <is>
          <t>Quick-Dry-Long-Sleeve-Polo-Shirt-Straight-Hem</t>
        </is>
      </c>
      <c r="O1909" s="7" t="inlineStr"/>
    </row>
    <row r="1910" ht="80" customHeight="1">
      <c r="A1910" s="4">
        <f>IMAGE("https://images.lululemon.com/is/image/lululemon/LW3JSPS_0002_1?wid=320&amp;op_usm=0.8",1)</f>
        <v/>
      </c>
      <c r="B1910" s="4" t="inlineStr">
        <is>
          <t>Quick-Dry Long-Sleeve Polo Shirt *Straight Hem</t>
        </is>
      </c>
      <c r="C1910" s="4" t="inlineStr">
        <is>
          <t>157688334</t>
        </is>
      </c>
      <c r="D1910" s="4" t="inlineStr">
        <is>
          <t>157688334-white</t>
        </is>
      </c>
      <c r="E1910" s="4" t="inlineStr">
        <is>
          <t>Quick-Dry Long-Sleeve Polo *Straight Hem WHT 2</t>
        </is>
      </c>
      <c r="F1910" s="4" t="inlineStr">
        <is>
          <t>$88.00</t>
        </is>
      </c>
      <c r="G1910" s="4" t="inlineStr">
        <is>
          <t>$44.00</t>
        </is>
      </c>
      <c r="H1910" s="4" t="inlineStr">
        <is>
          <t>White</t>
        </is>
      </c>
      <c r="I1910" s="4">
        <f>IMAGE("https://images.lululemon.com/is/image/lululemon/0002",1)</f>
        <v/>
      </c>
      <c r="J1910" s="4" t="inlineStr">
        <is>
          <t>10</t>
        </is>
      </c>
      <c r="K1910" s="4" t="inlineStr">
        <is>
          <t>105/1842</t>
        </is>
      </c>
      <c r="L1910" s="4" t="inlineStr">
        <is>
          <t>Yes</t>
        </is>
      </c>
      <c r="M1910" s="4" t="inlineStr">
        <is>
          <t>Tennis serves or golf swings—whatever you're practicing, this lightweight long-sleeve polo manages sweat so you can focus on your game.</t>
        </is>
      </c>
      <c r="N1910" s="4" t="inlineStr">
        <is>
          <t>Quick-Dry-Long-Sleeve-Polo-Shirt-Straight-Hem</t>
        </is>
      </c>
      <c r="O1910" s="4" t="inlineStr"/>
    </row>
    <row r="1911" ht="80" customHeight="1">
      <c r="A1911" s="7">
        <f>IMAGE("https://images.lululemon.com/is/image/lululemon/LW3JSPS_0002_1?wid=320&amp;op_usm=0.8",1)</f>
        <v/>
      </c>
      <c r="B1911" s="7" t="inlineStr">
        <is>
          <t>Quick-Dry Long-Sleeve Polo Shirt *Straight Hem</t>
        </is>
      </c>
      <c r="C1911" s="7" t="inlineStr">
        <is>
          <t>157688337</t>
        </is>
      </c>
      <c r="D1911" s="7" t="inlineStr">
        <is>
          <t>157688337-white</t>
        </is>
      </c>
      <c r="E1911" s="7" t="inlineStr">
        <is>
          <t>Quick-Dry Long-Sleeve Polo *Straight Hem WHT 2</t>
        </is>
      </c>
      <c r="F1911" s="7" t="inlineStr">
        <is>
          <t>$88.00</t>
        </is>
      </c>
      <c r="G1911" s="7" t="inlineStr">
        <is>
          <t>$44.00</t>
        </is>
      </c>
      <c r="H1911" s="7" t="inlineStr">
        <is>
          <t>White</t>
        </is>
      </c>
      <c r="I1911" s="7">
        <f>IMAGE("https://images.lululemon.com/is/image/lululemon/0002",1)</f>
        <v/>
      </c>
      <c r="J1911" s="7" t="inlineStr">
        <is>
          <t>12</t>
        </is>
      </c>
      <c r="K1911" s="7" t="inlineStr">
        <is>
          <t>56/1842</t>
        </is>
      </c>
      <c r="L1911" s="7" t="inlineStr">
        <is>
          <t>Yes</t>
        </is>
      </c>
      <c r="M1911" s="7" t="inlineStr">
        <is>
          <t>Tennis serves or golf swings—whatever you're practicing, this lightweight long-sleeve polo manages sweat so you can focus on your game.</t>
        </is>
      </c>
      <c r="N1911" s="7" t="inlineStr">
        <is>
          <t>Quick-Dry-Long-Sleeve-Polo-Shirt-Straight-Hem</t>
        </is>
      </c>
      <c r="O1911" s="7" t="inlineStr"/>
    </row>
    <row r="1912" ht="80" customHeight="1">
      <c r="A1912" s="4">
        <f>IMAGE("https://images.lululemon.com/is/image/lululemon/LW3JSPS_0002_1?wid=320&amp;op_usm=0.8",1)</f>
        <v/>
      </c>
      <c r="B1912" s="4" t="inlineStr">
        <is>
          <t>Quick-Dry Long-Sleeve Polo Shirt *Straight Hem</t>
        </is>
      </c>
      <c r="C1912" s="4" t="inlineStr">
        <is>
          <t>158028102</t>
        </is>
      </c>
      <c r="D1912" s="4" t="inlineStr">
        <is>
          <t>158028102-ashenrose</t>
        </is>
      </c>
      <c r="E1912" s="4" t="inlineStr">
        <is>
          <t>Quick-Dry Long-Sleeve Polo *Straight Hem WHT 2</t>
        </is>
      </c>
      <c r="F1912" s="4" t="inlineStr">
        <is>
          <t>$88.00</t>
        </is>
      </c>
      <c r="G1912" s="4" t="inlineStr">
        <is>
          <t>$44.00</t>
        </is>
      </c>
      <c r="H1912" s="4" t="inlineStr">
        <is>
          <t>Ashen Rose</t>
        </is>
      </c>
      <c r="I1912" s="4">
        <f>IMAGE("https://images.lululemon.com/is/image/lululemon/45797",1)</f>
        <v/>
      </c>
      <c r="J1912" s="4" t="inlineStr">
        <is>
          <t>2</t>
        </is>
      </c>
      <c r="K1912" s="4" t="inlineStr">
        <is>
          <t>55/1842</t>
        </is>
      </c>
      <c r="L1912" s="4" t="inlineStr">
        <is>
          <t>Yes</t>
        </is>
      </c>
      <c r="M1912" s="4" t="inlineStr">
        <is>
          <t>Tennis serves or golf swings—whatever you're practicing, this lightweight long-sleeve polo manages sweat so you can focus on your game.</t>
        </is>
      </c>
      <c r="N1912" s="4" t="inlineStr">
        <is>
          <t>Quick-Dry-Long-Sleeve-Polo-Shirt-Straight-Hem</t>
        </is>
      </c>
      <c r="O1912" s="4" t="inlineStr"/>
    </row>
    <row r="1913" ht="80" customHeight="1">
      <c r="A1913" s="7">
        <f>IMAGE("https://images.lululemon.com/is/image/lululemon/LW3JSPS_0002_1?wid=320&amp;op_usm=0.8",1)</f>
        <v/>
      </c>
      <c r="B1913" s="7" t="inlineStr">
        <is>
          <t>Quick-Dry Long-Sleeve Polo Shirt *Straight Hem</t>
        </is>
      </c>
      <c r="C1913" s="7" t="inlineStr">
        <is>
          <t>158028127</t>
        </is>
      </c>
      <c r="D1913" s="7" t="inlineStr">
        <is>
          <t>158028127-ashenrose</t>
        </is>
      </c>
      <c r="E1913" s="7" t="inlineStr">
        <is>
          <t>Quick-Dry Long-Sleeve Polo *Straight Hem WHT 2</t>
        </is>
      </c>
      <c r="F1913" s="7" t="inlineStr">
        <is>
          <t>$88.00</t>
        </is>
      </c>
      <c r="G1913" s="7" t="inlineStr">
        <is>
          <t>$44.00</t>
        </is>
      </c>
      <c r="H1913" s="7" t="inlineStr">
        <is>
          <t>Ashen Rose</t>
        </is>
      </c>
      <c r="I1913" s="7">
        <f>IMAGE("https://images.lululemon.com/is/image/lululemon/45797",1)</f>
        <v/>
      </c>
      <c r="J1913" s="7" t="inlineStr">
        <is>
          <t>4</t>
        </is>
      </c>
      <c r="K1913" s="7" t="inlineStr">
        <is>
          <t>164/1842</t>
        </is>
      </c>
      <c r="L1913" s="7" t="inlineStr">
        <is>
          <t>Yes</t>
        </is>
      </c>
      <c r="M1913" s="7" t="inlineStr">
        <is>
          <t>Tennis serves or golf swings—whatever you're practicing, this lightweight long-sleeve polo manages sweat so you can focus on your game.</t>
        </is>
      </c>
      <c r="N1913" s="7" t="inlineStr">
        <is>
          <t>Quick-Dry-Long-Sleeve-Polo-Shirt-Straight-Hem</t>
        </is>
      </c>
      <c r="O1913" s="7" t="inlineStr"/>
    </row>
    <row r="1914" ht="80" customHeight="1">
      <c r="A1914" s="4">
        <f>IMAGE("https://images.lululemon.com/is/image/lululemon/LW3JSPS_0002_1?wid=320&amp;op_usm=0.8",1)</f>
        <v/>
      </c>
      <c r="B1914" s="4" t="inlineStr">
        <is>
          <t>Quick-Dry Long-Sleeve Polo Shirt *Straight Hem</t>
        </is>
      </c>
      <c r="C1914" s="4" t="inlineStr">
        <is>
          <t>158028143</t>
        </is>
      </c>
      <c r="D1914" s="4" t="inlineStr">
        <is>
          <t>158028143-ashenrose</t>
        </is>
      </c>
      <c r="E1914" s="4" t="inlineStr">
        <is>
          <t>Quick-Dry Long-Sleeve Polo *Straight Hem WHT 2</t>
        </is>
      </c>
      <c r="F1914" s="4" t="inlineStr">
        <is>
          <t>$88.00</t>
        </is>
      </c>
      <c r="G1914" s="4" t="inlineStr">
        <is>
          <t>$44.00</t>
        </is>
      </c>
      <c r="H1914" s="4" t="inlineStr">
        <is>
          <t>Ashen Rose</t>
        </is>
      </c>
      <c r="I1914" s="4">
        <f>IMAGE("https://images.lululemon.com/is/image/lululemon/45797",1)</f>
        <v/>
      </c>
      <c r="J1914" s="4" t="inlineStr">
        <is>
          <t>6</t>
        </is>
      </c>
      <c r="K1914" s="4" t="inlineStr">
        <is>
          <t>192/1842</t>
        </is>
      </c>
      <c r="L1914" s="4" t="inlineStr">
        <is>
          <t>Yes</t>
        </is>
      </c>
      <c r="M1914" s="4" t="inlineStr">
        <is>
          <t>Tennis serves or golf swings—whatever you're practicing, this lightweight long-sleeve polo manages sweat so you can focus on your game.</t>
        </is>
      </c>
      <c r="N1914" s="4" t="inlineStr">
        <is>
          <t>Quick-Dry-Long-Sleeve-Polo-Shirt-Straight-Hem</t>
        </is>
      </c>
      <c r="O1914" s="4" t="inlineStr"/>
    </row>
    <row r="1915" ht="80" customHeight="1">
      <c r="A1915" s="7">
        <f>IMAGE("https://images.lululemon.com/is/image/lululemon/LW3JSPS_0002_1?wid=320&amp;op_usm=0.8",1)</f>
        <v/>
      </c>
      <c r="B1915" s="7" t="inlineStr">
        <is>
          <t>Quick-Dry Long-Sleeve Polo Shirt *Straight Hem</t>
        </is>
      </c>
      <c r="C1915" s="7" t="inlineStr">
        <is>
          <t>158028159</t>
        </is>
      </c>
      <c r="D1915" s="7" t="inlineStr">
        <is>
          <t>158028159-ashenrose</t>
        </is>
      </c>
      <c r="E1915" s="7" t="inlineStr">
        <is>
          <t>Quick-Dry Long-Sleeve Polo *Straight Hem WHT 2</t>
        </is>
      </c>
      <c r="F1915" s="7" t="inlineStr">
        <is>
          <t>$88.00</t>
        </is>
      </c>
      <c r="G1915" s="7" t="inlineStr">
        <is>
          <t>$44.00</t>
        </is>
      </c>
      <c r="H1915" s="7" t="inlineStr">
        <is>
          <t>Ashen Rose</t>
        </is>
      </c>
      <c r="I1915" s="7">
        <f>IMAGE("https://images.lululemon.com/is/image/lululemon/45797",1)</f>
        <v/>
      </c>
      <c r="J1915" s="7" t="inlineStr">
        <is>
          <t>8</t>
        </is>
      </c>
      <c r="K1915" s="7" t="inlineStr">
        <is>
          <t>168/1842</t>
        </is>
      </c>
      <c r="L1915" s="7" t="inlineStr">
        <is>
          <t>Yes</t>
        </is>
      </c>
      <c r="M1915" s="7" t="inlineStr">
        <is>
          <t>Tennis serves or golf swings—whatever you're practicing, this lightweight long-sleeve polo manages sweat so you can focus on your game.</t>
        </is>
      </c>
      <c r="N1915" s="7" t="inlineStr">
        <is>
          <t>Quick-Dry-Long-Sleeve-Polo-Shirt-Straight-Hem</t>
        </is>
      </c>
      <c r="O1915" s="7" t="inlineStr"/>
    </row>
    <row r="1916" ht="80" customHeight="1">
      <c r="A1916" s="4">
        <f>IMAGE("https://images.lululemon.com/is/image/lululemon/LW3JSPS_0002_1?wid=320&amp;op_usm=0.8",1)</f>
        <v/>
      </c>
      <c r="B1916" s="4" t="inlineStr">
        <is>
          <t>Quick-Dry Long-Sleeve Polo Shirt *Straight Hem</t>
        </is>
      </c>
      <c r="C1916" s="4" t="inlineStr">
        <is>
          <t>158028058</t>
        </is>
      </c>
      <c r="D1916" s="4" t="inlineStr">
        <is>
          <t>158028058-ashenrose</t>
        </is>
      </c>
      <c r="E1916" s="4" t="inlineStr">
        <is>
          <t>Quick-Dry Long-Sleeve Polo *Straight Hem WHT 2</t>
        </is>
      </c>
      <c r="F1916" s="4" t="inlineStr">
        <is>
          <t>$88.00</t>
        </is>
      </c>
      <c r="G1916" s="4" t="inlineStr">
        <is>
          <t>$44.00</t>
        </is>
      </c>
      <c r="H1916" s="4" t="inlineStr">
        <is>
          <t>Ashen Rose</t>
        </is>
      </c>
      <c r="I1916" s="4">
        <f>IMAGE("https://images.lululemon.com/is/image/lululemon/45797",1)</f>
        <v/>
      </c>
      <c r="J1916" s="4" t="inlineStr">
        <is>
          <t>10</t>
        </is>
      </c>
      <c r="K1916" s="4" t="inlineStr">
        <is>
          <t>119/1842</t>
        </is>
      </c>
      <c r="L1916" s="4" t="inlineStr">
        <is>
          <t>Yes</t>
        </is>
      </c>
      <c r="M1916" s="4" t="inlineStr">
        <is>
          <t>Tennis serves or golf swings—whatever you're practicing, this lightweight long-sleeve polo manages sweat so you can focus on your game.</t>
        </is>
      </c>
      <c r="N1916" s="4" t="inlineStr">
        <is>
          <t>Quick-Dry-Long-Sleeve-Polo-Shirt-Straight-Hem</t>
        </is>
      </c>
      <c r="O1916" s="4" t="inlineStr"/>
    </row>
    <row r="1917" ht="80" customHeight="1">
      <c r="A1917" s="7">
        <f>IMAGE("https://images.lululemon.com/is/image/lululemon/LW3JSPS_0002_1?wid=320&amp;op_usm=0.8",1)</f>
        <v/>
      </c>
      <c r="B1917" s="7" t="inlineStr">
        <is>
          <t>Quick-Dry Long-Sleeve Polo Shirt *Straight Hem</t>
        </is>
      </c>
      <c r="C1917" s="7" t="inlineStr">
        <is>
          <t>158028082</t>
        </is>
      </c>
      <c r="D1917" s="7" t="inlineStr">
        <is>
          <t>158028082-ashenrose</t>
        </is>
      </c>
      <c r="E1917" s="7" t="inlineStr">
        <is>
          <t>Quick-Dry Long-Sleeve Polo *Straight Hem WHT 2</t>
        </is>
      </c>
      <c r="F1917" s="7" t="inlineStr">
        <is>
          <t>$88.00</t>
        </is>
      </c>
      <c r="G1917" s="7" t="inlineStr">
        <is>
          <t>$44.00</t>
        </is>
      </c>
      <c r="H1917" s="7" t="inlineStr">
        <is>
          <t>Ashen Rose</t>
        </is>
      </c>
      <c r="I1917" s="7">
        <f>IMAGE("https://images.lululemon.com/is/image/lululemon/45797",1)</f>
        <v/>
      </c>
      <c r="J1917" s="7" t="inlineStr">
        <is>
          <t>12</t>
        </is>
      </c>
      <c r="K1917" s="7" t="inlineStr">
        <is>
          <t>64/1842</t>
        </is>
      </c>
      <c r="L1917" s="7" t="inlineStr">
        <is>
          <t>Yes</t>
        </is>
      </c>
      <c r="M1917" s="7" t="inlineStr">
        <is>
          <t>Tennis serves or golf swings—whatever you're practicing, this lightweight long-sleeve polo manages sweat so you can focus on your game.</t>
        </is>
      </c>
      <c r="N1917" s="7" t="inlineStr">
        <is>
          <t>Quick-Dry-Long-Sleeve-Polo-Shirt-Straight-Hem</t>
        </is>
      </c>
      <c r="O1917" s="7" t="inlineStr"/>
    </row>
    <row r="1918" ht="80" customHeight="1">
      <c r="A1918" s="4">
        <f>IMAGE("https://images.lululemon.com/is/image/lululemon/LW3JSPS_0002_1?wid=320&amp;op_usm=0.8",1)</f>
        <v/>
      </c>
      <c r="B1918" s="4" t="inlineStr">
        <is>
          <t>Quick-Dry Long-Sleeve Polo Shirt *Straight Hem</t>
        </is>
      </c>
      <c r="C1918" s="4" t="inlineStr">
        <is>
          <t>158028228</t>
        </is>
      </c>
      <c r="D1918" s="4" t="inlineStr">
        <is>
          <t>158028228-ivygrove</t>
        </is>
      </c>
      <c r="E1918" s="4" t="inlineStr">
        <is>
          <t>Quick-Dry Long-Sleeve Polo *Straight Hem WHT 2</t>
        </is>
      </c>
      <c r="F1918" s="4" t="inlineStr">
        <is>
          <t>$88.00</t>
        </is>
      </c>
      <c r="G1918" s="4" t="inlineStr">
        <is>
          <t>$44.00</t>
        </is>
      </c>
      <c r="H1918" s="4" t="inlineStr">
        <is>
          <t>Ivy Grove</t>
        </is>
      </c>
      <c r="I1918" s="4">
        <f>IMAGE("https://images.lululemon.com/is/image/lululemon/73703",1)</f>
        <v/>
      </c>
      <c r="J1918" s="4" t="inlineStr">
        <is>
          <t>4</t>
        </is>
      </c>
      <c r="K1918" s="4" t="inlineStr">
        <is>
          <t>95/1842</t>
        </is>
      </c>
      <c r="L1918" s="4" t="inlineStr">
        <is>
          <t>Yes</t>
        </is>
      </c>
      <c r="M1918" s="4" t="inlineStr">
        <is>
          <t>Tennis serves or golf swings—whatever you're practicing, this lightweight long-sleeve polo manages sweat so you can focus on your game.</t>
        </is>
      </c>
      <c r="N1918" s="4" t="inlineStr">
        <is>
          <t>Quick-Dry-Long-Sleeve-Polo-Shirt-Straight-Hem</t>
        </is>
      </c>
      <c r="O1918" s="4" t="inlineStr"/>
    </row>
    <row r="1919" ht="80" customHeight="1">
      <c r="A1919" s="7">
        <f>IMAGE("https://images.lululemon.com/is/image/lululemon/LW3JSPS_0002_1?wid=320&amp;op_usm=0.8",1)</f>
        <v/>
      </c>
      <c r="B1919" s="7" t="inlineStr">
        <is>
          <t>Quick-Dry Long-Sleeve Polo Shirt *Straight Hem</t>
        </is>
      </c>
      <c r="C1919" s="7" t="inlineStr">
        <is>
          <t>158028244</t>
        </is>
      </c>
      <c r="D1919" s="7" t="inlineStr">
        <is>
          <t>158028244-ivygrove</t>
        </is>
      </c>
      <c r="E1919" s="7" t="inlineStr">
        <is>
          <t>Quick-Dry Long-Sleeve Polo *Straight Hem WHT 2</t>
        </is>
      </c>
      <c r="F1919" s="7" t="inlineStr">
        <is>
          <t>$88.00</t>
        </is>
      </c>
      <c r="G1919" s="7" t="inlineStr">
        <is>
          <t>$44.00</t>
        </is>
      </c>
      <c r="H1919" s="7" t="inlineStr">
        <is>
          <t>Ivy Grove</t>
        </is>
      </c>
      <c r="I1919" s="7">
        <f>IMAGE("https://images.lululemon.com/is/image/lululemon/73703",1)</f>
        <v/>
      </c>
      <c r="J1919" s="7" t="inlineStr">
        <is>
          <t>6</t>
        </is>
      </c>
      <c r="K1919" s="7" t="inlineStr">
        <is>
          <t>112/1842</t>
        </is>
      </c>
      <c r="L1919" s="7" t="inlineStr">
        <is>
          <t>Yes</t>
        </is>
      </c>
      <c r="M1919" s="7" t="inlineStr">
        <is>
          <t>Tennis serves or golf swings—whatever you're practicing, this lightweight long-sleeve polo manages sweat so you can focus on your game.</t>
        </is>
      </c>
      <c r="N1919" s="7" t="inlineStr">
        <is>
          <t>Quick-Dry-Long-Sleeve-Polo-Shirt-Straight-Hem</t>
        </is>
      </c>
      <c r="O1919" s="7" t="inlineStr"/>
    </row>
    <row r="1920" ht="80" customHeight="1">
      <c r="A1920" s="4">
        <f>IMAGE("https://images.lululemon.com/is/image/lululemon/LW3JSPS_0002_1?wid=320&amp;op_usm=0.8",1)</f>
        <v/>
      </c>
      <c r="B1920" s="4" t="inlineStr">
        <is>
          <t>Quick-Dry Long-Sleeve Polo Shirt *Straight Hem</t>
        </is>
      </c>
      <c r="C1920" s="4" t="inlineStr">
        <is>
          <t>158028259</t>
        </is>
      </c>
      <c r="D1920" s="4" t="inlineStr">
        <is>
          <t>158028259-ivygrove</t>
        </is>
      </c>
      <c r="E1920" s="4" t="inlineStr">
        <is>
          <t>Quick-Dry Long-Sleeve Polo *Straight Hem WHT 2</t>
        </is>
      </c>
      <c r="F1920" s="4" t="inlineStr">
        <is>
          <t>$88.00</t>
        </is>
      </c>
      <c r="G1920" s="4" t="inlineStr">
        <is>
          <t>$44.00</t>
        </is>
      </c>
      <c r="H1920" s="4" t="inlineStr">
        <is>
          <t>Ivy Grove</t>
        </is>
      </c>
      <c r="I1920" s="4">
        <f>IMAGE("https://images.lululemon.com/is/image/lululemon/73703",1)</f>
        <v/>
      </c>
      <c r="J1920" s="4" t="inlineStr">
        <is>
          <t>8</t>
        </is>
      </c>
      <c r="K1920" s="4" t="inlineStr">
        <is>
          <t>92/1842</t>
        </is>
      </c>
      <c r="L1920" s="4" t="inlineStr">
        <is>
          <t>Yes</t>
        </is>
      </c>
      <c r="M1920" s="4" t="inlineStr">
        <is>
          <t>Tennis serves or golf swings—whatever you're practicing, this lightweight long-sleeve polo manages sweat so you can focus on your game.</t>
        </is>
      </c>
      <c r="N1920" s="4" t="inlineStr">
        <is>
          <t>Quick-Dry-Long-Sleeve-Polo-Shirt-Straight-Hem</t>
        </is>
      </c>
      <c r="O1920" s="4" t="inlineStr"/>
    </row>
    <row r="1921" ht="80" customHeight="1">
      <c r="A1921" s="7">
        <f>IMAGE("https://images.lululemon.com/is/image/lululemon/LW3JSPS_0002_1?wid=320&amp;op_usm=0.8",1)</f>
        <v/>
      </c>
      <c r="B1921" s="7" t="inlineStr">
        <is>
          <t>Quick-Dry Long-Sleeve Polo Shirt *Straight Hem</t>
        </is>
      </c>
      <c r="C1921" s="7" t="inlineStr">
        <is>
          <t>158028177</t>
        </is>
      </c>
      <c r="D1921" s="7" t="inlineStr">
        <is>
          <t>158028177-ivygrove</t>
        </is>
      </c>
      <c r="E1921" s="7" t="inlineStr">
        <is>
          <t>Quick-Dry Long-Sleeve Polo *Straight Hem WHT 2</t>
        </is>
      </c>
      <c r="F1921" s="7" t="inlineStr">
        <is>
          <t>$88.00</t>
        </is>
      </c>
      <c r="G1921" s="7" t="inlineStr">
        <is>
          <t>$44.00</t>
        </is>
      </c>
      <c r="H1921" s="7" t="inlineStr">
        <is>
          <t>Ivy Grove</t>
        </is>
      </c>
      <c r="I1921" s="7">
        <f>IMAGE("https://images.lululemon.com/is/image/lululemon/73703",1)</f>
        <v/>
      </c>
      <c r="J1921" s="7" t="inlineStr">
        <is>
          <t>10</t>
        </is>
      </c>
      <c r="K1921" s="7" t="inlineStr">
        <is>
          <t>69/1842</t>
        </is>
      </c>
      <c r="L1921" s="7" t="inlineStr">
        <is>
          <t>Yes</t>
        </is>
      </c>
      <c r="M1921" s="7" t="inlineStr">
        <is>
          <t>Tennis serves or golf swings—whatever you're practicing, this lightweight long-sleeve polo manages sweat so you can focus on your game.</t>
        </is>
      </c>
      <c r="N1921" s="7" t="inlineStr">
        <is>
          <t>Quick-Dry-Long-Sleeve-Polo-Shirt-Straight-Hem</t>
        </is>
      </c>
      <c r="O1921" s="7" t="inlineStr"/>
    </row>
    <row r="1922" ht="80" customHeight="1">
      <c r="A1922" s="6">
        <f>IMAGE("https://images.lululemon.com/is/image/lululemon/LW3JSPS_0002_1?wid=320&amp;op_usm=0.8",1)</f>
        <v/>
      </c>
      <c r="B1922" s="6" t="inlineStr">
        <is>
          <t>Quick-Dry Long-Sleeve Polo Shirt *Straight Hem</t>
        </is>
      </c>
      <c r="C1922" s="6" t="inlineStr">
        <is>
          <t>158028194</t>
        </is>
      </c>
      <c r="D1922" s="6" t="inlineStr">
        <is>
          <t>158028194-ivygrove</t>
        </is>
      </c>
      <c r="E1922" s="6" t="inlineStr">
        <is>
          <t>Quick-Dry Long-Sleeve Polo *Straight Hem WHT 2</t>
        </is>
      </c>
      <c r="F1922" s="6" t="inlineStr">
        <is>
          <t>$88.00</t>
        </is>
      </c>
      <c r="G1922" s="6" t="inlineStr">
        <is>
          <t>$44.00</t>
        </is>
      </c>
      <c r="H1922" s="6" t="inlineStr">
        <is>
          <t>Ivy Grove</t>
        </is>
      </c>
      <c r="I1922" s="6">
        <f>IMAGE("https://images.lululemon.com/is/image/lululemon/73703",1)</f>
        <v/>
      </c>
      <c r="J1922" s="6" t="inlineStr">
        <is>
          <t>12</t>
        </is>
      </c>
      <c r="K1922" s="6" t="inlineStr">
        <is>
          <t>36/1842</t>
        </is>
      </c>
      <c r="L1922" s="6" t="inlineStr">
        <is>
          <t>Yes</t>
        </is>
      </c>
      <c r="M1922" s="6" t="inlineStr">
        <is>
          <t>Tennis serves or golf swings—whatever you're practicing, this lightweight long-sleeve polo manages sweat so you can focus on your game.</t>
        </is>
      </c>
      <c r="N1922" s="6" t="inlineStr">
        <is>
          <t>Quick-Dry-Long-Sleeve-Polo-Shirt-Straight-Hem</t>
        </is>
      </c>
      <c r="O1922" s="6" t="inlineStr"/>
    </row>
    <row r="1923" ht="80" customHeight="1">
      <c r="A1923" s="7">
        <f>IMAGE("https://images.lululemon.com/is/image/lululemon/LW2ELKS_031382_1?wid=320&amp;op_usm=0.8",1)</f>
        <v/>
      </c>
      <c r="B1923" s="7" t="inlineStr">
        <is>
          <t>lululemon Align™ V-Neck Bra *Light Support, C/D Cup</t>
        </is>
      </c>
      <c r="C1923" s="7" t="inlineStr">
        <is>
          <t>155750182</t>
        </is>
      </c>
      <c r="D1923" s="7" t="inlineStr">
        <is>
          <t>155750182-truenavy</t>
        </is>
      </c>
      <c r="E1923" s="7" t="inlineStr">
        <is>
          <t>lululemon Align™ V-Neck Bra C/D TRNV 2</t>
        </is>
      </c>
      <c r="F1923" s="7" t="inlineStr">
        <is>
          <t>$58.00</t>
        </is>
      </c>
      <c r="G1923" s="7" t="inlineStr">
        <is>
          <t>$29.00</t>
        </is>
      </c>
      <c r="H1923" s="7" t="inlineStr">
        <is>
          <t>True Navy</t>
        </is>
      </c>
      <c r="I1923" s="7">
        <f>IMAGE("https://images.lululemon.com/is/image/lululemon/31382",1)</f>
        <v/>
      </c>
      <c r="J1923" s="7" t="inlineStr">
        <is>
          <t>2</t>
        </is>
      </c>
      <c r="K1923" s="7" t="inlineStr">
        <is>
          <t>8/389</t>
        </is>
      </c>
      <c r="L1923" s="7" t="inlineStr">
        <is>
          <t>Yes</t>
        </is>
      </c>
      <c r="M1923" s="7" t="inlineStr">
        <is>
          <t>Feels (almost) as good as savasana. This v-neck version of our lululemon Align™ yoga bra wraps you in buttery softness.</t>
        </is>
      </c>
      <c r="N1923" s="7" t="inlineStr">
        <is>
          <t>Align-V-Neck-Bra-CD-Cup</t>
        </is>
      </c>
      <c r="O1923" s="7" t="inlineStr">
        <is>
          <t>Longline Bras, Bralettes</t>
        </is>
      </c>
    </row>
    <row r="1924" ht="80" customHeight="1">
      <c r="A1924" s="4">
        <f>IMAGE("https://images.lululemon.com/is/image/lululemon/LW2ELKS_031382_1?wid=320&amp;op_usm=0.8",1)</f>
        <v/>
      </c>
      <c r="B1924" s="4" t="inlineStr">
        <is>
          <t>lululemon Align™ V-Neck Bra *Light Support, C/D Cup</t>
        </is>
      </c>
      <c r="C1924" s="4" t="inlineStr">
        <is>
          <t>155750189</t>
        </is>
      </c>
      <c r="D1924" s="4" t="inlineStr">
        <is>
          <t>155750189-truenavy</t>
        </is>
      </c>
      <c r="E1924" s="4" t="inlineStr">
        <is>
          <t>lululemon Align™ V-Neck Bra C/D TRNV 2</t>
        </is>
      </c>
      <c r="F1924" s="4" t="inlineStr">
        <is>
          <t>$58.00</t>
        </is>
      </c>
      <c r="G1924" s="4" t="inlineStr">
        <is>
          <t>$29.00</t>
        </is>
      </c>
      <c r="H1924" s="4" t="inlineStr">
        <is>
          <t>True Navy</t>
        </is>
      </c>
      <c r="I1924" s="4">
        <f>IMAGE("https://images.lululemon.com/is/image/lululemon/31382",1)</f>
        <v/>
      </c>
      <c r="J1924" s="4" t="inlineStr">
        <is>
          <t>4</t>
        </is>
      </c>
      <c r="K1924" s="4" t="inlineStr">
        <is>
          <t>25/389</t>
        </is>
      </c>
      <c r="L1924" s="4" t="inlineStr">
        <is>
          <t>Yes</t>
        </is>
      </c>
      <c r="M1924" s="4" t="inlineStr">
        <is>
          <t>Feels (almost) as good as savasana. This v-neck version of our lululemon Align™ yoga bra wraps you in buttery softness.</t>
        </is>
      </c>
      <c r="N1924" s="4" t="inlineStr">
        <is>
          <t>Align-V-Neck-Bra-CD-Cup</t>
        </is>
      </c>
      <c r="O1924" s="4" t="inlineStr">
        <is>
          <t>Longline Bras, Bralettes</t>
        </is>
      </c>
    </row>
    <row r="1925" ht="80" customHeight="1">
      <c r="A1925" s="7">
        <f>IMAGE("https://images.lululemon.com/is/image/lululemon/LW2ELKS_031382_1?wid=320&amp;op_usm=0.8",1)</f>
        <v/>
      </c>
      <c r="B1925" s="7" t="inlineStr">
        <is>
          <t>lululemon Align™ V-Neck Bra *Light Support, C/D Cup</t>
        </is>
      </c>
      <c r="C1925" s="7" t="inlineStr">
        <is>
          <t>155750206</t>
        </is>
      </c>
      <c r="D1925" s="7" t="inlineStr">
        <is>
          <t>155750206-truenavy</t>
        </is>
      </c>
      <c r="E1925" s="7" t="inlineStr">
        <is>
          <t>lululemon Align™ V-Neck Bra C/D TRNV 2</t>
        </is>
      </c>
      <c r="F1925" s="7" t="inlineStr">
        <is>
          <t>$58.00</t>
        </is>
      </c>
      <c r="G1925" s="7" t="inlineStr">
        <is>
          <t>$29.00</t>
        </is>
      </c>
      <c r="H1925" s="7" t="inlineStr">
        <is>
          <t>True Navy</t>
        </is>
      </c>
      <c r="I1925" s="7">
        <f>IMAGE("https://images.lululemon.com/is/image/lululemon/31382",1)</f>
        <v/>
      </c>
      <c r="J1925" s="7" t="inlineStr">
        <is>
          <t>6</t>
        </is>
      </c>
      <c r="K1925" s="7" t="inlineStr">
        <is>
          <t>24/389</t>
        </is>
      </c>
      <c r="L1925" s="7" t="inlineStr">
        <is>
          <t>Yes</t>
        </is>
      </c>
      <c r="M1925" s="7" t="inlineStr">
        <is>
          <t>Feels (almost) as good as savasana. This v-neck version of our lululemon Align™ yoga bra wraps you in buttery softness.</t>
        </is>
      </c>
      <c r="N1925" s="7" t="inlineStr">
        <is>
          <t>Align-V-Neck-Bra-CD-Cup</t>
        </is>
      </c>
      <c r="O1925" s="7" t="inlineStr">
        <is>
          <t>Longline Bras, Bralettes</t>
        </is>
      </c>
    </row>
    <row r="1926" ht="80" customHeight="1">
      <c r="A1926" s="4">
        <f>IMAGE("https://images.lululemon.com/is/image/lululemon/LW2ELKS_031382_1?wid=320&amp;op_usm=0.8",1)</f>
        <v/>
      </c>
      <c r="B1926" s="4" t="inlineStr">
        <is>
          <t>lululemon Align™ V-Neck Bra *Light Support, C/D Cup</t>
        </is>
      </c>
      <c r="C1926" s="4" t="inlineStr">
        <is>
          <t>155750213</t>
        </is>
      </c>
      <c r="D1926" s="4" t="inlineStr">
        <is>
          <t>155750213-truenavy</t>
        </is>
      </c>
      <c r="E1926" s="4" t="inlineStr">
        <is>
          <t>lululemon Align™ V-Neck Bra C/D TRNV 2</t>
        </is>
      </c>
      <c r="F1926" s="4" t="inlineStr">
        <is>
          <t>$58.00</t>
        </is>
      </c>
      <c r="G1926" s="4" t="inlineStr">
        <is>
          <t>$29.00</t>
        </is>
      </c>
      <c r="H1926" s="4" t="inlineStr">
        <is>
          <t>True Navy</t>
        </is>
      </c>
      <c r="I1926" s="4">
        <f>IMAGE("https://images.lululemon.com/is/image/lululemon/31382",1)</f>
        <v/>
      </c>
      <c r="J1926" s="4" t="inlineStr">
        <is>
          <t>8</t>
        </is>
      </c>
      <c r="K1926" s="4" t="inlineStr">
        <is>
          <t>67/389</t>
        </is>
      </c>
      <c r="L1926" s="4" t="inlineStr">
        <is>
          <t>Yes</t>
        </is>
      </c>
      <c r="M1926" s="4" t="inlineStr">
        <is>
          <t>Feels (almost) as good as savasana. This v-neck version of our lululemon Align™ yoga bra wraps you in buttery softness.</t>
        </is>
      </c>
      <c r="N1926" s="4" t="inlineStr">
        <is>
          <t>Align-V-Neck-Bra-CD-Cup</t>
        </is>
      </c>
      <c r="O1926" s="4" t="inlineStr">
        <is>
          <t>Longline Bras, Bralettes</t>
        </is>
      </c>
    </row>
    <row r="1927" ht="80" customHeight="1">
      <c r="A1927" s="7">
        <f>IMAGE("https://images.lululemon.com/is/image/lululemon/LW2ELKS_031382_1?wid=320&amp;op_usm=0.8",1)</f>
        <v/>
      </c>
      <c r="B1927" s="7" t="inlineStr">
        <is>
          <t>lululemon Align™ V-Neck Bra *Light Support, C/D Cup</t>
        </is>
      </c>
      <c r="C1927" s="7" t="inlineStr">
        <is>
          <t>155750158</t>
        </is>
      </c>
      <c r="D1927" s="7" t="inlineStr">
        <is>
          <t>155750158-truenavy</t>
        </is>
      </c>
      <c r="E1927" s="7" t="inlineStr">
        <is>
          <t>lululemon Align™ V-Neck Bra C/D TRNV 2</t>
        </is>
      </c>
      <c r="F1927" s="7" t="inlineStr">
        <is>
          <t>$58.00</t>
        </is>
      </c>
      <c r="G1927" s="7" t="inlineStr">
        <is>
          <t>$29.00</t>
        </is>
      </c>
      <c r="H1927" s="7" t="inlineStr">
        <is>
          <t>True Navy</t>
        </is>
      </c>
      <c r="I1927" s="7">
        <f>IMAGE("https://images.lululemon.com/is/image/lululemon/31382",1)</f>
        <v/>
      </c>
      <c r="J1927" s="7" t="inlineStr">
        <is>
          <t>10</t>
        </is>
      </c>
      <c r="K1927" s="7" t="inlineStr">
        <is>
          <t>20/389</t>
        </is>
      </c>
      <c r="L1927" s="7" t="inlineStr">
        <is>
          <t>Yes</t>
        </is>
      </c>
      <c r="M1927" s="7" t="inlineStr">
        <is>
          <t>Feels (almost) as good as savasana. This v-neck version of our lululemon Align™ yoga bra wraps you in buttery softness.</t>
        </is>
      </c>
      <c r="N1927" s="7" t="inlineStr">
        <is>
          <t>Align-V-Neck-Bra-CD-Cup</t>
        </is>
      </c>
      <c r="O1927" s="7" t="inlineStr">
        <is>
          <t>Longline Bras, Bralettes</t>
        </is>
      </c>
    </row>
    <row r="1928" ht="80" customHeight="1">
      <c r="A1928" s="4">
        <f>IMAGE("https://images.lululemon.com/is/image/lululemon/LW2ELKS_031382_1?wid=320&amp;op_usm=0.8",1)</f>
        <v/>
      </c>
      <c r="B1928" s="4" t="inlineStr">
        <is>
          <t>lululemon Align™ V-Neck Bra *Light Support, C/D Cup</t>
        </is>
      </c>
      <c r="C1928" s="4" t="inlineStr">
        <is>
          <t>155750167</t>
        </is>
      </c>
      <c r="D1928" s="4" t="inlineStr">
        <is>
          <t>155750167-truenavy</t>
        </is>
      </c>
      <c r="E1928" s="4" t="inlineStr">
        <is>
          <t>lululemon Align™ V-Neck Bra C/D TRNV 2</t>
        </is>
      </c>
      <c r="F1928" s="4" t="inlineStr">
        <is>
          <t>$58.00</t>
        </is>
      </c>
      <c r="G1928" s="4" t="inlineStr">
        <is>
          <t>$29.00</t>
        </is>
      </c>
      <c r="H1928" s="4" t="inlineStr">
        <is>
          <t>True Navy</t>
        </is>
      </c>
      <c r="I1928" s="4">
        <f>IMAGE("https://images.lululemon.com/is/image/lululemon/31382",1)</f>
        <v/>
      </c>
      <c r="J1928" s="4" t="inlineStr">
        <is>
          <t>12</t>
        </is>
      </c>
      <c r="K1928" s="4" t="inlineStr">
        <is>
          <t>7/389</t>
        </is>
      </c>
      <c r="L1928" s="4" t="inlineStr">
        <is>
          <t>Yes</t>
        </is>
      </c>
      <c r="M1928" s="4" t="inlineStr">
        <is>
          <t>Feels (almost) as good as savasana. This v-neck version of our lululemon Align™ yoga bra wraps you in buttery softness.</t>
        </is>
      </c>
      <c r="N1928" s="4" t="inlineStr">
        <is>
          <t>Align-V-Neck-Bra-CD-Cup</t>
        </is>
      </c>
      <c r="O1928" s="4" t="inlineStr">
        <is>
          <t>Longline Bras, Bralettes</t>
        </is>
      </c>
    </row>
    <row r="1929" ht="80" customHeight="1">
      <c r="A1929" s="7">
        <f>IMAGE("https://images.lululemon.com/is/image/lululemon/LW2ELKS_031382_1?wid=320&amp;op_usm=0.8",1)</f>
        <v/>
      </c>
      <c r="B1929" s="7" t="inlineStr">
        <is>
          <t>lululemon Align™ V-Neck Bra *Light Support, C/D Cup</t>
        </is>
      </c>
      <c r="C1929" s="7" t="inlineStr">
        <is>
          <t>157708250</t>
        </is>
      </c>
      <c r="D1929" s="7" t="inlineStr">
        <is>
          <t>157708250-sequoia</t>
        </is>
      </c>
      <c r="E1929" s="7" t="inlineStr">
        <is>
          <t>lululemon Align™ V-Neck Bra C/D TRNV 2</t>
        </is>
      </c>
      <c r="F1929" s="7" t="inlineStr">
        <is>
          <t>$58.00</t>
        </is>
      </c>
      <c r="G1929" s="7" t="inlineStr">
        <is>
          <t>$29.00</t>
        </is>
      </c>
      <c r="H1929" s="7" t="inlineStr">
        <is>
          <t>Sequoia</t>
        </is>
      </c>
      <c r="I1929" s="7">
        <f>IMAGE("https://images.lululemon.com/is/image/lululemon/41179",1)</f>
        <v/>
      </c>
      <c r="J1929" s="7" t="inlineStr">
        <is>
          <t>2</t>
        </is>
      </c>
      <c r="K1929" s="7" t="inlineStr">
        <is>
          <t>23/389</t>
        </is>
      </c>
      <c r="L1929" s="7" t="inlineStr">
        <is>
          <t>Yes</t>
        </is>
      </c>
      <c r="M1929" s="7" t="inlineStr">
        <is>
          <t>Feels (almost) as good as savasana. This v-neck version of our lululemon Align™ yoga bra wraps you in buttery softness.</t>
        </is>
      </c>
      <c r="N1929" s="7" t="inlineStr">
        <is>
          <t>Align-V-Neck-Bra-CD-Cup</t>
        </is>
      </c>
      <c r="O1929" s="7" t="inlineStr">
        <is>
          <t>Longline Bras, Bralettes</t>
        </is>
      </c>
    </row>
    <row r="1930" ht="80" customHeight="1">
      <c r="A1930" s="4">
        <f>IMAGE("https://images.lululemon.com/is/image/lululemon/LW2ELKS_031382_1?wid=320&amp;op_usm=0.8",1)</f>
        <v/>
      </c>
      <c r="B1930" s="4" t="inlineStr">
        <is>
          <t>lululemon Align™ V-Neck Bra *Light Support, C/D Cup</t>
        </is>
      </c>
      <c r="C1930" s="4" t="inlineStr">
        <is>
          <t>157708264</t>
        </is>
      </c>
      <c r="D1930" s="4" t="inlineStr">
        <is>
          <t>157708264-sequoia</t>
        </is>
      </c>
      <c r="E1930" s="4" t="inlineStr">
        <is>
          <t>lululemon Align™ V-Neck Bra C/D TRNV 2</t>
        </is>
      </c>
      <c r="F1930" s="4" t="inlineStr">
        <is>
          <t>$58.00</t>
        </is>
      </c>
      <c r="G1930" s="4" t="inlineStr">
        <is>
          <t>$29.00</t>
        </is>
      </c>
      <c r="H1930" s="4" t="inlineStr">
        <is>
          <t>Sequoia</t>
        </is>
      </c>
      <c r="I1930" s="4">
        <f>IMAGE("https://images.lululemon.com/is/image/lululemon/41179",1)</f>
        <v/>
      </c>
      <c r="J1930" s="4" t="inlineStr">
        <is>
          <t>4</t>
        </is>
      </c>
      <c r="K1930" s="4" t="inlineStr">
        <is>
          <t>42/389</t>
        </is>
      </c>
      <c r="L1930" s="4" t="inlineStr">
        <is>
          <t>Yes</t>
        </is>
      </c>
      <c r="M1930" s="4" t="inlineStr">
        <is>
          <t>Feels (almost) as good as savasana. This v-neck version of our lululemon Align™ yoga bra wraps you in buttery softness.</t>
        </is>
      </c>
      <c r="N1930" s="4" t="inlineStr">
        <is>
          <t>Align-V-Neck-Bra-CD-Cup</t>
        </is>
      </c>
      <c r="O1930" s="4" t="inlineStr">
        <is>
          <t>Longline Bras, Bralettes</t>
        </is>
      </c>
    </row>
    <row r="1931" ht="80" customHeight="1">
      <c r="A1931" s="7">
        <f>IMAGE("https://images.lululemon.com/is/image/lululemon/LW2ELKS_031382_1?wid=320&amp;op_usm=0.8",1)</f>
        <v/>
      </c>
      <c r="B1931" s="7" t="inlineStr">
        <is>
          <t>lululemon Align™ V-Neck Bra *Light Support, C/D Cup</t>
        </is>
      </c>
      <c r="C1931" s="7" t="inlineStr">
        <is>
          <t>157708280</t>
        </is>
      </c>
      <c r="D1931" s="7" t="inlineStr">
        <is>
          <t>157708280-sequoia</t>
        </is>
      </c>
      <c r="E1931" s="7" t="inlineStr">
        <is>
          <t>lululemon Align™ V-Neck Bra C/D TRNV 2</t>
        </is>
      </c>
      <c r="F1931" s="7" t="inlineStr">
        <is>
          <t>$58.00</t>
        </is>
      </c>
      <c r="G1931" s="7" t="inlineStr">
        <is>
          <t>$29.00</t>
        </is>
      </c>
      <c r="H1931" s="7" t="inlineStr">
        <is>
          <t>Sequoia</t>
        </is>
      </c>
      <c r="I1931" s="7">
        <f>IMAGE("https://images.lululemon.com/is/image/lululemon/41179",1)</f>
        <v/>
      </c>
      <c r="J1931" s="7" t="inlineStr">
        <is>
          <t>6</t>
        </is>
      </c>
      <c r="K1931" s="7" t="inlineStr">
        <is>
          <t>62/389</t>
        </is>
      </c>
      <c r="L1931" s="7" t="inlineStr">
        <is>
          <t>Yes</t>
        </is>
      </c>
      <c r="M1931" s="7" t="inlineStr">
        <is>
          <t>Feels (almost) as good as savasana. This v-neck version of our lululemon Align™ yoga bra wraps you in buttery softness.</t>
        </is>
      </c>
      <c r="N1931" s="7" t="inlineStr">
        <is>
          <t>Align-V-Neck-Bra-CD-Cup</t>
        </is>
      </c>
      <c r="O1931" s="7" t="inlineStr">
        <is>
          <t>Longline Bras, Bralettes</t>
        </is>
      </c>
    </row>
    <row r="1932" ht="80" customHeight="1">
      <c r="A1932" s="4">
        <f>IMAGE("https://images.lululemon.com/is/image/lululemon/LW2ELKS_031382_1?wid=320&amp;op_usm=0.8",1)</f>
        <v/>
      </c>
      <c r="B1932" s="4" t="inlineStr">
        <is>
          <t>lululemon Align™ V-Neck Bra *Light Support, C/D Cup</t>
        </is>
      </c>
      <c r="C1932" s="4" t="inlineStr">
        <is>
          <t>157708300</t>
        </is>
      </c>
      <c r="D1932" s="4" t="inlineStr">
        <is>
          <t>157708300-sequoia</t>
        </is>
      </c>
      <c r="E1932" s="4" t="inlineStr">
        <is>
          <t>lululemon Align™ V-Neck Bra C/D TRNV 2</t>
        </is>
      </c>
      <c r="F1932" s="4" t="inlineStr">
        <is>
          <t>$58.00</t>
        </is>
      </c>
      <c r="G1932" s="4" t="inlineStr">
        <is>
          <t>$29.00</t>
        </is>
      </c>
      <c r="H1932" s="4" t="inlineStr">
        <is>
          <t>Sequoia</t>
        </is>
      </c>
      <c r="I1932" s="4">
        <f>IMAGE("https://images.lululemon.com/is/image/lululemon/41179",1)</f>
        <v/>
      </c>
      <c r="J1932" s="4" t="inlineStr">
        <is>
          <t>8</t>
        </is>
      </c>
      <c r="K1932" s="4" t="inlineStr">
        <is>
          <t>61/389</t>
        </is>
      </c>
      <c r="L1932" s="4" t="inlineStr">
        <is>
          <t>Yes</t>
        </is>
      </c>
      <c r="M1932" s="4" t="inlineStr">
        <is>
          <t>Feels (almost) as good as savasana. This v-neck version of our lululemon Align™ yoga bra wraps you in buttery softness.</t>
        </is>
      </c>
      <c r="N1932" s="4" t="inlineStr">
        <is>
          <t>Align-V-Neck-Bra-CD-Cup</t>
        </is>
      </c>
      <c r="O1932" s="4" t="inlineStr">
        <is>
          <t>Longline Bras, Bralettes</t>
        </is>
      </c>
    </row>
    <row r="1933" ht="80" customHeight="1">
      <c r="A1933" s="7">
        <f>IMAGE("https://images.lululemon.com/is/image/lululemon/LW2ELKS_031382_1?wid=320&amp;op_usm=0.8",1)</f>
        <v/>
      </c>
      <c r="B1933" s="7" t="inlineStr">
        <is>
          <t>lululemon Align™ V-Neck Bra *Light Support, C/D Cup</t>
        </is>
      </c>
      <c r="C1933" s="7" t="inlineStr">
        <is>
          <t>157708217</t>
        </is>
      </c>
      <c r="D1933" s="7" t="inlineStr">
        <is>
          <t>157708217-sequoia</t>
        </is>
      </c>
      <c r="E1933" s="7" t="inlineStr">
        <is>
          <t>lululemon Align™ V-Neck Bra C/D TRNV 2</t>
        </is>
      </c>
      <c r="F1933" s="7" t="inlineStr">
        <is>
          <t>$58.00</t>
        </is>
      </c>
      <c r="G1933" s="7" t="inlineStr">
        <is>
          <t>$29.00</t>
        </is>
      </c>
      <c r="H1933" s="7" t="inlineStr">
        <is>
          <t>Sequoia</t>
        </is>
      </c>
      <c r="I1933" s="7">
        <f>IMAGE("https://images.lululemon.com/is/image/lululemon/41179",1)</f>
        <v/>
      </c>
      <c r="J1933" s="7" t="inlineStr">
        <is>
          <t>10</t>
        </is>
      </c>
      <c r="K1933" s="7" t="inlineStr">
        <is>
          <t>35/389</t>
        </is>
      </c>
      <c r="L1933" s="7" t="inlineStr">
        <is>
          <t>Yes</t>
        </is>
      </c>
      <c r="M1933" s="7" t="inlineStr">
        <is>
          <t>Feels (almost) as good as savasana. This v-neck version of our lululemon Align™ yoga bra wraps you in buttery softness.</t>
        </is>
      </c>
      <c r="N1933" s="7" t="inlineStr">
        <is>
          <t>Align-V-Neck-Bra-CD-Cup</t>
        </is>
      </c>
      <c r="O1933" s="7" t="inlineStr">
        <is>
          <t>Longline Bras, Bralettes</t>
        </is>
      </c>
    </row>
    <row r="1934" ht="80" customHeight="1">
      <c r="A1934" s="6">
        <f>IMAGE("https://images.lululemon.com/is/image/lululemon/LW2ELKS_031382_1?wid=320&amp;op_usm=0.8",1)</f>
        <v/>
      </c>
      <c r="B1934" s="6" t="inlineStr">
        <is>
          <t>lululemon Align™ V-Neck Bra *Light Support, C/D Cup</t>
        </is>
      </c>
      <c r="C1934" s="6" t="inlineStr">
        <is>
          <t>157708237</t>
        </is>
      </c>
      <c r="D1934" s="6" t="inlineStr">
        <is>
          <t>157708237-sequoia</t>
        </is>
      </c>
      <c r="E1934" s="6" t="inlineStr">
        <is>
          <t>lululemon Align™ V-Neck Bra C/D TRNV 2</t>
        </is>
      </c>
      <c r="F1934" s="6" t="inlineStr">
        <is>
          <t>$58.00</t>
        </is>
      </c>
      <c r="G1934" s="6" t="inlineStr">
        <is>
          <t>$29.00</t>
        </is>
      </c>
      <c r="H1934" s="6" t="inlineStr">
        <is>
          <t>Sequoia</t>
        </is>
      </c>
      <c r="I1934" s="6">
        <f>IMAGE("https://images.lululemon.com/is/image/lululemon/41179",1)</f>
        <v/>
      </c>
      <c r="J1934" s="6" t="inlineStr">
        <is>
          <t>12</t>
        </is>
      </c>
      <c r="K1934" s="6" t="inlineStr">
        <is>
          <t>15/389</t>
        </is>
      </c>
      <c r="L1934" s="6" t="inlineStr">
        <is>
          <t>Yes</t>
        </is>
      </c>
      <c r="M1934" s="6" t="inlineStr">
        <is>
          <t>Feels (almost) as good as savasana. This v-neck version of our lululemon Align™ yoga bra wraps you in buttery softness.</t>
        </is>
      </c>
      <c r="N1934" s="6" t="inlineStr">
        <is>
          <t>Align-V-Neck-Bra-CD-Cup</t>
        </is>
      </c>
      <c r="O1934" s="6" t="inlineStr">
        <is>
          <t>Longline Bras, Bralettes</t>
        </is>
      </c>
    </row>
    <row r="1935" ht="80" customHeight="1">
      <c r="A1935" s="7">
        <f>IMAGE("https://images.lululemon.com/is/image/lululemon/LW5GI3S_0001_1?wid=320&amp;op_usm=0.8",1)</f>
        <v/>
      </c>
      <c r="B1935" s="7" t="inlineStr">
        <is>
          <t>lululemon Glow Up™ Super-High-Rise Tight 28"</t>
        </is>
      </c>
      <c r="C1935" s="7" t="inlineStr">
        <is>
          <t>154834211</t>
        </is>
      </c>
      <c r="D1935" s="7" t="inlineStr">
        <is>
          <t>154834211-black</t>
        </is>
      </c>
      <c r="E1935" s="7" t="inlineStr">
        <is>
          <t>Glow Up SHR Tight 28" BLK 2</t>
        </is>
      </c>
      <c r="F1935" s="7" t="inlineStr">
        <is>
          <t>$118.00</t>
        </is>
      </c>
      <c r="G1935" s="7" t="inlineStr">
        <is>
          <t>$59.00</t>
        </is>
      </c>
      <c r="H1935" s="7" t="inlineStr">
        <is>
          <t>Black</t>
        </is>
      </c>
      <c r="I1935" s="7">
        <f>IMAGE("https://images.lululemon.com/is/image/lululemon/0001",1)</f>
        <v/>
      </c>
      <c r="J1935" s="7" t="inlineStr">
        <is>
          <t>2</t>
        </is>
      </c>
      <c r="K1935" s="7" t="inlineStr">
        <is>
          <t>31/216</t>
        </is>
      </c>
      <c r="L1935" s="7" t="inlineStr">
        <is>
          <t>Yes</t>
        </is>
      </c>
      <c r="M1935" s="7" t="inlineStr">
        <is>
          <t>Confident to your core. These training tights combine sleek fabric and smoothing waistband technology to keep you feeling sculpted and supported.</t>
        </is>
      </c>
      <c r="N1935" s="7" t="inlineStr">
        <is>
          <t>Glow-Up-Super-High-Rise-Tight-28</t>
        </is>
      </c>
      <c r="O1935" s="7" t="inlineStr">
        <is>
          <t>Athletic Pants</t>
        </is>
      </c>
    </row>
    <row r="1936" ht="80" customHeight="1">
      <c r="A1936" s="4">
        <f>IMAGE("https://images.lululemon.com/is/image/lululemon/LW5GI3S_0001_1?wid=320&amp;op_usm=0.8",1)</f>
        <v/>
      </c>
      <c r="B1936" s="4" t="inlineStr">
        <is>
          <t>lululemon Glow Up™ Super-High-Rise Tight 28"</t>
        </is>
      </c>
      <c r="C1936" s="4" t="inlineStr">
        <is>
          <t>154834226</t>
        </is>
      </c>
      <c r="D1936" s="4" t="inlineStr">
        <is>
          <t>154834226-black</t>
        </is>
      </c>
      <c r="E1936" s="4" t="inlineStr">
        <is>
          <t>Glow Up SHR Tight 28" BLK 2</t>
        </is>
      </c>
      <c r="F1936" s="4" t="inlineStr">
        <is>
          <t>$118.00</t>
        </is>
      </c>
      <c r="G1936" s="4" t="inlineStr">
        <is>
          <t>$59.00</t>
        </is>
      </c>
      <c r="H1936" s="4" t="inlineStr">
        <is>
          <t>Black</t>
        </is>
      </c>
      <c r="I1936" s="4">
        <f>IMAGE("https://images.lululemon.com/is/image/lululemon/0001",1)</f>
        <v/>
      </c>
      <c r="J1936" s="4" t="inlineStr">
        <is>
          <t>4</t>
        </is>
      </c>
      <c r="K1936" s="4" t="inlineStr">
        <is>
          <t>16/216</t>
        </is>
      </c>
      <c r="L1936" s="4" t="inlineStr">
        <is>
          <t>Yes</t>
        </is>
      </c>
      <c r="M1936" s="4" t="inlineStr">
        <is>
          <t>Confident to your core. These training tights combine sleek fabric and smoothing waistband technology to keep you feeling sculpted and supported.</t>
        </is>
      </c>
      <c r="N1936" s="4" t="inlineStr">
        <is>
          <t>Glow-Up-Super-High-Rise-Tight-28</t>
        </is>
      </c>
      <c r="O1936" s="4" t="inlineStr">
        <is>
          <t>Athletic Pants</t>
        </is>
      </c>
    </row>
    <row r="1937" ht="80" customHeight="1">
      <c r="A1937" s="7">
        <f>IMAGE("https://images.lululemon.com/is/image/lululemon/LW5GI3S_0001_1?wid=320&amp;op_usm=0.8",1)</f>
        <v/>
      </c>
      <c r="B1937" s="7" t="inlineStr">
        <is>
          <t>lululemon Glow Up™ Super-High-Rise Tight 28"</t>
        </is>
      </c>
      <c r="C1937" s="7" t="inlineStr">
        <is>
          <t>154834229</t>
        </is>
      </c>
      <c r="D1937" s="7" t="inlineStr">
        <is>
          <t>154834229-black</t>
        </is>
      </c>
      <c r="E1937" s="7" t="inlineStr">
        <is>
          <t>Glow Up SHR Tight 28" BLK 2</t>
        </is>
      </c>
      <c r="F1937" s="7" t="inlineStr">
        <is>
          <t>$118.00</t>
        </is>
      </c>
      <c r="G1937" s="7" t="inlineStr">
        <is>
          <t>$59.00</t>
        </is>
      </c>
      <c r="H1937" s="7" t="inlineStr">
        <is>
          <t>Black</t>
        </is>
      </c>
      <c r="I1937" s="7">
        <f>IMAGE("https://images.lululemon.com/is/image/lululemon/0001",1)</f>
        <v/>
      </c>
      <c r="J1937" s="7" t="inlineStr">
        <is>
          <t>6</t>
        </is>
      </c>
      <c r="K1937" s="7" t="inlineStr">
        <is>
          <t>98/216</t>
        </is>
      </c>
      <c r="L1937" s="7" t="inlineStr">
        <is>
          <t>Yes</t>
        </is>
      </c>
      <c r="M1937" s="7" t="inlineStr">
        <is>
          <t>Confident to your core. These training tights combine sleek fabric and smoothing waistband technology to keep you feeling sculpted and supported.</t>
        </is>
      </c>
      <c r="N1937" s="7" t="inlineStr">
        <is>
          <t>Glow-Up-Super-High-Rise-Tight-28</t>
        </is>
      </c>
      <c r="O1937" s="7" t="inlineStr">
        <is>
          <t>Athletic Pants</t>
        </is>
      </c>
    </row>
    <row r="1938" ht="80" customHeight="1">
      <c r="A1938" s="4">
        <f>IMAGE("https://images.lululemon.com/is/image/lululemon/LW5GI3S_0001_1?wid=320&amp;op_usm=0.8",1)</f>
        <v/>
      </c>
      <c r="B1938" s="4" t="inlineStr">
        <is>
          <t>lululemon Glow Up™ Super-High-Rise Tight 28"</t>
        </is>
      </c>
      <c r="C1938" s="4" t="inlineStr">
        <is>
          <t>154834232</t>
        </is>
      </c>
      <c r="D1938" s="4" t="inlineStr">
        <is>
          <t>154834232-black</t>
        </is>
      </c>
      <c r="E1938" s="4" t="inlineStr">
        <is>
          <t>Glow Up SHR Tight 28" BLK 2</t>
        </is>
      </c>
      <c r="F1938" s="4" t="inlineStr">
        <is>
          <t>$118.00</t>
        </is>
      </c>
      <c r="G1938" s="4" t="inlineStr">
        <is>
          <t>$59.00</t>
        </is>
      </c>
      <c r="H1938" s="4" t="inlineStr">
        <is>
          <t>Black</t>
        </is>
      </c>
      <c r="I1938" s="4">
        <f>IMAGE("https://images.lululemon.com/is/image/lululemon/0001",1)</f>
        <v/>
      </c>
      <c r="J1938" s="4" t="inlineStr">
        <is>
          <t>8</t>
        </is>
      </c>
      <c r="K1938" s="4" t="inlineStr">
        <is>
          <t>51/216</t>
        </is>
      </c>
      <c r="L1938" s="4" t="inlineStr">
        <is>
          <t>Yes</t>
        </is>
      </c>
      <c r="M1938" s="4" t="inlineStr">
        <is>
          <t>Confident to your core. These training tights combine sleek fabric and smoothing waistband technology to keep you feeling sculpted and supported.</t>
        </is>
      </c>
      <c r="N1938" s="4" t="inlineStr">
        <is>
          <t>Glow-Up-Super-High-Rise-Tight-28</t>
        </is>
      </c>
      <c r="O1938" s="4" t="inlineStr">
        <is>
          <t>Athletic Pants</t>
        </is>
      </c>
    </row>
    <row r="1939" ht="80" customHeight="1">
      <c r="A1939" s="5">
        <f>IMAGE("https://images.lululemon.com/is/image/lululemon/LW5GI3S_0001_1?wid=320&amp;op_usm=0.8",1)</f>
        <v/>
      </c>
      <c r="B1939" s="5" t="inlineStr">
        <is>
          <t>lululemon Glow Up™ Super-High-Rise Tight 28"</t>
        </is>
      </c>
      <c r="C1939" s="5" t="inlineStr">
        <is>
          <t>154834200</t>
        </is>
      </c>
      <c r="D1939" s="5" t="inlineStr">
        <is>
          <t>154834200-black</t>
        </is>
      </c>
      <c r="E1939" s="5" t="inlineStr">
        <is>
          <t>Glow Up SHR Tight 28" BLK 2</t>
        </is>
      </c>
      <c r="F1939" s="5" t="inlineStr">
        <is>
          <t>$118.00</t>
        </is>
      </c>
      <c r="G1939" s="5" t="inlineStr">
        <is>
          <t>$59.00</t>
        </is>
      </c>
      <c r="H1939" s="5" t="inlineStr">
        <is>
          <t>Black</t>
        </is>
      </c>
      <c r="I1939" s="5">
        <f>IMAGE("https://images.lululemon.com/is/image/lululemon/0001",1)</f>
        <v/>
      </c>
      <c r="J1939" s="5" t="inlineStr">
        <is>
          <t>12</t>
        </is>
      </c>
      <c r="K1939" s="5" t="inlineStr">
        <is>
          <t>20/216</t>
        </is>
      </c>
      <c r="L1939" s="5" t="inlineStr">
        <is>
          <t>Yes</t>
        </is>
      </c>
      <c r="M1939" s="5" t="inlineStr">
        <is>
          <t>Confident to your core. These training tights combine sleek fabric and smoothing waistband technology to keep you feeling sculpted and supported.</t>
        </is>
      </c>
      <c r="N1939" s="5" t="inlineStr">
        <is>
          <t>Glow-Up-Super-High-Rise-Tight-28</t>
        </is>
      </c>
      <c r="O1939" s="5" t="inlineStr">
        <is>
          <t>Athletic Pants</t>
        </is>
      </c>
    </row>
    <row r="1940" ht="80" customHeight="1">
      <c r="A1940" s="4">
        <f>IMAGE("https://images.lululemon.com/is/image/lululemon/LW1ES8S_034697_1?wid=320&amp;op_usm=0.8",1)</f>
        <v/>
      </c>
      <c r="B1940" s="4" t="inlineStr">
        <is>
          <t>Jersey Training Tank Top</t>
        </is>
      </c>
      <c r="C1940" s="4" t="inlineStr">
        <is>
          <t>158095176</t>
        </is>
      </c>
      <c r="D1940" s="4" t="inlineStr">
        <is>
          <t>158095176-blackplum</t>
        </is>
      </c>
      <c r="E1940" s="4" t="inlineStr">
        <is>
          <t>Jersey Training Tank Top BLPM 2</t>
        </is>
      </c>
      <c r="F1940" s="4" t="inlineStr">
        <is>
          <t>$48.00</t>
        </is>
      </c>
      <c r="G1940" s="4" t="inlineStr">
        <is>
          <t>$24.00</t>
        </is>
      </c>
      <c r="H1940" s="4" t="inlineStr">
        <is>
          <t>Black Plum</t>
        </is>
      </c>
      <c r="I1940" s="4">
        <f>IMAGE("https://images.lululemon.com/is/image/lululemon/34697",1)</f>
        <v/>
      </c>
      <c r="J1940" s="4" t="inlineStr">
        <is>
          <t>2</t>
        </is>
      </c>
      <c r="K1940" s="4" t="inlineStr">
        <is>
          <t>17/239</t>
        </is>
      </c>
      <c r="L1940" s="4" t="inlineStr">
        <is>
          <t>Yes</t>
        </is>
      </c>
      <c r="M1940" s="4" t="inlineStr">
        <is>
          <t>It's giving versatility. This training tank combines technical performance with the ultra-soft feel of your favourite lounge top.</t>
        </is>
      </c>
      <c r="N1940" s="4" t="inlineStr">
        <is>
          <t>Jersey-Training-Tank-Top</t>
        </is>
      </c>
      <c r="O1940" s="4" t="inlineStr"/>
    </row>
    <row r="1941" ht="80" customHeight="1">
      <c r="A1941" s="7">
        <f>IMAGE("https://images.lululemon.com/is/image/lululemon/LW1ES8S_034697_1?wid=320&amp;op_usm=0.8",1)</f>
        <v/>
      </c>
      <c r="B1941" s="7" t="inlineStr">
        <is>
          <t>Jersey Training Tank Top</t>
        </is>
      </c>
      <c r="C1941" s="7" t="inlineStr">
        <is>
          <t>158095183</t>
        </is>
      </c>
      <c r="D1941" s="7" t="inlineStr">
        <is>
          <t>158095183-blackplum</t>
        </is>
      </c>
      <c r="E1941" s="7" t="inlineStr">
        <is>
          <t>Jersey Training Tank Top BLPM 2</t>
        </is>
      </c>
      <c r="F1941" s="7" t="inlineStr">
        <is>
          <t>$48.00</t>
        </is>
      </c>
      <c r="G1941" s="7" t="inlineStr">
        <is>
          <t>$24.00</t>
        </is>
      </c>
      <c r="H1941" s="7" t="inlineStr">
        <is>
          <t>Black Plum</t>
        </is>
      </c>
      <c r="I1941" s="7">
        <f>IMAGE("https://images.lululemon.com/is/image/lululemon/34697",1)</f>
        <v/>
      </c>
      <c r="J1941" s="7" t="inlineStr">
        <is>
          <t>4</t>
        </is>
      </c>
      <c r="K1941" s="7" t="inlineStr">
        <is>
          <t>80/239</t>
        </is>
      </c>
      <c r="L1941" s="7" t="inlineStr">
        <is>
          <t>Yes</t>
        </is>
      </c>
      <c r="M1941" s="7" t="inlineStr">
        <is>
          <t>It's giving versatility. This training tank combines technical performance with the ultra-soft feel of your favourite lounge top.</t>
        </is>
      </c>
      <c r="N1941" s="7" t="inlineStr">
        <is>
          <t>Jersey-Training-Tank-Top</t>
        </is>
      </c>
      <c r="O1941" s="7" t="inlineStr"/>
    </row>
    <row r="1942" ht="80" customHeight="1">
      <c r="A1942" s="4">
        <f>IMAGE("https://images.lululemon.com/is/image/lululemon/LW1ES8S_034697_1?wid=320&amp;op_usm=0.8",1)</f>
        <v/>
      </c>
      <c r="B1942" s="4" t="inlineStr">
        <is>
          <t>Jersey Training Tank Top</t>
        </is>
      </c>
      <c r="C1942" s="4" t="inlineStr">
        <is>
          <t>158095192</t>
        </is>
      </c>
      <c r="D1942" s="4" t="inlineStr">
        <is>
          <t>158095192-blackplum</t>
        </is>
      </c>
      <c r="E1942" s="4" t="inlineStr">
        <is>
          <t>Jersey Training Tank Top BLPM 2</t>
        </is>
      </c>
      <c r="F1942" s="4" t="inlineStr">
        <is>
          <t>$48.00</t>
        </is>
      </c>
      <c r="G1942" s="4" t="inlineStr">
        <is>
          <t>$24.00</t>
        </is>
      </c>
      <c r="H1942" s="4" t="inlineStr">
        <is>
          <t>Black Plum</t>
        </is>
      </c>
      <c r="I1942" s="4">
        <f>IMAGE("https://images.lululemon.com/is/image/lululemon/34697",1)</f>
        <v/>
      </c>
      <c r="J1942" s="4" t="inlineStr">
        <is>
          <t>6</t>
        </is>
      </c>
      <c r="K1942" s="4" t="inlineStr">
        <is>
          <t>81/239</t>
        </is>
      </c>
      <c r="L1942" s="4" t="inlineStr">
        <is>
          <t>Yes</t>
        </is>
      </c>
      <c r="M1942" s="4" t="inlineStr">
        <is>
          <t>It's giving versatility. This training tank combines technical performance with the ultra-soft feel of your favourite lounge top.</t>
        </is>
      </c>
      <c r="N1942" s="4" t="inlineStr">
        <is>
          <t>Jersey-Training-Tank-Top</t>
        </is>
      </c>
      <c r="O1942" s="4" t="inlineStr"/>
    </row>
    <row r="1943" ht="80" customHeight="1">
      <c r="A1943" s="7">
        <f>IMAGE("https://images.lululemon.com/is/image/lululemon/LW1ES8S_034697_1?wid=320&amp;op_usm=0.8",1)</f>
        <v/>
      </c>
      <c r="B1943" s="7" t="inlineStr">
        <is>
          <t>Jersey Training Tank Top</t>
        </is>
      </c>
      <c r="C1943" s="7" t="inlineStr">
        <is>
          <t>158095202</t>
        </is>
      </c>
      <c r="D1943" s="7" t="inlineStr">
        <is>
          <t>158095202-blackplum</t>
        </is>
      </c>
      <c r="E1943" s="7" t="inlineStr">
        <is>
          <t>Jersey Training Tank Top BLPM 2</t>
        </is>
      </c>
      <c r="F1943" s="7" t="inlineStr">
        <is>
          <t>$48.00</t>
        </is>
      </c>
      <c r="G1943" s="7" t="inlineStr">
        <is>
          <t>$24.00</t>
        </is>
      </c>
      <c r="H1943" s="7" t="inlineStr">
        <is>
          <t>Black Plum</t>
        </is>
      </c>
      <c r="I1943" s="7">
        <f>IMAGE("https://images.lululemon.com/is/image/lululemon/34697",1)</f>
        <v/>
      </c>
      <c r="J1943" s="7" t="inlineStr">
        <is>
          <t>8</t>
        </is>
      </c>
      <c r="K1943" s="7" t="inlineStr">
        <is>
          <t>1/239</t>
        </is>
      </c>
      <c r="L1943" s="7" t="inlineStr">
        <is>
          <t>Yes</t>
        </is>
      </c>
      <c r="M1943" s="7" t="inlineStr">
        <is>
          <t>It's giving versatility. This training tank combines technical performance with the ultra-soft feel of your favourite lounge top.</t>
        </is>
      </c>
      <c r="N1943" s="7" t="inlineStr">
        <is>
          <t>Jersey-Training-Tank-Top</t>
        </is>
      </c>
      <c r="O1943" s="7" t="inlineStr"/>
    </row>
    <row r="1944" ht="80" customHeight="1">
      <c r="A1944" s="4">
        <f>IMAGE("https://images.lululemon.com/is/image/lululemon/LW1ES8S_034697_1?wid=320&amp;op_usm=0.8",1)</f>
        <v/>
      </c>
      <c r="B1944" s="4" t="inlineStr">
        <is>
          <t>Jersey Training Tank Top</t>
        </is>
      </c>
      <c r="C1944" s="4" t="inlineStr">
        <is>
          <t>158095157</t>
        </is>
      </c>
      <c r="D1944" s="4" t="inlineStr">
        <is>
          <t>158095157-blackplum</t>
        </is>
      </c>
      <c r="E1944" s="4" t="inlineStr">
        <is>
          <t>Jersey Training Tank Top BLPM 2</t>
        </is>
      </c>
      <c r="F1944" s="4" t="inlineStr">
        <is>
          <t>$48.00</t>
        </is>
      </c>
      <c r="G1944" s="4" t="inlineStr">
        <is>
          <t>$24.00</t>
        </is>
      </c>
      <c r="H1944" s="4" t="inlineStr">
        <is>
          <t>Black Plum</t>
        </is>
      </c>
      <c r="I1944" s="4">
        <f>IMAGE("https://images.lululemon.com/is/image/lululemon/34697",1)</f>
        <v/>
      </c>
      <c r="J1944" s="4" t="inlineStr">
        <is>
          <t>12</t>
        </is>
      </c>
      <c r="K1944" s="4" t="inlineStr">
        <is>
          <t>7/239</t>
        </is>
      </c>
      <c r="L1944" s="4" t="inlineStr">
        <is>
          <t>Yes</t>
        </is>
      </c>
      <c r="M1944" s="4" t="inlineStr">
        <is>
          <t>It's giving versatility. This training tank combines technical performance with the ultra-soft feel of your favourite lounge top.</t>
        </is>
      </c>
      <c r="N1944" s="4" t="inlineStr">
        <is>
          <t>Jersey-Training-Tank-Top</t>
        </is>
      </c>
      <c r="O1944" s="4" t="inlineStr"/>
    </row>
    <row r="1945" ht="80" customHeight="1">
      <c r="A1945" s="7">
        <f>IMAGE("https://images.lululemon.com/is/image/lululemon/LW1ES8S_034697_1?wid=320&amp;op_usm=0.8",1)</f>
        <v/>
      </c>
      <c r="B1945" s="7" t="inlineStr">
        <is>
          <t>Jersey Training Tank Top</t>
        </is>
      </c>
      <c r="C1945" s="7" t="inlineStr">
        <is>
          <t>158095312</t>
        </is>
      </c>
      <c r="D1945" s="7" t="inlineStr">
        <is>
          <t>158095312-atmosphericpurple</t>
        </is>
      </c>
      <c r="E1945" s="7" t="inlineStr">
        <is>
          <t>Jersey Training Tank Top BLPM 2</t>
        </is>
      </c>
      <c r="F1945" s="7" t="inlineStr">
        <is>
          <t>$48.00</t>
        </is>
      </c>
      <c r="G1945" s="7" t="inlineStr">
        <is>
          <t>$24.00</t>
        </is>
      </c>
      <c r="H1945" s="7" t="inlineStr">
        <is>
          <t>ATMOSPHERIC PURPLE</t>
        </is>
      </c>
      <c r="I1945" s="7">
        <f>IMAGE("https://images.lululemon.com/is/image/lululemon/63787",1)</f>
        <v/>
      </c>
      <c r="J1945" s="7" t="inlineStr">
        <is>
          <t>2</t>
        </is>
      </c>
      <c r="K1945" s="7" t="inlineStr">
        <is>
          <t>5/239</t>
        </is>
      </c>
      <c r="L1945" s="7" t="inlineStr">
        <is>
          <t>Yes</t>
        </is>
      </c>
      <c r="M1945" s="7" t="inlineStr">
        <is>
          <t>It's giving versatility. This training tank combines technical performance with the ultra-soft feel of your favourite lounge top.</t>
        </is>
      </c>
      <c r="N1945" s="7" t="inlineStr">
        <is>
          <t>Jersey-Training-Tank-Top</t>
        </is>
      </c>
      <c r="O1945" s="7" t="inlineStr"/>
    </row>
    <row r="1946" ht="80" customHeight="1">
      <c r="A1946" s="4">
        <f>IMAGE("https://images.lululemon.com/is/image/lululemon/LW1ES8S_034697_1?wid=320&amp;op_usm=0.8",1)</f>
        <v/>
      </c>
      <c r="B1946" s="4" t="inlineStr">
        <is>
          <t>Jersey Training Tank Top</t>
        </is>
      </c>
      <c r="C1946" s="4" t="inlineStr">
        <is>
          <t>158095320</t>
        </is>
      </c>
      <c r="D1946" s="4" t="inlineStr">
        <is>
          <t>158095320-atmosphericpurple</t>
        </is>
      </c>
      <c r="E1946" s="4" t="inlineStr">
        <is>
          <t>Jersey Training Tank Top BLPM 2</t>
        </is>
      </c>
      <c r="F1946" s="4" t="inlineStr">
        <is>
          <t>$48.00</t>
        </is>
      </c>
      <c r="G1946" s="4" t="inlineStr">
        <is>
          <t>$24.00</t>
        </is>
      </c>
      <c r="H1946" s="4" t="inlineStr">
        <is>
          <t>ATMOSPHERIC PURPLE</t>
        </is>
      </c>
      <c r="I1946" s="4">
        <f>IMAGE("https://images.lululemon.com/is/image/lululemon/63787",1)</f>
        <v/>
      </c>
      <c r="J1946" s="4" t="inlineStr">
        <is>
          <t>4</t>
        </is>
      </c>
      <c r="K1946" s="4" t="inlineStr">
        <is>
          <t>14/239</t>
        </is>
      </c>
      <c r="L1946" s="4" t="inlineStr">
        <is>
          <t>Yes</t>
        </is>
      </c>
      <c r="M1946" s="4" t="inlineStr">
        <is>
          <t>It's giving versatility. This training tank combines technical performance with the ultra-soft feel of your favourite lounge top.</t>
        </is>
      </c>
      <c r="N1946" s="4" t="inlineStr">
        <is>
          <t>Jersey-Training-Tank-Top</t>
        </is>
      </c>
      <c r="O1946" s="4" t="inlineStr"/>
    </row>
    <row r="1947" ht="80" customHeight="1">
      <c r="A1947" s="7">
        <f>IMAGE("https://images.lululemon.com/is/image/lululemon/LW1ES8S_034697_1?wid=320&amp;op_usm=0.8",1)</f>
        <v/>
      </c>
      <c r="B1947" s="7" t="inlineStr">
        <is>
          <t>Jersey Training Tank Top</t>
        </is>
      </c>
      <c r="C1947" s="7" t="inlineStr">
        <is>
          <t>158095328</t>
        </is>
      </c>
      <c r="D1947" s="7" t="inlineStr">
        <is>
          <t>158095328-atmosphericpurple</t>
        </is>
      </c>
      <c r="E1947" s="7" t="inlineStr">
        <is>
          <t>Jersey Training Tank Top BLPM 2</t>
        </is>
      </c>
      <c r="F1947" s="7" t="inlineStr">
        <is>
          <t>$48.00</t>
        </is>
      </c>
      <c r="G1947" s="7" t="inlineStr">
        <is>
          <t>$24.00</t>
        </is>
      </c>
      <c r="H1947" s="7" t="inlineStr">
        <is>
          <t>ATMOSPHERIC PURPLE</t>
        </is>
      </c>
      <c r="I1947" s="7">
        <f>IMAGE("https://images.lululemon.com/is/image/lululemon/63787",1)</f>
        <v/>
      </c>
      <c r="J1947" s="7" t="inlineStr">
        <is>
          <t>6</t>
        </is>
      </c>
      <c r="K1947" s="7" t="inlineStr">
        <is>
          <t>13/239</t>
        </is>
      </c>
      <c r="L1947" s="7" t="inlineStr">
        <is>
          <t>Yes</t>
        </is>
      </c>
      <c r="M1947" s="7" t="inlineStr">
        <is>
          <t>It's giving versatility. This training tank combines technical performance with the ultra-soft feel of your favourite lounge top.</t>
        </is>
      </c>
      <c r="N1947" s="7" t="inlineStr">
        <is>
          <t>Jersey-Training-Tank-Top</t>
        </is>
      </c>
      <c r="O1947" s="7" t="inlineStr"/>
    </row>
    <row r="1948" ht="80" customHeight="1">
      <c r="A1948" s="4">
        <f>IMAGE("https://images.lululemon.com/is/image/lululemon/LW1ES8S_034697_1?wid=320&amp;op_usm=0.8",1)</f>
        <v/>
      </c>
      <c r="B1948" s="4" t="inlineStr">
        <is>
          <t>Jersey Training Tank Top</t>
        </is>
      </c>
      <c r="C1948" s="4" t="inlineStr">
        <is>
          <t>158095338</t>
        </is>
      </c>
      <c r="D1948" s="4" t="inlineStr">
        <is>
          <t>158095338-atmosphericpurple</t>
        </is>
      </c>
      <c r="E1948" s="4" t="inlineStr">
        <is>
          <t>Jersey Training Tank Top BLPM 2</t>
        </is>
      </c>
      <c r="F1948" s="4" t="inlineStr">
        <is>
          <t>$48.00</t>
        </is>
      </c>
      <c r="G1948" s="4" t="inlineStr">
        <is>
          <t>$24.00</t>
        </is>
      </c>
      <c r="H1948" s="4" t="inlineStr">
        <is>
          <t>ATMOSPHERIC PURPLE</t>
        </is>
      </c>
      <c r="I1948" s="4">
        <f>IMAGE("https://images.lululemon.com/is/image/lululemon/63787",1)</f>
        <v/>
      </c>
      <c r="J1948" s="4" t="inlineStr">
        <is>
          <t>8</t>
        </is>
      </c>
      <c r="K1948" s="4" t="inlineStr">
        <is>
          <t>10/239</t>
        </is>
      </c>
      <c r="L1948" s="4" t="inlineStr">
        <is>
          <t>Yes</t>
        </is>
      </c>
      <c r="M1948" s="4" t="inlineStr">
        <is>
          <t>It's giving versatility. This training tank combines technical performance with the ultra-soft feel of your favourite lounge top.</t>
        </is>
      </c>
      <c r="N1948" s="4" t="inlineStr">
        <is>
          <t>Jersey-Training-Tank-Top</t>
        </is>
      </c>
      <c r="O1948" s="4" t="inlineStr"/>
    </row>
    <row r="1949" ht="80" customHeight="1">
      <c r="A1949" s="7">
        <f>IMAGE("https://images.lululemon.com/is/image/lululemon/LW1ES8S_034697_1?wid=320&amp;op_usm=0.8",1)</f>
        <v/>
      </c>
      <c r="B1949" s="7" t="inlineStr">
        <is>
          <t>Jersey Training Tank Top</t>
        </is>
      </c>
      <c r="C1949" s="7" t="inlineStr">
        <is>
          <t>158095287</t>
        </is>
      </c>
      <c r="D1949" s="7" t="inlineStr">
        <is>
          <t>158095287-atmosphericpurple</t>
        </is>
      </c>
      <c r="E1949" s="7" t="inlineStr">
        <is>
          <t>Jersey Training Tank Top BLPM 2</t>
        </is>
      </c>
      <c r="F1949" s="7" t="inlineStr">
        <is>
          <t>$48.00</t>
        </is>
      </c>
      <c r="G1949" s="7" t="inlineStr">
        <is>
          <t>$24.00</t>
        </is>
      </c>
      <c r="H1949" s="7" t="inlineStr">
        <is>
          <t>ATMOSPHERIC PURPLE</t>
        </is>
      </c>
      <c r="I1949" s="7">
        <f>IMAGE("https://images.lululemon.com/is/image/lululemon/63787",1)</f>
        <v/>
      </c>
      <c r="J1949" s="7" t="inlineStr">
        <is>
          <t>10</t>
        </is>
      </c>
      <c r="K1949" s="7" t="inlineStr">
        <is>
          <t>4/239</t>
        </is>
      </c>
      <c r="L1949" s="7" t="inlineStr">
        <is>
          <t>Yes</t>
        </is>
      </c>
      <c r="M1949" s="7" t="inlineStr">
        <is>
          <t>It's giving versatility. This training tank combines technical performance with the ultra-soft feel of your favourite lounge top.</t>
        </is>
      </c>
      <c r="N1949" s="7" t="inlineStr">
        <is>
          <t>Jersey-Training-Tank-Top</t>
        </is>
      </c>
      <c r="O1949" s="7" t="inlineStr"/>
    </row>
    <row r="1950" ht="80" customHeight="1">
      <c r="A1950" s="6">
        <f>IMAGE("https://images.lululemon.com/is/image/lululemon/LW1ES8S_034697_1?wid=320&amp;op_usm=0.8",1)</f>
        <v/>
      </c>
      <c r="B1950" s="6" t="inlineStr">
        <is>
          <t>Jersey Training Tank Top</t>
        </is>
      </c>
      <c r="C1950" s="6" t="inlineStr">
        <is>
          <t>158095296</t>
        </is>
      </c>
      <c r="D1950" s="6" t="inlineStr">
        <is>
          <t>158095296-atmosphericpurple</t>
        </is>
      </c>
      <c r="E1950" s="6" t="inlineStr">
        <is>
          <t>Jersey Training Tank Top BLPM 2</t>
        </is>
      </c>
      <c r="F1950" s="6" t="inlineStr">
        <is>
          <t>$48.00</t>
        </is>
      </c>
      <c r="G1950" s="6" t="inlineStr">
        <is>
          <t>$24.00</t>
        </is>
      </c>
      <c r="H1950" s="6" t="inlineStr">
        <is>
          <t>ATMOSPHERIC PURPLE</t>
        </is>
      </c>
      <c r="I1950" s="6">
        <f>IMAGE("https://images.lululemon.com/is/image/lululemon/63787",1)</f>
        <v/>
      </c>
      <c r="J1950" s="6" t="inlineStr">
        <is>
          <t>12</t>
        </is>
      </c>
      <c r="K1950" s="6" t="inlineStr">
        <is>
          <t>7/239</t>
        </is>
      </c>
      <c r="L1950" s="6" t="inlineStr">
        <is>
          <t>Yes</t>
        </is>
      </c>
      <c r="M1950" s="6" t="inlineStr">
        <is>
          <t>It's giving versatility. This training tank combines technical performance with the ultra-soft feel of your favourite lounge top.</t>
        </is>
      </c>
      <c r="N1950" s="6" t="inlineStr">
        <is>
          <t>Jersey-Training-Tank-Top</t>
        </is>
      </c>
      <c r="O1950" s="6" t="inlineStr"/>
    </row>
    <row r="1951" ht="80" customHeight="1">
      <c r="A1951" s="7">
        <f>IMAGE("https://images.lululemon.com/is/image/lululemon/LW7DENS_066011_1?wid=320&amp;op_usm=0.8",1)</f>
        <v/>
      </c>
      <c r="B1951" s="7" t="inlineStr">
        <is>
          <t>Shake It Out High-Rise Running Short 2.5"</t>
        </is>
      </c>
      <c r="C1951" s="7" t="inlineStr">
        <is>
          <t>158034815</t>
        </is>
      </c>
      <c r="D1951" s="7" t="inlineStr">
        <is>
          <t>158034815-berryrumble</t>
        </is>
      </c>
      <c r="E1951" s="7" t="inlineStr">
        <is>
          <t>Shake It Out High-Rise Run Short 2.5" BRML XXS</t>
        </is>
      </c>
      <c r="F1951" s="7" t="inlineStr">
        <is>
          <t>$68.00</t>
        </is>
      </c>
      <c r="G1951" s="7" t="inlineStr">
        <is>
          <t>$34.00</t>
        </is>
      </c>
      <c r="H1951" s="7" t="inlineStr">
        <is>
          <t>Berry Rumble</t>
        </is>
      </c>
      <c r="I1951" s="7">
        <f>IMAGE("https://images.lululemon.com/is/image/lululemon/21363",1)</f>
        <v/>
      </c>
      <c r="J1951" s="7" t="inlineStr">
        <is>
          <t>XXS</t>
        </is>
      </c>
      <c r="K1951" s="7" t="inlineStr">
        <is>
          <t>14/1191</t>
        </is>
      </c>
      <c r="L1951" s="7" t="inlineStr">
        <is>
          <t>Yes</t>
        </is>
      </c>
      <c r="M1951" s="7" t="inlineStr">
        <is>
          <t>Equal parts run and fun. These shorts have hidden storage and a stay-put waistband to reduce distractions, plus a layered hem that brings volume and style to your look.</t>
        </is>
      </c>
      <c r="N1951" s="7" t="inlineStr">
        <is>
          <t>Shake-It-Out-High-Rise-Running-Short-25</t>
        </is>
      </c>
      <c r="O1951" s="7" t="inlineStr">
        <is>
          <t>Liner Shorts, Athletic Shorts, Track Shorts</t>
        </is>
      </c>
    </row>
    <row r="1952" ht="80" customHeight="1">
      <c r="A1952" s="4">
        <f>IMAGE("https://images.lululemon.com/is/image/lululemon/LW7DENS_066011_1?wid=320&amp;op_usm=0.8",1)</f>
        <v/>
      </c>
      <c r="B1952" s="4" t="inlineStr">
        <is>
          <t>Shake It Out High-Rise Running Short 2.5"</t>
        </is>
      </c>
      <c r="C1952" s="4" t="inlineStr">
        <is>
          <t>158034810</t>
        </is>
      </c>
      <c r="D1952" s="4" t="inlineStr">
        <is>
          <t>158034810-berryrumble</t>
        </is>
      </c>
      <c r="E1952" s="4" t="inlineStr">
        <is>
          <t>Shake It Out High-Rise Run Short 2.5" BRML XXS</t>
        </is>
      </c>
      <c r="F1952" s="4" t="inlineStr">
        <is>
          <t>$68.00</t>
        </is>
      </c>
      <c r="G1952" s="4" t="inlineStr">
        <is>
          <t>$34.00</t>
        </is>
      </c>
      <c r="H1952" s="4" t="inlineStr">
        <is>
          <t>Berry Rumble</t>
        </is>
      </c>
      <c r="I1952" s="4">
        <f>IMAGE("https://images.lululemon.com/is/image/lululemon/21363",1)</f>
        <v/>
      </c>
      <c r="J1952" s="4" t="inlineStr">
        <is>
          <t>XS</t>
        </is>
      </c>
      <c r="K1952" s="4" t="inlineStr">
        <is>
          <t>80/1191</t>
        </is>
      </c>
      <c r="L1952" s="4" t="inlineStr">
        <is>
          <t>Yes</t>
        </is>
      </c>
      <c r="M1952" s="4" t="inlineStr">
        <is>
          <t>Equal parts run and fun. These shorts have hidden storage and a stay-put waistband to reduce distractions, plus a layered hem that brings volume and style to your look.</t>
        </is>
      </c>
      <c r="N1952" s="4" t="inlineStr">
        <is>
          <t>Shake-It-Out-High-Rise-Running-Short-25</t>
        </is>
      </c>
      <c r="O1952" s="4" t="inlineStr">
        <is>
          <t>Liner Shorts, Athletic Shorts, Track Shorts</t>
        </is>
      </c>
    </row>
    <row r="1953" ht="80" customHeight="1">
      <c r="A1953" s="7">
        <f>IMAGE("https://images.lululemon.com/is/image/lululemon/LW7DENS_066011_1?wid=320&amp;op_usm=0.8",1)</f>
        <v/>
      </c>
      <c r="B1953" s="7" t="inlineStr">
        <is>
          <t>Shake It Out High-Rise Running Short 2.5"</t>
        </is>
      </c>
      <c r="C1953" s="7" t="inlineStr">
        <is>
          <t>158034796</t>
        </is>
      </c>
      <c r="D1953" s="7" t="inlineStr">
        <is>
          <t>158034796-berryrumble</t>
        </is>
      </c>
      <c r="E1953" s="7" t="inlineStr">
        <is>
          <t>Shake It Out High-Rise Run Short 2.5" BRML XXS</t>
        </is>
      </c>
      <c r="F1953" s="7" t="inlineStr">
        <is>
          <t>$68.00</t>
        </is>
      </c>
      <c r="G1953" s="7" t="inlineStr">
        <is>
          <t>$34.00</t>
        </is>
      </c>
      <c r="H1953" s="7" t="inlineStr">
        <is>
          <t>Berry Rumble</t>
        </is>
      </c>
      <c r="I1953" s="7">
        <f>IMAGE("https://images.lululemon.com/is/image/lululemon/21363",1)</f>
        <v/>
      </c>
      <c r="J1953" s="7" t="inlineStr">
        <is>
          <t>S</t>
        </is>
      </c>
      <c r="K1953" s="7" t="inlineStr">
        <is>
          <t>116/1191</t>
        </is>
      </c>
      <c r="L1953" s="7" t="inlineStr">
        <is>
          <t>Yes</t>
        </is>
      </c>
      <c r="M1953" s="7" t="inlineStr">
        <is>
          <t>Equal parts run and fun. These shorts have hidden storage and a stay-put waistband to reduce distractions, plus a layered hem that brings volume and style to your look.</t>
        </is>
      </c>
      <c r="N1953" s="7" t="inlineStr">
        <is>
          <t>Shake-It-Out-High-Rise-Running-Short-25</t>
        </is>
      </c>
      <c r="O1953" s="7" t="inlineStr">
        <is>
          <t>Liner Shorts, Athletic Shorts, Track Shorts</t>
        </is>
      </c>
    </row>
    <row r="1954" ht="80" customHeight="1">
      <c r="A1954" s="4">
        <f>IMAGE("https://images.lululemon.com/is/image/lululemon/LW7DENS_066011_1?wid=320&amp;op_usm=0.8",1)</f>
        <v/>
      </c>
      <c r="B1954" s="4" t="inlineStr">
        <is>
          <t>Shake It Out High-Rise Running Short 2.5"</t>
        </is>
      </c>
      <c r="C1954" s="4" t="inlineStr">
        <is>
          <t>158034792</t>
        </is>
      </c>
      <c r="D1954" s="4" t="inlineStr">
        <is>
          <t>158034792-berryrumble</t>
        </is>
      </c>
      <c r="E1954" s="4" t="inlineStr">
        <is>
          <t>Shake It Out High-Rise Run Short 2.5" BRML XXS</t>
        </is>
      </c>
      <c r="F1954" s="4" t="inlineStr">
        <is>
          <t>$68.00</t>
        </is>
      </c>
      <c r="G1954" s="4" t="inlineStr">
        <is>
          <t>$34.00</t>
        </is>
      </c>
      <c r="H1954" s="4" t="inlineStr">
        <is>
          <t>Berry Rumble</t>
        </is>
      </c>
      <c r="I1954" s="4">
        <f>IMAGE("https://images.lululemon.com/is/image/lululemon/21363",1)</f>
        <v/>
      </c>
      <c r="J1954" s="4" t="inlineStr">
        <is>
          <t>M</t>
        </is>
      </c>
      <c r="K1954" s="4" t="inlineStr">
        <is>
          <t>119/1191</t>
        </is>
      </c>
      <c r="L1954" s="4" t="inlineStr">
        <is>
          <t>Yes</t>
        </is>
      </c>
      <c r="M1954" s="4" t="inlineStr">
        <is>
          <t>Equal parts run and fun. These shorts have hidden storage and a stay-put waistband to reduce distractions, plus a layered hem that brings volume and style to your look.</t>
        </is>
      </c>
      <c r="N1954" s="4" t="inlineStr">
        <is>
          <t>Shake-It-Out-High-Rise-Running-Short-25</t>
        </is>
      </c>
      <c r="O1954" s="4" t="inlineStr">
        <is>
          <t>Liner Shorts, Athletic Shorts, Track Shorts</t>
        </is>
      </c>
    </row>
    <row r="1955" ht="80" customHeight="1">
      <c r="A1955" s="7">
        <f>IMAGE("https://images.lululemon.com/is/image/lululemon/LW7DENS_066011_1?wid=320&amp;op_usm=0.8",1)</f>
        <v/>
      </c>
      <c r="B1955" s="7" t="inlineStr">
        <is>
          <t>Shake It Out High-Rise Running Short 2.5"</t>
        </is>
      </c>
      <c r="C1955" s="7" t="inlineStr">
        <is>
          <t>158034786</t>
        </is>
      </c>
      <c r="D1955" s="7" t="inlineStr">
        <is>
          <t>158034786-berryrumble</t>
        </is>
      </c>
      <c r="E1955" s="7" t="inlineStr">
        <is>
          <t>Shake It Out High-Rise Run Short 2.5" BRML XXS</t>
        </is>
      </c>
      <c r="F1955" s="7" t="inlineStr">
        <is>
          <t>$68.00</t>
        </is>
      </c>
      <c r="G1955" s="7" t="inlineStr">
        <is>
          <t>$34.00</t>
        </is>
      </c>
      <c r="H1955" s="7" t="inlineStr">
        <is>
          <t>Berry Rumble</t>
        </is>
      </c>
      <c r="I1955" s="7">
        <f>IMAGE("https://images.lululemon.com/is/image/lululemon/21363",1)</f>
        <v/>
      </c>
      <c r="J1955" s="7" t="inlineStr">
        <is>
          <t>L</t>
        </is>
      </c>
      <c r="K1955" s="7" t="inlineStr">
        <is>
          <t>63/1191</t>
        </is>
      </c>
      <c r="L1955" s="7" t="inlineStr">
        <is>
          <t>Yes</t>
        </is>
      </c>
      <c r="M1955" s="7" t="inlineStr">
        <is>
          <t>Equal parts run and fun. These shorts have hidden storage and a stay-put waistband to reduce distractions, plus a layered hem that brings volume and style to your look.</t>
        </is>
      </c>
      <c r="N1955" s="7" t="inlineStr">
        <is>
          <t>Shake-It-Out-High-Rise-Running-Short-25</t>
        </is>
      </c>
      <c r="O1955" s="7" t="inlineStr">
        <is>
          <t>Liner Shorts, Athletic Shorts, Track Shorts</t>
        </is>
      </c>
    </row>
    <row r="1956" ht="80" customHeight="1">
      <c r="A1956" s="4">
        <f>IMAGE("https://images.lululemon.com/is/image/lululemon/LW7DENS_066011_1?wid=320&amp;op_usm=0.8",1)</f>
        <v/>
      </c>
      <c r="B1956" s="4" t="inlineStr">
        <is>
          <t>Shake It Out High-Rise Running Short 2.5"</t>
        </is>
      </c>
      <c r="C1956" s="4" t="inlineStr">
        <is>
          <t>158034803</t>
        </is>
      </c>
      <c r="D1956" s="4" t="inlineStr">
        <is>
          <t>158034803-berryrumble</t>
        </is>
      </c>
      <c r="E1956" s="4" t="inlineStr">
        <is>
          <t>Shake It Out High-Rise Run Short 2.5" BRML XXS</t>
        </is>
      </c>
      <c r="F1956" s="4" t="inlineStr">
        <is>
          <t>$68.00</t>
        </is>
      </c>
      <c r="G1956" s="4" t="inlineStr">
        <is>
          <t>$34.00</t>
        </is>
      </c>
      <c r="H1956" s="4" t="inlineStr">
        <is>
          <t>Berry Rumble</t>
        </is>
      </c>
      <c r="I1956" s="4">
        <f>IMAGE("https://images.lululemon.com/is/image/lululemon/21363",1)</f>
        <v/>
      </c>
      <c r="J1956" s="4" t="inlineStr">
        <is>
          <t>XL</t>
        </is>
      </c>
      <c r="K1956" s="4" t="inlineStr">
        <is>
          <t>23/1191</t>
        </is>
      </c>
      <c r="L1956" s="4" t="inlineStr">
        <is>
          <t>Yes</t>
        </is>
      </c>
      <c r="M1956" s="4" t="inlineStr">
        <is>
          <t>Equal parts run and fun. These shorts have hidden storage and a stay-put waistband to reduce distractions, plus a layered hem that brings volume and style to your look.</t>
        </is>
      </c>
      <c r="N1956" s="4" t="inlineStr">
        <is>
          <t>Shake-It-Out-High-Rise-Running-Short-25</t>
        </is>
      </c>
      <c r="O1956" s="4" t="inlineStr">
        <is>
          <t>Liner Shorts, Athletic Shorts, Track Shorts</t>
        </is>
      </c>
    </row>
    <row r="1957" ht="80" customHeight="1">
      <c r="A1957" s="7">
        <f>IMAGE("https://images.lululemon.com/is/image/lululemon/LW7DENS_066011_1?wid=320&amp;op_usm=0.8",1)</f>
        <v/>
      </c>
      <c r="B1957" s="7" t="inlineStr">
        <is>
          <t>Shake It Out High-Rise Running Short 2.5"</t>
        </is>
      </c>
      <c r="C1957" s="7" t="inlineStr">
        <is>
          <t>158034889</t>
        </is>
      </c>
      <c r="D1957" s="7" t="inlineStr">
        <is>
          <t>158034889-faintlavender</t>
        </is>
      </c>
      <c r="E1957" s="7" t="inlineStr">
        <is>
          <t>Shake It Out High-Rise Run Short 2.5" BRML XXS</t>
        </is>
      </c>
      <c r="F1957" s="7" t="inlineStr">
        <is>
          <t>$68.00</t>
        </is>
      </c>
      <c r="G1957" s="7" t="inlineStr">
        <is>
          <t>$34.00</t>
        </is>
      </c>
      <c r="H1957" s="7" t="inlineStr">
        <is>
          <t>Faint Lavender</t>
        </is>
      </c>
      <c r="I1957" s="7">
        <f>IMAGE("https://images.lululemon.com/is/image/lululemon/32650",1)</f>
        <v/>
      </c>
      <c r="J1957" s="7" t="inlineStr">
        <is>
          <t>XS</t>
        </is>
      </c>
      <c r="K1957" s="7" t="inlineStr">
        <is>
          <t>19/1191</t>
        </is>
      </c>
      <c r="L1957" s="7" t="inlineStr">
        <is>
          <t>Yes</t>
        </is>
      </c>
      <c r="M1957" s="7" t="inlineStr">
        <is>
          <t>Equal parts run and fun. These shorts have hidden storage and a stay-put waistband to reduce distractions, plus a layered hem that brings volume and style to your look.</t>
        </is>
      </c>
      <c r="N1957" s="7" t="inlineStr">
        <is>
          <t>Shake-It-Out-High-Rise-Running-Short-25</t>
        </is>
      </c>
      <c r="O1957" s="7" t="inlineStr">
        <is>
          <t>Liner Shorts, Athletic Shorts, Track Shorts</t>
        </is>
      </c>
    </row>
    <row r="1958" ht="80" customHeight="1">
      <c r="A1958" s="4">
        <f>IMAGE("https://images.lululemon.com/is/image/lululemon/LW7DENS_066011_1?wid=320&amp;op_usm=0.8",1)</f>
        <v/>
      </c>
      <c r="B1958" s="4" t="inlineStr">
        <is>
          <t>Shake It Out High-Rise Running Short 2.5"</t>
        </is>
      </c>
      <c r="C1958" s="4" t="inlineStr">
        <is>
          <t>158034878</t>
        </is>
      </c>
      <c r="D1958" s="4" t="inlineStr">
        <is>
          <t>158034878-faintlavender</t>
        </is>
      </c>
      <c r="E1958" s="4" t="inlineStr">
        <is>
          <t>Shake It Out High-Rise Run Short 2.5" BRML XXS</t>
        </is>
      </c>
      <c r="F1958" s="4" t="inlineStr">
        <is>
          <t>$68.00</t>
        </is>
      </c>
      <c r="G1958" s="4" t="inlineStr">
        <is>
          <t>$34.00</t>
        </is>
      </c>
      <c r="H1958" s="4" t="inlineStr">
        <is>
          <t>Faint Lavender</t>
        </is>
      </c>
      <c r="I1958" s="4">
        <f>IMAGE("https://images.lululemon.com/is/image/lululemon/32650",1)</f>
        <v/>
      </c>
      <c r="J1958" s="4" t="inlineStr">
        <is>
          <t>S</t>
        </is>
      </c>
      <c r="K1958" s="4" t="inlineStr">
        <is>
          <t>36/1191</t>
        </is>
      </c>
      <c r="L1958" s="4" t="inlineStr">
        <is>
          <t>Yes</t>
        </is>
      </c>
      <c r="M1958" s="4" t="inlineStr">
        <is>
          <t>Equal parts run and fun. These shorts have hidden storage and a stay-put waistband to reduce distractions, plus a layered hem that brings volume and style to your look.</t>
        </is>
      </c>
      <c r="N1958" s="4" t="inlineStr">
        <is>
          <t>Shake-It-Out-High-Rise-Running-Short-25</t>
        </is>
      </c>
      <c r="O1958" s="4" t="inlineStr">
        <is>
          <t>Liner Shorts, Athletic Shorts, Track Shorts</t>
        </is>
      </c>
    </row>
    <row r="1959" ht="80" customHeight="1">
      <c r="A1959" s="7">
        <f>IMAGE("https://images.lululemon.com/is/image/lululemon/LW7DENS_066011_1?wid=320&amp;op_usm=0.8",1)</f>
        <v/>
      </c>
      <c r="B1959" s="7" t="inlineStr">
        <is>
          <t>Shake It Out High-Rise Running Short 2.5"</t>
        </is>
      </c>
      <c r="C1959" s="7" t="inlineStr">
        <is>
          <t>158034872</t>
        </is>
      </c>
      <c r="D1959" s="7" t="inlineStr">
        <is>
          <t>158034872-faintlavender</t>
        </is>
      </c>
      <c r="E1959" s="7" t="inlineStr">
        <is>
          <t>Shake It Out High-Rise Run Short 2.5" BRML XXS</t>
        </is>
      </c>
      <c r="F1959" s="7" t="inlineStr">
        <is>
          <t>$68.00</t>
        </is>
      </c>
      <c r="G1959" s="7" t="inlineStr">
        <is>
          <t>$34.00</t>
        </is>
      </c>
      <c r="H1959" s="7" t="inlineStr">
        <is>
          <t>Faint Lavender</t>
        </is>
      </c>
      <c r="I1959" s="7">
        <f>IMAGE("https://images.lululemon.com/is/image/lululemon/32650",1)</f>
        <v/>
      </c>
      <c r="J1959" s="7" t="inlineStr">
        <is>
          <t>M</t>
        </is>
      </c>
      <c r="K1959" s="7" t="inlineStr">
        <is>
          <t>37/1191</t>
        </is>
      </c>
      <c r="L1959" s="7" t="inlineStr">
        <is>
          <t>Yes</t>
        </is>
      </c>
      <c r="M1959" s="7" t="inlineStr">
        <is>
          <t>Equal parts run and fun. These shorts have hidden storage and a stay-put waistband to reduce distractions, plus a layered hem that brings volume and style to your look.</t>
        </is>
      </c>
      <c r="N1959" s="7" t="inlineStr">
        <is>
          <t>Shake-It-Out-High-Rise-Running-Short-25</t>
        </is>
      </c>
      <c r="O1959" s="7" t="inlineStr">
        <is>
          <t>Liner Shorts, Athletic Shorts, Track Shorts</t>
        </is>
      </c>
    </row>
    <row r="1960" ht="80" customHeight="1">
      <c r="A1960" s="4">
        <f>IMAGE("https://images.lululemon.com/is/image/lululemon/LW7DENS_066011_1?wid=320&amp;op_usm=0.8",1)</f>
        <v/>
      </c>
      <c r="B1960" s="4" t="inlineStr">
        <is>
          <t>Shake It Out High-Rise Running Short 2.5"</t>
        </is>
      </c>
      <c r="C1960" s="4" t="inlineStr">
        <is>
          <t>158034866</t>
        </is>
      </c>
      <c r="D1960" s="4" t="inlineStr">
        <is>
          <t>158034866-faintlavender</t>
        </is>
      </c>
      <c r="E1960" s="4" t="inlineStr">
        <is>
          <t>Shake It Out High-Rise Run Short 2.5" BRML XXS</t>
        </is>
      </c>
      <c r="F1960" s="4" t="inlineStr">
        <is>
          <t>$68.00</t>
        </is>
      </c>
      <c r="G1960" s="4" t="inlineStr">
        <is>
          <t>$34.00</t>
        </is>
      </c>
      <c r="H1960" s="4" t="inlineStr">
        <is>
          <t>Faint Lavender</t>
        </is>
      </c>
      <c r="I1960" s="4">
        <f>IMAGE("https://images.lululemon.com/is/image/lululemon/32650",1)</f>
        <v/>
      </c>
      <c r="J1960" s="4" t="inlineStr">
        <is>
          <t>L</t>
        </is>
      </c>
      <c r="K1960" s="4" t="inlineStr">
        <is>
          <t>22/1191</t>
        </is>
      </c>
      <c r="L1960" s="4" t="inlineStr">
        <is>
          <t>Yes</t>
        </is>
      </c>
      <c r="M1960" s="4" t="inlineStr">
        <is>
          <t>Equal parts run and fun. These shorts have hidden storage and a stay-put waistband to reduce distractions, plus a layered hem that brings volume and style to your look.</t>
        </is>
      </c>
      <c r="N1960" s="4" t="inlineStr">
        <is>
          <t>Shake-It-Out-High-Rise-Running-Short-25</t>
        </is>
      </c>
      <c r="O1960" s="4" t="inlineStr">
        <is>
          <t>Liner Shorts, Athletic Shorts, Track Shorts</t>
        </is>
      </c>
    </row>
    <row r="1961" ht="80" customHeight="1">
      <c r="A1961" s="7">
        <f>IMAGE("https://images.lululemon.com/is/image/lululemon/LW7DENS_066011_1?wid=320&amp;op_usm=0.8",1)</f>
        <v/>
      </c>
      <c r="B1961" s="7" t="inlineStr">
        <is>
          <t>Shake It Out High-Rise Running Short 2.5"</t>
        </is>
      </c>
      <c r="C1961" s="7" t="inlineStr">
        <is>
          <t>158034883</t>
        </is>
      </c>
      <c r="D1961" s="7" t="inlineStr">
        <is>
          <t>158034883-faintlavender</t>
        </is>
      </c>
      <c r="E1961" s="7" t="inlineStr">
        <is>
          <t>Shake It Out High-Rise Run Short 2.5" BRML XXS</t>
        </is>
      </c>
      <c r="F1961" s="7" t="inlineStr">
        <is>
          <t>$68.00</t>
        </is>
      </c>
      <c r="G1961" s="7" t="inlineStr">
        <is>
          <t>$34.00</t>
        </is>
      </c>
      <c r="H1961" s="7" t="inlineStr">
        <is>
          <t>Faint Lavender</t>
        </is>
      </c>
      <c r="I1961" s="7">
        <f>IMAGE("https://images.lululemon.com/is/image/lululemon/32650",1)</f>
        <v/>
      </c>
      <c r="J1961" s="7" t="inlineStr">
        <is>
          <t>XL</t>
        </is>
      </c>
      <c r="K1961" s="7" t="inlineStr">
        <is>
          <t>10/1191</t>
        </is>
      </c>
      <c r="L1961" s="7" t="inlineStr">
        <is>
          <t>Yes</t>
        </is>
      </c>
      <c r="M1961" s="7" t="inlineStr">
        <is>
          <t>Equal parts run and fun. These shorts have hidden storage and a stay-put waistband to reduce distractions, plus a layered hem that brings volume and style to your look.</t>
        </is>
      </c>
      <c r="N1961" s="7" t="inlineStr">
        <is>
          <t>Shake-It-Out-High-Rise-Running-Short-25</t>
        </is>
      </c>
      <c r="O1961" s="7" t="inlineStr">
        <is>
          <t>Liner Shorts, Athletic Shorts, Track Shorts</t>
        </is>
      </c>
    </row>
    <row r="1962" ht="80" customHeight="1">
      <c r="A1962" s="4">
        <f>IMAGE("https://images.lululemon.com/is/image/lululemon/LW7DENS_066011_1?wid=320&amp;op_usm=0.8",1)</f>
        <v/>
      </c>
      <c r="B1962" s="4" t="inlineStr">
        <is>
          <t>Shake It Out High-Rise Running Short 2.5"</t>
        </is>
      </c>
      <c r="C1962" s="4" t="inlineStr">
        <is>
          <t>158034849</t>
        </is>
      </c>
      <c r="D1962" s="4" t="inlineStr">
        <is>
          <t>158034849-indochineblue</t>
        </is>
      </c>
      <c r="E1962" s="4" t="inlineStr">
        <is>
          <t>Shake It Out High-Rise Run Short 2.5" BRML XXS</t>
        </is>
      </c>
      <c r="F1962" s="4" t="inlineStr">
        <is>
          <t>$68.00</t>
        </is>
      </c>
      <c r="G1962" s="4" t="inlineStr">
        <is>
          <t>$34.00</t>
        </is>
      </c>
      <c r="H1962" s="4" t="inlineStr">
        <is>
          <t>Indochine Blue</t>
        </is>
      </c>
      <c r="I1962" s="4">
        <f>IMAGE("https://images.lululemon.com/is/image/lululemon/28022",1)</f>
        <v/>
      </c>
      <c r="J1962" s="4" t="inlineStr">
        <is>
          <t>XS</t>
        </is>
      </c>
      <c r="K1962" s="4" t="inlineStr">
        <is>
          <t>78/1191</t>
        </is>
      </c>
      <c r="L1962" s="4" t="inlineStr">
        <is>
          <t>Yes</t>
        </is>
      </c>
      <c r="M1962" s="4" t="inlineStr">
        <is>
          <t>Equal parts run and fun. These shorts have hidden storage and a stay-put waistband to reduce distractions, plus a layered hem that brings volume and style to your look.</t>
        </is>
      </c>
      <c r="N1962" s="4" t="inlineStr">
        <is>
          <t>Shake-It-Out-High-Rise-Running-Short-25</t>
        </is>
      </c>
      <c r="O1962" s="4" t="inlineStr">
        <is>
          <t>Liner Shorts, Athletic Shorts, Track Shorts</t>
        </is>
      </c>
    </row>
    <row r="1963" ht="80" customHeight="1">
      <c r="A1963" s="7">
        <f>IMAGE("https://images.lululemon.com/is/image/lululemon/LW7DENS_066011_1?wid=320&amp;op_usm=0.8",1)</f>
        <v/>
      </c>
      <c r="B1963" s="7" t="inlineStr">
        <is>
          <t>Shake It Out High-Rise Running Short 2.5"</t>
        </is>
      </c>
      <c r="C1963" s="7" t="inlineStr">
        <is>
          <t>158034837</t>
        </is>
      </c>
      <c r="D1963" s="7" t="inlineStr">
        <is>
          <t>158034837-indochineblue</t>
        </is>
      </c>
      <c r="E1963" s="7" t="inlineStr">
        <is>
          <t>Shake It Out High-Rise Run Short 2.5" BRML XXS</t>
        </is>
      </c>
      <c r="F1963" s="7" t="inlineStr">
        <is>
          <t>$68.00</t>
        </is>
      </c>
      <c r="G1963" s="7" t="inlineStr">
        <is>
          <t>$34.00</t>
        </is>
      </c>
      <c r="H1963" s="7" t="inlineStr">
        <is>
          <t>Indochine Blue</t>
        </is>
      </c>
      <c r="I1963" s="7">
        <f>IMAGE("https://images.lululemon.com/is/image/lululemon/28022",1)</f>
        <v/>
      </c>
      <c r="J1963" s="7" t="inlineStr">
        <is>
          <t>S</t>
        </is>
      </c>
      <c r="K1963" s="7" t="inlineStr">
        <is>
          <t>130/1191</t>
        </is>
      </c>
      <c r="L1963" s="7" t="inlineStr">
        <is>
          <t>Yes</t>
        </is>
      </c>
      <c r="M1963" s="7" t="inlineStr">
        <is>
          <t>Equal parts run and fun. These shorts have hidden storage and a stay-put waistband to reduce distractions, plus a layered hem that brings volume and style to your look.</t>
        </is>
      </c>
      <c r="N1963" s="7" t="inlineStr">
        <is>
          <t>Shake-It-Out-High-Rise-Running-Short-25</t>
        </is>
      </c>
      <c r="O1963" s="7" t="inlineStr">
        <is>
          <t>Liner Shorts, Athletic Shorts, Track Shorts</t>
        </is>
      </c>
    </row>
    <row r="1964" ht="80" customHeight="1">
      <c r="A1964" s="4">
        <f>IMAGE("https://images.lululemon.com/is/image/lululemon/LW7DENS_066011_1?wid=320&amp;op_usm=0.8",1)</f>
        <v/>
      </c>
      <c r="B1964" s="4" t="inlineStr">
        <is>
          <t>Shake It Out High-Rise Running Short 2.5"</t>
        </is>
      </c>
      <c r="C1964" s="4" t="inlineStr">
        <is>
          <t>158034832</t>
        </is>
      </c>
      <c r="D1964" s="4" t="inlineStr">
        <is>
          <t>158034832-indochineblue</t>
        </is>
      </c>
      <c r="E1964" s="4" t="inlineStr">
        <is>
          <t>Shake It Out High-Rise Run Short 2.5" BRML XXS</t>
        </is>
      </c>
      <c r="F1964" s="4" t="inlineStr">
        <is>
          <t>$68.00</t>
        </is>
      </c>
      <c r="G1964" s="4" t="inlineStr">
        <is>
          <t>$34.00</t>
        </is>
      </c>
      <c r="H1964" s="4" t="inlineStr">
        <is>
          <t>Indochine Blue</t>
        </is>
      </c>
      <c r="I1964" s="4">
        <f>IMAGE("https://images.lululemon.com/is/image/lululemon/28022",1)</f>
        <v/>
      </c>
      <c r="J1964" s="4" t="inlineStr">
        <is>
          <t>M</t>
        </is>
      </c>
      <c r="K1964" s="4" t="inlineStr">
        <is>
          <t>133/1191</t>
        </is>
      </c>
      <c r="L1964" s="4" t="inlineStr">
        <is>
          <t>Yes</t>
        </is>
      </c>
      <c r="M1964" s="4" t="inlineStr">
        <is>
          <t>Equal parts run and fun. These shorts have hidden storage and a stay-put waistband to reduce distractions, plus a layered hem that brings volume and style to your look.</t>
        </is>
      </c>
      <c r="N1964" s="4" t="inlineStr">
        <is>
          <t>Shake-It-Out-High-Rise-Running-Short-25</t>
        </is>
      </c>
      <c r="O1964" s="4" t="inlineStr">
        <is>
          <t>Liner Shorts, Athletic Shorts, Track Shorts</t>
        </is>
      </c>
    </row>
    <row r="1965" ht="80" customHeight="1">
      <c r="A1965" s="7">
        <f>IMAGE("https://images.lululemon.com/is/image/lululemon/LW7DENS_066011_1?wid=320&amp;op_usm=0.8",1)</f>
        <v/>
      </c>
      <c r="B1965" s="7" t="inlineStr">
        <is>
          <t>Shake It Out High-Rise Running Short 2.5"</t>
        </is>
      </c>
      <c r="C1965" s="7" t="inlineStr">
        <is>
          <t>158034825</t>
        </is>
      </c>
      <c r="D1965" s="7" t="inlineStr">
        <is>
          <t>158034825-indochineblue</t>
        </is>
      </c>
      <c r="E1965" s="7" t="inlineStr">
        <is>
          <t>Shake It Out High-Rise Run Short 2.5" BRML XXS</t>
        </is>
      </c>
      <c r="F1965" s="7" t="inlineStr">
        <is>
          <t>$68.00</t>
        </is>
      </c>
      <c r="G1965" s="7" t="inlineStr">
        <is>
          <t>$34.00</t>
        </is>
      </c>
      <c r="H1965" s="7" t="inlineStr">
        <is>
          <t>Indochine Blue</t>
        </is>
      </c>
      <c r="I1965" s="7">
        <f>IMAGE("https://images.lululemon.com/is/image/lululemon/28022",1)</f>
        <v/>
      </c>
      <c r="J1965" s="7" t="inlineStr">
        <is>
          <t>L</t>
        </is>
      </c>
      <c r="K1965" s="7" t="inlineStr">
        <is>
          <t>81/1191</t>
        </is>
      </c>
      <c r="L1965" s="7" t="inlineStr">
        <is>
          <t>Yes</t>
        </is>
      </c>
      <c r="M1965" s="7" t="inlineStr">
        <is>
          <t>Equal parts run and fun. These shorts have hidden storage and a stay-put waistband to reduce distractions, plus a layered hem that brings volume and style to your look.</t>
        </is>
      </c>
      <c r="N1965" s="7" t="inlineStr">
        <is>
          <t>Shake-It-Out-High-Rise-Running-Short-25</t>
        </is>
      </c>
      <c r="O1965" s="7" t="inlineStr">
        <is>
          <t>Liner Shorts, Athletic Shorts, Track Shorts</t>
        </is>
      </c>
    </row>
    <row r="1966" ht="80" customHeight="1">
      <c r="A1966" s="4">
        <f>IMAGE("https://images.lululemon.com/is/image/lululemon/LW7DENS_066011_1?wid=320&amp;op_usm=0.8",1)</f>
        <v/>
      </c>
      <c r="B1966" s="4" t="inlineStr">
        <is>
          <t>Shake It Out High-Rise Running Short 2.5"</t>
        </is>
      </c>
      <c r="C1966" s="4" t="inlineStr">
        <is>
          <t>158034843</t>
        </is>
      </c>
      <c r="D1966" s="4" t="inlineStr">
        <is>
          <t>158034843-indochineblue</t>
        </is>
      </c>
      <c r="E1966" s="4" t="inlineStr">
        <is>
          <t>Shake It Out High-Rise Run Short 2.5" BRML XXS</t>
        </is>
      </c>
      <c r="F1966" s="4" t="inlineStr">
        <is>
          <t>$68.00</t>
        </is>
      </c>
      <c r="G1966" s="4" t="inlineStr">
        <is>
          <t>$34.00</t>
        </is>
      </c>
      <c r="H1966" s="4" t="inlineStr">
        <is>
          <t>Indochine Blue</t>
        </is>
      </c>
      <c r="I1966" s="4">
        <f>IMAGE("https://images.lululemon.com/is/image/lululemon/28022",1)</f>
        <v/>
      </c>
      <c r="J1966" s="4" t="inlineStr">
        <is>
          <t>XL</t>
        </is>
      </c>
      <c r="K1966" s="4" t="inlineStr">
        <is>
          <t>34/1191</t>
        </is>
      </c>
      <c r="L1966" s="4" t="inlineStr">
        <is>
          <t>Yes</t>
        </is>
      </c>
      <c r="M1966" s="4" t="inlineStr">
        <is>
          <t>Equal parts run and fun. These shorts have hidden storage and a stay-put waistband to reduce distractions, plus a layered hem that brings volume and style to your look.</t>
        </is>
      </c>
      <c r="N1966" s="4" t="inlineStr">
        <is>
          <t>Shake-It-Out-High-Rise-Running-Short-25</t>
        </is>
      </c>
      <c r="O1966" s="4" t="inlineStr">
        <is>
          <t>Liner Shorts, Athletic Shorts, Track Shorts</t>
        </is>
      </c>
    </row>
    <row r="1967" ht="80" customHeight="1">
      <c r="A1967" s="7">
        <f>IMAGE("https://images.lululemon.com/is/image/lululemon/LW7DENS_066011_1?wid=320&amp;op_usm=0.8",1)</f>
        <v/>
      </c>
      <c r="B1967" s="7" t="inlineStr">
        <is>
          <t>Shake It Out High-Rise Running Short 2.5"</t>
        </is>
      </c>
      <c r="C1967" s="7" t="inlineStr">
        <is>
          <t>157686324</t>
        </is>
      </c>
      <c r="D1967" s="7" t="inlineStr">
        <is>
          <t>157686324-lemongrass</t>
        </is>
      </c>
      <c r="E1967" s="7" t="inlineStr">
        <is>
          <t>Shake It Out High-Rise Run Short 2.5" BRML XXS</t>
        </is>
      </c>
      <c r="F1967" s="7" t="inlineStr">
        <is>
          <t>$68.00</t>
        </is>
      </c>
      <c r="G1967" s="7" t="inlineStr">
        <is>
          <t>$34.00</t>
        </is>
      </c>
      <c r="H1967" s="7" t="inlineStr">
        <is>
          <t>Lemongrass</t>
        </is>
      </c>
      <c r="I1967" s="7">
        <f>IMAGE("https://images.lululemon.com/is/image/lululemon/66011",1)</f>
        <v/>
      </c>
      <c r="J1967" s="7" t="inlineStr">
        <is>
          <t>S</t>
        </is>
      </c>
      <c r="K1967" s="7" t="inlineStr">
        <is>
          <t>29/1191</t>
        </is>
      </c>
      <c r="L1967" s="7" t="inlineStr">
        <is>
          <t>Yes</t>
        </is>
      </c>
      <c r="M1967" s="7" t="inlineStr">
        <is>
          <t>Equal parts run and fun. These shorts have hidden storage and a stay-put waistband to reduce distractions, plus a layered hem that brings volume and style to your look.</t>
        </is>
      </c>
      <c r="N1967" s="7" t="inlineStr">
        <is>
          <t>Shake-It-Out-High-Rise-Running-Short-25</t>
        </is>
      </c>
      <c r="O1967" s="7" t="inlineStr">
        <is>
          <t>Liner Shorts, Athletic Shorts, Track Shorts</t>
        </is>
      </c>
    </row>
    <row r="1968" ht="80" customHeight="1">
      <c r="A1968" s="4">
        <f>IMAGE("https://images.lululemon.com/is/image/lululemon/LW7DENS_066011_1?wid=320&amp;op_usm=0.8",1)</f>
        <v/>
      </c>
      <c r="B1968" s="4" t="inlineStr">
        <is>
          <t>Shake It Out High-Rise Running Short 2.5"</t>
        </is>
      </c>
      <c r="C1968" s="4" t="inlineStr">
        <is>
          <t>157686317</t>
        </is>
      </c>
      <c r="D1968" s="4" t="inlineStr">
        <is>
          <t>157686317-lemongrass</t>
        </is>
      </c>
      <c r="E1968" s="4" t="inlineStr">
        <is>
          <t>Shake It Out High-Rise Run Short 2.5" BRML XXS</t>
        </is>
      </c>
      <c r="F1968" s="4" t="inlineStr">
        <is>
          <t>$68.00</t>
        </is>
      </c>
      <c r="G1968" s="4" t="inlineStr">
        <is>
          <t>$34.00</t>
        </is>
      </c>
      <c r="H1968" s="4" t="inlineStr">
        <is>
          <t>Lemongrass</t>
        </is>
      </c>
      <c r="I1968" s="4">
        <f>IMAGE("https://images.lululemon.com/is/image/lululemon/66011",1)</f>
        <v/>
      </c>
      <c r="J1968" s="4" t="inlineStr">
        <is>
          <t>M</t>
        </is>
      </c>
      <c r="K1968" s="4" t="inlineStr">
        <is>
          <t>61/1191</t>
        </is>
      </c>
      <c r="L1968" s="4" t="inlineStr">
        <is>
          <t>Yes</t>
        </is>
      </c>
      <c r="M1968" s="4" t="inlineStr">
        <is>
          <t>Equal parts run and fun. These shorts have hidden storage and a stay-put waistband to reduce distractions, plus a layered hem that brings volume and style to your look.</t>
        </is>
      </c>
      <c r="N1968" s="4" t="inlineStr">
        <is>
          <t>Shake-It-Out-High-Rise-Running-Short-25</t>
        </is>
      </c>
      <c r="O1968" s="4" t="inlineStr">
        <is>
          <t>Liner Shorts, Athletic Shorts, Track Shorts</t>
        </is>
      </c>
    </row>
    <row r="1969" ht="80" customHeight="1">
      <c r="A1969" s="7">
        <f>IMAGE("https://images.lululemon.com/is/image/lululemon/LW7DENS_066011_1?wid=320&amp;op_usm=0.8",1)</f>
        <v/>
      </c>
      <c r="B1969" s="7" t="inlineStr">
        <is>
          <t>Shake It Out High-Rise Running Short 2.5"</t>
        </is>
      </c>
      <c r="C1969" s="7" t="inlineStr">
        <is>
          <t>157686309</t>
        </is>
      </c>
      <c r="D1969" s="7" t="inlineStr">
        <is>
          <t>157686309-lemongrass</t>
        </is>
      </c>
      <c r="E1969" s="7" t="inlineStr">
        <is>
          <t>Shake It Out High-Rise Run Short 2.5" BRML XXS</t>
        </is>
      </c>
      <c r="F1969" s="7" t="inlineStr">
        <is>
          <t>$68.00</t>
        </is>
      </c>
      <c r="G1969" s="7" t="inlineStr">
        <is>
          <t>$34.00</t>
        </is>
      </c>
      <c r="H1969" s="7" t="inlineStr">
        <is>
          <t>Lemongrass</t>
        </is>
      </c>
      <c r="I1969" s="7">
        <f>IMAGE("https://images.lululemon.com/is/image/lululemon/66011",1)</f>
        <v/>
      </c>
      <c r="J1969" s="7" t="inlineStr">
        <is>
          <t>L</t>
        </is>
      </c>
      <c r="K1969" s="7" t="inlineStr">
        <is>
          <t>55/1191</t>
        </is>
      </c>
      <c r="L1969" s="7" t="inlineStr">
        <is>
          <t>Yes</t>
        </is>
      </c>
      <c r="M1969" s="7" t="inlineStr">
        <is>
          <t>Equal parts run and fun. These shorts have hidden storage and a stay-put waistband to reduce distractions, plus a layered hem that brings volume and style to your look.</t>
        </is>
      </c>
      <c r="N1969" s="7" t="inlineStr">
        <is>
          <t>Shake-It-Out-High-Rise-Running-Short-25</t>
        </is>
      </c>
      <c r="O1969" s="7" t="inlineStr">
        <is>
          <t>Liner Shorts, Athletic Shorts, Track Shorts</t>
        </is>
      </c>
    </row>
    <row r="1970" ht="80" customHeight="1">
      <c r="A1970" s="6">
        <f>IMAGE("https://images.lululemon.com/is/image/lululemon/LW7DENS_066011_1?wid=320&amp;op_usm=0.8",1)</f>
        <v/>
      </c>
      <c r="B1970" s="6" t="inlineStr">
        <is>
          <t>Shake It Out High-Rise Running Short 2.5"</t>
        </is>
      </c>
      <c r="C1970" s="6" t="inlineStr">
        <is>
          <t>157686331</t>
        </is>
      </c>
      <c r="D1970" s="6" t="inlineStr">
        <is>
          <t>157686331-lemongrass</t>
        </is>
      </c>
      <c r="E1970" s="6" t="inlineStr">
        <is>
          <t>Shake It Out High-Rise Run Short 2.5" BRML XXS</t>
        </is>
      </c>
      <c r="F1970" s="6" t="inlineStr">
        <is>
          <t>$68.00</t>
        </is>
      </c>
      <c r="G1970" s="6" t="inlineStr">
        <is>
          <t>$34.00</t>
        </is>
      </c>
      <c r="H1970" s="6" t="inlineStr">
        <is>
          <t>Lemongrass</t>
        </is>
      </c>
      <c r="I1970" s="6">
        <f>IMAGE("https://images.lululemon.com/is/image/lululemon/66011",1)</f>
        <v/>
      </c>
      <c r="J1970" s="6" t="inlineStr">
        <is>
          <t>XL</t>
        </is>
      </c>
      <c r="K1970" s="6" t="inlineStr">
        <is>
          <t>51/1191</t>
        </is>
      </c>
      <c r="L1970" s="6" t="inlineStr">
        <is>
          <t>Yes</t>
        </is>
      </c>
      <c r="M1970" s="6" t="inlineStr">
        <is>
          <t>Equal parts run and fun. These shorts have hidden storage and a stay-put waistband to reduce distractions, plus a layered hem that brings volume and style to your look.</t>
        </is>
      </c>
      <c r="N1970" s="6" t="inlineStr">
        <is>
          <t>Shake-It-Out-High-Rise-Running-Short-25</t>
        </is>
      </c>
      <c r="O1970" s="6" t="inlineStr">
        <is>
          <t>Liner Shorts, Athletic Shorts, Track Shorts</t>
        </is>
      </c>
    </row>
    <row r="1971" ht="80" customHeight="1">
      <c r="A1971" s="5">
        <f>IMAGE("https://images.lululemon.com/is/image/lululemon/LU9BRKS_049106_1?wid=320&amp;op_usm=0.8",1)</f>
        <v/>
      </c>
      <c r="B1971" s="5" t="inlineStr">
        <is>
          <t>3-in-1 Gym Duffle Bag 30L</t>
        </is>
      </c>
      <c r="C1971" s="5" t="inlineStr">
        <is>
          <t>155725295</t>
        </is>
      </c>
      <c r="D1971" s="5" t="inlineStr">
        <is>
          <t>155725295-rainforestgreen</t>
        </is>
      </c>
      <c r="E1971" s="5" t="inlineStr">
        <is>
          <t>Gym Duffle Bag RNFG ONE SIZE</t>
        </is>
      </c>
      <c r="F1971" s="5" t="inlineStr">
        <is>
          <t>$158.00</t>
        </is>
      </c>
      <c r="G1971" s="5" t="inlineStr">
        <is>
          <t>$79.00</t>
        </is>
      </c>
      <c r="H1971" s="5" t="inlineStr">
        <is>
          <t>Rainforest Green</t>
        </is>
      </c>
      <c r="I1971" s="5">
        <f>IMAGE("https://images.lululemon.com/is/image/lululemon/49106",1)</f>
        <v/>
      </c>
      <c r="J1971" s="5" t="inlineStr">
        <is>
          <t>O/S</t>
        </is>
      </c>
      <c r="K1971" s="5" t="inlineStr">
        <is>
          <t>79/79</t>
        </is>
      </c>
      <c r="L1971" s="5" t="inlineStr">
        <is>
          <t>Yes</t>
        </is>
      </c>
      <c r="M1971" s="5" t="inlineStr">
        <is>
          <t>Taking multi-use to the next level. Pack this duffle with sweat essentials and use the removable shoulder strap to carry your yoga mat or as a stretching strap.</t>
        </is>
      </c>
      <c r="N1971" s="5" t="inlineStr">
        <is>
          <t>Gym-Duffle-Bag-30L</t>
        </is>
      </c>
      <c r="O1971" s="5" t="inlineStr">
        <is>
          <t>Duffle Bags</t>
        </is>
      </c>
    </row>
    <row r="1972" ht="80" customHeight="1">
      <c r="A1972" s="4">
        <f>IMAGE("https://images.lululemon.com/is/image/lululemon/LW4CB0S_0001_1?wid=320&amp;op_usm=0.8",1)</f>
        <v/>
      </c>
      <c r="B1972" s="4" t="inlineStr">
        <is>
          <t>Women's Down for It All Vest</t>
        </is>
      </c>
      <c r="C1972" s="4" t="inlineStr">
        <is>
          <t>147175675</t>
        </is>
      </c>
      <c r="D1972" s="4" t="inlineStr">
        <is>
          <t>147175675-black</t>
        </is>
      </c>
      <c r="E1972" s="4" t="inlineStr">
        <is>
          <t>Down for It All Vest BLK 2</t>
        </is>
      </c>
      <c r="F1972" s="4" t="inlineStr">
        <is>
          <t>$168.00</t>
        </is>
      </c>
      <c r="G1972" s="4" t="inlineStr">
        <is>
          <t>$84.00</t>
        </is>
      </c>
      <c r="H1972" s="4" t="inlineStr">
        <is>
          <t>Black</t>
        </is>
      </c>
      <c r="I1972" s="4">
        <f>IMAGE("https://images.lululemon.com/is/image/lululemon/0001",1)</f>
        <v/>
      </c>
      <c r="J1972" s="4" t="inlineStr">
        <is>
          <t>2</t>
        </is>
      </c>
      <c r="K1972" s="4" t="inlineStr">
        <is>
          <t>40/1107</t>
        </is>
      </c>
      <c r="L1972" s="4" t="inlineStr">
        <is>
          <t>Yes</t>
        </is>
      </c>
      <c r="M1972" s="4" t="inlineStr">
        <is>
          <t>This vest is fully loaded for running in cold weather. Zoned insulation holds warmth where you need it and stretchy fleece keeps you moving freely.</t>
        </is>
      </c>
      <c r="N1972" s="4" t="inlineStr">
        <is>
          <t>Down-For-It-All-Vest</t>
        </is>
      </c>
      <c r="O1972" s="4" t="inlineStr">
        <is>
          <t>Vests, Athletic Jackets, Puffer Jackets</t>
        </is>
      </c>
    </row>
    <row r="1973" ht="80" customHeight="1">
      <c r="A1973" s="7">
        <f>IMAGE("https://images.lululemon.com/is/image/lululemon/LW4CB0S_0001_1?wid=320&amp;op_usm=0.8",1)</f>
        <v/>
      </c>
      <c r="B1973" s="7" t="inlineStr">
        <is>
          <t>Women's Down for It All Vest</t>
        </is>
      </c>
      <c r="C1973" s="7" t="inlineStr">
        <is>
          <t>147175689</t>
        </is>
      </c>
      <c r="D1973" s="7" t="inlineStr">
        <is>
          <t>147175689-black</t>
        </is>
      </c>
      <c r="E1973" s="7" t="inlineStr">
        <is>
          <t>Down for It All Vest BLK 2</t>
        </is>
      </c>
      <c r="F1973" s="7" t="inlineStr">
        <is>
          <t>$168.00</t>
        </is>
      </c>
      <c r="G1973" s="7" t="inlineStr">
        <is>
          <t>$84.00</t>
        </is>
      </c>
      <c r="H1973" s="7" t="inlineStr">
        <is>
          <t>Black</t>
        </is>
      </c>
      <c r="I1973" s="7">
        <f>IMAGE("https://images.lululemon.com/is/image/lululemon/0001",1)</f>
        <v/>
      </c>
      <c r="J1973" s="7" t="inlineStr">
        <is>
          <t>4</t>
        </is>
      </c>
      <c r="K1973" s="7" t="inlineStr">
        <is>
          <t>133/1107</t>
        </is>
      </c>
      <c r="L1973" s="7" t="inlineStr">
        <is>
          <t>Yes</t>
        </is>
      </c>
      <c r="M1973" s="7" t="inlineStr">
        <is>
          <t>This vest is fully loaded for running in cold weather. Zoned insulation holds warmth where you need it and stretchy fleece keeps you moving freely.</t>
        </is>
      </c>
      <c r="N1973" s="7" t="inlineStr">
        <is>
          <t>Down-For-It-All-Vest</t>
        </is>
      </c>
      <c r="O1973" s="7" t="inlineStr">
        <is>
          <t>Vests, Athletic Jackets, Puffer Jackets</t>
        </is>
      </c>
    </row>
    <row r="1974" ht="80" customHeight="1">
      <c r="A1974" s="4">
        <f>IMAGE("https://images.lululemon.com/is/image/lululemon/LW4CB0S_0001_1?wid=320&amp;op_usm=0.8",1)</f>
        <v/>
      </c>
      <c r="B1974" s="4" t="inlineStr">
        <is>
          <t>Women's Down for It All Vest</t>
        </is>
      </c>
      <c r="C1974" s="4" t="inlineStr">
        <is>
          <t>147175692</t>
        </is>
      </c>
      <c r="D1974" s="4" t="inlineStr">
        <is>
          <t>147175692-black</t>
        </is>
      </c>
      <c r="E1974" s="4" t="inlineStr">
        <is>
          <t>Down for It All Vest BLK 2</t>
        </is>
      </c>
      <c r="F1974" s="4" t="inlineStr">
        <is>
          <t>$168.00</t>
        </is>
      </c>
      <c r="G1974" s="4" t="inlineStr">
        <is>
          <t>$84.00</t>
        </is>
      </c>
      <c r="H1974" s="4" t="inlineStr">
        <is>
          <t>Black</t>
        </is>
      </c>
      <c r="I1974" s="4">
        <f>IMAGE("https://images.lululemon.com/is/image/lululemon/0001",1)</f>
        <v/>
      </c>
      <c r="J1974" s="4" t="inlineStr">
        <is>
          <t>6</t>
        </is>
      </c>
      <c r="K1974" s="4" t="inlineStr">
        <is>
          <t>279/1107</t>
        </is>
      </c>
      <c r="L1974" s="4" t="inlineStr">
        <is>
          <t>Yes</t>
        </is>
      </c>
      <c r="M1974" s="4" t="inlineStr">
        <is>
          <t>This vest is fully loaded for running in cold weather. Zoned insulation holds warmth where you need it and stretchy fleece keeps you moving freely.</t>
        </is>
      </c>
      <c r="N1974" s="4" t="inlineStr">
        <is>
          <t>Down-For-It-All-Vest</t>
        </is>
      </c>
      <c r="O1974" s="4" t="inlineStr">
        <is>
          <t>Vests, Athletic Jackets, Puffer Jackets</t>
        </is>
      </c>
    </row>
    <row r="1975" ht="80" customHeight="1">
      <c r="A1975" s="7">
        <f>IMAGE("https://images.lululemon.com/is/image/lululemon/LW4CB0S_0001_1?wid=320&amp;op_usm=0.8",1)</f>
        <v/>
      </c>
      <c r="B1975" s="7" t="inlineStr">
        <is>
          <t>Women's Down for It All Vest</t>
        </is>
      </c>
      <c r="C1975" s="7" t="inlineStr">
        <is>
          <t>147175694</t>
        </is>
      </c>
      <c r="D1975" s="7" t="inlineStr">
        <is>
          <t>147175694-black</t>
        </is>
      </c>
      <c r="E1975" s="7" t="inlineStr">
        <is>
          <t>Down for It All Vest BLK 2</t>
        </is>
      </c>
      <c r="F1975" s="7" t="inlineStr">
        <is>
          <t>$168.00</t>
        </is>
      </c>
      <c r="G1975" s="7" t="inlineStr">
        <is>
          <t>$84.00</t>
        </is>
      </c>
      <c r="H1975" s="7" t="inlineStr">
        <is>
          <t>Black</t>
        </is>
      </c>
      <c r="I1975" s="7">
        <f>IMAGE("https://images.lululemon.com/is/image/lululemon/0001",1)</f>
        <v/>
      </c>
      <c r="J1975" s="7" t="inlineStr">
        <is>
          <t>8</t>
        </is>
      </c>
      <c r="K1975" s="7" t="inlineStr">
        <is>
          <t>190/1107</t>
        </is>
      </c>
      <c r="L1975" s="7" t="inlineStr">
        <is>
          <t>Yes</t>
        </is>
      </c>
      <c r="M1975" s="7" t="inlineStr">
        <is>
          <t>This vest is fully loaded for running in cold weather. Zoned insulation holds warmth where you need it and stretchy fleece keeps you moving freely.</t>
        </is>
      </c>
      <c r="N1975" s="7" t="inlineStr">
        <is>
          <t>Down-For-It-All-Vest</t>
        </is>
      </c>
      <c r="O1975" s="7" t="inlineStr">
        <is>
          <t>Vests, Athletic Jackets, Puffer Jackets</t>
        </is>
      </c>
    </row>
    <row r="1976" ht="80" customHeight="1">
      <c r="A1976" s="4">
        <f>IMAGE("https://images.lululemon.com/is/image/lululemon/LW4CB0S_0001_1?wid=320&amp;op_usm=0.8",1)</f>
        <v/>
      </c>
      <c r="B1976" s="4" t="inlineStr">
        <is>
          <t>Women's Down for It All Vest</t>
        </is>
      </c>
      <c r="C1976" s="4" t="inlineStr">
        <is>
          <t>147175668</t>
        </is>
      </c>
      <c r="D1976" s="4" t="inlineStr">
        <is>
          <t>147175668-black</t>
        </is>
      </c>
      <c r="E1976" s="4" t="inlineStr">
        <is>
          <t>Down for It All Vest BLK 2</t>
        </is>
      </c>
      <c r="F1976" s="4" t="inlineStr">
        <is>
          <t>$168.00</t>
        </is>
      </c>
      <c r="G1976" s="4" t="inlineStr">
        <is>
          <t>$84.00</t>
        </is>
      </c>
      <c r="H1976" s="4" t="inlineStr">
        <is>
          <t>Black</t>
        </is>
      </c>
      <c r="I1976" s="4">
        <f>IMAGE("https://images.lululemon.com/is/image/lululemon/0001",1)</f>
        <v/>
      </c>
      <c r="J1976" s="4" t="inlineStr">
        <is>
          <t>10</t>
        </is>
      </c>
      <c r="K1976" s="4" t="inlineStr">
        <is>
          <t>177/1107</t>
        </is>
      </c>
      <c r="L1976" s="4" t="inlineStr">
        <is>
          <t>Yes</t>
        </is>
      </c>
      <c r="M1976" s="4" t="inlineStr">
        <is>
          <t>This vest is fully loaded for running in cold weather. Zoned insulation holds warmth where you need it and stretchy fleece keeps you moving freely.</t>
        </is>
      </c>
      <c r="N1976" s="4" t="inlineStr">
        <is>
          <t>Down-For-It-All-Vest</t>
        </is>
      </c>
      <c r="O1976" s="4" t="inlineStr">
        <is>
          <t>Vests, Athletic Jackets, Puffer Jackets</t>
        </is>
      </c>
    </row>
    <row r="1977" ht="80" customHeight="1">
      <c r="A1977" s="7">
        <f>IMAGE("https://images.lululemon.com/is/image/lululemon/LW4CB0S_0001_1?wid=320&amp;op_usm=0.8",1)</f>
        <v/>
      </c>
      <c r="B1977" s="7" t="inlineStr">
        <is>
          <t>Women's Down for It All Vest</t>
        </is>
      </c>
      <c r="C1977" s="7" t="inlineStr">
        <is>
          <t>147175669</t>
        </is>
      </c>
      <c r="D1977" s="7" t="inlineStr">
        <is>
          <t>147175669-black</t>
        </is>
      </c>
      <c r="E1977" s="7" t="inlineStr">
        <is>
          <t>Down for It All Vest BLK 2</t>
        </is>
      </c>
      <c r="F1977" s="7" t="inlineStr">
        <is>
          <t>$168.00</t>
        </is>
      </c>
      <c r="G1977" s="7" t="inlineStr">
        <is>
          <t>$84.00</t>
        </is>
      </c>
      <c r="H1977" s="7" t="inlineStr">
        <is>
          <t>Black</t>
        </is>
      </c>
      <c r="I1977" s="7">
        <f>IMAGE("https://images.lululemon.com/is/image/lululemon/0001",1)</f>
        <v/>
      </c>
      <c r="J1977" s="7" t="inlineStr">
        <is>
          <t>12</t>
        </is>
      </c>
      <c r="K1977" s="7" t="inlineStr">
        <is>
          <t>139/1107</t>
        </is>
      </c>
      <c r="L1977" s="7" t="inlineStr">
        <is>
          <t>Yes</t>
        </is>
      </c>
      <c r="M1977" s="7" t="inlineStr">
        <is>
          <t>This vest is fully loaded for running in cold weather. Zoned insulation holds warmth where you need it and stretchy fleece keeps you moving freely.</t>
        </is>
      </c>
      <c r="N1977" s="7" t="inlineStr">
        <is>
          <t>Down-For-It-All-Vest</t>
        </is>
      </c>
      <c r="O1977" s="7" t="inlineStr">
        <is>
          <t>Vests, Athletic Jackets, Puffer Jackets</t>
        </is>
      </c>
    </row>
    <row r="1978" ht="80" customHeight="1">
      <c r="A1978" s="4">
        <f>IMAGE("https://images.lululemon.com/is/image/lululemon/LW4CB0S_0001_1?wid=320&amp;op_usm=0.8",1)</f>
        <v/>
      </c>
      <c r="B1978" s="4" t="inlineStr">
        <is>
          <t>Women's Down for It All Vest</t>
        </is>
      </c>
      <c r="C1978" s="4" t="inlineStr">
        <is>
          <t>147175670</t>
        </is>
      </c>
      <c r="D1978" s="4" t="inlineStr">
        <is>
          <t>147175670-black</t>
        </is>
      </c>
      <c r="E1978" s="4" t="inlineStr">
        <is>
          <t>Down for It All Vest BLK 2</t>
        </is>
      </c>
      <c r="F1978" s="4" t="inlineStr">
        <is>
          <t>$168.00</t>
        </is>
      </c>
      <c r="G1978" s="4" t="inlineStr">
        <is>
          <t>$84.00</t>
        </is>
      </c>
      <c r="H1978" s="4" t="inlineStr">
        <is>
          <t>Black</t>
        </is>
      </c>
      <c r="I1978" s="4">
        <f>IMAGE("https://images.lululemon.com/is/image/lululemon/0001",1)</f>
        <v/>
      </c>
      <c r="J1978" s="4" t="inlineStr">
        <is>
          <t>14</t>
        </is>
      </c>
      <c r="K1978" s="4" t="inlineStr">
        <is>
          <t>27/1107</t>
        </is>
      </c>
      <c r="L1978" s="4" t="inlineStr">
        <is>
          <t>Yes</t>
        </is>
      </c>
      <c r="M1978" s="4" t="inlineStr">
        <is>
          <t>This vest is fully loaded for running in cold weather. Zoned insulation holds warmth where you need it and stretchy fleece keeps you moving freely.</t>
        </is>
      </c>
      <c r="N1978" s="4" t="inlineStr">
        <is>
          <t>Down-For-It-All-Vest</t>
        </is>
      </c>
      <c r="O1978" s="4" t="inlineStr">
        <is>
          <t>Vests, Athletic Jackets, Puffer Jackets</t>
        </is>
      </c>
    </row>
    <row r="1979" ht="80" customHeight="1">
      <c r="A1979" s="7">
        <f>IMAGE("https://images.lululemon.com/is/image/lululemon/LW4CB0S_0001_1?wid=320&amp;op_usm=0.8",1)</f>
        <v/>
      </c>
      <c r="B1979" s="7" t="inlineStr">
        <is>
          <t>Women's Down for It All Vest</t>
        </is>
      </c>
      <c r="C1979" s="7" t="inlineStr">
        <is>
          <t>155865804</t>
        </is>
      </c>
      <c r="D1979" s="7" t="inlineStr">
        <is>
          <t>155865804-lightivory</t>
        </is>
      </c>
      <c r="E1979" s="7" t="inlineStr">
        <is>
          <t>Down for It All Vest BLK 2</t>
        </is>
      </c>
      <c r="F1979" s="7" t="inlineStr">
        <is>
          <t>$168.00</t>
        </is>
      </c>
      <c r="G1979" s="7" t="inlineStr">
        <is>
          <t>$84.00</t>
        </is>
      </c>
      <c r="H1979" s="7" t="inlineStr">
        <is>
          <t>Light Ivory</t>
        </is>
      </c>
      <c r="I1979" s="7">
        <f>IMAGE("https://images.lululemon.com/is/image/lululemon/33454",1)</f>
        <v/>
      </c>
      <c r="J1979" s="7" t="inlineStr">
        <is>
          <t>6</t>
        </is>
      </c>
      <c r="K1979" s="7" t="inlineStr">
        <is>
          <t>37/1107</t>
        </is>
      </c>
      <c r="L1979" s="7" t="inlineStr">
        <is>
          <t>Yes</t>
        </is>
      </c>
      <c r="M1979" s="7" t="inlineStr">
        <is>
          <t>This vest is fully loaded for running in cold weather. Zoned insulation holds warmth where you need it and stretchy fleece keeps you moving freely.</t>
        </is>
      </c>
      <c r="N1979" s="7" t="inlineStr">
        <is>
          <t>Down-For-It-All-Vest</t>
        </is>
      </c>
      <c r="O1979" s="7" t="inlineStr">
        <is>
          <t>Vests, Athletic Jackets, Puffer Jackets</t>
        </is>
      </c>
    </row>
    <row r="1980" ht="80" customHeight="1">
      <c r="A1980" s="4">
        <f>IMAGE("https://images.lululemon.com/is/image/lululemon/LW4CB0S_0001_1?wid=320&amp;op_usm=0.8",1)</f>
        <v/>
      </c>
      <c r="B1980" s="4" t="inlineStr">
        <is>
          <t>Women's Down for It All Vest</t>
        </is>
      </c>
      <c r="C1980" s="4" t="inlineStr">
        <is>
          <t>155865811</t>
        </is>
      </c>
      <c r="D1980" s="4" t="inlineStr">
        <is>
          <t>155865811-lightivory</t>
        </is>
      </c>
      <c r="E1980" s="4" t="inlineStr">
        <is>
          <t>Down for It All Vest BLK 2</t>
        </is>
      </c>
      <c r="F1980" s="4" t="inlineStr">
        <is>
          <t>$168.00</t>
        </is>
      </c>
      <c r="G1980" s="4" t="inlineStr">
        <is>
          <t>$84.00</t>
        </is>
      </c>
      <c r="H1980" s="4" t="inlineStr">
        <is>
          <t>Light Ivory</t>
        </is>
      </c>
      <c r="I1980" s="4">
        <f>IMAGE("https://images.lululemon.com/is/image/lululemon/33454",1)</f>
        <v/>
      </c>
      <c r="J1980" s="4" t="inlineStr">
        <is>
          <t>8</t>
        </is>
      </c>
      <c r="K1980" s="4" t="inlineStr">
        <is>
          <t>5/1107</t>
        </is>
      </c>
      <c r="L1980" s="4" t="inlineStr">
        <is>
          <t>Yes</t>
        </is>
      </c>
      <c r="M1980" s="4" t="inlineStr">
        <is>
          <t>This vest is fully loaded for running in cold weather. Zoned insulation holds warmth where you need it and stretchy fleece keeps you moving freely.</t>
        </is>
      </c>
      <c r="N1980" s="4" t="inlineStr">
        <is>
          <t>Down-For-It-All-Vest</t>
        </is>
      </c>
      <c r="O1980" s="4" t="inlineStr">
        <is>
          <t>Vests, Athletic Jackets, Puffer Jackets</t>
        </is>
      </c>
    </row>
    <row r="1981" ht="80" customHeight="1">
      <c r="A1981" s="7">
        <f>IMAGE("https://images.lululemon.com/is/image/lululemon/LW4CB0S_0001_1?wid=320&amp;op_usm=0.8",1)</f>
        <v/>
      </c>
      <c r="B1981" s="7" t="inlineStr">
        <is>
          <t>Women's Down for It All Vest</t>
        </is>
      </c>
      <c r="C1981" s="7" t="inlineStr">
        <is>
          <t>155865742</t>
        </is>
      </c>
      <c r="D1981" s="7" t="inlineStr">
        <is>
          <t>155865742-lightivory</t>
        </is>
      </c>
      <c r="E1981" s="7" t="inlineStr">
        <is>
          <t>Down for It All Vest BLK 2</t>
        </is>
      </c>
      <c r="F1981" s="7" t="inlineStr">
        <is>
          <t>$168.00</t>
        </is>
      </c>
      <c r="G1981" s="7" t="inlineStr">
        <is>
          <t>$84.00</t>
        </is>
      </c>
      <c r="H1981" s="7" t="inlineStr">
        <is>
          <t>Light Ivory</t>
        </is>
      </c>
      <c r="I1981" s="7">
        <f>IMAGE("https://images.lululemon.com/is/image/lululemon/33454",1)</f>
        <v/>
      </c>
      <c r="J1981" s="7" t="inlineStr">
        <is>
          <t>10</t>
        </is>
      </c>
      <c r="K1981" s="7" t="inlineStr">
        <is>
          <t>35/1107</t>
        </is>
      </c>
      <c r="L1981" s="7" t="inlineStr">
        <is>
          <t>Yes</t>
        </is>
      </c>
      <c r="M1981" s="7" t="inlineStr">
        <is>
          <t>This vest is fully loaded for running in cold weather. Zoned insulation holds warmth where you need it and stretchy fleece keeps you moving freely.</t>
        </is>
      </c>
      <c r="N1981" s="7" t="inlineStr">
        <is>
          <t>Down-For-It-All-Vest</t>
        </is>
      </c>
      <c r="O1981" s="7" t="inlineStr">
        <is>
          <t>Vests, Athletic Jackets, Puffer Jackets</t>
        </is>
      </c>
    </row>
    <row r="1982" ht="80" customHeight="1">
      <c r="A1982" s="6">
        <f>IMAGE("https://images.lululemon.com/is/image/lululemon/LW4CB0S_0001_1?wid=320&amp;op_usm=0.8",1)</f>
        <v/>
      </c>
      <c r="B1982" s="6" t="inlineStr">
        <is>
          <t>Women's Down for It All Vest</t>
        </is>
      </c>
      <c r="C1982" s="6" t="inlineStr">
        <is>
          <t>155865747</t>
        </is>
      </c>
      <c r="D1982" s="6" t="inlineStr">
        <is>
          <t>155865747-lightivory</t>
        </is>
      </c>
      <c r="E1982" s="6" t="inlineStr">
        <is>
          <t>Down for It All Vest BLK 2</t>
        </is>
      </c>
      <c r="F1982" s="6" t="inlineStr">
        <is>
          <t>$168.00</t>
        </is>
      </c>
      <c r="G1982" s="6" t="inlineStr">
        <is>
          <t>$84.00</t>
        </is>
      </c>
      <c r="H1982" s="6" t="inlineStr">
        <is>
          <t>Light Ivory</t>
        </is>
      </c>
      <c r="I1982" s="6">
        <f>IMAGE("https://images.lululemon.com/is/image/lululemon/33454",1)</f>
        <v/>
      </c>
      <c r="J1982" s="6" t="inlineStr">
        <is>
          <t>12</t>
        </is>
      </c>
      <c r="K1982" s="6" t="inlineStr">
        <is>
          <t>45/1107</t>
        </is>
      </c>
      <c r="L1982" s="6" t="inlineStr">
        <is>
          <t>Yes</t>
        </is>
      </c>
      <c r="M1982" s="6" t="inlineStr">
        <is>
          <t>This vest is fully loaded for running in cold weather. Zoned insulation holds warmth where you need it and stretchy fleece keeps you moving freely.</t>
        </is>
      </c>
      <c r="N1982" s="6" t="inlineStr">
        <is>
          <t>Down-For-It-All-Vest</t>
        </is>
      </c>
      <c r="O1982" s="6" t="inlineStr">
        <is>
          <t>Vests, Athletic Jackets, Puffer Jackets</t>
        </is>
      </c>
    </row>
    <row r="1983" ht="80" customHeight="1">
      <c r="A1983" s="7">
        <f>IMAGE("https://images.lululemon.com/is/image/lululemon/LW4CMKS_036865_1?wid=320&amp;op_usm=0.8",1)</f>
        <v/>
      </c>
      <c r="B1983" s="7" t="inlineStr">
        <is>
          <t>Women's Featherweight 900-Down-Fill Quilted Vest</t>
        </is>
      </c>
      <c r="C1983" s="7" t="inlineStr">
        <is>
          <t>158119792</t>
        </is>
      </c>
      <c r="D1983" s="7" t="inlineStr">
        <is>
          <t>158119792-dovegrey</t>
        </is>
      </c>
      <c r="E1983" s="7" t="inlineStr">
        <is>
          <t>Featherweight Down Quilted Vest DVGY XXS</t>
        </is>
      </c>
      <c r="F1983" s="7" t="inlineStr">
        <is>
          <t>$248.00</t>
        </is>
      </c>
      <c r="G1983" s="7" t="inlineStr">
        <is>
          <t>$124.00</t>
        </is>
      </c>
      <c r="H1983" s="7" t="inlineStr">
        <is>
          <t>Dove Grey</t>
        </is>
      </c>
      <c r="I1983" s="7">
        <f>IMAGE("https://images.lululemon.com/is/image/lululemon/36865",1)</f>
        <v/>
      </c>
      <c r="J1983" s="7" t="inlineStr">
        <is>
          <t>XXS</t>
        </is>
      </c>
      <c r="K1983" s="7" t="inlineStr">
        <is>
          <t>4/864</t>
        </is>
      </c>
      <c r="L1983" s="7" t="inlineStr">
        <is>
          <t>Yes</t>
        </is>
      </c>
      <c r="M1983" s="7" t="inlineStr">
        <is>
          <t>Seasonless. Filled with premium 900-fill-power down, this packable vest delivers light warmth that feels practically weightless—layer it under a shell or over cozy sweaters when the chill sets in.​</t>
        </is>
      </c>
      <c r="N1983" s="7" t="inlineStr">
        <is>
          <t>W-Featherweight-900-Down-Fill-Quilted-Vest</t>
        </is>
      </c>
      <c r="O1983" s="7" t="inlineStr">
        <is>
          <t>Puffer Jackets, Vests</t>
        </is>
      </c>
    </row>
    <row r="1984" ht="80" customHeight="1">
      <c r="A1984" s="4">
        <f>IMAGE("https://images.lululemon.com/is/image/lululemon/LW4CMKS_036865_1?wid=320&amp;op_usm=0.8",1)</f>
        <v/>
      </c>
      <c r="B1984" s="4" t="inlineStr">
        <is>
          <t>Women's Featherweight 900-Down-Fill Quilted Vest</t>
        </is>
      </c>
      <c r="C1984" s="4" t="inlineStr">
        <is>
          <t>158035454</t>
        </is>
      </c>
      <c r="D1984" s="4" t="inlineStr">
        <is>
          <t>158035454-dovegrey</t>
        </is>
      </c>
      <c r="E1984" s="4" t="inlineStr">
        <is>
          <t>Featherweight Down Quilted Vest DVGY XXS</t>
        </is>
      </c>
      <c r="F1984" s="4" t="inlineStr">
        <is>
          <t>$248.00</t>
        </is>
      </c>
      <c r="G1984" s="4" t="inlineStr">
        <is>
          <t>$124.00</t>
        </is>
      </c>
      <c r="H1984" s="4" t="inlineStr">
        <is>
          <t>Dove Grey</t>
        </is>
      </c>
      <c r="I1984" s="4">
        <f>IMAGE("https://images.lululemon.com/is/image/lululemon/36865",1)</f>
        <v/>
      </c>
      <c r="J1984" s="4" t="inlineStr">
        <is>
          <t>XS</t>
        </is>
      </c>
      <c r="K1984" s="4" t="inlineStr">
        <is>
          <t>46/864</t>
        </is>
      </c>
      <c r="L1984" s="4" t="inlineStr">
        <is>
          <t>Yes</t>
        </is>
      </c>
      <c r="M1984" s="4" t="inlineStr">
        <is>
          <t>Seasonless. Filled with premium 900-fill-power down, this packable vest delivers light warmth that feels practically weightless—layer it under a shell or over cozy sweaters when the chill sets in.​</t>
        </is>
      </c>
      <c r="N1984" s="4" t="inlineStr">
        <is>
          <t>W-Featherweight-900-Down-Fill-Quilted-Vest</t>
        </is>
      </c>
      <c r="O1984" s="4" t="inlineStr">
        <is>
          <t>Puffer Jackets, Vests</t>
        </is>
      </c>
    </row>
    <row r="1985" ht="80" customHeight="1">
      <c r="A1985" s="7">
        <f>IMAGE("https://images.lululemon.com/is/image/lululemon/LW4CMKS_036865_1?wid=320&amp;op_usm=0.8",1)</f>
        <v/>
      </c>
      <c r="B1985" s="7" t="inlineStr">
        <is>
          <t>Women's Featherweight 900-Down-Fill Quilted Vest</t>
        </is>
      </c>
      <c r="C1985" s="7" t="inlineStr">
        <is>
          <t>158035442</t>
        </is>
      </c>
      <c r="D1985" s="7" t="inlineStr">
        <is>
          <t>158035442-dovegrey</t>
        </is>
      </c>
      <c r="E1985" s="7" t="inlineStr">
        <is>
          <t>Featherweight Down Quilted Vest DVGY XXS</t>
        </is>
      </c>
      <c r="F1985" s="7" t="inlineStr">
        <is>
          <t>$248.00</t>
        </is>
      </c>
      <c r="G1985" s="7" t="inlineStr">
        <is>
          <t>$124.00</t>
        </is>
      </c>
      <c r="H1985" s="7" t="inlineStr">
        <is>
          <t>Dove Grey</t>
        </is>
      </c>
      <c r="I1985" s="7">
        <f>IMAGE("https://images.lululemon.com/is/image/lululemon/36865",1)</f>
        <v/>
      </c>
      <c r="J1985" s="7" t="inlineStr">
        <is>
          <t>S</t>
        </is>
      </c>
      <c r="K1985" s="7" t="inlineStr">
        <is>
          <t>124/864</t>
        </is>
      </c>
      <c r="L1985" s="7" t="inlineStr">
        <is>
          <t>Yes</t>
        </is>
      </c>
      <c r="M1985" s="7" t="inlineStr">
        <is>
          <t>Seasonless. Filled with premium 900-fill-power down, this packable vest delivers light warmth that feels practically weightless—layer it under a shell or over cozy sweaters when the chill sets in.​</t>
        </is>
      </c>
      <c r="N1985" s="7" t="inlineStr">
        <is>
          <t>W-Featherweight-900-Down-Fill-Quilted-Vest</t>
        </is>
      </c>
      <c r="O1985" s="7" t="inlineStr">
        <is>
          <t>Puffer Jackets, Vests</t>
        </is>
      </c>
    </row>
    <row r="1986" ht="80" customHeight="1">
      <c r="A1986" s="4">
        <f>IMAGE("https://images.lululemon.com/is/image/lululemon/LW4CMKS_036865_1?wid=320&amp;op_usm=0.8",1)</f>
        <v/>
      </c>
      <c r="B1986" s="4" t="inlineStr">
        <is>
          <t>Women's Featherweight 900-Down-Fill Quilted Vest</t>
        </is>
      </c>
      <c r="C1986" s="4" t="inlineStr">
        <is>
          <t>158035432</t>
        </is>
      </c>
      <c r="D1986" s="4" t="inlineStr">
        <is>
          <t>158035432-dovegrey</t>
        </is>
      </c>
      <c r="E1986" s="4" t="inlineStr">
        <is>
          <t>Featherweight Down Quilted Vest DVGY XXS</t>
        </is>
      </c>
      <c r="F1986" s="4" t="inlineStr">
        <is>
          <t>$248.00</t>
        </is>
      </c>
      <c r="G1986" s="4" t="inlineStr">
        <is>
          <t>$124.00</t>
        </is>
      </c>
      <c r="H1986" s="4" t="inlineStr">
        <is>
          <t>Dove Grey</t>
        </is>
      </c>
      <c r="I1986" s="4">
        <f>IMAGE("https://images.lululemon.com/is/image/lululemon/36865",1)</f>
        <v/>
      </c>
      <c r="J1986" s="4" t="inlineStr">
        <is>
          <t>M</t>
        </is>
      </c>
      <c r="K1986" s="4" t="inlineStr">
        <is>
          <t>154/864</t>
        </is>
      </c>
      <c r="L1986" s="4" t="inlineStr">
        <is>
          <t>Yes</t>
        </is>
      </c>
      <c r="M1986" s="4" t="inlineStr">
        <is>
          <t>Seasonless. Filled with premium 900-fill-power down, this packable vest delivers light warmth that feels practically weightless—layer it under a shell or over cozy sweaters when the chill sets in.​</t>
        </is>
      </c>
      <c r="N1986" s="4" t="inlineStr">
        <is>
          <t>W-Featherweight-900-Down-Fill-Quilted-Vest</t>
        </is>
      </c>
      <c r="O1986" s="4" t="inlineStr">
        <is>
          <t>Puffer Jackets, Vests</t>
        </is>
      </c>
    </row>
    <row r="1987" ht="80" customHeight="1">
      <c r="A1987" s="7">
        <f>IMAGE("https://images.lululemon.com/is/image/lululemon/LW4CMKS_036865_1?wid=320&amp;op_usm=0.8",1)</f>
        <v/>
      </c>
      <c r="B1987" s="7" t="inlineStr">
        <is>
          <t>Women's Featherweight 900-Down-Fill Quilted Vest</t>
        </is>
      </c>
      <c r="C1987" s="7" t="inlineStr">
        <is>
          <t>158035426</t>
        </is>
      </c>
      <c r="D1987" s="7" t="inlineStr">
        <is>
          <t>158035426-dovegrey</t>
        </is>
      </c>
      <c r="E1987" s="7" t="inlineStr">
        <is>
          <t>Featherweight Down Quilted Vest DVGY XXS</t>
        </is>
      </c>
      <c r="F1987" s="7" t="inlineStr">
        <is>
          <t>$248.00</t>
        </is>
      </c>
      <c r="G1987" s="7" t="inlineStr">
        <is>
          <t>$124.00</t>
        </is>
      </c>
      <c r="H1987" s="7" t="inlineStr">
        <is>
          <t>Dove Grey</t>
        </is>
      </c>
      <c r="I1987" s="7">
        <f>IMAGE("https://images.lululemon.com/is/image/lululemon/36865",1)</f>
        <v/>
      </c>
      <c r="J1987" s="7" t="inlineStr">
        <is>
          <t>L</t>
        </is>
      </c>
      <c r="K1987" s="7" t="inlineStr">
        <is>
          <t>113/864</t>
        </is>
      </c>
      <c r="L1987" s="7" t="inlineStr">
        <is>
          <t>Yes</t>
        </is>
      </c>
      <c r="M1987" s="7" t="inlineStr">
        <is>
          <t>Seasonless. Filled with premium 900-fill-power down, this packable vest delivers light warmth that feels practically weightless—layer it under a shell or over cozy sweaters when the chill sets in.​</t>
        </is>
      </c>
      <c r="N1987" s="7" t="inlineStr">
        <is>
          <t>W-Featherweight-900-Down-Fill-Quilted-Vest</t>
        </is>
      </c>
      <c r="O1987" s="7" t="inlineStr">
        <is>
          <t>Puffer Jackets, Vests</t>
        </is>
      </c>
    </row>
    <row r="1988" ht="80" customHeight="1">
      <c r="A1988" s="4">
        <f>IMAGE("https://images.lululemon.com/is/image/lululemon/LW4CMKS_036865_1?wid=320&amp;op_usm=0.8",1)</f>
        <v/>
      </c>
      <c r="B1988" s="4" t="inlineStr">
        <is>
          <t>Women's Featherweight 900-Down-Fill Quilted Vest</t>
        </is>
      </c>
      <c r="C1988" s="4" t="inlineStr">
        <is>
          <t>158035447</t>
        </is>
      </c>
      <c r="D1988" s="4" t="inlineStr">
        <is>
          <t>158035447-dovegrey</t>
        </is>
      </c>
      <c r="E1988" s="4" t="inlineStr">
        <is>
          <t>Featherweight Down Quilted Vest DVGY XXS</t>
        </is>
      </c>
      <c r="F1988" s="4" t="inlineStr">
        <is>
          <t>$248.00</t>
        </is>
      </c>
      <c r="G1988" s="4" t="inlineStr">
        <is>
          <t>$124.00</t>
        </is>
      </c>
      <c r="H1988" s="4" t="inlineStr">
        <is>
          <t>Dove Grey</t>
        </is>
      </c>
      <c r="I1988" s="4">
        <f>IMAGE("https://images.lululemon.com/is/image/lululemon/36865",1)</f>
        <v/>
      </c>
      <c r="J1988" s="4" t="inlineStr">
        <is>
          <t>XL</t>
        </is>
      </c>
      <c r="K1988" s="4" t="inlineStr">
        <is>
          <t>53/864</t>
        </is>
      </c>
      <c r="L1988" s="4" t="inlineStr">
        <is>
          <t>Yes</t>
        </is>
      </c>
      <c r="M1988" s="4" t="inlineStr">
        <is>
          <t>Seasonless. Filled with premium 900-fill-power down, this packable vest delivers light warmth that feels practically weightless—layer it under a shell or over cozy sweaters when the chill sets in.​</t>
        </is>
      </c>
      <c r="N1988" s="4" t="inlineStr">
        <is>
          <t>W-Featherweight-900-Down-Fill-Quilted-Vest</t>
        </is>
      </c>
      <c r="O1988" s="4" t="inlineStr">
        <is>
          <t>Puffer Jackets, Vests</t>
        </is>
      </c>
    </row>
    <row r="1989" ht="80" customHeight="1">
      <c r="A1989" s="7">
        <f>IMAGE("https://images.lululemon.com/is/image/lululemon/LW4CMKS_036865_1?wid=320&amp;op_usm=0.8",1)</f>
        <v/>
      </c>
      <c r="B1989" s="7" t="inlineStr">
        <is>
          <t>Women's Featherweight 900-Down-Fill Quilted Vest</t>
        </is>
      </c>
      <c r="C1989" s="7" t="inlineStr">
        <is>
          <t>158119790</t>
        </is>
      </c>
      <c r="D1989" s="7" t="inlineStr">
        <is>
          <t>158119790-blackplum</t>
        </is>
      </c>
      <c r="E1989" s="7" t="inlineStr">
        <is>
          <t>Featherweight Down Quilted Vest DVGY XXS</t>
        </is>
      </c>
      <c r="F1989" s="7" t="inlineStr">
        <is>
          <t>$248.00</t>
        </is>
      </c>
      <c r="G1989" s="7" t="inlineStr">
        <is>
          <t>$124.00</t>
        </is>
      </c>
      <c r="H1989" s="7" t="inlineStr">
        <is>
          <t>Black Plum</t>
        </is>
      </c>
      <c r="I1989" s="7">
        <f>IMAGE("https://images.lululemon.com/is/image/lululemon/34697",1)</f>
        <v/>
      </c>
      <c r="J1989" s="7" t="inlineStr">
        <is>
          <t>XXS</t>
        </is>
      </c>
      <c r="K1989" s="7" t="inlineStr">
        <is>
          <t>4/864</t>
        </is>
      </c>
      <c r="L1989" s="7" t="inlineStr">
        <is>
          <t>Yes</t>
        </is>
      </c>
      <c r="M1989" s="7" t="inlineStr">
        <is>
          <t>Seasonless. Filled with premium 900-fill-power down, this packable vest delivers light warmth that feels practically weightless—layer it under a shell or over cozy sweaters when the chill sets in.​</t>
        </is>
      </c>
      <c r="N1989" s="7" t="inlineStr">
        <is>
          <t>W-Featherweight-900-Down-Fill-Quilted-Vest</t>
        </is>
      </c>
      <c r="O1989" s="7" t="inlineStr">
        <is>
          <t>Puffer Jackets, Vests</t>
        </is>
      </c>
    </row>
    <row r="1990" ht="80" customHeight="1">
      <c r="A1990" s="4">
        <f>IMAGE("https://images.lululemon.com/is/image/lululemon/LW4CMKS_036865_1?wid=320&amp;op_usm=0.8",1)</f>
        <v/>
      </c>
      <c r="B1990" s="4" t="inlineStr">
        <is>
          <t>Women's Featherweight 900-Down-Fill Quilted Vest</t>
        </is>
      </c>
      <c r="C1990" s="4" t="inlineStr">
        <is>
          <t>158035498</t>
        </is>
      </c>
      <c r="D1990" s="4" t="inlineStr">
        <is>
          <t>158035498-blackplum</t>
        </is>
      </c>
      <c r="E1990" s="4" t="inlineStr">
        <is>
          <t>Featherweight Down Quilted Vest DVGY XXS</t>
        </is>
      </c>
      <c r="F1990" s="4" t="inlineStr">
        <is>
          <t>$248.00</t>
        </is>
      </c>
      <c r="G1990" s="4" t="inlineStr">
        <is>
          <t>$124.00</t>
        </is>
      </c>
      <c r="H1990" s="4" t="inlineStr">
        <is>
          <t>Black Plum</t>
        </is>
      </c>
      <c r="I1990" s="4">
        <f>IMAGE("https://images.lululemon.com/is/image/lululemon/34697",1)</f>
        <v/>
      </c>
      <c r="J1990" s="4" t="inlineStr">
        <is>
          <t>XS</t>
        </is>
      </c>
      <c r="K1990" s="4" t="inlineStr">
        <is>
          <t>19/864</t>
        </is>
      </c>
      <c r="L1990" s="4" t="inlineStr">
        <is>
          <t>Yes</t>
        </is>
      </c>
      <c r="M1990" s="4" t="inlineStr">
        <is>
          <t>Seasonless. Filled with premium 900-fill-power down, this packable vest delivers light warmth that feels practically weightless—layer it under a shell or over cozy sweaters when the chill sets in.​</t>
        </is>
      </c>
      <c r="N1990" s="4" t="inlineStr">
        <is>
          <t>W-Featherweight-900-Down-Fill-Quilted-Vest</t>
        </is>
      </c>
      <c r="O1990" s="4" t="inlineStr">
        <is>
          <t>Puffer Jackets, Vests</t>
        </is>
      </c>
    </row>
    <row r="1991" ht="80" customHeight="1">
      <c r="A1991" s="7">
        <f>IMAGE("https://images.lululemon.com/is/image/lululemon/LW4CMKS_036865_1?wid=320&amp;op_usm=0.8",1)</f>
        <v/>
      </c>
      <c r="B1991" s="7" t="inlineStr">
        <is>
          <t>Women's Featherweight 900-Down-Fill Quilted Vest</t>
        </is>
      </c>
      <c r="C1991" s="7" t="inlineStr">
        <is>
          <t>158035490</t>
        </is>
      </c>
      <c r="D1991" s="7" t="inlineStr">
        <is>
          <t>158035490-blackplum</t>
        </is>
      </c>
      <c r="E1991" s="7" t="inlineStr">
        <is>
          <t>Featherweight Down Quilted Vest DVGY XXS</t>
        </is>
      </c>
      <c r="F1991" s="7" t="inlineStr">
        <is>
          <t>$248.00</t>
        </is>
      </c>
      <c r="G1991" s="7" t="inlineStr">
        <is>
          <t>$124.00</t>
        </is>
      </c>
      <c r="H1991" s="7" t="inlineStr">
        <is>
          <t>Black Plum</t>
        </is>
      </c>
      <c r="I1991" s="7">
        <f>IMAGE("https://images.lululemon.com/is/image/lululemon/34697",1)</f>
        <v/>
      </c>
      <c r="J1991" s="7" t="inlineStr">
        <is>
          <t>S</t>
        </is>
      </c>
      <c r="K1991" s="7" t="inlineStr">
        <is>
          <t>51/864</t>
        </is>
      </c>
      <c r="L1991" s="7" t="inlineStr">
        <is>
          <t>Yes</t>
        </is>
      </c>
      <c r="M1991" s="7" t="inlineStr">
        <is>
          <t>Seasonless. Filled with premium 900-fill-power down, this packable vest delivers light warmth that feels practically weightless—layer it under a shell or over cozy sweaters when the chill sets in.​</t>
        </is>
      </c>
      <c r="N1991" s="7" t="inlineStr">
        <is>
          <t>W-Featherweight-900-Down-Fill-Quilted-Vest</t>
        </is>
      </c>
      <c r="O1991" s="7" t="inlineStr">
        <is>
          <t>Puffer Jackets, Vests</t>
        </is>
      </c>
    </row>
    <row r="1992" ht="80" customHeight="1">
      <c r="A1992" s="4">
        <f>IMAGE("https://images.lululemon.com/is/image/lululemon/LW4CMKS_036865_1?wid=320&amp;op_usm=0.8",1)</f>
        <v/>
      </c>
      <c r="B1992" s="4" t="inlineStr">
        <is>
          <t>Women's Featherweight 900-Down-Fill Quilted Vest</t>
        </is>
      </c>
      <c r="C1992" s="4" t="inlineStr">
        <is>
          <t>158035485</t>
        </is>
      </c>
      <c r="D1992" s="4" t="inlineStr">
        <is>
          <t>158035485-blackplum</t>
        </is>
      </c>
      <c r="E1992" s="4" t="inlineStr">
        <is>
          <t>Featherweight Down Quilted Vest DVGY XXS</t>
        </is>
      </c>
      <c r="F1992" s="4" t="inlineStr">
        <is>
          <t>$248.00</t>
        </is>
      </c>
      <c r="G1992" s="4" t="inlineStr">
        <is>
          <t>$124.00</t>
        </is>
      </c>
      <c r="H1992" s="4" t="inlineStr">
        <is>
          <t>Black Plum</t>
        </is>
      </c>
      <c r="I1992" s="4">
        <f>IMAGE("https://images.lululemon.com/is/image/lululemon/34697",1)</f>
        <v/>
      </c>
      <c r="J1992" s="4" t="inlineStr">
        <is>
          <t>M</t>
        </is>
      </c>
      <c r="K1992" s="4" t="inlineStr">
        <is>
          <t>65/864</t>
        </is>
      </c>
      <c r="L1992" s="4" t="inlineStr">
        <is>
          <t>Yes</t>
        </is>
      </c>
      <c r="M1992" s="4" t="inlineStr">
        <is>
          <t>Seasonless. Filled with premium 900-fill-power down, this packable vest delivers light warmth that feels practically weightless—layer it under a shell or over cozy sweaters when the chill sets in.​</t>
        </is>
      </c>
      <c r="N1992" s="4" t="inlineStr">
        <is>
          <t>W-Featherweight-900-Down-Fill-Quilted-Vest</t>
        </is>
      </c>
      <c r="O1992" s="4" t="inlineStr">
        <is>
          <t>Puffer Jackets, Vests</t>
        </is>
      </c>
    </row>
    <row r="1993" ht="80" customHeight="1">
      <c r="A1993" s="7">
        <f>IMAGE("https://images.lululemon.com/is/image/lululemon/LW4CMKS_036865_1?wid=320&amp;op_usm=0.8",1)</f>
        <v/>
      </c>
      <c r="B1993" s="7" t="inlineStr">
        <is>
          <t>Women's Featherweight 900-Down-Fill Quilted Vest</t>
        </is>
      </c>
      <c r="C1993" s="7" t="inlineStr">
        <is>
          <t>158035478</t>
        </is>
      </c>
      <c r="D1993" s="7" t="inlineStr">
        <is>
          <t>158035478-blackplum</t>
        </is>
      </c>
      <c r="E1993" s="7" t="inlineStr">
        <is>
          <t>Featherweight Down Quilted Vest DVGY XXS</t>
        </is>
      </c>
      <c r="F1993" s="7" t="inlineStr">
        <is>
          <t>$248.00</t>
        </is>
      </c>
      <c r="G1993" s="7" t="inlineStr">
        <is>
          <t>$124.00</t>
        </is>
      </c>
      <c r="H1993" s="7" t="inlineStr">
        <is>
          <t>Black Plum</t>
        </is>
      </c>
      <c r="I1993" s="7">
        <f>IMAGE("https://images.lululemon.com/is/image/lululemon/34697",1)</f>
        <v/>
      </c>
      <c r="J1993" s="7" t="inlineStr">
        <is>
          <t>L</t>
        </is>
      </c>
      <c r="K1993" s="7" t="inlineStr">
        <is>
          <t>49/864</t>
        </is>
      </c>
      <c r="L1993" s="7" t="inlineStr">
        <is>
          <t>Yes</t>
        </is>
      </c>
      <c r="M1993" s="7" t="inlineStr">
        <is>
          <t>Seasonless. Filled with premium 900-fill-power down, this packable vest delivers light warmth that feels practically weightless—layer it under a shell or over cozy sweaters when the chill sets in.​</t>
        </is>
      </c>
      <c r="N1993" s="7" t="inlineStr">
        <is>
          <t>W-Featherweight-900-Down-Fill-Quilted-Vest</t>
        </is>
      </c>
      <c r="O1993" s="7" t="inlineStr">
        <is>
          <t>Puffer Jackets, Vests</t>
        </is>
      </c>
    </row>
    <row r="1994" ht="80" customHeight="1">
      <c r="A1994" s="4">
        <f>IMAGE("https://images.lululemon.com/is/image/lululemon/LW4CMKS_036865_1?wid=320&amp;op_usm=0.8",1)</f>
        <v/>
      </c>
      <c r="B1994" s="4" t="inlineStr">
        <is>
          <t>Women's Featherweight 900-Down-Fill Quilted Vest</t>
        </is>
      </c>
      <c r="C1994" s="4" t="inlineStr">
        <is>
          <t>158035494</t>
        </is>
      </c>
      <c r="D1994" s="4" t="inlineStr">
        <is>
          <t>158035494-blackplum</t>
        </is>
      </c>
      <c r="E1994" s="4" t="inlineStr">
        <is>
          <t>Featherweight Down Quilted Vest DVGY XXS</t>
        </is>
      </c>
      <c r="F1994" s="4" t="inlineStr">
        <is>
          <t>$248.00</t>
        </is>
      </c>
      <c r="G1994" s="4" t="inlineStr">
        <is>
          <t>$124.00</t>
        </is>
      </c>
      <c r="H1994" s="4" t="inlineStr">
        <is>
          <t>Black Plum</t>
        </is>
      </c>
      <c r="I1994" s="4">
        <f>IMAGE("https://images.lululemon.com/is/image/lululemon/34697",1)</f>
        <v/>
      </c>
      <c r="J1994" s="4" t="inlineStr">
        <is>
          <t>XL</t>
        </is>
      </c>
      <c r="K1994" s="4" t="inlineStr">
        <is>
          <t>25/864</t>
        </is>
      </c>
      <c r="L1994" s="4" t="inlineStr">
        <is>
          <t>Yes</t>
        </is>
      </c>
      <c r="M1994" s="4" t="inlineStr">
        <is>
          <t>Seasonless. Filled with premium 900-fill-power down, this packable vest delivers light warmth that feels practically weightless—layer it under a shell or over cozy sweaters when the chill sets in.​</t>
        </is>
      </c>
      <c r="N1994" s="4" t="inlineStr">
        <is>
          <t>W-Featherweight-900-Down-Fill-Quilted-Vest</t>
        </is>
      </c>
      <c r="O1994" s="4" t="inlineStr">
        <is>
          <t>Puffer Jackets, Vests</t>
        </is>
      </c>
    </row>
    <row r="1995" ht="80" customHeight="1">
      <c r="A1995" s="7">
        <f>IMAGE("https://images.lululemon.com/is/image/lululemon/LW4CMKS_036865_1?wid=320&amp;op_usm=0.8",1)</f>
        <v/>
      </c>
      <c r="B1995" s="7" t="inlineStr">
        <is>
          <t>Women's Featherweight 900-Down-Fill Quilted Vest</t>
        </is>
      </c>
      <c r="C1995" s="7" t="inlineStr">
        <is>
          <t>158119753</t>
        </is>
      </c>
      <c r="D1995" s="7" t="inlineStr">
        <is>
          <t>158119753-black</t>
        </is>
      </c>
      <c r="E1995" s="7" t="inlineStr">
        <is>
          <t>Featherweight Down Quilted Vest DVGY XXS</t>
        </is>
      </c>
      <c r="F1995" s="7" t="inlineStr">
        <is>
          <t>$248.00</t>
        </is>
      </c>
      <c r="G1995" s="7" t="inlineStr">
        <is>
          <t>$124.00</t>
        </is>
      </c>
      <c r="H1995" s="7" t="inlineStr">
        <is>
          <t>Black</t>
        </is>
      </c>
      <c r="I1995" s="7">
        <f>IMAGE("https://images.lululemon.com/is/image/lululemon/0001",1)</f>
        <v/>
      </c>
      <c r="J1995" s="7" t="inlineStr">
        <is>
          <t>XS</t>
        </is>
      </c>
      <c r="K1995" s="7" t="inlineStr">
        <is>
          <t>13/864</t>
        </is>
      </c>
      <c r="L1995" s="7" t="inlineStr">
        <is>
          <t>Yes</t>
        </is>
      </c>
      <c r="M1995" s="7" t="inlineStr">
        <is>
          <t>Seasonless. Filled with premium 900-fill-power down, this packable vest delivers light warmth that feels practically weightless—layer it under a shell or over cozy sweaters when the chill sets in.​</t>
        </is>
      </c>
      <c r="N1995" s="7" t="inlineStr">
        <is>
          <t>W-Featherweight-900-Down-Fill-Quilted-Vest</t>
        </is>
      </c>
      <c r="O1995" s="7" t="inlineStr">
        <is>
          <t>Puffer Jackets, Vests</t>
        </is>
      </c>
    </row>
    <row r="1996" ht="80" customHeight="1">
      <c r="A1996" s="4">
        <f>IMAGE("https://images.lululemon.com/is/image/lululemon/LW4CMKS_036865_1?wid=320&amp;op_usm=0.8",1)</f>
        <v/>
      </c>
      <c r="B1996" s="4" t="inlineStr">
        <is>
          <t>Women's Featherweight 900-Down-Fill Quilted Vest</t>
        </is>
      </c>
      <c r="C1996" s="4" t="inlineStr">
        <is>
          <t>158119739</t>
        </is>
      </c>
      <c r="D1996" s="4" t="inlineStr">
        <is>
          <t>158119739-black</t>
        </is>
      </c>
      <c r="E1996" s="4" t="inlineStr">
        <is>
          <t>Featherweight Down Quilted Vest DVGY XXS</t>
        </is>
      </c>
      <c r="F1996" s="4" t="inlineStr">
        <is>
          <t>$248.00</t>
        </is>
      </c>
      <c r="G1996" s="4" t="inlineStr">
        <is>
          <t>$124.00</t>
        </is>
      </c>
      <c r="H1996" s="4" t="inlineStr">
        <is>
          <t>Black</t>
        </is>
      </c>
      <c r="I1996" s="4">
        <f>IMAGE("https://images.lululemon.com/is/image/lululemon/0001",1)</f>
        <v/>
      </c>
      <c r="J1996" s="4" t="inlineStr">
        <is>
          <t>S</t>
        </is>
      </c>
      <c r="K1996" s="4" t="inlineStr">
        <is>
          <t>39/864</t>
        </is>
      </c>
      <c r="L1996" s="4" t="inlineStr">
        <is>
          <t>Yes</t>
        </is>
      </c>
      <c r="M1996" s="4" t="inlineStr">
        <is>
          <t>Seasonless. Filled with premium 900-fill-power down, this packable vest delivers light warmth that feels practically weightless—layer it under a shell or over cozy sweaters when the chill sets in.​</t>
        </is>
      </c>
      <c r="N1996" s="4" t="inlineStr">
        <is>
          <t>W-Featherweight-900-Down-Fill-Quilted-Vest</t>
        </is>
      </c>
      <c r="O1996" s="4" t="inlineStr">
        <is>
          <t>Puffer Jackets, Vests</t>
        </is>
      </c>
    </row>
    <row r="1997" ht="80" customHeight="1">
      <c r="A1997" s="7">
        <f>IMAGE("https://images.lululemon.com/is/image/lululemon/LW4CMKS_036865_1?wid=320&amp;op_usm=0.8",1)</f>
        <v/>
      </c>
      <c r="B1997" s="7" t="inlineStr">
        <is>
          <t>Women's Featherweight 900-Down-Fill Quilted Vest</t>
        </is>
      </c>
      <c r="C1997" s="7" t="inlineStr">
        <is>
          <t>158119732</t>
        </is>
      </c>
      <c r="D1997" s="7" t="inlineStr">
        <is>
          <t>158119732-black</t>
        </is>
      </c>
      <c r="E1997" s="7" t="inlineStr">
        <is>
          <t>Featherweight Down Quilted Vest DVGY XXS</t>
        </is>
      </c>
      <c r="F1997" s="7" t="inlineStr">
        <is>
          <t>$248.00</t>
        </is>
      </c>
      <c r="G1997" s="7" t="inlineStr">
        <is>
          <t>$124.00</t>
        </is>
      </c>
      <c r="H1997" s="7" t="inlineStr">
        <is>
          <t>Black</t>
        </is>
      </c>
      <c r="I1997" s="7">
        <f>IMAGE("https://images.lululemon.com/is/image/lululemon/0001",1)</f>
        <v/>
      </c>
      <c r="J1997" s="7" t="inlineStr">
        <is>
          <t>M</t>
        </is>
      </c>
      <c r="K1997" s="7" t="inlineStr">
        <is>
          <t>50/864</t>
        </is>
      </c>
      <c r="L1997" s="7" t="inlineStr">
        <is>
          <t>Yes</t>
        </is>
      </c>
      <c r="M1997" s="7" t="inlineStr">
        <is>
          <t>Seasonless. Filled with premium 900-fill-power down, this packable vest delivers light warmth that feels practically weightless—layer it under a shell or over cozy sweaters when the chill sets in.​</t>
        </is>
      </c>
      <c r="N1997" s="7" t="inlineStr">
        <is>
          <t>W-Featherweight-900-Down-Fill-Quilted-Vest</t>
        </is>
      </c>
      <c r="O1997" s="7" t="inlineStr">
        <is>
          <t>Puffer Jackets, Vests</t>
        </is>
      </c>
    </row>
    <row r="1998" ht="80" customHeight="1">
      <c r="A1998" s="4">
        <f>IMAGE("https://images.lululemon.com/is/image/lululemon/LW4CMKS_036865_1?wid=320&amp;op_usm=0.8",1)</f>
        <v/>
      </c>
      <c r="B1998" s="4" t="inlineStr">
        <is>
          <t>Women's Featherweight 900-Down-Fill Quilted Vest</t>
        </is>
      </c>
      <c r="C1998" s="4" t="inlineStr">
        <is>
          <t>158119725</t>
        </is>
      </c>
      <c r="D1998" s="4" t="inlineStr">
        <is>
          <t>158119725-black</t>
        </is>
      </c>
      <c r="E1998" s="4" t="inlineStr">
        <is>
          <t>Featherweight Down Quilted Vest DVGY XXS</t>
        </is>
      </c>
      <c r="F1998" s="4" t="inlineStr">
        <is>
          <t>$248.00</t>
        </is>
      </c>
      <c r="G1998" s="4" t="inlineStr">
        <is>
          <t>$124.00</t>
        </is>
      </c>
      <c r="H1998" s="4" t="inlineStr">
        <is>
          <t>Black</t>
        </is>
      </c>
      <c r="I1998" s="4">
        <f>IMAGE("https://images.lululemon.com/is/image/lululemon/0001",1)</f>
        <v/>
      </c>
      <c r="J1998" s="4" t="inlineStr">
        <is>
          <t>L</t>
        </is>
      </c>
      <c r="K1998" s="4" t="inlineStr">
        <is>
          <t>37/864</t>
        </is>
      </c>
      <c r="L1998" s="4" t="inlineStr">
        <is>
          <t>Yes</t>
        </is>
      </c>
      <c r="M1998" s="4" t="inlineStr">
        <is>
          <t>Seasonless. Filled with premium 900-fill-power down, this packable vest delivers light warmth that feels practically weightless—layer it under a shell or over cozy sweaters when the chill sets in.​</t>
        </is>
      </c>
      <c r="N1998" s="4" t="inlineStr">
        <is>
          <t>W-Featherweight-900-Down-Fill-Quilted-Vest</t>
        </is>
      </c>
      <c r="O1998" s="4" t="inlineStr">
        <is>
          <t>Puffer Jackets, Vests</t>
        </is>
      </c>
    </row>
    <row r="1999" ht="80" customHeight="1">
      <c r="A1999" s="5">
        <f>IMAGE("https://images.lululemon.com/is/image/lululemon/LW4CMKS_036865_1?wid=320&amp;op_usm=0.8",1)</f>
        <v/>
      </c>
      <c r="B1999" s="5" t="inlineStr">
        <is>
          <t>Women's Featherweight 900-Down-Fill Quilted Vest</t>
        </is>
      </c>
      <c r="C1999" s="5" t="inlineStr">
        <is>
          <t>158119746</t>
        </is>
      </c>
      <c r="D1999" s="5" t="inlineStr">
        <is>
          <t>158119746-black</t>
        </is>
      </c>
      <c r="E1999" s="5" t="inlineStr">
        <is>
          <t>Featherweight Down Quilted Vest DVGY XXS</t>
        </is>
      </c>
      <c r="F1999" s="5" t="inlineStr">
        <is>
          <t>$248.00</t>
        </is>
      </c>
      <c r="G1999" s="5" t="inlineStr">
        <is>
          <t>$124.00</t>
        </is>
      </c>
      <c r="H1999" s="5" t="inlineStr">
        <is>
          <t>Black</t>
        </is>
      </c>
      <c r="I1999" s="5">
        <f>IMAGE("https://images.lululemon.com/is/image/lululemon/0001",1)</f>
        <v/>
      </c>
      <c r="J1999" s="5" t="inlineStr">
        <is>
          <t>XL</t>
        </is>
      </c>
      <c r="K1999" s="5" t="inlineStr">
        <is>
          <t>18/864</t>
        </is>
      </c>
      <c r="L1999" s="5" t="inlineStr">
        <is>
          <t>Yes</t>
        </is>
      </c>
      <c r="M1999" s="5" t="inlineStr">
        <is>
          <t>Seasonless. Filled with premium 900-fill-power down, this packable vest delivers light warmth that feels practically weightless—layer it under a shell or over cozy sweaters when the chill sets in.​</t>
        </is>
      </c>
      <c r="N1999" s="5" t="inlineStr">
        <is>
          <t>W-Featherweight-900-Down-Fill-Quilted-Vest</t>
        </is>
      </c>
      <c r="O1999" s="5" t="inlineStr">
        <is>
          <t>Puffer Jackets, Vests</t>
        </is>
      </c>
    </row>
    <row r="2000" ht="80" customHeight="1">
      <c r="A2000" s="4">
        <f>IMAGE("https://images.lululemon.com/is/image/lululemon/LW5EPSS_0001_1?wid=320&amp;op_usm=0.8",1)</f>
        <v/>
      </c>
      <c r="B2000" s="4" t="inlineStr">
        <is>
          <t>Wunder Train High-Rise Tight with Pockets 25"</t>
        </is>
      </c>
      <c r="C2000" s="4" t="inlineStr">
        <is>
          <t>144408089</t>
        </is>
      </c>
      <c r="D2000" s="4" t="inlineStr">
        <is>
          <t>144408089-black</t>
        </is>
      </c>
      <c r="E2000" s="4" t="inlineStr">
        <is>
          <t>Wunder Train HR Tight 25" *Pockets BLK 0</t>
        </is>
      </c>
      <c r="F2000" s="4" t="inlineStr">
        <is>
          <t>$128.00</t>
        </is>
      </c>
      <c r="G2000" s="4" t="inlineStr">
        <is>
          <t>$64.00</t>
        </is>
      </c>
      <c r="H2000" s="4" t="inlineStr">
        <is>
          <t>Black</t>
        </is>
      </c>
      <c r="I2000" s="4">
        <f>IMAGE("https://images.lululemon.com/is/image/lululemon/0001",1)</f>
        <v/>
      </c>
      <c r="J2000" s="4" t="inlineStr">
        <is>
          <t>0</t>
        </is>
      </c>
      <c r="K2000" s="4" t="inlineStr">
        <is>
          <t>197/2736</t>
        </is>
      </c>
      <c r="L2000" s="4" t="inlineStr">
        <is>
          <t>Yes</t>
        </is>
      </c>
      <c r="M2000" s="4" t="inlineStr">
        <is>
          <t>Train hard, not hot. Made from Everlux™ fabric, this pocketed version of our Wunder Train collection lets you get sweaty, stay focused, and keep workout essentials close.</t>
        </is>
      </c>
      <c r="N2000" s="4" t="inlineStr">
        <is>
          <t>Wunder-Train-HR-Tight-Pockets-25</t>
        </is>
      </c>
      <c r="O2000" s="4" t="inlineStr"/>
    </row>
    <row r="2001" ht="80" customHeight="1">
      <c r="A2001" s="7">
        <f>IMAGE("https://images.lululemon.com/is/image/lululemon/LW5EPSS_0001_1?wid=320&amp;op_usm=0.8",1)</f>
        <v/>
      </c>
      <c r="B2001" s="7" t="inlineStr">
        <is>
          <t>Wunder Train High-Rise Tight with Pockets 25"</t>
        </is>
      </c>
      <c r="C2001" s="7" t="inlineStr">
        <is>
          <t>144408099</t>
        </is>
      </c>
      <c r="D2001" s="7" t="inlineStr">
        <is>
          <t>144408099-black</t>
        </is>
      </c>
      <c r="E2001" s="7" t="inlineStr">
        <is>
          <t>Wunder Train HR Tight 25" *Pockets BLK 0</t>
        </is>
      </c>
      <c r="F2001" s="7" t="inlineStr">
        <is>
          <t>$128.00</t>
        </is>
      </c>
      <c r="G2001" s="7" t="inlineStr">
        <is>
          <t>$64.00</t>
        </is>
      </c>
      <c r="H2001" s="7" t="inlineStr">
        <is>
          <t>Black</t>
        </is>
      </c>
      <c r="I2001" s="7">
        <f>IMAGE("https://images.lululemon.com/is/image/lululemon/0001",1)</f>
        <v/>
      </c>
      <c r="J2001" s="7" t="inlineStr">
        <is>
          <t>2</t>
        </is>
      </c>
      <c r="K2001" s="7" t="inlineStr">
        <is>
          <t>800/2736</t>
        </is>
      </c>
      <c r="L2001" s="7" t="inlineStr">
        <is>
          <t>Yes</t>
        </is>
      </c>
      <c r="M2001" s="7" t="inlineStr">
        <is>
          <t>Train hard, not hot. Made from Everlux™ fabric, this pocketed version of our Wunder Train collection lets you get sweaty, stay focused, and keep workout essentials close.</t>
        </is>
      </c>
      <c r="N2001" s="7" t="inlineStr">
        <is>
          <t>Wunder-Train-HR-Tight-Pockets-25</t>
        </is>
      </c>
      <c r="O2001" s="7" t="inlineStr"/>
    </row>
    <row r="2002" ht="80" customHeight="1">
      <c r="A2002" s="4">
        <f>IMAGE("https://images.lululemon.com/is/image/lululemon/LW5EPSS_0001_1?wid=320&amp;op_usm=0.8",1)</f>
        <v/>
      </c>
      <c r="B2002" s="4" t="inlineStr">
        <is>
          <t>Wunder Train High-Rise Tight with Pockets 25"</t>
        </is>
      </c>
      <c r="C2002" s="4" t="inlineStr">
        <is>
          <t>144408108</t>
        </is>
      </c>
      <c r="D2002" s="4" t="inlineStr">
        <is>
          <t>144408108-black</t>
        </is>
      </c>
      <c r="E2002" s="4" t="inlineStr">
        <is>
          <t>Wunder Train HR Tight 25" *Pockets BLK 0</t>
        </is>
      </c>
      <c r="F2002" s="4" t="inlineStr">
        <is>
          <t>$128.00</t>
        </is>
      </c>
      <c r="G2002" s="4" t="inlineStr">
        <is>
          <t>$64.00</t>
        </is>
      </c>
      <c r="H2002" s="4" t="inlineStr">
        <is>
          <t>Black</t>
        </is>
      </c>
      <c r="I2002" s="4">
        <f>IMAGE("https://images.lululemon.com/is/image/lululemon/0001",1)</f>
        <v/>
      </c>
      <c r="J2002" s="4" t="inlineStr">
        <is>
          <t>4</t>
        </is>
      </c>
      <c r="K2002" s="4" t="inlineStr">
        <is>
          <t>935/2736</t>
        </is>
      </c>
      <c r="L2002" s="4" t="inlineStr">
        <is>
          <t>Yes</t>
        </is>
      </c>
      <c r="M2002" s="4" t="inlineStr">
        <is>
          <t>Train hard, not hot. Made from Everlux™ fabric, this pocketed version of our Wunder Train collection lets you get sweaty, stay focused, and keep workout essentials close.</t>
        </is>
      </c>
      <c r="N2002" s="4" t="inlineStr">
        <is>
          <t>Wunder-Train-HR-Tight-Pockets-25</t>
        </is>
      </c>
      <c r="O2002" s="4" t="inlineStr"/>
    </row>
    <row r="2003" ht="80" customHeight="1">
      <c r="A2003" s="7">
        <f>IMAGE("https://images.lululemon.com/is/image/lululemon/LW5EPSS_0001_1?wid=320&amp;op_usm=0.8",1)</f>
        <v/>
      </c>
      <c r="B2003" s="7" t="inlineStr">
        <is>
          <t>Wunder Train High-Rise Tight with Pockets 25"</t>
        </is>
      </c>
      <c r="C2003" s="7" t="inlineStr">
        <is>
          <t>144408110</t>
        </is>
      </c>
      <c r="D2003" s="7" t="inlineStr">
        <is>
          <t>144408110-black</t>
        </is>
      </c>
      <c r="E2003" s="7" t="inlineStr">
        <is>
          <t>Wunder Train HR Tight 25" *Pockets BLK 0</t>
        </is>
      </c>
      <c r="F2003" s="7" t="inlineStr">
        <is>
          <t>$128.00</t>
        </is>
      </c>
      <c r="G2003" s="7" t="inlineStr">
        <is>
          <t>$64.00</t>
        </is>
      </c>
      <c r="H2003" s="7" t="inlineStr">
        <is>
          <t>Black</t>
        </is>
      </c>
      <c r="I2003" s="7">
        <f>IMAGE("https://images.lululemon.com/is/image/lululemon/0001",1)</f>
        <v/>
      </c>
      <c r="J2003" s="7" t="inlineStr">
        <is>
          <t>6</t>
        </is>
      </c>
      <c r="K2003" s="7" t="inlineStr">
        <is>
          <t>557/2736</t>
        </is>
      </c>
      <c r="L2003" s="7" t="inlineStr">
        <is>
          <t>Yes</t>
        </is>
      </c>
      <c r="M2003" s="7" t="inlineStr">
        <is>
          <t>Train hard, not hot. Made from Everlux™ fabric, this pocketed version of our Wunder Train collection lets you get sweaty, stay focused, and keep workout essentials close.</t>
        </is>
      </c>
      <c r="N2003" s="7" t="inlineStr">
        <is>
          <t>Wunder-Train-HR-Tight-Pockets-25</t>
        </is>
      </c>
      <c r="O2003" s="7" t="inlineStr"/>
    </row>
    <row r="2004" ht="80" customHeight="1">
      <c r="A2004" s="4">
        <f>IMAGE("https://images.lululemon.com/is/image/lululemon/LW5EPSS_0001_1?wid=320&amp;op_usm=0.8",1)</f>
        <v/>
      </c>
      <c r="B2004" s="4" t="inlineStr">
        <is>
          <t>Wunder Train High-Rise Tight with Pockets 25"</t>
        </is>
      </c>
      <c r="C2004" s="4" t="inlineStr">
        <is>
          <t>144408111</t>
        </is>
      </c>
      <c r="D2004" s="4" t="inlineStr">
        <is>
          <t>144408111-black</t>
        </is>
      </c>
      <c r="E2004" s="4" t="inlineStr">
        <is>
          <t>Wunder Train HR Tight 25" *Pockets BLK 0</t>
        </is>
      </c>
      <c r="F2004" s="4" t="inlineStr">
        <is>
          <t>$128.00</t>
        </is>
      </c>
      <c r="G2004" s="4" t="inlineStr">
        <is>
          <t>$64.00</t>
        </is>
      </c>
      <c r="H2004" s="4" t="inlineStr">
        <is>
          <t>Black</t>
        </is>
      </c>
      <c r="I2004" s="4">
        <f>IMAGE("https://images.lululemon.com/is/image/lululemon/0001",1)</f>
        <v/>
      </c>
      <c r="J2004" s="4" t="inlineStr">
        <is>
          <t>8</t>
        </is>
      </c>
      <c r="K2004" s="4" t="inlineStr">
        <is>
          <t>135/2736</t>
        </is>
      </c>
      <c r="L2004" s="4" t="inlineStr">
        <is>
          <t>Yes</t>
        </is>
      </c>
      <c r="M2004" s="4" t="inlineStr">
        <is>
          <t>Train hard, not hot. Made from Everlux™ fabric, this pocketed version of our Wunder Train collection lets you get sweaty, stay focused, and keep workout essentials close.</t>
        </is>
      </c>
      <c r="N2004" s="4" t="inlineStr">
        <is>
          <t>Wunder-Train-HR-Tight-Pockets-25</t>
        </is>
      </c>
      <c r="O2004" s="4" t="inlineStr"/>
    </row>
    <row r="2005" ht="80" customHeight="1">
      <c r="A2005" s="7">
        <f>IMAGE("https://images.lululemon.com/is/image/lululemon/LW5EPSS_0001_1?wid=320&amp;op_usm=0.8",1)</f>
        <v/>
      </c>
      <c r="B2005" s="7" t="inlineStr">
        <is>
          <t>Wunder Train High-Rise Tight with Pockets 25"</t>
        </is>
      </c>
      <c r="C2005" s="7" t="inlineStr">
        <is>
          <t>144408090</t>
        </is>
      </c>
      <c r="D2005" s="7" t="inlineStr">
        <is>
          <t>144408090-black</t>
        </is>
      </c>
      <c r="E2005" s="7" t="inlineStr">
        <is>
          <t>Wunder Train HR Tight 25" *Pockets BLK 0</t>
        </is>
      </c>
      <c r="F2005" s="7" t="inlineStr">
        <is>
          <t>$128.00</t>
        </is>
      </c>
      <c r="G2005" s="7" t="inlineStr">
        <is>
          <t>$64.00</t>
        </is>
      </c>
      <c r="H2005" s="7" t="inlineStr">
        <is>
          <t>Black</t>
        </is>
      </c>
      <c r="I2005" s="7">
        <f>IMAGE("https://images.lululemon.com/is/image/lululemon/0001",1)</f>
        <v/>
      </c>
      <c r="J2005" s="7" t="inlineStr">
        <is>
          <t>10</t>
        </is>
      </c>
      <c r="K2005" s="7" t="inlineStr">
        <is>
          <t>38/2736</t>
        </is>
      </c>
      <c r="L2005" s="7" t="inlineStr">
        <is>
          <t>Yes</t>
        </is>
      </c>
      <c r="M2005" s="7" t="inlineStr">
        <is>
          <t>Train hard, not hot. Made from Everlux™ fabric, this pocketed version of our Wunder Train collection lets you get sweaty, stay focused, and keep workout essentials close.</t>
        </is>
      </c>
      <c r="N2005" s="7" t="inlineStr">
        <is>
          <t>Wunder-Train-HR-Tight-Pockets-25</t>
        </is>
      </c>
      <c r="O2005" s="7" t="inlineStr"/>
    </row>
    <row r="2006" ht="80" customHeight="1">
      <c r="A2006" s="4">
        <f>IMAGE("https://images.lululemon.com/is/image/lululemon/LW5EPSS_0001_1?wid=320&amp;op_usm=0.8",1)</f>
        <v/>
      </c>
      <c r="B2006" s="4" t="inlineStr">
        <is>
          <t>Wunder Train High-Rise Tight with Pockets 25"</t>
        </is>
      </c>
      <c r="C2006" s="4" t="inlineStr">
        <is>
          <t>144408092</t>
        </is>
      </c>
      <c r="D2006" s="4" t="inlineStr">
        <is>
          <t>144408092-black</t>
        </is>
      </c>
      <c r="E2006" s="4" t="inlineStr">
        <is>
          <t>Wunder Train HR Tight 25" *Pockets BLK 0</t>
        </is>
      </c>
      <c r="F2006" s="4" t="inlineStr">
        <is>
          <t>$128.00</t>
        </is>
      </c>
      <c r="G2006" s="4" t="inlineStr">
        <is>
          <t>$64.00</t>
        </is>
      </c>
      <c r="H2006" s="4" t="inlineStr">
        <is>
          <t>Black</t>
        </is>
      </c>
      <c r="I2006" s="4">
        <f>IMAGE("https://images.lululemon.com/is/image/lululemon/0001",1)</f>
        <v/>
      </c>
      <c r="J2006" s="4" t="inlineStr">
        <is>
          <t>12</t>
        </is>
      </c>
      <c r="K2006" s="4" t="inlineStr">
        <is>
          <t>4/2736</t>
        </is>
      </c>
      <c r="L2006" s="4" t="inlineStr">
        <is>
          <t>Yes</t>
        </is>
      </c>
      <c r="M2006" s="4" t="inlineStr">
        <is>
          <t>Train hard, not hot. Made from Everlux™ fabric, this pocketed version of our Wunder Train collection lets you get sweaty, stay focused, and keep workout essentials close.</t>
        </is>
      </c>
      <c r="N2006" s="4" t="inlineStr">
        <is>
          <t>Wunder-Train-HR-Tight-Pockets-25</t>
        </is>
      </c>
      <c r="O2006" s="4" t="inlineStr"/>
    </row>
    <row r="2007" ht="80" customHeight="1">
      <c r="A2007" s="7">
        <f>IMAGE("https://images.lululemon.com/is/image/lululemon/LW5EPSS_0001_1?wid=320&amp;op_usm=0.8",1)</f>
        <v/>
      </c>
      <c r="B2007" s="7" t="inlineStr">
        <is>
          <t>Wunder Train High-Rise Tight with Pockets 25"</t>
        </is>
      </c>
      <c r="C2007" s="7" t="inlineStr">
        <is>
          <t>147025424</t>
        </is>
      </c>
      <c r="D2007" s="7" t="inlineStr">
        <is>
          <t>147025424-graphitegrey</t>
        </is>
      </c>
      <c r="E2007" s="7" t="inlineStr">
        <is>
          <t>Wunder Train HR Tight 25" *Pockets BLK 0</t>
        </is>
      </c>
      <c r="F2007" s="7" t="inlineStr">
        <is>
          <t>$128.00</t>
        </is>
      </c>
      <c r="G2007" s="7" t="inlineStr">
        <is>
          <t>$64.00</t>
        </is>
      </c>
      <c r="H2007" s="7" t="inlineStr">
        <is>
          <t>Graphite Grey</t>
        </is>
      </c>
      <c r="I2007" s="7">
        <f>IMAGE("https://images.lululemon.com/is/image/lululemon/30210",1)</f>
        <v/>
      </c>
      <c r="J2007" s="7" t="inlineStr">
        <is>
          <t>4</t>
        </is>
      </c>
      <c r="K2007" s="7" t="inlineStr">
        <is>
          <t>11/2736</t>
        </is>
      </c>
      <c r="L2007" s="7" t="inlineStr">
        <is>
          <t>Yes</t>
        </is>
      </c>
      <c r="M2007" s="7" t="inlineStr">
        <is>
          <t>Train hard, not hot. Made from Everlux™ fabric, this pocketed version of our Wunder Train collection lets you get sweaty, stay focused, and keep workout essentials close.</t>
        </is>
      </c>
      <c r="N2007" s="7" t="inlineStr">
        <is>
          <t>Wunder-Train-HR-Tight-Pockets-25</t>
        </is>
      </c>
      <c r="O2007" s="7" t="inlineStr"/>
    </row>
    <row r="2008" ht="80" customHeight="1">
      <c r="A2008" s="4">
        <f>IMAGE("https://images.lululemon.com/is/image/lululemon/LW5EPSS_0001_1?wid=320&amp;op_usm=0.8",1)</f>
        <v/>
      </c>
      <c r="B2008" s="4" t="inlineStr">
        <is>
          <t>Wunder Train High-Rise Tight with Pockets 25"</t>
        </is>
      </c>
      <c r="C2008" s="4" t="inlineStr">
        <is>
          <t>158035162</t>
        </is>
      </c>
      <c r="D2008" s="4" t="inlineStr">
        <is>
          <t>158035162-blackplum</t>
        </is>
      </c>
      <c r="E2008" s="4" t="inlineStr">
        <is>
          <t>Wunder Train HR Tight 25" *Pockets BLK 0</t>
        </is>
      </c>
      <c r="F2008" s="4" t="inlineStr">
        <is>
          <t>$128.00</t>
        </is>
      </c>
      <c r="G2008" s="4" t="inlineStr">
        <is>
          <t>$64.00</t>
        </is>
      </c>
      <c r="H2008" s="4" t="inlineStr">
        <is>
          <t>Black Plum</t>
        </is>
      </c>
      <c r="I2008" s="4">
        <f>IMAGE("https://images.lululemon.com/is/image/lululemon/34697",1)</f>
        <v/>
      </c>
      <c r="J2008" s="4" t="inlineStr">
        <is>
          <t>4</t>
        </is>
      </c>
      <c r="K2008" s="4" t="inlineStr">
        <is>
          <t>42/2736</t>
        </is>
      </c>
      <c r="L2008" s="4" t="inlineStr">
        <is>
          <t>Yes</t>
        </is>
      </c>
      <c r="M2008" s="4" t="inlineStr">
        <is>
          <t>Train hard, not hot. Made from Everlux™ fabric, this pocketed version of our Wunder Train collection lets you get sweaty, stay focused, and keep workout essentials close.</t>
        </is>
      </c>
      <c r="N2008" s="4" t="inlineStr">
        <is>
          <t>Wunder-Train-HR-Tight-Pockets-25</t>
        </is>
      </c>
      <c r="O2008" s="4" t="inlineStr"/>
    </row>
    <row r="2009" ht="80" customHeight="1">
      <c r="A2009" s="5">
        <f>IMAGE("https://images.lululemon.com/is/image/lululemon/LW5EPSS_0001_1?wid=320&amp;op_usm=0.8",1)</f>
        <v/>
      </c>
      <c r="B2009" s="5" t="inlineStr">
        <is>
          <t>Wunder Train High-Rise Tight with Pockets 25"</t>
        </is>
      </c>
      <c r="C2009" s="5" t="inlineStr">
        <is>
          <t>158035163</t>
        </is>
      </c>
      <c r="D2009" s="5" t="inlineStr">
        <is>
          <t>158035163-blackplum</t>
        </is>
      </c>
      <c r="E2009" s="5" t="inlineStr">
        <is>
          <t>Wunder Train HR Tight 25" *Pockets BLK 0</t>
        </is>
      </c>
      <c r="F2009" s="5" t="inlineStr">
        <is>
          <t>$128.00</t>
        </is>
      </c>
      <c r="G2009" s="5" t="inlineStr">
        <is>
          <t>$64.00</t>
        </is>
      </c>
      <c r="H2009" s="5" t="inlineStr">
        <is>
          <t>Black Plum</t>
        </is>
      </c>
      <c r="I2009" s="5">
        <f>IMAGE("https://images.lululemon.com/is/image/lululemon/34697",1)</f>
        <v/>
      </c>
      <c r="J2009" s="5" t="inlineStr">
        <is>
          <t>6</t>
        </is>
      </c>
      <c r="K2009" s="5" t="inlineStr">
        <is>
          <t>17/2736</t>
        </is>
      </c>
      <c r="L2009" s="5" t="inlineStr">
        <is>
          <t>Yes</t>
        </is>
      </c>
      <c r="M2009" s="5" t="inlineStr">
        <is>
          <t>Train hard, not hot. Made from Everlux™ fabric, this pocketed version of our Wunder Train collection lets you get sweaty, stay focused, and keep workout essentials close.</t>
        </is>
      </c>
      <c r="N2009" s="5" t="inlineStr">
        <is>
          <t>Wunder-Train-HR-Tight-Pockets-25</t>
        </is>
      </c>
      <c r="O2009" s="5" t="inlineStr"/>
    </row>
    <row r="2010" ht="80" customHeight="1">
      <c r="A2010" s="4">
        <f>IMAGE("https://images.lululemon.com/is/image/lululemon/LW3DI1S_032493_1?wid=320&amp;op_usm=0.8",1)</f>
        <v/>
      </c>
      <c r="B2010" s="4" t="inlineStr">
        <is>
          <t>Cates T-Shirt</t>
        </is>
      </c>
      <c r="C2010" s="4" t="inlineStr">
        <is>
          <t>119800060</t>
        </is>
      </c>
      <c r="D2010" s="4" t="inlineStr">
        <is>
          <t>119800060-heatheredcoreultralightgrey</t>
        </is>
      </c>
      <c r="E2010" s="4" t="inlineStr">
        <is>
          <t>Cates Tee HCUG 2</t>
        </is>
      </c>
      <c r="F2010" s="4" t="inlineStr">
        <is>
          <t>$48.00</t>
        </is>
      </c>
      <c r="G2010" s="4" t="inlineStr">
        <is>
          <t>$24.00</t>
        </is>
      </c>
      <c r="H2010" s="4" t="inlineStr">
        <is>
          <t>Heathered Core Ultra Light Grey</t>
        </is>
      </c>
      <c r="I2010" s="4">
        <f>IMAGE("https://images.lululemon.com/is/image/lululemon/32493",1)</f>
        <v/>
      </c>
      <c r="J2010" s="4" t="inlineStr">
        <is>
          <t>2</t>
        </is>
      </c>
      <c r="K2010" s="4" t="inlineStr">
        <is>
          <t>4/11</t>
        </is>
      </c>
      <c r="L2010" s="4" t="inlineStr">
        <is>
          <t>Yes</t>
        </is>
      </c>
      <c r="M2010" s="4" t="inlineStr">
        <is>
          <t>Feel that post-practice bliss all day long in this soft, lightweight tee.</t>
        </is>
      </c>
      <c r="N2010" s="4" t="inlineStr">
        <is>
          <t>Cates-Tee</t>
        </is>
      </c>
      <c r="O2010" s="4" t="inlineStr"/>
    </row>
    <row r="2011" ht="80" customHeight="1">
      <c r="A2011" s="7">
        <f>IMAGE("https://images.lululemon.com/is/image/lululemon/LW3DI1S_032493_1?wid=320&amp;op_usm=0.8",1)</f>
        <v/>
      </c>
      <c r="B2011" s="7" t="inlineStr">
        <is>
          <t>Cates T-Shirt</t>
        </is>
      </c>
      <c r="C2011" s="7" t="inlineStr">
        <is>
          <t>119800067</t>
        </is>
      </c>
      <c r="D2011" s="7" t="inlineStr">
        <is>
          <t>119800067-heatheredcoreultralightgrey</t>
        </is>
      </c>
      <c r="E2011" s="7" t="inlineStr">
        <is>
          <t>Cates Tee HCUG 2</t>
        </is>
      </c>
      <c r="F2011" s="7" t="inlineStr">
        <is>
          <t>$48.00</t>
        </is>
      </c>
      <c r="G2011" s="7" t="inlineStr">
        <is>
          <t>$24.00</t>
        </is>
      </c>
      <c r="H2011" s="7" t="inlineStr">
        <is>
          <t>Heathered Core Ultra Light Grey</t>
        </is>
      </c>
      <c r="I2011" s="7">
        <f>IMAGE("https://images.lululemon.com/is/image/lululemon/32493",1)</f>
        <v/>
      </c>
      <c r="J2011" s="7" t="inlineStr">
        <is>
          <t>6</t>
        </is>
      </c>
      <c r="K2011" s="7" t="inlineStr">
        <is>
          <t>6/11</t>
        </is>
      </c>
      <c r="L2011" s="7" t="inlineStr">
        <is>
          <t>Yes</t>
        </is>
      </c>
      <c r="M2011" s="7" t="inlineStr">
        <is>
          <t>Feel that post-practice bliss all day long in this soft, lightweight tee.</t>
        </is>
      </c>
      <c r="N2011" s="7" t="inlineStr">
        <is>
          <t>Cates-Tee</t>
        </is>
      </c>
      <c r="O2011" s="7" t="inlineStr"/>
    </row>
    <row r="2012" ht="80" customHeight="1">
      <c r="A2012" s="6">
        <f>IMAGE("https://images.lululemon.com/is/image/lululemon/LW3DI1S_032493_1?wid=320&amp;op_usm=0.8",1)</f>
        <v/>
      </c>
      <c r="B2012" s="6" t="inlineStr">
        <is>
          <t>Cates T-Shirt</t>
        </is>
      </c>
      <c r="C2012" s="6" t="inlineStr">
        <is>
          <t>119800070</t>
        </is>
      </c>
      <c r="D2012" s="6" t="inlineStr">
        <is>
          <t>119800070-heatheredcoreultralightgrey</t>
        </is>
      </c>
      <c r="E2012" s="6" t="inlineStr">
        <is>
          <t>Cates Tee HCUG 2</t>
        </is>
      </c>
      <c r="F2012" s="6" t="inlineStr">
        <is>
          <t>$48.00</t>
        </is>
      </c>
      <c r="G2012" s="6" t="inlineStr">
        <is>
          <t>$24.00</t>
        </is>
      </c>
      <c r="H2012" s="6" t="inlineStr">
        <is>
          <t>Heathered Core Ultra Light Grey</t>
        </is>
      </c>
      <c r="I2012" s="6">
        <f>IMAGE("https://images.lululemon.com/is/image/lululemon/32493",1)</f>
        <v/>
      </c>
      <c r="J2012" s="6" t="inlineStr">
        <is>
          <t>8</t>
        </is>
      </c>
      <c r="K2012" s="6" t="inlineStr">
        <is>
          <t>1/11</t>
        </is>
      </c>
      <c r="L2012" s="6" t="inlineStr">
        <is>
          <t>Yes</t>
        </is>
      </c>
      <c r="M2012" s="6" t="inlineStr">
        <is>
          <t>Feel that post-practice bliss all day long in this soft, lightweight tee.</t>
        </is>
      </c>
      <c r="N2012" s="6" t="inlineStr">
        <is>
          <t>Cates-Tee</t>
        </is>
      </c>
      <c r="O2012" s="6" t="inlineStr"/>
    </row>
    <row r="2013" ht="80" customHeight="1">
      <c r="A2013" s="7">
        <f>IMAGE("https://images.lululemon.com/is/image/lululemon/LW8A85T_0002_1?wid=320&amp;op_usm=0.8",1)</f>
        <v/>
      </c>
      <c r="B2013" s="7" t="inlineStr">
        <is>
          <t>Pace Rival Mid-Rise Skirt *Long</t>
        </is>
      </c>
      <c r="C2013" s="7" t="inlineStr">
        <is>
          <t>104458290</t>
        </is>
      </c>
      <c r="D2013" s="7" t="inlineStr">
        <is>
          <t>104458290-white</t>
        </is>
      </c>
      <c r="E2013" s="7" t="inlineStr">
        <is>
          <t>Pace Rival MR Skirt *Long WHT 0</t>
        </is>
      </c>
      <c r="F2013" s="7" t="inlineStr">
        <is>
          <t>$78.00</t>
        </is>
      </c>
      <c r="G2013" s="7" t="inlineStr">
        <is>
          <t>$39.00</t>
        </is>
      </c>
      <c r="H2013" s="7" t="inlineStr">
        <is>
          <t>White</t>
        </is>
      </c>
      <c r="I2013" s="7">
        <f>IMAGE("https://images.lululemon.com/is/image/lululemon/0002",1)</f>
        <v/>
      </c>
      <c r="J2013" s="7" t="inlineStr">
        <is>
          <t>0</t>
        </is>
      </c>
      <c r="K2013" s="7" t="inlineStr">
        <is>
          <t>134/7779</t>
        </is>
      </c>
      <c r="L2013" s="7" t="inlineStr">
        <is>
          <t>Yes</t>
        </is>
      </c>
      <c r="M2013" s="7" t="inlineStr">
        <is>
          <t>Pockets in your skirt, that's a yes. From tennis to trail running, drop-in pockets let you keep essentials close.</t>
        </is>
      </c>
      <c r="N2013" s="7" t="inlineStr">
        <is>
          <t>Pace-Rival-Skirt-Tall</t>
        </is>
      </c>
      <c r="O2013" s="7" t="inlineStr">
        <is>
          <t>Athletic Skirts, Skorts</t>
        </is>
      </c>
    </row>
    <row r="2014" ht="80" customHeight="1">
      <c r="A2014" s="4">
        <f>IMAGE("https://images.lululemon.com/is/image/lululemon/LW8A85T_0002_1?wid=320&amp;op_usm=0.8",1)</f>
        <v/>
      </c>
      <c r="B2014" s="4" t="inlineStr">
        <is>
          <t>Pace Rival Mid-Rise Skirt *Long</t>
        </is>
      </c>
      <c r="C2014" s="4" t="inlineStr">
        <is>
          <t>104458300</t>
        </is>
      </c>
      <c r="D2014" s="4" t="inlineStr">
        <is>
          <t>104458300-white</t>
        </is>
      </c>
      <c r="E2014" s="4" t="inlineStr">
        <is>
          <t>Pace Rival MR Skirt *Long WHT 0</t>
        </is>
      </c>
      <c r="F2014" s="4" t="inlineStr">
        <is>
          <t>$78.00</t>
        </is>
      </c>
      <c r="G2014" s="4" t="inlineStr">
        <is>
          <t>$39.00</t>
        </is>
      </c>
      <c r="H2014" s="4" t="inlineStr">
        <is>
          <t>White</t>
        </is>
      </c>
      <c r="I2014" s="4">
        <f>IMAGE("https://images.lululemon.com/is/image/lululemon/0002",1)</f>
        <v/>
      </c>
      <c r="J2014" s="4" t="inlineStr">
        <is>
          <t>2</t>
        </is>
      </c>
      <c r="K2014" s="4" t="inlineStr">
        <is>
          <t>292/7779</t>
        </is>
      </c>
      <c r="L2014" s="4" t="inlineStr">
        <is>
          <t>Yes</t>
        </is>
      </c>
      <c r="M2014" s="4" t="inlineStr">
        <is>
          <t>Pockets in your skirt, that's a yes. From tennis to trail running, drop-in pockets let you keep essentials close.</t>
        </is>
      </c>
      <c r="N2014" s="4" t="inlineStr">
        <is>
          <t>Pace-Rival-Skirt-Tall</t>
        </is>
      </c>
      <c r="O2014" s="4" t="inlineStr">
        <is>
          <t>Athletic Skirts, Skorts</t>
        </is>
      </c>
    </row>
    <row r="2015" ht="80" customHeight="1">
      <c r="A2015" s="7">
        <f>IMAGE("https://images.lululemon.com/is/image/lululemon/LW8A85T_0002_1?wid=320&amp;op_usm=0.8",1)</f>
        <v/>
      </c>
      <c r="B2015" s="7" t="inlineStr">
        <is>
          <t>Pace Rival Mid-Rise Skirt *Long</t>
        </is>
      </c>
      <c r="C2015" s="7" t="inlineStr">
        <is>
          <t>104458302</t>
        </is>
      </c>
      <c r="D2015" s="7" t="inlineStr">
        <is>
          <t>104458302-white</t>
        </is>
      </c>
      <c r="E2015" s="7" t="inlineStr">
        <is>
          <t>Pace Rival MR Skirt *Long WHT 0</t>
        </is>
      </c>
      <c r="F2015" s="7" t="inlineStr">
        <is>
          <t>$78.00</t>
        </is>
      </c>
      <c r="G2015" s="7" t="inlineStr">
        <is>
          <t>$39.00</t>
        </is>
      </c>
      <c r="H2015" s="7" t="inlineStr">
        <is>
          <t>White</t>
        </is>
      </c>
      <c r="I2015" s="7">
        <f>IMAGE("https://images.lululemon.com/is/image/lululemon/0002",1)</f>
        <v/>
      </c>
      <c r="J2015" s="7" t="inlineStr">
        <is>
          <t>4</t>
        </is>
      </c>
      <c r="K2015" s="7" t="inlineStr">
        <is>
          <t>452/7779</t>
        </is>
      </c>
      <c r="L2015" s="7" t="inlineStr">
        <is>
          <t>Yes</t>
        </is>
      </c>
      <c r="M2015" s="7" t="inlineStr">
        <is>
          <t>Pockets in your skirt, that's a yes. From tennis to trail running, drop-in pockets let you keep essentials close.</t>
        </is>
      </c>
      <c r="N2015" s="7" t="inlineStr">
        <is>
          <t>Pace-Rival-Skirt-Tall</t>
        </is>
      </c>
      <c r="O2015" s="7" t="inlineStr">
        <is>
          <t>Athletic Skirts, Skorts</t>
        </is>
      </c>
    </row>
    <row r="2016" ht="80" customHeight="1">
      <c r="A2016" s="4">
        <f>IMAGE("https://images.lululemon.com/is/image/lululemon/LW8A85T_0002_1?wid=320&amp;op_usm=0.8",1)</f>
        <v/>
      </c>
      <c r="B2016" s="4" t="inlineStr">
        <is>
          <t>Pace Rival Mid-Rise Skirt *Long</t>
        </is>
      </c>
      <c r="C2016" s="4" t="inlineStr">
        <is>
          <t>104458305</t>
        </is>
      </c>
      <c r="D2016" s="4" t="inlineStr">
        <is>
          <t>104458305-white</t>
        </is>
      </c>
      <c r="E2016" s="4" t="inlineStr">
        <is>
          <t>Pace Rival MR Skirt *Long WHT 0</t>
        </is>
      </c>
      <c r="F2016" s="4" t="inlineStr">
        <is>
          <t>$78.00</t>
        </is>
      </c>
      <c r="G2016" s="4" t="inlineStr">
        <is>
          <t>$39.00</t>
        </is>
      </c>
      <c r="H2016" s="4" t="inlineStr">
        <is>
          <t>White</t>
        </is>
      </c>
      <c r="I2016" s="4">
        <f>IMAGE("https://images.lululemon.com/is/image/lululemon/0002",1)</f>
        <v/>
      </c>
      <c r="J2016" s="4" t="inlineStr">
        <is>
          <t>6</t>
        </is>
      </c>
      <c r="K2016" s="4" t="inlineStr">
        <is>
          <t>641/7779</t>
        </is>
      </c>
      <c r="L2016" s="4" t="inlineStr">
        <is>
          <t>Yes</t>
        </is>
      </c>
      <c r="M2016" s="4" t="inlineStr">
        <is>
          <t>Pockets in your skirt, that's a yes. From tennis to trail running, drop-in pockets let you keep essentials close.</t>
        </is>
      </c>
      <c r="N2016" s="4" t="inlineStr">
        <is>
          <t>Pace-Rival-Skirt-Tall</t>
        </is>
      </c>
      <c r="O2016" s="4" t="inlineStr">
        <is>
          <t>Athletic Skirts, Skorts</t>
        </is>
      </c>
    </row>
    <row r="2017" ht="80" customHeight="1">
      <c r="A2017" s="7">
        <f>IMAGE("https://images.lululemon.com/is/image/lululemon/LW8A85T_0002_1?wid=320&amp;op_usm=0.8",1)</f>
        <v/>
      </c>
      <c r="B2017" s="7" t="inlineStr">
        <is>
          <t>Pace Rival Mid-Rise Skirt *Long</t>
        </is>
      </c>
      <c r="C2017" s="7" t="inlineStr">
        <is>
          <t>104458308</t>
        </is>
      </c>
      <c r="D2017" s="7" t="inlineStr">
        <is>
          <t>104458308-white</t>
        </is>
      </c>
      <c r="E2017" s="7" t="inlineStr">
        <is>
          <t>Pace Rival MR Skirt *Long WHT 0</t>
        </is>
      </c>
      <c r="F2017" s="7" t="inlineStr">
        <is>
          <t>$78.00</t>
        </is>
      </c>
      <c r="G2017" s="7" t="inlineStr">
        <is>
          <t>$39.00</t>
        </is>
      </c>
      <c r="H2017" s="7" t="inlineStr">
        <is>
          <t>White</t>
        </is>
      </c>
      <c r="I2017" s="7">
        <f>IMAGE("https://images.lululemon.com/is/image/lululemon/0002",1)</f>
        <v/>
      </c>
      <c r="J2017" s="7" t="inlineStr">
        <is>
          <t>8</t>
        </is>
      </c>
      <c r="K2017" s="7" t="inlineStr">
        <is>
          <t>554/7779</t>
        </is>
      </c>
      <c r="L2017" s="7" t="inlineStr">
        <is>
          <t>Yes</t>
        </is>
      </c>
      <c r="M2017" s="7" t="inlineStr">
        <is>
          <t>Pockets in your skirt, that's a yes. From tennis to trail running, drop-in pockets let you keep essentials close.</t>
        </is>
      </c>
      <c r="N2017" s="7" t="inlineStr">
        <is>
          <t>Pace-Rival-Skirt-Tall</t>
        </is>
      </c>
      <c r="O2017" s="7" t="inlineStr">
        <is>
          <t>Athletic Skirts, Skorts</t>
        </is>
      </c>
    </row>
    <row r="2018" ht="80" customHeight="1">
      <c r="A2018" s="4">
        <f>IMAGE("https://images.lululemon.com/is/image/lululemon/LW8A85T_0002_1?wid=320&amp;op_usm=0.8",1)</f>
        <v/>
      </c>
      <c r="B2018" s="4" t="inlineStr">
        <is>
          <t>Pace Rival Mid-Rise Skirt *Long</t>
        </is>
      </c>
      <c r="C2018" s="4" t="inlineStr">
        <is>
          <t>104458291</t>
        </is>
      </c>
      <c r="D2018" s="4" t="inlineStr">
        <is>
          <t>104458291-white</t>
        </is>
      </c>
      <c r="E2018" s="4" t="inlineStr">
        <is>
          <t>Pace Rival MR Skirt *Long WHT 0</t>
        </is>
      </c>
      <c r="F2018" s="4" t="inlineStr">
        <is>
          <t>$78.00</t>
        </is>
      </c>
      <c r="G2018" s="4" t="inlineStr">
        <is>
          <t>$39.00</t>
        </is>
      </c>
      <c r="H2018" s="4" t="inlineStr">
        <is>
          <t>White</t>
        </is>
      </c>
      <c r="I2018" s="4">
        <f>IMAGE("https://images.lululemon.com/is/image/lululemon/0002",1)</f>
        <v/>
      </c>
      <c r="J2018" s="4" t="inlineStr">
        <is>
          <t>10</t>
        </is>
      </c>
      <c r="K2018" s="4" t="inlineStr">
        <is>
          <t>128/7779</t>
        </is>
      </c>
      <c r="L2018" s="4" t="inlineStr">
        <is>
          <t>Yes</t>
        </is>
      </c>
      <c r="M2018" s="4" t="inlineStr">
        <is>
          <t>Pockets in your skirt, that's a yes. From tennis to trail running, drop-in pockets let you keep essentials close.</t>
        </is>
      </c>
      <c r="N2018" s="4" t="inlineStr">
        <is>
          <t>Pace-Rival-Skirt-Tall</t>
        </is>
      </c>
      <c r="O2018" s="4" t="inlineStr">
        <is>
          <t>Athletic Skirts, Skorts</t>
        </is>
      </c>
    </row>
    <row r="2019" ht="80" customHeight="1">
      <c r="A2019" s="7">
        <f>IMAGE("https://images.lululemon.com/is/image/lululemon/LW8A85T_0002_1?wid=320&amp;op_usm=0.8",1)</f>
        <v/>
      </c>
      <c r="B2019" s="7" t="inlineStr">
        <is>
          <t>Pace Rival Mid-Rise Skirt *Long</t>
        </is>
      </c>
      <c r="C2019" s="7" t="inlineStr">
        <is>
          <t>104458292</t>
        </is>
      </c>
      <c r="D2019" s="7" t="inlineStr">
        <is>
          <t>104458292-white</t>
        </is>
      </c>
      <c r="E2019" s="7" t="inlineStr">
        <is>
          <t>Pace Rival MR Skirt *Long WHT 0</t>
        </is>
      </c>
      <c r="F2019" s="7" t="inlineStr">
        <is>
          <t>$78.00</t>
        </is>
      </c>
      <c r="G2019" s="7" t="inlineStr">
        <is>
          <t>$39.00</t>
        </is>
      </c>
      <c r="H2019" s="7" t="inlineStr">
        <is>
          <t>White</t>
        </is>
      </c>
      <c r="I2019" s="7">
        <f>IMAGE("https://images.lululemon.com/is/image/lululemon/0002",1)</f>
        <v/>
      </c>
      <c r="J2019" s="7" t="inlineStr">
        <is>
          <t>12</t>
        </is>
      </c>
      <c r="K2019" s="7" t="inlineStr">
        <is>
          <t>147/7779</t>
        </is>
      </c>
      <c r="L2019" s="7" t="inlineStr">
        <is>
          <t>Yes</t>
        </is>
      </c>
      <c r="M2019" s="7" t="inlineStr">
        <is>
          <t>Pockets in your skirt, that's a yes. From tennis to trail running, drop-in pockets let you keep essentials close.</t>
        </is>
      </c>
      <c r="N2019" s="7" t="inlineStr">
        <is>
          <t>Pace-Rival-Skirt-Tall</t>
        </is>
      </c>
      <c r="O2019" s="7" t="inlineStr">
        <is>
          <t>Athletic Skirts, Skorts</t>
        </is>
      </c>
    </row>
    <row r="2020" ht="80" customHeight="1">
      <c r="A2020" s="4">
        <f>IMAGE("https://images.lululemon.com/is/image/lululemon/LW8A85T_0002_1?wid=320&amp;op_usm=0.8",1)</f>
        <v/>
      </c>
      <c r="B2020" s="4" t="inlineStr">
        <is>
          <t>Pace Rival Mid-Rise Skirt *Long</t>
        </is>
      </c>
      <c r="C2020" s="4" t="inlineStr">
        <is>
          <t>104458294</t>
        </is>
      </c>
      <c r="D2020" s="4" t="inlineStr">
        <is>
          <t>104458294-white</t>
        </is>
      </c>
      <c r="E2020" s="4" t="inlineStr">
        <is>
          <t>Pace Rival MR Skirt *Long WHT 0</t>
        </is>
      </c>
      <c r="F2020" s="4" t="inlineStr">
        <is>
          <t>$78.00</t>
        </is>
      </c>
      <c r="G2020" s="4" t="inlineStr">
        <is>
          <t>$39.00</t>
        </is>
      </c>
      <c r="H2020" s="4" t="inlineStr">
        <is>
          <t>White</t>
        </is>
      </c>
      <c r="I2020" s="4">
        <f>IMAGE("https://images.lululemon.com/is/image/lululemon/0002",1)</f>
        <v/>
      </c>
      <c r="J2020" s="4" t="inlineStr">
        <is>
          <t>14</t>
        </is>
      </c>
      <c r="K2020" s="4" t="inlineStr">
        <is>
          <t>65/7779</t>
        </is>
      </c>
      <c r="L2020" s="4" t="inlineStr">
        <is>
          <t>Yes</t>
        </is>
      </c>
      <c r="M2020" s="4" t="inlineStr">
        <is>
          <t>Pockets in your skirt, that's a yes. From tennis to trail running, drop-in pockets let you keep essentials close.</t>
        </is>
      </c>
      <c r="N2020" s="4" t="inlineStr">
        <is>
          <t>Pace-Rival-Skirt-Tall</t>
        </is>
      </c>
      <c r="O2020" s="4" t="inlineStr">
        <is>
          <t>Athletic Skirts, Skorts</t>
        </is>
      </c>
    </row>
    <row r="2021" ht="80" customHeight="1">
      <c r="A2021" s="7">
        <f>IMAGE("https://images.lululemon.com/is/image/lululemon/LW8A85T_0002_1?wid=320&amp;op_usm=0.8",1)</f>
        <v/>
      </c>
      <c r="B2021" s="7" t="inlineStr">
        <is>
          <t>Pace Rival Mid-Rise Skirt *Long</t>
        </is>
      </c>
      <c r="C2021" s="7" t="inlineStr">
        <is>
          <t>104458464</t>
        </is>
      </c>
      <c r="D2021" s="7" t="inlineStr">
        <is>
          <t>104458464-black</t>
        </is>
      </c>
      <c r="E2021" s="7" t="inlineStr">
        <is>
          <t>Pace Rival MR Skirt *Long WHT 0</t>
        </is>
      </c>
      <c r="F2021" s="7" t="inlineStr">
        <is>
          <t>$78.00</t>
        </is>
      </c>
      <c r="G2021" s="7" t="inlineStr">
        <is>
          <t>$39.00</t>
        </is>
      </c>
      <c r="H2021" s="7" t="inlineStr">
        <is>
          <t>Black</t>
        </is>
      </c>
      <c r="I2021" s="7">
        <f>IMAGE("https://images.lululemon.com/is/image/lululemon/0001",1)</f>
        <v/>
      </c>
      <c r="J2021" s="7" t="inlineStr">
        <is>
          <t>2</t>
        </is>
      </c>
      <c r="K2021" s="7" t="inlineStr">
        <is>
          <t>7/7779</t>
        </is>
      </c>
      <c r="L2021" s="7" t="inlineStr">
        <is>
          <t>Yes</t>
        </is>
      </c>
      <c r="M2021" s="7" t="inlineStr">
        <is>
          <t>Pockets in your skirt, that's a yes. From tennis to trail running, drop-in pockets let you keep essentials close.</t>
        </is>
      </c>
      <c r="N2021" s="7" t="inlineStr">
        <is>
          <t>Pace-Rival-Skirt-Tall</t>
        </is>
      </c>
      <c r="O2021" s="7" t="inlineStr">
        <is>
          <t>Athletic Skirts, Skorts</t>
        </is>
      </c>
    </row>
    <row r="2022" ht="80" customHeight="1">
      <c r="A2022" s="4">
        <f>IMAGE("https://images.lululemon.com/is/image/lululemon/LW8A85T_0002_1?wid=320&amp;op_usm=0.8",1)</f>
        <v/>
      </c>
      <c r="B2022" s="4" t="inlineStr">
        <is>
          <t>Pace Rival Mid-Rise Skirt *Long</t>
        </is>
      </c>
      <c r="C2022" s="4" t="inlineStr">
        <is>
          <t>107378183</t>
        </is>
      </c>
      <c r="D2022" s="4" t="inlineStr">
        <is>
          <t>107378183-black</t>
        </is>
      </c>
      <c r="E2022" s="4" t="inlineStr">
        <is>
          <t>Pace Rival MR Skirt *Long WHT 0</t>
        </is>
      </c>
      <c r="F2022" s="4" t="inlineStr">
        <is>
          <t>$78.00</t>
        </is>
      </c>
      <c r="G2022" s="4" t="inlineStr">
        <is>
          <t>$39.00</t>
        </is>
      </c>
      <c r="H2022" s="4" t="inlineStr">
        <is>
          <t>Black</t>
        </is>
      </c>
      <c r="I2022" s="4">
        <f>IMAGE("https://images.lululemon.com/is/image/lululemon/0001",1)</f>
        <v/>
      </c>
      <c r="J2022" s="4" t="inlineStr">
        <is>
          <t>4</t>
        </is>
      </c>
      <c r="K2022" s="4" t="inlineStr">
        <is>
          <t>733/7779</t>
        </is>
      </c>
      <c r="L2022" s="4" t="inlineStr">
        <is>
          <t>Yes</t>
        </is>
      </c>
      <c r="M2022" s="4" t="inlineStr">
        <is>
          <t>Pockets in your skirt, that's a yes. From tennis to trail running, drop-in pockets let you keep essentials close.</t>
        </is>
      </c>
      <c r="N2022" s="4" t="inlineStr">
        <is>
          <t>Pace-Rival-Skirt-Tall</t>
        </is>
      </c>
      <c r="O2022" s="4" t="inlineStr">
        <is>
          <t>Athletic Skirts, Skorts</t>
        </is>
      </c>
    </row>
    <row r="2023" ht="80" customHeight="1">
      <c r="A2023" s="7">
        <f>IMAGE("https://images.lululemon.com/is/image/lululemon/LW8A85T_0002_1?wid=320&amp;op_usm=0.8",1)</f>
        <v/>
      </c>
      <c r="B2023" s="7" t="inlineStr">
        <is>
          <t>Pace Rival Mid-Rise Skirt *Long</t>
        </is>
      </c>
      <c r="C2023" s="7" t="inlineStr">
        <is>
          <t>107378191</t>
        </is>
      </c>
      <c r="D2023" s="7" t="inlineStr">
        <is>
          <t>107378191-black</t>
        </is>
      </c>
      <c r="E2023" s="7" t="inlineStr">
        <is>
          <t>Pace Rival MR Skirt *Long WHT 0</t>
        </is>
      </c>
      <c r="F2023" s="7" t="inlineStr">
        <is>
          <t>$78.00</t>
        </is>
      </c>
      <c r="G2023" s="7" t="inlineStr">
        <is>
          <t>$39.00</t>
        </is>
      </c>
      <c r="H2023" s="7" t="inlineStr">
        <is>
          <t>Black</t>
        </is>
      </c>
      <c r="I2023" s="7">
        <f>IMAGE("https://images.lululemon.com/is/image/lululemon/0001",1)</f>
        <v/>
      </c>
      <c r="J2023" s="7" t="inlineStr">
        <is>
          <t>6</t>
        </is>
      </c>
      <c r="K2023" s="7" t="inlineStr">
        <is>
          <t>2172/7779</t>
        </is>
      </c>
      <c r="L2023" s="7" t="inlineStr">
        <is>
          <t>Yes</t>
        </is>
      </c>
      <c r="M2023" s="7" t="inlineStr">
        <is>
          <t>Pockets in your skirt, that's a yes. From tennis to trail running, drop-in pockets let you keep essentials close.</t>
        </is>
      </c>
      <c r="N2023" s="7" t="inlineStr">
        <is>
          <t>Pace-Rival-Skirt-Tall</t>
        </is>
      </c>
      <c r="O2023" s="7" t="inlineStr">
        <is>
          <t>Athletic Skirts, Skorts</t>
        </is>
      </c>
    </row>
    <row r="2024" ht="80" customHeight="1">
      <c r="A2024" s="4">
        <f>IMAGE("https://images.lululemon.com/is/image/lululemon/LW8A85T_0002_1?wid=320&amp;op_usm=0.8",1)</f>
        <v/>
      </c>
      <c r="B2024" s="4" t="inlineStr">
        <is>
          <t>Pace Rival Mid-Rise Skirt *Long</t>
        </is>
      </c>
      <c r="C2024" s="4" t="inlineStr">
        <is>
          <t>107378199</t>
        </is>
      </c>
      <c r="D2024" s="4" t="inlineStr">
        <is>
          <t>107378199-black</t>
        </is>
      </c>
      <c r="E2024" s="4" t="inlineStr">
        <is>
          <t>Pace Rival MR Skirt *Long WHT 0</t>
        </is>
      </c>
      <c r="F2024" s="4" t="inlineStr">
        <is>
          <t>$78.00</t>
        </is>
      </c>
      <c r="G2024" s="4" t="inlineStr">
        <is>
          <t>$39.00</t>
        </is>
      </c>
      <c r="H2024" s="4" t="inlineStr">
        <is>
          <t>Black</t>
        </is>
      </c>
      <c r="I2024" s="4">
        <f>IMAGE("https://images.lululemon.com/is/image/lululemon/0001",1)</f>
        <v/>
      </c>
      <c r="J2024" s="4" t="inlineStr">
        <is>
          <t>8</t>
        </is>
      </c>
      <c r="K2024" s="4" t="inlineStr">
        <is>
          <t>1745/7779</t>
        </is>
      </c>
      <c r="L2024" s="4" t="inlineStr">
        <is>
          <t>Yes</t>
        </is>
      </c>
      <c r="M2024" s="4" t="inlineStr">
        <is>
          <t>Pockets in your skirt, that's a yes. From tennis to trail running, drop-in pockets let you keep essentials close.</t>
        </is>
      </c>
      <c r="N2024" s="4" t="inlineStr">
        <is>
          <t>Pace-Rival-Skirt-Tall</t>
        </is>
      </c>
      <c r="O2024" s="4" t="inlineStr">
        <is>
          <t>Athletic Skirts, Skorts</t>
        </is>
      </c>
    </row>
    <row r="2025" ht="80" customHeight="1">
      <c r="A2025" s="7">
        <f>IMAGE("https://images.lululemon.com/is/image/lululemon/LW8A85T_0002_1?wid=320&amp;op_usm=0.8",1)</f>
        <v/>
      </c>
      <c r="B2025" s="7" t="inlineStr">
        <is>
          <t>Pace Rival Mid-Rise Skirt *Long</t>
        </is>
      </c>
      <c r="C2025" s="7" t="inlineStr">
        <is>
          <t>107378133</t>
        </is>
      </c>
      <c r="D2025" s="7" t="inlineStr">
        <is>
          <t>107378133-black</t>
        </is>
      </c>
      <c r="E2025" s="7" t="inlineStr">
        <is>
          <t>Pace Rival MR Skirt *Long WHT 0</t>
        </is>
      </c>
      <c r="F2025" s="7" t="inlineStr">
        <is>
          <t>$78.00</t>
        </is>
      </c>
      <c r="G2025" s="7" t="inlineStr">
        <is>
          <t>$39.00</t>
        </is>
      </c>
      <c r="H2025" s="7" t="inlineStr">
        <is>
          <t>Black</t>
        </is>
      </c>
      <c r="I2025" s="7">
        <f>IMAGE("https://images.lululemon.com/is/image/lululemon/0001",1)</f>
        <v/>
      </c>
      <c r="J2025" s="7" t="inlineStr">
        <is>
          <t>10</t>
        </is>
      </c>
      <c r="K2025" s="7" t="inlineStr">
        <is>
          <t>495/7779</t>
        </is>
      </c>
      <c r="L2025" s="7" t="inlineStr">
        <is>
          <t>Yes</t>
        </is>
      </c>
      <c r="M2025" s="7" t="inlineStr">
        <is>
          <t>Pockets in your skirt, that's a yes. From tennis to trail running, drop-in pockets let you keep essentials close.</t>
        </is>
      </c>
      <c r="N2025" s="7" t="inlineStr">
        <is>
          <t>Pace-Rival-Skirt-Tall</t>
        </is>
      </c>
      <c r="O2025" s="7" t="inlineStr">
        <is>
          <t>Athletic Skirts, Skorts</t>
        </is>
      </c>
    </row>
    <row r="2026" ht="80" customHeight="1">
      <c r="A2026" s="4">
        <f>IMAGE("https://images.lululemon.com/is/image/lululemon/LW8A85T_0002_1?wid=320&amp;op_usm=0.8",1)</f>
        <v/>
      </c>
      <c r="B2026" s="4" t="inlineStr">
        <is>
          <t>Pace Rival Mid-Rise Skirt *Long</t>
        </is>
      </c>
      <c r="C2026" s="4" t="inlineStr">
        <is>
          <t>107378144</t>
        </is>
      </c>
      <c r="D2026" s="4" t="inlineStr">
        <is>
          <t>107378144-black</t>
        </is>
      </c>
      <c r="E2026" s="4" t="inlineStr">
        <is>
          <t>Pace Rival MR Skirt *Long WHT 0</t>
        </is>
      </c>
      <c r="F2026" s="4" t="inlineStr">
        <is>
          <t>$78.00</t>
        </is>
      </c>
      <c r="G2026" s="4" t="inlineStr">
        <is>
          <t>$39.00</t>
        </is>
      </c>
      <c r="H2026" s="4" t="inlineStr">
        <is>
          <t>Black</t>
        </is>
      </c>
      <c r="I2026" s="4">
        <f>IMAGE("https://images.lululemon.com/is/image/lululemon/0001",1)</f>
        <v/>
      </c>
      <c r="J2026" s="4" t="inlineStr">
        <is>
          <t>12</t>
        </is>
      </c>
      <c r="K2026" s="4" t="inlineStr">
        <is>
          <t>195/7779</t>
        </is>
      </c>
      <c r="L2026" s="4" t="inlineStr">
        <is>
          <t>Yes</t>
        </is>
      </c>
      <c r="M2026" s="4" t="inlineStr">
        <is>
          <t>Pockets in your skirt, that's a yes. From tennis to trail running, drop-in pockets let you keep essentials close.</t>
        </is>
      </c>
      <c r="N2026" s="4" t="inlineStr">
        <is>
          <t>Pace-Rival-Skirt-Tall</t>
        </is>
      </c>
      <c r="O2026" s="4" t="inlineStr">
        <is>
          <t>Athletic Skirts, Skorts</t>
        </is>
      </c>
    </row>
    <row r="2027" ht="80" customHeight="1">
      <c r="A2027" s="7">
        <f>IMAGE("https://images.lululemon.com/is/image/lululemon/LW8A85T_0002_1?wid=320&amp;op_usm=0.8",1)</f>
        <v/>
      </c>
      <c r="B2027" s="7" t="inlineStr">
        <is>
          <t>Pace Rival Mid-Rise Skirt *Long</t>
        </is>
      </c>
      <c r="C2027" s="7" t="inlineStr">
        <is>
          <t>107378166</t>
        </is>
      </c>
      <c r="D2027" s="7" t="inlineStr">
        <is>
          <t>107378166-black</t>
        </is>
      </c>
      <c r="E2027" s="7" t="inlineStr">
        <is>
          <t>Pace Rival MR Skirt *Long WHT 0</t>
        </is>
      </c>
      <c r="F2027" s="7" t="inlineStr">
        <is>
          <t>$78.00</t>
        </is>
      </c>
      <c r="G2027" s="7" t="inlineStr">
        <is>
          <t>$39.00</t>
        </is>
      </c>
      <c r="H2027" s="7" t="inlineStr">
        <is>
          <t>Black</t>
        </is>
      </c>
      <c r="I2027" s="7">
        <f>IMAGE("https://images.lululemon.com/is/image/lululemon/0001",1)</f>
        <v/>
      </c>
      <c r="J2027" s="7" t="inlineStr">
        <is>
          <t>18</t>
        </is>
      </c>
      <c r="K2027" s="7" t="inlineStr">
        <is>
          <t>10/7779</t>
        </is>
      </c>
      <c r="L2027" s="7" t="inlineStr">
        <is>
          <t>Yes</t>
        </is>
      </c>
      <c r="M2027" s="7" t="inlineStr">
        <is>
          <t>Pockets in your skirt, that's a yes. From tennis to trail running, drop-in pockets let you keep essentials close.</t>
        </is>
      </c>
      <c r="N2027" s="7" t="inlineStr">
        <is>
          <t>Pace-Rival-Skirt-Tall</t>
        </is>
      </c>
      <c r="O2027" s="7" t="inlineStr">
        <is>
          <t>Athletic Skirts, Skorts</t>
        </is>
      </c>
    </row>
    <row r="2028" ht="80" customHeight="1">
      <c r="A2028" s="6">
        <f>IMAGE("https://images.lululemon.com/is/image/lululemon/LW8A85T_0002_1?wid=320&amp;op_usm=0.8",1)</f>
        <v/>
      </c>
      <c r="B2028" s="6" t="inlineStr">
        <is>
          <t>Pace Rival Mid-Rise Skirt *Long</t>
        </is>
      </c>
      <c r="C2028" s="6" t="inlineStr">
        <is>
          <t>122876231</t>
        </is>
      </c>
      <c r="D2028" s="6" t="inlineStr">
        <is>
          <t>122876231-black</t>
        </is>
      </c>
      <c r="E2028" s="6" t="inlineStr">
        <is>
          <t>Pace Rival MR Skirt *Long WHT 0</t>
        </is>
      </c>
      <c r="F2028" s="6" t="inlineStr">
        <is>
          <t>$78.00</t>
        </is>
      </c>
      <c r="G2028" s="6" t="inlineStr">
        <is>
          <t>$39.00</t>
        </is>
      </c>
      <c r="H2028" s="6" t="inlineStr">
        <is>
          <t>Black</t>
        </is>
      </c>
      <c r="I2028" s="6">
        <f>IMAGE("https://images.lululemon.com/is/image/lululemon/0001",1)</f>
        <v/>
      </c>
      <c r="J2028" s="6" t="inlineStr">
        <is>
          <t>20</t>
        </is>
      </c>
      <c r="K2028" s="6" t="inlineStr">
        <is>
          <t>9/7779</t>
        </is>
      </c>
      <c r="L2028" s="6" t="inlineStr">
        <is>
          <t>Yes</t>
        </is>
      </c>
      <c r="M2028" s="6" t="inlineStr">
        <is>
          <t>Pockets in your skirt, that's a yes. From tennis to trail running, drop-in pockets let you keep essentials close.</t>
        </is>
      </c>
      <c r="N2028" s="6" t="inlineStr">
        <is>
          <t>Pace-Rival-Skirt-Tall</t>
        </is>
      </c>
      <c r="O2028" s="6" t="inlineStr">
        <is>
          <t>Athletic Skirts, Skorts</t>
        </is>
      </c>
    </row>
    <row r="2029" ht="80" customHeight="1">
      <c r="A2029" s="7">
        <f>IMAGE("https://images.lululemon.com/is/image/lululemon/LU9CJ7S_0001_1?wid=320&amp;op_usm=0.8",1)</f>
        <v/>
      </c>
      <c r="B2029" s="7" t="inlineStr">
        <is>
          <t>The Mat 5mm *Made With FSC™ Certified Rubber</t>
        </is>
      </c>
      <c r="C2029" s="7" t="inlineStr">
        <is>
          <t>153151858</t>
        </is>
      </c>
      <c r="D2029" s="7" t="inlineStr">
        <is>
          <t>153151858-black</t>
        </is>
      </c>
      <c r="E2029" s="7" t="inlineStr">
        <is>
          <t>The Mat 5mm BLK ONE SIZE</t>
        </is>
      </c>
      <c r="F2029" s="7" t="inlineStr">
        <is>
          <t>$118.00</t>
        </is>
      </c>
      <c r="G2029" s="7" t="inlineStr">
        <is>
          <t>$59.00</t>
        </is>
      </c>
      <c r="H2029" s="7" t="inlineStr">
        <is>
          <t>Black</t>
        </is>
      </c>
      <c r="I2029" s="7">
        <f>IMAGE("https://images.lululemon.com/is/image/lululemon/0001",1)</f>
        <v/>
      </c>
      <c r="J2029" s="7" t="inlineStr">
        <is>
          <t>O/S</t>
        </is>
      </c>
      <c r="K2029" s="7" t="inlineStr">
        <is>
          <t>1513/3361</t>
        </is>
      </c>
      <c r="L2029" s="7" t="inlineStr">
        <is>
          <t>Yes</t>
        </is>
      </c>
      <c r="M2029" s="7" t="inlineStr">
        <is>
          <t>This mat features a natural rubber base with a little extra cushion to give your body more depth while your mind goes deep.</t>
        </is>
      </c>
      <c r="N2029" s="7" t="inlineStr">
        <is>
          <t>The-Mat-5mm</t>
        </is>
      </c>
      <c r="O2029" s="7" t="inlineStr"/>
    </row>
    <row r="2030" ht="80" customHeight="1">
      <c r="A2030" s="4">
        <f>IMAGE("https://images.lululemon.com/is/image/lululemon/LU9CJ7S_0001_1?wid=320&amp;op_usm=0.8",1)</f>
        <v/>
      </c>
      <c r="B2030" s="4" t="inlineStr">
        <is>
          <t>The Mat 5mm *Made With FSC™ Certified Rubber</t>
        </is>
      </c>
      <c r="C2030" s="4" t="inlineStr">
        <is>
          <t>155725318</t>
        </is>
      </c>
      <c r="D2030" s="4" t="inlineStr">
        <is>
          <t>155725318-pinkhaze/decopink/pinkorganza/cherrylemonade/decopink</t>
        </is>
      </c>
      <c r="E2030" s="4" t="inlineStr">
        <is>
          <t>The Mat 5mm BLK ONE SIZE</t>
        </is>
      </c>
      <c r="F2030" s="4" t="inlineStr">
        <is>
          <t>$118.00</t>
        </is>
      </c>
      <c r="G2030" s="4" t="inlineStr">
        <is>
          <t>$59.00</t>
        </is>
      </c>
      <c r="H2030" s="4" t="inlineStr">
        <is>
          <t>Pink Haze/Deco Pink/Pink Organza/Cherry Lemonade/Deco Pink</t>
        </is>
      </c>
      <c r="I2030" s="4">
        <f>IMAGE("https://images.lululemon.com/is/image/lululemon/69286",1)</f>
        <v/>
      </c>
      <c r="J2030" s="4" t="inlineStr">
        <is>
          <t>O/S</t>
        </is>
      </c>
      <c r="K2030" s="4" t="inlineStr">
        <is>
          <t>521/3361</t>
        </is>
      </c>
      <c r="L2030" s="4" t="inlineStr">
        <is>
          <t>Yes</t>
        </is>
      </c>
      <c r="M2030" s="4" t="inlineStr">
        <is>
          <t>This mat features a natural rubber base with a little extra cushion to give your body more depth while your mind goes deep.</t>
        </is>
      </c>
      <c r="N2030" s="4" t="inlineStr">
        <is>
          <t>The-Mat-5mm</t>
        </is>
      </c>
      <c r="O2030" s="4" t="inlineStr"/>
    </row>
    <row r="2031" ht="80" customHeight="1">
      <c r="A2031" s="7">
        <f>IMAGE("https://images.lululemon.com/is/image/lululemon/LU9CJ7S_0001_1?wid=320&amp;op_usm=0.8",1)</f>
        <v/>
      </c>
      <c r="B2031" s="7" t="inlineStr">
        <is>
          <t>The Mat 5mm *Made With FSC™ Certified Rubber</t>
        </is>
      </c>
      <c r="C2031" s="7" t="inlineStr">
        <is>
          <t>155779393</t>
        </is>
      </c>
      <c r="D2031" s="7" t="inlineStr">
        <is>
          <t>155779393-chambray/washeddenim/starchblue/white/chambray</t>
        </is>
      </c>
      <c r="E2031" s="7" t="inlineStr">
        <is>
          <t>The Mat 5mm BLK ONE SIZE</t>
        </is>
      </c>
      <c r="F2031" s="7" t="inlineStr">
        <is>
          <t>$118.00</t>
        </is>
      </c>
      <c r="G2031" s="7" t="inlineStr">
        <is>
          <t>$59.00</t>
        </is>
      </c>
      <c r="H2031" s="7" t="inlineStr">
        <is>
          <t>Chambray/Washed Denim/Starch Blue/White/Chambray</t>
        </is>
      </c>
      <c r="I2031" s="7">
        <f>IMAGE("https://images.lululemon.com/is/image/lululemon/69285",1)</f>
        <v/>
      </c>
      <c r="J2031" s="7" t="inlineStr">
        <is>
          <t>O/S</t>
        </is>
      </c>
      <c r="K2031" s="7" t="inlineStr">
        <is>
          <t>268/3361</t>
        </is>
      </c>
      <c r="L2031" s="7" t="inlineStr">
        <is>
          <t>Yes</t>
        </is>
      </c>
      <c r="M2031" s="7" t="inlineStr">
        <is>
          <t>This mat features a natural rubber base with a little extra cushion to give your body more depth while your mind goes deep.</t>
        </is>
      </c>
      <c r="N2031" s="7" t="inlineStr">
        <is>
          <t>The-Mat-5mm</t>
        </is>
      </c>
      <c r="O2031" s="7" t="inlineStr"/>
    </row>
    <row r="2032" ht="80" customHeight="1">
      <c r="A2032" s="6">
        <f>IMAGE("https://images.lululemon.com/is/image/lululemon/LU9CJ7S_0001_1?wid=320&amp;op_usm=0.8",1)</f>
        <v/>
      </c>
      <c r="B2032" s="6" t="inlineStr">
        <is>
          <t>The Mat 5mm *Made With FSC™ Certified Rubber</t>
        </is>
      </c>
      <c r="C2032" s="6" t="inlineStr">
        <is>
          <t>157868465</t>
        </is>
      </c>
      <c r="D2032" s="6" t="inlineStr">
        <is>
          <t>157868465-sweetvelvet/plum/faintlavender/white/sweetvelvet</t>
        </is>
      </c>
      <c r="E2032" s="6" t="inlineStr">
        <is>
          <t>The Mat 5mm BLK ONE SIZE</t>
        </is>
      </c>
      <c r="F2032" s="6" t="inlineStr">
        <is>
          <t>$118.00</t>
        </is>
      </c>
      <c r="G2032" s="6" t="inlineStr">
        <is>
          <t>$59.00</t>
        </is>
      </c>
      <c r="H2032" s="6" t="inlineStr">
        <is>
          <t>Sweet Velvet/Plum/Faint Lavender/White/Sweet Velvet</t>
        </is>
      </c>
      <c r="I2032" s="6">
        <f>IMAGE("https://images.lululemon.com/is/image/lululemon/73781",1)</f>
        <v/>
      </c>
      <c r="J2032" s="6" t="inlineStr">
        <is>
          <t>O/S</t>
        </is>
      </c>
      <c r="K2032" s="6" t="inlineStr">
        <is>
          <t>1059/3361</t>
        </is>
      </c>
      <c r="L2032" s="6" t="inlineStr">
        <is>
          <t>Yes</t>
        </is>
      </c>
      <c r="M2032" s="6" t="inlineStr">
        <is>
          <t>This mat features a natural rubber base with a little extra cushion to give your body more depth while your mind goes deep.</t>
        </is>
      </c>
      <c r="N2032" s="6" t="inlineStr">
        <is>
          <t>The-Mat-5mm</t>
        </is>
      </c>
      <c r="O2032" s="6" t="inlineStr"/>
    </row>
    <row r="2033" ht="80" customHeight="1">
      <c r="A2033" s="7">
        <f>IMAGE("https://images.lululemon.com/is/image/lululemon/LW3JBKS_032507_1?wid=320&amp;op_usm=0.8",1)</f>
        <v/>
      </c>
      <c r="B2033" s="7" t="inlineStr">
        <is>
          <t>Sculpt Cross-Vent Short-Sleeve Shirt</t>
        </is>
      </c>
      <c r="C2033" s="7" t="inlineStr">
        <is>
          <t>157706951</t>
        </is>
      </c>
      <c r="D2033" s="7" t="inlineStr">
        <is>
          <t>157706951-nightmoth</t>
        </is>
      </c>
      <c r="E2033" s="7" t="inlineStr">
        <is>
          <t>Sculpt Cross-Vent Short Sleeve NIGH 2</t>
        </is>
      </c>
      <c r="F2033" s="7" t="inlineStr">
        <is>
          <t>$68.00</t>
        </is>
      </c>
      <c r="G2033" s="7" t="inlineStr">
        <is>
          <t>$34.00</t>
        </is>
      </c>
      <c r="H2033" s="7" t="inlineStr">
        <is>
          <t>Nightmoth</t>
        </is>
      </c>
      <c r="I2033" s="7">
        <f>IMAGE("https://images.lululemon.com/is/image/lululemon/71168",1)</f>
        <v/>
      </c>
      <c r="J2033" s="7" t="inlineStr">
        <is>
          <t>2</t>
        </is>
      </c>
      <c r="K2033" s="7" t="inlineStr">
        <is>
          <t>23/240</t>
        </is>
      </c>
      <c r="L2033" s="7" t="inlineStr">
        <is>
          <t>Yes</t>
        </is>
      </c>
      <c r="M2033" s="7" t="inlineStr">
        <is>
          <t>Sprints anyone? This version of our Sculpt short sleeve has mesh overlays and back cutouts for enhanced breathability in sweaty situations.</t>
        </is>
      </c>
      <c r="N2033" s="7" t="inlineStr">
        <is>
          <t>Sculpt-Cross-Vent-Short-Sleeve-Shirt</t>
        </is>
      </c>
      <c r="O2033" s="7" t="inlineStr"/>
    </row>
    <row r="2034" ht="80" customHeight="1">
      <c r="A2034" s="4">
        <f>IMAGE("https://images.lululemon.com/is/image/lululemon/LW3JBKS_032507_1?wid=320&amp;op_usm=0.8",1)</f>
        <v/>
      </c>
      <c r="B2034" s="4" t="inlineStr">
        <is>
          <t>Sculpt Cross-Vent Short-Sleeve Shirt</t>
        </is>
      </c>
      <c r="C2034" s="4" t="inlineStr">
        <is>
          <t>157706960</t>
        </is>
      </c>
      <c r="D2034" s="4" t="inlineStr">
        <is>
          <t>157706960-nightmoth</t>
        </is>
      </c>
      <c r="E2034" s="4" t="inlineStr">
        <is>
          <t>Sculpt Cross-Vent Short Sleeve NIGH 2</t>
        </is>
      </c>
      <c r="F2034" s="4" t="inlineStr">
        <is>
          <t>$68.00</t>
        </is>
      </c>
      <c r="G2034" s="4" t="inlineStr">
        <is>
          <t>$34.00</t>
        </is>
      </c>
      <c r="H2034" s="4" t="inlineStr">
        <is>
          <t>Nightmoth</t>
        </is>
      </c>
      <c r="I2034" s="4">
        <f>IMAGE("https://images.lululemon.com/is/image/lululemon/71168",1)</f>
        <v/>
      </c>
      <c r="J2034" s="4" t="inlineStr">
        <is>
          <t>4</t>
        </is>
      </c>
      <c r="K2034" s="4" t="inlineStr">
        <is>
          <t>27/240</t>
        </is>
      </c>
      <c r="L2034" s="4" t="inlineStr">
        <is>
          <t>Yes</t>
        </is>
      </c>
      <c r="M2034" s="4" t="inlineStr">
        <is>
          <t>Sprints anyone? This version of our Sculpt short sleeve has mesh overlays and back cutouts for enhanced breathability in sweaty situations.</t>
        </is>
      </c>
      <c r="N2034" s="4" t="inlineStr">
        <is>
          <t>Sculpt-Cross-Vent-Short-Sleeve-Shirt</t>
        </is>
      </c>
      <c r="O2034" s="4" t="inlineStr"/>
    </row>
    <row r="2035" ht="80" customHeight="1">
      <c r="A2035" s="7">
        <f>IMAGE("https://images.lululemon.com/is/image/lululemon/LW3JBKS_032507_1?wid=320&amp;op_usm=0.8",1)</f>
        <v/>
      </c>
      <c r="B2035" s="7" t="inlineStr">
        <is>
          <t>Sculpt Cross-Vent Short-Sleeve Shirt</t>
        </is>
      </c>
      <c r="C2035" s="7" t="inlineStr">
        <is>
          <t>157706975</t>
        </is>
      </c>
      <c r="D2035" s="7" t="inlineStr">
        <is>
          <t>157706975-nightmoth</t>
        </is>
      </c>
      <c r="E2035" s="7" t="inlineStr">
        <is>
          <t>Sculpt Cross-Vent Short Sleeve NIGH 2</t>
        </is>
      </c>
      <c r="F2035" s="7" t="inlineStr">
        <is>
          <t>$68.00</t>
        </is>
      </c>
      <c r="G2035" s="7" t="inlineStr">
        <is>
          <t>$34.00</t>
        </is>
      </c>
      <c r="H2035" s="7" t="inlineStr">
        <is>
          <t>Nightmoth</t>
        </is>
      </c>
      <c r="I2035" s="7">
        <f>IMAGE("https://images.lululemon.com/is/image/lululemon/71168",1)</f>
        <v/>
      </c>
      <c r="J2035" s="7" t="inlineStr">
        <is>
          <t>6</t>
        </is>
      </c>
      <c r="K2035" s="7" t="inlineStr">
        <is>
          <t>24/240</t>
        </is>
      </c>
      <c r="L2035" s="7" t="inlineStr">
        <is>
          <t>Yes</t>
        </is>
      </c>
      <c r="M2035" s="7" t="inlineStr">
        <is>
          <t>Sprints anyone? This version of our Sculpt short sleeve has mesh overlays and back cutouts for enhanced breathability in sweaty situations.</t>
        </is>
      </c>
      <c r="N2035" s="7" t="inlineStr">
        <is>
          <t>Sculpt-Cross-Vent-Short-Sleeve-Shirt</t>
        </is>
      </c>
      <c r="O2035" s="7" t="inlineStr"/>
    </row>
    <row r="2036" ht="80" customHeight="1">
      <c r="A2036" s="4">
        <f>IMAGE("https://images.lululemon.com/is/image/lululemon/LW3JBKS_032507_1?wid=320&amp;op_usm=0.8",1)</f>
        <v/>
      </c>
      <c r="B2036" s="4" t="inlineStr">
        <is>
          <t>Sculpt Cross-Vent Short-Sleeve Shirt</t>
        </is>
      </c>
      <c r="C2036" s="4" t="inlineStr">
        <is>
          <t>157706984</t>
        </is>
      </c>
      <c r="D2036" s="4" t="inlineStr">
        <is>
          <t>157706984-nightmoth</t>
        </is>
      </c>
      <c r="E2036" s="4" t="inlineStr">
        <is>
          <t>Sculpt Cross-Vent Short Sleeve NIGH 2</t>
        </is>
      </c>
      <c r="F2036" s="4" t="inlineStr">
        <is>
          <t>$68.00</t>
        </is>
      </c>
      <c r="G2036" s="4" t="inlineStr">
        <is>
          <t>$34.00</t>
        </is>
      </c>
      <c r="H2036" s="4" t="inlineStr">
        <is>
          <t>Nightmoth</t>
        </is>
      </c>
      <c r="I2036" s="4">
        <f>IMAGE("https://images.lululemon.com/is/image/lululemon/71168",1)</f>
        <v/>
      </c>
      <c r="J2036" s="4" t="inlineStr">
        <is>
          <t>8</t>
        </is>
      </c>
      <c r="K2036" s="4" t="inlineStr">
        <is>
          <t>14/240</t>
        </is>
      </c>
      <c r="L2036" s="4" t="inlineStr">
        <is>
          <t>Yes</t>
        </is>
      </c>
      <c r="M2036" s="4" t="inlineStr">
        <is>
          <t>Sprints anyone? This version of our Sculpt short sleeve has mesh overlays and back cutouts for enhanced breathability in sweaty situations.</t>
        </is>
      </c>
      <c r="N2036" s="4" t="inlineStr">
        <is>
          <t>Sculpt-Cross-Vent-Short-Sleeve-Shirt</t>
        </is>
      </c>
      <c r="O2036" s="4" t="inlineStr"/>
    </row>
    <row r="2037" ht="80" customHeight="1">
      <c r="A2037" s="7">
        <f>IMAGE("https://images.lululemon.com/is/image/lululemon/LW3JBKS_032507_1?wid=320&amp;op_usm=0.8",1)</f>
        <v/>
      </c>
      <c r="B2037" s="7" t="inlineStr">
        <is>
          <t>Sculpt Cross-Vent Short-Sleeve Shirt</t>
        </is>
      </c>
      <c r="C2037" s="7" t="inlineStr">
        <is>
          <t>157706879</t>
        </is>
      </c>
      <c r="D2037" s="7" t="inlineStr">
        <is>
          <t>157706879-sereneblue</t>
        </is>
      </c>
      <c r="E2037" s="7" t="inlineStr">
        <is>
          <t>Sculpt Cross-Vent Short Sleeve NIGH 2</t>
        </is>
      </c>
      <c r="F2037" s="7" t="inlineStr">
        <is>
          <t>$68.00</t>
        </is>
      </c>
      <c r="G2037" s="7" t="inlineStr">
        <is>
          <t>$34.00</t>
        </is>
      </c>
      <c r="H2037" s="7" t="inlineStr">
        <is>
          <t>Serene Blue</t>
        </is>
      </c>
      <c r="I2037" s="7">
        <f>IMAGE("https://images.lululemon.com/is/image/lululemon/32507",1)</f>
        <v/>
      </c>
      <c r="J2037" s="7" t="inlineStr">
        <is>
          <t>2</t>
        </is>
      </c>
      <c r="K2037" s="7" t="inlineStr">
        <is>
          <t>24/240</t>
        </is>
      </c>
      <c r="L2037" s="7" t="inlineStr">
        <is>
          <t>Yes</t>
        </is>
      </c>
      <c r="M2037" s="7" t="inlineStr">
        <is>
          <t>Sprints anyone? This version of our Sculpt short sleeve has mesh overlays and back cutouts for enhanced breathability in sweaty situations.</t>
        </is>
      </c>
      <c r="N2037" s="7" t="inlineStr">
        <is>
          <t>Sculpt-Cross-Vent-Short-Sleeve-Shirt</t>
        </is>
      </c>
      <c r="O2037" s="7" t="inlineStr"/>
    </row>
    <row r="2038" ht="80" customHeight="1">
      <c r="A2038" s="4">
        <f>IMAGE("https://images.lululemon.com/is/image/lululemon/LW3JBKS_032507_1?wid=320&amp;op_usm=0.8",1)</f>
        <v/>
      </c>
      <c r="B2038" s="4" t="inlineStr">
        <is>
          <t>Sculpt Cross-Vent Short-Sleeve Shirt</t>
        </is>
      </c>
      <c r="C2038" s="4" t="inlineStr">
        <is>
          <t>157706901</t>
        </is>
      </c>
      <c r="D2038" s="4" t="inlineStr">
        <is>
          <t>157706901-sereneblue</t>
        </is>
      </c>
      <c r="E2038" s="4" t="inlineStr">
        <is>
          <t>Sculpt Cross-Vent Short Sleeve NIGH 2</t>
        </is>
      </c>
      <c r="F2038" s="4" t="inlineStr">
        <is>
          <t>$68.00</t>
        </is>
      </c>
      <c r="G2038" s="4" t="inlineStr">
        <is>
          <t>$34.00</t>
        </is>
      </c>
      <c r="H2038" s="4" t="inlineStr">
        <is>
          <t>Serene Blue</t>
        </is>
      </c>
      <c r="I2038" s="4">
        <f>IMAGE("https://images.lululemon.com/is/image/lululemon/32507",1)</f>
        <v/>
      </c>
      <c r="J2038" s="4" t="inlineStr">
        <is>
          <t>6</t>
        </is>
      </c>
      <c r="K2038" s="4" t="inlineStr">
        <is>
          <t>53/240</t>
        </is>
      </c>
      <c r="L2038" s="4" t="inlineStr">
        <is>
          <t>Yes</t>
        </is>
      </c>
      <c r="M2038" s="4" t="inlineStr">
        <is>
          <t>Sprints anyone? This version of our Sculpt short sleeve has mesh overlays and back cutouts for enhanced breathability in sweaty situations.</t>
        </is>
      </c>
      <c r="N2038" s="4" t="inlineStr">
        <is>
          <t>Sculpt-Cross-Vent-Short-Sleeve-Shirt</t>
        </is>
      </c>
      <c r="O2038" s="4" t="inlineStr"/>
    </row>
    <row r="2039" ht="80" customHeight="1">
      <c r="A2039" s="7">
        <f>IMAGE("https://images.lululemon.com/is/image/lululemon/LW3JBKS_032507_1?wid=320&amp;op_usm=0.8",1)</f>
        <v/>
      </c>
      <c r="B2039" s="7" t="inlineStr">
        <is>
          <t>Sculpt Cross-Vent Short-Sleeve Shirt</t>
        </is>
      </c>
      <c r="C2039" s="7" t="inlineStr">
        <is>
          <t>157706914</t>
        </is>
      </c>
      <c r="D2039" s="7" t="inlineStr">
        <is>
          <t>157706914-sereneblue</t>
        </is>
      </c>
      <c r="E2039" s="7" t="inlineStr">
        <is>
          <t>Sculpt Cross-Vent Short Sleeve NIGH 2</t>
        </is>
      </c>
      <c r="F2039" s="7" t="inlineStr">
        <is>
          <t>$68.00</t>
        </is>
      </c>
      <c r="G2039" s="7" t="inlineStr">
        <is>
          <t>$34.00</t>
        </is>
      </c>
      <c r="H2039" s="7" t="inlineStr">
        <is>
          <t>Serene Blue</t>
        </is>
      </c>
      <c r="I2039" s="7">
        <f>IMAGE("https://images.lululemon.com/is/image/lululemon/32507",1)</f>
        <v/>
      </c>
      <c r="J2039" s="7" t="inlineStr">
        <is>
          <t>8</t>
        </is>
      </c>
      <c r="K2039" s="7" t="inlineStr">
        <is>
          <t>45/240</t>
        </is>
      </c>
      <c r="L2039" s="7" t="inlineStr">
        <is>
          <t>Yes</t>
        </is>
      </c>
      <c r="M2039" s="7" t="inlineStr">
        <is>
          <t>Sprints anyone? This version of our Sculpt short sleeve has mesh overlays and back cutouts for enhanced breathability in sweaty situations.</t>
        </is>
      </c>
      <c r="N2039" s="7" t="inlineStr">
        <is>
          <t>Sculpt-Cross-Vent-Short-Sleeve-Shirt</t>
        </is>
      </c>
      <c r="O2039" s="7" t="inlineStr"/>
    </row>
    <row r="2040" ht="80" customHeight="1">
      <c r="A2040" s="4">
        <f>IMAGE("https://images.lululemon.com/is/image/lululemon/LW3JBKS_032507_1?wid=320&amp;op_usm=0.8",1)</f>
        <v/>
      </c>
      <c r="B2040" s="4" t="inlineStr">
        <is>
          <t>Sculpt Cross-Vent Short-Sleeve Shirt</t>
        </is>
      </c>
      <c r="C2040" s="4" t="inlineStr">
        <is>
          <t>157706854</t>
        </is>
      </c>
      <c r="D2040" s="4" t="inlineStr">
        <is>
          <t>157706854-sereneblue</t>
        </is>
      </c>
      <c r="E2040" s="4" t="inlineStr">
        <is>
          <t>Sculpt Cross-Vent Short Sleeve NIGH 2</t>
        </is>
      </c>
      <c r="F2040" s="4" t="inlineStr">
        <is>
          <t>$68.00</t>
        </is>
      </c>
      <c r="G2040" s="4" t="inlineStr">
        <is>
          <t>$34.00</t>
        </is>
      </c>
      <c r="H2040" s="4" t="inlineStr">
        <is>
          <t>Serene Blue</t>
        </is>
      </c>
      <c r="I2040" s="4">
        <f>IMAGE("https://images.lululemon.com/is/image/lululemon/32507",1)</f>
        <v/>
      </c>
      <c r="J2040" s="4" t="inlineStr">
        <is>
          <t>10</t>
        </is>
      </c>
      <c r="K2040" s="4" t="inlineStr">
        <is>
          <t>21/240</t>
        </is>
      </c>
      <c r="L2040" s="4" t="inlineStr">
        <is>
          <t>Yes</t>
        </is>
      </c>
      <c r="M2040" s="4" t="inlineStr">
        <is>
          <t>Sprints anyone? This version of our Sculpt short sleeve has mesh overlays and back cutouts for enhanced breathability in sweaty situations.</t>
        </is>
      </c>
      <c r="N2040" s="4" t="inlineStr">
        <is>
          <t>Sculpt-Cross-Vent-Short-Sleeve-Shirt</t>
        </is>
      </c>
      <c r="O2040" s="4" t="inlineStr"/>
    </row>
    <row r="2041" ht="80" customHeight="1">
      <c r="A2041" s="5">
        <f>IMAGE("https://images.lululemon.com/is/image/lululemon/LW3JBKS_032507_1?wid=320&amp;op_usm=0.8",1)</f>
        <v/>
      </c>
      <c r="B2041" s="5" t="inlineStr">
        <is>
          <t>Sculpt Cross-Vent Short-Sleeve Shirt</t>
        </is>
      </c>
      <c r="C2041" s="5" t="inlineStr">
        <is>
          <t>157706863</t>
        </is>
      </c>
      <c r="D2041" s="5" t="inlineStr">
        <is>
          <t>157706863-sereneblue</t>
        </is>
      </c>
      <c r="E2041" s="5" t="inlineStr">
        <is>
          <t>Sculpt Cross-Vent Short Sleeve NIGH 2</t>
        </is>
      </c>
      <c r="F2041" s="5" t="inlineStr">
        <is>
          <t>$68.00</t>
        </is>
      </c>
      <c r="G2041" s="5" t="inlineStr">
        <is>
          <t>$34.00</t>
        </is>
      </c>
      <c r="H2041" s="5" t="inlineStr">
        <is>
          <t>Serene Blue</t>
        </is>
      </c>
      <c r="I2041" s="5">
        <f>IMAGE("https://images.lululemon.com/is/image/lululemon/32507",1)</f>
        <v/>
      </c>
      <c r="J2041" s="5" t="inlineStr">
        <is>
          <t>12</t>
        </is>
      </c>
      <c r="K2041" s="5" t="inlineStr">
        <is>
          <t>9/240</t>
        </is>
      </c>
      <c r="L2041" s="5" t="inlineStr">
        <is>
          <t>Yes</t>
        </is>
      </c>
      <c r="M2041" s="5" t="inlineStr">
        <is>
          <t>Sprints anyone? This version of our Sculpt short sleeve has mesh overlays and back cutouts for enhanced breathability in sweaty situations.</t>
        </is>
      </c>
      <c r="N2041" s="5" t="inlineStr">
        <is>
          <t>Sculpt-Cross-Vent-Short-Sleeve-Shirt</t>
        </is>
      </c>
      <c r="O2041" s="5" t="inlineStr"/>
    </row>
    <row r="2042" ht="80" customHeight="1">
      <c r="A2042" s="4">
        <f>IMAGE("https://images.lululemon.com/is/image/lululemon/LW3JI7S_0001_1?wid=320&amp;op_usm=0.8",1)</f>
        <v/>
      </c>
      <c r="B2042" s="4" t="inlineStr">
        <is>
          <t>Adapted State Vented Jacket *Crinkle</t>
        </is>
      </c>
      <c r="C2042" s="4" t="inlineStr">
        <is>
          <t>158119514</t>
        </is>
      </c>
      <c r="D2042" s="4" t="inlineStr">
        <is>
          <t>158119514-black</t>
        </is>
      </c>
      <c r="E2042" s="4" t="inlineStr">
        <is>
          <t>Adapted State Vented Jacket *Crinkle BLK XS</t>
        </is>
      </c>
      <c r="F2042" s="4" t="inlineStr">
        <is>
          <t>$138.00</t>
        </is>
      </c>
      <c r="G2042" s="4" t="inlineStr">
        <is>
          <t>$69.00</t>
        </is>
      </c>
      <c r="H2042" s="4" t="inlineStr">
        <is>
          <t>Black</t>
        </is>
      </c>
      <c r="I2042" s="4">
        <f>IMAGE("https://images.lululemon.com/is/image/lululemon/0001",1)</f>
        <v/>
      </c>
      <c r="J2042" s="4" t="inlineStr">
        <is>
          <t>XS</t>
        </is>
      </c>
      <c r="K2042" s="4" t="inlineStr">
        <is>
          <t>109/461</t>
        </is>
      </c>
      <c r="L2042" s="4" t="inlineStr">
        <is>
          <t>Yes</t>
        </is>
      </c>
      <c r="M2042" s="4" t="inlineStr">
        <is>
          <t>Think fast. This vented version of our Adapted State jacket is all about quick transitions. Soft, crinkled fabric is water-repellent so you're always ready for what's next.</t>
        </is>
      </c>
      <c r="N2042" s="4" t="inlineStr">
        <is>
          <t>Adapted-State-Vented-Jacket-Crinkle</t>
        </is>
      </c>
      <c r="O2042" s="4" t="inlineStr">
        <is>
          <t>Athletic Jackets</t>
        </is>
      </c>
    </row>
    <row r="2043" ht="80" customHeight="1">
      <c r="A2043" s="7">
        <f>IMAGE("https://images.lululemon.com/is/image/lululemon/LW3JI7S_0001_1?wid=320&amp;op_usm=0.8",1)</f>
        <v/>
      </c>
      <c r="B2043" s="7" t="inlineStr">
        <is>
          <t>Adapted State Vented Jacket *Crinkle</t>
        </is>
      </c>
      <c r="C2043" s="7" t="inlineStr">
        <is>
          <t>158119512</t>
        </is>
      </c>
      <c r="D2043" s="7" t="inlineStr">
        <is>
          <t>158119512-black</t>
        </is>
      </c>
      <c r="E2043" s="7" t="inlineStr">
        <is>
          <t>Adapted State Vented Jacket *Crinkle BLK XS</t>
        </is>
      </c>
      <c r="F2043" s="7" t="inlineStr">
        <is>
          <t>$138.00</t>
        </is>
      </c>
      <c r="G2043" s="7" t="inlineStr">
        <is>
          <t>$69.00</t>
        </is>
      </c>
      <c r="H2043" s="7" t="inlineStr">
        <is>
          <t>Black</t>
        </is>
      </c>
      <c r="I2043" s="7">
        <f>IMAGE("https://images.lululemon.com/is/image/lululemon/0001",1)</f>
        <v/>
      </c>
      <c r="J2043" s="7" t="inlineStr">
        <is>
          <t>S</t>
        </is>
      </c>
      <c r="K2043" s="7" t="inlineStr">
        <is>
          <t>102/461</t>
        </is>
      </c>
      <c r="L2043" s="7" t="inlineStr">
        <is>
          <t>Yes</t>
        </is>
      </c>
      <c r="M2043" s="7" t="inlineStr">
        <is>
          <t>Think fast. This vented version of our Adapted State jacket is all about quick transitions. Soft, crinkled fabric is water-repellent so you're always ready for what's next.</t>
        </is>
      </c>
      <c r="N2043" s="7" t="inlineStr">
        <is>
          <t>Adapted-State-Vented-Jacket-Crinkle</t>
        </is>
      </c>
      <c r="O2043" s="7" t="inlineStr">
        <is>
          <t>Athletic Jackets</t>
        </is>
      </c>
    </row>
    <row r="2044" ht="80" customHeight="1">
      <c r="A2044" s="4">
        <f>IMAGE("https://images.lululemon.com/is/image/lululemon/LW3JI7S_0001_1?wid=320&amp;op_usm=0.8",1)</f>
        <v/>
      </c>
      <c r="B2044" s="4" t="inlineStr">
        <is>
          <t>Adapted State Vented Jacket *Crinkle</t>
        </is>
      </c>
      <c r="C2044" s="4" t="inlineStr">
        <is>
          <t>158119511</t>
        </is>
      </c>
      <c r="D2044" s="4" t="inlineStr">
        <is>
          <t>158119511-black</t>
        </is>
      </c>
      <c r="E2044" s="4" t="inlineStr">
        <is>
          <t>Adapted State Vented Jacket *Crinkle BLK XS</t>
        </is>
      </c>
      <c r="F2044" s="4" t="inlineStr">
        <is>
          <t>$138.00</t>
        </is>
      </c>
      <c r="G2044" s="4" t="inlineStr">
        <is>
          <t>$69.00</t>
        </is>
      </c>
      <c r="H2044" s="4" t="inlineStr">
        <is>
          <t>Black</t>
        </is>
      </c>
      <c r="I2044" s="4">
        <f>IMAGE("https://images.lululemon.com/is/image/lululemon/0001",1)</f>
        <v/>
      </c>
      <c r="J2044" s="4" t="inlineStr">
        <is>
          <t>M</t>
        </is>
      </c>
      <c r="K2044" s="4" t="inlineStr">
        <is>
          <t>71/461</t>
        </is>
      </c>
      <c r="L2044" s="4" t="inlineStr">
        <is>
          <t>Yes</t>
        </is>
      </c>
      <c r="M2044" s="4" t="inlineStr">
        <is>
          <t>Think fast. This vented version of our Adapted State jacket is all about quick transitions. Soft, crinkled fabric is water-repellent so you're always ready for what's next.</t>
        </is>
      </c>
      <c r="N2044" s="4" t="inlineStr">
        <is>
          <t>Adapted-State-Vented-Jacket-Crinkle</t>
        </is>
      </c>
      <c r="O2044" s="4" t="inlineStr">
        <is>
          <t>Athletic Jackets</t>
        </is>
      </c>
    </row>
    <row r="2045" ht="80" customHeight="1">
      <c r="A2045" s="7">
        <f>IMAGE("https://images.lululemon.com/is/image/lululemon/LW3JI7S_0001_1?wid=320&amp;op_usm=0.8",1)</f>
        <v/>
      </c>
      <c r="B2045" s="7" t="inlineStr">
        <is>
          <t>Adapted State Vented Jacket *Crinkle</t>
        </is>
      </c>
      <c r="C2045" s="7" t="inlineStr">
        <is>
          <t>158119510</t>
        </is>
      </c>
      <c r="D2045" s="7" t="inlineStr">
        <is>
          <t>158119510-black</t>
        </is>
      </c>
      <c r="E2045" s="7" t="inlineStr">
        <is>
          <t>Adapted State Vented Jacket *Crinkle BLK XS</t>
        </is>
      </c>
      <c r="F2045" s="7" t="inlineStr">
        <is>
          <t>$138.00</t>
        </is>
      </c>
      <c r="G2045" s="7" t="inlineStr">
        <is>
          <t>$69.00</t>
        </is>
      </c>
      <c r="H2045" s="7" t="inlineStr">
        <is>
          <t>Black</t>
        </is>
      </c>
      <c r="I2045" s="7">
        <f>IMAGE("https://images.lululemon.com/is/image/lululemon/0001",1)</f>
        <v/>
      </c>
      <c r="J2045" s="7" t="inlineStr">
        <is>
          <t>L</t>
        </is>
      </c>
      <c r="K2045" s="7" t="inlineStr">
        <is>
          <t>42/461</t>
        </is>
      </c>
      <c r="L2045" s="7" t="inlineStr">
        <is>
          <t>Yes</t>
        </is>
      </c>
      <c r="M2045" s="7" t="inlineStr">
        <is>
          <t>Think fast. This vented version of our Adapted State jacket is all about quick transitions. Soft, crinkled fabric is water-repellent so you're always ready for what's next.</t>
        </is>
      </c>
      <c r="N2045" s="7" t="inlineStr">
        <is>
          <t>Adapted-State-Vented-Jacket-Crinkle</t>
        </is>
      </c>
      <c r="O2045" s="7" t="inlineStr">
        <is>
          <t>Athletic Jackets</t>
        </is>
      </c>
    </row>
    <row r="2046" ht="80" customHeight="1">
      <c r="A2046" s="4">
        <f>IMAGE("https://images.lululemon.com/is/image/lululemon/LW3JI7S_0001_1?wid=320&amp;op_usm=0.8",1)</f>
        <v/>
      </c>
      <c r="B2046" s="4" t="inlineStr">
        <is>
          <t>Adapted State Vented Jacket *Crinkle</t>
        </is>
      </c>
      <c r="C2046" s="4" t="inlineStr">
        <is>
          <t>158119513</t>
        </is>
      </c>
      <c r="D2046" s="4" t="inlineStr">
        <is>
          <t>158119513-black</t>
        </is>
      </c>
      <c r="E2046" s="4" t="inlineStr">
        <is>
          <t>Adapted State Vented Jacket *Crinkle BLK XS</t>
        </is>
      </c>
      <c r="F2046" s="4" t="inlineStr">
        <is>
          <t>$138.00</t>
        </is>
      </c>
      <c r="G2046" s="4" t="inlineStr">
        <is>
          <t>$69.00</t>
        </is>
      </c>
      <c r="H2046" s="4" t="inlineStr">
        <is>
          <t>Black</t>
        </is>
      </c>
      <c r="I2046" s="4">
        <f>IMAGE("https://images.lululemon.com/is/image/lululemon/0001",1)</f>
        <v/>
      </c>
      <c r="J2046" s="4" t="inlineStr">
        <is>
          <t>XL</t>
        </is>
      </c>
      <c r="K2046" s="4" t="inlineStr">
        <is>
          <t>28/461</t>
        </is>
      </c>
      <c r="L2046" s="4" t="inlineStr">
        <is>
          <t>Yes</t>
        </is>
      </c>
      <c r="M2046" s="4" t="inlineStr">
        <is>
          <t>Think fast. This vented version of our Adapted State jacket is all about quick transitions. Soft, crinkled fabric is water-repellent so you're always ready for what's next.</t>
        </is>
      </c>
      <c r="N2046" s="4" t="inlineStr">
        <is>
          <t>Adapted-State-Vented-Jacket-Crinkle</t>
        </is>
      </c>
      <c r="O2046" s="4" t="inlineStr">
        <is>
          <t>Athletic Jackets</t>
        </is>
      </c>
    </row>
    <row r="2047" ht="80" customHeight="1">
      <c r="A2047" s="7">
        <f>IMAGE("https://images.lululemon.com/is/image/lululemon/LW3JI7S_0001_1?wid=320&amp;op_usm=0.8",1)</f>
        <v/>
      </c>
      <c r="B2047" s="7" t="inlineStr">
        <is>
          <t>Adapted State Vented Jacket *Crinkle</t>
        </is>
      </c>
      <c r="C2047" s="7" t="inlineStr">
        <is>
          <t>158119520</t>
        </is>
      </c>
      <c r="D2047" s="7" t="inlineStr">
        <is>
          <t>158119520-atmosphericpurple</t>
        </is>
      </c>
      <c r="E2047" s="7" t="inlineStr">
        <is>
          <t>Adapted State Vented Jacket *Crinkle BLK XS</t>
        </is>
      </c>
      <c r="F2047" s="7" t="inlineStr">
        <is>
          <t>$138.00</t>
        </is>
      </c>
      <c r="G2047" s="7" t="inlineStr">
        <is>
          <t>$69.00</t>
        </is>
      </c>
      <c r="H2047" s="7" t="inlineStr">
        <is>
          <t>ATMOSPHERIC PURPLE</t>
        </is>
      </c>
      <c r="I2047" s="7">
        <f>IMAGE("https://images.lululemon.com/is/image/lululemon/63787",1)</f>
        <v/>
      </c>
      <c r="J2047" s="7" t="inlineStr">
        <is>
          <t>XS</t>
        </is>
      </c>
      <c r="K2047" s="7" t="inlineStr">
        <is>
          <t>7/461</t>
        </is>
      </c>
      <c r="L2047" s="7" t="inlineStr">
        <is>
          <t>Yes</t>
        </is>
      </c>
      <c r="M2047" s="7" t="inlineStr">
        <is>
          <t>Think fast. This vented version of our Adapted State jacket is all about quick transitions. Soft, crinkled fabric is water-repellent so you're always ready for what's next.</t>
        </is>
      </c>
      <c r="N2047" s="7" t="inlineStr">
        <is>
          <t>Adapted-State-Vented-Jacket-Crinkle</t>
        </is>
      </c>
      <c r="O2047" s="7" t="inlineStr">
        <is>
          <t>Athletic Jackets</t>
        </is>
      </c>
    </row>
    <row r="2048" ht="80" customHeight="1">
      <c r="A2048" s="4">
        <f>IMAGE("https://images.lululemon.com/is/image/lululemon/LW3JI7S_0001_1?wid=320&amp;op_usm=0.8",1)</f>
        <v/>
      </c>
      <c r="B2048" s="4" t="inlineStr">
        <is>
          <t>Adapted State Vented Jacket *Crinkle</t>
        </is>
      </c>
      <c r="C2048" s="4" t="inlineStr">
        <is>
          <t>158119518</t>
        </is>
      </c>
      <c r="D2048" s="4" t="inlineStr">
        <is>
          <t>158119518-atmosphericpurple</t>
        </is>
      </c>
      <c r="E2048" s="4" t="inlineStr">
        <is>
          <t>Adapted State Vented Jacket *Crinkle BLK XS</t>
        </is>
      </c>
      <c r="F2048" s="4" t="inlineStr">
        <is>
          <t>$138.00</t>
        </is>
      </c>
      <c r="G2048" s="4" t="inlineStr">
        <is>
          <t>$69.00</t>
        </is>
      </c>
      <c r="H2048" s="4" t="inlineStr">
        <is>
          <t>ATMOSPHERIC PURPLE</t>
        </is>
      </c>
      <c r="I2048" s="4">
        <f>IMAGE("https://images.lululemon.com/is/image/lululemon/63787",1)</f>
        <v/>
      </c>
      <c r="J2048" s="4" t="inlineStr">
        <is>
          <t>S</t>
        </is>
      </c>
      <c r="K2048" s="4" t="inlineStr">
        <is>
          <t>19/461</t>
        </is>
      </c>
      <c r="L2048" s="4" t="inlineStr">
        <is>
          <t>Yes</t>
        </is>
      </c>
      <c r="M2048" s="4" t="inlineStr">
        <is>
          <t>Think fast. This vented version of our Adapted State jacket is all about quick transitions. Soft, crinkled fabric is water-repellent so you're always ready for what's next.</t>
        </is>
      </c>
      <c r="N2048" s="4" t="inlineStr">
        <is>
          <t>Adapted-State-Vented-Jacket-Crinkle</t>
        </is>
      </c>
      <c r="O2048" s="4" t="inlineStr">
        <is>
          <t>Athletic Jackets</t>
        </is>
      </c>
    </row>
    <row r="2049" ht="80" customHeight="1">
      <c r="A2049" s="7">
        <f>IMAGE("https://images.lululemon.com/is/image/lululemon/LW3JI7S_0001_1?wid=320&amp;op_usm=0.8",1)</f>
        <v/>
      </c>
      <c r="B2049" s="7" t="inlineStr">
        <is>
          <t>Adapted State Vented Jacket *Crinkle</t>
        </is>
      </c>
      <c r="C2049" s="7" t="inlineStr">
        <is>
          <t>158119517</t>
        </is>
      </c>
      <c r="D2049" s="7" t="inlineStr">
        <is>
          <t>158119517-atmosphericpurple</t>
        </is>
      </c>
      <c r="E2049" s="7" t="inlineStr">
        <is>
          <t>Adapted State Vented Jacket *Crinkle BLK XS</t>
        </is>
      </c>
      <c r="F2049" s="7" t="inlineStr">
        <is>
          <t>$138.00</t>
        </is>
      </c>
      <c r="G2049" s="7" t="inlineStr">
        <is>
          <t>$69.00</t>
        </is>
      </c>
      <c r="H2049" s="7" t="inlineStr">
        <is>
          <t>ATMOSPHERIC PURPLE</t>
        </is>
      </c>
      <c r="I2049" s="7">
        <f>IMAGE("https://images.lululemon.com/is/image/lululemon/63787",1)</f>
        <v/>
      </c>
      <c r="J2049" s="7" t="inlineStr">
        <is>
          <t>M</t>
        </is>
      </c>
      <c r="K2049" s="7" t="inlineStr">
        <is>
          <t>32/461</t>
        </is>
      </c>
      <c r="L2049" s="7" t="inlineStr">
        <is>
          <t>Yes</t>
        </is>
      </c>
      <c r="M2049" s="7" t="inlineStr">
        <is>
          <t>Think fast. This vented version of our Adapted State jacket is all about quick transitions. Soft, crinkled fabric is water-repellent so you're always ready for what's next.</t>
        </is>
      </c>
      <c r="N2049" s="7" t="inlineStr">
        <is>
          <t>Adapted-State-Vented-Jacket-Crinkle</t>
        </is>
      </c>
      <c r="O2049" s="7" t="inlineStr">
        <is>
          <t>Athletic Jackets</t>
        </is>
      </c>
    </row>
    <row r="2050" ht="80" customHeight="1">
      <c r="A2050" s="4">
        <f>IMAGE("https://images.lululemon.com/is/image/lululemon/LW3JI7S_0001_1?wid=320&amp;op_usm=0.8",1)</f>
        <v/>
      </c>
      <c r="B2050" s="4" t="inlineStr">
        <is>
          <t>Adapted State Vented Jacket *Crinkle</t>
        </is>
      </c>
      <c r="C2050" s="4" t="inlineStr">
        <is>
          <t>158119516</t>
        </is>
      </c>
      <c r="D2050" s="4" t="inlineStr">
        <is>
          <t>158119516-atmosphericpurple</t>
        </is>
      </c>
      <c r="E2050" s="4" t="inlineStr">
        <is>
          <t>Adapted State Vented Jacket *Crinkle BLK XS</t>
        </is>
      </c>
      <c r="F2050" s="4" t="inlineStr">
        <is>
          <t>$138.00</t>
        </is>
      </c>
      <c r="G2050" s="4" t="inlineStr">
        <is>
          <t>$69.00</t>
        </is>
      </c>
      <c r="H2050" s="4" t="inlineStr">
        <is>
          <t>ATMOSPHERIC PURPLE</t>
        </is>
      </c>
      <c r="I2050" s="4">
        <f>IMAGE("https://images.lululemon.com/is/image/lululemon/63787",1)</f>
        <v/>
      </c>
      <c r="J2050" s="4" t="inlineStr">
        <is>
          <t>L</t>
        </is>
      </c>
      <c r="K2050" s="4" t="inlineStr">
        <is>
          <t>34/461</t>
        </is>
      </c>
      <c r="L2050" s="4" t="inlineStr">
        <is>
          <t>Yes</t>
        </is>
      </c>
      <c r="M2050" s="4" t="inlineStr">
        <is>
          <t>Think fast. This vented version of our Adapted State jacket is all about quick transitions. Soft, crinkled fabric is water-repellent so you're always ready for what's next.</t>
        </is>
      </c>
      <c r="N2050" s="4" t="inlineStr">
        <is>
          <t>Adapted-State-Vented-Jacket-Crinkle</t>
        </is>
      </c>
      <c r="O2050" s="4" t="inlineStr">
        <is>
          <t>Athletic Jackets</t>
        </is>
      </c>
    </row>
    <row r="2051" ht="80" customHeight="1">
      <c r="A2051" s="5">
        <f>IMAGE("https://images.lululemon.com/is/image/lululemon/LW3JI7S_0001_1?wid=320&amp;op_usm=0.8",1)</f>
        <v/>
      </c>
      <c r="B2051" s="5" t="inlineStr">
        <is>
          <t>Adapted State Vented Jacket *Crinkle</t>
        </is>
      </c>
      <c r="C2051" s="5" t="inlineStr">
        <is>
          <t>158119519</t>
        </is>
      </c>
      <c r="D2051" s="5" t="inlineStr">
        <is>
          <t>158119519-atmosphericpurple</t>
        </is>
      </c>
      <c r="E2051" s="5" t="inlineStr">
        <is>
          <t>Adapted State Vented Jacket *Crinkle BLK XS</t>
        </is>
      </c>
      <c r="F2051" s="5" t="inlineStr">
        <is>
          <t>$138.00</t>
        </is>
      </c>
      <c r="G2051" s="5" t="inlineStr">
        <is>
          <t>$69.00</t>
        </is>
      </c>
      <c r="H2051" s="5" t="inlineStr">
        <is>
          <t>ATMOSPHERIC PURPLE</t>
        </is>
      </c>
      <c r="I2051" s="5">
        <f>IMAGE("https://images.lululemon.com/is/image/lululemon/63787",1)</f>
        <v/>
      </c>
      <c r="J2051" s="5" t="inlineStr">
        <is>
          <t>XL</t>
        </is>
      </c>
      <c r="K2051" s="5" t="inlineStr">
        <is>
          <t>17/461</t>
        </is>
      </c>
      <c r="L2051" s="5" t="inlineStr">
        <is>
          <t>Yes</t>
        </is>
      </c>
      <c r="M2051" s="5" t="inlineStr">
        <is>
          <t>Think fast. This vented version of our Adapted State jacket is all about quick transitions. Soft, crinkled fabric is water-repellent so you're always ready for what's next.</t>
        </is>
      </c>
      <c r="N2051" s="5" t="inlineStr">
        <is>
          <t>Adapted-State-Vented-Jacket-Crinkle</t>
        </is>
      </c>
      <c r="O2051" s="5" t="inlineStr">
        <is>
          <t>Athletic Jackets</t>
        </is>
      </c>
    </row>
    <row r="2052" ht="80" customHeight="1">
      <c r="A2052" s="4">
        <f>IMAGE("https://images.lululemon.com/is/image/lululemon/LW7DJ1S_071400_1?wid=320&amp;op_usm=0.8",1)</f>
        <v/>
      </c>
      <c r="B2052" s="4" t="inlineStr">
        <is>
          <t>Scuba High-Rise Short 5" *Waffle</t>
        </is>
      </c>
      <c r="C2052" s="4" t="inlineStr">
        <is>
          <t>158099653</t>
        </is>
      </c>
      <c r="D2052" s="4" t="inlineStr">
        <is>
          <t>158099653-heatheredfaintlavender</t>
        </is>
      </c>
      <c r="E2052" s="4" t="inlineStr">
        <is>
          <t>Scuba High-Rise Short 5" *Waffle HFLV XS</t>
        </is>
      </c>
      <c r="F2052" s="4" t="inlineStr">
        <is>
          <t>$84.00</t>
        </is>
      </c>
      <c r="G2052" s="4" t="inlineStr">
        <is>
          <t>$42.00</t>
        </is>
      </c>
      <c r="H2052" s="4" t="inlineStr">
        <is>
          <t>Heathered Faint Lavender</t>
        </is>
      </c>
      <c r="I2052" s="4">
        <f>IMAGE("https://images.lululemon.com/is/image/lululemon/42362",1)</f>
        <v/>
      </c>
      <c r="J2052" s="4" t="inlineStr">
        <is>
          <t>XS</t>
        </is>
      </c>
      <c r="K2052" s="4" t="inlineStr">
        <is>
          <t>15/189</t>
        </is>
      </c>
      <c r="L2052" s="4" t="inlineStr">
        <is>
          <t>Yes</t>
        </is>
      </c>
      <c r="M2052" s="4" t="inlineStr">
        <is>
          <t>Our signature sweatshort with a textured twist. A rich, waffle-knit fabric adds depth and softness to your downtime.</t>
        </is>
      </c>
      <c r="N2052" s="4" t="inlineStr">
        <is>
          <t>Scuba-High-Rise-Short-5-Waffle</t>
        </is>
      </c>
      <c r="O2052" s="4" t="inlineStr">
        <is>
          <t>Sweat Shorts</t>
        </is>
      </c>
    </row>
    <row r="2053" ht="80" customHeight="1">
      <c r="A2053" s="7">
        <f>IMAGE("https://images.lululemon.com/is/image/lululemon/LW7DJ1S_071400_1?wid=320&amp;op_usm=0.8",1)</f>
        <v/>
      </c>
      <c r="B2053" s="7" t="inlineStr">
        <is>
          <t>Scuba High-Rise Short 5" *Waffle</t>
        </is>
      </c>
      <c r="C2053" s="7" t="inlineStr">
        <is>
          <t>158099609</t>
        </is>
      </c>
      <c r="D2053" s="7" t="inlineStr">
        <is>
          <t>158099609-heatheredfaintlavender</t>
        </is>
      </c>
      <c r="E2053" s="7" t="inlineStr">
        <is>
          <t>Scuba High-Rise Short 5" *Waffle HFLV XS</t>
        </is>
      </c>
      <c r="F2053" s="7" t="inlineStr">
        <is>
          <t>$84.00</t>
        </is>
      </c>
      <c r="G2053" s="7" t="inlineStr">
        <is>
          <t>$42.00</t>
        </is>
      </c>
      <c r="H2053" s="7" t="inlineStr">
        <is>
          <t>Heathered Faint Lavender</t>
        </is>
      </c>
      <c r="I2053" s="7">
        <f>IMAGE("https://images.lululemon.com/is/image/lululemon/42362",1)</f>
        <v/>
      </c>
      <c r="J2053" s="7" t="inlineStr">
        <is>
          <t>S</t>
        </is>
      </c>
      <c r="K2053" s="7" t="inlineStr">
        <is>
          <t>26/189</t>
        </is>
      </c>
      <c r="L2053" s="7" t="inlineStr">
        <is>
          <t>Yes</t>
        </is>
      </c>
      <c r="M2053" s="7" t="inlineStr">
        <is>
          <t>Our signature sweatshort with a textured twist. A rich, waffle-knit fabric adds depth and softness to your downtime.</t>
        </is>
      </c>
      <c r="N2053" s="7" t="inlineStr">
        <is>
          <t>Scuba-High-Rise-Short-5-Waffle</t>
        </is>
      </c>
      <c r="O2053" s="7" t="inlineStr">
        <is>
          <t>Sweat Shorts</t>
        </is>
      </c>
    </row>
    <row r="2054" ht="80" customHeight="1">
      <c r="A2054" s="4">
        <f>IMAGE("https://images.lululemon.com/is/image/lululemon/LW7DJ1S_071400_1?wid=320&amp;op_usm=0.8",1)</f>
        <v/>
      </c>
      <c r="B2054" s="4" t="inlineStr">
        <is>
          <t>Scuba High-Rise Short 5" *Waffle</t>
        </is>
      </c>
      <c r="C2054" s="4" t="inlineStr">
        <is>
          <t>158099589</t>
        </is>
      </c>
      <c r="D2054" s="4" t="inlineStr">
        <is>
          <t>158099589-heatheredfaintlavender</t>
        </is>
      </c>
      <c r="E2054" s="4" t="inlineStr">
        <is>
          <t>Scuba High-Rise Short 5" *Waffle HFLV XS</t>
        </is>
      </c>
      <c r="F2054" s="4" t="inlineStr">
        <is>
          <t>$84.00</t>
        </is>
      </c>
      <c r="G2054" s="4" t="inlineStr">
        <is>
          <t>$42.00</t>
        </is>
      </c>
      <c r="H2054" s="4" t="inlineStr">
        <is>
          <t>Heathered Faint Lavender</t>
        </is>
      </c>
      <c r="I2054" s="4">
        <f>IMAGE("https://images.lululemon.com/is/image/lululemon/42362",1)</f>
        <v/>
      </c>
      <c r="J2054" s="4" t="inlineStr">
        <is>
          <t>M</t>
        </is>
      </c>
      <c r="K2054" s="4" t="inlineStr">
        <is>
          <t>26/189</t>
        </is>
      </c>
      <c r="L2054" s="4" t="inlineStr">
        <is>
          <t>Yes</t>
        </is>
      </c>
      <c r="M2054" s="4" t="inlineStr">
        <is>
          <t>Our signature sweatshort with a textured twist. A rich, waffle-knit fabric adds depth and softness to your downtime.</t>
        </is>
      </c>
      <c r="N2054" s="4" t="inlineStr">
        <is>
          <t>Scuba-High-Rise-Short-5-Waffle</t>
        </is>
      </c>
      <c r="O2054" s="4" t="inlineStr">
        <is>
          <t>Sweat Shorts</t>
        </is>
      </c>
    </row>
    <row r="2055" ht="80" customHeight="1">
      <c r="A2055" s="7">
        <f>IMAGE("https://images.lululemon.com/is/image/lululemon/LW7DJ1S_071400_1?wid=320&amp;op_usm=0.8",1)</f>
        <v/>
      </c>
      <c r="B2055" s="7" t="inlineStr">
        <is>
          <t>Scuba High-Rise Short 5" *Waffle</t>
        </is>
      </c>
      <c r="C2055" s="7" t="inlineStr">
        <is>
          <t>158099571</t>
        </is>
      </c>
      <c r="D2055" s="7" t="inlineStr">
        <is>
          <t>158099571-heatheredfaintlavender</t>
        </is>
      </c>
      <c r="E2055" s="7" t="inlineStr">
        <is>
          <t>Scuba High-Rise Short 5" *Waffle HFLV XS</t>
        </is>
      </c>
      <c r="F2055" s="7" t="inlineStr">
        <is>
          <t>$84.00</t>
        </is>
      </c>
      <c r="G2055" s="7" t="inlineStr">
        <is>
          <t>$42.00</t>
        </is>
      </c>
      <c r="H2055" s="7" t="inlineStr">
        <is>
          <t>Heathered Faint Lavender</t>
        </is>
      </c>
      <c r="I2055" s="7">
        <f>IMAGE("https://images.lululemon.com/is/image/lululemon/42362",1)</f>
        <v/>
      </c>
      <c r="J2055" s="7" t="inlineStr">
        <is>
          <t>L</t>
        </is>
      </c>
      <c r="K2055" s="7" t="inlineStr">
        <is>
          <t>16/189</t>
        </is>
      </c>
      <c r="L2055" s="7" t="inlineStr">
        <is>
          <t>Yes</t>
        </is>
      </c>
      <c r="M2055" s="7" t="inlineStr">
        <is>
          <t>Our signature sweatshort with a textured twist. A rich, waffle-knit fabric adds depth and softness to your downtime.</t>
        </is>
      </c>
      <c r="N2055" s="7" t="inlineStr">
        <is>
          <t>Scuba-High-Rise-Short-5-Waffle</t>
        </is>
      </c>
      <c r="O2055" s="7" t="inlineStr">
        <is>
          <t>Sweat Shorts</t>
        </is>
      </c>
    </row>
    <row r="2056" ht="80" customHeight="1">
      <c r="A2056" s="4">
        <f>IMAGE("https://images.lululemon.com/is/image/lululemon/LW7DJ1S_071400_1?wid=320&amp;op_usm=0.8",1)</f>
        <v/>
      </c>
      <c r="B2056" s="4" t="inlineStr">
        <is>
          <t>Scuba High-Rise Short 5" *Waffle</t>
        </is>
      </c>
      <c r="C2056" s="4" t="inlineStr">
        <is>
          <t>158099632</t>
        </is>
      </c>
      <c r="D2056" s="4" t="inlineStr">
        <is>
          <t>158099632-heatheredfaintlavender</t>
        </is>
      </c>
      <c r="E2056" s="4" t="inlineStr">
        <is>
          <t>Scuba High-Rise Short 5" *Waffle HFLV XS</t>
        </is>
      </c>
      <c r="F2056" s="4" t="inlineStr">
        <is>
          <t>$84.00</t>
        </is>
      </c>
      <c r="G2056" s="4" t="inlineStr">
        <is>
          <t>$42.00</t>
        </is>
      </c>
      <c r="H2056" s="4" t="inlineStr">
        <is>
          <t>Heathered Faint Lavender</t>
        </is>
      </c>
      <c r="I2056" s="4">
        <f>IMAGE("https://images.lululemon.com/is/image/lululemon/42362",1)</f>
        <v/>
      </c>
      <c r="J2056" s="4" t="inlineStr">
        <is>
          <t>XL</t>
        </is>
      </c>
      <c r="K2056" s="4" t="inlineStr">
        <is>
          <t>6/189</t>
        </is>
      </c>
      <c r="L2056" s="4" t="inlineStr">
        <is>
          <t>Yes</t>
        </is>
      </c>
      <c r="M2056" s="4" t="inlineStr">
        <is>
          <t>Our signature sweatshort with a textured twist. A rich, waffle-knit fabric adds depth and softness to your downtime.</t>
        </is>
      </c>
      <c r="N2056" s="4" t="inlineStr">
        <is>
          <t>Scuba-High-Rise-Short-5-Waffle</t>
        </is>
      </c>
      <c r="O2056" s="4" t="inlineStr">
        <is>
          <t>Sweat Shorts</t>
        </is>
      </c>
    </row>
    <row r="2057" ht="80" customHeight="1">
      <c r="A2057" s="7">
        <f>IMAGE("https://images.lululemon.com/is/image/lululemon/LW7DJ1S_071400_1?wid=320&amp;op_usm=0.8",1)</f>
        <v/>
      </c>
      <c r="B2057" s="7" t="inlineStr">
        <is>
          <t>Scuba High-Rise Short 5" *Waffle</t>
        </is>
      </c>
      <c r="C2057" s="7" t="inlineStr">
        <is>
          <t>157684140</t>
        </is>
      </c>
      <c r="D2057" s="7" t="inlineStr">
        <is>
          <t>157684140-heatheredwarmashgrey</t>
        </is>
      </c>
      <c r="E2057" s="7" t="inlineStr">
        <is>
          <t>Scuba High-Rise Short 5" *Waffle HFLV XS</t>
        </is>
      </c>
      <c r="F2057" s="7" t="inlineStr">
        <is>
          <t>$84.00</t>
        </is>
      </c>
      <c r="G2057" s="7" t="inlineStr">
        <is>
          <t>$42.00</t>
        </is>
      </c>
      <c r="H2057" s="7" t="inlineStr">
        <is>
          <t>Heathered Warm Ash Grey</t>
        </is>
      </c>
      <c r="I2057" s="7">
        <f>IMAGE("https://images.lululemon.com/is/image/lululemon/71400",1)</f>
        <v/>
      </c>
      <c r="J2057" s="7" t="inlineStr">
        <is>
          <t>S</t>
        </is>
      </c>
      <c r="K2057" s="7" t="inlineStr">
        <is>
          <t>14/189</t>
        </is>
      </c>
      <c r="L2057" s="7" t="inlineStr">
        <is>
          <t>Yes</t>
        </is>
      </c>
      <c r="M2057" s="7" t="inlineStr">
        <is>
          <t>Our signature sweatshort with a textured twist. A rich, waffle-knit fabric adds depth and softness to your downtime.</t>
        </is>
      </c>
      <c r="N2057" s="7" t="inlineStr">
        <is>
          <t>Scuba-High-Rise-Short-5-Waffle</t>
        </is>
      </c>
      <c r="O2057" s="7" t="inlineStr">
        <is>
          <t>Sweat Shorts</t>
        </is>
      </c>
    </row>
    <row r="2058" ht="80" customHeight="1">
      <c r="A2058" s="4">
        <f>IMAGE("https://images.lululemon.com/is/image/lululemon/LW7DJ1S_071400_1?wid=320&amp;op_usm=0.8",1)</f>
        <v/>
      </c>
      <c r="B2058" s="4" t="inlineStr">
        <is>
          <t>Scuba High-Rise Short 5" *Waffle</t>
        </is>
      </c>
      <c r="C2058" s="4" t="inlineStr">
        <is>
          <t>157684138</t>
        </is>
      </c>
      <c r="D2058" s="4" t="inlineStr">
        <is>
          <t>157684138-heatheredwarmashgrey</t>
        </is>
      </c>
      <c r="E2058" s="4" t="inlineStr">
        <is>
          <t>Scuba High-Rise Short 5" *Waffle HFLV XS</t>
        </is>
      </c>
      <c r="F2058" s="4" t="inlineStr">
        <is>
          <t>$84.00</t>
        </is>
      </c>
      <c r="G2058" s="4" t="inlineStr">
        <is>
          <t>$42.00</t>
        </is>
      </c>
      <c r="H2058" s="4" t="inlineStr">
        <is>
          <t>Heathered Warm Ash Grey</t>
        </is>
      </c>
      <c r="I2058" s="4">
        <f>IMAGE("https://images.lululemon.com/is/image/lululemon/71400",1)</f>
        <v/>
      </c>
      <c r="J2058" s="4" t="inlineStr">
        <is>
          <t>M</t>
        </is>
      </c>
      <c r="K2058" s="4" t="inlineStr">
        <is>
          <t>34/189</t>
        </is>
      </c>
      <c r="L2058" s="4" t="inlineStr">
        <is>
          <t>Yes</t>
        </is>
      </c>
      <c r="M2058" s="4" t="inlineStr">
        <is>
          <t>Our signature sweatshort with a textured twist. A rich, waffle-knit fabric adds depth and softness to your downtime.</t>
        </is>
      </c>
      <c r="N2058" s="4" t="inlineStr">
        <is>
          <t>Scuba-High-Rise-Short-5-Waffle</t>
        </is>
      </c>
      <c r="O2058" s="4" t="inlineStr">
        <is>
          <t>Sweat Shorts</t>
        </is>
      </c>
    </row>
    <row r="2059" ht="80" customHeight="1">
      <c r="A2059" s="7">
        <f>IMAGE("https://images.lululemon.com/is/image/lululemon/LW7DJ1S_071400_1?wid=320&amp;op_usm=0.8",1)</f>
        <v/>
      </c>
      <c r="B2059" s="7" t="inlineStr">
        <is>
          <t>Scuba High-Rise Short 5" *Waffle</t>
        </is>
      </c>
      <c r="C2059" s="7" t="inlineStr">
        <is>
          <t>157684136</t>
        </is>
      </c>
      <c r="D2059" s="7" t="inlineStr">
        <is>
          <t>157684136-heatheredwarmashgrey</t>
        </is>
      </c>
      <c r="E2059" s="7" t="inlineStr">
        <is>
          <t>Scuba High-Rise Short 5" *Waffle HFLV XS</t>
        </is>
      </c>
      <c r="F2059" s="7" t="inlineStr">
        <is>
          <t>$84.00</t>
        </is>
      </c>
      <c r="G2059" s="7" t="inlineStr">
        <is>
          <t>$42.00</t>
        </is>
      </c>
      <c r="H2059" s="7" t="inlineStr">
        <is>
          <t>Heathered Warm Ash Grey</t>
        </is>
      </c>
      <c r="I2059" s="7">
        <f>IMAGE("https://images.lululemon.com/is/image/lululemon/71400",1)</f>
        <v/>
      </c>
      <c r="J2059" s="7" t="inlineStr">
        <is>
          <t>L</t>
        </is>
      </c>
      <c r="K2059" s="7" t="inlineStr">
        <is>
          <t>29/189</t>
        </is>
      </c>
      <c r="L2059" s="7" t="inlineStr">
        <is>
          <t>Yes</t>
        </is>
      </c>
      <c r="M2059" s="7" t="inlineStr">
        <is>
          <t>Our signature sweatshort with a textured twist. A rich, waffle-knit fabric adds depth and softness to your downtime.</t>
        </is>
      </c>
      <c r="N2059" s="7" t="inlineStr">
        <is>
          <t>Scuba-High-Rise-Short-5-Waffle</t>
        </is>
      </c>
      <c r="O2059" s="7" t="inlineStr">
        <is>
          <t>Sweat Shorts</t>
        </is>
      </c>
    </row>
    <row r="2060" ht="80" customHeight="1">
      <c r="A2060" s="6">
        <f>IMAGE("https://images.lululemon.com/is/image/lululemon/LW7DJ1S_071400_1?wid=320&amp;op_usm=0.8",1)</f>
        <v/>
      </c>
      <c r="B2060" s="6" t="inlineStr">
        <is>
          <t>Scuba High-Rise Short 5" *Waffle</t>
        </is>
      </c>
      <c r="C2060" s="6" t="inlineStr">
        <is>
          <t>157684142</t>
        </is>
      </c>
      <c r="D2060" s="6" t="inlineStr">
        <is>
          <t>157684142-heatheredwarmashgrey</t>
        </is>
      </c>
      <c r="E2060" s="6" t="inlineStr">
        <is>
          <t>Scuba High-Rise Short 5" *Waffle HFLV XS</t>
        </is>
      </c>
      <c r="F2060" s="6" t="inlineStr">
        <is>
          <t>$84.00</t>
        </is>
      </c>
      <c r="G2060" s="6" t="inlineStr">
        <is>
          <t>$42.00</t>
        </is>
      </c>
      <c r="H2060" s="6" t="inlineStr">
        <is>
          <t>Heathered Warm Ash Grey</t>
        </is>
      </c>
      <c r="I2060" s="6">
        <f>IMAGE("https://images.lululemon.com/is/image/lululemon/71400",1)</f>
        <v/>
      </c>
      <c r="J2060" s="6" t="inlineStr">
        <is>
          <t>XL</t>
        </is>
      </c>
      <c r="K2060" s="6" t="inlineStr">
        <is>
          <t>23/189</t>
        </is>
      </c>
      <c r="L2060" s="6" t="inlineStr">
        <is>
          <t>Yes</t>
        </is>
      </c>
      <c r="M2060" s="6" t="inlineStr">
        <is>
          <t>Our signature sweatshort with a textured twist. A rich, waffle-knit fabric adds depth and softness to your downtime.</t>
        </is>
      </c>
      <c r="N2060" s="6" t="inlineStr">
        <is>
          <t>Scuba-High-Rise-Short-5-Waffle</t>
        </is>
      </c>
      <c r="O2060" s="6" t="inlineStr">
        <is>
          <t>Sweat Shorts</t>
        </is>
      </c>
    </row>
    <row r="2061" ht="80" customHeight="1">
      <c r="A2061" s="7">
        <f>IMAGE("https://images.lululemon.com/is/image/lululemon/LW1GBPS_072615_1?wid=320&amp;op_usm=0.8",1)</f>
        <v/>
      </c>
      <c r="B2061" s="7" t="inlineStr">
        <is>
          <t>lululemon Align™ Tank Top Light Support, A/B Cup *Flocked</t>
        </is>
      </c>
      <c r="C2061" s="7" t="inlineStr">
        <is>
          <t>158099019</t>
        </is>
      </c>
      <c r="D2061" s="7" t="inlineStr">
        <is>
          <t>158099019-polkaflockblack</t>
        </is>
      </c>
      <c r="E2061" s="7" t="inlineStr">
        <is>
          <t>lululemon Align™ Tank *Flock POFB 2</t>
        </is>
      </c>
      <c r="F2061" s="7" t="inlineStr">
        <is>
          <t>$68.00</t>
        </is>
      </c>
      <c r="G2061" s="7" t="inlineStr">
        <is>
          <t>$34.00</t>
        </is>
      </c>
      <c r="H2061" s="7" t="inlineStr">
        <is>
          <t>Polka Flock Black</t>
        </is>
      </c>
      <c r="I2061" s="7">
        <f>IMAGE("https://images.lululemon.com/is/image/lululemon/72615",1)</f>
        <v/>
      </c>
      <c r="J2061" s="7" t="inlineStr">
        <is>
          <t>2</t>
        </is>
      </c>
      <c r="K2061" s="7" t="inlineStr">
        <is>
          <t>1/12</t>
        </is>
      </c>
      <c r="L2061" s="7" t="inlineStr">
        <is>
          <t>Yes</t>
        </is>
      </c>
      <c r="M2061" s="7" t="inlineStr">
        <is>
          <t>When feeling nothing is everything. The lululemon Align™ collection is so weightless and buttery soft, all you feel is your practice. This version features velvety flocked details.</t>
        </is>
      </c>
      <c r="N2061" s="7" t="inlineStr">
        <is>
          <t>Align-Tank-Light-Support-AB-Flocked</t>
        </is>
      </c>
      <c r="O2061" s="7" t="inlineStr"/>
    </row>
    <row r="2062" ht="80" customHeight="1">
      <c r="A2062" s="6">
        <f>IMAGE("https://images.lululemon.com/is/image/lululemon/LW1GBPS_072615_1?wid=320&amp;op_usm=0.8",1)</f>
        <v/>
      </c>
      <c r="B2062" s="6" t="inlineStr">
        <is>
          <t>lululemon Align™ Tank Top Light Support, A/B Cup *Flocked</t>
        </is>
      </c>
      <c r="C2062" s="6" t="inlineStr">
        <is>
          <t>158098999</t>
        </is>
      </c>
      <c r="D2062" s="6" t="inlineStr">
        <is>
          <t>158098999-polkaflockblack</t>
        </is>
      </c>
      <c r="E2062" s="6" t="inlineStr">
        <is>
          <t>lululemon Align™ Tank *Flock POFB 2</t>
        </is>
      </c>
      <c r="F2062" s="6" t="inlineStr">
        <is>
          <t>$68.00</t>
        </is>
      </c>
      <c r="G2062" s="6" t="inlineStr">
        <is>
          <t>$34.00</t>
        </is>
      </c>
      <c r="H2062" s="6" t="inlineStr">
        <is>
          <t>Polka Flock Black</t>
        </is>
      </c>
      <c r="I2062" s="6">
        <f>IMAGE("https://images.lululemon.com/is/image/lululemon/72615",1)</f>
        <v/>
      </c>
      <c r="J2062" s="6" t="inlineStr">
        <is>
          <t>12</t>
        </is>
      </c>
      <c r="K2062" s="6" t="inlineStr">
        <is>
          <t>11/12</t>
        </is>
      </c>
      <c r="L2062" s="6" t="inlineStr">
        <is>
          <t>Yes</t>
        </is>
      </c>
      <c r="M2062" s="6" t="inlineStr">
        <is>
          <t>When feeling nothing is everything. The lululemon Align™ collection is so weightless and buttery soft, all you feel is your practice. This version features velvety flocked details.</t>
        </is>
      </c>
      <c r="N2062" s="6" t="inlineStr">
        <is>
          <t>Align-Tank-Light-Support-AB-Flocked</t>
        </is>
      </c>
      <c r="O2062" s="6" t="inlineStr"/>
    </row>
    <row r="2063" ht="80" customHeight="1">
      <c r="A2063" s="7">
        <f>IMAGE("https://images.lululemon.com/is/image/lululemon/LU9CEIS_071534_1?wid=320&amp;op_usm=0.8",1)</f>
        <v/>
      </c>
      <c r="B2063" s="7" t="inlineStr">
        <is>
          <t>Racket Bag 19L</t>
        </is>
      </c>
      <c r="C2063" s="7" t="inlineStr">
        <is>
          <t>158029922</t>
        </is>
      </c>
      <c r="D2063" s="7" t="inlineStr">
        <is>
          <t>158029922-clubblue/black</t>
        </is>
      </c>
      <c r="E2063" s="7" t="inlineStr">
        <is>
          <t>Racket Bag CLBL/BLK ONE SIZE</t>
        </is>
      </c>
      <c r="F2063" s="7" t="inlineStr">
        <is>
          <t>$168.00</t>
        </is>
      </c>
      <c r="G2063" s="7" t="inlineStr">
        <is>
          <t>$84.00</t>
        </is>
      </c>
      <c r="H2063" s="7" t="inlineStr">
        <is>
          <t>Club Blue/Black</t>
        </is>
      </c>
      <c r="I2063" s="7">
        <f>IMAGE("https://images.lululemon.com/is/image/lululemon/71534",1)</f>
        <v/>
      </c>
      <c r="J2063" s="7" t="inlineStr">
        <is>
          <t>O/S</t>
        </is>
      </c>
      <c r="K2063" s="7" t="inlineStr">
        <is>
          <t>286/1258</t>
        </is>
      </c>
      <c r="L2063" s="7" t="inlineStr">
        <is>
          <t>Yes</t>
        </is>
      </c>
      <c r="M2063" s="7" t="inlineStr">
        <is>
          <t>This convertible backpack has room for snacks, shoes, and a change of clothes, while the detachable racket holder adjusts to fit two tennis, badminton, or pickleball rackets.</t>
        </is>
      </c>
      <c r="N2063" s="7" t="inlineStr">
        <is>
          <t>Racket-Bag-19L</t>
        </is>
      </c>
      <c r="O2063" s="7" t="inlineStr">
        <is>
          <t>Backpacks</t>
        </is>
      </c>
    </row>
    <row r="2064" ht="80" customHeight="1">
      <c r="A2064" s="4">
        <f>IMAGE("https://images.lululemon.com/is/image/lululemon/LU9CEIS_071534_1?wid=320&amp;op_usm=0.8",1)</f>
        <v/>
      </c>
      <c r="B2064" s="4" t="inlineStr">
        <is>
          <t>Racket Bag 19L</t>
        </is>
      </c>
      <c r="C2064" s="4" t="inlineStr">
        <is>
          <t>158029936</t>
        </is>
      </c>
      <c r="D2064" s="4" t="inlineStr">
        <is>
          <t>158029936-natural/rockwood</t>
        </is>
      </c>
      <c r="E2064" s="4" t="inlineStr">
        <is>
          <t>Racket Bag CLBL/BLK ONE SIZE</t>
        </is>
      </c>
      <c r="F2064" s="4" t="inlineStr">
        <is>
          <t>$168.00</t>
        </is>
      </c>
      <c r="G2064" s="4" t="inlineStr">
        <is>
          <t>$84.00</t>
        </is>
      </c>
      <c r="H2064" s="4" t="inlineStr">
        <is>
          <t>Natural/Rockwood</t>
        </is>
      </c>
      <c r="I2064" s="4">
        <f>IMAGE("https://images.lululemon.com/is/image/lululemon/73959",1)</f>
        <v/>
      </c>
      <c r="J2064" s="4" t="inlineStr">
        <is>
          <t>O/S</t>
        </is>
      </c>
      <c r="K2064" s="4" t="inlineStr">
        <is>
          <t>266/1258</t>
        </is>
      </c>
      <c r="L2064" s="4" t="inlineStr">
        <is>
          <t>Yes</t>
        </is>
      </c>
      <c r="M2064" s="4" t="inlineStr">
        <is>
          <t>This convertible backpack has room for snacks, shoes, and a change of clothes, while the detachable racket holder adjusts to fit two tennis, badminton, or pickleball rackets.</t>
        </is>
      </c>
      <c r="N2064" s="4" t="inlineStr">
        <is>
          <t>Racket-Bag-19L</t>
        </is>
      </c>
      <c r="O2064" s="4" t="inlineStr">
        <is>
          <t>Backpacks</t>
        </is>
      </c>
    </row>
    <row r="2065" ht="80" customHeight="1">
      <c r="A2065" s="5">
        <f>IMAGE("https://images.lululemon.com/is/image/lululemon/LU9CEIS_071534_1?wid=320&amp;op_usm=0.8",1)</f>
        <v/>
      </c>
      <c r="B2065" s="5" t="inlineStr">
        <is>
          <t>Racket Bag 19L</t>
        </is>
      </c>
      <c r="C2065" s="5" t="inlineStr">
        <is>
          <t>155725269</t>
        </is>
      </c>
      <c r="D2065" s="5" t="inlineStr">
        <is>
          <t>155725269-natural/black</t>
        </is>
      </c>
      <c r="E2065" s="5" t="inlineStr">
        <is>
          <t>Racket Bag CLBL/BLK ONE SIZE</t>
        </is>
      </c>
      <c r="F2065" s="5" t="inlineStr">
        <is>
          <t>$168.00</t>
        </is>
      </c>
      <c r="G2065" s="5" t="inlineStr">
        <is>
          <t>$84.00</t>
        </is>
      </c>
      <c r="H2065" s="5" t="inlineStr">
        <is>
          <t>Natural/Black</t>
        </is>
      </c>
      <c r="I2065" s="5">
        <f>IMAGE("https://images.lululemon.com/is/image/lululemon/11185",1)</f>
        <v/>
      </c>
      <c r="J2065" s="5" t="inlineStr">
        <is>
          <t>O/S</t>
        </is>
      </c>
      <c r="K2065" s="5" t="inlineStr">
        <is>
          <t>706/1258</t>
        </is>
      </c>
      <c r="L2065" s="5" t="inlineStr">
        <is>
          <t>Yes</t>
        </is>
      </c>
      <c r="M2065" s="5" t="inlineStr">
        <is>
          <t>This convertible backpack has room for snacks, shoes, and a change of clothes, while the detachable racket holder adjusts to fit two tennis, badminton, or pickleball rackets.</t>
        </is>
      </c>
      <c r="N2065" s="5" t="inlineStr">
        <is>
          <t>Racket-Bag-19L</t>
        </is>
      </c>
      <c r="O2065" s="5" t="inlineStr">
        <is>
          <t>Backpacks</t>
        </is>
      </c>
    </row>
    <row r="2066" ht="80" customHeight="1">
      <c r="A2066" s="4">
        <f>IMAGE("https://images.lululemon.com/is/image/lululemon/LW7CMRS_0001_1?wid=320&amp;op_usm=0.8",1)</f>
        <v/>
      </c>
      <c r="B2066" s="4" t="inlineStr">
        <is>
          <t>Track That High-Rise Lined Short 5"</t>
        </is>
      </c>
      <c r="C2066" s="4" t="inlineStr">
        <is>
          <t>144406048</t>
        </is>
      </c>
      <c r="D2066" s="4" t="inlineStr">
        <is>
          <t>144406048-black</t>
        </is>
      </c>
      <c r="E2066" s="4" t="inlineStr">
        <is>
          <t>Track That HR Short 5" *Lined BLK 0</t>
        </is>
      </c>
      <c r="F2066" s="4" t="inlineStr">
        <is>
          <t>$68.00</t>
        </is>
      </c>
      <c r="G2066" s="4" t="inlineStr">
        <is>
          <t>$34.00</t>
        </is>
      </c>
      <c r="H2066" s="4" t="inlineStr">
        <is>
          <t>Black</t>
        </is>
      </c>
      <c r="I2066" s="4">
        <f>IMAGE("https://images.lululemon.com/is/image/lululemon/0001",1)</f>
        <v/>
      </c>
      <c r="J2066" s="4" t="inlineStr">
        <is>
          <t>0</t>
        </is>
      </c>
      <c r="K2066" s="4" t="inlineStr">
        <is>
          <t>15/130</t>
        </is>
      </c>
      <c r="L2066" s="4" t="inlineStr">
        <is>
          <t>Yes</t>
        </is>
      </c>
      <c r="M2066" s="4" t="inlineStr">
        <is>
          <t>Long strides welcome. We made these high-coverage run shorts with a little extra room in the leg opening.</t>
        </is>
      </c>
      <c r="N2066" s="4" t="inlineStr">
        <is>
          <t>Track-That-HR-Lined-Short-5</t>
        </is>
      </c>
      <c r="O2066" s="4" t="inlineStr">
        <is>
          <t>Athletic Shorts, Liner Shorts, Track Shorts</t>
        </is>
      </c>
    </row>
    <row r="2067" ht="80" customHeight="1">
      <c r="A2067" s="7">
        <f>IMAGE("https://images.lululemon.com/is/image/lululemon/LW7CMRS_0001_1?wid=320&amp;op_usm=0.8",1)</f>
        <v/>
      </c>
      <c r="B2067" s="7" t="inlineStr">
        <is>
          <t>Track That High-Rise Lined Short 5"</t>
        </is>
      </c>
      <c r="C2067" s="7" t="inlineStr">
        <is>
          <t>144406062</t>
        </is>
      </c>
      <c r="D2067" s="7" t="inlineStr">
        <is>
          <t>144406062-black</t>
        </is>
      </c>
      <c r="E2067" s="7" t="inlineStr">
        <is>
          <t>Track That HR Short 5" *Lined BLK 0</t>
        </is>
      </c>
      <c r="F2067" s="7" t="inlineStr">
        <is>
          <t>$68.00</t>
        </is>
      </c>
      <c r="G2067" s="7" t="inlineStr">
        <is>
          <t>$34.00</t>
        </is>
      </c>
      <c r="H2067" s="7" t="inlineStr">
        <is>
          <t>Black</t>
        </is>
      </c>
      <c r="I2067" s="7">
        <f>IMAGE("https://images.lululemon.com/is/image/lululemon/0001",1)</f>
        <v/>
      </c>
      <c r="J2067" s="7" t="inlineStr">
        <is>
          <t>2</t>
        </is>
      </c>
      <c r="K2067" s="7" t="inlineStr">
        <is>
          <t>30/130</t>
        </is>
      </c>
      <c r="L2067" s="7" t="inlineStr">
        <is>
          <t>Yes</t>
        </is>
      </c>
      <c r="M2067" s="7" t="inlineStr">
        <is>
          <t>Long strides welcome. We made these high-coverage run shorts with a little extra room in the leg opening.</t>
        </is>
      </c>
      <c r="N2067" s="7" t="inlineStr">
        <is>
          <t>Track-That-HR-Lined-Short-5</t>
        </is>
      </c>
      <c r="O2067" s="7" t="inlineStr">
        <is>
          <t>Athletic Shorts, Liner Shorts, Track Shorts</t>
        </is>
      </c>
    </row>
    <row r="2068" ht="80" customHeight="1">
      <c r="A2068" s="6">
        <f>IMAGE("https://images.lululemon.com/is/image/lululemon/LW7CMRS_0001_1?wid=320&amp;op_usm=0.8",1)</f>
        <v/>
      </c>
      <c r="B2068" s="6" t="inlineStr">
        <is>
          <t>Track That High-Rise Lined Short 5"</t>
        </is>
      </c>
      <c r="C2068" s="6" t="inlineStr">
        <is>
          <t>144406076</t>
        </is>
      </c>
      <c r="D2068" s="6" t="inlineStr">
        <is>
          <t>144406076-black</t>
        </is>
      </c>
      <c r="E2068" s="6" t="inlineStr">
        <is>
          <t>Track That HR Short 5" *Lined BLK 0</t>
        </is>
      </c>
      <c r="F2068" s="6" t="inlineStr">
        <is>
          <t>$68.00</t>
        </is>
      </c>
      <c r="G2068" s="6" t="inlineStr">
        <is>
          <t>$34.00</t>
        </is>
      </c>
      <c r="H2068" s="6" t="inlineStr">
        <is>
          <t>Black</t>
        </is>
      </c>
      <c r="I2068" s="6">
        <f>IMAGE("https://images.lululemon.com/is/image/lululemon/0001",1)</f>
        <v/>
      </c>
      <c r="J2068" s="6" t="inlineStr">
        <is>
          <t>4</t>
        </is>
      </c>
      <c r="K2068" s="6" t="inlineStr">
        <is>
          <t>85/130</t>
        </is>
      </c>
      <c r="L2068" s="6" t="inlineStr">
        <is>
          <t>Yes</t>
        </is>
      </c>
      <c r="M2068" s="6" t="inlineStr">
        <is>
          <t>Long strides welcome. We made these high-coverage run shorts with a little extra room in the leg opening.</t>
        </is>
      </c>
      <c r="N2068" s="6" t="inlineStr">
        <is>
          <t>Track-That-HR-Lined-Short-5</t>
        </is>
      </c>
      <c r="O2068" s="6" t="inlineStr">
        <is>
          <t>Athletic Shorts, Liner Shorts, Track Shorts</t>
        </is>
      </c>
    </row>
    <row r="2069" ht="80" customHeight="1">
      <c r="A2069" s="7">
        <f>IMAGE("https://images.lululemon.com/is/image/lululemon/LW4AWLS_0001_1?wid=320&amp;op_usm=0.8",1)</f>
        <v/>
      </c>
      <c r="B2069" s="7" t="inlineStr">
        <is>
          <t>Define Jacket *Luon</t>
        </is>
      </c>
      <c r="C2069" s="7" t="inlineStr">
        <is>
          <t>157717482</t>
        </is>
      </c>
      <c r="D2069" s="7" t="inlineStr">
        <is>
          <t>157717482-sereneblue</t>
        </is>
      </c>
      <c r="E2069" s="7" t="inlineStr">
        <is>
          <t>Define Jacket *Luon™ SRNB 0</t>
        </is>
      </c>
      <c r="F2069" s="7" t="inlineStr">
        <is>
          <t>$128.00</t>
        </is>
      </c>
      <c r="G2069" s="7" t="inlineStr">
        <is>
          <t>$64.00</t>
        </is>
      </c>
      <c r="H2069" s="7" t="inlineStr">
        <is>
          <t>Serene Blue</t>
        </is>
      </c>
      <c r="I2069" s="7">
        <f>IMAGE("https://images.lululemon.com/is/image/lululemon/32507",1)</f>
        <v/>
      </c>
      <c r="J2069" s="7" t="inlineStr">
        <is>
          <t>0</t>
        </is>
      </c>
      <c r="K2069" s="7" t="inlineStr">
        <is>
          <t>10/6483</t>
        </is>
      </c>
      <c r="L2069" s="7" t="inlineStr">
        <is>
          <t>Yes</t>
        </is>
      </c>
      <c r="M2069" s="7" t="inlineStr">
        <is>
          <t>Up for adventure and ready for downtime. Our fan-favourite Define Jacket has a feel-good fit that can do it all.</t>
        </is>
      </c>
      <c r="N2069" s="7" t="inlineStr">
        <is>
          <t>Define-Jacket</t>
        </is>
      </c>
      <c r="O2069" s="7" t="inlineStr">
        <is>
          <t>Athletic Jackets, Zip Up Sweatshirts</t>
        </is>
      </c>
    </row>
    <row r="2070" ht="80" customHeight="1">
      <c r="A2070" s="4">
        <f>IMAGE("https://images.lululemon.com/is/image/lululemon/LW4AWLS_0001_1?wid=320&amp;op_usm=0.8",1)</f>
        <v/>
      </c>
      <c r="B2070" s="4" t="inlineStr">
        <is>
          <t>Define Jacket *Luon</t>
        </is>
      </c>
      <c r="C2070" s="4" t="inlineStr">
        <is>
          <t>157717509</t>
        </is>
      </c>
      <c r="D2070" s="4" t="inlineStr">
        <is>
          <t>157717509-sereneblue</t>
        </is>
      </c>
      <c r="E2070" s="4" t="inlineStr">
        <is>
          <t>Define Jacket *Luon™ SRNB 0</t>
        </is>
      </c>
      <c r="F2070" s="4" t="inlineStr">
        <is>
          <t>$128.00</t>
        </is>
      </c>
      <c r="G2070" s="4" t="inlineStr">
        <is>
          <t>$64.00</t>
        </is>
      </c>
      <c r="H2070" s="4" t="inlineStr">
        <is>
          <t>Serene Blue</t>
        </is>
      </c>
      <c r="I2070" s="4">
        <f>IMAGE("https://images.lululemon.com/is/image/lululemon/32507",1)</f>
        <v/>
      </c>
      <c r="J2070" s="4" t="inlineStr">
        <is>
          <t>2</t>
        </is>
      </c>
      <c r="K2070" s="4" t="inlineStr">
        <is>
          <t>20/6483</t>
        </is>
      </c>
      <c r="L2070" s="4" t="inlineStr">
        <is>
          <t>Yes</t>
        </is>
      </c>
      <c r="M2070" s="4" t="inlineStr">
        <is>
          <t>Up for adventure and ready for downtime. Our fan-favourite Define Jacket has a feel-good fit that can do it all.</t>
        </is>
      </c>
      <c r="N2070" s="4" t="inlineStr">
        <is>
          <t>Define-Jacket</t>
        </is>
      </c>
      <c r="O2070" s="4" t="inlineStr">
        <is>
          <t>Athletic Jackets, Zip Up Sweatshirts</t>
        </is>
      </c>
    </row>
    <row r="2071" ht="80" customHeight="1">
      <c r="A2071" s="7">
        <f>IMAGE("https://images.lululemon.com/is/image/lululemon/LW4AWLS_0001_1?wid=320&amp;op_usm=0.8",1)</f>
        <v/>
      </c>
      <c r="B2071" s="7" t="inlineStr">
        <is>
          <t>Define Jacket *Luon</t>
        </is>
      </c>
      <c r="C2071" s="7" t="inlineStr">
        <is>
          <t>157717517</t>
        </is>
      </c>
      <c r="D2071" s="7" t="inlineStr">
        <is>
          <t>157717517-sereneblue</t>
        </is>
      </c>
      <c r="E2071" s="7" t="inlineStr">
        <is>
          <t>Define Jacket *Luon™ SRNB 0</t>
        </is>
      </c>
      <c r="F2071" s="7" t="inlineStr">
        <is>
          <t>$128.00</t>
        </is>
      </c>
      <c r="G2071" s="7" t="inlineStr">
        <is>
          <t>$64.00</t>
        </is>
      </c>
      <c r="H2071" s="7" t="inlineStr">
        <is>
          <t>Serene Blue</t>
        </is>
      </c>
      <c r="I2071" s="7">
        <f>IMAGE("https://images.lululemon.com/is/image/lululemon/32507",1)</f>
        <v/>
      </c>
      <c r="J2071" s="7" t="inlineStr">
        <is>
          <t>4</t>
        </is>
      </c>
      <c r="K2071" s="7" t="inlineStr">
        <is>
          <t>16/6483</t>
        </is>
      </c>
      <c r="L2071" s="7" t="inlineStr">
        <is>
          <t>Yes</t>
        </is>
      </c>
      <c r="M2071" s="7" t="inlineStr">
        <is>
          <t>Up for adventure and ready for downtime. Our fan-favourite Define Jacket has a feel-good fit that can do it all.</t>
        </is>
      </c>
      <c r="N2071" s="7" t="inlineStr">
        <is>
          <t>Define-Jacket</t>
        </is>
      </c>
      <c r="O2071" s="7" t="inlineStr">
        <is>
          <t>Athletic Jackets, Zip Up Sweatshirts</t>
        </is>
      </c>
    </row>
    <row r="2072" ht="80" customHeight="1">
      <c r="A2072" s="4">
        <f>IMAGE("https://images.lululemon.com/is/image/lululemon/LW4AWLS_0001_1?wid=320&amp;op_usm=0.8",1)</f>
        <v/>
      </c>
      <c r="B2072" s="4" t="inlineStr">
        <is>
          <t>Define Jacket *Luon</t>
        </is>
      </c>
      <c r="C2072" s="4" t="inlineStr">
        <is>
          <t>157717524</t>
        </is>
      </c>
      <c r="D2072" s="4" t="inlineStr">
        <is>
          <t>157717524-sereneblue</t>
        </is>
      </c>
      <c r="E2072" s="4" t="inlineStr">
        <is>
          <t>Define Jacket *Luon™ SRNB 0</t>
        </is>
      </c>
      <c r="F2072" s="4" t="inlineStr">
        <is>
          <t>$128.00</t>
        </is>
      </c>
      <c r="G2072" s="4" t="inlineStr">
        <is>
          <t>$64.00</t>
        </is>
      </c>
      <c r="H2072" s="4" t="inlineStr">
        <is>
          <t>Serene Blue</t>
        </is>
      </c>
      <c r="I2072" s="4">
        <f>IMAGE("https://images.lululemon.com/is/image/lululemon/32507",1)</f>
        <v/>
      </c>
      <c r="J2072" s="4" t="inlineStr">
        <is>
          <t>6</t>
        </is>
      </c>
      <c r="K2072" s="4" t="inlineStr">
        <is>
          <t>17/6483</t>
        </is>
      </c>
      <c r="L2072" s="4" t="inlineStr">
        <is>
          <t>Yes</t>
        </is>
      </c>
      <c r="M2072" s="4" t="inlineStr">
        <is>
          <t>Up for adventure and ready for downtime. Our fan-favourite Define Jacket has a feel-good fit that can do it all.</t>
        </is>
      </c>
      <c r="N2072" s="4" t="inlineStr">
        <is>
          <t>Define-Jacket</t>
        </is>
      </c>
      <c r="O2072" s="4" t="inlineStr">
        <is>
          <t>Athletic Jackets, Zip Up Sweatshirts</t>
        </is>
      </c>
    </row>
    <row r="2073" ht="80" customHeight="1">
      <c r="A2073" s="7">
        <f>IMAGE("https://images.lululemon.com/is/image/lululemon/LW4AWLS_0001_1?wid=320&amp;op_usm=0.8",1)</f>
        <v/>
      </c>
      <c r="B2073" s="7" t="inlineStr">
        <is>
          <t>Define Jacket *Luon</t>
        </is>
      </c>
      <c r="C2073" s="7" t="inlineStr">
        <is>
          <t>157717532</t>
        </is>
      </c>
      <c r="D2073" s="7" t="inlineStr">
        <is>
          <t>157717532-sereneblue</t>
        </is>
      </c>
      <c r="E2073" s="7" t="inlineStr">
        <is>
          <t>Define Jacket *Luon™ SRNB 0</t>
        </is>
      </c>
      <c r="F2073" s="7" t="inlineStr">
        <is>
          <t>$128.00</t>
        </is>
      </c>
      <c r="G2073" s="7" t="inlineStr">
        <is>
          <t>$64.00</t>
        </is>
      </c>
      <c r="H2073" s="7" t="inlineStr">
        <is>
          <t>Serene Blue</t>
        </is>
      </c>
      <c r="I2073" s="7">
        <f>IMAGE("https://images.lululemon.com/is/image/lululemon/32507",1)</f>
        <v/>
      </c>
      <c r="J2073" s="7" t="inlineStr">
        <is>
          <t>8</t>
        </is>
      </c>
      <c r="K2073" s="7" t="inlineStr">
        <is>
          <t>8/6483</t>
        </is>
      </c>
      <c r="L2073" s="7" t="inlineStr">
        <is>
          <t>Yes</t>
        </is>
      </c>
      <c r="M2073" s="7" t="inlineStr">
        <is>
          <t>Up for adventure and ready for downtime. Our fan-favourite Define Jacket has a feel-good fit that can do it all.</t>
        </is>
      </c>
      <c r="N2073" s="7" t="inlineStr">
        <is>
          <t>Define-Jacket</t>
        </is>
      </c>
      <c r="O2073" s="7" t="inlineStr">
        <is>
          <t>Athletic Jackets, Zip Up Sweatshirts</t>
        </is>
      </c>
    </row>
    <row r="2074" ht="80" customHeight="1">
      <c r="A2074" s="4">
        <f>IMAGE("https://images.lululemon.com/is/image/lululemon/LW4AWLS_0001_1?wid=320&amp;op_usm=0.8",1)</f>
        <v/>
      </c>
      <c r="B2074" s="4" t="inlineStr">
        <is>
          <t>Define Jacket *Luon</t>
        </is>
      </c>
      <c r="C2074" s="4" t="inlineStr">
        <is>
          <t>157717490</t>
        </is>
      </c>
      <c r="D2074" s="4" t="inlineStr">
        <is>
          <t>157717490-sereneblue</t>
        </is>
      </c>
      <c r="E2074" s="4" t="inlineStr">
        <is>
          <t>Define Jacket *Luon™ SRNB 0</t>
        </is>
      </c>
      <c r="F2074" s="4" t="inlineStr">
        <is>
          <t>$128.00</t>
        </is>
      </c>
      <c r="G2074" s="4" t="inlineStr">
        <is>
          <t>$64.00</t>
        </is>
      </c>
      <c r="H2074" s="4" t="inlineStr">
        <is>
          <t>Serene Blue</t>
        </is>
      </c>
      <c r="I2074" s="4">
        <f>IMAGE("https://images.lululemon.com/is/image/lululemon/32507",1)</f>
        <v/>
      </c>
      <c r="J2074" s="4" t="inlineStr">
        <is>
          <t>10</t>
        </is>
      </c>
      <c r="K2074" s="4" t="inlineStr">
        <is>
          <t>6/6483</t>
        </is>
      </c>
      <c r="L2074" s="4" t="inlineStr">
        <is>
          <t>Yes</t>
        </is>
      </c>
      <c r="M2074" s="4" t="inlineStr">
        <is>
          <t>Up for adventure and ready for downtime. Our fan-favourite Define Jacket has a feel-good fit that can do it all.</t>
        </is>
      </c>
      <c r="N2074" s="4" t="inlineStr">
        <is>
          <t>Define-Jacket</t>
        </is>
      </c>
      <c r="O2074" s="4" t="inlineStr">
        <is>
          <t>Athletic Jackets, Zip Up Sweatshirts</t>
        </is>
      </c>
    </row>
    <row r="2075" ht="80" customHeight="1">
      <c r="A2075" s="7">
        <f>IMAGE("https://images.lululemon.com/is/image/lululemon/LW4AWLS_0001_1?wid=320&amp;op_usm=0.8",1)</f>
        <v/>
      </c>
      <c r="B2075" s="7" t="inlineStr">
        <is>
          <t>Define Jacket *Luon</t>
        </is>
      </c>
      <c r="C2075" s="7" t="inlineStr">
        <is>
          <t>157717498</t>
        </is>
      </c>
      <c r="D2075" s="7" t="inlineStr">
        <is>
          <t>157717498-sereneblue</t>
        </is>
      </c>
      <c r="E2075" s="7" t="inlineStr">
        <is>
          <t>Define Jacket *Luon™ SRNB 0</t>
        </is>
      </c>
      <c r="F2075" s="7" t="inlineStr">
        <is>
          <t>$128.00</t>
        </is>
      </c>
      <c r="G2075" s="7" t="inlineStr">
        <is>
          <t>$64.00</t>
        </is>
      </c>
      <c r="H2075" s="7" t="inlineStr">
        <is>
          <t>Serene Blue</t>
        </is>
      </c>
      <c r="I2075" s="7">
        <f>IMAGE("https://images.lululemon.com/is/image/lululemon/32507",1)</f>
        <v/>
      </c>
      <c r="J2075" s="7" t="inlineStr">
        <is>
          <t>12</t>
        </is>
      </c>
      <c r="K2075" s="7" t="inlineStr">
        <is>
          <t>4/6483</t>
        </is>
      </c>
      <c r="L2075" s="7" t="inlineStr">
        <is>
          <t>Yes</t>
        </is>
      </c>
      <c r="M2075" s="7" t="inlineStr">
        <is>
          <t>Up for adventure and ready for downtime. Our fan-favourite Define Jacket has a feel-good fit that can do it all.</t>
        </is>
      </c>
      <c r="N2075" s="7" t="inlineStr">
        <is>
          <t>Define-Jacket</t>
        </is>
      </c>
      <c r="O2075" s="7" t="inlineStr">
        <is>
          <t>Athletic Jackets, Zip Up Sweatshirts</t>
        </is>
      </c>
    </row>
    <row r="2076" ht="80" customHeight="1">
      <c r="A2076" s="4">
        <f>IMAGE("https://images.lululemon.com/is/image/lululemon/LW4AWLS_0001_1?wid=320&amp;op_usm=0.8",1)</f>
        <v/>
      </c>
      <c r="B2076" s="4" t="inlineStr">
        <is>
          <t>Define Jacket *Luon</t>
        </is>
      </c>
      <c r="C2076" s="4" t="inlineStr">
        <is>
          <t>157717502</t>
        </is>
      </c>
      <c r="D2076" s="4" t="inlineStr">
        <is>
          <t>157717502-sereneblue</t>
        </is>
      </c>
      <c r="E2076" s="4" t="inlineStr">
        <is>
          <t>Define Jacket *Luon™ SRNB 0</t>
        </is>
      </c>
      <c r="F2076" s="4" t="inlineStr">
        <is>
          <t>$128.00</t>
        </is>
      </c>
      <c r="G2076" s="4" t="inlineStr">
        <is>
          <t>$64.00</t>
        </is>
      </c>
      <c r="H2076" s="4" t="inlineStr">
        <is>
          <t>Serene Blue</t>
        </is>
      </c>
      <c r="I2076" s="4">
        <f>IMAGE("https://images.lululemon.com/is/image/lululemon/32507",1)</f>
        <v/>
      </c>
      <c r="J2076" s="4" t="inlineStr">
        <is>
          <t>14</t>
        </is>
      </c>
      <c r="K2076" s="4" t="inlineStr">
        <is>
          <t>5/6483</t>
        </is>
      </c>
      <c r="L2076" s="4" t="inlineStr">
        <is>
          <t>Yes</t>
        </is>
      </c>
      <c r="M2076" s="4" t="inlineStr">
        <is>
          <t>Up for adventure and ready for downtime. Our fan-favourite Define Jacket has a feel-good fit that can do it all.</t>
        </is>
      </c>
      <c r="N2076" s="4" t="inlineStr">
        <is>
          <t>Define-Jacket</t>
        </is>
      </c>
      <c r="O2076" s="4" t="inlineStr">
        <is>
          <t>Athletic Jackets, Zip Up Sweatshirts</t>
        </is>
      </c>
    </row>
    <row r="2077" ht="80" customHeight="1">
      <c r="A2077" s="7">
        <f>IMAGE("https://images.lululemon.com/is/image/lululemon/LW4AWLS_0001_1?wid=320&amp;op_usm=0.8",1)</f>
        <v/>
      </c>
      <c r="B2077" s="7" t="inlineStr">
        <is>
          <t>Define Jacket *Luon</t>
        </is>
      </c>
      <c r="C2077" s="7" t="inlineStr">
        <is>
          <t>149450157</t>
        </is>
      </c>
      <c r="D2077" s="7" t="inlineStr">
        <is>
          <t>149450157-black</t>
        </is>
      </c>
      <c r="E2077" s="7" t="inlineStr">
        <is>
          <t>Define Jacket *Luon™ SRNB 0</t>
        </is>
      </c>
      <c r="F2077" s="7" t="inlineStr">
        <is>
          <t>$128.00</t>
        </is>
      </c>
      <c r="G2077" s="7" t="inlineStr">
        <is>
          <t>$64.00</t>
        </is>
      </c>
      <c r="H2077" s="7" t="inlineStr">
        <is>
          <t>Black</t>
        </is>
      </c>
      <c r="I2077" s="7">
        <f>IMAGE("https://images.lululemon.com/is/image/lululemon/0001",1)</f>
        <v/>
      </c>
      <c r="J2077" s="7" t="inlineStr">
        <is>
          <t>2</t>
        </is>
      </c>
      <c r="K2077" s="7" t="inlineStr">
        <is>
          <t>148/6483</t>
        </is>
      </c>
      <c r="L2077" s="7" t="inlineStr">
        <is>
          <t>Yes</t>
        </is>
      </c>
      <c r="M2077" s="7" t="inlineStr">
        <is>
          <t>Up for adventure and ready for downtime. Our fan-favourite Define Jacket has a feel-good fit that can do it all.</t>
        </is>
      </c>
      <c r="N2077" s="7" t="inlineStr">
        <is>
          <t>Define-Jacket</t>
        </is>
      </c>
      <c r="O2077" s="7" t="inlineStr">
        <is>
          <t>Athletic Jackets, Zip Up Sweatshirts</t>
        </is>
      </c>
    </row>
    <row r="2078" ht="80" customHeight="1">
      <c r="A2078" s="4">
        <f>IMAGE("https://images.lululemon.com/is/image/lululemon/LW4AWLS_0001_1?wid=320&amp;op_usm=0.8",1)</f>
        <v/>
      </c>
      <c r="B2078" s="4" t="inlineStr">
        <is>
          <t>Define Jacket *Luon</t>
        </is>
      </c>
      <c r="C2078" s="4" t="inlineStr">
        <is>
          <t>3818306</t>
        </is>
      </c>
      <c r="D2078" s="4" t="inlineStr">
        <is>
          <t>3818306-black</t>
        </is>
      </c>
      <c r="E2078" s="4" t="inlineStr">
        <is>
          <t>Define Jacket *Luon™ SRNB 0</t>
        </is>
      </c>
      <c r="F2078" s="4" t="inlineStr">
        <is>
          <t>$128.00</t>
        </is>
      </c>
      <c r="G2078" s="4" t="inlineStr">
        <is>
          <t>$64.00</t>
        </is>
      </c>
      <c r="H2078" s="4" t="inlineStr">
        <is>
          <t>Black</t>
        </is>
      </c>
      <c r="I2078" s="4">
        <f>IMAGE("https://images.lululemon.com/is/image/lululemon/0001",1)</f>
        <v/>
      </c>
      <c r="J2078" s="4" t="inlineStr">
        <is>
          <t>4</t>
        </is>
      </c>
      <c r="K2078" s="4" t="inlineStr">
        <is>
          <t>1283/6483</t>
        </is>
      </c>
      <c r="L2078" s="4" t="inlineStr">
        <is>
          <t>Yes</t>
        </is>
      </c>
      <c r="M2078" s="4" t="inlineStr">
        <is>
          <t>Up for adventure and ready for downtime. Our fan-favourite Define Jacket has a feel-good fit that can do it all.</t>
        </is>
      </c>
      <c r="N2078" s="4" t="inlineStr">
        <is>
          <t>Define-Jacket</t>
        </is>
      </c>
      <c r="O2078" s="4" t="inlineStr">
        <is>
          <t>Athletic Jackets, Zip Up Sweatshirts</t>
        </is>
      </c>
    </row>
    <row r="2079" ht="80" customHeight="1">
      <c r="A2079" s="7">
        <f>IMAGE("https://images.lululemon.com/is/image/lululemon/LW4AWLS_0001_1?wid=320&amp;op_usm=0.8",1)</f>
        <v/>
      </c>
      <c r="B2079" s="7" t="inlineStr">
        <is>
          <t>Define Jacket *Luon</t>
        </is>
      </c>
      <c r="C2079" s="7" t="inlineStr">
        <is>
          <t>3818307</t>
        </is>
      </c>
      <c r="D2079" s="7" t="inlineStr">
        <is>
          <t>3818307-black</t>
        </is>
      </c>
      <c r="E2079" s="7" t="inlineStr">
        <is>
          <t>Define Jacket *Luon™ SRNB 0</t>
        </is>
      </c>
      <c r="F2079" s="7" t="inlineStr">
        <is>
          <t>$128.00</t>
        </is>
      </c>
      <c r="G2079" s="7" t="inlineStr">
        <is>
          <t>$64.00</t>
        </is>
      </c>
      <c r="H2079" s="7" t="inlineStr">
        <is>
          <t>Black</t>
        </is>
      </c>
      <c r="I2079" s="7">
        <f>IMAGE("https://images.lululemon.com/is/image/lululemon/0001",1)</f>
        <v/>
      </c>
      <c r="J2079" s="7" t="inlineStr">
        <is>
          <t>6</t>
        </is>
      </c>
      <c r="K2079" s="7" t="inlineStr">
        <is>
          <t>805/6483</t>
        </is>
      </c>
      <c r="L2079" s="7" t="inlineStr">
        <is>
          <t>Yes</t>
        </is>
      </c>
      <c r="M2079" s="7" t="inlineStr">
        <is>
          <t>Up for adventure and ready for downtime. Our fan-favourite Define Jacket has a feel-good fit that can do it all.</t>
        </is>
      </c>
      <c r="N2079" s="7" t="inlineStr">
        <is>
          <t>Define-Jacket</t>
        </is>
      </c>
      <c r="O2079" s="7" t="inlineStr">
        <is>
          <t>Athletic Jackets, Zip Up Sweatshirts</t>
        </is>
      </c>
    </row>
    <row r="2080" ht="80" customHeight="1">
      <c r="A2080" s="4">
        <f>IMAGE("https://images.lululemon.com/is/image/lululemon/LW4AWLS_0001_1?wid=320&amp;op_usm=0.8",1)</f>
        <v/>
      </c>
      <c r="B2080" s="4" t="inlineStr">
        <is>
          <t>Define Jacket *Luon</t>
        </is>
      </c>
      <c r="C2080" s="4" t="inlineStr">
        <is>
          <t>3818308</t>
        </is>
      </c>
      <c r="D2080" s="4" t="inlineStr">
        <is>
          <t>3818308-black</t>
        </is>
      </c>
      <c r="E2080" s="4" t="inlineStr">
        <is>
          <t>Define Jacket *Luon™ SRNB 0</t>
        </is>
      </c>
      <c r="F2080" s="4" t="inlineStr">
        <is>
          <t>$128.00</t>
        </is>
      </c>
      <c r="G2080" s="4" t="inlineStr">
        <is>
          <t>$64.00</t>
        </is>
      </c>
      <c r="H2080" s="4" t="inlineStr">
        <is>
          <t>Black</t>
        </is>
      </c>
      <c r="I2080" s="4">
        <f>IMAGE("https://images.lululemon.com/is/image/lululemon/0001",1)</f>
        <v/>
      </c>
      <c r="J2080" s="4" t="inlineStr">
        <is>
          <t>8</t>
        </is>
      </c>
      <c r="K2080" s="4" t="inlineStr">
        <is>
          <t>1333/6483</t>
        </is>
      </c>
      <c r="L2080" s="4" t="inlineStr">
        <is>
          <t>Yes</t>
        </is>
      </c>
      <c r="M2080" s="4" t="inlineStr">
        <is>
          <t>Up for adventure and ready for downtime. Our fan-favourite Define Jacket has a feel-good fit that can do it all.</t>
        </is>
      </c>
      <c r="N2080" s="4" t="inlineStr">
        <is>
          <t>Define-Jacket</t>
        </is>
      </c>
      <c r="O2080" s="4" t="inlineStr">
        <is>
          <t>Athletic Jackets, Zip Up Sweatshirts</t>
        </is>
      </c>
    </row>
    <row r="2081" ht="80" customHeight="1">
      <c r="A2081" s="7">
        <f>IMAGE("https://images.lululemon.com/is/image/lululemon/LW4AWLS_0001_1?wid=320&amp;op_usm=0.8",1)</f>
        <v/>
      </c>
      <c r="B2081" s="7" t="inlineStr">
        <is>
          <t>Define Jacket *Luon</t>
        </is>
      </c>
      <c r="C2081" s="7" t="inlineStr">
        <is>
          <t>149450152</t>
        </is>
      </c>
      <c r="D2081" s="7" t="inlineStr">
        <is>
          <t>149450152-black</t>
        </is>
      </c>
      <c r="E2081" s="7" t="inlineStr">
        <is>
          <t>Define Jacket *Luon™ SRNB 0</t>
        </is>
      </c>
      <c r="F2081" s="7" t="inlineStr">
        <is>
          <t>$128.00</t>
        </is>
      </c>
      <c r="G2081" s="7" t="inlineStr">
        <is>
          <t>$64.00</t>
        </is>
      </c>
      <c r="H2081" s="7" t="inlineStr">
        <is>
          <t>Black</t>
        </is>
      </c>
      <c r="I2081" s="7">
        <f>IMAGE("https://images.lululemon.com/is/image/lululemon/0001",1)</f>
        <v/>
      </c>
      <c r="J2081" s="7" t="inlineStr">
        <is>
          <t>10</t>
        </is>
      </c>
      <c r="K2081" s="7" t="inlineStr">
        <is>
          <t>70/6483</t>
        </is>
      </c>
      <c r="L2081" s="7" t="inlineStr">
        <is>
          <t>Yes</t>
        </is>
      </c>
      <c r="M2081" s="7" t="inlineStr">
        <is>
          <t>Up for adventure and ready for downtime. Our fan-favourite Define Jacket has a feel-good fit that can do it all.</t>
        </is>
      </c>
      <c r="N2081" s="7" t="inlineStr">
        <is>
          <t>Define-Jacket</t>
        </is>
      </c>
      <c r="O2081" s="7" t="inlineStr">
        <is>
          <t>Athletic Jackets, Zip Up Sweatshirts</t>
        </is>
      </c>
    </row>
    <row r="2082" ht="80" customHeight="1">
      <c r="A2082" s="4">
        <f>IMAGE("https://images.lululemon.com/is/image/lululemon/LW4AWLS_0001_1?wid=320&amp;op_usm=0.8",1)</f>
        <v/>
      </c>
      <c r="B2082" s="4" t="inlineStr">
        <is>
          <t>Define Jacket *Luon</t>
        </is>
      </c>
      <c r="C2082" s="4" t="inlineStr">
        <is>
          <t>149450153</t>
        </is>
      </c>
      <c r="D2082" s="4" t="inlineStr">
        <is>
          <t>149450153-black</t>
        </is>
      </c>
      <c r="E2082" s="4" t="inlineStr">
        <is>
          <t>Define Jacket *Luon™ SRNB 0</t>
        </is>
      </c>
      <c r="F2082" s="4" t="inlineStr">
        <is>
          <t>$128.00</t>
        </is>
      </c>
      <c r="G2082" s="4" t="inlineStr">
        <is>
          <t>$64.00</t>
        </is>
      </c>
      <c r="H2082" s="4" t="inlineStr">
        <is>
          <t>Black</t>
        </is>
      </c>
      <c r="I2082" s="4">
        <f>IMAGE("https://images.lululemon.com/is/image/lululemon/0001",1)</f>
        <v/>
      </c>
      <c r="J2082" s="4" t="inlineStr">
        <is>
          <t>12</t>
        </is>
      </c>
      <c r="K2082" s="4" t="inlineStr">
        <is>
          <t>49/6483</t>
        </is>
      </c>
      <c r="L2082" s="4" t="inlineStr">
        <is>
          <t>Yes</t>
        </is>
      </c>
      <c r="M2082" s="4" t="inlineStr">
        <is>
          <t>Up for adventure and ready for downtime. Our fan-favourite Define Jacket has a feel-good fit that can do it all.</t>
        </is>
      </c>
      <c r="N2082" s="4" t="inlineStr">
        <is>
          <t>Define-Jacket</t>
        </is>
      </c>
      <c r="O2082" s="4" t="inlineStr">
        <is>
          <t>Athletic Jackets, Zip Up Sweatshirts</t>
        </is>
      </c>
    </row>
    <row r="2083" ht="80" customHeight="1">
      <c r="A2083" s="7">
        <f>IMAGE("https://images.lululemon.com/is/image/lululemon/LW4AWLS_0001_1?wid=320&amp;op_usm=0.8",1)</f>
        <v/>
      </c>
      <c r="B2083" s="7" t="inlineStr">
        <is>
          <t>Define Jacket *Luon</t>
        </is>
      </c>
      <c r="C2083" s="7" t="inlineStr">
        <is>
          <t>149450154</t>
        </is>
      </c>
      <c r="D2083" s="7" t="inlineStr">
        <is>
          <t>149450154-black</t>
        </is>
      </c>
      <c r="E2083" s="7" t="inlineStr">
        <is>
          <t>Define Jacket *Luon™ SRNB 0</t>
        </is>
      </c>
      <c r="F2083" s="7" t="inlineStr">
        <is>
          <t>$128.00</t>
        </is>
      </c>
      <c r="G2083" s="7" t="inlineStr">
        <is>
          <t>$64.00</t>
        </is>
      </c>
      <c r="H2083" s="7" t="inlineStr">
        <is>
          <t>Black</t>
        </is>
      </c>
      <c r="I2083" s="7">
        <f>IMAGE("https://images.lululemon.com/is/image/lululemon/0001",1)</f>
        <v/>
      </c>
      <c r="J2083" s="7" t="inlineStr">
        <is>
          <t>14</t>
        </is>
      </c>
      <c r="K2083" s="7" t="inlineStr">
        <is>
          <t>12/6483</t>
        </is>
      </c>
      <c r="L2083" s="7" t="inlineStr">
        <is>
          <t>Yes</t>
        </is>
      </c>
      <c r="M2083" s="7" t="inlineStr">
        <is>
          <t>Up for adventure and ready for downtime. Our fan-favourite Define Jacket has a feel-good fit that can do it all.</t>
        </is>
      </c>
      <c r="N2083" s="7" t="inlineStr">
        <is>
          <t>Define-Jacket</t>
        </is>
      </c>
      <c r="O2083" s="7" t="inlineStr">
        <is>
          <t>Athletic Jackets, Zip Up Sweatshirts</t>
        </is>
      </c>
    </row>
    <row r="2084" ht="80" customHeight="1">
      <c r="A2084" s="4">
        <f>IMAGE("https://images.lululemon.com/is/image/lululemon/LW4AWLS_0001_1?wid=320&amp;op_usm=0.8",1)</f>
        <v/>
      </c>
      <c r="B2084" s="4" t="inlineStr">
        <is>
          <t>Define Jacket *Luon</t>
        </is>
      </c>
      <c r="C2084" s="4" t="inlineStr">
        <is>
          <t>149452317</t>
        </is>
      </c>
      <c r="D2084" s="4" t="inlineStr">
        <is>
          <t>149452317-white</t>
        </is>
      </c>
      <c r="E2084" s="4" t="inlineStr">
        <is>
          <t>Define Jacket *Luon™ SRNB 0</t>
        </is>
      </c>
      <c r="F2084" s="4" t="inlineStr">
        <is>
          <t>$128.00</t>
        </is>
      </c>
      <c r="G2084" s="4" t="inlineStr">
        <is>
          <t>$64.00</t>
        </is>
      </c>
      <c r="H2084" s="4" t="inlineStr">
        <is>
          <t>White</t>
        </is>
      </c>
      <c r="I2084" s="4">
        <f>IMAGE("https://images.lululemon.com/is/image/lululemon/0002",1)</f>
        <v/>
      </c>
      <c r="J2084" s="4" t="inlineStr">
        <is>
          <t>2</t>
        </is>
      </c>
      <c r="K2084" s="4" t="inlineStr">
        <is>
          <t>216/6483</t>
        </is>
      </c>
      <c r="L2084" s="4" t="inlineStr">
        <is>
          <t>Yes</t>
        </is>
      </c>
      <c r="M2084" s="4" t="inlineStr">
        <is>
          <t>Up for adventure and ready for downtime. Our fan-favourite Define Jacket has a feel-good fit that can do it all.</t>
        </is>
      </c>
      <c r="N2084" s="4" t="inlineStr">
        <is>
          <t>Define-Jacket</t>
        </is>
      </c>
      <c r="O2084" s="4" t="inlineStr">
        <is>
          <t>Athletic Jackets, Zip Up Sweatshirts</t>
        </is>
      </c>
    </row>
    <row r="2085" ht="80" customHeight="1">
      <c r="A2085" s="7">
        <f>IMAGE("https://images.lululemon.com/is/image/lululemon/LW4AWLS_0001_1?wid=320&amp;op_usm=0.8",1)</f>
        <v/>
      </c>
      <c r="B2085" s="7" t="inlineStr">
        <is>
          <t>Define Jacket *Luon</t>
        </is>
      </c>
      <c r="C2085" s="7" t="inlineStr">
        <is>
          <t>149452342</t>
        </is>
      </c>
      <c r="D2085" s="7" t="inlineStr">
        <is>
          <t>149452342-white</t>
        </is>
      </c>
      <c r="E2085" s="7" t="inlineStr">
        <is>
          <t>Define Jacket *Luon™ SRNB 0</t>
        </is>
      </c>
      <c r="F2085" s="7" t="inlineStr">
        <is>
          <t>$128.00</t>
        </is>
      </c>
      <c r="G2085" s="7" t="inlineStr">
        <is>
          <t>$64.00</t>
        </is>
      </c>
      <c r="H2085" s="7" t="inlineStr">
        <is>
          <t>White</t>
        </is>
      </c>
      <c r="I2085" s="7">
        <f>IMAGE("https://images.lululemon.com/is/image/lululemon/0002",1)</f>
        <v/>
      </c>
      <c r="J2085" s="7" t="inlineStr">
        <is>
          <t>4</t>
        </is>
      </c>
      <c r="K2085" s="7" t="inlineStr">
        <is>
          <t>483/6483</t>
        </is>
      </c>
      <c r="L2085" s="7" t="inlineStr">
        <is>
          <t>Yes</t>
        </is>
      </c>
      <c r="M2085" s="7" t="inlineStr">
        <is>
          <t>Up for adventure and ready for downtime. Our fan-favourite Define Jacket has a feel-good fit that can do it all.</t>
        </is>
      </c>
      <c r="N2085" s="7" t="inlineStr">
        <is>
          <t>Define-Jacket</t>
        </is>
      </c>
      <c r="O2085" s="7" t="inlineStr">
        <is>
          <t>Athletic Jackets, Zip Up Sweatshirts</t>
        </is>
      </c>
    </row>
    <row r="2086" ht="80" customHeight="1">
      <c r="A2086" s="4">
        <f>IMAGE("https://images.lululemon.com/is/image/lululemon/LW4AWLS_0001_1?wid=320&amp;op_usm=0.8",1)</f>
        <v/>
      </c>
      <c r="B2086" s="4" t="inlineStr">
        <is>
          <t>Define Jacket *Luon</t>
        </is>
      </c>
      <c r="C2086" s="4" t="inlineStr">
        <is>
          <t>149452348</t>
        </is>
      </c>
      <c r="D2086" s="4" t="inlineStr">
        <is>
          <t>149452348-white</t>
        </is>
      </c>
      <c r="E2086" s="4" t="inlineStr">
        <is>
          <t>Define Jacket *Luon™ SRNB 0</t>
        </is>
      </c>
      <c r="F2086" s="4" t="inlineStr">
        <is>
          <t>$128.00</t>
        </is>
      </c>
      <c r="G2086" s="4" t="inlineStr">
        <is>
          <t>$64.00</t>
        </is>
      </c>
      <c r="H2086" s="4" t="inlineStr">
        <is>
          <t>White</t>
        </is>
      </c>
      <c r="I2086" s="4">
        <f>IMAGE("https://images.lululemon.com/is/image/lululemon/0002",1)</f>
        <v/>
      </c>
      <c r="J2086" s="4" t="inlineStr">
        <is>
          <t>6</t>
        </is>
      </c>
      <c r="K2086" s="4" t="inlineStr">
        <is>
          <t>986/6483</t>
        </is>
      </c>
      <c r="L2086" s="4" t="inlineStr">
        <is>
          <t>Yes</t>
        </is>
      </c>
      <c r="M2086" s="4" t="inlineStr">
        <is>
          <t>Up for adventure and ready for downtime. Our fan-favourite Define Jacket has a feel-good fit that can do it all.</t>
        </is>
      </c>
      <c r="N2086" s="4" t="inlineStr">
        <is>
          <t>Define-Jacket</t>
        </is>
      </c>
      <c r="O2086" s="4" t="inlineStr">
        <is>
          <t>Athletic Jackets, Zip Up Sweatshirts</t>
        </is>
      </c>
    </row>
    <row r="2087" ht="80" customHeight="1">
      <c r="A2087" s="7">
        <f>IMAGE("https://images.lululemon.com/is/image/lululemon/LW4AWLS_0001_1?wid=320&amp;op_usm=0.8",1)</f>
        <v/>
      </c>
      <c r="B2087" s="7" t="inlineStr">
        <is>
          <t>Define Jacket *Luon</t>
        </is>
      </c>
      <c r="C2087" s="7" t="inlineStr">
        <is>
          <t>149452353</t>
        </is>
      </c>
      <c r="D2087" s="7" t="inlineStr">
        <is>
          <t>149452353-white</t>
        </is>
      </c>
      <c r="E2087" s="7" t="inlineStr">
        <is>
          <t>Define Jacket *Luon™ SRNB 0</t>
        </is>
      </c>
      <c r="F2087" s="7" t="inlineStr">
        <is>
          <t>$128.00</t>
        </is>
      </c>
      <c r="G2087" s="7" t="inlineStr">
        <is>
          <t>$64.00</t>
        </is>
      </c>
      <c r="H2087" s="7" t="inlineStr">
        <is>
          <t>White</t>
        </is>
      </c>
      <c r="I2087" s="7">
        <f>IMAGE("https://images.lululemon.com/is/image/lululemon/0002",1)</f>
        <v/>
      </c>
      <c r="J2087" s="7" t="inlineStr">
        <is>
          <t>8</t>
        </is>
      </c>
      <c r="K2087" s="7" t="inlineStr">
        <is>
          <t>687/6483</t>
        </is>
      </c>
      <c r="L2087" s="7" t="inlineStr">
        <is>
          <t>Yes</t>
        </is>
      </c>
      <c r="M2087" s="7" t="inlineStr">
        <is>
          <t>Up for adventure and ready for downtime. Our fan-favourite Define Jacket has a feel-good fit that can do it all.</t>
        </is>
      </c>
      <c r="N2087" s="7" t="inlineStr">
        <is>
          <t>Define-Jacket</t>
        </is>
      </c>
      <c r="O2087" s="7" t="inlineStr">
        <is>
          <t>Athletic Jackets, Zip Up Sweatshirts</t>
        </is>
      </c>
    </row>
    <row r="2088" ht="80" customHeight="1">
      <c r="A2088" s="4">
        <f>IMAGE("https://images.lululemon.com/is/image/lululemon/LW4AWLS_0001_1?wid=320&amp;op_usm=0.8",1)</f>
        <v/>
      </c>
      <c r="B2088" s="4" t="inlineStr">
        <is>
          <t>Define Jacket *Luon</t>
        </is>
      </c>
      <c r="C2088" s="4" t="inlineStr">
        <is>
          <t>149452294</t>
        </is>
      </c>
      <c r="D2088" s="4" t="inlineStr">
        <is>
          <t>149452294-white</t>
        </is>
      </c>
      <c r="E2088" s="4" t="inlineStr">
        <is>
          <t>Define Jacket *Luon™ SRNB 0</t>
        </is>
      </c>
      <c r="F2088" s="4" t="inlineStr">
        <is>
          <t>$128.00</t>
        </is>
      </c>
      <c r="G2088" s="4" t="inlineStr">
        <is>
          <t>$64.00</t>
        </is>
      </c>
      <c r="H2088" s="4" t="inlineStr">
        <is>
          <t>White</t>
        </is>
      </c>
      <c r="I2088" s="4">
        <f>IMAGE("https://images.lululemon.com/is/image/lululemon/0002",1)</f>
        <v/>
      </c>
      <c r="J2088" s="4" t="inlineStr">
        <is>
          <t>10</t>
        </is>
      </c>
      <c r="K2088" s="4" t="inlineStr">
        <is>
          <t>150/6483</t>
        </is>
      </c>
      <c r="L2088" s="4" t="inlineStr">
        <is>
          <t>Yes</t>
        </is>
      </c>
      <c r="M2088" s="4" t="inlineStr">
        <is>
          <t>Up for adventure and ready for downtime. Our fan-favourite Define Jacket has a feel-good fit that can do it all.</t>
        </is>
      </c>
      <c r="N2088" s="4" t="inlineStr">
        <is>
          <t>Define-Jacket</t>
        </is>
      </c>
      <c r="O2088" s="4" t="inlineStr">
        <is>
          <t>Athletic Jackets, Zip Up Sweatshirts</t>
        </is>
      </c>
    </row>
    <row r="2089" ht="80" customHeight="1">
      <c r="A2089" s="7">
        <f>IMAGE("https://images.lululemon.com/is/image/lululemon/LW4AWLS_0001_1?wid=320&amp;op_usm=0.8",1)</f>
        <v/>
      </c>
      <c r="B2089" s="7" t="inlineStr">
        <is>
          <t>Define Jacket *Luon</t>
        </is>
      </c>
      <c r="C2089" s="7" t="inlineStr">
        <is>
          <t>149452298</t>
        </is>
      </c>
      <c r="D2089" s="7" t="inlineStr">
        <is>
          <t>149452298-white</t>
        </is>
      </c>
      <c r="E2089" s="7" t="inlineStr">
        <is>
          <t>Define Jacket *Luon™ SRNB 0</t>
        </is>
      </c>
      <c r="F2089" s="7" t="inlineStr">
        <is>
          <t>$128.00</t>
        </is>
      </c>
      <c r="G2089" s="7" t="inlineStr">
        <is>
          <t>$64.00</t>
        </is>
      </c>
      <c r="H2089" s="7" t="inlineStr">
        <is>
          <t>White</t>
        </is>
      </c>
      <c r="I2089" s="7">
        <f>IMAGE("https://images.lululemon.com/is/image/lululemon/0002",1)</f>
        <v/>
      </c>
      <c r="J2089" s="7" t="inlineStr">
        <is>
          <t>12</t>
        </is>
      </c>
      <c r="K2089" s="7" t="inlineStr">
        <is>
          <t>169/6483</t>
        </is>
      </c>
      <c r="L2089" s="7" t="inlineStr">
        <is>
          <t>Yes</t>
        </is>
      </c>
      <c r="M2089" s="7" t="inlineStr">
        <is>
          <t>Up for adventure and ready for downtime. Our fan-favourite Define Jacket has a feel-good fit that can do it all.</t>
        </is>
      </c>
      <c r="N2089" s="7" t="inlineStr">
        <is>
          <t>Define-Jacket</t>
        </is>
      </c>
      <c r="O2089" s="7" t="inlineStr">
        <is>
          <t>Athletic Jackets, Zip Up Sweatshirts</t>
        </is>
      </c>
    </row>
    <row r="2090" ht="80" customHeight="1">
      <c r="A2090" s="6">
        <f>IMAGE("https://images.lululemon.com/is/image/lululemon/LW4AWLS_0001_1?wid=320&amp;op_usm=0.8",1)</f>
        <v/>
      </c>
      <c r="B2090" s="6" t="inlineStr">
        <is>
          <t>Define Jacket *Luon</t>
        </is>
      </c>
      <c r="C2090" s="6" t="inlineStr">
        <is>
          <t>149452304</t>
        </is>
      </c>
      <c r="D2090" s="6" t="inlineStr">
        <is>
          <t>149452304-white</t>
        </is>
      </c>
      <c r="E2090" s="6" t="inlineStr">
        <is>
          <t>Define Jacket *Luon™ SRNB 0</t>
        </is>
      </c>
      <c r="F2090" s="6" t="inlineStr">
        <is>
          <t>$128.00</t>
        </is>
      </c>
      <c r="G2090" s="6" t="inlineStr">
        <is>
          <t>$64.00</t>
        </is>
      </c>
      <c r="H2090" s="6" t="inlineStr">
        <is>
          <t>White</t>
        </is>
      </c>
      <c r="I2090" s="6">
        <f>IMAGE("https://images.lululemon.com/is/image/lululemon/0002",1)</f>
        <v/>
      </c>
      <c r="J2090" s="6" t="inlineStr">
        <is>
          <t>14</t>
        </is>
      </c>
      <c r="K2090" s="6" t="inlineStr">
        <is>
          <t>6/6483</t>
        </is>
      </c>
      <c r="L2090" s="6" t="inlineStr">
        <is>
          <t>Yes</t>
        </is>
      </c>
      <c r="M2090" s="6" t="inlineStr">
        <is>
          <t>Up for adventure and ready for downtime. Our fan-favourite Define Jacket has a feel-good fit that can do it all.</t>
        </is>
      </c>
      <c r="N2090" s="6" t="inlineStr">
        <is>
          <t>Define-Jacket</t>
        </is>
      </c>
      <c r="O2090" s="6" t="inlineStr">
        <is>
          <t>Athletic Jackets, Zip Up Sweatshirts</t>
        </is>
      </c>
    </row>
    <row r="2091" ht="80" customHeight="1">
      <c r="A2091" s="5">
        <f>IMAGE("https://images.lululemon.com/is/image/lululemon/LU9CM5S_043646_1?wid=320&amp;op_usm=0.8",1)</f>
        <v/>
      </c>
      <c r="B2091" s="5" t="inlineStr">
        <is>
          <t>Double-Zip Backpack 22L *Tech Canvas</t>
        </is>
      </c>
      <c r="C2091" s="5" t="inlineStr">
        <is>
          <t>158020669</t>
        </is>
      </c>
      <c r="D2091" s="5" t="inlineStr">
        <is>
          <t>158020669-black/graphitegrey</t>
        </is>
      </c>
      <c r="E2091" s="5" t="inlineStr">
        <is>
          <t>Double-Zip Backpack *Tech Canvas BLK/GGRE ONE SIZE</t>
        </is>
      </c>
      <c r="F2091" s="5" t="inlineStr">
        <is>
          <t>$128.00</t>
        </is>
      </c>
      <c r="G2091" s="5" t="inlineStr">
        <is>
          <t>$64.00</t>
        </is>
      </c>
      <c r="H2091" s="5" t="inlineStr">
        <is>
          <t>Black/Graphite Grey</t>
        </is>
      </c>
      <c r="I2091" s="5">
        <f>IMAGE("https://images.lululemon.com/is/image/lululemon/43646",1)</f>
        <v/>
      </c>
      <c r="J2091" s="5" t="inlineStr">
        <is>
          <t>O/S</t>
        </is>
      </c>
      <c r="K2091" s="5" t="inlineStr">
        <is>
          <t>111/111</t>
        </is>
      </c>
      <c r="L2091" s="5" t="inlineStr">
        <is>
          <t>Yes</t>
        </is>
      </c>
      <c r="M2091" s="5" t="inlineStr">
        <is>
          <t>Laptop, lunch, and gear—bring it all. This backpack has zippered pockets inside and out to keep your phone, chargers, and other essentials organized and easy to access.</t>
        </is>
      </c>
      <c r="N2091" s="5" t="inlineStr">
        <is>
          <t>Double-Zip-Backpack-22L-Tech-Canvas</t>
        </is>
      </c>
      <c r="O2091" s="5" t="inlineStr">
        <is>
          <t>Backpacks</t>
        </is>
      </c>
    </row>
    <row r="2092" ht="80" customHeight="1">
      <c r="A2092" s="4">
        <f>IMAGE("https://images.lululemon.com/is/image/lululemon/LW2CP8S_0001_1?wid=320&amp;op_usm=0.8",1)</f>
        <v/>
      </c>
      <c r="B2092" s="4" t="inlineStr">
        <is>
          <t>lululemon Energy Bra *High Support, B–G Cups</t>
        </is>
      </c>
      <c r="C2092" s="4" t="inlineStr">
        <is>
          <t>157677007</t>
        </is>
      </c>
      <c r="D2092" s="4" t="inlineStr">
        <is>
          <t>157677007-sereneblue</t>
        </is>
      </c>
      <c r="E2092" s="4" t="inlineStr">
        <is>
          <t>lululemon Energy High Support Bra SRNB 34C</t>
        </is>
      </c>
      <c r="F2092" s="4" t="inlineStr">
        <is>
          <t>$68.00</t>
        </is>
      </c>
      <c r="G2092" s="4" t="inlineStr">
        <is>
          <t>$34.00</t>
        </is>
      </c>
      <c r="H2092" s="4" t="inlineStr">
        <is>
          <t>Serene Blue</t>
        </is>
      </c>
      <c r="I2092" s="4">
        <f>IMAGE("https://images.lululemon.com/is/image/lululemon/32507",1)</f>
        <v/>
      </c>
      <c r="J2092" s="4" t="inlineStr">
        <is>
          <t>34C</t>
        </is>
      </c>
      <c r="K2092" s="4" t="inlineStr">
        <is>
          <t>66/1115</t>
        </is>
      </c>
      <c r="L2092" s="4" t="inlineStr">
        <is>
          <t>Yes</t>
        </is>
      </c>
      <c r="M2092" s="4" t="inlineStr">
        <is>
          <t>Supports your run goals. This bra gives you a comfortably contained feel so you can focus on your pace.</t>
        </is>
      </c>
      <c r="N2092" s="4" t="inlineStr">
        <is>
          <t>Energy-Bra-High-Support</t>
        </is>
      </c>
      <c r="O2092" s="4" t="inlineStr">
        <is>
          <t>Strappy Bras, Longline Bras</t>
        </is>
      </c>
    </row>
    <row r="2093" ht="80" customHeight="1">
      <c r="A2093" s="7">
        <f>IMAGE("https://images.lululemon.com/is/image/lululemon/LW2CP8S_0001_1?wid=320&amp;op_usm=0.8",1)</f>
        <v/>
      </c>
      <c r="B2093" s="7" t="inlineStr">
        <is>
          <t>lululemon Energy Bra *High Support, B–G Cups</t>
        </is>
      </c>
      <c r="C2093" s="7" t="inlineStr">
        <is>
          <t>157677017</t>
        </is>
      </c>
      <c r="D2093" s="7" t="inlineStr">
        <is>
          <t>157677017-sereneblue</t>
        </is>
      </c>
      <c r="E2093" s="7" t="inlineStr">
        <is>
          <t>lululemon Energy High Support Bra SRNB 34C</t>
        </is>
      </c>
      <c r="F2093" s="7" t="inlineStr">
        <is>
          <t>$68.00</t>
        </is>
      </c>
      <c r="G2093" s="7" t="inlineStr">
        <is>
          <t>$34.00</t>
        </is>
      </c>
      <c r="H2093" s="7" t="inlineStr">
        <is>
          <t>Serene Blue</t>
        </is>
      </c>
      <c r="I2093" s="7">
        <f>IMAGE("https://images.lululemon.com/is/image/lululemon/32507",1)</f>
        <v/>
      </c>
      <c r="J2093" s="7" t="inlineStr">
        <is>
          <t>34D</t>
        </is>
      </c>
      <c r="K2093" s="7" t="inlineStr">
        <is>
          <t>102/1115</t>
        </is>
      </c>
      <c r="L2093" s="7" t="inlineStr">
        <is>
          <t>Yes</t>
        </is>
      </c>
      <c r="M2093" s="7" t="inlineStr">
        <is>
          <t>Supports your run goals. This bra gives you a comfortably contained feel so you can focus on your pace.</t>
        </is>
      </c>
      <c r="N2093" s="7" t="inlineStr">
        <is>
          <t>Energy-Bra-High-Support</t>
        </is>
      </c>
      <c r="O2093" s="7" t="inlineStr">
        <is>
          <t>Strappy Bras, Longline Bras</t>
        </is>
      </c>
    </row>
    <row r="2094" ht="80" customHeight="1">
      <c r="A2094" s="4">
        <f>IMAGE("https://images.lululemon.com/is/image/lululemon/LW2CP8S_0001_1?wid=320&amp;op_usm=0.8",1)</f>
        <v/>
      </c>
      <c r="B2094" s="4" t="inlineStr">
        <is>
          <t>lululemon Energy Bra *High Support, B–G Cups</t>
        </is>
      </c>
      <c r="C2094" s="4" t="inlineStr">
        <is>
          <t>157677027</t>
        </is>
      </c>
      <c r="D2094" s="4" t="inlineStr">
        <is>
          <t>157677027-sereneblue</t>
        </is>
      </c>
      <c r="E2094" s="4" t="inlineStr">
        <is>
          <t>lululemon Energy High Support Bra SRNB 34C</t>
        </is>
      </c>
      <c r="F2094" s="4" t="inlineStr">
        <is>
          <t>$68.00</t>
        </is>
      </c>
      <c r="G2094" s="4" t="inlineStr">
        <is>
          <t>$34.00</t>
        </is>
      </c>
      <c r="H2094" s="4" t="inlineStr">
        <is>
          <t>Serene Blue</t>
        </is>
      </c>
      <c r="I2094" s="4">
        <f>IMAGE("https://images.lululemon.com/is/image/lululemon/32507",1)</f>
        <v/>
      </c>
      <c r="J2094" s="4" t="inlineStr">
        <is>
          <t>34DD</t>
        </is>
      </c>
      <c r="K2094" s="4" t="inlineStr">
        <is>
          <t>70/1115</t>
        </is>
      </c>
      <c r="L2094" s="4" t="inlineStr">
        <is>
          <t>Yes</t>
        </is>
      </c>
      <c r="M2094" s="4" t="inlineStr">
        <is>
          <t>Supports your run goals. This bra gives you a comfortably contained feel so you can focus on your pace.</t>
        </is>
      </c>
      <c r="N2094" s="4" t="inlineStr">
        <is>
          <t>Energy-Bra-High-Support</t>
        </is>
      </c>
      <c r="O2094" s="4" t="inlineStr">
        <is>
          <t>Strappy Bras, Longline Bras</t>
        </is>
      </c>
    </row>
    <row r="2095" ht="80" customHeight="1">
      <c r="A2095" s="7">
        <f>IMAGE("https://images.lululemon.com/is/image/lululemon/LW2CP8S_0001_1?wid=320&amp;op_usm=0.8",1)</f>
        <v/>
      </c>
      <c r="B2095" s="7" t="inlineStr">
        <is>
          <t>lululemon Energy Bra *High Support, B–G Cups</t>
        </is>
      </c>
      <c r="C2095" s="7" t="inlineStr">
        <is>
          <t>157677037</t>
        </is>
      </c>
      <c r="D2095" s="7" t="inlineStr">
        <is>
          <t>157677037-sereneblue</t>
        </is>
      </c>
      <c r="E2095" s="7" t="inlineStr">
        <is>
          <t>lululemon Energy High Support Bra SRNB 34C</t>
        </is>
      </c>
      <c r="F2095" s="7" t="inlineStr">
        <is>
          <t>$68.00</t>
        </is>
      </c>
      <c r="G2095" s="7" t="inlineStr">
        <is>
          <t>$34.00</t>
        </is>
      </c>
      <c r="H2095" s="7" t="inlineStr">
        <is>
          <t>Serene Blue</t>
        </is>
      </c>
      <c r="I2095" s="7">
        <f>IMAGE("https://images.lululemon.com/is/image/lululemon/32507",1)</f>
        <v/>
      </c>
      <c r="J2095" s="7" t="inlineStr">
        <is>
          <t>36D</t>
        </is>
      </c>
      <c r="K2095" s="7" t="inlineStr">
        <is>
          <t>85/1115</t>
        </is>
      </c>
      <c r="L2095" s="7" t="inlineStr">
        <is>
          <t>Yes</t>
        </is>
      </c>
      <c r="M2095" s="7" t="inlineStr">
        <is>
          <t>Supports your run goals. This bra gives you a comfortably contained feel so you can focus on your pace.</t>
        </is>
      </c>
      <c r="N2095" s="7" t="inlineStr">
        <is>
          <t>Energy-Bra-High-Support</t>
        </is>
      </c>
      <c r="O2095" s="7" t="inlineStr">
        <is>
          <t>Strappy Bras, Longline Bras</t>
        </is>
      </c>
    </row>
    <row r="2096" ht="80" customHeight="1">
      <c r="A2096" s="4">
        <f>IMAGE("https://images.lululemon.com/is/image/lululemon/LW2CP8S_0001_1?wid=320&amp;op_usm=0.8",1)</f>
        <v/>
      </c>
      <c r="B2096" s="4" t="inlineStr">
        <is>
          <t>lululemon Energy Bra *High Support, B–G Cups</t>
        </is>
      </c>
      <c r="C2096" s="4" t="inlineStr">
        <is>
          <t>157677046</t>
        </is>
      </c>
      <c r="D2096" s="4" t="inlineStr">
        <is>
          <t>157677046-sereneblue</t>
        </is>
      </c>
      <c r="E2096" s="4" t="inlineStr">
        <is>
          <t>lululemon Energy High Support Bra SRNB 34C</t>
        </is>
      </c>
      <c r="F2096" s="4" t="inlineStr">
        <is>
          <t>$68.00</t>
        </is>
      </c>
      <c r="G2096" s="4" t="inlineStr">
        <is>
          <t>$34.00</t>
        </is>
      </c>
      <c r="H2096" s="4" t="inlineStr">
        <is>
          <t>Serene Blue</t>
        </is>
      </c>
      <c r="I2096" s="4">
        <f>IMAGE("https://images.lululemon.com/is/image/lululemon/32507",1)</f>
        <v/>
      </c>
      <c r="J2096" s="4" t="inlineStr">
        <is>
          <t>36DD</t>
        </is>
      </c>
      <c r="K2096" s="4" t="inlineStr">
        <is>
          <t>76/1115</t>
        </is>
      </c>
      <c r="L2096" s="4" t="inlineStr">
        <is>
          <t>Yes</t>
        </is>
      </c>
      <c r="M2096" s="4" t="inlineStr">
        <is>
          <t>Supports your run goals. This bra gives you a comfortably contained feel so you can focus on your pace.</t>
        </is>
      </c>
      <c r="N2096" s="4" t="inlineStr">
        <is>
          <t>Energy-Bra-High-Support</t>
        </is>
      </c>
      <c r="O2096" s="4" t="inlineStr">
        <is>
          <t>Strappy Bras, Longline Bras</t>
        </is>
      </c>
    </row>
    <row r="2097" ht="80" customHeight="1">
      <c r="A2097" s="7">
        <f>IMAGE("https://images.lululemon.com/is/image/lululemon/LW2CP8S_0001_1?wid=320&amp;op_usm=0.8",1)</f>
        <v/>
      </c>
      <c r="B2097" s="7" t="inlineStr">
        <is>
          <t>lululemon Energy Bra *High Support, B–G Cups</t>
        </is>
      </c>
      <c r="C2097" s="7" t="inlineStr">
        <is>
          <t>157677054</t>
        </is>
      </c>
      <c r="D2097" s="7" t="inlineStr">
        <is>
          <t>157677054-sereneblue</t>
        </is>
      </c>
      <c r="E2097" s="7" t="inlineStr">
        <is>
          <t>lululemon Energy High Support Bra SRNB 34C</t>
        </is>
      </c>
      <c r="F2097" s="7" t="inlineStr">
        <is>
          <t>$68.00</t>
        </is>
      </c>
      <c r="G2097" s="7" t="inlineStr">
        <is>
          <t>$34.00</t>
        </is>
      </c>
      <c r="H2097" s="7" t="inlineStr">
        <is>
          <t>Serene Blue</t>
        </is>
      </c>
      <c r="I2097" s="7">
        <f>IMAGE("https://images.lululemon.com/is/image/lululemon/32507",1)</f>
        <v/>
      </c>
      <c r="J2097" s="7" t="inlineStr">
        <is>
          <t>38D</t>
        </is>
      </c>
      <c r="K2097" s="7" t="inlineStr">
        <is>
          <t>41/1115</t>
        </is>
      </c>
      <c r="L2097" s="7" t="inlineStr">
        <is>
          <t>Yes</t>
        </is>
      </c>
      <c r="M2097" s="7" t="inlineStr">
        <is>
          <t>Supports your run goals. This bra gives you a comfortably contained feel so you can focus on your pace.</t>
        </is>
      </c>
      <c r="N2097" s="7" t="inlineStr">
        <is>
          <t>Energy-Bra-High-Support</t>
        </is>
      </c>
      <c r="O2097" s="7" t="inlineStr">
        <is>
          <t>Strappy Bras, Longline Bras</t>
        </is>
      </c>
    </row>
    <row r="2098" ht="80" customHeight="1">
      <c r="A2098" s="4">
        <f>IMAGE("https://images.lululemon.com/is/image/lululemon/LW2CP8S_0001_1?wid=320&amp;op_usm=0.8",1)</f>
        <v/>
      </c>
      <c r="B2098" s="4" t="inlineStr">
        <is>
          <t>lululemon Energy Bra *High Support, B–G Cups</t>
        </is>
      </c>
      <c r="C2098" s="4" t="inlineStr">
        <is>
          <t>157677064</t>
        </is>
      </c>
      <c r="D2098" s="4" t="inlineStr">
        <is>
          <t>157677064-sereneblue</t>
        </is>
      </c>
      <c r="E2098" s="4" t="inlineStr">
        <is>
          <t>lululemon Energy High Support Bra SRNB 34C</t>
        </is>
      </c>
      <c r="F2098" s="4" t="inlineStr">
        <is>
          <t>$68.00</t>
        </is>
      </c>
      <c r="G2098" s="4" t="inlineStr">
        <is>
          <t>$34.00</t>
        </is>
      </c>
      <c r="H2098" s="4" t="inlineStr">
        <is>
          <t>Serene Blue</t>
        </is>
      </c>
      <c r="I2098" s="4">
        <f>IMAGE("https://images.lululemon.com/is/image/lululemon/32507",1)</f>
        <v/>
      </c>
      <c r="J2098" s="4" t="inlineStr">
        <is>
          <t>38DD</t>
        </is>
      </c>
      <c r="K2098" s="4" t="inlineStr">
        <is>
          <t>34/1115</t>
        </is>
      </c>
      <c r="L2098" s="4" t="inlineStr">
        <is>
          <t>Yes</t>
        </is>
      </c>
      <c r="M2098" s="4" t="inlineStr">
        <is>
          <t>Supports your run goals. This bra gives you a comfortably contained feel so you can focus on your pace.</t>
        </is>
      </c>
      <c r="N2098" s="4" t="inlineStr">
        <is>
          <t>Energy-Bra-High-Support</t>
        </is>
      </c>
      <c r="O2098" s="4" t="inlineStr">
        <is>
          <t>Strappy Bras, Longline Bras</t>
        </is>
      </c>
    </row>
    <row r="2099" ht="80" customHeight="1">
      <c r="A2099" s="7">
        <f>IMAGE("https://images.lululemon.com/is/image/lululemon/LW2CP8S_0001_1?wid=320&amp;op_usm=0.8",1)</f>
        <v/>
      </c>
      <c r="B2099" s="7" t="inlineStr">
        <is>
          <t>lululemon Energy Bra *High Support, B–G Cups</t>
        </is>
      </c>
      <c r="C2099" s="7" t="inlineStr">
        <is>
          <t>132177126</t>
        </is>
      </c>
      <c r="D2099" s="7" t="inlineStr">
        <is>
          <t>132177126-truenavy</t>
        </is>
      </c>
      <c r="E2099" s="7" t="inlineStr">
        <is>
          <t>lululemon Energy High Support Bra SRNB 34C</t>
        </is>
      </c>
      <c r="F2099" s="7" t="inlineStr">
        <is>
          <t>$68.00</t>
        </is>
      </c>
      <c r="G2099" s="7" t="inlineStr">
        <is>
          <t>$34.00</t>
        </is>
      </c>
      <c r="H2099" s="7" t="inlineStr">
        <is>
          <t>True Navy</t>
        </is>
      </c>
      <c r="I2099" s="7">
        <f>IMAGE("https://images.lululemon.com/is/image/lululemon/31382",1)</f>
        <v/>
      </c>
      <c r="J2099" s="7" t="inlineStr">
        <is>
          <t>34C</t>
        </is>
      </c>
      <c r="K2099" s="7" t="inlineStr">
        <is>
          <t>59/1115</t>
        </is>
      </c>
      <c r="L2099" s="7" t="inlineStr">
        <is>
          <t>Yes</t>
        </is>
      </c>
      <c r="M2099" s="7" t="inlineStr">
        <is>
          <t>Supports your run goals. This bra gives you a comfortably contained feel so you can focus on your pace.</t>
        </is>
      </c>
      <c r="N2099" s="7" t="inlineStr">
        <is>
          <t>Energy-Bra-High-Support</t>
        </is>
      </c>
      <c r="O2099" s="7" t="inlineStr">
        <is>
          <t>Strappy Bras, Longline Bras</t>
        </is>
      </c>
    </row>
    <row r="2100" ht="80" customHeight="1">
      <c r="A2100" s="4">
        <f>IMAGE("https://images.lululemon.com/is/image/lululemon/LW2CP8S_0001_1?wid=320&amp;op_usm=0.8",1)</f>
        <v/>
      </c>
      <c r="B2100" s="4" t="inlineStr">
        <is>
          <t>lululemon Energy Bra *High Support, B–G Cups</t>
        </is>
      </c>
      <c r="C2100" s="4" t="inlineStr">
        <is>
          <t>132177129</t>
        </is>
      </c>
      <c r="D2100" s="4" t="inlineStr">
        <is>
          <t>132177129-truenavy</t>
        </is>
      </c>
      <c r="E2100" s="4" t="inlineStr">
        <is>
          <t>lululemon Energy High Support Bra SRNB 34C</t>
        </is>
      </c>
      <c r="F2100" s="4" t="inlineStr">
        <is>
          <t>$68.00</t>
        </is>
      </c>
      <c r="G2100" s="4" t="inlineStr">
        <is>
          <t>$34.00</t>
        </is>
      </c>
      <c r="H2100" s="4" t="inlineStr">
        <is>
          <t>True Navy</t>
        </is>
      </c>
      <c r="I2100" s="4">
        <f>IMAGE("https://images.lululemon.com/is/image/lululemon/31382",1)</f>
        <v/>
      </c>
      <c r="J2100" s="4" t="inlineStr">
        <is>
          <t>34D</t>
        </is>
      </c>
      <c r="K2100" s="4" t="inlineStr">
        <is>
          <t>95/1115</t>
        </is>
      </c>
      <c r="L2100" s="4" t="inlineStr">
        <is>
          <t>Yes</t>
        </is>
      </c>
      <c r="M2100" s="4" t="inlineStr">
        <is>
          <t>Supports your run goals. This bra gives you a comfortably contained feel so you can focus on your pace.</t>
        </is>
      </c>
      <c r="N2100" s="4" t="inlineStr">
        <is>
          <t>Energy-Bra-High-Support</t>
        </is>
      </c>
      <c r="O2100" s="4" t="inlineStr">
        <is>
          <t>Strappy Bras, Longline Bras</t>
        </is>
      </c>
    </row>
    <row r="2101" ht="80" customHeight="1">
      <c r="A2101" s="7">
        <f>IMAGE("https://images.lululemon.com/is/image/lululemon/LW2CP8S_0001_1?wid=320&amp;op_usm=0.8",1)</f>
        <v/>
      </c>
      <c r="B2101" s="7" t="inlineStr">
        <is>
          <t>lululemon Energy Bra *High Support, B–G Cups</t>
        </is>
      </c>
      <c r="C2101" s="7" t="inlineStr">
        <is>
          <t>132177130</t>
        </is>
      </c>
      <c r="D2101" s="7" t="inlineStr">
        <is>
          <t>132177130-truenavy</t>
        </is>
      </c>
      <c r="E2101" s="7" t="inlineStr">
        <is>
          <t>lululemon Energy High Support Bra SRNB 34C</t>
        </is>
      </c>
      <c r="F2101" s="7" t="inlineStr">
        <is>
          <t>$68.00</t>
        </is>
      </c>
      <c r="G2101" s="7" t="inlineStr">
        <is>
          <t>$34.00</t>
        </is>
      </c>
      <c r="H2101" s="7" t="inlineStr">
        <is>
          <t>True Navy</t>
        </is>
      </c>
      <c r="I2101" s="7">
        <f>IMAGE("https://images.lululemon.com/is/image/lululemon/31382",1)</f>
        <v/>
      </c>
      <c r="J2101" s="7" t="inlineStr">
        <is>
          <t>34DD</t>
        </is>
      </c>
      <c r="K2101" s="7" t="inlineStr">
        <is>
          <t>87/1115</t>
        </is>
      </c>
      <c r="L2101" s="7" t="inlineStr">
        <is>
          <t>Yes</t>
        </is>
      </c>
      <c r="M2101" s="7" t="inlineStr">
        <is>
          <t>Supports your run goals. This bra gives you a comfortably contained feel so you can focus on your pace.</t>
        </is>
      </c>
      <c r="N2101" s="7" t="inlineStr">
        <is>
          <t>Energy-Bra-High-Support</t>
        </is>
      </c>
      <c r="O2101" s="7" t="inlineStr">
        <is>
          <t>Strappy Bras, Longline Bras</t>
        </is>
      </c>
    </row>
    <row r="2102" ht="80" customHeight="1">
      <c r="A2102" s="4">
        <f>IMAGE("https://images.lululemon.com/is/image/lululemon/LW2CP8S_0001_1?wid=320&amp;op_usm=0.8",1)</f>
        <v/>
      </c>
      <c r="B2102" s="4" t="inlineStr">
        <is>
          <t>lululemon Energy Bra *High Support, B–G Cups</t>
        </is>
      </c>
      <c r="C2102" s="4" t="inlineStr">
        <is>
          <t>132177149</t>
        </is>
      </c>
      <c r="D2102" s="4" t="inlineStr">
        <is>
          <t>132177149-truenavy</t>
        </is>
      </c>
      <c r="E2102" s="4" t="inlineStr">
        <is>
          <t>lululemon Energy High Support Bra SRNB 34C</t>
        </is>
      </c>
      <c r="F2102" s="4" t="inlineStr">
        <is>
          <t>$68.00</t>
        </is>
      </c>
      <c r="G2102" s="4" t="inlineStr">
        <is>
          <t>$34.00</t>
        </is>
      </c>
      <c r="H2102" s="4" t="inlineStr">
        <is>
          <t>True Navy</t>
        </is>
      </c>
      <c r="I2102" s="4">
        <f>IMAGE("https://images.lululemon.com/is/image/lululemon/31382",1)</f>
        <v/>
      </c>
      <c r="J2102" s="4" t="inlineStr">
        <is>
          <t>36D</t>
        </is>
      </c>
      <c r="K2102" s="4" t="inlineStr">
        <is>
          <t>80/1115</t>
        </is>
      </c>
      <c r="L2102" s="4" t="inlineStr">
        <is>
          <t>Yes</t>
        </is>
      </c>
      <c r="M2102" s="4" t="inlineStr">
        <is>
          <t>Supports your run goals. This bra gives you a comfortably contained feel so you can focus on your pace.</t>
        </is>
      </c>
      <c r="N2102" s="4" t="inlineStr">
        <is>
          <t>Energy-Bra-High-Support</t>
        </is>
      </c>
      <c r="O2102" s="4" t="inlineStr">
        <is>
          <t>Strappy Bras, Longline Bras</t>
        </is>
      </c>
    </row>
    <row r="2103" ht="80" customHeight="1">
      <c r="A2103" s="7">
        <f>IMAGE("https://images.lululemon.com/is/image/lululemon/LW2CP8S_0001_1?wid=320&amp;op_usm=0.8",1)</f>
        <v/>
      </c>
      <c r="B2103" s="7" t="inlineStr">
        <is>
          <t>lululemon Energy Bra *High Support, B–G Cups</t>
        </is>
      </c>
      <c r="C2103" s="7" t="inlineStr">
        <is>
          <t>132177151</t>
        </is>
      </c>
      <c r="D2103" s="7" t="inlineStr">
        <is>
          <t>132177151-truenavy</t>
        </is>
      </c>
      <c r="E2103" s="7" t="inlineStr">
        <is>
          <t>lululemon Energy High Support Bra SRNB 34C</t>
        </is>
      </c>
      <c r="F2103" s="7" t="inlineStr">
        <is>
          <t>$68.00</t>
        </is>
      </c>
      <c r="G2103" s="7" t="inlineStr">
        <is>
          <t>$34.00</t>
        </is>
      </c>
      <c r="H2103" s="7" t="inlineStr">
        <is>
          <t>True Navy</t>
        </is>
      </c>
      <c r="I2103" s="7">
        <f>IMAGE("https://images.lululemon.com/is/image/lululemon/31382",1)</f>
        <v/>
      </c>
      <c r="J2103" s="7" t="inlineStr">
        <is>
          <t>36DD</t>
        </is>
      </c>
      <c r="K2103" s="7" t="inlineStr">
        <is>
          <t>71/1115</t>
        </is>
      </c>
      <c r="L2103" s="7" t="inlineStr">
        <is>
          <t>Yes</t>
        </is>
      </c>
      <c r="M2103" s="7" t="inlineStr">
        <is>
          <t>Supports your run goals. This bra gives you a comfortably contained feel so you can focus on your pace.</t>
        </is>
      </c>
      <c r="N2103" s="7" t="inlineStr">
        <is>
          <t>Energy-Bra-High-Support</t>
        </is>
      </c>
      <c r="O2103" s="7" t="inlineStr">
        <is>
          <t>Strappy Bras, Longline Bras</t>
        </is>
      </c>
    </row>
    <row r="2104" ht="80" customHeight="1">
      <c r="A2104" s="4">
        <f>IMAGE("https://images.lululemon.com/is/image/lululemon/LW2CP8S_0001_1?wid=320&amp;op_usm=0.8",1)</f>
        <v/>
      </c>
      <c r="B2104" s="4" t="inlineStr">
        <is>
          <t>lululemon Energy Bra *High Support, B–G Cups</t>
        </is>
      </c>
      <c r="C2104" s="4" t="inlineStr">
        <is>
          <t>132177165</t>
        </is>
      </c>
      <c r="D2104" s="4" t="inlineStr">
        <is>
          <t>132177165-truenavy</t>
        </is>
      </c>
      <c r="E2104" s="4" t="inlineStr">
        <is>
          <t>lululemon Energy High Support Bra SRNB 34C</t>
        </is>
      </c>
      <c r="F2104" s="4" t="inlineStr">
        <is>
          <t>$68.00</t>
        </is>
      </c>
      <c r="G2104" s="4" t="inlineStr">
        <is>
          <t>$34.00</t>
        </is>
      </c>
      <c r="H2104" s="4" t="inlineStr">
        <is>
          <t>True Navy</t>
        </is>
      </c>
      <c r="I2104" s="4">
        <f>IMAGE("https://images.lululemon.com/is/image/lululemon/31382",1)</f>
        <v/>
      </c>
      <c r="J2104" s="4" t="inlineStr">
        <is>
          <t>38D</t>
        </is>
      </c>
      <c r="K2104" s="4" t="inlineStr">
        <is>
          <t>60/1115</t>
        </is>
      </c>
      <c r="L2104" s="4" t="inlineStr">
        <is>
          <t>Yes</t>
        </is>
      </c>
      <c r="M2104" s="4" t="inlineStr">
        <is>
          <t>Supports your run goals. This bra gives you a comfortably contained feel so you can focus on your pace.</t>
        </is>
      </c>
      <c r="N2104" s="4" t="inlineStr">
        <is>
          <t>Energy-Bra-High-Support</t>
        </is>
      </c>
      <c r="O2104" s="4" t="inlineStr">
        <is>
          <t>Strappy Bras, Longline Bras</t>
        </is>
      </c>
    </row>
    <row r="2105" ht="80" customHeight="1">
      <c r="A2105" s="7">
        <f>IMAGE("https://images.lululemon.com/is/image/lululemon/LW2CP8S_0001_1?wid=320&amp;op_usm=0.8",1)</f>
        <v/>
      </c>
      <c r="B2105" s="7" t="inlineStr">
        <is>
          <t>lululemon Energy Bra *High Support, B–G Cups</t>
        </is>
      </c>
      <c r="C2105" s="7" t="inlineStr">
        <is>
          <t>132177169</t>
        </is>
      </c>
      <c r="D2105" s="7" t="inlineStr">
        <is>
          <t>132177169-truenavy</t>
        </is>
      </c>
      <c r="E2105" s="7" t="inlineStr">
        <is>
          <t>lululemon Energy High Support Bra SRNB 34C</t>
        </is>
      </c>
      <c r="F2105" s="7" t="inlineStr">
        <is>
          <t>$68.00</t>
        </is>
      </c>
      <c r="G2105" s="7" t="inlineStr">
        <is>
          <t>$34.00</t>
        </is>
      </c>
      <c r="H2105" s="7" t="inlineStr">
        <is>
          <t>True Navy</t>
        </is>
      </c>
      <c r="I2105" s="7">
        <f>IMAGE("https://images.lululemon.com/is/image/lululemon/31382",1)</f>
        <v/>
      </c>
      <c r="J2105" s="7" t="inlineStr">
        <is>
          <t>38DD</t>
        </is>
      </c>
      <c r="K2105" s="7" t="inlineStr">
        <is>
          <t>10/1115</t>
        </is>
      </c>
      <c r="L2105" s="7" t="inlineStr">
        <is>
          <t>Yes</t>
        </is>
      </c>
      <c r="M2105" s="7" t="inlineStr">
        <is>
          <t>Supports your run goals. This bra gives you a comfortably contained feel so you can focus on your pace.</t>
        </is>
      </c>
      <c r="N2105" s="7" t="inlineStr">
        <is>
          <t>Energy-Bra-High-Support</t>
        </is>
      </c>
      <c r="O2105" s="7" t="inlineStr">
        <is>
          <t>Strappy Bras, Longline Bras</t>
        </is>
      </c>
    </row>
    <row r="2106" ht="80" customHeight="1">
      <c r="A2106" s="4">
        <f>IMAGE("https://images.lululemon.com/is/image/lululemon/LW2CP8S_0001_1?wid=320&amp;op_usm=0.8",1)</f>
        <v/>
      </c>
      <c r="B2106" s="4" t="inlineStr">
        <is>
          <t>lululemon Energy Bra *High Support, B–G Cups</t>
        </is>
      </c>
      <c r="C2106" s="4" t="inlineStr">
        <is>
          <t>158094511</t>
        </is>
      </c>
      <c r="D2106" s="4" t="inlineStr">
        <is>
          <t>158094511-indochineblue</t>
        </is>
      </c>
      <c r="E2106" s="4" t="inlineStr">
        <is>
          <t>lululemon Energy High Support Bra SRNB 34C</t>
        </is>
      </c>
      <c r="F2106" s="4" t="inlineStr">
        <is>
          <t>$68.00</t>
        </is>
      </c>
      <c r="G2106" s="4" t="inlineStr">
        <is>
          <t>$34.00</t>
        </is>
      </c>
      <c r="H2106" s="4" t="inlineStr">
        <is>
          <t>Indochine Blue</t>
        </is>
      </c>
      <c r="I2106" s="4">
        <f>IMAGE("https://images.lululemon.com/is/image/lululemon/28022",1)</f>
        <v/>
      </c>
      <c r="J2106" s="4" t="inlineStr">
        <is>
          <t>34C</t>
        </is>
      </c>
      <c r="K2106" s="4" t="inlineStr">
        <is>
          <t>8/1115</t>
        </is>
      </c>
      <c r="L2106" s="4" t="inlineStr">
        <is>
          <t>Yes</t>
        </is>
      </c>
      <c r="M2106" s="4" t="inlineStr">
        <is>
          <t>Supports your run goals. This bra gives you a comfortably contained feel so you can focus on your pace.</t>
        </is>
      </c>
      <c r="N2106" s="4" t="inlineStr">
        <is>
          <t>Energy-Bra-High-Support</t>
        </is>
      </c>
      <c r="O2106" s="4" t="inlineStr">
        <is>
          <t>Strappy Bras, Longline Bras</t>
        </is>
      </c>
    </row>
    <row r="2107" ht="80" customHeight="1">
      <c r="A2107" s="7">
        <f>IMAGE("https://images.lululemon.com/is/image/lululemon/LW2CP8S_0001_1?wid=320&amp;op_usm=0.8",1)</f>
        <v/>
      </c>
      <c r="B2107" s="7" t="inlineStr">
        <is>
          <t>lululemon Energy Bra *High Support, B–G Cups</t>
        </is>
      </c>
      <c r="C2107" s="7" t="inlineStr">
        <is>
          <t>158094513</t>
        </is>
      </c>
      <c r="D2107" s="7" t="inlineStr">
        <is>
          <t>158094513-indochineblue</t>
        </is>
      </c>
      <c r="E2107" s="7" t="inlineStr">
        <is>
          <t>lululemon Energy High Support Bra SRNB 34C</t>
        </is>
      </c>
      <c r="F2107" s="7" t="inlineStr">
        <is>
          <t>$68.00</t>
        </is>
      </c>
      <c r="G2107" s="7" t="inlineStr">
        <is>
          <t>$34.00</t>
        </is>
      </c>
      <c r="H2107" s="7" t="inlineStr">
        <is>
          <t>Indochine Blue</t>
        </is>
      </c>
      <c r="I2107" s="7">
        <f>IMAGE("https://images.lululemon.com/is/image/lululemon/28022",1)</f>
        <v/>
      </c>
      <c r="J2107" s="7" t="inlineStr">
        <is>
          <t>34D</t>
        </is>
      </c>
      <c r="K2107" s="7" t="inlineStr">
        <is>
          <t>17/1115</t>
        </is>
      </c>
      <c r="L2107" s="7" t="inlineStr">
        <is>
          <t>Yes</t>
        </is>
      </c>
      <c r="M2107" s="7" t="inlineStr">
        <is>
          <t>Supports your run goals. This bra gives you a comfortably contained feel so you can focus on your pace.</t>
        </is>
      </c>
      <c r="N2107" s="7" t="inlineStr">
        <is>
          <t>Energy-Bra-High-Support</t>
        </is>
      </c>
      <c r="O2107" s="7" t="inlineStr">
        <is>
          <t>Strappy Bras, Longline Bras</t>
        </is>
      </c>
    </row>
    <row r="2108" ht="80" customHeight="1">
      <c r="A2108" s="4">
        <f>IMAGE("https://images.lululemon.com/is/image/lululemon/LW2CP8S_0001_1?wid=320&amp;op_usm=0.8",1)</f>
        <v/>
      </c>
      <c r="B2108" s="4" t="inlineStr">
        <is>
          <t>lululemon Energy Bra *High Support, B–G Cups</t>
        </is>
      </c>
      <c r="C2108" s="4" t="inlineStr">
        <is>
          <t>158094515</t>
        </is>
      </c>
      <c r="D2108" s="4" t="inlineStr">
        <is>
          <t>158094515-indochineblue</t>
        </is>
      </c>
      <c r="E2108" s="4" t="inlineStr">
        <is>
          <t>lululemon Energy High Support Bra SRNB 34C</t>
        </is>
      </c>
      <c r="F2108" s="4" t="inlineStr">
        <is>
          <t>$68.00</t>
        </is>
      </c>
      <c r="G2108" s="4" t="inlineStr">
        <is>
          <t>$34.00</t>
        </is>
      </c>
      <c r="H2108" s="4" t="inlineStr">
        <is>
          <t>Indochine Blue</t>
        </is>
      </c>
      <c r="I2108" s="4">
        <f>IMAGE("https://images.lululemon.com/is/image/lululemon/28022",1)</f>
        <v/>
      </c>
      <c r="J2108" s="4" t="inlineStr">
        <is>
          <t>34DD</t>
        </is>
      </c>
      <c r="K2108" s="4" t="inlineStr">
        <is>
          <t>19/1115</t>
        </is>
      </c>
      <c r="L2108" s="4" t="inlineStr">
        <is>
          <t>Yes</t>
        </is>
      </c>
      <c r="M2108" s="4" t="inlineStr">
        <is>
          <t>Supports your run goals. This bra gives you a comfortably contained feel so you can focus on your pace.</t>
        </is>
      </c>
      <c r="N2108" s="4" t="inlineStr">
        <is>
          <t>Energy-Bra-High-Support</t>
        </is>
      </c>
      <c r="O2108" s="4" t="inlineStr">
        <is>
          <t>Strappy Bras, Longline Bras</t>
        </is>
      </c>
    </row>
    <row r="2109" ht="80" customHeight="1">
      <c r="A2109" s="7">
        <f>IMAGE("https://images.lululemon.com/is/image/lululemon/LW2CP8S_0001_1?wid=320&amp;op_usm=0.8",1)</f>
        <v/>
      </c>
      <c r="B2109" s="7" t="inlineStr">
        <is>
          <t>lululemon Energy Bra *High Support, B–G Cups</t>
        </is>
      </c>
      <c r="C2109" s="7" t="inlineStr">
        <is>
          <t>158094525</t>
        </is>
      </c>
      <c r="D2109" s="7" t="inlineStr">
        <is>
          <t>158094525-indochineblue</t>
        </is>
      </c>
      <c r="E2109" s="7" t="inlineStr">
        <is>
          <t>lululemon Energy High Support Bra SRNB 34C</t>
        </is>
      </c>
      <c r="F2109" s="7" t="inlineStr">
        <is>
          <t>$68.00</t>
        </is>
      </c>
      <c r="G2109" s="7" t="inlineStr">
        <is>
          <t>$34.00</t>
        </is>
      </c>
      <c r="H2109" s="7" t="inlineStr">
        <is>
          <t>Indochine Blue</t>
        </is>
      </c>
      <c r="I2109" s="7">
        <f>IMAGE("https://images.lululemon.com/is/image/lululemon/28022",1)</f>
        <v/>
      </c>
      <c r="J2109" s="7" t="inlineStr">
        <is>
          <t>36D</t>
        </is>
      </c>
      <c r="K2109" s="7" t="inlineStr">
        <is>
          <t>13/1115</t>
        </is>
      </c>
      <c r="L2109" s="7" t="inlineStr">
        <is>
          <t>Yes</t>
        </is>
      </c>
      <c r="M2109" s="7" t="inlineStr">
        <is>
          <t>Supports your run goals. This bra gives you a comfortably contained feel so you can focus on your pace.</t>
        </is>
      </c>
      <c r="N2109" s="7" t="inlineStr">
        <is>
          <t>Energy-Bra-High-Support</t>
        </is>
      </c>
      <c r="O2109" s="7" t="inlineStr">
        <is>
          <t>Strappy Bras, Longline Bras</t>
        </is>
      </c>
    </row>
    <row r="2110" ht="80" customHeight="1">
      <c r="A2110" s="4">
        <f>IMAGE("https://images.lululemon.com/is/image/lululemon/LW2CP8S_0001_1?wid=320&amp;op_usm=0.8",1)</f>
        <v/>
      </c>
      <c r="B2110" s="4" t="inlineStr">
        <is>
          <t>lululemon Energy Bra *High Support, B–G Cups</t>
        </is>
      </c>
      <c r="C2110" s="4" t="inlineStr">
        <is>
          <t>158094527</t>
        </is>
      </c>
      <c r="D2110" s="4" t="inlineStr">
        <is>
          <t>158094527-indochineblue</t>
        </is>
      </c>
      <c r="E2110" s="4" t="inlineStr">
        <is>
          <t>lululemon Energy High Support Bra SRNB 34C</t>
        </is>
      </c>
      <c r="F2110" s="4" t="inlineStr">
        <is>
          <t>$68.00</t>
        </is>
      </c>
      <c r="G2110" s="4" t="inlineStr">
        <is>
          <t>$34.00</t>
        </is>
      </c>
      <c r="H2110" s="4" t="inlineStr">
        <is>
          <t>Indochine Blue</t>
        </is>
      </c>
      <c r="I2110" s="4">
        <f>IMAGE("https://images.lululemon.com/is/image/lululemon/28022",1)</f>
        <v/>
      </c>
      <c r="J2110" s="4" t="inlineStr">
        <is>
          <t>36DD</t>
        </is>
      </c>
      <c r="K2110" s="4" t="inlineStr">
        <is>
          <t>16/1115</t>
        </is>
      </c>
      <c r="L2110" s="4" t="inlineStr">
        <is>
          <t>Yes</t>
        </is>
      </c>
      <c r="M2110" s="4" t="inlineStr">
        <is>
          <t>Supports your run goals. This bra gives you a comfortably contained feel so you can focus on your pace.</t>
        </is>
      </c>
      <c r="N2110" s="4" t="inlineStr">
        <is>
          <t>Energy-Bra-High-Support</t>
        </is>
      </c>
      <c r="O2110" s="4" t="inlineStr">
        <is>
          <t>Strappy Bras, Longline Bras</t>
        </is>
      </c>
    </row>
    <row r="2111" ht="80" customHeight="1">
      <c r="A2111" s="7">
        <f>IMAGE("https://images.lululemon.com/is/image/lululemon/LW2CP8S_0001_1?wid=320&amp;op_usm=0.8",1)</f>
        <v/>
      </c>
      <c r="B2111" s="7" t="inlineStr">
        <is>
          <t>lululemon Energy Bra *High Support, B–G Cups</t>
        </is>
      </c>
      <c r="C2111" s="7" t="inlineStr">
        <is>
          <t>158094533</t>
        </is>
      </c>
      <c r="D2111" s="7" t="inlineStr">
        <is>
          <t>158094533-indochineblue</t>
        </is>
      </c>
      <c r="E2111" s="7" t="inlineStr">
        <is>
          <t>lululemon Energy High Support Bra SRNB 34C</t>
        </is>
      </c>
      <c r="F2111" s="7" t="inlineStr">
        <is>
          <t>$68.00</t>
        </is>
      </c>
      <c r="G2111" s="7" t="inlineStr">
        <is>
          <t>$34.00</t>
        </is>
      </c>
      <c r="H2111" s="7" t="inlineStr">
        <is>
          <t>Indochine Blue</t>
        </is>
      </c>
      <c r="I2111" s="7">
        <f>IMAGE("https://images.lululemon.com/is/image/lululemon/28022",1)</f>
        <v/>
      </c>
      <c r="J2111" s="7" t="inlineStr">
        <is>
          <t>38D</t>
        </is>
      </c>
      <c r="K2111" s="7" t="inlineStr">
        <is>
          <t>15/1115</t>
        </is>
      </c>
      <c r="L2111" s="7" t="inlineStr">
        <is>
          <t>Yes</t>
        </is>
      </c>
      <c r="M2111" s="7" t="inlineStr">
        <is>
          <t>Supports your run goals. This bra gives you a comfortably contained feel so you can focus on your pace.</t>
        </is>
      </c>
      <c r="N2111" s="7" t="inlineStr">
        <is>
          <t>Energy-Bra-High-Support</t>
        </is>
      </c>
      <c r="O2111" s="7" t="inlineStr">
        <is>
          <t>Strappy Bras, Longline Bras</t>
        </is>
      </c>
    </row>
    <row r="2112" ht="80" customHeight="1">
      <c r="A2112" s="4">
        <f>IMAGE("https://images.lululemon.com/is/image/lululemon/LW2CP8S_0001_1?wid=320&amp;op_usm=0.8",1)</f>
        <v/>
      </c>
      <c r="B2112" s="4" t="inlineStr">
        <is>
          <t>lululemon Energy Bra *High Support, B–G Cups</t>
        </is>
      </c>
      <c r="C2112" s="4" t="inlineStr">
        <is>
          <t>158094535</t>
        </is>
      </c>
      <c r="D2112" s="4" t="inlineStr">
        <is>
          <t>158094535-indochineblue</t>
        </is>
      </c>
      <c r="E2112" s="4" t="inlineStr">
        <is>
          <t>lululemon Energy High Support Bra SRNB 34C</t>
        </is>
      </c>
      <c r="F2112" s="4" t="inlineStr">
        <is>
          <t>$68.00</t>
        </is>
      </c>
      <c r="G2112" s="4" t="inlineStr">
        <is>
          <t>$34.00</t>
        </is>
      </c>
      <c r="H2112" s="4" t="inlineStr">
        <is>
          <t>Indochine Blue</t>
        </is>
      </c>
      <c r="I2112" s="4">
        <f>IMAGE("https://images.lululemon.com/is/image/lululemon/28022",1)</f>
        <v/>
      </c>
      <c r="J2112" s="4" t="inlineStr">
        <is>
          <t>38DD</t>
        </is>
      </c>
      <c r="K2112" s="4" t="inlineStr">
        <is>
          <t>14/1115</t>
        </is>
      </c>
      <c r="L2112" s="4" t="inlineStr">
        <is>
          <t>Yes</t>
        </is>
      </c>
      <c r="M2112" s="4" t="inlineStr">
        <is>
          <t>Supports your run goals. This bra gives you a comfortably contained feel so you can focus on your pace.</t>
        </is>
      </c>
      <c r="N2112" s="4" t="inlineStr">
        <is>
          <t>Energy-Bra-High-Support</t>
        </is>
      </c>
      <c r="O2112" s="4" t="inlineStr">
        <is>
          <t>Strappy Bras, Longline Bras</t>
        </is>
      </c>
    </row>
    <row r="2113" ht="80" customHeight="1">
      <c r="A2113" s="7">
        <f>IMAGE("https://images.lululemon.com/is/image/lululemon/LW2CP8S_0001_1?wid=320&amp;op_usm=0.8",1)</f>
        <v/>
      </c>
      <c r="B2113" s="7" t="inlineStr">
        <is>
          <t>lululemon Energy Bra *High Support, B–G Cups</t>
        </is>
      </c>
      <c r="C2113" s="7" t="inlineStr">
        <is>
          <t>132176973</t>
        </is>
      </c>
      <c r="D2113" s="7" t="inlineStr">
        <is>
          <t>132176973-black</t>
        </is>
      </c>
      <c r="E2113" s="7" t="inlineStr">
        <is>
          <t>lululemon Energy High Support Bra SRNB 34C</t>
        </is>
      </c>
      <c r="F2113" s="7" t="inlineStr">
        <is>
          <t>$68.00</t>
        </is>
      </c>
      <c r="G2113" s="7" t="inlineStr">
        <is>
          <t>$34.00</t>
        </is>
      </c>
      <c r="H2113" s="7" t="inlineStr">
        <is>
          <t>Black</t>
        </is>
      </c>
      <c r="I2113" s="7">
        <f>IMAGE("https://images.lululemon.com/is/image/lululemon/0001",1)</f>
        <v/>
      </c>
      <c r="J2113" s="7" t="inlineStr">
        <is>
          <t>34D</t>
        </is>
      </c>
      <c r="K2113" s="7" t="inlineStr">
        <is>
          <t>21/1115</t>
        </is>
      </c>
      <c r="L2113" s="7" t="inlineStr">
        <is>
          <t>Yes</t>
        </is>
      </c>
      <c r="M2113" s="7" t="inlineStr">
        <is>
          <t>Supports your run goals. This bra gives you a comfortably contained feel so you can focus on your pace.</t>
        </is>
      </c>
      <c r="N2113" s="7" t="inlineStr">
        <is>
          <t>Energy-Bra-High-Support</t>
        </is>
      </c>
      <c r="O2113" s="7" t="inlineStr">
        <is>
          <t>Strappy Bras, Longline Bras</t>
        </is>
      </c>
    </row>
    <row r="2114" ht="80" customHeight="1">
      <c r="A2114" s="4">
        <f>IMAGE("https://images.lululemon.com/is/image/lululemon/LW2CP8S_0001_1?wid=320&amp;op_usm=0.8",1)</f>
        <v/>
      </c>
      <c r="B2114" s="4" t="inlineStr">
        <is>
          <t>lululemon Energy Bra *High Support, B–G Cups</t>
        </is>
      </c>
      <c r="C2114" s="4" t="inlineStr">
        <is>
          <t>132176976</t>
        </is>
      </c>
      <c r="D2114" s="4" t="inlineStr">
        <is>
          <t>132176976-black</t>
        </is>
      </c>
      <c r="E2114" s="4" t="inlineStr">
        <is>
          <t>lululemon Energy High Support Bra SRNB 34C</t>
        </is>
      </c>
      <c r="F2114" s="4" t="inlineStr">
        <is>
          <t>$68.00</t>
        </is>
      </c>
      <c r="G2114" s="4" t="inlineStr">
        <is>
          <t>$34.00</t>
        </is>
      </c>
      <c r="H2114" s="4" t="inlineStr">
        <is>
          <t>Black</t>
        </is>
      </c>
      <c r="I2114" s="4">
        <f>IMAGE("https://images.lululemon.com/is/image/lululemon/0001",1)</f>
        <v/>
      </c>
      <c r="J2114" s="4" t="inlineStr">
        <is>
          <t>34DD</t>
        </is>
      </c>
      <c r="K2114" s="4" t="inlineStr">
        <is>
          <t>13/1115</t>
        </is>
      </c>
      <c r="L2114" s="4" t="inlineStr">
        <is>
          <t>Yes</t>
        </is>
      </c>
      <c r="M2114" s="4" t="inlineStr">
        <is>
          <t>Supports your run goals. This bra gives you a comfortably contained feel so you can focus on your pace.</t>
        </is>
      </c>
      <c r="N2114" s="4" t="inlineStr">
        <is>
          <t>Energy-Bra-High-Support</t>
        </is>
      </c>
      <c r="O2114" s="4" t="inlineStr">
        <is>
          <t>Strappy Bras, Longline Bras</t>
        </is>
      </c>
    </row>
    <row r="2115" ht="80" customHeight="1">
      <c r="A2115" s="7">
        <f>IMAGE("https://images.lululemon.com/is/image/lululemon/LW2CP8S_0001_1?wid=320&amp;op_usm=0.8",1)</f>
        <v/>
      </c>
      <c r="B2115" s="7" t="inlineStr">
        <is>
          <t>lululemon Energy Bra *High Support, B–G Cups</t>
        </is>
      </c>
      <c r="C2115" s="7" t="inlineStr">
        <is>
          <t>132177003</t>
        </is>
      </c>
      <c r="D2115" s="7" t="inlineStr">
        <is>
          <t>132177003-black</t>
        </is>
      </c>
      <c r="E2115" s="7" t="inlineStr">
        <is>
          <t>lululemon Energy High Support Bra SRNB 34C</t>
        </is>
      </c>
      <c r="F2115" s="7" t="inlineStr">
        <is>
          <t>$68.00</t>
        </is>
      </c>
      <c r="G2115" s="7" t="inlineStr">
        <is>
          <t>$34.00</t>
        </is>
      </c>
      <c r="H2115" s="7" t="inlineStr">
        <is>
          <t>Black</t>
        </is>
      </c>
      <c r="I2115" s="7">
        <f>IMAGE("https://images.lululemon.com/is/image/lululemon/0001",1)</f>
        <v/>
      </c>
      <c r="J2115" s="7" t="inlineStr">
        <is>
          <t>36D</t>
        </is>
      </c>
      <c r="K2115" s="7" t="inlineStr">
        <is>
          <t>16/1115</t>
        </is>
      </c>
      <c r="L2115" s="7" t="inlineStr">
        <is>
          <t>Yes</t>
        </is>
      </c>
      <c r="M2115" s="7" t="inlineStr">
        <is>
          <t>Supports your run goals. This bra gives you a comfortably contained feel so you can focus on your pace.</t>
        </is>
      </c>
      <c r="N2115" s="7" t="inlineStr">
        <is>
          <t>Energy-Bra-High-Support</t>
        </is>
      </c>
      <c r="O2115" s="7" t="inlineStr">
        <is>
          <t>Strappy Bras, Longline Bras</t>
        </is>
      </c>
    </row>
    <row r="2116" ht="80" customHeight="1">
      <c r="A2116" s="4">
        <f>IMAGE("https://images.lululemon.com/is/image/lululemon/LW2CP8S_0001_1?wid=320&amp;op_usm=0.8",1)</f>
        <v/>
      </c>
      <c r="B2116" s="4" t="inlineStr">
        <is>
          <t>lululemon Energy Bra *High Support, B–G Cups</t>
        </is>
      </c>
      <c r="C2116" s="4" t="inlineStr">
        <is>
          <t>132177008</t>
        </is>
      </c>
      <c r="D2116" s="4" t="inlineStr">
        <is>
          <t>132177008-black</t>
        </is>
      </c>
      <c r="E2116" s="4" t="inlineStr">
        <is>
          <t>lululemon Energy High Support Bra SRNB 34C</t>
        </is>
      </c>
      <c r="F2116" s="4" t="inlineStr">
        <is>
          <t>$68.00</t>
        </is>
      </c>
      <c r="G2116" s="4" t="inlineStr">
        <is>
          <t>$34.00</t>
        </is>
      </c>
      <c r="H2116" s="4" t="inlineStr">
        <is>
          <t>Black</t>
        </is>
      </c>
      <c r="I2116" s="4">
        <f>IMAGE("https://images.lululemon.com/is/image/lululemon/0001",1)</f>
        <v/>
      </c>
      <c r="J2116" s="4" t="inlineStr">
        <is>
          <t>36DD</t>
        </is>
      </c>
      <c r="K2116" s="4" t="inlineStr">
        <is>
          <t>5/1115</t>
        </is>
      </c>
      <c r="L2116" s="4" t="inlineStr">
        <is>
          <t>Yes</t>
        </is>
      </c>
      <c r="M2116" s="4" t="inlineStr">
        <is>
          <t>Supports your run goals. This bra gives you a comfortably contained feel so you can focus on your pace.</t>
        </is>
      </c>
      <c r="N2116" s="4" t="inlineStr">
        <is>
          <t>Energy-Bra-High-Support</t>
        </is>
      </c>
      <c r="O2116" s="4" t="inlineStr">
        <is>
          <t>Strappy Bras, Longline Bras</t>
        </is>
      </c>
    </row>
    <row r="2117" ht="80" customHeight="1">
      <c r="A2117" s="7">
        <f>IMAGE("https://images.lululemon.com/is/image/lululemon/LW2CP8S_0001_1?wid=320&amp;op_usm=0.8",1)</f>
        <v/>
      </c>
      <c r="B2117" s="7" t="inlineStr">
        <is>
          <t>lululemon Energy Bra *High Support, B–G Cups</t>
        </is>
      </c>
      <c r="C2117" s="7" t="inlineStr">
        <is>
          <t>132177030</t>
        </is>
      </c>
      <c r="D2117" s="7" t="inlineStr">
        <is>
          <t>132177030-black</t>
        </is>
      </c>
      <c r="E2117" s="7" t="inlineStr">
        <is>
          <t>lululemon Energy High Support Bra SRNB 34C</t>
        </is>
      </c>
      <c r="F2117" s="7" t="inlineStr">
        <is>
          <t>$68.00</t>
        </is>
      </c>
      <c r="G2117" s="7" t="inlineStr">
        <is>
          <t>$34.00</t>
        </is>
      </c>
      <c r="H2117" s="7" t="inlineStr">
        <is>
          <t>Black</t>
        </is>
      </c>
      <c r="I2117" s="7">
        <f>IMAGE("https://images.lululemon.com/is/image/lululemon/0001",1)</f>
        <v/>
      </c>
      <c r="J2117" s="7" t="inlineStr">
        <is>
          <t>38D</t>
        </is>
      </c>
      <c r="K2117" s="7" t="inlineStr">
        <is>
          <t>13/1115</t>
        </is>
      </c>
      <c r="L2117" s="7" t="inlineStr">
        <is>
          <t>Yes</t>
        </is>
      </c>
      <c r="M2117" s="7" t="inlineStr">
        <is>
          <t>Supports your run goals. This bra gives you a comfortably contained feel so you can focus on your pace.</t>
        </is>
      </c>
      <c r="N2117" s="7" t="inlineStr">
        <is>
          <t>Energy-Bra-High-Support</t>
        </is>
      </c>
      <c r="O2117" s="7" t="inlineStr">
        <is>
          <t>Strappy Bras, Longline Bras</t>
        </is>
      </c>
    </row>
    <row r="2118" ht="80" customHeight="1">
      <c r="A2118" s="6">
        <f>IMAGE("https://images.lululemon.com/is/image/lululemon/LW2CP8S_0001_1?wid=320&amp;op_usm=0.8",1)</f>
        <v/>
      </c>
      <c r="B2118" s="6" t="inlineStr">
        <is>
          <t>lululemon Energy Bra *High Support, B–G Cups</t>
        </is>
      </c>
      <c r="C2118" s="6" t="inlineStr">
        <is>
          <t>132177033</t>
        </is>
      </c>
      <c r="D2118" s="6" t="inlineStr">
        <is>
          <t>132177033-black</t>
        </is>
      </c>
      <c r="E2118" s="6" t="inlineStr">
        <is>
          <t>lululemon Energy High Support Bra SRNB 34C</t>
        </is>
      </c>
      <c r="F2118" s="6" t="inlineStr">
        <is>
          <t>$68.00</t>
        </is>
      </c>
      <c r="G2118" s="6" t="inlineStr">
        <is>
          <t>$34.00</t>
        </is>
      </c>
      <c r="H2118" s="6" t="inlineStr">
        <is>
          <t>Black</t>
        </is>
      </c>
      <c r="I2118" s="6">
        <f>IMAGE("https://images.lululemon.com/is/image/lululemon/0001",1)</f>
        <v/>
      </c>
      <c r="J2118" s="6" t="inlineStr">
        <is>
          <t>38DD</t>
        </is>
      </c>
      <c r="K2118" s="6" t="inlineStr">
        <is>
          <t>9/1115</t>
        </is>
      </c>
      <c r="L2118" s="6" t="inlineStr">
        <is>
          <t>Yes</t>
        </is>
      </c>
      <c r="M2118" s="6" t="inlineStr">
        <is>
          <t>Supports your run goals. This bra gives you a comfortably contained feel so you can focus on your pace.</t>
        </is>
      </c>
      <c r="N2118" s="6" t="inlineStr">
        <is>
          <t>Energy-Bra-High-Support</t>
        </is>
      </c>
      <c r="O2118" s="6" t="inlineStr">
        <is>
          <t>Strappy Bras, Longline Bras</t>
        </is>
      </c>
    </row>
    <row r="2119" ht="80" customHeight="1">
      <c r="A2119" s="7">
        <f>IMAGE("https://images.lululemon.com/is/image/lululemon/LW7DCNS_0001_1?wid=320&amp;op_usm=0.8",1)</f>
        <v/>
      </c>
      <c r="B2119" s="7" t="inlineStr">
        <is>
          <t>Hotty Hot High-Rise Lined Short 4"</t>
        </is>
      </c>
      <c r="C2119" s="7" t="inlineStr">
        <is>
          <t>155852290</t>
        </is>
      </c>
      <c r="D2119" s="7" t="inlineStr">
        <is>
          <t>155852290-black</t>
        </is>
      </c>
      <c r="E2119" s="7" t="inlineStr">
        <is>
          <t>Hotty Hot HR Short 4" *Lined BLK 0</t>
        </is>
      </c>
      <c r="F2119" s="7" t="inlineStr">
        <is>
          <t>$68.00</t>
        </is>
      </c>
      <c r="G2119" s="7" t="inlineStr">
        <is>
          <t>$34.00</t>
        </is>
      </c>
      <c r="H2119" s="7" t="inlineStr">
        <is>
          <t>Black</t>
        </is>
      </c>
      <c r="I2119" s="7">
        <f>IMAGE("https://images.lululemon.com/is/image/lululemon/0001",1)</f>
        <v/>
      </c>
      <c r="J2119" s="7" t="inlineStr">
        <is>
          <t>0</t>
        </is>
      </c>
      <c r="K2119" s="7" t="inlineStr">
        <is>
          <t>179/6603</t>
        </is>
      </c>
      <c r="L2119" s="7" t="inlineStr">
        <is>
          <t>Yes</t>
        </is>
      </c>
      <c r="M2119" s="7" t="inlineStr">
        <is>
          <t>Max out that stride. We designed these run shorts with a little extra room so you can move freely.</t>
        </is>
      </c>
      <c r="N2119" s="7" t="inlineStr">
        <is>
          <t>Hotty-Hot-Short-HR-Long</t>
        </is>
      </c>
      <c r="O2119" s="7" t="inlineStr">
        <is>
          <t>Athletic Shorts, Liner Shorts, Track Shorts</t>
        </is>
      </c>
    </row>
    <row r="2120" ht="80" customHeight="1">
      <c r="A2120" s="4">
        <f>IMAGE("https://images.lululemon.com/is/image/lululemon/LW7DCNS_0001_1?wid=320&amp;op_usm=0.8",1)</f>
        <v/>
      </c>
      <c r="B2120" s="4" t="inlineStr">
        <is>
          <t>Hotty Hot High-Rise Lined Short 4"</t>
        </is>
      </c>
      <c r="C2120" s="4" t="inlineStr">
        <is>
          <t>155852359</t>
        </is>
      </c>
      <c r="D2120" s="4" t="inlineStr">
        <is>
          <t>155852359-black</t>
        </is>
      </c>
      <c r="E2120" s="4" t="inlineStr">
        <is>
          <t>Hotty Hot HR Short 4" *Lined BLK 0</t>
        </is>
      </c>
      <c r="F2120" s="4" t="inlineStr">
        <is>
          <t>$68.00</t>
        </is>
      </c>
      <c r="G2120" s="4" t="inlineStr">
        <is>
          <t>$34.00</t>
        </is>
      </c>
      <c r="H2120" s="4" t="inlineStr">
        <is>
          <t>Black</t>
        </is>
      </c>
      <c r="I2120" s="4">
        <f>IMAGE("https://images.lululemon.com/is/image/lululemon/0001",1)</f>
        <v/>
      </c>
      <c r="J2120" s="4" t="inlineStr">
        <is>
          <t>2</t>
        </is>
      </c>
      <c r="K2120" s="4" t="inlineStr">
        <is>
          <t>758/6603</t>
        </is>
      </c>
      <c r="L2120" s="4" t="inlineStr">
        <is>
          <t>Yes</t>
        </is>
      </c>
      <c r="M2120" s="4" t="inlineStr">
        <is>
          <t>Max out that stride. We designed these run shorts with a little extra room so you can move freely.</t>
        </is>
      </c>
      <c r="N2120" s="4" t="inlineStr">
        <is>
          <t>Hotty-Hot-Short-HR-Long</t>
        </is>
      </c>
      <c r="O2120" s="4" t="inlineStr">
        <is>
          <t>Athletic Shorts, Liner Shorts, Track Shorts</t>
        </is>
      </c>
    </row>
    <row r="2121" ht="80" customHeight="1">
      <c r="A2121" s="7">
        <f>IMAGE("https://images.lululemon.com/is/image/lululemon/LW7DCNS_0001_1?wid=320&amp;op_usm=0.8",1)</f>
        <v/>
      </c>
      <c r="B2121" s="7" t="inlineStr">
        <is>
          <t>Hotty Hot High-Rise Lined Short 4"</t>
        </is>
      </c>
      <c r="C2121" s="7" t="inlineStr">
        <is>
          <t>156506462</t>
        </is>
      </c>
      <c r="D2121" s="7" t="inlineStr">
        <is>
          <t>156506462-black</t>
        </is>
      </c>
      <c r="E2121" s="7" t="inlineStr">
        <is>
          <t>Hotty Hot HR Short 4" *Lined BLK 0</t>
        </is>
      </c>
      <c r="F2121" s="7" t="inlineStr">
        <is>
          <t>$68.00</t>
        </is>
      </c>
      <c r="G2121" s="7" t="inlineStr">
        <is>
          <t>$34.00</t>
        </is>
      </c>
      <c r="H2121" s="7" t="inlineStr">
        <is>
          <t>Black</t>
        </is>
      </c>
      <c r="I2121" s="7">
        <f>IMAGE("https://images.lululemon.com/is/image/lululemon/0001",1)</f>
        <v/>
      </c>
      <c r="J2121" s="7" t="inlineStr">
        <is>
          <t>4</t>
        </is>
      </c>
      <c r="K2121" s="7" t="inlineStr">
        <is>
          <t>462/6603</t>
        </is>
      </c>
      <c r="L2121" s="7" t="inlineStr">
        <is>
          <t>Yes</t>
        </is>
      </c>
      <c r="M2121" s="7" t="inlineStr">
        <is>
          <t>Max out that stride. We designed these run shorts with a little extra room so you can move freely.</t>
        </is>
      </c>
      <c r="N2121" s="7" t="inlineStr">
        <is>
          <t>Hotty-Hot-Short-HR-Long</t>
        </is>
      </c>
      <c r="O2121" s="7" t="inlineStr">
        <is>
          <t>Athletic Shorts, Liner Shorts, Track Shorts</t>
        </is>
      </c>
    </row>
    <row r="2122" ht="80" customHeight="1">
      <c r="A2122" s="4">
        <f>IMAGE("https://images.lululemon.com/is/image/lululemon/LW7DCNS_0001_1?wid=320&amp;op_usm=0.8",1)</f>
        <v/>
      </c>
      <c r="B2122" s="4" t="inlineStr">
        <is>
          <t>Hotty Hot High-Rise Lined Short 4"</t>
        </is>
      </c>
      <c r="C2122" s="4" t="inlineStr">
        <is>
          <t>156506472</t>
        </is>
      </c>
      <c r="D2122" s="4" t="inlineStr">
        <is>
          <t>156506472-black</t>
        </is>
      </c>
      <c r="E2122" s="4" t="inlineStr">
        <is>
          <t>Hotty Hot HR Short 4" *Lined BLK 0</t>
        </is>
      </c>
      <c r="F2122" s="4" t="inlineStr">
        <is>
          <t>$68.00</t>
        </is>
      </c>
      <c r="G2122" s="4" t="inlineStr">
        <is>
          <t>$34.00</t>
        </is>
      </c>
      <c r="H2122" s="4" t="inlineStr">
        <is>
          <t>Black</t>
        </is>
      </c>
      <c r="I2122" s="4">
        <f>IMAGE("https://images.lululemon.com/is/image/lululemon/0001",1)</f>
        <v/>
      </c>
      <c r="J2122" s="4" t="inlineStr">
        <is>
          <t>6</t>
        </is>
      </c>
      <c r="K2122" s="4" t="inlineStr">
        <is>
          <t>254/6603</t>
        </is>
      </c>
      <c r="L2122" s="4" t="inlineStr">
        <is>
          <t>Yes</t>
        </is>
      </c>
      <c r="M2122" s="4" t="inlineStr">
        <is>
          <t>Max out that stride. We designed these run shorts with a little extra room so you can move freely.</t>
        </is>
      </c>
      <c r="N2122" s="4" t="inlineStr">
        <is>
          <t>Hotty-Hot-Short-HR-Long</t>
        </is>
      </c>
      <c r="O2122" s="4" t="inlineStr">
        <is>
          <t>Athletic Shorts, Liner Shorts, Track Shorts</t>
        </is>
      </c>
    </row>
    <row r="2123" ht="80" customHeight="1">
      <c r="A2123" s="7">
        <f>IMAGE("https://images.lululemon.com/is/image/lululemon/LW7DCNS_0001_1?wid=320&amp;op_usm=0.8",1)</f>
        <v/>
      </c>
      <c r="B2123" s="7" t="inlineStr">
        <is>
          <t>Hotty Hot High-Rise Lined Short 4"</t>
        </is>
      </c>
      <c r="C2123" s="7" t="inlineStr">
        <is>
          <t>155852425</t>
        </is>
      </c>
      <c r="D2123" s="7" t="inlineStr">
        <is>
          <t>155852425-black</t>
        </is>
      </c>
      <c r="E2123" s="7" t="inlineStr">
        <is>
          <t>Hotty Hot HR Short 4" *Lined BLK 0</t>
        </is>
      </c>
      <c r="F2123" s="7" t="inlineStr">
        <is>
          <t>$68.00</t>
        </is>
      </c>
      <c r="G2123" s="7" t="inlineStr">
        <is>
          <t>$34.00</t>
        </is>
      </c>
      <c r="H2123" s="7" t="inlineStr">
        <is>
          <t>Black</t>
        </is>
      </c>
      <c r="I2123" s="7">
        <f>IMAGE("https://images.lululemon.com/is/image/lululemon/0001",1)</f>
        <v/>
      </c>
      <c r="J2123" s="7" t="inlineStr">
        <is>
          <t>8</t>
        </is>
      </c>
      <c r="K2123" s="7" t="inlineStr">
        <is>
          <t>489/6603</t>
        </is>
      </c>
      <c r="L2123" s="7" t="inlineStr">
        <is>
          <t>Yes</t>
        </is>
      </c>
      <c r="M2123" s="7" t="inlineStr">
        <is>
          <t>Max out that stride. We designed these run shorts with a little extra room so you can move freely.</t>
        </is>
      </c>
      <c r="N2123" s="7" t="inlineStr">
        <is>
          <t>Hotty-Hot-Short-HR-Long</t>
        </is>
      </c>
      <c r="O2123" s="7" t="inlineStr">
        <is>
          <t>Athletic Shorts, Liner Shorts, Track Shorts</t>
        </is>
      </c>
    </row>
    <row r="2124" ht="80" customHeight="1">
      <c r="A2124" s="4">
        <f>IMAGE("https://images.lululemon.com/is/image/lululemon/LW7DCNS_0001_1?wid=320&amp;op_usm=0.8",1)</f>
        <v/>
      </c>
      <c r="B2124" s="4" t="inlineStr">
        <is>
          <t>Hotty Hot High-Rise Lined Short 4"</t>
        </is>
      </c>
      <c r="C2124" s="4" t="inlineStr">
        <is>
          <t>155852302</t>
        </is>
      </c>
      <c r="D2124" s="4" t="inlineStr">
        <is>
          <t>155852302-black</t>
        </is>
      </c>
      <c r="E2124" s="4" t="inlineStr">
        <is>
          <t>Hotty Hot HR Short 4" *Lined BLK 0</t>
        </is>
      </c>
      <c r="F2124" s="4" t="inlineStr">
        <is>
          <t>$68.00</t>
        </is>
      </c>
      <c r="G2124" s="4" t="inlineStr">
        <is>
          <t>$34.00</t>
        </is>
      </c>
      <c r="H2124" s="4" t="inlineStr">
        <is>
          <t>Black</t>
        </is>
      </c>
      <c r="I2124" s="4">
        <f>IMAGE("https://images.lululemon.com/is/image/lululemon/0001",1)</f>
        <v/>
      </c>
      <c r="J2124" s="4" t="inlineStr">
        <is>
          <t>10</t>
        </is>
      </c>
      <c r="K2124" s="4" t="inlineStr">
        <is>
          <t>313/6603</t>
        </is>
      </c>
      <c r="L2124" s="4" t="inlineStr">
        <is>
          <t>Yes</t>
        </is>
      </c>
      <c r="M2124" s="4" t="inlineStr">
        <is>
          <t>Max out that stride. We designed these run shorts with a little extra room so you can move freely.</t>
        </is>
      </c>
      <c r="N2124" s="4" t="inlineStr">
        <is>
          <t>Hotty-Hot-Short-HR-Long</t>
        </is>
      </c>
      <c r="O2124" s="4" t="inlineStr">
        <is>
          <t>Athletic Shorts, Liner Shorts, Track Shorts</t>
        </is>
      </c>
    </row>
    <row r="2125" ht="80" customHeight="1">
      <c r="A2125" s="7">
        <f>IMAGE("https://images.lululemon.com/is/image/lululemon/LW7DCNS_0001_1?wid=320&amp;op_usm=0.8",1)</f>
        <v/>
      </c>
      <c r="B2125" s="7" t="inlineStr">
        <is>
          <t>Hotty Hot High-Rise Lined Short 4"</t>
        </is>
      </c>
      <c r="C2125" s="7" t="inlineStr">
        <is>
          <t>155852314</t>
        </is>
      </c>
      <c r="D2125" s="7" t="inlineStr">
        <is>
          <t>155852314-black</t>
        </is>
      </c>
      <c r="E2125" s="7" t="inlineStr">
        <is>
          <t>Hotty Hot HR Short 4" *Lined BLK 0</t>
        </is>
      </c>
      <c r="F2125" s="7" t="inlineStr">
        <is>
          <t>$68.00</t>
        </is>
      </c>
      <c r="G2125" s="7" t="inlineStr">
        <is>
          <t>$34.00</t>
        </is>
      </c>
      <c r="H2125" s="7" t="inlineStr">
        <is>
          <t>Black</t>
        </is>
      </c>
      <c r="I2125" s="7">
        <f>IMAGE("https://images.lululemon.com/is/image/lululemon/0001",1)</f>
        <v/>
      </c>
      <c r="J2125" s="7" t="inlineStr">
        <is>
          <t>12</t>
        </is>
      </c>
      <c r="K2125" s="7" t="inlineStr">
        <is>
          <t>99/6603</t>
        </is>
      </c>
      <c r="L2125" s="7" t="inlineStr">
        <is>
          <t>Yes</t>
        </is>
      </c>
      <c r="M2125" s="7" t="inlineStr">
        <is>
          <t>Max out that stride. We designed these run shorts with a little extra room so you can move freely.</t>
        </is>
      </c>
      <c r="N2125" s="7" t="inlineStr">
        <is>
          <t>Hotty-Hot-Short-HR-Long</t>
        </is>
      </c>
      <c r="O2125" s="7" t="inlineStr">
        <is>
          <t>Athletic Shorts, Liner Shorts, Track Shorts</t>
        </is>
      </c>
    </row>
    <row r="2126" ht="80" customHeight="1">
      <c r="A2126" s="4">
        <f>IMAGE("https://images.lululemon.com/is/image/lululemon/LW7DCNS_0001_1?wid=320&amp;op_usm=0.8",1)</f>
        <v/>
      </c>
      <c r="B2126" s="4" t="inlineStr">
        <is>
          <t>Hotty Hot High-Rise Lined Short 4"</t>
        </is>
      </c>
      <c r="C2126" s="4" t="inlineStr">
        <is>
          <t>156506381</t>
        </is>
      </c>
      <c r="D2126" s="4" t="inlineStr">
        <is>
          <t>156506381-black</t>
        </is>
      </c>
      <c r="E2126" s="4" t="inlineStr">
        <is>
          <t>Hotty Hot HR Short 4" *Lined BLK 0</t>
        </is>
      </c>
      <c r="F2126" s="4" t="inlineStr">
        <is>
          <t>$68.00</t>
        </is>
      </c>
      <c r="G2126" s="4" t="inlineStr">
        <is>
          <t>$34.00</t>
        </is>
      </c>
      <c r="H2126" s="4" t="inlineStr">
        <is>
          <t>Black</t>
        </is>
      </c>
      <c r="I2126" s="4">
        <f>IMAGE("https://images.lululemon.com/is/image/lululemon/0001",1)</f>
        <v/>
      </c>
      <c r="J2126" s="4" t="inlineStr">
        <is>
          <t>14</t>
        </is>
      </c>
      <c r="K2126" s="4" t="inlineStr">
        <is>
          <t>131/6603</t>
        </is>
      </c>
      <c r="L2126" s="4" t="inlineStr">
        <is>
          <t>Yes</t>
        </is>
      </c>
      <c r="M2126" s="4" t="inlineStr">
        <is>
          <t>Max out that stride. We designed these run shorts with a little extra room so you can move freely.</t>
        </is>
      </c>
      <c r="N2126" s="4" t="inlineStr">
        <is>
          <t>Hotty-Hot-Short-HR-Long</t>
        </is>
      </c>
      <c r="O2126" s="4" t="inlineStr">
        <is>
          <t>Athletic Shorts, Liner Shorts, Track Shorts</t>
        </is>
      </c>
    </row>
    <row r="2127" ht="80" customHeight="1">
      <c r="A2127" s="7">
        <f>IMAGE("https://images.lululemon.com/is/image/lululemon/LW7DCNS_0001_1?wid=320&amp;op_usm=0.8",1)</f>
        <v/>
      </c>
      <c r="B2127" s="7" t="inlineStr">
        <is>
          <t>Hotty Hot High-Rise Lined Short 4"</t>
        </is>
      </c>
      <c r="C2127" s="7" t="inlineStr">
        <is>
          <t>155700443</t>
        </is>
      </c>
      <c r="D2127" s="7" t="inlineStr">
        <is>
          <t>155700443-white</t>
        </is>
      </c>
      <c r="E2127" s="7" t="inlineStr">
        <is>
          <t>Hotty Hot HR Short 4" *Lined BLK 0</t>
        </is>
      </c>
      <c r="F2127" s="7" t="inlineStr">
        <is>
          <t>$68.00</t>
        </is>
      </c>
      <c r="G2127" s="7" t="inlineStr">
        <is>
          <t>$34.00</t>
        </is>
      </c>
      <c r="H2127" s="7" t="inlineStr">
        <is>
          <t>White</t>
        </is>
      </c>
      <c r="I2127" s="7">
        <f>IMAGE("https://images.lululemon.com/is/image/lululemon/0002",1)</f>
        <v/>
      </c>
      <c r="J2127" s="7" t="inlineStr">
        <is>
          <t>2</t>
        </is>
      </c>
      <c r="K2127" s="7" t="inlineStr">
        <is>
          <t>385/6603</t>
        </is>
      </c>
      <c r="L2127" s="7" t="inlineStr">
        <is>
          <t>Yes</t>
        </is>
      </c>
      <c r="M2127" s="7" t="inlineStr">
        <is>
          <t>Max out that stride. We designed these run shorts with a little extra room so you can move freely.</t>
        </is>
      </c>
      <c r="N2127" s="7" t="inlineStr">
        <is>
          <t>Hotty-Hot-Short-HR-Long</t>
        </is>
      </c>
      <c r="O2127" s="7" t="inlineStr">
        <is>
          <t>Athletic Shorts, Liner Shorts, Track Shorts</t>
        </is>
      </c>
    </row>
    <row r="2128" ht="80" customHeight="1">
      <c r="A2128" s="4">
        <f>IMAGE("https://images.lululemon.com/is/image/lululemon/LW7DCNS_0001_1?wid=320&amp;op_usm=0.8",1)</f>
        <v/>
      </c>
      <c r="B2128" s="4" t="inlineStr">
        <is>
          <t>Hotty Hot High-Rise Lined Short 4"</t>
        </is>
      </c>
      <c r="C2128" s="4" t="inlineStr">
        <is>
          <t>155700462</t>
        </is>
      </c>
      <c r="D2128" s="4" t="inlineStr">
        <is>
          <t>155700462-white</t>
        </is>
      </c>
      <c r="E2128" s="4" t="inlineStr">
        <is>
          <t>Hotty Hot HR Short 4" *Lined BLK 0</t>
        </is>
      </c>
      <c r="F2128" s="4" t="inlineStr">
        <is>
          <t>$68.00</t>
        </is>
      </c>
      <c r="G2128" s="4" t="inlineStr">
        <is>
          <t>$34.00</t>
        </is>
      </c>
      <c r="H2128" s="4" t="inlineStr">
        <is>
          <t>White</t>
        </is>
      </c>
      <c r="I2128" s="4">
        <f>IMAGE("https://images.lululemon.com/is/image/lululemon/0002",1)</f>
        <v/>
      </c>
      <c r="J2128" s="4" t="inlineStr">
        <is>
          <t>4</t>
        </is>
      </c>
      <c r="K2128" s="4" t="inlineStr">
        <is>
          <t>365/6603</t>
        </is>
      </c>
      <c r="L2128" s="4" t="inlineStr">
        <is>
          <t>Yes</t>
        </is>
      </c>
      <c r="M2128" s="4" t="inlineStr">
        <is>
          <t>Max out that stride. We designed these run shorts with a little extra room so you can move freely.</t>
        </is>
      </c>
      <c r="N2128" s="4" t="inlineStr">
        <is>
          <t>Hotty-Hot-Short-HR-Long</t>
        </is>
      </c>
      <c r="O2128" s="4" t="inlineStr">
        <is>
          <t>Athletic Shorts, Liner Shorts, Track Shorts</t>
        </is>
      </c>
    </row>
    <row r="2129" ht="80" customHeight="1">
      <c r="A2129" s="7">
        <f>IMAGE("https://images.lululemon.com/is/image/lululemon/LW7DCNS_0001_1?wid=320&amp;op_usm=0.8",1)</f>
        <v/>
      </c>
      <c r="B2129" s="7" t="inlineStr">
        <is>
          <t>Hotty Hot High-Rise Lined Short 4"</t>
        </is>
      </c>
      <c r="C2129" s="7" t="inlineStr">
        <is>
          <t>155700463</t>
        </is>
      </c>
      <c r="D2129" s="7" t="inlineStr">
        <is>
          <t>155700463-white</t>
        </is>
      </c>
      <c r="E2129" s="7" t="inlineStr">
        <is>
          <t>Hotty Hot HR Short 4" *Lined BLK 0</t>
        </is>
      </c>
      <c r="F2129" s="7" t="inlineStr">
        <is>
          <t>$68.00</t>
        </is>
      </c>
      <c r="G2129" s="7" t="inlineStr">
        <is>
          <t>$34.00</t>
        </is>
      </c>
      <c r="H2129" s="7" t="inlineStr">
        <is>
          <t>White</t>
        </is>
      </c>
      <c r="I2129" s="7">
        <f>IMAGE("https://images.lululemon.com/is/image/lululemon/0002",1)</f>
        <v/>
      </c>
      <c r="J2129" s="7" t="inlineStr">
        <is>
          <t>6</t>
        </is>
      </c>
      <c r="K2129" s="7" t="inlineStr">
        <is>
          <t>481/6603</t>
        </is>
      </c>
      <c r="L2129" s="7" t="inlineStr">
        <is>
          <t>Yes</t>
        </is>
      </c>
      <c r="M2129" s="7" t="inlineStr">
        <is>
          <t>Max out that stride. We designed these run shorts with a little extra room so you can move freely.</t>
        </is>
      </c>
      <c r="N2129" s="7" t="inlineStr">
        <is>
          <t>Hotty-Hot-Short-HR-Long</t>
        </is>
      </c>
      <c r="O2129" s="7" t="inlineStr">
        <is>
          <t>Athletic Shorts, Liner Shorts, Track Shorts</t>
        </is>
      </c>
    </row>
    <row r="2130" ht="80" customHeight="1">
      <c r="A2130" s="4">
        <f>IMAGE("https://images.lululemon.com/is/image/lululemon/LW7DCNS_0001_1?wid=320&amp;op_usm=0.8",1)</f>
        <v/>
      </c>
      <c r="B2130" s="4" t="inlineStr">
        <is>
          <t>Hotty Hot High-Rise Lined Short 4"</t>
        </is>
      </c>
      <c r="C2130" s="4" t="inlineStr">
        <is>
          <t>155700469</t>
        </is>
      </c>
      <c r="D2130" s="4" t="inlineStr">
        <is>
          <t>155700469-white</t>
        </is>
      </c>
      <c r="E2130" s="4" t="inlineStr">
        <is>
          <t>Hotty Hot HR Short 4" *Lined BLK 0</t>
        </is>
      </c>
      <c r="F2130" s="4" t="inlineStr">
        <is>
          <t>$68.00</t>
        </is>
      </c>
      <c r="G2130" s="4" t="inlineStr">
        <is>
          <t>$34.00</t>
        </is>
      </c>
      <c r="H2130" s="4" t="inlineStr">
        <is>
          <t>White</t>
        </is>
      </c>
      <c r="I2130" s="4">
        <f>IMAGE("https://images.lululemon.com/is/image/lululemon/0002",1)</f>
        <v/>
      </c>
      <c r="J2130" s="4" t="inlineStr">
        <is>
          <t>8</t>
        </is>
      </c>
      <c r="K2130" s="4" t="inlineStr">
        <is>
          <t>110/6603</t>
        </is>
      </c>
      <c r="L2130" s="4" t="inlineStr">
        <is>
          <t>Yes</t>
        </is>
      </c>
      <c r="M2130" s="4" t="inlineStr">
        <is>
          <t>Max out that stride. We designed these run shorts with a little extra room so you can move freely.</t>
        </is>
      </c>
      <c r="N2130" s="4" t="inlineStr">
        <is>
          <t>Hotty-Hot-Short-HR-Long</t>
        </is>
      </c>
      <c r="O2130" s="4" t="inlineStr">
        <is>
          <t>Athletic Shorts, Liner Shorts, Track Shorts</t>
        </is>
      </c>
    </row>
    <row r="2131" ht="80" customHeight="1">
      <c r="A2131" s="7">
        <f>IMAGE("https://images.lululemon.com/is/image/lululemon/LW7DCNS_0001_1?wid=320&amp;op_usm=0.8",1)</f>
        <v/>
      </c>
      <c r="B2131" s="7" t="inlineStr">
        <is>
          <t>Hotty Hot High-Rise Lined Short 4"</t>
        </is>
      </c>
      <c r="C2131" s="7" t="inlineStr">
        <is>
          <t>155700428</t>
        </is>
      </c>
      <c r="D2131" s="7" t="inlineStr">
        <is>
          <t>155700428-white</t>
        </is>
      </c>
      <c r="E2131" s="7" t="inlineStr">
        <is>
          <t>Hotty Hot HR Short 4" *Lined BLK 0</t>
        </is>
      </c>
      <c r="F2131" s="7" t="inlineStr">
        <is>
          <t>$68.00</t>
        </is>
      </c>
      <c r="G2131" s="7" t="inlineStr">
        <is>
          <t>$34.00</t>
        </is>
      </c>
      <c r="H2131" s="7" t="inlineStr">
        <is>
          <t>White</t>
        </is>
      </c>
      <c r="I2131" s="7">
        <f>IMAGE("https://images.lululemon.com/is/image/lululemon/0002",1)</f>
        <v/>
      </c>
      <c r="J2131" s="7" t="inlineStr">
        <is>
          <t>12</t>
        </is>
      </c>
      <c r="K2131" s="7" t="inlineStr">
        <is>
          <t>110/6603</t>
        </is>
      </c>
      <c r="L2131" s="7" t="inlineStr">
        <is>
          <t>Yes</t>
        </is>
      </c>
      <c r="M2131" s="7" t="inlineStr">
        <is>
          <t>Max out that stride. We designed these run shorts with a little extra room so you can move freely.</t>
        </is>
      </c>
      <c r="N2131" s="7" t="inlineStr">
        <is>
          <t>Hotty-Hot-Short-HR-Long</t>
        </is>
      </c>
      <c r="O2131" s="7" t="inlineStr">
        <is>
          <t>Athletic Shorts, Liner Shorts, Track Shorts</t>
        </is>
      </c>
    </row>
    <row r="2132" ht="80" customHeight="1">
      <c r="A2132" s="4">
        <f>IMAGE("https://images.lululemon.com/is/image/lululemon/LW7DCNS_0001_1?wid=320&amp;op_usm=0.8",1)</f>
        <v/>
      </c>
      <c r="B2132" s="4" t="inlineStr">
        <is>
          <t>Hotty Hot High-Rise Lined Short 4"</t>
        </is>
      </c>
      <c r="C2132" s="4" t="inlineStr">
        <is>
          <t>156512689</t>
        </is>
      </c>
      <c r="D2132" s="4" t="inlineStr">
        <is>
          <t>156512689-truenavy</t>
        </is>
      </c>
      <c r="E2132" s="4" t="inlineStr">
        <is>
          <t>Hotty Hot HR Short 4" *Lined BLK 0</t>
        </is>
      </c>
      <c r="F2132" s="4" t="inlineStr">
        <is>
          <t>$68.00</t>
        </is>
      </c>
      <c r="G2132" s="4" t="inlineStr">
        <is>
          <t>$34.00</t>
        </is>
      </c>
      <c r="H2132" s="4" t="inlineStr">
        <is>
          <t>True Navy</t>
        </is>
      </c>
      <c r="I2132" s="4">
        <f>IMAGE("https://images.lululemon.com/is/image/lululemon/31382",1)</f>
        <v/>
      </c>
      <c r="J2132" s="4" t="inlineStr">
        <is>
          <t>2</t>
        </is>
      </c>
      <c r="K2132" s="4" t="inlineStr">
        <is>
          <t>188/6603</t>
        </is>
      </c>
      <c r="L2132" s="4" t="inlineStr">
        <is>
          <t>Yes</t>
        </is>
      </c>
      <c r="M2132" s="4" t="inlineStr">
        <is>
          <t>Max out that stride. We designed these run shorts with a little extra room so you can move freely.</t>
        </is>
      </c>
      <c r="N2132" s="4" t="inlineStr">
        <is>
          <t>Hotty-Hot-Short-HR-Long</t>
        </is>
      </c>
      <c r="O2132" s="4" t="inlineStr">
        <is>
          <t>Athletic Shorts, Liner Shorts, Track Shorts</t>
        </is>
      </c>
    </row>
    <row r="2133" ht="80" customHeight="1">
      <c r="A2133" s="7">
        <f>IMAGE("https://images.lululemon.com/is/image/lululemon/LW7DCNS_0001_1?wid=320&amp;op_usm=0.8",1)</f>
        <v/>
      </c>
      <c r="B2133" s="7" t="inlineStr">
        <is>
          <t>Hotty Hot High-Rise Lined Short 4"</t>
        </is>
      </c>
      <c r="C2133" s="7" t="inlineStr">
        <is>
          <t>156512712</t>
        </is>
      </c>
      <c r="D2133" s="7" t="inlineStr">
        <is>
          <t>156512712-truenavy</t>
        </is>
      </c>
      <c r="E2133" s="7" t="inlineStr">
        <is>
          <t>Hotty Hot HR Short 4" *Lined BLK 0</t>
        </is>
      </c>
      <c r="F2133" s="7" t="inlineStr">
        <is>
          <t>$68.00</t>
        </is>
      </c>
      <c r="G2133" s="7" t="inlineStr">
        <is>
          <t>$34.00</t>
        </is>
      </c>
      <c r="H2133" s="7" t="inlineStr">
        <is>
          <t>True Navy</t>
        </is>
      </c>
      <c r="I2133" s="7">
        <f>IMAGE("https://images.lululemon.com/is/image/lululemon/31382",1)</f>
        <v/>
      </c>
      <c r="J2133" s="7" t="inlineStr">
        <is>
          <t>4</t>
        </is>
      </c>
      <c r="K2133" s="7" t="inlineStr">
        <is>
          <t>139/6603</t>
        </is>
      </c>
      <c r="L2133" s="7" t="inlineStr">
        <is>
          <t>Yes</t>
        </is>
      </c>
      <c r="M2133" s="7" t="inlineStr">
        <is>
          <t>Max out that stride. We designed these run shorts with a little extra room so you can move freely.</t>
        </is>
      </c>
      <c r="N2133" s="7" t="inlineStr">
        <is>
          <t>Hotty-Hot-Short-HR-Long</t>
        </is>
      </c>
      <c r="O2133" s="7" t="inlineStr">
        <is>
          <t>Athletic Shorts, Liner Shorts, Track Shorts</t>
        </is>
      </c>
    </row>
    <row r="2134" ht="80" customHeight="1">
      <c r="A2134" s="4">
        <f>IMAGE("https://images.lululemon.com/is/image/lululemon/LW7DCNS_0001_1?wid=320&amp;op_usm=0.8",1)</f>
        <v/>
      </c>
      <c r="B2134" s="4" t="inlineStr">
        <is>
          <t>Hotty Hot High-Rise Lined Short 4"</t>
        </is>
      </c>
      <c r="C2134" s="4" t="inlineStr">
        <is>
          <t>156512715</t>
        </is>
      </c>
      <c r="D2134" s="4" t="inlineStr">
        <is>
          <t>156512715-truenavy</t>
        </is>
      </c>
      <c r="E2134" s="4" t="inlineStr">
        <is>
          <t>Hotty Hot HR Short 4" *Lined BLK 0</t>
        </is>
      </c>
      <c r="F2134" s="4" t="inlineStr">
        <is>
          <t>$68.00</t>
        </is>
      </c>
      <c r="G2134" s="4" t="inlineStr">
        <is>
          <t>$34.00</t>
        </is>
      </c>
      <c r="H2134" s="4" t="inlineStr">
        <is>
          <t>True Navy</t>
        </is>
      </c>
      <c r="I2134" s="4">
        <f>IMAGE("https://images.lululemon.com/is/image/lululemon/31382",1)</f>
        <v/>
      </c>
      <c r="J2134" s="4" t="inlineStr">
        <is>
          <t>6</t>
        </is>
      </c>
      <c r="K2134" s="4" t="inlineStr">
        <is>
          <t>78/6603</t>
        </is>
      </c>
      <c r="L2134" s="4" t="inlineStr">
        <is>
          <t>Yes</t>
        </is>
      </c>
      <c r="M2134" s="4" t="inlineStr">
        <is>
          <t>Max out that stride. We designed these run shorts with a little extra room so you can move freely.</t>
        </is>
      </c>
      <c r="N2134" s="4" t="inlineStr">
        <is>
          <t>Hotty-Hot-Short-HR-Long</t>
        </is>
      </c>
      <c r="O2134" s="4" t="inlineStr">
        <is>
          <t>Athletic Shorts, Liner Shorts, Track Shorts</t>
        </is>
      </c>
    </row>
    <row r="2135" ht="80" customHeight="1">
      <c r="A2135" s="7">
        <f>IMAGE("https://images.lululemon.com/is/image/lululemon/LW7DCNS_0001_1?wid=320&amp;op_usm=0.8",1)</f>
        <v/>
      </c>
      <c r="B2135" s="7" t="inlineStr">
        <is>
          <t>Hotty Hot High-Rise Lined Short 4"</t>
        </is>
      </c>
      <c r="C2135" s="7" t="inlineStr">
        <is>
          <t>156512719</t>
        </is>
      </c>
      <c r="D2135" s="7" t="inlineStr">
        <is>
          <t>156512719-truenavy</t>
        </is>
      </c>
      <c r="E2135" s="7" t="inlineStr">
        <is>
          <t>Hotty Hot HR Short 4" *Lined BLK 0</t>
        </is>
      </c>
      <c r="F2135" s="7" t="inlineStr">
        <is>
          <t>$68.00</t>
        </is>
      </c>
      <c r="G2135" s="7" t="inlineStr">
        <is>
          <t>$34.00</t>
        </is>
      </c>
      <c r="H2135" s="7" t="inlineStr">
        <is>
          <t>True Navy</t>
        </is>
      </c>
      <c r="I2135" s="7">
        <f>IMAGE("https://images.lululemon.com/is/image/lululemon/31382",1)</f>
        <v/>
      </c>
      <c r="J2135" s="7" t="inlineStr">
        <is>
          <t>8</t>
        </is>
      </c>
      <c r="K2135" s="7" t="inlineStr">
        <is>
          <t>18/6603</t>
        </is>
      </c>
      <c r="L2135" s="7" t="inlineStr">
        <is>
          <t>Yes</t>
        </is>
      </c>
      <c r="M2135" s="7" t="inlineStr">
        <is>
          <t>Max out that stride. We designed these run shorts with a little extra room so you can move freely.</t>
        </is>
      </c>
      <c r="N2135" s="7" t="inlineStr">
        <is>
          <t>Hotty-Hot-Short-HR-Long</t>
        </is>
      </c>
      <c r="O2135" s="7" t="inlineStr">
        <is>
          <t>Athletic Shorts, Liner Shorts, Track Shorts</t>
        </is>
      </c>
    </row>
    <row r="2136" ht="80" customHeight="1">
      <c r="A2136" s="4">
        <f>IMAGE("https://images.lululemon.com/is/image/lululemon/LW7DCNS_0001_1?wid=320&amp;op_usm=0.8",1)</f>
        <v/>
      </c>
      <c r="B2136" s="4" t="inlineStr">
        <is>
          <t>Hotty Hot High-Rise Lined Short 4"</t>
        </is>
      </c>
      <c r="C2136" s="4" t="inlineStr">
        <is>
          <t>156512660</t>
        </is>
      </c>
      <c r="D2136" s="4" t="inlineStr">
        <is>
          <t>156512660-truenavy</t>
        </is>
      </c>
      <c r="E2136" s="4" t="inlineStr">
        <is>
          <t>Hotty Hot HR Short 4" *Lined BLK 0</t>
        </is>
      </c>
      <c r="F2136" s="4" t="inlineStr">
        <is>
          <t>$68.00</t>
        </is>
      </c>
      <c r="G2136" s="4" t="inlineStr">
        <is>
          <t>$34.00</t>
        </is>
      </c>
      <c r="H2136" s="4" t="inlineStr">
        <is>
          <t>True Navy</t>
        </is>
      </c>
      <c r="I2136" s="4">
        <f>IMAGE("https://images.lululemon.com/is/image/lululemon/31382",1)</f>
        <v/>
      </c>
      <c r="J2136" s="4" t="inlineStr">
        <is>
          <t>10</t>
        </is>
      </c>
      <c r="K2136" s="4" t="inlineStr">
        <is>
          <t>26/6603</t>
        </is>
      </c>
      <c r="L2136" s="4" t="inlineStr">
        <is>
          <t>Yes</t>
        </is>
      </c>
      <c r="M2136" s="4" t="inlineStr">
        <is>
          <t>Max out that stride. We designed these run shorts with a little extra room so you can move freely.</t>
        </is>
      </c>
      <c r="N2136" s="4" t="inlineStr">
        <is>
          <t>Hotty-Hot-Short-HR-Long</t>
        </is>
      </c>
      <c r="O2136" s="4" t="inlineStr">
        <is>
          <t>Athletic Shorts, Liner Shorts, Track Shorts</t>
        </is>
      </c>
    </row>
    <row r="2137" ht="80" customHeight="1">
      <c r="A2137" s="7">
        <f>IMAGE("https://images.lululemon.com/is/image/lululemon/LW7DCNS_0001_1?wid=320&amp;op_usm=0.8",1)</f>
        <v/>
      </c>
      <c r="B2137" s="7" t="inlineStr">
        <is>
          <t>Hotty Hot High-Rise Lined Short 4"</t>
        </is>
      </c>
      <c r="C2137" s="7" t="inlineStr">
        <is>
          <t>156512667</t>
        </is>
      </c>
      <c r="D2137" s="7" t="inlineStr">
        <is>
          <t>156512667-truenavy</t>
        </is>
      </c>
      <c r="E2137" s="7" t="inlineStr">
        <is>
          <t>Hotty Hot HR Short 4" *Lined BLK 0</t>
        </is>
      </c>
      <c r="F2137" s="7" t="inlineStr">
        <is>
          <t>$68.00</t>
        </is>
      </c>
      <c r="G2137" s="7" t="inlineStr">
        <is>
          <t>$34.00</t>
        </is>
      </c>
      <c r="H2137" s="7" t="inlineStr">
        <is>
          <t>True Navy</t>
        </is>
      </c>
      <c r="I2137" s="7">
        <f>IMAGE("https://images.lululemon.com/is/image/lululemon/31382",1)</f>
        <v/>
      </c>
      <c r="J2137" s="7" t="inlineStr">
        <is>
          <t>12</t>
        </is>
      </c>
      <c r="K2137" s="7" t="inlineStr">
        <is>
          <t>12/6603</t>
        </is>
      </c>
      <c r="L2137" s="7" t="inlineStr">
        <is>
          <t>Yes</t>
        </is>
      </c>
      <c r="M2137" s="7" t="inlineStr">
        <is>
          <t>Max out that stride. We designed these run shorts with a little extra room so you can move freely.</t>
        </is>
      </c>
      <c r="N2137" s="7" t="inlineStr">
        <is>
          <t>Hotty-Hot-Short-HR-Long</t>
        </is>
      </c>
      <c r="O2137" s="7" t="inlineStr">
        <is>
          <t>Athletic Shorts, Liner Shorts, Track Shorts</t>
        </is>
      </c>
    </row>
    <row r="2138" ht="80" customHeight="1">
      <c r="A2138" s="4">
        <f>IMAGE("https://images.lululemon.com/is/image/lululemon/LW7DCNS_0001_1?wid=320&amp;op_usm=0.8",1)</f>
        <v/>
      </c>
      <c r="B2138" s="4" t="inlineStr">
        <is>
          <t>Hotty Hot High-Rise Lined Short 4"</t>
        </is>
      </c>
      <c r="C2138" s="4" t="inlineStr">
        <is>
          <t>157680434</t>
        </is>
      </c>
      <c r="D2138" s="4" t="inlineStr">
        <is>
          <t>157680434-bayleaf</t>
        </is>
      </c>
      <c r="E2138" s="4" t="inlineStr">
        <is>
          <t>Hotty Hot HR Short 4" *Lined BLK 0</t>
        </is>
      </c>
      <c r="F2138" s="4" t="inlineStr">
        <is>
          <t>$68.00</t>
        </is>
      </c>
      <c r="G2138" s="4" t="inlineStr">
        <is>
          <t>$34.00</t>
        </is>
      </c>
      <c r="H2138" s="4" t="inlineStr">
        <is>
          <t>Bay Leaf</t>
        </is>
      </c>
      <c r="I2138" s="4">
        <f>IMAGE("https://images.lululemon.com/is/image/lululemon/62214",1)</f>
        <v/>
      </c>
      <c r="J2138" s="4" t="inlineStr">
        <is>
          <t>2</t>
        </is>
      </c>
      <c r="K2138" s="4" t="inlineStr">
        <is>
          <t>112/6603</t>
        </is>
      </c>
      <c r="L2138" s="4" t="inlineStr">
        <is>
          <t>Yes</t>
        </is>
      </c>
      <c r="M2138" s="4" t="inlineStr">
        <is>
          <t>Max out that stride. We designed these run shorts with a little extra room so you can move freely.</t>
        </is>
      </c>
      <c r="N2138" s="4" t="inlineStr">
        <is>
          <t>Hotty-Hot-Short-HR-Long</t>
        </is>
      </c>
      <c r="O2138" s="4" t="inlineStr">
        <is>
          <t>Athletic Shorts, Liner Shorts, Track Shorts</t>
        </is>
      </c>
    </row>
    <row r="2139" ht="80" customHeight="1">
      <c r="A2139" s="7">
        <f>IMAGE("https://images.lululemon.com/is/image/lululemon/LW7DCNS_0001_1?wid=320&amp;op_usm=0.8",1)</f>
        <v/>
      </c>
      <c r="B2139" s="7" t="inlineStr">
        <is>
          <t>Hotty Hot High-Rise Lined Short 4"</t>
        </is>
      </c>
      <c r="C2139" s="7" t="inlineStr">
        <is>
          <t>157680453</t>
        </is>
      </c>
      <c r="D2139" s="7" t="inlineStr">
        <is>
          <t>157680453-bayleaf</t>
        </is>
      </c>
      <c r="E2139" s="7" t="inlineStr">
        <is>
          <t>Hotty Hot HR Short 4" *Lined BLK 0</t>
        </is>
      </c>
      <c r="F2139" s="7" t="inlineStr">
        <is>
          <t>$68.00</t>
        </is>
      </c>
      <c r="G2139" s="7" t="inlineStr">
        <is>
          <t>$34.00</t>
        </is>
      </c>
      <c r="H2139" s="7" t="inlineStr">
        <is>
          <t>Bay Leaf</t>
        </is>
      </c>
      <c r="I2139" s="7">
        <f>IMAGE("https://images.lululemon.com/is/image/lululemon/62214",1)</f>
        <v/>
      </c>
      <c r="J2139" s="7" t="inlineStr">
        <is>
          <t>4</t>
        </is>
      </c>
      <c r="K2139" s="7" t="inlineStr">
        <is>
          <t>191/6603</t>
        </is>
      </c>
      <c r="L2139" s="7" t="inlineStr">
        <is>
          <t>Yes</t>
        </is>
      </c>
      <c r="M2139" s="7" t="inlineStr">
        <is>
          <t>Max out that stride. We designed these run shorts with a little extra room so you can move freely.</t>
        </is>
      </c>
      <c r="N2139" s="7" t="inlineStr">
        <is>
          <t>Hotty-Hot-Short-HR-Long</t>
        </is>
      </c>
      <c r="O2139" s="7" t="inlineStr">
        <is>
          <t>Athletic Shorts, Liner Shorts, Track Shorts</t>
        </is>
      </c>
    </row>
    <row r="2140" ht="80" customHeight="1">
      <c r="A2140" s="4">
        <f>IMAGE("https://images.lululemon.com/is/image/lululemon/LW7DCNS_0001_1?wid=320&amp;op_usm=0.8",1)</f>
        <v/>
      </c>
      <c r="B2140" s="4" t="inlineStr">
        <is>
          <t>Hotty Hot High-Rise Lined Short 4"</t>
        </is>
      </c>
      <c r="C2140" s="4" t="inlineStr">
        <is>
          <t>157680465</t>
        </is>
      </c>
      <c r="D2140" s="4" t="inlineStr">
        <is>
          <t>157680465-bayleaf</t>
        </is>
      </c>
      <c r="E2140" s="4" t="inlineStr">
        <is>
          <t>Hotty Hot HR Short 4" *Lined BLK 0</t>
        </is>
      </c>
      <c r="F2140" s="4" t="inlineStr">
        <is>
          <t>$68.00</t>
        </is>
      </c>
      <c r="G2140" s="4" t="inlineStr">
        <is>
          <t>$34.00</t>
        </is>
      </c>
      <c r="H2140" s="4" t="inlineStr">
        <is>
          <t>Bay Leaf</t>
        </is>
      </c>
      <c r="I2140" s="4">
        <f>IMAGE("https://images.lululemon.com/is/image/lululemon/62214",1)</f>
        <v/>
      </c>
      <c r="J2140" s="4" t="inlineStr">
        <is>
          <t>6</t>
        </is>
      </c>
      <c r="K2140" s="4" t="inlineStr">
        <is>
          <t>201/6603</t>
        </is>
      </c>
      <c r="L2140" s="4" t="inlineStr">
        <is>
          <t>Yes</t>
        </is>
      </c>
      <c r="M2140" s="4" t="inlineStr">
        <is>
          <t>Max out that stride. We designed these run shorts with a little extra room so you can move freely.</t>
        </is>
      </c>
      <c r="N2140" s="4" t="inlineStr">
        <is>
          <t>Hotty-Hot-Short-HR-Long</t>
        </is>
      </c>
      <c r="O2140" s="4" t="inlineStr">
        <is>
          <t>Athletic Shorts, Liner Shorts, Track Shorts</t>
        </is>
      </c>
    </row>
    <row r="2141" ht="80" customHeight="1">
      <c r="A2141" s="7">
        <f>IMAGE("https://images.lululemon.com/is/image/lululemon/LW7DCNS_0001_1?wid=320&amp;op_usm=0.8",1)</f>
        <v/>
      </c>
      <c r="B2141" s="7" t="inlineStr">
        <is>
          <t>Hotty Hot High-Rise Lined Short 4"</t>
        </is>
      </c>
      <c r="C2141" s="7" t="inlineStr">
        <is>
          <t>157680479</t>
        </is>
      </c>
      <c r="D2141" s="7" t="inlineStr">
        <is>
          <t>157680479-bayleaf</t>
        </is>
      </c>
      <c r="E2141" s="7" t="inlineStr">
        <is>
          <t>Hotty Hot HR Short 4" *Lined BLK 0</t>
        </is>
      </c>
      <c r="F2141" s="7" t="inlineStr">
        <is>
          <t>$68.00</t>
        </is>
      </c>
      <c r="G2141" s="7" t="inlineStr">
        <is>
          <t>$34.00</t>
        </is>
      </c>
      <c r="H2141" s="7" t="inlineStr">
        <is>
          <t>Bay Leaf</t>
        </is>
      </c>
      <c r="I2141" s="7">
        <f>IMAGE("https://images.lululemon.com/is/image/lululemon/62214",1)</f>
        <v/>
      </c>
      <c r="J2141" s="7" t="inlineStr">
        <is>
          <t>8</t>
        </is>
      </c>
      <c r="K2141" s="7" t="inlineStr">
        <is>
          <t>135/6603</t>
        </is>
      </c>
      <c r="L2141" s="7" t="inlineStr">
        <is>
          <t>Yes</t>
        </is>
      </c>
      <c r="M2141" s="7" t="inlineStr">
        <is>
          <t>Max out that stride. We designed these run shorts with a little extra room so you can move freely.</t>
        </is>
      </c>
      <c r="N2141" s="7" t="inlineStr">
        <is>
          <t>Hotty-Hot-Short-HR-Long</t>
        </is>
      </c>
      <c r="O2141" s="7" t="inlineStr">
        <is>
          <t>Athletic Shorts, Liner Shorts, Track Shorts</t>
        </is>
      </c>
    </row>
    <row r="2142" ht="80" customHeight="1">
      <c r="A2142" s="4">
        <f>IMAGE("https://images.lululemon.com/is/image/lululemon/LW7DCNS_0001_1?wid=320&amp;op_usm=0.8",1)</f>
        <v/>
      </c>
      <c r="B2142" s="4" t="inlineStr">
        <is>
          <t>Hotty Hot High-Rise Lined Short 4"</t>
        </is>
      </c>
      <c r="C2142" s="4" t="inlineStr">
        <is>
          <t>157680397</t>
        </is>
      </c>
      <c r="D2142" s="4" t="inlineStr">
        <is>
          <t>157680397-bayleaf</t>
        </is>
      </c>
      <c r="E2142" s="4" t="inlineStr">
        <is>
          <t>Hotty Hot HR Short 4" *Lined BLK 0</t>
        </is>
      </c>
      <c r="F2142" s="4" t="inlineStr">
        <is>
          <t>$68.00</t>
        </is>
      </c>
      <c r="G2142" s="4" t="inlineStr">
        <is>
          <t>$34.00</t>
        </is>
      </c>
      <c r="H2142" s="4" t="inlineStr">
        <is>
          <t>Bay Leaf</t>
        </is>
      </c>
      <c r="I2142" s="4">
        <f>IMAGE("https://images.lululemon.com/is/image/lululemon/62214",1)</f>
        <v/>
      </c>
      <c r="J2142" s="4" t="inlineStr">
        <is>
          <t>10</t>
        </is>
      </c>
      <c r="K2142" s="4" t="inlineStr">
        <is>
          <t>67/6603</t>
        </is>
      </c>
      <c r="L2142" s="4" t="inlineStr">
        <is>
          <t>Yes</t>
        </is>
      </c>
      <c r="M2142" s="4" t="inlineStr">
        <is>
          <t>Max out that stride. We designed these run shorts with a little extra room so you can move freely.</t>
        </is>
      </c>
      <c r="N2142" s="4" t="inlineStr">
        <is>
          <t>Hotty-Hot-Short-HR-Long</t>
        </is>
      </c>
      <c r="O2142" s="4" t="inlineStr">
        <is>
          <t>Athletic Shorts, Liner Shorts, Track Shorts</t>
        </is>
      </c>
    </row>
    <row r="2143" ht="80" customHeight="1">
      <c r="A2143" s="7">
        <f>IMAGE("https://images.lululemon.com/is/image/lululemon/LW7DCNS_0001_1?wid=320&amp;op_usm=0.8",1)</f>
        <v/>
      </c>
      <c r="B2143" s="7" t="inlineStr">
        <is>
          <t>Hotty Hot High-Rise Lined Short 4"</t>
        </is>
      </c>
      <c r="C2143" s="7" t="inlineStr">
        <is>
          <t>157680409</t>
        </is>
      </c>
      <c r="D2143" s="7" t="inlineStr">
        <is>
          <t>157680409-bayleaf</t>
        </is>
      </c>
      <c r="E2143" s="7" t="inlineStr">
        <is>
          <t>Hotty Hot HR Short 4" *Lined BLK 0</t>
        </is>
      </c>
      <c r="F2143" s="7" t="inlineStr">
        <is>
          <t>$68.00</t>
        </is>
      </c>
      <c r="G2143" s="7" t="inlineStr">
        <is>
          <t>$34.00</t>
        </is>
      </c>
      <c r="H2143" s="7" t="inlineStr">
        <is>
          <t>Bay Leaf</t>
        </is>
      </c>
      <c r="I2143" s="7">
        <f>IMAGE("https://images.lululemon.com/is/image/lululemon/62214",1)</f>
        <v/>
      </c>
      <c r="J2143" s="7" t="inlineStr">
        <is>
          <t>12</t>
        </is>
      </c>
      <c r="K2143" s="7" t="inlineStr">
        <is>
          <t>19/6603</t>
        </is>
      </c>
      <c r="L2143" s="7" t="inlineStr">
        <is>
          <t>Yes</t>
        </is>
      </c>
      <c r="M2143" s="7" t="inlineStr">
        <is>
          <t>Max out that stride. We designed these run shorts with a little extra room so you can move freely.</t>
        </is>
      </c>
      <c r="N2143" s="7" t="inlineStr">
        <is>
          <t>Hotty-Hot-Short-HR-Long</t>
        </is>
      </c>
      <c r="O2143" s="7" t="inlineStr">
        <is>
          <t>Athletic Shorts, Liner Shorts, Track Shorts</t>
        </is>
      </c>
    </row>
    <row r="2144" ht="80" customHeight="1">
      <c r="A2144" s="4">
        <f>IMAGE("https://images.lululemon.com/is/image/lululemon/LW7DCNS_0001_1?wid=320&amp;op_usm=0.8",1)</f>
        <v/>
      </c>
      <c r="B2144" s="4" t="inlineStr">
        <is>
          <t>Hotty Hot High-Rise Lined Short 4"</t>
        </is>
      </c>
      <c r="C2144" s="4" t="inlineStr">
        <is>
          <t>158095690</t>
        </is>
      </c>
      <c r="D2144" s="4" t="inlineStr">
        <is>
          <t>158095690-riverside</t>
        </is>
      </c>
      <c r="E2144" s="4" t="inlineStr">
        <is>
          <t>Hotty Hot HR Short 4" *Lined BLK 0</t>
        </is>
      </c>
      <c r="F2144" s="4" t="inlineStr">
        <is>
          <t>$68.00</t>
        </is>
      </c>
      <c r="G2144" s="4" t="inlineStr">
        <is>
          <t>$34.00</t>
        </is>
      </c>
      <c r="H2144" s="4" t="inlineStr">
        <is>
          <t>Riverside</t>
        </is>
      </c>
      <c r="I2144" s="4">
        <f>IMAGE("https://images.lululemon.com/is/image/lululemon/72622",1)</f>
        <v/>
      </c>
      <c r="J2144" s="4" t="inlineStr">
        <is>
          <t>2</t>
        </is>
      </c>
      <c r="K2144" s="4" t="inlineStr">
        <is>
          <t>101/6603</t>
        </is>
      </c>
      <c r="L2144" s="4" t="inlineStr">
        <is>
          <t>Yes</t>
        </is>
      </c>
      <c r="M2144" s="4" t="inlineStr">
        <is>
          <t>Max out that stride. We designed these run shorts with a little extra room so you can move freely.</t>
        </is>
      </c>
      <c r="N2144" s="4" t="inlineStr">
        <is>
          <t>Hotty-Hot-Short-HR-Long</t>
        </is>
      </c>
      <c r="O2144" s="4" t="inlineStr">
        <is>
          <t>Athletic Shorts, Liner Shorts, Track Shorts</t>
        </is>
      </c>
    </row>
    <row r="2145" ht="80" customHeight="1">
      <c r="A2145" s="7">
        <f>IMAGE("https://images.lululemon.com/is/image/lululemon/LW7DCNS_0001_1?wid=320&amp;op_usm=0.8",1)</f>
        <v/>
      </c>
      <c r="B2145" s="7" t="inlineStr">
        <is>
          <t>Hotty Hot High-Rise Lined Short 4"</t>
        </is>
      </c>
      <c r="C2145" s="7" t="inlineStr">
        <is>
          <t>158095695</t>
        </is>
      </c>
      <c r="D2145" s="7" t="inlineStr">
        <is>
          <t>158095695-riverside</t>
        </is>
      </c>
      <c r="E2145" s="7" t="inlineStr">
        <is>
          <t>Hotty Hot HR Short 4" *Lined BLK 0</t>
        </is>
      </c>
      <c r="F2145" s="7" t="inlineStr">
        <is>
          <t>$68.00</t>
        </is>
      </c>
      <c r="G2145" s="7" t="inlineStr">
        <is>
          <t>$34.00</t>
        </is>
      </c>
      <c r="H2145" s="7" t="inlineStr">
        <is>
          <t>Riverside</t>
        </is>
      </c>
      <c r="I2145" s="7">
        <f>IMAGE("https://images.lululemon.com/is/image/lululemon/72622",1)</f>
        <v/>
      </c>
      <c r="J2145" s="7" t="inlineStr">
        <is>
          <t>4</t>
        </is>
      </c>
      <c r="K2145" s="7" t="inlineStr">
        <is>
          <t>179/6603</t>
        </is>
      </c>
      <c r="L2145" s="7" t="inlineStr">
        <is>
          <t>Yes</t>
        </is>
      </c>
      <c r="M2145" s="7" t="inlineStr">
        <is>
          <t>Max out that stride. We designed these run shorts with a little extra room so you can move freely.</t>
        </is>
      </c>
      <c r="N2145" s="7" t="inlineStr">
        <is>
          <t>Hotty-Hot-Short-HR-Long</t>
        </is>
      </c>
      <c r="O2145" s="7" t="inlineStr">
        <is>
          <t>Athletic Shorts, Liner Shorts, Track Shorts</t>
        </is>
      </c>
    </row>
    <row r="2146" ht="80" customHeight="1">
      <c r="A2146" s="4">
        <f>IMAGE("https://images.lululemon.com/is/image/lululemon/LW7DCNS_0001_1?wid=320&amp;op_usm=0.8",1)</f>
        <v/>
      </c>
      <c r="B2146" s="4" t="inlineStr">
        <is>
          <t>Hotty Hot High-Rise Lined Short 4"</t>
        </is>
      </c>
      <c r="C2146" s="4" t="inlineStr">
        <is>
          <t>158095699</t>
        </is>
      </c>
      <c r="D2146" s="4" t="inlineStr">
        <is>
          <t>158095699-riverside</t>
        </is>
      </c>
      <c r="E2146" s="4" t="inlineStr">
        <is>
          <t>Hotty Hot HR Short 4" *Lined BLK 0</t>
        </is>
      </c>
      <c r="F2146" s="4" t="inlineStr">
        <is>
          <t>$68.00</t>
        </is>
      </c>
      <c r="G2146" s="4" t="inlineStr">
        <is>
          <t>$34.00</t>
        </is>
      </c>
      <c r="H2146" s="4" t="inlineStr">
        <is>
          <t>Riverside</t>
        </is>
      </c>
      <c r="I2146" s="4">
        <f>IMAGE("https://images.lululemon.com/is/image/lululemon/72622",1)</f>
        <v/>
      </c>
      <c r="J2146" s="4" t="inlineStr">
        <is>
          <t>6</t>
        </is>
      </c>
      <c r="K2146" s="4" t="inlineStr">
        <is>
          <t>197/6603</t>
        </is>
      </c>
      <c r="L2146" s="4" t="inlineStr">
        <is>
          <t>Yes</t>
        </is>
      </c>
      <c r="M2146" s="4" t="inlineStr">
        <is>
          <t>Max out that stride. We designed these run shorts with a little extra room so you can move freely.</t>
        </is>
      </c>
      <c r="N2146" s="4" t="inlineStr">
        <is>
          <t>Hotty-Hot-Short-HR-Long</t>
        </is>
      </c>
      <c r="O2146" s="4" t="inlineStr">
        <is>
          <t>Athletic Shorts, Liner Shorts, Track Shorts</t>
        </is>
      </c>
    </row>
    <row r="2147" ht="80" customHeight="1">
      <c r="A2147" s="7">
        <f>IMAGE("https://images.lululemon.com/is/image/lululemon/LW7DCNS_0001_1?wid=320&amp;op_usm=0.8",1)</f>
        <v/>
      </c>
      <c r="B2147" s="7" t="inlineStr">
        <is>
          <t>Hotty Hot High-Rise Lined Short 4"</t>
        </is>
      </c>
      <c r="C2147" s="7" t="inlineStr">
        <is>
          <t>158095704</t>
        </is>
      </c>
      <c r="D2147" s="7" t="inlineStr">
        <is>
          <t>158095704-riverside</t>
        </is>
      </c>
      <c r="E2147" s="7" t="inlineStr">
        <is>
          <t>Hotty Hot HR Short 4" *Lined BLK 0</t>
        </is>
      </c>
      <c r="F2147" s="7" t="inlineStr">
        <is>
          <t>$68.00</t>
        </is>
      </c>
      <c r="G2147" s="7" t="inlineStr">
        <is>
          <t>$34.00</t>
        </is>
      </c>
      <c r="H2147" s="7" t="inlineStr">
        <is>
          <t>Riverside</t>
        </is>
      </c>
      <c r="I2147" s="7">
        <f>IMAGE("https://images.lululemon.com/is/image/lululemon/72622",1)</f>
        <v/>
      </c>
      <c r="J2147" s="7" t="inlineStr">
        <is>
          <t>8</t>
        </is>
      </c>
      <c r="K2147" s="7" t="inlineStr">
        <is>
          <t>146/6603</t>
        </is>
      </c>
      <c r="L2147" s="7" t="inlineStr">
        <is>
          <t>Yes</t>
        </is>
      </c>
      <c r="M2147" s="7" t="inlineStr">
        <is>
          <t>Max out that stride. We designed these run shorts with a little extra room so you can move freely.</t>
        </is>
      </c>
      <c r="N2147" s="7" t="inlineStr">
        <is>
          <t>Hotty-Hot-Short-HR-Long</t>
        </is>
      </c>
      <c r="O2147" s="7" t="inlineStr">
        <is>
          <t>Athletic Shorts, Liner Shorts, Track Shorts</t>
        </is>
      </c>
    </row>
    <row r="2148" ht="80" customHeight="1">
      <c r="A2148" s="4">
        <f>IMAGE("https://images.lululemon.com/is/image/lululemon/LW7DCNS_0001_1?wid=320&amp;op_usm=0.8",1)</f>
        <v/>
      </c>
      <c r="B2148" s="4" t="inlineStr">
        <is>
          <t>Hotty Hot High-Rise Lined Short 4"</t>
        </is>
      </c>
      <c r="C2148" s="4" t="inlineStr">
        <is>
          <t>158095676</t>
        </is>
      </c>
      <c r="D2148" s="4" t="inlineStr">
        <is>
          <t>158095676-riverside</t>
        </is>
      </c>
      <c r="E2148" s="4" t="inlineStr">
        <is>
          <t>Hotty Hot HR Short 4" *Lined BLK 0</t>
        </is>
      </c>
      <c r="F2148" s="4" t="inlineStr">
        <is>
          <t>$68.00</t>
        </is>
      </c>
      <c r="G2148" s="4" t="inlineStr">
        <is>
          <t>$34.00</t>
        </is>
      </c>
      <c r="H2148" s="4" t="inlineStr">
        <is>
          <t>Riverside</t>
        </is>
      </c>
      <c r="I2148" s="4">
        <f>IMAGE("https://images.lululemon.com/is/image/lululemon/72622",1)</f>
        <v/>
      </c>
      <c r="J2148" s="4" t="inlineStr">
        <is>
          <t>10</t>
        </is>
      </c>
      <c r="K2148" s="4" t="inlineStr">
        <is>
          <t>74/6603</t>
        </is>
      </c>
      <c r="L2148" s="4" t="inlineStr">
        <is>
          <t>Yes</t>
        </is>
      </c>
      <c r="M2148" s="4" t="inlineStr">
        <is>
          <t>Max out that stride. We designed these run shorts with a little extra room so you can move freely.</t>
        </is>
      </c>
      <c r="N2148" s="4" t="inlineStr">
        <is>
          <t>Hotty-Hot-Short-HR-Long</t>
        </is>
      </c>
      <c r="O2148" s="4" t="inlineStr">
        <is>
          <t>Athletic Shorts, Liner Shorts, Track Shorts</t>
        </is>
      </c>
    </row>
    <row r="2149" ht="80" customHeight="1">
      <c r="A2149" s="7">
        <f>IMAGE("https://images.lululemon.com/is/image/lululemon/LW7DCNS_0001_1?wid=320&amp;op_usm=0.8",1)</f>
        <v/>
      </c>
      <c r="B2149" s="7" t="inlineStr">
        <is>
          <t>Hotty Hot High-Rise Lined Short 4"</t>
        </is>
      </c>
      <c r="C2149" s="7" t="inlineStr">
        <is>
          <t>158095681</t>
        </is>
      </c>
      <c r="D2149" s="7" t="inlineStr">
        <is>
          <t>158095681-riverside</t>
        </is>
      </c>
      <c r="E2149" s="7" t="inlineStr">
        <is>
          <t>Hotty Hot HR Short 4" *Lined BLK 0</t>
        </is>
      </c>
      <c r="F2149" s="7" t="inlineStr">
        <is>
          <t>$68.00</t>
        </is>
      </c>
      <c r="G2149" s="7" t="inlineStr">
        <is>
          <t>$34.00</t>
        </is>
      </c>
      <c r="H2149" s="7" t="inlineStr">
        <is>
          <t>Riverside</t>
        </is>
      </c>
      <c r="I2149" s="7">
        <f>IMAGE("https://images.lululemon.com/is/image/lululemon/72622",1)</f>
        <v/>
      </c>
      <c r="J2149" s="7" t="inlineStr">
        <is>
          <t>12</t>
        </is>
      </c>
      <c r="K2149" s="7" t="inlineStr">
        <is>
          <t>25/6603</t>
        </is>
      </c>
      <c r="L2149" s="7" t="inlineStr">
        <is>
          <t>Yes</t>
        </is>
      </c>
      <c r="M2149" s="7" t="inlineStr">
        <is>
          <t>Max out that stride. We designed these run shorts with a little extra room so you can move freely.</t>
        </is>
      </c>
      <c r="N2149" s="7" t="inlineStr">
        <is>
          <t>Hotty-Hot-Short-HR-Long</t>
        </is>
      </c>
      <c r="O2149" s="7" t="inlineStr">
        <is>
          <t>Athletic Shorts, Liner Shorts, Track Shorts</t>
        </is>
      </c>
    </row>
    <row r="2150" ht="80" customHeight="1">
      <c r="A2150" s="4">
        <f>IMAGE("https://images.lululemon.com/is/image/lululemon/LW7DCNS_0001_1?wid=320&amp;op_usm=0.8",1)</f>
        <v/>
      </c>
      <c r="B2150" s="4" t="inlineStr">
        <is>
          <t>Hotty Hot High-Rise Lined Short 4"</t>
        </is>
      </c>
      <c r="C2150" s="4" t="inlineStr">
        <is>
          <t>158095551</t>
        </is>
      </c>
      <c r="D2150" s="4" t="inlineStr">
        <is>
          <t>158095551-ashenrose</t>
        </is>
      </c>
      <c r="E2150" s="4" t="inlineStr">
        <is>
          <t>Hotty Hot HR Short 4" *Lined BLK 0</t>
        </is>
      </c>
      <c r="F2150" s="4" t="inlineStr">
        <is>
          <t>$68.00</t>
        </is>
      </c>
      <c r="G2150" s="4" t="inlineStr">
        <is>
          <t>$34.00</t>
        </is>
      </c>
      <c r="H2150" s="4" t="inlineStr">
        <is>
          <t>Ashen Rose</t>
        </is>
      </c>
      <c r="I2150" s="4">
        <f>IMAGE("https://images.lululemon.com/is/image/lululemon/45797",1)</f>
        <v/>
      </c>
      <c r="J2150" s="4" t="inlineStr">
        <is>
          <t>2</t>
        </is>
      </c>
      <c r="K2150" s="4" t="inlineStr">
        <is>
          <t>58/6603</t>
        </is>
      </c>
      <c r="L2150" s="4" t="inlineStr">
        <is>
          <t>Yes</t>
        </is>
      </c>
      <c r="M2150" s="4" t="inlineStr">
        <is>
          <t>Max out that stride. We designed these run shorts with a little extra room so you can move freely.</t>
        </is>
      </c>
      <c r="N2150" s="4" t="inlineStr">
        <is>
          <t>Hotty-Hot-Short-HR-Long</t>
        </is>
      </c>
      <c r="O2150" s="4" t="inlineStr">
        <is>
          <t>Athletic Shorts, Liner Shorts, Track Shorts</t>
        </is>
      </c>
    </row>
    <row r="2151" ht="80" customHeight="1">
      <c r="A2151" s="7">
        <f>IMAGE("https://images.lululemon.com/is/image/lululemon/LW7DCNS_0001_1?wid=320&amp;op_usm=0.8",1)</f>
        <v/>
      </c>
      <c r="B2151" s="7" t="inlineStr">
        <is>
          <t>Hotty Hot High-Rise Lined Short 4"</t>
        </is>
      </c>
      <c r="C2151" s="7" t="inlineStr">
        <is>
          <t>158095557</t>
        </is>
      </c>
      <c r="D2151" s="7" t="inlineStr">
        <is>
          <t>158095557-ashenrose</t>
        </is>
      </c>
      <c r="E2151" s="7" t="inlineStr">
        <is>
          <t>Hotty Hot HR Short 4" *Lined BLK 0</t>
        </is>
      </c>
      <c r="F2151" s="7" t="inlineStr">
        <is>
          <t>$68.00</t>
        </is>
      </c>
      <c r="G2151" s="7" t="inlineStr">
        <is>
          <t>$34.00</t>
        </is>
      </c>
      <c r="H2151" s="7" t="inlineStr">
        <is>
          <t>Ashen Rose</t>
        </is>
      </c>
      <c r="I2151" s="7">
        <f>IMAGE("https://images.lululemon.com/is/image/lululemon/45797",1)</f>
        <v/>
      </c>
      <c r="J2151" s="7" t="inlineStr">
        <is>
          <t>4</t>
        </is>
      </c>
      <c r="K2151" s="7" t="inlineStr">
        <is>
          <t>109/6603</t>
        </is>
      </c>
      <c r="L2151" s="7" t="inlineStr">
        <is>
          <t>Yes</t>
        </is>
      </c>
      <c r="M2151" s="7" t="inlineStr">
        <is>
          <t>Max out that stride. We designed these run shorts with a little extra room so you can move freely.</t>
        </is>
      </c>
      <c r="N2151" s="7" t="inlineStr">
        <is>
          <t>Hotty-Hot-Short-HR-Long</t>
        </is>
      </c>
      <c r="O2151" s="7" t="inlineStr">
        <is>
          <t>Athletic Shorts, Liner Shorts, Track Shorts</t>
        </is>
      </c>
    </row>
    <row r="2152" ht="80" customHeight="1">
      <c r="A2152" s="4">
        <f>IMAGE("https://images.lululemon.com/is/image/lululemon/LW7DCNS_0001_1?wid=320&amp;op_usm=0.8",1)</f>
        <v/>
      </c>
      <c r="B2152" s="4" t="inlineStr">
        <is>
          <t>Hotty Hot High-Rise Lined Short 4"</t>
        </is>
      </c>
      <c r="C2152" s="4" t="inlineStr">
        <is>
          <t>158095563</t>
        </is>
      </c>
      <c r="D2152" s="4" t="inlineStr">
        <is>
          <t>158095563-ashenrose</t>
        </is>
      </c>
      <c r="E2152" s="4" t="inlineStr">
        <is>
          <t>Hotty Hot HR Short 4" *Lined BLK 0</t>
        </is>
      </c>
      <c r="F2152" s="4" t="inlineStr">
        <is>
          <t>$68.00</t>
        </is>
      </c>
      <c r="G2152" s="4" t="inlineStr">
        <is>
          <t>$34.00</t>
        </is>
      </c>
      <c r="H2152" s="4" t="inlineStr">
        <is>
          <t>Ashen Rose</t>
        </is>
      </c>
      <c r="I2152" s="4">
        <f>IMAGE("https://images.lululemon.com/is/image/lululemon/45797",1)</f>
        <v/>
      </c>
      <c r="J2152" s="4" t="inlineStr">
        <is>
          <t>6</t>
        </is>
      </c>
      <c r="K2152" s="4" t="inlineStr">
        <is>
          <t>150/6603</t>
        </is>
      </c>
      <c r="L2152" s="4" t="inlineStr">
        <is>
          <t>Yes</t>
        </is>
      </c>
      <c r="M2152" s="4" t="inlineStr">
        <is>
          <t>Max out that stride. We designed these run shorts with a little extra room so you can move freely.</t>
        </is>
      </c>
      <c r="N2152" s="4" t="inlineStr">
        <is>
          <t>Hotty-Hot-Short-HR-Long</t>
        </is>
      </c>
      <c r="O2152" s="4" t="inlineStr">
        <is>
          <t>Athletic Shorts, Liner Shorts, Track Shorts</t>
        </is>
      </c>
    </row>
    <row r="2153" ht="80" customHeight="1">
      <c r="A2153" s="7">
        <f>IMAGE("https://images.lululemon.com/is/image/lululemon/LW7DCNS_0001_1?wid=320&amp;op_usm=0.8",1)</f>
        <v/>
      </c>
      <c r="B2153" s="7" t="inlineStr">
        <is>
          <t>Hotty Hot High-Rise Lined Short 4"</t>
        </is>
      </c>
      <c r="C2153" s="7" t="inlineStr">
        <is>
          <t>158095568</t>
        </is>
      </c>
      <c r="D2153" s="7" t="inlineStr">
        <is>
          <t>158095568-ashenrose</t>
        </is>
      </c>
      <c r="E2153" s="7" t="inlineStr">
        <is>
          <t>Hotty Hot HR Short 4" *Lined BLK 0</t>
        </is>
      </c>
      <c r="F2153" s="7" t="inlineStr">
        <is>
          <t>$68.00</t>
        </is>
      </c>
      <c r="G2153" s="7" t="inlineStr">
        <is>
          <t>$34.00</t>
        </is>
      </c>
      <c r="H2153" s="7" t="inlineStr">
        <is>
          <t>Ashen Rose</t>
        </is>
      </c>
      <c r="I2153" s="7">
        <f>IMAGE("https://images.lululemon.com/is/image/lululemon/45797",1)</f>
        <v/>
      </c>
      <c r="J2153" s="7" t="inlineStr">
        <is>
          <t>8</t>
        </is>
      </c>
      <c r="K2153" s="7" t="inlineStr">
        <is>
          <t>121/6603</t>
        </is>
      </c>
      <c r="L2153" s="7" t="inlineStr">
        <is>
          <t>Yes</t>
        </is>
      </c>
      <c r="M2153" s="7" t="inlineStr">
        <is>
          <t>Max out that stride. We designed these run shorts with a little extra room so you can move freely.</t>
        </is>
      </c>
      <c r="N2153" s="7" t="inlineStr">
        <is>
          <t>Hotty-Hot-Short-HR-Long</t>
        </is>
      </c>
      <c r="O2153" s="7" t="inlineStr">
        <is>
          <t>Athletic Shorts, Liner Shorts, Track Shorts</t>
        </is>
      </c>
    </row>
    <row r="2154" ht="80" customHeight="1">
      <c r="A2154" s="4">
        <f>IMAGE("https://images.lululemon.com/is/image/lululemon/LW7DCNS_0001_1?wid=320&amp;op_usm=0.8",1)</f>
        <v/>
      </c>
      <c r="B2154" s="4" t="inlineStr">
        <is>
          <t>Hotty Hot High-Rise Lined Short 4"</t>
        </is>
      </c>
      <c r="C2154" s="4" t="inlineStr">
        <is>
          <t>158095536</t>
        </is>
      </c>
      <c r="D2154" s="4" t="inlineStr">
        <is>
          <t>158095536-ashenrose</t>
        </is>
      </c>
      <c r="E2154" s="4" t="inlineStr">
        <is>
          <t>Hotty Hot HR Short 4" *Lined BLK 0</t>
        </is>
      </c>
      <c r="F2154" s="4" t="inlineStr">
        <is>
          <t>$68.00</t>
        </is>
      </c>
      <c r="G2154" s="4" t="inlineStr">
        <is>
          <t>$34.00</t>
        </is>
      </c>
      <c r="H2154" s="4" t="inlineStr">
        <is>
          <t>Ashen Rose</t>
        </is>
      </c>
      <c r="I2154" s="4">
        <f>IMAGE("https://images.lululemon.com/is/image/lululemon/45797",1)</f>
        <v/>
      </c>
      <c r="J2154" s="4" t="inlineStr">
        <is>
          <t>10</t>
        </is>
      </c>
      <c r="K2154" s="4" t="inlineStr">
        <is>
          <t>84/6603</t>
        </is>
      </c>
      <c r="L2154" s="4" t="inlineStr">
        <is>
          <t>Yes</t>
        </is>
      </c>
      <c r="M2154" s="4" t="inlineStr">
        <is>
          <t>Max out that stride. We designed these run shorts with a little extra room so you can move freely.</t>
        </is>
      </c>
      <c r="N2154" s="4" t="inlineStr">
        <is>
          <t>Hotty-Hot-Short-HR-Long</t>
        </is>
      </c>
      <c r="O2154" s="4" t="inlineStr">
        <is>
          <t>Athletic Shorts, Liner Shorts, Track Shorts</t>
        </is>
      </c>
    </row>
    <row r="2155" ht="80" customHeight="1">
      <c r="A2155" s="5">
        <f>IMAGE("https://images.lululemon.com/is/image/lululemon/LW7DCNS_0001_1?wid=320&amp;op_usm=0.8",1)</f>
        <v/>
      </c>
      <c r="B2155" s="5" t="inlineStr">
        <is>
          <t>Hotty Hot High-Rise Lined Short 4"</t>
        </is>
      </c>
      <c r="C2155" s="5" t="inlineStr">
        <is>
          <t>158095538</t>
        </is>
      </c>
      <c r="D2155" s="5" t="inlineStr">
        <is>
          <t>158095538-ashenrose</t>
        </is>
      </c>
      <c r="E2155" s="5" t="inlineStr">
        <is>
          <t>Hotty Hot HR Short 4" *Lined BLK 0</t>
        </is>
      </c>
      <c r="F2155" s="5" t="inlineStr">
        <is>
          <t>$68.00</t>
        </is>
      </c>
      <c r="G2155" s="5" t="inlineStr">
        <is>
          <t>$34.00</t>
        </is>
      </c>
      <c r="H2155" s="5" t="inlineStr">
        <is>
          <t>Ashen Rose</t>
        </is>
      </c>
      <c r="I2155" s="5">
        <f>IMAGE("https://images.lululemon.com/is/image/lululemon/45797",1)</f>
        <v/>
      </c>
      <c r="J2155" s="5" t="inlineStr">
        <is>
          <t>12</t>
        </is>
      </c>
      <c r="K2155" s="5" t="inlineStr">
        <is>
          <t>37/6603</t>
        </is>
      </c>
      <c r="L2155" s="5" t="inlineStr">
        <is>
          <t>Yes</t>
        </is>
      </c>
      <c r="M2155" s="5" t="inlineStr">
        <is>
          <t>Max out that stride. We designed these run shorts with a little extra room so you can move freely.</t>
        </is>
      </c>
      <c r="N2155" s="5" t="inlineStr">
        <is>
          <t>Hotty-Hot-Short-HR-Long</t>
        </is>
      </c>
      <c r="O2155" s="5" t="inlineStr">
        <is>
          <t>Athletic Shorts, Liner Shorts, Track Shorts</t>
        </is>
      </c>
    </row>
    <row r="2156">
      <c r="A2156" s="6" t="n"/>
      <c r="B2156" s="6" t="inlineStr">
        <is>
          <t>Adapted State High-Rise Jogger Regular *Crinkle</t>
        </is>
      </c>
      <c r="C2156" s="6" t="inlineStr">
        <is>
          <t>158118848</t>
        </is>
      </c>
      <c r="D2156" s="6" t="inlineStr"/>
      <c r="E2156" s="6" t="inlineStr">
        <is>
          <t>Adapted State HR Jogger *Crinkle BLK 2</t>
        </is>
      </c>
      <c r="F2156" s="6" t="inlineStr">
        <is>
          <t>$128.00</t>
        </is>
      </c>
      <c r="G2156" s="6" t="inlineStr">
        <is>
          <t>$64.00</t>
        </is>
      </c>
      <c r="H2156" s="6" t="inlineStr">
        <is>
          <t>BLK</t>
        </is>
      </c>
      <c r="I2156" s="6" t="n"/>
      <c r="J2156" s="6" t="inlineStr"/>
      <c r="K2156" s="6" t="inlineStr">
        <is>
          <t>0/0</t>
        </is>
      </c>
      <c r="L2156" s="6" t="inlineStr">
        <is>
          <t>No</t>
        </is>
      </c>
      <c r="M2156" s="6" t="inlineStr">
        <is>
          <t>Think fast. This textured version of our Adapted State jogger is all about quick transitions. Water-repellent fabric and zippered cuffs let you switch between activities effortlessly.</t>
        </is>
      </c>
      <c r="N2156" s="6" t="inlineStr">
        <is>
          <t>Adapted-State-High-Rise-Jogger-Regular-Crinkle</t>
        </is>
      </c>
      <c r="O2156" s="6" t="inlineStr">
        <is>
          <t>Athletic Pants</t>
        </is>
      </c>
    </row>
    <row r="2157" ht="80" customHeight="1">
      <c r="A2157" s="7">
        <f>IMAGE("https://images.lululemon.com/is/image/lululemon/LW5HXSS_068898_1?wid=320&amp;op_usm=0.8",1)</f>
        <v/>
      </c>
      <c r="B2157" s="7" t="inlineStr">
        <is>
          <t>Court Rival Wide-Leg Track Pant Regular *Stitched Logo</t>
        </is>
      </c>
      <c r="C2157" s="7" t="inlineStr">
        <is>
          <t>157687498</t>
        </is>
      </c>
      <c r="D2157" s="7" t="inlineStr">
        <is>
          <t>157687498-clubblue/white</t>
        </is>
      </c>
      <c r="E2157" s="7" t="inlineStr">
        <is>
          <t>Court Rival Wide-Leg Track Pant *Regular CLBL/WHT 6</t>
        </is>
      </c>
      <c r="F2157" s="7" t="inlineStr">
        <is>
          <t>$138.00</t>
        </is>
      </c>
      <c r="G2157" s="7" t="inlineStr">
        <is>
          <t>$69.00</t>
        </is>
      </c>
      <c r="H2157" s="7" t="inlineStr">
        <is>
          <t>Club Blue/White</t>
        </is>
      </c>
      <c r="I2157" s="7">
        <f>IMAGE("https://images.lululemon.com/is/image/lululemon/68898",1)</f>
        <v/>
      </c>
      <c r="J2157" s="7" t="inlineStr">
        <is>
          <t>6</t>
        </is>
      </c>
      <c r="K2157" s="7" t="inlineStr">
        <is>
          <t>9/16</t>
        </is>
      </c>
      <c r="L2157" s="7" t="inlineStr">
        <is>
          <t>Yes</t>
        </is>
      </c>
      <c r="M2157" s="7" t="inlineStr">
        <is>
          <t>No time wasted. These wide-leg track pants easily pull on and off over your tennis gear making courtside changes a breeze.</t>
        </is>
      </c>
      <c r="N2157" s="7" t="inlineStr">
        <is>
          <t>Court-Rival-Mid-Rise-Wide-Track-Pant-Reg-Stitch</t>
        </is>
      </c>
      <c r="O2157" s="7" t="inlineStr">
        <is>
          <t>Track Pants</t>
        </is>
      </c>
    </row>
    <row r="2158" ht="80" customHeight="1">
      <c r="A2158" s="4">
        <f>IMAGE("https://images.lululemon.com/is/image/lululemon/LW5HXSS_068898_1?wid=320&amp;op_usm=0.8",1)</f>
        <v/>
      </c>
      <c r="B2158" s="4" t="inlineStr">
        <is>
          <t>Court Rival Wide-Leg Track Pant Regular *Stitched Logo</t>
        </is>
      </c>
      <c r="C2158" s="4" t="inlineStr">
        <is>
          <t>157687504</t>
        </is>
      </c>
      <c r="D2158" s="4" t="inlineStr">
        <is>
          <t>157687504-clubblue/white</t>
        </is>
      </c>
      <c r="E2158" s="4" t="inlineStr">
        <is>
          <t>Court Rival Wide-Leg Track Pant *Regular CLBL/WHT 6</t>
        </is>
      </c>
      <c r="F2158" s="4" t="inlineStr">
        <is>
          <t>$138.00</t>
        </is>
      </c>
      <c r="G2158" s="4" t="inlineStr">
        <is>
          <t>$69.00</t>
        </is>
      </c>
      <c r="H2158" s="4" t="inlineStr">
        <is>
          <t>Club Blue/White</t>
        </is>
      </c>
      <c r="I2158" s="4">
        <f>IMAGE("https://images.lululemon.com/is/image/lululemon/68898",1)</f>
        <v/>
      </c>
      <c r="J2158" s="4" t="inlineStr">
        <is>
          <t>8</t>
        </is>
      </c>
      <c r="K2158" s="4" t="inlineStr">
        <is>
          <t>4/16</t>
        </is>
      </c>
      <c r="L2158" s="4" t="inlineStr">
        <is>
          <t>Yes</t>
        </is>
      </c>
      <c r="M2158" s="4" t="inlineStr">
        <is>
          <t>No time wasted. These wide-leg track pants easily pull on and off over your tennis gear making courtside changes a breeze.</t>
        </is>
      </c>
      <c r="N2158" s="4" t="inlineStr">
        <is>
          <t>Court-Rival-Mid-Rise-Wide-Track-Pant-Reg-Stitch</t>
        </is>
      </c>
      <c r="O2158" s="4" t="inlineStr">
        <is>
          <t>Track Pants</t>
        </is>
      </c>
    </row>
    <row r="2159" ht="80" customHeight="1">
      <c r="A2159" s="5">
        <f>IMAGE("https://images.lululemon.com/is/image/lululemon/LW5HXSS_068898_1?wid=320&amp;op_usm=0.8",1)</f>
        <v/>
      </c>
      <c r="B2159" s="5" t="inlineStr">
        <is>
          <t>Court Rival Wide-Leg Track Pant Regular *Stitched Logo</t>
        </is>
      </c>
      <c r="C2159" s="5" t="inlineStr">
        <is>
          <t>157687473</t>
        </is>
      </c>
      <c r="D2159" s="5" t="inlineStr">
        <is>
          <t>157687473-clubblue/white</t>
        </is>
      </c>
      <c r="E2159" s="5" t="inlineStr">
        <is>
          <t>Court Rival Wide-Leg Track Pant *Regular CLBL/WHT 6</t>
        </is>
      </c>
      <c r="F2159" s="5" t="inlineStr">
        <is>
          <t>$138.00</t>
        </is>
      </c>
      <c r="G2159" s="5" t="inlineStr">
        <is>
          <t>$69.00</t>
        </is>
      </c>
      <c r="H2159" s="5" t="inlineStr">
        <is>
          <t>Club Blue/White</t>
        </is>
      </c>
      <c r="I2159" s="5">
        <f>IMAGE("https://images.lululemon.com/is/image/lululemon/68898",1)</f>
        <v/>
      </c>
      <c r="J2159" s="5" t="inlineStr">
        <is>
          <t>10</t>
        </is>
      </c>
      <c r="K2159" s="5" t="inlineStr">
        <is>
          <t>3/16</t>
        </is>
      </c>
      <c r="L2159" s="5" t="inlineStr">
        <is>
          <t>Yes</t>
        </is>
      </c>
      <c r="M2159" s="5" t="inlineStr">
        <is>
          <t>No time wasted. These wide-leg track pants easily pull on and off over your tennis gear making courtside changes a breeze.</t>
        </is>
      </c>
      <c r="N2159" s="5" t="inlineStr">
        <is>
          <t>Court-Rival-Mid-Rise-Wide-Track-Pant-Reg-Stitch</t>
        </is>
      </c>
      <c r="O2159" s="5" t="inlineStr">
        <is>
          <t>Track Pants</t>
        </is>
      </c>
    </row>
    <row r="2160" ht="80" customHeight="1">
      <c r="A2160" s="4">
        <f>IMAGE("https://images.lululemon.com/is/image/lululemon/LW3KDMS_072615_1?wid=320&amp;op_usm=0.8",1)</f>
        <v/>
      </c>
      <c r="B2160" s="4" t="inlineStr">
        <is>
          <t>Define Jacket Nulu *Flocked</t>
        </is>
      </c>
      <c r="C2160" s="4" t="inlineStr">
        <is>
          <t>158026892</t>
        </is>
      </c>
      <c r="D2160" s="4" t="inlineStr">
        <is>
          <t>158026892-polkaflockblack</t>
        </is>
      </c>
      <c r="E2160" s="4" t="inlineStr">
        <is>
          <t>Define Jacket Nulu *Flocked POFB 2</t>
        </is>
      </c>
      <c r="F2160" s="4" t="inlineStr">
        <is>
          <t>$128.00</t>
        </is>
      </c>
      <c r="G2160" s="4" t="inlineStr">
        <is>
          <t>$64.00</t>
        </is>
      </c>
      <c r="H2160" s="4" t="inlineStr">
        <is>
          <t>Polka Flock Black</t>
        </is>
      </c>
      <c r="I2160" s="4">
        <f>IMAGE("https://images.lululemon.com/is/image/lululemon/72615",1)</f>
        <v/>
      </c>
      <c r="J2160" s="4" t="inlineStr">
        <is>
          <t>2</t>
        </is>
      </c>
      <c r="K2160" s="4" t="inlineStr">
        <is>
          <t>23/506</t>
        </is>
      </c>
      <c r="L2160" s="4" t="inlineStr">
        <is>
          <t>Yes</t>
        </is>
      </c>
      <c r="M2160" s="4" t="inlineStr">
        <is>
          <t>Spot-on style. This version of our fan-favourite Define Jacket features velvety flocked polka dots.</t>
        </is>
      </c>
      <c r="N2160" s="4" t="inlineStr">
        <is>
          <t>Define-Jacket-Nulu-Flocked</t>
        </is>
      </c>
      <c r="O2160" s="4" t="inlineStr">
        <is>
          <t>Athletic Jackets, Zip Up Sweatshirts</t>
        </is>
      </c>
    </row>
    <row r="2161" ht="80" customHeight="1">
      <c r="A2161" s="7">
        <f>IMAGE("https://images.lululemon.com/is/image/lululemon/LW3KDMS_072615_1?wid=320&amp;op_usm=0.8",1)</f>
        <v/>
      </c>
      <c r="B2161" s="7" t="inlineStr">
        <is>
          <t>Define Jacket Nulu *Flocked</t>
        </is>
      </c>
      <c r="C2161" s="7" t="inlineStr">
        <is>
          <t>158026901</t>
        </is>
      </c>
      <c r="D2161" s="7" t="inlineStr">
        <is>
          <t>158026901-polkaflockblack</t>
        </is>
      </c>
      <c r="E2161" s="7" t="inlineStr">
        <is>
          <t>Define Jacket Nulu *Flocked POFB 2</t>
        </is>
      </c>
      <c r="F2161" s="7" t="inlineStr">
        <is>
          <t>$128.00</t>
        </is>
      </c>
      <c r="G2161" s="7" t="inlineStr">
        <is>
          <t>$64.00</t>
        </is>
      </c>
      <c r="H2161" s="7" t="inlineStr">
        <is>
          <t>Polka Flock Black</t>
        </is>
      </c>
      <c r="I2161" s="7">
        <f>IMAGE("https://images.lululemon.com/is/image/lululemon/72615",1)</f>
        <v/>
      </c>
      <c r="J2161" s="7" t="inlineStr">
        <is>
          <t>4</t>
        </is>
      </c>
      <c r="K2161" s="7" t="inlineStr">
        <is>
          <t>84/506</t>
        </is>
      </c>
      <c r="L2161" s="7" t="inlineStr">
        <is>
          <t>Yes</t>
        </is>
      </c>
      <c r="M2161" s="7" t="inlineStr">
        <is>
          <t>Spot-on style. This version of our fan-favourite Define Jacket features velvety flocked polka dots.</t>
        </is>
      </c>
      <c r="N2161" s="7" t="inlineStr">
        <is>
          <t>Define-Jacket-Nulu-Flocked</t>
        </is>
      </c>
      <c r="O2161" s="7" t="inlineStr">
        <is>
          <t>Athletic Jackets, Zip Up Sweatshirts</t>
        </is>
      </c>
    </row>
    <row r="2162" ht="80" customHeight="1">
      <c r="A2162" s="4">
        <f>IMAGE("https://images.lululemon.com/is/image/lululemon/LW3KDMS_072615_1?wid=320&amp;op_usm=0.8",1)</f>
        <v/>
      </c>
      <c r="B2162" s="4" t="inlineStr">
        <is>
          <t>Define Jacket Nulu *Flocked</t>
        </is>
      </c>
      <c r="C2162" s="4" t="inlineStr">
        <is>
          <t>158026913</t>
        </is>
      </c>
      <c r="D2162" s="4" t="inlineStr">
        <is>
          <t>158026913-polkaflockblack</t>
        </is>
      </c>
      <c r="E2162" s="4" t="inlineStr">
        <is>
          <t>Define Jacket Nulu *Flocked POFB 2</t>
        </is>
      </c>
      <c r="F2162" s="4" t="inlineStr">
        <is>
          <t>$128.00</t>
        </is>
      </c>
      <c r="G2162" s="4" t="inlineStr">
        <is>
          <t>$64.00</t>
        </is>
      </c>
      <c r="H2162" s="4" t="inlineStr">
        <is>
          <t>Polka Flock Black</t>
        </is>
      </c>
      <c r="I2162" s="4">
        <f>IMAGE("https://images.lululemon.com/is/image/lululemon/72615",1)</f>
        <v/>
      </c>
      <c r="J2162" s="4" t="inlineStr">
        <is>
          <t>6</t>
        </is>
      </c>
      <c r="K2162" s="4" t="inlineStr">
        <is>
          <t>131/506</t>
        </is>
      </c>
      <c r="L2162" s="4" t="inlineStr">
        <is>
          <t>Yes</t>
        </is>
      </c>
      <c r="M2162" s="4" t="inlineStr">
        <is>
          <t>Spot-on style. This version of our fan-favourite Define Jacket features velvety flocked polka dots.</t>
        </is>
      </c>
      <c r="N2162" s="4" t="inlineStr">
        <is>
          <t>Define-Jacket-Nulu-Flocked</t>
        </is>
      </c>
      <c r="O2162" s="4" t="inlineStr">
        <is>
          <t>Athletic Jackets, Zip Up Sweatshirts</t>
        </is>
      </c>
    </row>
    <row r="2163" ht="80" customHeight="1">
      <c r="A2163" s="7">
        <f>IMAGE("https://images.lululemon.com/is/image/lululemon/LW3KDMS_072615_1?wid=320&amp;op_usm=0.8",1)</f>
        <v/>
      </c>
      <c r="B2163" s="7" t="inlineStr">
        <is>
          <t>Define Jacket Nulu *Flocked</t>
        </is>
      </c>
      <c r="C2163" s="7" t="inlineStr">
        <is>
          <t>158026920</t>
        </is>
      </c>
      <c r="D2163" s="7" t="inlineStr">
        <is>
          <t>158026920-polkaflockblack</t>
        </is>
      </c>
      <c r="E2163" s="7" t="inlineStr">
        <is>
          <t>Define Jacket Nulu *Flocked POFB 2</t>
        </is>
      </c>
      <c r="F2163" s="7" t="inlineStr">
        <is>
          <t>$128.00</t>
        </is>
      </c>
      <c r="G2163" s="7" t="inlineStr">
        <is>
          <t>$64.00</t>
        </is>
      </c>
      <c r="H2163" s="7" t="inlineStr">
        <is>
          <t>Polka Flock Black</t>
        </is>
      </c>
      <c r="I2163" s="7">
        <f>IMAGE("https://images.lululemon.com/is/image/lululemon/72615",1)</f>
        <v/>
      </c>
      <c r="J2163" s="7" t="inlineStr">
        <is>
          <t>8</t>
        </is>
      </c>
      <c r="K2163" s="7" t="inlineStr">
        <is>
          <t>126/506</t>
        </is>
      </c>
      <c r="L2163" s="7" t="inlineStr">
        <is>
          <t>Yes</t>
        </is>
      </c>
      <c r="M2163" s="7" t="inlineStr">
        <is>
          <t>Spot-on style. This version of our fan-favourite Define Jacket features velvety flocked polka dots.</t>
        </is>
      </c>
      <c r="N2163" s="7" t="inlineStr">
        <is>
          <t>Define-Jacket-Nulu-Flocked</t>
        </is>
      </c>
      <c r="O2163" s="7" t="inlineStr">
        <is>
          <t>Athletic Jackets, Zip Up Sweatshirts</t>
        </is>
      </c>
    </row>
    <row r="2164" ht="80" customHeight="1">
      <c r="A2164" s="4">
        <f>IMAGE("https://images.lululemon.com/is/image/lululemon/LW3KDMS_072615_1?wid=320&amp;op_usm=0.8",1)</f>
        <v/>
      </c>
      <c r="B2164" s="4" t="inlineStr">
        <is>
          <t>Define Jacket Nulu *Flocked</t>
        </is>
      </c>
      <c r="C2164" s="4" t="inlineStr">
        <is>
          <t>158026864</t>
        </is>
      </c>
      <c r="D2164" s="4" t="inlineStr">
        <is>
          <t>158026864-polkaflockblack</t>
        </is>
      </c>
      <c r="E2164" s="4" t="inlineStr">
        <is>
          <t>Define Jacket Nulu *Flocked POFB 2</t>
        </is>
      </c>
      <c r="F2164" s="4" t="inlineStr">
        <is>
          <t>$128.00</t>
        </is>
      </c>
      <c r="G2164" s="4" t="inlineStr">
        <is>
          <t>$64.00</t>
        </is>
      </c>
      <c r="H2164" s="4" t="inlineStr">
        <is>
          <t>Polka Flock Black</t>
        </is>
      </c>
      <c r="I2164" s="4">
        <f>IMAGE("https://images.lululemon.com/is/image/lululemon/72615",1)</f>
        <v/>
      </c>
      <c r="J2164" s="4" t="inlineStr">
        <is>
          <t>10</t>
        </is>
      </c>
      <c r="K2164" s="4" t="inlineStr">
        <is>
          <t>93/506</t>
        </is>
      </c>
      <c r="L2164" s="4" t="inlineStr">
        <is>
          <t>Yes</t>
        </is>
      </c>
      <c r="M2164" s="4" t="inlineStr">
        <is>
          <t>Spot-on style. This version of our fan-favourite Define Jacket features velvety flocked polka dots.</t>
        </is>
      </c>
      <c r="N2164" s="4" t="inlineStr">
        <is>
          <t>Define-Jacket-Nulu-Flocked</t>
        </is>
      </c>
      <c r="O2164" s="4" t="inlineStr">
        <is>
          <t>Athletic Jackets, Zip Up Sweatshirts</t>
        </is>
      </c>
    </row>
    <row r="2165" ht="80" customHeight="1">
      <c r="A2165" s="5">
        <f>IMAGE("https://images.lululemon.com/is/image/lululemon/LW3KDMS_072615_1?wid=320&amp;op_usm=0.8",1)</f>
        <v/>
      </c>
      <c r="B2165" s="5" t="inlineStr">
        <is>
          <t>Define Jacket Nulu *Flocked</t>
        </is>
      </c>
      <c r="C2165" s="5" t="inlineStr">
        <is>
          <t>158026873</t>
        </is>
      </c>
      <c r="D2165" s="5" t="inlineStr">
        <is>
          <t>158026873-polkaflockblack</t>
        </is>
      </c>
      <c r="E2165" s="5" t="inlineStr">
        <is>
          <t>Define Jacket Nulu *Flocked POFB 2</t>
        </is>
      </c>
      <c r="F2165" s="5" t="inlineStr">
        <is>
          <t>$128.00</t>
        </is>
      </c>
      <c r="G2165" s="5" t="inlineStr">
        <is>
          <t>$64.00</t>
        </is>
      </c>
      <c r="H2165" s="5" t="inlineStr">
        <is>
          <t>Polka Flock Black</t>
        </is>
      </c>
      <c r="I2165" s="5">
        <f>IMAGE("https://images.lululemon.com/is/image/lululemon/72615",1)</f>
        <v/>
      </c>
      <c r="J2165" s="5" t="inlineStr">
        <is>
          <t>12</t>
        </is>
      </c>
      <c r="K2165" s="5" t="inlineStr">
        <is>
          <t>49/506</t>
        </is>
      </c>
      <c r="L2165" s="5" t="inlineStr">
        <is>
          <t>Yes</t>
        </is>
      </c>
      <c r="M2165" s="5" t="inlineStr">
        <is>
          <t>Spot-on style. This version of our fan-favourite Define Jacket features velvety flocked polka dots.</t>
        </is>
      </c>
      <c r="N2165" s="5" t="inlineStr">
        <is>
          <t>Define-Jacket-Nulu-Flocked</t>
        </is>
      </c>
      <c r="O2165" s="5" t="inlineStr">
        <is>
          <t>Athletic Jackets, Zip Up Sweatshirts</t>
        </is>
      </c>
    </row>
    <row r="2166" ht="80" customHeight="1">
      <c r="A2166" s="4">
        <f>IMAGE("https://images.lululemon.com/is/image/lululemon/LW7DAQS_0001_1?wid=320&amp;op_usm=0.8",1)</f>
        <v/>
      </c>
      <c r="B2166" s="4" t="inlineStr">
        <is>
          <t>Scuba High-Rise Short 5"</t>
        </is>
      </c>
      <c r="C2166" s="4" t="inlineStr">
        <is>
          <t>155777240</t>
        </is>
      </c>
      <c r="D2166" s="4" t="inlineStr">
        <is>
          <t>155777240-black</t>
        </is>
      </c>
      <c r="E2166" s="4" t="inlineStr">
        <is>
          <t>Scuba High-Rise Short 5" BLK XXS</t>
        </is>
      </c>
      <c r="F2166" s="4" t="inlineStr">
        <is>
          <t>$68.00</t>
        </is>
      </c>
      <c r="G2166" s="4" t="inlineStr">
        <is>
          <t>$34.00</t>
        </is>
      </c>
      <c r="H2166" s="4" t="inlineStr">
        <is>
          <t>Black</t>
        </is>
      </c>
      <c r="I2166" s="4">
        <f>IMAGE("https://images.lululemon.com/is/image/lululemon/0001",1)</f>
        <v/>
      </c>
      <c r="J2166" s="4" t="inlineStr">
        <is>
          <t>XXS</t>
        </is>
      </c>
      <c r="K2166" s="4" t="inlineStr">
        <is>
          <t>52/826</t>
        </is>
      </c>
      <c r="L2166" s="4" t="inlineStr">
        <is>
          <t>Yes</t>
        </is>
      </c>
      <c r="M2166" s="4" t="inlineStr">
        <is>
          <t>Serious about softness. These shorts are all about plush, fleecy fabric and pair perfectly with our Scuba sweatshirts.</t>
        </is>
      </c>
      <c r="N2166" s="4" t="inlineStr">
        <is>
          <t>Scuba-HR-Short-5</t>
        </is>
      </c>
      <c r="O2166" s="4" t="inlineStr">
        <is>
          <t>Sweat Shorts</t>
        </is>
      </c>
    </row>
    <row r="2167" ht="80" customHeight="1">
      <c r="A2167" s="7">
        <f>IMAGE("https://images.lululemon.com/is/image/lululemon/LW7DAQS_0001_1?wid=320&amp;op_usm=0.8",1)</f>
        <v/>
      </c>
      <c r="B2167" s="7" t="inlineStr">
        <is>
          <t>Scuba High-Rise Short 5"</t>
        </is>
      </c>
      <c r="C2167" s="7" t="inlineStr">
        <is>
          <t>155777233</t>
        </is>
      </c>
      <c r="D2167" s="7" t="inlineStr">
        <is>
          <t>155777233-black</t>
        </is>
      </c>
      <c r="E2167" s="7" t="inlineStr">
        <is>
          <t>Scuba High-Rise Short 5" BLK XXS</t>
        </is>
      </c>
      <c r="F2167" s="7" t="inlineStr">
        <is>
          <t>$68.00</t>
        </is>
      </c>
      <c r="G2167" s="7" t="inlineStr">
        <is>
          <t>$34.00</t>
        </is>
      </c>
      <c r="H2167" s="7" t="inlineStr">
        <is>
          <t>Black</t>
        </is>
      </c>
      <c r="I2167" s="7">
        <f>IMAGE("https://images.lululemon.com/is/image/lululemon/0001",1)</f>
        <v/>
      </c>
      <c r="J2167" s="7" t="inlineStr">
        <is>
          <t>XS</t>
        </is>
      </c>
      <c r="K2167" s="7" t="inlineStr">
        <is>
          <t>124/826</t>
        </is>
      </c>
      <c r="L2167" s="7" t="inlineStr">
        <is>
          <t>Yes</t>
        </is>
      </c>
      <c r="M2167" s="7" t="inlineStr">
        <is>
          <t>Serious about softness. These shorts are all about plush, fleecy fabric and pair perfectly with our Scuba sweatshirts.</t>
        </is>
      </c>
      <c r="N2167" s="7" t="inlineStr">
        <is>
          <t>Scuba-HR-Short-5</t>
        </is>
      </c>
      <c r="O2167" s="7" t="inlineStr">
        <is>
          <t>Sweat Shorts</t>
        </is>
      </c>
    </row>
    <row r="2168" ht="80" customHeight="1">
      <c r="A2168" s="4">
        <f>IMAGE("https://images.lululemon.com/is/image/lululemon/LW7DAQS_0001_1?wid=320&amp;op_usm=0.8",1)</f>
        <v/>
      </c>
      <c r="B2168" s="4" t="inlineStr">
        <is>
          <t>Scuba High-Rise Short 5"</t>
        </is>
      </c>
      <c r="C2168" s="4" t="inlineStr">
        <is>
          <t>155777214</t>
        </is>
      </c>
      <c r="D2168" s="4" t="inlineStr">
        <is>
          <t>155777214-black</t>
        </is>
      </c>
      <c r="E2168" s="4" t="inlineStr">
        <is>
          <t>Scuba High-Rise Short 5" BLK XXS</t>
        </is>
      </c>
      <c r="F2168" s="4" t="inlineStr">
        <is>
          <t>$68.00</t>
        </is>
      </c>
      <c r="G2168" s="4" t="inlineStr">
        <is>
          <t>$34.00</t>
        </is>
      </c>
      <c r="H2168" s="4" t="inlineStr">
        <is>
          <t>Black</t>
        </is>
      </c>
      <c r="I2168" s="4">
        <f>IMAGE("https://images.lululemon.com/is/image/lululemon/0001",1)</f>
        <v/>
      </c>
      <c r="J2168" s="4" t="inlineStr">
        <is>
          <t>S</t>
        </is>
      </c>
      <c r="K2168" s="4" t="inlineStr">
        <is>
          <t>238/826</t>
        </is>
      </c>
      <c r="L2168" s="4" t="inlineStr">
        <is>
          <t>Yes</t>
        </is>
      </c>
      <c r="M2168" s="4" t="inlineStr">
        <is>
          <t>Serious about softness. These shorts are all about plush, fleecy fabric and pair perfectly with our Scuba sweatshirts.</t>
        </is>
      </c>
      <c r="N2168" s="4" t="inlineStr">
        <is>
          <t>Scuba-HR-Short-5</t>
        </is>
      </c>
      <c r="O2168" s="4" t="inlineStr">
        <is>
          <t>Sweat Shorts</t>
        </is>
      </c>
    </row>
    <row r="2169" ht="80" customHeight="1">
      <c r="A2169" s="7">
        <f>IMAGE("https://images.lululemon.com/is/image/lululemon/LW7DAQS_0001_1?wid=320&amp;op_usm=0.8",1)</f>
        <v/>
      </c>
      <c r="B2169" s="7" t="inlineStr">
        <is>
          <t>Scuba High-Rise Short 5"</t>
        </is>
      </c>
      <c r="C2169" s="7" t="inlineStr">
        <is>
          <t>155777207</t>
        </is>
      </c>
      <c r="D2169" s="7" t="inlineStr">
        <is>
          <t>155777207-black</t>
        </is>
      </c>
      <c r="E2169" s="7" t="inlineStr">
        <is>
          <t>Scuba High-Rise Short 5" BLK XXS</t>
        </is>
      </c>
      <c r="F2169" s="7" t="inlineStr">
        <is>
          <t>$68.00</t>
        </is>
      </c>
      <c r="G2169" s="7" t="inlineStr">
        <is>
          <t>$34.00</t>
        </is>
      </c>
      <c r="H2169" s="7" t="inlineStr">
        <is>
          <t>Black</t>
        </is>
      </c>
      <c r="I2169" s="7">
        <f>IMAGE("https://images.lululemon.com/is/image/lululemon/0001",1)</f>
        <v/>
      </c>
      <c r="J2169" s="7" t="inlineStr">
        <is>
          <t>M</t>
        </is>
      </c>
      <c r="K2169" s="7" t="inlineStr">
        <is>
          <t>304/826</t>
        </is>
      </c>
      <c r="L2169" s="7" t="inlineStr">
        <is>
          <t>Yes</t>
        </is>
      </c>
      <c r="M2169" s="7" t="inlineStr">
        <is>
          <t>Serious about softness. These shorts are all about plush, fleecy fabric and pair perfectly with our Scuba sweatshirts.</t>
        </is>
      </c>
      <c r="N2169" s="7" t="inlineStr">
        <is>
          <t>Scuba-HR-Short-5</t>
        </is>
      </c>
      <c r="O2169" s="7" t="inlineStr">
        <is>
          <t>Sweat Shorts</t>
        </is>
      </c>
    </row>
    <row r="2170" ht="80" customHeight="1">
      <c r="A2170" s="4">
        <f>IMAGE("https://images.lululemon.com/is/image/lululemon/LW7DAQS_0001_1?wid=320&amp;op_usm=0.8",1)</f>
        <v/>
      </c>
      <c r="B2170" s="4" t="inlineStr">
        <is>
          <t>Scuba High-Rise Short 5"</t>
        </is>
      </c>
      <c r="C2170" s="4" t="inlineStr">
        <is>
          <t>155777199</t>
        </is>
      </c>
      <c r="D2170" s="4" t="inlineStr">
        <is>
          <t>155777199-black</t>
        </is>
      </c>
      <c r="E2170" s="4" t="inlineStr">
        <is>
          <t>Scuba High-Rise Short 5" BLK XXS</t>
        </is>
      </c>
      <c r="F2170" s="4" t="inlineStr">
        <is>
          <t>$68.00</t>
        </is>
      </c>
      <c r="G2170" s="4" t="inlineStr">
        <is>
          <t>$34.00</t>
        </is>
      </c>
      <c r="H2170" s="4" t="inlineStr">
        <is>
          <t>Black</t>
        </is>
      </c>
      <c r="I2170" s="4">
        <f>IMAGE("https://images.lululemon.com/is/image/lululemon/0001",1)</f>
        <v/>
      </c>
      <c r="J2170" s="4" t="inlineStr">
        <is>
          <t>L</t>
        </is>
      </c>
      <c r="K2170" s="4" t="inlineStr">
        <is>
          <t>92/826</t>
        </is>
      </c>
      <c r="L2170" s="4" t="inlineStr">
        <is>
          <t>Yes</t>
        </is>
      </c>
      <c r="M2170" s="4" t="inlineStr">
        <is>
          <t>Serious about softness. These shorts are all about plush, fleecy fabric and pair perfectly with our Scuba sweatshirts.</t>
        </is>
      </c>
      <c r="N2170" s="4" t="inlineStr">
        <is>
          <t>Scuba-HR-Short-5</t>
        </is>
      </c>
      <c r="O2170" s="4" t="inlineStr">
        <is>
          <t>Sweat Shorts</t>
        </is>
      </c>
    </row>
    <row r="2171" ht="80" customHeight="1">
      <c r="A2171" s="5">
        <f>IMAGE("https://images.lululemon.com/is/image/lululemon/LW7DAQS_0001_1?wid=320&amp;op_usm=0.8",1)</f>
        <v/>
      </c>
      <c r="B2171" s="5" t="inlineStr">
        <is>
          <t>Scuba High-Rise Short 5"</t>
        </is>
      </c>
      <c r="C2171" s="5" t="inlineStr">
        <is>
          <t>155777224</t>
        </is>
      </c>
      <c r="D2171" s="5" t="inlineStr">
        <is>
          <t>155777224-black</t>
        </is>
      </c>
      <c r="E2171" s="5" t="inlineStr">
        <is>
          <t>Scuba High-Rise Short 5" BLK XXS</t>
        </is>
      </c>
      <c r="F2171" s="5" t="inlineStr">
        <is>
          <t>$68.00</t>
        </is>
      </c>
      <c r="G2171" s="5" t="inlineStr">
        <is>
          <t>$34.00</t>
        </is>
      </c>
      <c r="H2171" s="5" t="inlineStr">
        <is>
          <t>Black</t>
        </is>
      </c>
      <c r="I2171" s="5">
        <f>IMAGE("https://images.lululemon.com/is/image/lululemon/0001",1)</f>
        <v/>
      </c>
      <c r="J2171" s="5" t="inlineStr">
        <is>
          <t>XL</t>
        </is>
      </c>
      <c r="K2171" s="5" t="inlineStr">
        <is>
          <t>16/826</t>
        </is>
      </c>
      <c r="L2171" s="5" t="inlineStr">
        <is>
          <t>Yes</t>
        </is>
      </c>
      <c r="M2171" s="5" t="inlineStr">
        <is>
          <t>Serious about softness. These shorts are all about plush, fleecy fabric and pair perfectly with our Scuba sweatshirts.</t>
        </is>
      </c>
      <c r="N2171" s="5" t="inlineStr">
        <is>
          <t>Scuba-HR-Short-5</t>
        </is>
      </c>
      <c r="O2171" s="5" t="inlineStr">
        <is>
          <t>Sweat Shorts</t>
        </is>
      </c>
    </row>
    <row r="2172" ht="80" customHeight="1">
      <c r="A2172" s="4">
        <f>IMAGE("https://images.lululemon.com/is/image/lululemon/LW8AO1S_0002_1?wid=320&amp;op_usm=0.8",1)</f>
        <v/>
      </c>
      <c r="B2172" s="4" t="inlineStr">
        <is>
          <t>Side-Pleat High-Rise Tennis Skirt *Regular</t>
        </is>
      </c>
      <c r="C2172" s="4" t="inlineStr">
        <is>
          <t>157684594</t>
        </is>
      </c>
      <c r="D2172" s="4" t="inlineStr">
        <is>
          <t>157684594-white</t>
        </is>
      </c>
      <c r="E2172" s="4" t="inlineStr">
        <is>
          <t>Side-Pleat High-Rise Tennis Skirt *Reg WHT XS</t>
        </is>
      </c>
      <c r="F2172" s="4" t="inlineStr">
        <is>
          <t>$98.00</t>
        </is>
      </c>
      <c r="G2172" s="4" t="inlineStr">
        <is>
          <t>$49.00</t>
        </is>
      </c>
      <c r="H2172" s="4" t="inlineStr">
        <is>
          <t>White</t>
        </is>
      </c>
      <c r="I2172" s="4">
        <f>IMAGE("https://images.lululemon.com/is/image/lululemon/0002",1)</f>
        <v/>
      </c>
      <c r="J2172" s="4" t="inlineStr">
        <is>
          <t>XS</t>
        </is>
      </c>
      <c r="K2172" s="4" t="inlineStr">
        <is>
          <t>56/1170</t>
        </is>
      </c>
      <c r="L2172" s="4" t="inlineStr">
        <is>
          <t>Yes</t>
        </is>
      </c>
      <c r="M2172" s="4" t="inlineStr">
        <is>
          <t>Feel the swish. Contrasting  pleats dance around this  high-rise tennis skirt  creating beautiful movement as  you serve, rally, and smash.</t>
        </is>
      </c>
      <c r="N2172" s="4" t="inlineStr">
        <is>
          <t>Side-Pleat-High-Rise-Tennis-Skirt-Regular</t>
        </is>
      </c>
      <c r="O2172" s="4" t="inlineStr">
        <is>
          <t>Athletic Skirts</t>
        </is>
      </c>
    </row>
    <row r="2173" ht="80" customHeight="1">
      <c r="A2173" s="7">
        <f>IMAGE("https://images.lululemon.com/is/image/lululemon/LW8AO1S_0002_1?wid=320&amp;op_usm=0.8",1)</f>
        <v/>
      </c>
      <c r="B2173" s="7" t="inlineStr">
        <is>
          <t>Side-Pleat High-Rise Tennis Skirt *Regular</t>
        </is>
      </c>
      <c r="C2173" s="7" t="inlineStr">
        <is>
          <t>157684581</t>
        </is>
      </c>
      <c r="D2173" s="7" t="inlineStr">
        <is>
          <t>157684581-white</t>
        </is>
      </c>
      <c r="E2173" s="7" t="inlineStr">
        <is>
          <t>Side-Pleat High-Rise Tennis Skirt *Reg WHT XS</t>
        </is>
      </c>
      <c r="F2173" s="7" t="inlineStr">
        <is>
          <t>$98.00</t>
        </is>
      </c>
      <c r="G2173" s="7" t="inlineStr">
        <is>
          <t>$49.00</t>
        </is>
      </c>
      <c r="H2173" s="7" t="inlineStr">
        <is>
          <t>White</t>
        </is>
      </c>
      <c r="I2173" s="7">
        <f>IMAGE("https://images.lululemon.com/is/image/lululemon/0002",1)</f>
        <v/>
      </c>
      <c r="J2173" s="7" t="inlineStr">
        <is>
          <t>S</t>
        </is>
      </c>
      <c r="K2173" s="7" t="inlineStr">
        <is>
          <t>185/1170</t>
        </is>
      </c>
      <c r="L2173" s="7" t="inlineStr">
        <is>
          <t>Yes</t>
        </is>
      </c>
      <c r="M2173" s="7" t="inlineStr">
        <is>
          <t>Feel the swish. Contrasting  pleats dance around this  high-rise tennis skirt  creating beautiful movement as  you serve, rally, and smash.</t>
        </is>
      </c>
      <c r="N2173" s="7" t="inlineStr">
        <is>
          <t>Side-Pleat-High-Rise-Tennis-Skirt-Regular</t>
        </is>
      </c>
      <c r="O2173" s="7" t="inlineStr">
        <is>
          <t>Athletic Skirts</t>
        </is>
      </c>
    </row>
    <row r="2174" ht="80" customHeight="1">
      <c r="A2174" s="4">
        <f>IMAGE("https://images.lululemon.com/is/image/lululemon/LW8AO1S_0002_1?wid=320&amp;op_usm=0.8",1)</f>
        <v/>
      </c>
      <c r="B2174" s="4" t="inlineStr">
        <is>
          <t>Side-Pleat High-Rise Tennis Skirt *Regular</t>
        </is>
      </c>
      <c r="C2174" s="4" t="inlineStr">
        <is>
          <t>157684574</t>
        </is>
      </c>
      <c r="D2174" s="4" t="inlineStr">
        <is>
          <t>157684574-white</t>
        </is>
      </c>
      <c r="E2174" s="4" t="inlineStr">
        <is>
          <t>Side-Pleat High-Rise Tennis Skirt *Reg WHT XS</t>
        </is>
      </c>
      <c r="F2174" s="4" t="inlineStr">
        <is>
          <t>$98.00</t>
        </is>
      </c>
      <c r="G2174" s="4" t="inlineStr">
        <is>
          <t>$49.00</t>
        </is>
      </c>
      <c r="H2174" s="4" t="inlineStr">
        <is>
          <t>White</t>
        </is>
      </c>
      <c r="I2174" s="4">
        <f>IMAGE("https://images.lululemon.com/is/image/lululemon/0002",1)</f>
        <v/>
      </c>
      <c r="J2174" s="4" t="inlineStr">
        <is>
          <t>M</t>
        </is>
      </c>
      <c r="K2174" s="4" t="inlineStr">
        <is>
          <t>283/1170</t>
        </is>
      </c>
      <c r="L2174" s="4" t="inlineStr">
        <is>
          <t>Yes</t>
        </is>
      </c>
      <c r="M2174" s="4" t="inlineStr">
        <is>
          <t>Feel the swish. Contrasting  pleats dance around this  high-rise tennis skirt  creating beautiful movement as  you serve, rally, and smash.</t>
        </is>
      </c>
      <c r="N2174" s="4" t="inlineStr">
        <is>
          <t>Side-Pleat-High-Rise-Tennis-Skirt-Regular</t>
        </is>
      </c>
      <c r="O2174" s="4" t="inlineStr">
        <is>
          <t>Athletic Skirts</t>
        </is>
      </c>
    </row>
    <row r="2175" ht="80" customHeight="1">
      <c r="A2175" s="7">
        <f>IMAGE("https://images.lululemon.com/is/image/lululemon/LW8AO1S_0002_1?wid=320&amp;op_usm=0.8",1)</f>
        <v/>
      </c>
      <c r="B2175" s="7" t="inlineStr">
        <is>
          <t>Side-Pleat High-Rise Tennis Skirt *Regular</t>
        </is>
      </c>
      <c r="C2175" s="7" t="inlineStr">
        <is>
          <t>157684567</t>
        </is>
      </c>
      <c r="D2175" s="7" t="inlineStr">
        <is>
          <t>157684567-white</t>
        </is>
      </c>
      <c r="E2175" s="7" t="inlineStr">
        <is>
          <t>Side-Pleat High-Rise Tennis Skirt *Reg WHT XS</t>
        </is>
      </c>
      <c r="F2175" s="7" t="inlineStr">
        <is>
          <t>$98.00</t>
        </is>
      </c>
      <c r="G2175" s="7" t="inlineStr">
        <is>
          <t>$49.00</t>
        </is>
      </c>
      <c r="H2175" s="7" t="inlineStr">
        <is>
          <t>White</t>
        </is>
      </c>
      <c r="I2175" s="7">
        <f>IMAGE("https://images.lululemon.com/is/image/lululemon/0002",1)</f>
        <v/>
      </c>
      <c r="J2175" s="7" t="inlineStr">
        <is>
          <t>L</t>
        </is>
      </c>
      <c r="K2175" s="7" t="inlineStr">
        <is>
          <t>238/1170</t>
        </is>
      </c>
      <c r="L2175" s="7" t="inlineStr">
        <is>
          <t>Yes</t>
        </is>
      </c>
      <c r="M2175" s="7" t="inlineStr">
        <is>
          <t>Feel the swish. Contrasting  pleats dance around this  high-rise tennis skirt  creating beautiful movement as  you serve, rally, and smash.</t>
        </is>
      </c>
      <c r="N2175" s="7" t="inlineStr">
        <is>
          <t>Side-Pleat-High-Rise-Tennis-Skirt-Regular</t>
        </is>
      </c>
      <c r="O2175" s="7" t="inlineStr">
        <is>
          <t>Athletic Skirts</t>
        </is>
      </c>
    </row>
    <row r="2176" ht="80" customHeight="1">
      <c r="A2176" s="4">
        <f>IMAGE("https://images.lululemon.com/is/image/lululemon/LW8AO1S_0002_1?wid=320&amp;op_usm=0.8",1)</f>
        <v/>
      </c>
      <c r="B2176" s="4" t="inlineStr">
        <is>
          <t>Side-Pleat High-Rise Tennis Skirt *Regular</t>
        </is>
      </c>
      <c r="C2176" s="4" t="inlineStr">
        <is>
          <t>157684588</t>
        </is>
      </c>
      <c r="D2176" s="4" t="inlineStr">
        <is>
          <t>157684588-white</t>
        </is>
      </c>
      <c r="E2176" s="4" t="inlineStr">
        <is>
          <t>Side-Pleat High-Rise Tennis Skirt *Reg WHT XS</t>
        </is>
      </c>
      <c r="F2176" s="4" t="inlineStr">
        <is>
          <t>$98.00</t>
        </is>
      </c>
      <c r="G2176" s="4" t="inlineStr">
        <is>
          <t>$49.00</t>
        </is>
      </c>
      <c r="H2176" s="4" t="inlineStr">
        <is>
          <t>White</t>
        </is>
      </c>
      <c r="I2176" s="4">
        <f>IMAGE("https://images.lululemon.com/is/image/lululemon/0002",1)</f>
        <v/>
      </c>
      <c r="J2176" s="4" t="inlineStr">
        <is>
          <t>XL</t>
        </is>
      </c>
      <c r="K2176" s="4" t="inlineStr">
        <is>
          <t>140/1170</t>
        </is>
      </c>
      <c r="L2176" s="4" t="inlineStr">
        <is>
          <t>Yes</t>
        </is>
      </c>
      <c r="M2176" s="4" t="inlineStr">
        <is>
          <t>Feel the swish. Contrasting  pleats dance around this  high-rise tennis skirt  creating beautiful movement as  you serve, rally, and smash.</t>
        </is>
      </c>
      <c r="N2176" s="4" t="inlineStr">
        <is>
          <t>Side-Pleat-High-Rise-Tennis-Skirt-Regular</t>
        </is>
      </c>
      <c r="O2176" s="4" t="inlineStr">
        <is>
          <t>Athletic Skirts</t>
        </is>
      </c>
    </row>
    <row r="2177" ht="80" customHeight="1">
      <c r="A2177" s="7">
        <f>IMAGE("https://images.lululemon.com/is/image/lululemon/LW8AO1S_0002_1?wid=320&amp;op_usm=0.8",1)</f>
        <v/>
      </c>
      <c r="B2177" s="7" t="inlineStr">
        <is>
          <t>Side-Pleat High-Rise Tennis Skirt *Regular</t>
        </is>
      </c>
      <c r="C2177" s="7" t="inlineStr">
        <is>
          <t>157684935</t>
        </is>
      </c>
      <c r="D2177" s="7" t="inlineStr">
        <is>
          <t>157684935-rockwood</t>
        </is>
      </c>
      <c r="E2177" s="7" t="inlineStr">
        <is>
          <t>Side-Pleat High-Rise Tennis Skirt *Reg WHT XS</t>
        </is>
      </c>
      <c r="F2177" s="7" t="inlineStr">
        <is>
          <t>$98.00</t>
        </is>
      </c>
      <c r="G2177" s="7" t="inlineStr">
        <is>
          <t>$49.00</t>
        </is>
      </c>
      <c r="H2177" s="7" t="inlineStr">
        <is>
          <t>Rockwood</t>
        </is>
      </c>
      <c r="I2177" s="7">
        <f>IMAGE("https://images.lululemon.com/is/image/lululemon/71195",1)</f>
        <v/>
      </c>
      <c r="J2177" s="7" t="inlineStr">
        <is>
          <t>XS</t>
        </is>
      </c>
      <c r="K2177" s="7" t="inlineStr">
        <is>
          <t>35/1170</t>
        </is>
      </c>
      <c r="L2177" s="7" t="inlineStr">
        <is>
          <t>Yes</t>
        </is>
      </c>
      <c r="M2177" s="7" t="inlineStr">
        <is>
          <t>Feel the swish. Contrasting  pleats dance around this  high-rise tennis skirt  creating beautiful movement as  you serve, rally, and smash.</t>
        </is>
      </c>
      <c r="N2177" s="7" t="inlineStr">
        <is>
          <t>Side-Pleat-High-Rise-Tennis-Skirt-Regular</t>
        </is>
      </c>
      <c r="O2177" s="7" t="inlineStr">
        <is>
          <t>Athletic Skirts</t>
        </is>
      </c>
    </row>
    <row r="2178" ht="80" customHeight="1">
      <c r="A2178" s="4">
        <f>IMAGE("https://images.lululemon.com/is/image/lululemon/LW8AO1S_0002_1?wid=320&amp;op_usm=0.8",1)</f>
        <v/>
      </c>
      <c r="B2178" s="4" t="inlineStr">
        <is>
          <t>Side-Pleat High-Rise Tennis Skirt *Regular</t>
        </is>
      </c>
      <c r="C2178" s="4" t="inlineStr">
        <is>
          <t>157684924</t>
        </is>
      </c>
      <c r="D2178" s="4" t="inlineStr">
        <is>
          <t>157684924-rockwood</t>
        </is>
      </c>
      <c r="E2178" s="4" t="inlineStr">
        <is>
          <t>Side-Pleat High-Rise Tennis Skirt *Reg WHT XS</t>
        </is>
      </c>
      <c r="F2178" s="4" t="inlineStr">
        <is>
          <t>$98.00</t>
        </is>
      </c>
      <c r="G2178" s="4" t="inlineStr">
        <is>
          <t>$49.00</t>
        </is>
      </c>
      <c r="H2178" s="4" t="inlineStr">
        <is>
          <t>Rockwood</t>
        </is>
      </c>
      <c r="I2178" s="4">
        <f>IMAGE("https://images.lululemon.com/is/image/lululemon/71195",1)</f>
        <v/>
      </c>
      <c r="J2178" s="4" t="inlineStr">
        <is>
          <t>S</t>
        </is>
      </c>
      <c r="K2178" s="4" t="inlineStr">
        <is>
          <t>43/1170</t>
        </is>
      </c>
      <c r="L2178" s="4" t="inlineStr">
        <is>
          <t>Yes</t>
        </is>
      </c>
      <c r="M2178" s="4" t="inlineStr">
        <is>
          <t>Feel the swish. Contrasting  pleats dance around this  high-rise tennis skirt  creating beautiful movement as  you serve, rally, and smash.</t>
        </is>
      </c>
      <c r="N2178" s="4" t="inlineStr">
        <is>
          <t>Side-Pleat-High-Rise-Tennis-Skirt-Regular</t>
        </is>
      </c>
      <c r="O2178" s="4" t="inlineStr">
        <is>
          <t>Athletic Skirts</t>
        </is>
      </c>
    </row>
    <row r="2179" ht="80" customHeight="1">
      <c r="A2179" s="7">
        <f>IMAGE("https://images.lululemon.com/is/image/lululemon/LW8AO1S_0002_1?wid=320&amp;op_usm=0.8",1)</f>
        <v/>
      </c>
      <c r="B2179" s="7" t="inlineStr">
        <is>
          <t>Side-Pleat High-Rise Tennis Skirt *Regular</t>
        </is>
      </c>
      <c r="C2179" s="7" t="inlineStr">
        <is>
          <t>157684917</t>
        </is>
      </c>
      <c r="D2179" s="7" t="inlineStr">
        <is>
          <t>157684917-rockwood</t>
        </is>
      </c>
      <c r="E2179" s="7" t="inlineStr">
        <is>
          <t>Side-Pleat High-Rise Tennis Skirt *Reg WHT XS</t>
        </is>
      </c>
      <c r="F2179" s="7" t="inlineStr">
        <is>
          <t>$98.00</t>
        </is>
      </c>
      <c r="G2179" s="7" t="inlineStr">
        <is>
          <t>$49.00</t>
        </is>
      </c>
      <c r="H2179" s="7" t="inlineStr">
        <is>
          <t>Rockwood</t>
        </is>
      </c>
      <c r="I2179" s="7">
        <f>IMAGE("https://images.lululemon.com/is/image/lululemon/71195",1)</f>
        <v/>
      </c>
      <c r="J2179" s="7" t="inlineStr">
        <is>
          <t>M</t>
        </is>
      </c>
      <c r="K2179" s="7" t="inlineStr">
        <is>
          <t>60/1170</t>
        </is>
      </c>
      <c r="L2179" s="7" t="inlineStr">
        <is>
          <t>Yes</t>
        </is>
      </c>
      <c r="M2179" s="7" t="inlineStr">
        <is>
          <t>Feel the swish. Contrasting  pleats dance around this  high-rise tennis skirt  creating beautiful movement as  you serve, rally, and smash.</t>
        </is>
      </c>
      <c r="N2179" s="7" t="inlineStr">
        <is>
          <t>Side-Pleat-High-Rise-Tennis-Skirt-Regular</t>
        </is>
      </c>
      <c r="O2179" s="7" t="inlineStr">
        <is>
          <t>Athletic Skirts</t>
        </is>
      </c>
    </row>
    <row r="2180" ht="80" customHeight="1">
      <c r="A2180" s="4">
        <f>IMAGE("https://images.lululemon.com/is/image/lululemon/LW8AO1S_0002_1?wid=320&amp;op_usm=0.8",1)</f>
        <v/>
      </c>
      <c r="B2180" s="4" t="inlineStr">
        <is>
          <t>Side-Pleat High-Rise Tennis Skirt *Regular</t>
        </is>
      </c>
      <c r="C2180" s="4" t="inlineStr">
        <is>
          <t>157684910</t>
        </is>
      </c>
      <c r="D2180" s="4" t="inlineStr">
        <is>
          <t>157684910-rockwood</t>
        </is>
      </c>
      <c r="E2180" s="4" t="inlineStr">
        <is>
          <t>Side-Pleat High-Rise Tennis Skirt *Reg WHT XS</t>
        </is>
      </c>
      <c r="F2180" s="4" t="inlineStr">
        <is>
          <t>$98.00</t>
        </is>
      </c>
      <c r="G2180" s="4" t="inlineStr">
        <is>
          <t>$49.00</t>
        </is>
      </c>
      <c r="H2180" s="4" t="inlineStr">
        <is>
          <t>Rockwood</t>
        </is>
      </c>
      <c r="I2180" s="4">
        <f>IMAGE("https://images.lululemon.com/is/image/lululemon/71195",1)</f>
        <v/>
      </c>
      <c r="J2180" s="4" t="inlineStr">
        <is>
          <t>L</t>
        </is>
      </c>
      <c r="K2180" s="4" t="inlineStr">
        <is>
          <t>69/1170</t>
        </is>
      </c>
      <c r="L2180" s="4" t="inlineStr">
        <is>
          <t>Yes</t>
        </is>
      </c>
      <c r="M2180" s="4" t="inlineStr">
        <is>
          <t>Feel the swish. Contrasting  pleats dance around this  high-rise tennis skirt  creating beautiful movement as  you serve, rally, and smash.</t>
        </is>
      </c>
      <c r="N2180" s="4" t="inlineStr">
        <is>
          <t>Side-Pleat-High-Rise-Tennis-Skirt-Regular</t>
        </is>
      </c>
      <c r="O2180" s="4" t="inlineStr">
        <is>
          <t>Athletic Skirts</t>
        </is>
      </c>
    </row>
    <row r="2181" ht="80" customHeight="1">
      <c r="A2181" s="5">
        <f>IMAGE("https://images.lululemon.com/is/image/lululemon/LW8AO1S_0002_1?wid=320&amp;op_usm=0.8",1)</f>
        <v/>
      </c>
      <c r="B2181" s="5" t="inlineStr">
        <is>
          <t>Side-Pleat High-Rise Tennis Skirt *Regular</t>
        </is>
      </c>
      <c r="C2181" s="5" t="inlineStr">
        <is>
          <t>157684929</t>
        </is>
      </c>
      <c r="D2181" s="5" t="inlineStr">
        <is>
          <t>157684929-rockwood</t>
        </is>
      </c>
      <c r="E2181" s="5" t="inlineStr">
        <is>
          <t>Side-Pleat High-Rise Tennis Skirt *Reg WHT XS</t>
        </is>
      </c>
      <c r="F2181" s="5" t="inlineStr">
        <is>
          <t>$98.00</t>
        </is>
      </c>
      <c r="G2181" s="5" t="inlineStr">
        <is>
          <t>$49.00</t>
        </is>
      </c>
      <c r="H2181" s="5" t="inlineStr">
        <is>
          <t>Rockwood</t>
        </is>
      </c>
      <c r="I2181" s="5">
        <f>IMAGE("https://images.lululemon.com/is/image/lululemon/71195",1)</f>
        <v/>
      </c>
      <c r="J2181" s="5" t="inlineStr">
        <is>
          <t>XL</t>
        </is>
      </c>
      <c r="K2181" s="5" t="inlineStr">
        <is>
          <t>61/1170</t>
        </is>
      </c>
      <c r="L2181" s="5" t="inlineStr">
        <is>
          <t>Yes</t>
        </is>
      </c>
      <c r="M2181" s="5" t="inlineStr">
        <is>
          <t>Feel the swish. Contrasting  pleats dance around this  high-rise tennis skirt  creating beautiful movement as  you serve, rally, and smash.</t>
        </is>
      </c>
      <c r="N2181" s="5" t="inlineStr">
        <is>
          <t>Side-Pleat-High-Rise-Tennis-Skirt-Regular</t>
        </is>
      </c>
      <c r="O2181" s="5" t="inlineStr">
        <is>
          <t>Athletic Skirts</t>
        </is>
      </c>
    </row>
    <row r="2182" ht="80" customHeight="1">
      <c r="A2182" s="4">
        <f>IMAGE("https://images.lululemon.com/is/image/lululemon/LW5DITS_0001_1?wid=320&amp;op_usm=0.8",1)</f>
        <v/>
      </c>
      <c r="B2182" s="4" t="inlineStr">
        <is>
          <t>lululemon Align™ High-Rise Pant 28"</t>
        </is>
      </c>
      <c r="C2182" s="4" t="inlineStr">
        <is>
          <t>117377899</t>
        </is>
      </c>
      <c r="D2182" s="4" t="inlineStr">
        <is>
          <t>117377899-black</t>
        </is>
      </c>
      <c r="E2182" s="4" t="inlineStr">
        <is>
          <t>lululemon Align™ HR Pant 28" BLK 0</t>
        </is>
      </c>
      <c r="F2182" s="4" t="inlineStr">
        <is>
          <t>$98.00</t>
        </is>
      </c>
      <c r="G2182" s="4" t="inlineStr">
        <is>
          <t>$49.00</t>
        </is>
      </c>
      <c r="H2182" s="4" t="inlineStr">
        <is>
          <t>Black</t>
        </is>
      </c>
      <c r="I2182" s="4">
        <f>IMAGE("https://images.lululemon.com/is/image/lululemon/0001",1)</f>
        <v/>
      </c>
      <c r="J2182" s="4" t="inlineStr">
        <is>
          <t>0</t>
        </is>
      </c>
      <c r="K2182" s="4" t="inlineStr">
        <is>
          <t>166/8705</t>
        </is>
      </c>
      <c r="L2182" s="4" t="inlineStr">
        <is>
          <t>Yes</t>
        </is>
      </c>
      <c r="M2182" s="4" t="inlineStr">
        <is>
          <t>When feeling nothing is everything. The lululemon Align™ collection is so weightless and buttery soft, all you feel is your practice.</t>
        </is>
      </c>
      <c r="N2182" s="4" t="inlineStr">
        <is>
          <t>Align-Pant-Full-Length-28</t>
        </is>
      </c>
      <c r="O2182" s="4" t="inlineStr"/>
    </row>
    <row r="2183" ht="80" customHeight="1">
      <c r="A2183" s="7">
        <f>IMAGE("https://images.lululemon.com/is/image/lululemon/LW5DITS_0001_1?wid=320&amp;op_usm=0.8",1)</f>
        <v/>
      </c>
      <c r="B2183" s="7" t="inlineStr">
        <is>
          <t>lululemon Align™ High-Rise Pant 28"</t>
        </is>
      </c>
      <c r="C2183" s="7" t="inlineStr">
        <is>
          <t>117377918</t>
        </is>
      </c>
      <c r="D2183" s="7" t="inlineStr">
        <is>
          <t>117377918-black</t>
        </is>
      </c>
      <c r="E2183" s="7" t="inlineStr">
        <is>
          <t>lululemon Align™ HR Pant 28" BLK 0</t>
        </is>
      </c>
      <c r="F2183" s="7" t="inlineStr">
        <is>
          <t>$98.00</t>
        </is>
      </c>
      <c r="G2183" s="7" t="inlineStr">
        <is>
          <t>$49.00</t>
        </is>
      </c>
      <c r="H2183" s="7" t="inlineStr">
        <is>
          <t>Black</t>
        </is>
      </c>
      <c r="I2183" s="7">
        <f>IMAGE("https://images.lululemon.com/is/image/lululemon/0001",1)</f>
        <v/>
      </c>
      <c r="J2183" s="7" t="inlineStr">
        <is>
          <t>2</t>
        </is>
      </c>
      <c r="K2183" s="7" t="inlineStr">
        <is>
          <t>800/8705</t>
        </is>
      </c>
      <c r="L2183" s="7" t="inlineStr">
        <is>
          <t>Yes</t>
        </is>
      </c>
      <c r="M2183" s="7" t="inlineStr">
        <is>
          <t>When feeling nothing is everything. The lululemon Align™ collection is so weightless and buttery soft, all you feel is your practice.</t>
        </is>
      </c>
      <c r="N2183" s="7" t="inlineStr">
        <is>
          <t>Align-Pant-Full-Length-28</t>
        </is>
      </c>
      <c r="O2183" s="7" t="inlineStr"/>
    </row>
    <row r="2184" ht="80" customHeight="1">
      <c r="A2184" s="4">
        <f>IMAGE("https://images.lululemon.com/is/image/lululemon/LW5DITS_0001_1?wid=320&amp;op_usm=0.8",1)</f>
        <v/>
      </c>
      <c r="B2184" s="4" t="inlineStr">
        <is>
          <t>lululemon Align™ High-Rise Pant 28"</t>
        </is>
      </c>
      <c r="C2184" s="4" t="inlineStr">
        <is>
          <t>117377921</t>
        </is>
      </c>
      <c r="D2184" s="4" t="inlineStr">
        <is>
          <t>117377921-black</t>
        </is>
      </c>
      <c r="E2184" s="4" t="inlineStr">
        <is>
          <t>lululemon Align™ HR Pant 28" BLK 0</t>
        </is>
      </c>
      <c r="F2184" s="4" t="inlineStr">
        <is>
          <t>$98.00</t>
        </is>
      </c>
      <c r="G2184" s="4" t="inlineStr">
        <is>
          <t>$49.00</t>
        </is>
      </c>
      <c r="H2184" s="4" t="inlineStr">
        <is>
          <t>Black</t>
        </is>
      </c>
      <c r="I2184" s="4">
        <f>IMAGE("https://images.lululemon.com/is/image/lululemon/0001",1)</f>
        <v/>
      </c>
      <c r="J2184" s="4" t="inlineStr">
        <is>
          <t>4</t>
        </is>
      </c>
      <c r="K2184" s="4" t="inlineStr">
        <is>
          <t>1500/8705</t>
        </is>
      </c>
      <c r="L2184" s="4" t="inlineStr">
        <is>
          <t>Yes</t>
        </is>
      </c>
      <c r="M2184" s="4" t="inlineStr">
        <is>
          <t>When feeling nothing is everything. The lululemon Align™ collection is so weightless and buttery soft, all you feel is your practice.</t>
        </is>
      </c>
      <c r="N2184" s="4" t="inlineStr">
        <is>
          <t>Align-Pant-Full-Length-28</t>
        </is>
      </c>
      <c r="O2184" s="4" t="inlineStr"/>
    </row>
    <row r="2185" ht="80" customHeight="1">
      <c r="A2185" s="7">
        <f>IMAGE("https://images.lululemon.com/is/image/lululemon/LW5DITS_0001_1?wid=320&amp;op_usm=0.8",1)</f>
        <v/>
      </c>
      <c r="B2185" s="7" t="inlineStr">
        <is>
          <t>lululemon Align™ High-Rise Pant 28"</t>
        </is>
      </c>
      <c r="C2185" s="7" t="inlineStr">
        <is>
          <t>117377924</t>
        </is>
      </c>
      <c r="D2185" s="7" t="inlineStr">
        <is>
          <t>117377924-black</t>
        </is>
      </c>
      <c r="E2185" s="7" t="inlineStr">
        <is>
          <t>lululemon Align™ HR Pant 28" BLK 0</t>
        </is>
      </c>
      <c r="F2185" s="7" t="inlineStr">
        <is>
          <t>$98.00</t>
        </is>
      </c>
      <c r="G2185" s="7" t="inlineStr">
        <is>
          <t>$49.00</t>
        </is>
      </c>
      <c r="H2185" s="7" t="inlineStr">
        <is>
          <t>Black</t>
        </is>
      </c>
      <c r="I2185" s="7">
        <f>IMAGE("https://images.lululemon.com/is/image/lululemon/0001",1)</f>
        <v/>
      </c>
      <c r="J2185" s="7" t="inlineStr">
        <is>
          <t>6</t>
        </is>
      </c>
      <c r="K2185" s="7" t="inlineStr">
        <is>
          <t>1899/8705</t>
        </is>
      </c>
      <c r="L2185" s="7" t="inlineStr">
        <is>
          <t>Yes</t>
        </is>
      </c>
      <c r="M2185" s="7" t="inlineStr">
        <is>
          <t>When feeling nothing is everything. The lululemon Align™ collection is so weightless and buttery soft, all you feel is your practice.</t>
        </is>
      </c>
      <c r="N2185" s="7" t="inlineStr">
        <is>
          <t>Align-Pant-Full-Length-28</t>
        </is>
      </c>
      <c r="O2185" s="7" t="inlineStr"/>
    </row>
    <row r="2186" ht="80" customHeight="1">
      <c r="A2186" s="4">
        <f>IMAGE("https://images.lululemon.com/is/image/lululemon/LW5DITS_0001_1?wid=320&amp;op_usm=0.8",1)</f>
        <v/>
      </c>
      <c r="B2186" s="4" t="inlineStr">
        <is>
          <t>lululemon Align™ High-Rise Pant 28"</t>
        </is>
      </c>
      <c r="C2186" s="4" t="inlineStr">
        <is>
          <t>117377927</t>
        </is>
      </c>
      <c r="D2186" s="4" t="inlineStr">
        <is>
          <t>117377927-black</t>
        </is>
      </c>
      <c r="E2186" s="4" t="inlineStr">
        <is>
          <t>lululemon Align™ HR Pant 28" BLK 0</t>
        </is>
      </c>
      <c r="F2186" s="4" t="inlineStr">
        <is>
          <t>$98.00</t>
        </is>
      </c>
      <c r="G2186" s="4" t="inlineStr">
        <is>
          <t>$49.00</t>
        </is>
      </c>
      <c r="H2186" s="4" t="inlineStr">
        <is>
          <t>Black</t>
        </is>
      </c>
      <c r="I2186" s="4">
        <f>IMAGE("https://images.lululemon.com/is/image/lululemon/0001",1)</f>
        <v/>
      </c>
      <c r="J2186" s="4" t="inlineStr">
        <is>
          <t>8</t>
        </is>
      </c>
      <c r="K2186" s="4" t="inlineStr">
        <is>
          <t>1385/8705</t>
        </is>
      </c>
      <c r="L2186" s="4" t="inlineStr">
        <is>
          <t>Yes</t>
        </is>
      </c>
      <c r="M2186" s="4" t="inlineStr">
        <is>
          <t>When feeling nothing is everything. The lululemon Align™ collection is so weightless and buttery soft, all you feel is your practice.</t>
        </is>
      </c>
      <c r="N2186" s="4" t="inlineStr">
        <is>
          <t>Align-Pant-Full-Length-28</t>
        </is>
      </c>
      <c r="O2186" s="4" t="inlineStr"/>
    </row>
    <row r="2187" ht="80" customHeight="1">
      <c r="A2187" s="7">
        <f>IMAGE("https://images.lululemon.com/is/image/lululemon/LW5DITS_0001_1?wid=320&amp;op_usm=0.8",1)</f>
        <v/>
      </c>
      <c r="B2187" s="7" t="inlineStr">
        <is>
          <t>lululemon Align™ High-Rise Pant 28"</t>
        </is>
      </c>
      <c r="C2187" s="7" t="inlineStr">
        <is>
          <t>117377902</t>
        </is>
      </c>
      <c r="D2187" s="7" t="inlineStr">
        <is>
          <t>117377902-black</t>
        </is>
      </c>
      <c r="E2187" s="7" t="inlineStr">
        <is>
          <t>lululemon Align™ HR Pant 28" BLK 0</t>
        </is>
      </c>
      <c r="F2187" s="7" t="inlineStr">
        <is>
          <t>$98.00</t>
        </is>
      </c>
      <c r="G2187" s="7" t="inlineStr">
        <is>
          <t>$49.00</t>
        </is>
      </c>
      <c r="H2187" s="7" t="inlineStr">
        <is>
          <t>Black</t>
        </is>
      </c>
      <c r="I2187" s="7">
        <f>IMAGE("https://images.lululemon.com/is/image/lululemon/0001",1)</f>
        <v/>
      </c>
      <c r="J2187" s="7" t="inlineStr">
        <is>
          <t>10</t>
        </is>
      </c>
      <c r="K2187" s="7" t="inlineStr">
        <is>
          <t>917/8705</t>
        </is>
      </c>
      <c r="L2187" s="7" t="inlineStr">
        <is>
          <t>Yes</t>
        </is>
      </c>
      <c r="M2187" s="7" t="inlineStr">
        <is>
          <t>When feeling nothing is everything. The lululemon Align™ collection is so weightless and buttery soft, all you feel is your practice.</t>
        </is>
      </c>
      <c r="N2187" s="7" t="inlineStr">
        <is>
          <t>Align-Pant-Full-Length-28</t>
        </is>
      </c>
      <c r="O2187" s="7" t="inlineStr"/>
    </row>
    <row r="2188" ht="80" customHeight="1">
      <c r="A2188" s="4">
        <f>IMAGE("https://images.lululemon.com/is/image/lululemon/LW5DITS_0001_1?wid=320&amp;op_usm=0.8",1)</f>
        <v/>
      </c>
      <c r="B2188" s="4" t="inlineStr">
        <is>
          <t>lululemon Align™ High-Rise Pant 28"</t>
        </is>
      </c>
      <c r="C2188" s="4" t="inlineStr">
        <is>
          <t>117377905</t>
        </is>
      </c>
      <c r="D2188" s="4" t="inlineStr">
        <is>
          <t>117377905-black</t>
        </is>
      </c>
      <c r="E2188" s="4" t="inlineStr">
        <is>
          <t>lululemon Align™ HR Pant 28" BLK 0</t>
        </is>
      </c>
      <c r="F2188" s="4" t="inlineStr">
        <is>
          <t>$98.00</t>
        </is>
      </c>
      <c r="G2188" s="4" t="inlineStr">
        <is>
          <t>$49.00</t>
        </is>
      </c>
      <c r="H2188" s="4" t="inlineStr">
        <is>
          <t>Black</t>
        </is>
      </c>
      <c r="I2188" s="4">
        <f>IMAGE("https://images.lululemon.com/is/image/lululemon/0001",1)</f>
        <v/>
      </c>
      <c r="J2188" s="4" t="inlineStr">
        <is>
          <t>12</t>
        </is>
      </c>
      <c r="K2188" s="4" t="inlineStr">
        <is>
          <t>465/8705</t>
        </is>
      </c>
      <c r="L2188" s="4" t="inlineStr">
        <is>
          <t>Yes</t>
        </is>
      </c>
      <c r="M2188" s="4" t="inlineStr">
        <is>
          <t>When feeling nothing is everything. The lululemon Align™ collection is so weightless and buttery soft, all you feel is your practice.</t>
        </is>
      </c>
      <c r="N2188" s="4" t="inlineStr">
        <is>
          <t>Align-Pant-Full-Length-28</t>
        </is>
      </c>
      <c r="O2188" s="4" t="inlineStr"/>
    </row>
    <row r="2189" ht="80" customHeight="1">
      <c r="A2189" s="7">
        <f>IMAGE("https://images.lululemon.com/is/image/lululemon/LW5DITS_0001_1?wid=320&amp;op_usm=0.8",1)</f>
        <v/>
      </c>
      <c r="B2189" s="7" t="inlineStr">
        <is>
          <t>lululemon Align™ High-Rise Pant 28"</t>
        </is>
      </c>
      <c r="C2189" s="7" t="inlineStr">
        <is>
          <t>117377908</t>
        </is>
      </c>
      <c r="D2189" s="7" t="inlineStr">
        <is>
          <t>117377908-black</t>
        </is>
      </c>
      <c r="E2189" s="7" t="inlineStr">
        <is>
          <t>lululemon Align™ HR Pant 28" BLK 0</t>
        </is>
      </c>
      <c r="F2189" s="7" t="inlineStr">
        <is>
          <t>$98.00</t>
        </is>
      </c>
      <c r="G2189" s="7" t="inlineStr">
        <is>
          <t>$49.00</t>
        </is>
      </c>
      <c r="H2189" s="7" t="inlineStr">
        <is>
          <t>Black</t>
        </is>
      </c>
      <c r="I2189" s="7">
        <f>IMAGE("https://images.lululemon.com/is/image/lululemon/0001",1)</f>
        <v/>
      </c>
      <c r="J2189" s="7" t="inlineStr">
        <is>
          <t>14</t>
        </is>
      </c>
      <c r="K2189" s="7" t="inlineStr">
        <is>
          <t>337/8705</t>
        </is>
      </c>
      <c r="L2189" s="7" t="inlineStr">
        <is>
          <t>Yes</t>
        </is>
      </c>
      <c r="M2189" s="7" t="inlineStr">
        <is>
          <t>When feeling nothing is everything. The lululemon Align™ collection is so weightless and buttery soft, all you feel is your practice.</t>
        </is>
      </c>
      <c r="N2189" s="7" t="inlineStr">
        <is>
          <t>Align-Pant-Full-Length-28</t>
        </is>
      </c>
      <c r="O2189" s="7" t="inlineStr"/>
    </row>
    <row r="2190" ht="80" customHeight="1">
      <c r="A2190" s="4">
        <f>IMAGE("https://images.lululemon.com/is/image/lululemon/LW5DITS_0001_1?wid=320&amp;op_usm=0.8",1)</f>
        <v/>
      </c>
      <c r="B2190" s="4" t="inlineStr">
        <is>
          <t>lululemon Align™ High-Rise Pant 28"</t>
        </is>
      </c>
      <c r="C2190" s="4" t="inlineStr">
        <is>
          <t>143486019</t>
        </is>
      </c>
      <c r="D2190" s="4" t="inlineStr">
        <is>
          <t>143486019-black</t>
        </is>
      </c>
      <c r="E2190" s="4" t="inlineStr">
        <is>
          <t>lululemon Align™ HR Pant 28" BLK 0</t>
        </is>
      </c>
      <c r="F2190" s="4" t="inlineStr">
        <is>
          <t>$98.00</t>
        </is>
      </c>
      <c r="G2190" s="4" t="inlineStr">
        <is>
          <t>$49.00</t>
        </is>
      </c>
      <c r="H2190" s="4" t="inlineStr">
        <is>
          <t>Black</t>
        </is>
      </c>
      <c r="I2190" s="4">
        <f>IMAGE("https://images.lululemon.com/is/image/lululemon/0001",1)</f>
        <v/>
      </c>
      <c r="J2190" s="4" t="inlineStr">
        <is>
          <t>16</t>
        </is>
      </c>
      <c r="K2190" s="4" t="inlineStr">
        <is>
          <t>75/8705</t>
        </is>
      </c>
      <c r="L2190" s="4" t="inlineStr">
        <is>
          <t>Yes</t>
        </is>
      </c>
      <c r="M2190" s="4" t="inlineStr">
        <is>
          <t>When feeling nothing is everything. The lululemon Align™ collection is so weightless and buttery soft, all you feel is your practice.</t>
        </is>
      </c>
      <c r="N2190" s="4" t="inlineStr">
        <is>
          <t>Align-Pant-Full-Length-28</t>
        </is>
      </c>
      <c r="O2190" s="4" t="inlineStr"/>
    </row>
    <row r="2191" ht="80" customHeight="1">
      <c r="A2191" s="7">
        <f>IMAGE("https://images.lululemon.com/is/image/lululemon/LW5DITS_0001_1?wid=320&amp;op_usm=0.8",1)</f>
        <v/>
      </c>
      <c r="B2191" s="7" t="inlineStr">
        <is>
          <t>lululemon Align™ High-Rise Pant 28"</t>
        </is>
      </c>
      <c r="C2191" s="7" t="inlineStr">
        <is>
          <t>143486035</t>
        </is>
      </c>
      <c r="D2191" s="7" t="inlineStr">
        <is>
          <t>143486035-black</t>
        </is>
      </c>
      <c r="E2191" s="7" t="inlineStr">
        <is>
          <t>lululemon Align™ HR Pant 28" BLK 0</t>
        </is>
      </c>
      <c r="F2191" s="7" t="inlineStr">
        <is>
          <t>$98.00</t>
        </is>
      </c>
      <c r="G2191" s="7" t="inlineStr">
        <is>
          <t>$49.00</t>
        </is>
      </c>
      <c r="H2191" s="7" t="inlineStr">
        <is>
          <t>Black</t>
        </is>
      </c>
      <c r="I2191" s="7">
        <f>IMAGE("https://images.lululemon.com/is/image/lululemon/0001",1)</f>
        <v/>
      </c>
      <c r="J2191" s="7" t="inlineStr">
        <is>
          <t>18</t>
        </is>
      </c>
      <c r="K2191" s="7" t="inlineStr">
        <is>
          <t>45/8705</t>
        </is>
      </c>
      <c r="L2191" s="7" t="inlineStr">
        <is>
          <t>Yes</t>
        </is>
      </c>
      <c r="M2191" s="7" t="inlineStr">
        <is>
          <t>When feeling nothing is everything. The lululemon Align™ collection is so weightless and buttery soft, all you feel is your practice.</t>
        </is>
      </c>
      <c r="N2191" s="7" t="inlineStr">
        <is>
          <t>Align-Pant-Full-Length-28</t>
        </is>
      </c>
      <c r="O2191" s="7" t="inlineStr"/>
    </row>
    <row r="2192" ht="80" customHeight="1">
      <c r="A2192" s="4">
        <f>IMAGE("https://images.lululemon.com/is/image/lululemon/LW5DITS_0001_1?wid=320&amp;op_usm=0.8",1)</f>
        <v/>
      </c>
      <c r="B2192" s="4" t="inlineStr">
        <is>
          <t>lululemon Align™ High-Rise Pant 28"</t>
        </is>
      </c>
      <c r="C2192" s="4" t="inlineStr">
        <is>
          <t>143486059</t>
        </is>
      </c>
      <c r="D2192" s="4" t="inlineStr">
        <is>
          <t>143486059-black</t>
        </is>
      </c>
      <c r="E2192" s="4" t="inlineStr">
        <is>
          <t>lululemon Align™ HR Pant 28" BLK 0</t>
        </is>
      </c>
      <c r="F2192" s="4" t="inlineStr">
        <is>
          <t>$98.00</t>
        </is>
      </c>
      <c r="G2192" s="4" t="inlineStr">
        <is>
          <t>$49.00</t>
        </is>
      </c>
      <c r="H2192" s="4" t="inlineStr">
        <is>
          <t>Black</t>
        </is>
      </c>
      <c r="I2192" s="4">
        <f>IMAGE("https://images.lululemon.com/is/image/lululemon/0001",1)</f>
        <v/>
      </c>
      <c r="J2192" s="4" t="inlineStr">
        <is>
          <t>20</t>
        </is>
      </c>
      <c r="K2192" s="4" t="inlineStr">
        <is>
          <t>40/8705</t>
        </is>
      </c>
      <c r="L2192" s="4" t="inlineStr">
        <is>
          <t>Yes</t>
        </is>
      </c>
      <c r="M2192" s="4" t="inlineStr">
        <is>
          <t>When feeling nothing is everything. The lululemon Align™ collection is so weightless and buttery soft, all you feel is your practice.</t>
        </is>
      </c>
      <c r="N2192" s="4" t="inlineStr">
        <is>
          <t>Align-Pant-Full-Length-28</t>
        </is>
      </c>
      <c r="O2192" s="4" t="inlineStr"/>
    </row>
    <row r="2193" ht="80" customHeight="1">
      <c r="A2193" s="7">
        <f>IMAGE("https://images.lululemon.com/is/image/lululemon/LW5DITS_0001_1?wid=320&amp;op_usm=0.8",1)</f>
        <v/>
      </c>
      <c r="B2193" s="7" t="inlineStr">
        <is>
          <t>lululemon Align™ High-Rise Pant 28"</t>
        </is>
      </c>
      <c r="C2193" s="7" t="inlineStr">
        <is>
          <t>158095546</t>
        </is>
      </c>
      <c r="D2193" s="7" t="inlineStr">
        <is>
          <t>158095546-grapemist</t>
        </is>
      </c>
      <c r="E2193" s="7" t="inlineStr">
        <is>
          <t>lululemon Align™ HR Pant 28" BLK 0</t>
        </is>
      </c>
      <c r="F2193" s="7" t="inlineStr">
        <is>
          <t>$98.00</t>
        </is>
      </c>
      <c r="G2193" s="7" t="inlineStr">
        <is>
          <t>$49.00</t>
        </is>
      </c>
      <c r="H2193" s="7" t="inlineStr">
        <is>
          <t>Grape Mist</t>
        </is>
      </c>
      <c r="I2193" s="7">
        <f>IMAGE("https://images.lululemon.com/is/image/lululemon/0554",1)</f>
        <v/>
      </c>
      <c r="J2193" s="7" t="inlineStr">
        <is>
          <t>0</t>
        </is>
      </c>
      <c r="K2193" s="7" t="inlineStr">
        <is>
          <t>2/8705</t>
        </is>
      </c>
      <c r="L2193" s="7" t="inlineStr">
        <is>
          <t>Yes</t>
        </is>
      </c>
      <c r="M2193" s="7" t="inlineStr">
        <is>
          <t>When feeling nothing is everything. The lululemon Align™ collection is so weightless and buttery soft, all you feel is your practice.</t>
        </is>
      </c>
      <c r="N2193" s="7" t="inlineStr">
        <is>
          <t>Align-Pant-Full-Length-28</t>
        </is>
      </c>
      <c r="O2193" s="7" t="inlineStr"/>
    </row>
    <row r="2194" ht="80" customHeight="1">
      <c r="A2194" s="4">
        <f>IMAGE("https://images.lululemon.com/is/image/lululemon/LW5DITS_0001_1?wid=320&amp;op_usm=0.8",1)</f>
        <v/>
      </c>
      <c r="B2194" s="4" t="inlineStr">
        <is>
          <t>lululemon Align™ High-Rise Pant 28"</t>
        </is>
      </c>
      <c r="C2194" s="4" t="inlineStr">
        <is>
          <t>158095586</t>
        </is>
      </c>
      <c r="D2194" s="4" t="inlineStr">
        <is>
          <t>158095586-grapemist</t>
        </is>
      </c>
      <c r="E2194" s="4" t="inlineStr">
        <is>
          <t>lululemon Align™ HR Pant 28" BLK 0</t>
        </is>
      </c>
      <c r="F2194" s="4" t="inlineStr">
        <is>
          <t>$98.00</t>
        </is>
      </c>
      <c r="G2194" s="4" t="inlineStr">
        <is>
          <t>$49.00</t>
        </is>
      </c>
      <c r="H2194" s="4" t="inlineStr">
        <is>
          <t>Grape Mist</t>
        </is>
      </c>
      <c r="I2194" s="4">
        <f>IMAGE("https://images.lululemon.com/is/image/lululemon/0554",1)</f>
        <v/>
      </c>
      <c r="J2194" s="4" t="inlineStr">
        <is>
          <t>2</t>
        </is>
      </c>
      <c r="K2194" s="4" t="inlineStr">
        <is>
          <t>2/8705</t>
        </is>
      </c>
      <c r="L2194" s="4" t="inlineStr">
        <is>
          <t>Yes</t>
        </is>
      </c>
      <c r="M2194" s="4" t="inlineStr">
        <is>
          <t>When feeling nothing is everything. The lululemon Align™ collection is so weightless and buttery soft, all you feel is your practice.</t>
        </is>
      </c>
      <c r="N2194" s="4" t="inlineStr">
        <is>
          <t>Align-Pant-Full-Length-28</t>
        </is>
      </c>
      <c r="O2194" s="4" t="inlineStr"/>
    </row>
    <row r="2195" ht="80" customHeight="1">
      <c r="A2195" s="7">
        <f>IMAGE("https://images.lululemon.com/is/image/lululemon/LW5DITS_0001_1?wid=320&amp;op_usm=0.8",1)</f>
        <v/>
      </c>
      <c r="B2195" s="7" t="inlineStr">
        <is>
          <t>lululemon Align™ High-Rise Pant 28"</t>
        </is>
      </c>
      <c r="C2195" s="7" t="inlineStr">
        <is>
          <t>158095599</t>
        </is>
      </c>
      <c r="D2195" s="7" t="inlineStr">
        <is>
          <t>158095599-grapemist</t>
        </is>
      </c>
      <c r="E2195" s="7" t="inlineStr">
        <is>
          <t>lululemon Align™ HR Pant 28" BLK 0</t>
        </is>
      </c>
      <c r="F2195" s="7" t="inlineStr">
        <is>
          <t>$98.00</t>
        </is>
      </c>
      <c r="G2195" s="7" t="inlineStr">
        <is>
          <t>$49.00</t>
        </is>
      </c>
      <c r="H2195" s="7" t="inlineStr">
        <is>
          <t>Grape Mist</t>
        </is>
      </c>
      <c r="I2195" s="7">
        <f>IMAGE("https://images.lululemon.com/is/image/lululemon/0554",1)</f>
        <v/>
      </c>
      <c r="J2195" s="7" t="inlineStr">
        <is>
          <t>4</t>
        </is>
      </c>
      <c r="K2195" s="7" t="inlineStr">
        <is>
          <t>4/8705</t>
        </is>
      </c>
      <c r="L2195" s="7" t="inlineStr">
        <is>
          <t>Yes</t>
        </is>
      </c>
      <c r="M2195" s="7" t="inlineStr">
        <is>
          <t>When feeling nothing is everything. The lululemon Align™ collection is so weightless and buttery soft, all you feel is your practice.</t>
        </is>
      </c>
      <c r="N2195" s="7" t="inlineStr">
        <is>
          <t>Align-Pant-Full-Length-28</t>
        </is>
      </c>
      <c r="O2195" s="7" t="inlineStr"/>
    </row>
    <row r="2196" ht="80" customHeight="1">
      <c r="A2196" s="4">
        <f>IMAGE("https://images.lululemon.com/is/image/lululemon/LW5DITS_0001_1?wid=320&amp;op_usm=0.8",1)</f>
        <v/>
      </c>
      <c r="B2196" s="4" t="inlineStr">
        <is>
          <t>lululemon Align™ High-Rise Pant 28"</t>
        </is>
      </c>
      <c r="C2196" s="4" t="inlineStr">
        <is>
          <t>158095606</t>
        </is>
      </c>
      <c r="D2196" s="4" t="inlineStr">
        <is>
          <t>158095606-grapemist</t>
        </is>
      </c>
      <c r="E2196" s="4" t="inlineStr">
        <is>
          <t>lululemon Align™ HR Pant 28" BLK 0</t>
        </is>
      </c>
      <c r="F2196" s="4" t="inlineStr">
        <is>
          <t>$98.00</t>
        </is>
      </c>
      <c r="G2196" s="4" t="inlineStr">
        <is>
          <t>$49.00</t>
        </is>
      </c>
      <c r="H2196" s="4" t="inlineStr">
        <is>
          <t>Grape Mist</t>
        </is>
      </c>
      <c r="I2196" s="4">
        <f>IMAGE("https://images.lululemon.com/is/image/lululemon/0554",1)</f>
        <v/>
      </c>
      <c r="J2196" s="4" t="inlineStr">
        <is>
          <t>6</t>
        </is>
      </c>
      <c r="K2196" s="4" t="inlineStr">
        <is>
          <t>8/8705</t>
        </is>
      </c>
      <c r="L2196" s="4" t="inlineStr">
        <is>
          <t>Yes</t>
        </is>
      </c>
      <c r="M2196" s="4" t="inlineStr">
        <is>
          <t>When feeling nothing is everything. The lululemon Align™ collection is so weightless and buttery soft, all you feel is your practice.</t>
        </is>
      </c>
      <c r="N2196" s="4" t="inlineStr">
        <is>
          <t>Align-Pant-Full-Length-28</t>
        </is>
      </c>
      <c r="O2196" s="4" t="inlineStr"/>
    </row>
    <row r="2197" ht="80" customHeight="1">
      <c r="A2197" s="7">
        <f>IMAGE("https://images.lululemon.com/is/image/lululemon/LW5DITS_0001_1?wid=320&amp;op_usm=0.8",1)</f>
        <v/>
      </c>
      <c r="B2197" s="7" t="inlineStr">
        <is>
          <t>lululemon Align™ High-Rise Pant 28"</t>
        </is>
      </c>
      <c r="C2197" s="7" t="inlineStr">
        <is>
          <t>158095614</t>
        </is>
      </c>
      <c r="D2197" s="7" t="inlineStr">
        <is>
          <t>158095614-grapemist</t>
        </is>
      </c>
      <c r="E2197" s="7" t="inlineStr">
        <is>
          <t>lululemon Align™ HR Pant 28" BLK 0</t>
        </is>
      </c>
      <c r="F2197" s="7" t="inlineStr">
        <is>
          <t>$98.00</t>
        </is>
      </c>
      <c r="G2197" s="7" t="inlineStr">
        <is>
          <t>$49.00</t>
        </is>
      </c>
      <c r="H2197" s="7" t="inlineStr">
        <is>
          <t>Grape Mist</t>
        </is>
      </c>
      <c r="I2197" s="7">
        <f>IMAGE("https://images.lululemon.com/is/image/lululemon/0554",1)</f>
        <v/>
      </c>
      <c r="J2197" s="7" t="inlineStr">
        <is>
          <t>8</t>
        </is>
      </c>
      <c r="K2197" s="7" t="inlineStr">
        <is>
          <t>12/8705</t>
        </is>
      </c>
      <c r="L2197" s="7" t="inlineStr">
        <is>
          <t>Yes</t>
        </is>
      </c>
      <c r="M2197" s="7" t="inlineStr">
        <is>
          <t>When feeling nothing is everything. The lululemon Align™ collection is so weightless and buttery soft, all you feel is your practice.</t>
        </is>
      </c>
      <c r="N2197" s="7" t="inlineStr">
        <is>
          <t>Align-Pant-Full-Length-28</t>
        </is>
      </c>
      <c r="O2197" s="7" t="inlineStr"/>
    </row>
    <row r="2198" ht="80" customHeight="1">
      <c r="A2198" s="4">
        <f>IMAGE("https://images.lululemon.com/is/image/lululemon/LW5DITS_0001_1?wid=320&amp;op_usm=0.8",1)</f>
        <v/>
      </c>
      <c r="B2198" s="4" t="inlineStr">
        <is>
          <t>lululemon Align™ High-Rise Pant 28"</t>
        </is>
      </c>
      <c r="C2198" s="4" t="inlineStr">
        <is>
          <t>158095552</t>
        </is>
      </c>
      <c r="D2198" s="4" t="inlineStr">
        <is>
          <t>158095552-grapemist</t>
        </is>
      </c>
      <c r="E2198" s="4" t="inlineStr">
        <is>
          <t>lululemon Align™ HR Pant 28" BLK 0</t>
        </is>
      </c>
      <c r="F2198" s="4" t="inlineStr">
        <is>
          <t>$98.00</t>
        </is>
      </c>
      <c r="G2198" s="4" t="inlineStr">
        <is>
          <t>$49.00</t>
        </is>
      </c>
      <c r="H2198" s="4" t="inlineStr">
        <is>
          <t>Grape Mist</t>
        </is>
      </c>
      <c r="I2198" s="4">
        <f>IMAGE("https://images.lululemon.com/is/image/lululemon/0554",1)</f>
        <v/>
      </c>
      <c r="J2198" s="4" t="inlineStr">
        <is>
          <t>10</t>
        </is>
      </c>
      <c r="K2198" s="4" t="inlineStr">
        <is>
          <t>24/8705</t>
        </is>
      </c>
      <c r="L2198" s="4" t="inlineStr">
        <is>
          <t>Yes</t>
        </is>
      </c>
      <c r="M2198" s="4" t="inlineStr">
        <is>
          <t>When feeling nothing is everything. The lululemon Align™ collection is so weightless and buttery soft, all you feel is your practice.</t>
        </is>
      </c>
      <c r="N2198" s="4" t="inlineStr">
        <is>
          <t>Align-Pant-Full-Length-28</t>
        </is>
      </c>
      <c r="O2198" s="4" t="inlineStr"/>
    </row>
    <row r="2199" ht="80" customHeight="1">
      <c r="A2199" s="7">
        <f>IMAGE("https://images.lululemon.com/is/image/lululemon/LW5DITS_0001_1?wid=320&amp;op_usm=0.8",1)</f>
        <v/>
      </c>
      <c r="B2199" s="7" t="inlineStr">
        <is>
          <t>lululemon Align™ High-Rise Pant 28"</t>
        </is>
      </c>
      <c r="C2199" s="7" t="inlineStr">
        <is>
          <t>158095559</t>
        </is>
      </c>
      <c r="D2199" s="7" t="inlineStr">
        <is>
          <t>158095559-grapemist</t>
        </is>
      </c>
      <c r="E2199" s="7" t="inlineStr">
        <is>
          <t>lululemon Align™ HR Pant 28" BLK 0</t>
        </is>
      </c>
      <c r="F2199" s="7" t="inlineStr">
        <is>
          <t>$98.00</t>
        </is>
      </c>
      <c r="G2199" s="7" t="inlineStr">
        <is>
          <t>$49.00</t>
        </is>
      </c>
      <c r="H2199" s="7" t="inlineStr">
        <is>
          <t>Grape Mist</t>
        </is>
      </c>
      <c r="I2199" s="7">
        <f>IMAGE("https://images.lululemon.com/is/image/lululemon/0554",1)</f>
        <v/>
      </c>
      <c r="J2199" s="7" t="inlineStr">
        <is>
          <t>12</t>
        </is>
      </c>
      <c r="K2199" s="7" t="inlineStr">
        <is>
          <t>24/8705</t>
        </is>
      </c>
      <c r="L2199" s="7" t="inlineStr">
        <is>
          <t>Yes</t>
        </is>
      </c>
      <c r="M2199" s="7" t="inlineStr">
        <is>
          <t>When feeling nothing is everything. The lululemon Align™ collection is so weightless and buttery soft, all you feel is your practice.</t>
        </is>
      </c>
      <c r="N2199" s="7" t="inlineStr">
        <is>
          <t>Align-Pant-Full-Length-28</t>
        </is>
      </c>
      <c r="O2199" s="7" t="inlineStr"/>
    </row>
    <row r="2200" ht="80" customHeight="1">
      <c r="A2200" s="4">
        <f>IMAGE("https://images.lululemon.com/is/image/lululemon/LW5DITS_0001_1?wid=320&amp;op_usm=0.8",1)</f>
        <v/>
      </c>
      <c r="B2200" s="4" t="inlineStr">
        <is>
          <t>lululemon Align™ High-Rise Pant 28"</t>
        </is>
      </c>
      <c r="C2200" s="4" t="inlineStr">
        <is>
          <t>158095567</t>
        </is>
      </c>
      <c r="D2200" s="4" t="inlineStr">
        <is>
          <t>158095567-grapemist</t>
        </is>
      </c>
      <c r="E2200" s="4" t="inlineStr">
        <is>
          <t>lululemon Align™ HR Pant 28" BLK 0</t>
        </is>
      </c>
      <c r="F2200" s="4" t="inlineStr">
        <is>
          <t>$98.00</t>
        </is>
      </c>
      <c r="G2200" s="4" t="inlineStr">
        <is>
          <t>$49.00</t>
        </is>
      </c>
      <c r="H2200" s="4" t="inlineStr">
        <is>
          <t>Grape Mist</t>
        </is>
      </c>
      <c r="I2200" s="4">
        <f>IMAGE("https://images.lululemon.com/is/image/lululemon/0554",1)</f>
        <v/>
      </c>
      <c r="J2200" s="4" t="inlineStr">
        <is>
          <t>14</t>
        </is>
      </c>
      <c r="K2200" s="4" t="inlineStr">
        <is>
          <t>12/8705</t>
        </is>
      </c>
      <c r="L2200" s="4" t="inlineStr">
        <is>
          <t>Yes</t>
        </is>
      </c>
      <c r="M2200" s="4" t="inlineStr">
        <is>
          <t>When feeling nothing is everything. The lululemon Align™ collection is so weightless and buttery soft, all you feel is your practice.</t>
        </is>
      </c>
      <c r="N2200" s="4" t="inlineStr">
        <is>
          <t>Align-Pant-Full-Length-28</t>
        </is>
      </c>
      <c r="O2200" s="4" t="inlineStr"/>
    </row>
    <row r="2201" ht="80" customHeight="1">
      <c r="A2201" s="7">
        <f>IMAGE("https://images.lululemon.com/is/image/lululemon/LW5DITS_0001_1?wid=320&amp;op_usm=0.8",1)</f>
        <v/>
      </c>
      <c r="B2201" s="7" t="inlineStr">
        <is>
          <t>lululemon Align™ High-Rise Pant 28"</t>
        </is>
      </c>
      <c r="C2201" s="7" t="inlineStr">
        <is>
          <t>158095573</t>
        </is>
      </c>
      <c r="D2201" s="7" t="inlineStr">
        <is>
          <t>158095573-grapemist</t>
        </is>
      </c>
      <c r="E2201" s="7" t="inlineStr">
        <is>
          <t>lululemon Align™ HR Pant 28" BLK 0</t>
        </is>
      </c>
      <c r="F2201" s="7" t="inlineStr">
        <is>
          <t>$98.00</t>
        </is>
      </c>
      <c r="G2201" s="7" t="inlineStr">
        <is>
          <t>$49.00</t>
        </is>
      </c>
      <c r="H2201" s="7" t="inlineStr">
        <is>
          <t>Grape Mist</t>
        </is>
      </c>
      <c r="I2201" s="7">
        <f>IMAGE("https://images.lululemon.com/is/image/lululemon/0554",1)</f>
        <v/>
      </c>
      <c r="J2201" s="7" t="inlineStr">
        <is>
          <t>16</t>
        </is>
      </c>
      <c r="K2201" s="7" t="inlineStr">
        <is>
          <t>4/8705</t>
        </is>
      </c>
      <c r="L2201" s="7" t="inlineStr">
        <is>
          <t>Yes</t>
        </is>
      </c>
      <c r="M2201" s="7" t="inlineStr">
        <is>
          <t>When feeling nothing is everything. The lululemon Align™ collection is so weightless and buttery soft, all you feel is your practice.</t>
        </is>
      </c>
      <c r="N2201" s="7" t="inlineStr">
        <is>
          <t>Align-Pant-Full-Length-28</t>
        </is>
      </c>
      <c r="O2201" s="7" t="inlineStr"/>
    </row>
    <row r="2202" ht="80" customHeight="1">
      <c r="A2202" s="4">
        <f>IMAGE("https://images.lululemon.com/is/image/lululemon/LW5DITS_0001_1?wid=320&amp;op_usm=0.8",1)</f>
        <v/>
      </c>
      <c r="B2202" s="4" t="inlineStr">
        <is>
          <t>lululemon Align™ High-Rise Pant 28"</t>
        </is>
      </c>
      <c r="C2202" s="4" t="inlineStr">
        <is>
          <t>158095580</t>
        </is>
      </c>
      <c r="D2202" s="4" t="inlineStr">
        <is>
          <t>158095580-grapemist</t>
        </is>
      </c>
      <c r="E2202" s="4" t="inlineStr">
        <is>
          <t>lululemon Align™ HR Pant 28" BLK 0</t>
        </is>
      </c>
      <c r="F2202" s="4" t="inlineStr">
        <is>
          <t>$98.00</t>
        </is>
      </c>
      <c r="G2202" s="4" t="inlineStr">
        <is>
          <t>$49.00</t>
        </is>
      </c>
      <c r="H2202" s="4" t="inlineStr">
        <is>
          <t>Grape Mist</t>
        </is>
      </c>
      <c r="I2202" s="4">
        <f>IMAGE("https://images.lululemon.com/is/image/lululemon/0554",1)</f>
        <v/>
      </c>
      <c r="J2202" s="4" t="inlineStr">
        <is>
          <t>18</t>
        </is>
      </c>
      <c r="K2202" s="4" t="inlineStr">
        <is>
          <t>2/8705</t>
        </is>
      </c>
      <c r="L2202" s="4" t="inlineStr">
        <is>
          <t>Yes</t>
        </is>
      </c>
      <c r="M2202" s="4" t="inlineStr">
        <is>
          <t>When feeling nothing is everything. The lululemon Align™ collection is so weightless and buttery soft, all you feel is your practice.</t>
        </is>
      </c>
      <c r="N2202" s="4" t="inlineStr">
        <is>
          <t>Align-Pant-Full-Length-28</t>
        </is>
      </c>
      <c r="O2202" s="4" t="inlineStr"/>
    </row>
    <row r="2203" ht="80" customHeight="1">
      <c r="A2203" s="7">
        <f>IMAGE("https://images.lululemon.com/is/image/lululemon/LW5DITS_0001_1?wid=320&amp;op_usm=0.8",1)</f>
        <v/>
      </c>
      <c r="B2203" s="7" t="inlineStr">
        <is>
          <t>lululemon Align™ High-Rise Pant 28"</t>
        </is>
      </c>
      <c r="C2203" s="7" t="inlineStr">
        <is>
          <t>158095592</t>
        </is>
      </c>
      <c r="D2203" s="7" t="inlineStr">
        <is>
          <t>158095592-grapemist</t>
        </is>
      </c>
      <c r="E2203" s="7" t="inlineStr">
        <is>
          <t>lululemon Align™ HR Pant 28" BLK 0</t>
        </is>
      </c>
      <c r="F2203" s="7" t="inlineStr">
        <is>
          <t>$98.00</t>
        </is>
      </c>
      <c r="G2203" s="7" t="inlineStr">
        <is>
          <t>$49.00</t>
        </is>
      </c>
      <c r="H2203" s="7" t="inlineStr">
        <is>
          <t>Grape Mist</t>
        </is>
      </c>
      <c r="I2203" s="7">
        <f>IMAGE("https://images.lululemon.com/is/image/lululemon/0554",1)</f>
        <v/>
      </c>
      <c r="J2203" s="7" t="inlineStr">
        <is>
          <t>20</t>
        </is>
      </c>
      <c r="K2203" s="7" t="inlineStr">
        <is>
          <t>2/8705</t>
        </is>
      </c>
      <c r="L2203" s="7" t="inlineStr">
        <is>
          <t>Yes</t>
        </is>
      </c>
      <c r="M2203" s="7" t="inlineStr">
        <is>
          <t>When feeling nothing is everything. The lululemon Align™ collection is so weightless and buttery soft, all you feel is your practice.</t>
        </is>
      </c>
      <c r="N2203" s="7" t="inlineStr">
        <is>
          <t>Align-Pant-Full-Length-28</t>
        </is>
      </c>
      <c r="O2203" s="7" t="inlineStr"/>
    </row>
    <row r="2204" ht="80" customHeight="1">
      <c r="A2204" s="4">
        <f>IMAGE("https://images.lululemon.com/is/image/lululemon/LW5DITS_0001_1?wid=320&amp;op_usm=0.8",1)</f>
        <v/>
      </c>
      <c r="B2204" s="4" t="inlineStr">
        <is>
          <t>lululemon Align™ High-Rise Pant 28"</t>
        </is>
      </c>
      <c r="C2204" s="4" t="inlineStr">
        <is>
          <t>157689009</t>
        </is>
      </c>
      <c r="D2204" s="4" t="inlineStr">
        <is>
          <t>157689009-rainforestgreen</t>
        </is>
      </c>
      <c r="E2204" s="4" t="inlineStr">
        <is>
          <t>lululemon Align™ HR Pant 28" BLK 0</t>
        </is>
      </c>
      <c r="F2204" s="4" t="inlineStr">
        <is>
          <t>$98.00</t>
        </is>
      </c>
      <c r="G2204" s="4" t="inlineStr">
        <is>
          <t>$49.00</t>
        </is>
      </c>
      <c r="H2204" s="4" t="inlineStr">
        <is>
          <t>Rainforest Green</t>
        </is>
      </c>
      <c r="I2204" s="4">
        <f>IMAGE("https://images.lululemon.com/is/image/lululemon/49106",1)</f>
        <v/>
      </c>
      <c r="J2204" s="4" t="inlineStr">
        <is>
          <t>2</t>
        </is>
      </c>
      <c r="K2204" s="4" t="inlineStr">
        <is>
          <t>26/8705</t>
        </is>
      </c>
      <c r="L2204" s="4" t="inlineStr">
        <is>
          <t>Yes</t>
        </is>
      </c>
      <c r="M2204" s="4" t="inlineStr">
        <is>
          <t>When feeling nothing is everything. The lululemon Align™ collection is so weightless and buttery soft, all you feel is your practice.</t>
        </is>
      </c>
      <c r="N2204" s="4" t="inlineStr">
        <is>
          <t>Align-Pant-Full-Length-28</t>
        </is>
      </c>
      <c r="O2204" s="4" t="inlineStr"/>
    </row>
    <row r="2205" ht="80" customHeight="1">
      <c r="A2205" s="7">
        <f>IMAGE("https://images.lululemon.com/is/image/lululemon/LW5DITS_0001_1?wid=320&amp;op_usm=0.8",1)</f>
        <v/>
      </c>
      <c r="B2205" s="7" t="inlineStr">
        <is>
          <t>lululemon Align™ High-Rise Pant 28"</t>
        </is>
      </c>
      <c r="C2205" s="7" t="inlineStr">
        <is>
          <t>157688984</t>
        </is>
      </c>
      <c r="D2205" s="7" t="inlineStr">
        <is>
          <t>157688984-rainforestgreen</t>
        </is>
      </c>
      <c r="E2205" s="7" t="inlineStr">
        <is>
          <t>lululemon Align™ HR Pant 28" BLK 0</t>
        </is>
      </c>
      <c r="F2205" s="7" t="inlineStr">
        <is>
          <t>$98.00</t>
        </is>
      </c>
      <c r="G2205" s="7" t="inlineStr">
        <is>
          <t>$49.00</t>
        </is>
      </c>
      <c r="H2205" s="7" t="inlineStr">
        <is>
          <t>Rainforest Green</t>
        </is>
      </c>
      <c r="I2205" s="7">
        <f>IMAGE("https://images.lululemon.com/is/image/lululemon/49106",1)</f>
        <v/>
      </c>
      <c r="J2205" s="7" t="inlineStr">
        <is>
          <t>10</t>
        </is>
      </c>
      <c r="K2205" s="7" t="inlineStr">
        <is>
          <t>9/8705</t>
        </is>
      </c>
      <c r="L2205" s="7" t="inlineStr">
        <is>
          <t>Yes</t>
        </is>
      </c>
      <c r="M2205" s="7" t="inlineStr">
        <is>
          <t>When feeling nothing is everything. The lululemon Align™ collection is so weightless and buttery soft, all you feel is your practice.</t>
        </is>
      </c>
      <c r="N2205" s="7" t="inlineStr">
        <is>
          <t>Align-Pant-Full-Length-28</t>
        </is>
      </c>
      <c r="O2205" s="7" t="inlineStr"/>
    </row>
    <row r="2206" ht="80" customHeight="1">
      <c r="A2206" s="4">
        <f>IMAGE("https://images.lululemon.com/is/image/lululemon/LW5DITS_0001_1?wid=320&amp;op_usm=0.8",1)</f>
        <v/>
      </c>
      <c r="B2206" s="4" t="inlineStr">
        <is>
          <t>lululemon Align™ High-Rise Pant 28"</t>
        </is>
      </c>
      <c r="C2206" s="4" t="inlineStr">
        <is>
          <t>157688991</t>
        </is>
      </c>
      <c r="D2206" s="4" t="inlineStr">
        <is>
          <t>157688991-rainforestgreen</t>
        </is>
      </c>
      <c r="E2206" s="4" t="inlineStr">
        <is>
          <t>lululemon Align™ HR Pant 28" BLK 0</t>
        </is>
      </c>
      <c r="F2206" s="4" t="inlineStr">
        <is>
          <t>$98.00</t>
        </is>
      </c>
      <c r="G2206" s="4" t="inlineStr">
        <is>
          <t>$49.00</t>
        </is>
      </c>
      <c r="H2206" s="4" t="inlineStr">
        <is>
          <t>Rainforest Green</t>
        </is>
      </c>
      <c r="I2206" s="4">
        <f>IMAGE("https://images.lululemon.com/is/image/lululemon/49106",1)</f>
        <v/>
      </c>
      <c r="J2206" s="4" t="inlineStr">
        <is>
          <t>12</t>
        </is>
      </c>
      <c r="K2206" s="4" t="inlineStr">
        <is>
          <t>12/8705</t>
        </is>
      </c>
      <c r="L2206" s="4" t="inlineStr">
        <is>
          <t>Yes</t>
        </is>
      </c>
      <c r="M2206" s="4" t="inlineStr">
        <is>
          <t>When feeling nothing is everything. The lululemon Align™ collection is so weightless and buttery soft, all you feel is your practice.</t>
        </is>
      </c>
      <c r="N2206" s="4" t="inlineStr">
        <is>
          <t>Align-Pant-Full-Length-28</t>
        </is>
      </c>
      <c r="O2206" s="4" t="inlineStr"/>
    </row>
    <row r="2207" ht="80" customHeight="1">
      <c r="A2207" s="7">
        <f>IMAGE("https://images.lululemon.com/is/image/lululemon/LW5DITS_0001_1?wid=320&amp;op_usm=0.8",1)</f>
        <v/>
      </c>
      <c r="B2207" s="7" t="inlineStr">
        <is>
          <t>lululemon Align™ High-Rise Pant 28"</t>
        </is>
      </c>
      <c r="C2207" s="7" t="inlineStr">
        <is>
          <t>158098358</t>
        </is>
      </c>
      <c r="D2207" s="7" t="inlineStr">
        <is>
          <t>158098358-indochineblue</t>
        </is>
      </c>
      <c r="E2207" s="7" t="inlineStr">
        <is>
          <t>lululemon Align™ HR Pant 28" BLK 0</t>
        </is>
      </c>
      <c r="F2207" s="7" t="inlineStr">
        <is>
          <t>$98.00</t>
        </is>
      </c>
      <c r="G2207" s="7" t="inlineStr">
        <is>
          <t>$49.00</t>
        </is>
      </c>
      <c r="H2207" s="7" t="inlineStr">
        <is>
          <t>Indochine Blue</t>
        </is>
      </c>
      <c r="I2207" s="7">
        <f>IMAGE("https://images.lululemon.com/is/image/lululemon/28022",1)</f>
        <v/>
      </c>
      <c r="J2207" s="7" t="inlineStr">
        <is>
          <t>2</t>
        </is>
      </c>
      <c r="K2207" s="7" t="inlineStr">
        <is>
          <t>123/8705</t>
        </is>
      </c>
      <c r="L2207" s="7" t="inlineStr">
        <is>
          <t>Yes</t>
        </is>
      </c>
      <c r="M2207" s="7" t="inlineStr">
        <is>
          <t>When feeling nothing is everything. The lululemon Align™ collection is so weightless and buttery soft, all you feel is your practice.</t>
        </is>
      </c>
      <c r="N2207" s="7" t="inlineStr">
        <is>
          <t>Align-Pant-Full-Length-28</t>
        </is>
      </c>
      <c r="O2207" s="7" t="inlineStr"/>
    </row>
    <row r="2208" ht="80" customHeight="1">
      <c r="A2208" s="4">
        <f>IMAGE("https://images.lululemon.com/is/image/lululemon/LW5DITS_0001_1?wid=320&amp;op_usm=0.8",1)</f>
        <v/>
      </c>
      <c r="B2208" s="4" t="inlineStr">
        <is>
          <t>lululemon Align™ High-Rise Pant 28"</t>
        </is>
      </c>
      <c r="C2208" s="4" t="inlineStr">
        <is>
          <t>158098374</t>
        </is>
      </c>
      <c r="D2208" s="4" t="inlineStr">
        <is>
          <t>158098374-indochineblue</t>
        </is>
      </c>
      <c r="E2208" s="4" t="inlineStr">
        <is>
          <t>lululemon Align™ HR Pant 28" BLK 0</t>
        </is>
      </c>
      <c r="F2208" s="4" t="inlineStr">
        <is>
          <t>$98.00</t>
        </is>
      </c>
      <c r="G2208" s="4" t="inlineStr">
        <is>
          <t>$49.00</t>
        </is>
      </c>
      <c r="H2208" s="4" t="inlineStr">
        <is>
          <t>Indochine Blue</t>
        </is>
      </c>
      <c r="I2208" s="4">
        <f>IMAGE("https://images.lululemon.com/is/image/lululemon/28022",1)</f>
        <v/>
      </c>
      <c r="J2208" s="4" t="inlineStr">
        <is>
          <t>4</t>
        </is>
      </c>
      <c r="K2208" s="4" t="inlineStr">
        <is>
          <t>221/8705</t>
        </is>
      </c>
      <c r="L2208" s="4" t="inlineStr">
        <is>
          <t>Yes</t>
        </is>
      </c>
      <c r="M2208" s="4" t="inlineStr">
        <is>
          <t>When feeling nothing is everything. The lululemon Align™ collection is so weightless and buttery soft, all you feel is your practice.</t>
        </is>
      </c>
      <c r="N2208" s="4" t="inlineStr">
        <is>
          <t>Align-Pant-Full-Length-28</t>
        </is>
      </c>
      <c r="O2208" s="4" t="inlineStr"/>
    </row>
    <row r="2209" ht="80" customHeight="1">
      <c r="A2209" s="7">
        <f>IMAGE("https://images.lululemon.com/is/image/lululemon/LW5DITS_0001_1?wid=320&amp;op_usm=0.8",1)</f>
        <v/>
      </c>
      <c r="B2209" s="7" t="inlineStr">
        <is>
          <t>lululemon Align™ High-Rise Pant 28"</t>
        </is>
      </c>
      <c r="C2209" s="7" t="inlineStr">
        <is>
          <t>158098380</t>
        </is>
      </c>
      <c r="D2209" s="7" t="inlineStr">
        <is>
          <t>158098380-indochineblue</t>
        </is>
      </c>
      <c r="E2209" s="7" t="inlineStr">
        <is>
          <t>lululemon Align™ HR Pant 28" BLK 0</t>
        </is>
      </c>
      <c r="F2209" s="7" t="inlineStr">
        <is>
          <t>$98.00</t>
        </is>
      </c>
      <c r="G2209" s="7" t="inlineStr">
        <is>
          <t>$49.00</t>
        </is>
      </c>
      <c r="H2209" s="7" t="inlineStr">
        <is>
          <t>Indochine Blue</t>
        </is>
      </c>
      <c r="I2209" s="7">
        <f>IMAGE("https://images.lululemon.com/is/image/lululemon/28022",1)</f>
        <v/>
      </c>
      <c r="J2209" s="7" t="inlineStr">
        <is>
          <t>6</t>
        </is>
      </c>
      <c r="K2209" s="7" t="inlineStr">
        <is>
          <t>225/8705</t>
        </is>
      </c>
      <c r="L2209" s="7" t="inlineStr">
        <is>
          <t>Yes</t>
        </is>
      </c>
      <c r="M2209" s="7" t="inlineStr">
        <is>
          <t>When feeling nothing is everything. The lululemon Align™ collection is so weightless and buttery soft, all you feel is your practice.</t>
        </is>
      </c>
      <c r="N2209" s="7" t="inlineStr">
        <is>
          <t>Align-Pant-Full-Length-28</t>
        </is>
      </c>
      <c r="O2209" s="7" t="inlineStr"/>
    </row>
    <row r="2210" ht="80" customHeight="1">
      <c r="A2210" s="4">
        <f>IMAGE("https://images.lululemon.com/is/image/lululemon/LW5DITS_0001_1?wid=320&amp;op_usm=0.8",1)</f>
        <v/>
      </c>
      <c r="B2210" s="4" t="inlineStr">
        <is>
          <t>lululemon Align™ High-Rise Pant 28"</t>
        </is>
      </c>
      <c r="C2210" s="4" t="inlineStr">
        <is>
          <t>158098388</t>
        </is>
      </c>
      <c r="D2210" s="4" t="inlineStr">
        <is>
          <t>158098388-indochineblue</t>
        </is>
      </c>
      <c r="E2210" s="4" t="inlineStr">
        <is>
          <t>lululemon Align™ HR Pant 28" BLK 0</t>
        </is>
      </c>
      <c r="F2210" s="4" t="inlineStr">
        <is>
          <t>$98.00</t>
        </is>
      </c>
      <c r="G2210" s="4" t="inlineStr">
        <is>
          <t>$49.00</t>
        </is>
      </c>
      <c r="H2210" s="4" t="inlineStr">
        <is>
          <t>Indochine Blue</t>
        </is>
      </c>
      <c r="I2210" s="4">
        <f>IMAGE("https://images.lululemon.com/is/image/lululemon/28022",1)</f>
        <v/>
      </c>
      <c r="J2210" s="4" t="inlineStr">
        <is>
          <t>8</t>
        </is>
      </c>
      <c r="K2210" s="4" t="inlineStr">
        <is>
          <t>195/8705</t>
        </is>
      </c>
      <c r="L2210" s="4" t="inlineStr">
        <is>
          <t>Yes</t>
        </is>
      </c>
      <c r="M2210" s="4" t="inlineStr">
        <is>
          <t>When feeling nothing is everything. The lululemon Align™ collection is so weightless and buttery soft, all you feel is your practice.</t>
        </is>
      </c>
      <c r="N2210" s="4" t="inlineStr">
        <is>
          <t>Align-Pant-Full-Length-28</t>
        </is>
      </c>
      <c r="O2210" s="4" t="inlineStr"/>
    </row>
    <row r="2211" ht="80" customHeight="1">
      <c r="A2211" s="7">
        <f>IMAGE("https://images.lululemon.com/is/image/lululemon/LW5DITS_0001_1?wid=320&amp;op_usm=0.8",1)</f>
        <v/>
      </c>
      <c r="B2211" s="7" t="inlineStr">
        <is>
          <t>lululemon Align™ High-Rise Pant 28"</t>
        </is>
      </c>
      <c r="C2211" s="7" t="inlineStr">
        <is>
          <t>158098315</t>
        </is>
      </c>
      <c r="D2211" s="7" t="inlineStr">
        <is>
          <t>158098315-indochineblue</t>
        </is>
      </c>
      <c r="E2211" s="7" t="inlineStr">
        <is>
          <t>lululemon Align™ HR Pant 28" BLK 0</t>
        </is>
      </c>
      <c r="F2211" s="7" t="inlineStr">
        <is>
          <t>$98.00</t>
        </is>
      </c>
      <c r="G2211" s="7" t="inlineStr">
        <is>
          <t>$49.00</t>
        </is>
      </c>
      <c r="H2211" s="7" t="inlineStr">
        <is>
          <t>Indochine Blue</t>
        </is>
      </c>
      <c r="I2211" s="7">
        <f>IMAGE("https://images.lululemon.com/is/image/lululemon/28022",1)</f>
        <v/>
      </c>
      <c r="J2211" s="7" t="inlineStr">
        <is>
          <t>10</t>
        </is>
      </c>
      <c r="K2211" s="7" t="inlineStr">
        <is>
          <t>118/8705</t>
        </is>
      </c>
      <c r="L2211" s="7" t="inlineStr">
        <is>
          <t>Yes</t>
        </is>
      </c>
      <c r="M2211" s="7" t="inlineStr">
        <is>
          <t>When feeling nothing is everything. The lululemon Align™ collection is so weightless and buttery soft, all you feel is your practice.</t>
        </is>
      </c>
      <c r="N2211" s="7" t="inlineStr">
        <is>
          <t>Align-Pant-Full-Length-28</t>
        </is>
      </c>
      <c r="O2211" s="7" t="inlineStr"/>
    </row>
    <row r="2212" ht="80" customHeight="1">
      <c r="A2212" s="6">
        <f>IMAGE("https://images.lululemon.com/is/image/lululemon/LW5DITS_0001_1?wid=320&amp;op_usm=0.8",1)</f>
        <v/>
      </c>
      <c r="B2212" s="6" t="inlineStr">
        <is>
          <t>lululemon Align™ High-Rise Pant 28"</t>
        </is>
      </c>
      <c r="C2212" s="6" t="inlineStr">
        <is>
          <t>158098326</t>
        </is>
      </c>
      <c r="D2212" s="6" t="inlineStr">
        <is>
          <t>158098326-indochineblue</t>
        </is>
      </c>
      <c r="E2212" s="6" t="inlineStr">
        <is>
          <t>lululemon Align™ HR Pant 28" BLK 0</t>
        </is>
      </c>
      <c r="F2212" s="6" t="inlineStr">
        <is>
          <t>$98.00</t>
        </is>
      </c>
      <c r="G2212" s="6" t="inlineStr">
        <is>
          <t>$49.00</t>
        </is>
      </c>
      <c r="H2212" s="6" t="inlineStr">
        <is>
          <t>Indochine Blue</t>
        </is>
      </c>
      <c r="I2212" s="6">
        <f>IMAGE("https://images.lululemon.com/is/image/lululemon/28022",1)</f>
        <v/>
      </c>
      <c r="J2212" s="6" t="inlineStr">
        <is>
          <t>12</t>
        </is>
      </c>
      <c r="K2212" s="6" t="inlineStr">
        <is>
          <t>51/8705</t>
        </is>
      </c>
      <c r="L2212" s="6" t="inlineStr">
        <is>
          <t>Yes</t>
        </is>
      </c>
      <c r="M2212" s="6" t="inlineStr">
        <is>
          <t>When feeling nothing is everything. The lululemon Align™ collection is so weightless and buttery soft, all you feel is your practice.</t>
        </is>
      </c>
      <c r="N2212" s="6" t="inlineStr">
        <is>
          <t>Align-Pant-Full-Length-28</t>
        </is>
      </c>
      <c r="O2212" s="6" t="inlineStr"/>
    </row>
    <row r="2213" ht="80" customHeight="1">
      <c r="A2213" s="5">
        <f>IMAGE("https://images.lululemon.com/is/image/lululemon/LW9FRRS_0001_1?wid=320&amp;op_usm=0.8",1)</f>
        <v/>
      </c>
      <c r="B2213" s="5" t="inlineStr">
        <is>
          <t>Uplifting Scrunchies *3 Pack</t>
        </is>
      </c>
      <c r="C2213" s="5" t="inlineStr">
        <is>
          <t>154075151</t>
        </is>
      </c>
      <c r="D2213" s="5" t="inlineStr">
        <is>
          <t>154075151-black</t>
        </is>
      </c>
      <c r="E2213" s="5" t="inlineStr">
        <is>
          <t>Uplifting Scrunchies *3 Pack BLK ONE SIZE</t>
        </is>
      </c>
      <c r="F2213" s="5" t="inlineStr">
        <is>
          <t>$24.00</t>
        </is>
      </c>
      <c r="G2213" s="5" t="inlineStr">
        <is>
          <t>$12.00</t>
        </is>
      </c>
      <c r="H2213" s="5" t="inlineStr">
        <is>
          <t>Black</t>
        </is>
      </c>
      <c r="I2213" s="5">
        <f>IMAGE("https://images.lululemon.com/is/image/lululemon/0001",1)</f>
        <v/>
      </c>
      <c r="J2213" s="5" t="inlineStr">
        <is>
          <t>O/S</t>
        </is>
      </c>
      <c r="K2213" s="5" t="inlineStr">
        <is>
          <t>215/215</t>
        </is>
      </c>
      <c r="L2213" s="5" t="inlineStr">
        <is>
          <t>Yes</t>
        </is>
      </c>
      <c r="M2213" s="5" t="inlineStr">
        <is>
          <t>It's scrunch time. These fan favourite scrunchies keep your hair tied tight, stretch after stretch.</t>
        </is>
      </c>
      <c r="N2213" s="5" t="inlineStr">
        <is>
          <t>Uplifting-Scrunchies-3-Pack</t>
        </is>
      </c>
      <c r="O2213" s="5" t="inlineStr">
        <is>
          <t>Scrunchies</t>
        </is>
      </c>
    </row>
    <row r="2214" ht="80" customHeight="1">
      <c r="A2214" s="4">
        <f>IMAGE("https://images.lululemon.com/is/image/lululemon/LU9B35S_0001_1?wid=320&amp;op_usm=0.8",1)</f>
        <v/>
      </c>
      <c r="B2214" s="4" t="inlineStr">
        <is>
          <t>Fast and Free Running Belt</t>
        </is>
      </c>
      <c r="C2214" s="4" t="inlineStr">
        <is>
          <t>155702492</t>
        </is>
      </c>
      <c r="D2214" s="4" t="inlineStr">
        <is>
          <t>155702492-black</t>
        </is>
      </c>
      <c r="E2214" s="4" t="inlineStr">
        <is>
          <t>Fast and Free Run Belt BLK XS/S</t>
        </is>
      </c>
      <c r="F2214" s="4" t="inlineStr">
        <is>
          <t>$44.00</t>
        </is>
      </c>
      <c r="G2214" s="4" t="inlineStr">
        <is>
          <t>$22.00</t>
        </is>
      </c>
      <c r="H2214" s="4" t="inlineStr">
        <is>
          <t>Black</t>
        </is>
      </c>
      <c r="I2214" s="4">
        <f>IMAGE("https://images.lululemon.com/is/image/lululemon/0001",1)</f>
        <v/>
      </c>
      <c r="J2214" s="4" t="inlineStr">
        <is>
          <t>XS/S</t>
        </is>
      </c>
      <c r="K2214" s="4" t="inlineStr">
        <is>
          <t>3/300</t>
        </is>
      </c>
      <c r="L2214" s="4" t="inlineStr">
        <is>
          <t>Yes</t>
        </is>
      </c>
      <c r="M2214" s="4" t="inlineStr">
        <is>
          <t>Free your mind—and your hands. This sleek, distraction-free run belt is lightweight and adjustable with just enough space for run essentials.</t>
        </is>
      </c>
      <c r="N2214" s="4" t="inlineStr">
        <is>
          <t>Fast-and-Free-Run-Belt</t>
        </is>
      </c>
      <c r="O2214" s="4" t="inlineStr">
        <is>
          <t>Belt Bags</t>
        </is>
      </c>
    </row>
    <row r="2215" ht="80" customHeight="1">
      <c r="A2215" s="7">
        <f>IMAGE("https://images.lululemon.com/is/image/lululemon/LU9B35S_0001_1?wid=320&amp;op_usm=0.8",1)</f>
        <v/>
      </c>
      <c r="B2215" s="7" t="inlineStr">
        <is>
          <t>Fast and Free Running Belt</t>
        </is>
      </c>
      <c r="C2215" s="7" t="inlineStr">
        <is>
          <t>155702474</t>
        </is>
      </c>
      <c r="D2215" s="7" t="inlineStr">
        <is>
          <t>155702474-black</t>
        </is>
      </c>
      <c r="E2215" s="7" t="inlineStr">
        <is>
          <t>Fast and Free Run Belt BLK XS/S</t>
        </is>
      </c>
      <c r="F2215" s="7" t="inlineStr">
        <is>
          <t>$44.00</t>
        </is>
      </c>
      <c r="G2215" s="7" t="inlineStr">
        <is>
          <t>$22.00</t>
        </is>
      </c>
      <c r="H2215" s="7" t="inlineStr">
        <is>
          <t>Black</t>
        </is>
      </c>
      <c r="I2215" s="7">
        <f>IMAGE("https://images.lululemon.com/is/image/lululemon/0001",1)</f>
        <v/>
      </c>
      <c r="J2215" s="7" t="inlineStr">
        <is>
          <t>S/M</t>
        </is>
      </c>
      <c r="K2215" s="7" t="inlineStr">
        <is>
          <t>79/300</t>
        </is>
      </c>
      <c r="L2215" s="7" t="inlineStr">
        <is>
          <t>Yes</t>
        </is>
      </c>
      <c r="M2215" s="7" t="inlineStr">
        <is>
          <t>Free your mind—and your hands. This sleek, distraction-free run belt is lightweight and adjustable with just enough space for run essentials.</t>
        </is>
      </c>
      <c r="N2215" s="7" t="inlineStr">
        <is>
          <t>Fast-and-Free-Run-Belt</t>
        </is>
      </c>
      <c r="O2215" s="7" t="inlineStr">
        <is>
          <t>Belt Bags</t>
        </is>
      </c>
    </row>
    <row r="2216" ht="80" customHeight="1">
      <c r="A2216" s="4">
        <f>IMAGE("https://images.lululemon.com/is/image/lululemon/LU9B35S_0001_1?wid=320&amp;op_usm=0.8",1)</f>
        <v/>
      </c>
      <c r="B2216" s="4" t="inlineStr">
        <is>
          <t>Fast and Free Running Belt</t>
        </is>
      </c>
      <c r="C2216" s="4" t="inlineStr">
        <is>
          <t>155702460</t>
        </is>
      </c>
      <c r="D2216" s="4" t="inlineStr">
        <is>
          <t>155702460-black</t>
        </is>
      </c>
      <c r="E2216" s="4" t="inlineStr">
        <is>
          <t>Fast and Free Run Belt BLK XS/S</t>
        </is>
      </c>
      <c r="F2216" s="4" t="inlineStr">
        <is>
          <t>$44.00</t>
        </is>
      </c>
      <c r="G2216" s="4" t="inlineStr">
        <is>
          <t>$22.00</t>
        </is>
      </c>
      <c r="H2216" s="4" t="inlineStr">
        <is>
          <t>Black</t>
        </is>
      </c>
      <c r="I2216" s="4">
        <f>IMAGE("https://images.lululemon.com/is/image/lululemon/0001",1)</f>
        <v/>
      </c>
      <c r="J2216" s="4" t="inlineStr">
        <is>
          <t>L/XL</t>
        </is>
      </c>
      <c r="K2216" s="4" t="inlineStr">
        <is>
          <t>130/300</t>
        </is>
      </c>
      <c r="L2216" s="4" t="inlineStr">
        <is>
          <t>Yes</t>
        </is>
      </c>
      <c r="M2216" s="4" t="inlineStr">
        <is>
          <t>Free your mind—and your hands. This sleek, distraction-free run belt is lightweight and adjustable with just enough space for run essentials.</t>
        </is>
      </c>
      <c r="N2216" s="4" t="inlineStr">
        <is>
          <t>Fast-and-Free-Run-Belt</t>
        </is>
      </c>
      <c r="O2216" s="4" t="inlineStr">
        <is>
          <t>Belt Bags</t>
        </is>
      </c>
    </row>
    <row r="2217" ht="80" customHeight="1">
      <c r="A2217" s="7">
        <f>IMAGE("https://images.lululemon.com/is/image/lululemon/LU9B35S_0001_1?wid=320&amp;op_usm=0.8",1)</f>
        <v/>
      </c>
      <c r="B2217" s="7" t="inlineStr">
        <is>
          <t>Fast and Free Running Belt</t>
        </is>
      </c>
      <c r="C2217" s="7" t="inlineStr">
        <is>
          <t>158023271</t>
        </is>
      </c>
      <c r="D2217" s="7" t="inlineStr">
        <is>
          <t>158023271-jewelledmagenta</t>
        </is>
      </c>
      <c r="E2217" s="7" t="inlineStr">
        <is>
          <t>Fast and Free Run Belt BLK XS/S</t>
        </is>
      </c>
      <c r="F2217" s="7" t="inlineStr">
        <is>
          <t>$44.00</t>
        </is>
      </c>
      <c r="G2217" s="7" t="inlineStr">
        <is>
          <t>$22.00</t>
        </is>
      </c>
      <c r="H2217" s="7" t="inlineStr">
        <is>
          <t>Jewelled Magenta</t>
        </is>
      </c>
      <c r="I2217" s="7">
        <f>IMAGE("https://images.lululemon.com/is/image/lululemon/14336",1)</f>
        <v/>
      </c>
      <c r="J2217" s="7" t="inlineStr">
        <is>
          <t>S/M</t>
        </is>
      </c>
      <c r="K2217" s="7" t="inlineStr">
        <is>
          <t>47/300</t>
        </is>
      </c>
      <c r="L2217" s="7" t="inlineStr">
        <is>
          <t>Yes</t>
        </is>
      </c>
      <c r="M2217" s="7" t="inlineStr">
        <is>
          <t>Free your mind—and your hands. This sleek, distraction-free run belt is lightweight and adjustable with just enough space for run essentials.</t>
        </is>
      </c>
      <c r="N2217" s="7" t="inlineStr">
        <is>
          <t>Fast-and-Free-Run-Belt</t>
        </is>
      </c>
      <c r="O2217" s="7" t="inlineStr">
        <is>
          <t>Belt Bags</t>
        </is>
      </c>
    </row>
    <row r="2218" ht="80" customHeight="1">
      <c r="A2218" s="6">
        <f>IMAGE("https://images.lululemon.com/is/image/lululemon/LU9B35S_0001_1?wid=320&amp;op_usm=0.8",1)</f>
        <v/>
      </c>
      <c r="B2218" s="6" t="inlineStr">
        <is>
          <t>Fast and Free Running Belt</t>
        </is>
      </c>
      <c r="C2218" s="6" t="inlineStr">
        <is>
          <t>158023252</t>
        </is>
      </c>
      <c r="D2218" s="6" t="inlineStr">
        <is>
          <t>158023252-jewelledmagenta</t>
        </is>
      </c>
      <c r="E2218" s="6" t="inlineStr">
        <is>
          <t>Fast and Free Run Belt BLK XS/S</t>
        </is>
      </c>
      <c r="F2218" s="6" t="inlineStr">
        <is>
          <t>$44.00</t>
        </is>
      </c>
      <c r="G2218" s="6" t="inlineStr">
        <is>
          <t>$22.00</t>
        </is>
      </c>
      <c r="H2218" s="6" t="inlineStr">
        <is>
          <t>Jewelled Magenta</t>
        </is>
      </c>
      <c r="I2218" s="6">
        <f>IMAGE("https://images.lululemon.com/is/image/lululemon/14336",1)</f>
        <v/>
      </c>
      <c r="J2218" s="6" t="inlineStr">
        <is>
          <t>L/XL</t>
        </is>
      </c>
      <c r="K2218" s="6" t="inlineStr">
        <is>
          <t>41/300</t>
        </is>
      </c>
      <c r="L2218" s="6" t="inlineStr">
        <is>
          <t>Yes</t>
        </is>
      </c>
      <c r="M2218" s="6" t="inlineStr">
        <is>
          <t>Free your mind—and your hands. This sleek, distraction-free run belt is lightweight and adjustable with just enough space for run essentials.</t>
        </is>
      </c>
      <c r="N2218" s="6" t="inlineStr">
        <is>
          <t>Fast-and-Free-Run-Belt</t>
        </is>
      </c>
      <c r="O2218" s="6" t="inlineStr">
        <is>
          <t>Belt Bags</t>
        </is>
      </c>
    </row>
    <row r="2219" ht="80" customHeight="1">
      <c r="A2219" s="7">
        <f>IMAGE("https://images.lululemon.com/is/image/lululemon/LW7DKWS_038337_1?wid=320&amp;op_usm=0.8",1)</f>
        <v/>
      </c>
      <c r="B2219" s="7" t="inlineStr">
        <is>
          <t>Scuba Oversized Mid-Rise Dolphin-Hem Short 3"</t>
        </is>
      </c>
      <c r="C2219" s="7" t="inlineStr">
        <is>
          <t>157711183</t>
        </is>
      </c>
      <c r="D2219" s="7" t="inlineStr">
        <is>
          <t>157711183-calypsopink</t>
        </is>
      </c>
      <c r="E2219" s="7" t="inlineStr">
        <is>
          <t>Scuba Oversized MR Dolphin-Hem Short 3" CLYS S</t>
        </is>
      </c>
      <c r="F2219" s="7" t="inlineStr">
        <is>
          <t>$68.00</t>
        </is>
      </c>
      <c r="G2219" s="7" t="inlineStr">
        <is>
          <t>$34.00</t>
        </is>
      </c>
      <c r="H2219" s="7" t="inlineStr">
        <is>
          <t>Calypso Pink</t>
        </is>
      </c>
      <c r="I2219" s="7">
        <f>IMAGE("https://images.lululemon.com/is/image/lululemon/38337",1)</f>
        <v/>
      </c>
      <c r="J2219" s="7" t="inlineStr">
        <is>
          <t>S</t>
        </is>
      </c>
      <c r="K2219" s="7" t="inlineStr">
        <is>
          <t>68/303</t>
        </is>
      </c>
      <c r="L2219" s="7" t="inlineStr">
        <is>
          <t>Yes</t>
        </is>
      </c>
      <c r="M2219" s="7" t="inlineStr">
        <is>
          <t>Serious about softness. This dolphin-hem version of our Scuba shorts is all about fleecy fabric and a slouchy oversized fit.</t>
        </is>
      </c>
      <c r="N2219" s="7" t="inlineStr">
        <is>
          <t>Scuba-Oversized-Mid-Rise-Dolphin-Hem-Short-3</t>
        </is>
      </c>
      <c r="O2219" s="7" t="inlineStr">
        <is>
          <t>Sweat Shorts</t>
        </is>
      </c>
    </row>
    <row r="2220" ht="80" customHeight="1">
      <c r="A2220" s="4">
        <f>IMAGE("https://images.lululemon.com/is/image/lululemon/LW7DKWS_038337_1?wid=320&amp;op_usm=0.8",1)</f>
        <v/>
      </c>
      <c r="B2220" s="4" t="inlineStr">
        <is>
          <t>Scuba Oversized Mid-Rise Dolphin-Hem Short 3"</t>
        </is>
      </c>
      <c r="C2220" s="4" t="inlineStr">
        <is>
          <t>157711179</t>
        </is>
      </c>
      <c r="D2220" s="4" t="inlineStr">
        <is>
          <t>157711179-calypsopink</t>
        </is>
      </c>
      <c r="E2220" s="4" t="inlineStr">
        <is>
          <t>Scuba Oversized MR Dolphin-Hem Short 3" CLYS S</t>
        </is>
      </c>
      <c r="F2220" s="4" t="inlineStr">
        <is>
          <t>$68.00</t>
        </is>
      </c>
      <c r="G2220" s="4" t="inlineStr">
        <is>
          <t>$34.00</t>
        </is>
      </c>
      <c r="H2220" s="4" t="inlineStr">
        <is>
          <t>Calypso Pink</t>
        </is>
      </c>
      <c r="I2220" s="4">
        <f>IMAGE("https://images.lululemon.com/is/image/lululemon/38337",1)</f>
        <v/>
      </c>
      <c r="J2220" s="4" t="inlineStr">
        <is>
          <t>M</t>
        </is>
      </c>
      <c r="K2220" s="4" t="inlineStr">
        <is>
          <t>109/303</t>
        </is>
      </c>
      <c r="L2220" s="4" t="inlineStr">
        <is>
          <t>Yes</t>
        </is>
      </c>
      <c r="M2220" s="4" t="inlineStr">
        <is>
          <t>Serious about softness. This dolphin-hem version of our Scuba shorts is all about fleecy fabric and a slouchy oversized fit.</t>
        </is>
      </c>
      <c r="N2220" s="4" t="inlineStr">
        <is>
          <t>Scuba-Oversized-Mid-Rise-Dolphin-Hem-Short-3</t>
        </is>
      </c>
      <c r="O2220" s="4" t="inlineStr">
        <is>
          <t>Sweat Shorts</t>
        </is>
      </c>
    </row>
    <row r="2221" ht="80" customHeight="1">
      <c r="A2221" s="7">
        <f>IMAGE("https://images.lululemon.com/is/image/lululemon/LW7DKWS_038337_1?wid=320&amp;op_usm=0.8",1)</f>
        <v/>
      </c>
      <c r="B2221" s="7" t="inlineStr">
        <is>
          <t>Scuba Oversized Mid-Rise Dolphin-Hem Short 3"</t>
        </is>
      </c>
      <c r="C2221" s="7" t="inlineStr">
        <is>
          <t>157711174</t>
        </is>
      </c>
      <c r="D2221" s="7" t="inlineStr">
        <is>
          <t>157711174-calypsopink</t>
        </is>
      </c>
      <c r="E2221" s="7" t="inlineStr">
        <is>
          <t>Scuba Oversized MR Dolphin-Hem Short 3" CLYS S</t>
        </is>
      </c>
      <c r="F2221" s="7" t="inlineStr">
        <is>
          <t>$68.00</t>
        </is>
      </c>
      <c r="G2221" s="7" t="inlineStr">
        <is>
          <t>$34.00</t>
        </is>
      </c>
      <c r="H2221" s="7" t="inlineStr">
        <is>
          <t>Calypso Pink</t>
        </is>
      </c>
      <c r="I2221" s="7">
        <f>IMAGE("https://images.lululemon.com/is/image/lululemon/38337",1)</f>
        <v/>
      </c>
      <c r="J2221" s="7" t="inlineStr">
        <is>
          <t>L</t>
        </is>
      </c>
      <c r="K2221" s="7" t="inlineStr">
        <is>
          <t>69/303</t>
        </is>
      </c>
      <c r="L2221" s="7" t="inlineStr">
        <is>
          <t>Yes</t>
        </is>
      </c>
      <c r="M2221" s="7" t="inlineStr">
        <is>
          <t>Serious about softness. This dolphin-hem version of our Scuba shorts is all about fleecy fabric and a slouchy oversized fit.</t>
        </is>
      </c>
      <c r="N2221" s="7" t="inlineStr">
        <is>
          <t>Scuba-Oversized-Mid-Rise-Dolphin-Hem-Short-3</t>
        </is>
      </c>
      <c r="O2221" s="7" t="inlineStr">
        <is>
          <t>Sweat Shorts</t>
        </is>
      </c>
    </row>
    <row r="2222" ht="80" customHeight="1">
      <c r="A2222" s="4">
        <f>IMAGE("https://images.lululemon.com/is/image/lululemon/LW7DKWS_038337_1?wid=320&amp;op_usm=0.8",1)</f>
        <v/>
      </c>
      <c r="B2222" s="4" t="inlineStr">
        <is>
          <t>Scuba Oversized Mid-Rise Dolphin-Hem Short 3"</t>
        </is>
      </c>
      <c r="C2222" s="4" t="inlineStr">
        <is>
          <t>157711188</t>
        </is>
      </c>
      <c r="D2222" s="4" t="inlineStr">
        <is>
          <t>157711188-calypsopink</t>
        </is>
      </c>
      <c r="E2222" s="4" t="inlineStr">
        <is>
          <t>Scuba Oversized MR Dolphin-Hem Short 3" CLYS S</t>
        </is>
      </c>
      <c r="F2222" s="4" t="inlineStr">
        <is>
          <t>$68.00</t>
        </is>
      </c>
      <c r="G2222" s="4" t="inlineStr">
        <is>
          <t>$34.00</t>
        </is>
      </c>
      <c r="H2222" s="4" t="inlineStr">
        <is>
          <t>Calypso Pink</t>
        </is>
      </c>
      <c r="I2222" s="4">
        <f>IMAGE("https://images.lululemon.com/is/image/lululemon/38337",1)</f>
        <v/>
      </c>
      <c r="J2222" s="4" t="inlineStr">
        <is>
          <t>XL</t>
        </is>
      </c>
      <c r="K2222" s="4" t="inlineStr">
        <is>
          <t>30/303</t>
        </is>
      </c>
      <c r="L2222" s="4" t="inlineStr">
        <is>
          <t>Yes</t>
        </is>
      </c>
      <c r="M2222" s="4" t="inlineStr">
        <is>
          <t>Serious about softness. This dolphin-hem version of our Scuba shorts is all about fleecy fabric and a slouchy oversized fit.</t>
        </is>
      </c>
      <c r="N2222" s="4" t="inlineStr">
        <is>
          <t>Scuba-Oversized-Mid-Rise-Dolphin-Hem-Short-3</t>
        </is>
      </c>
      <c r="O2222" s="4" t="inlineStr">
        <is>
          <t>Sweat Shorts</t>
        </is>
      </c>
    </row>
    <row r="2223" ht="80" customHeight="1">
      <c r="A2223" s="7">
        <f>IMAGE("https://images.lululemon.com/is/image/lululemon/LW7DKWS_038337_1?wid=320&amp;op_usm=0.8",1)</f>
        <v/>
      </c>
      <c r="B2223" s="7" t="inlineStr">
        <is>
          <t>Scuba Oversized Mid-Rise Dolphin-Hem Short 3"</t>
        </is>
      </c>
      <c r="C2223" s="7" t="inlineStr">
        <is>
          <t>157711082</t>
        </is>
      </c>
      <c r="D2223" s="7" t="inlineStr">
        <is>
          <t>157711082-black</t>
        </is>
      </c>
      <c r="E2223" s="7" t="inlineStr">
        <is>
          <t>Scuba Oversized MR Dolphin-Hem Short 3" CLYS S</t>
        </is>
      </c>
      <c r="F2223" s="7" t="inlineStr">
        <is>
          <t>$68.00</t>
        </is>
      </c>
      <c r="G2223" s="7" t="inlineStr">
        <is>
          <t>$34.00</t>
        </is>
      </c>
      <c r="H2223" s="7" t="inlineStr">
        <is>
          <t>Black</t>
        </is>
      </c>
      <c r="I2223" s="7">
        <f>IMAGE("https://images.lululemon.com/is/image/lululemon/0001",1)</f>
        <v/>
      </c>
      <c r="J2223" s="7" t="inlineStr">
        <is>
          <t>L</t>
        </is>
      </c>
      <c r="K2223" s="7" t="inlineStr">
        <is>
          <t>18/303</t>
        </is>
      </c>
      <c r="L2223" s="7" t="inlineStr">
        <is>
          <t>Yes</t>
        </is>
      </c>
      <c r="M2223" s="7" t="inlineStr">
        <is>
          <t>Serious about softness. This dolphin-hem version of our Scuba shorts is all about fleecy fabric and a slouchy oversized fit.</t>
        </is>
      </c>
      <c r="N2223" s="7" t="inlineStr">
        <is>
          <t>Scuba-Oversized-Mid-Rise-Dolphin-Hem-Short-3</t>
        </is>
      </c>
      <c r="O2223" s="7" t="inlineStr">
        <is>
          <t>Sweat Shorts</t>
        </is>
      </c>
    </row>
    <row r="2224" ht="80" customHeight="1">
      <c r="A2224" s="6">
        <f>IMAGE("https://images.lululemon.com/is/image/lululemon/LW7DKWS_038337_1?wid=320&amp;op_usm=0.8",1)</f>
        <v/>
      </c>
      <c r="B2224" s="6" t="inlineStr">
        <is>
          <t>Scuba Oversized Mid-Rise Dolphin-Hem Short 3"</t>
        </is>
      </c>
      <c r="C2224" s="6" t="inlineStr">
        <is>
          <t>157711096</t>
        </is>
      </c>
      <c r="D2224" s="6" t="inlineStr">
        <is>
          <t>157711096-black</t>
        </is>
      </c>
      <c r="E2224" s="6" t="inlineStr">
        <is>
          <t>Scuba Oversized MR Dolphin-Hem Short 3" CLYS S</t>
        </is>
      </c>
      <c r="F2224" s="6" t="inlineStr">
        <is>
          <t>$68.00</t>
        </is>
      </c>
      <c r="G2224" s="6" t="inlineStr">
        <is>
          <t>$34.00</t>
        </is>
      </c>
      <c r="H2224" s="6" t="inlineStr">
        <is>
          <t>Black</t>
        </is>
      </c>
      <c r="I2224" s="6">
        <f>IMAGE("https://images.lululemon.com/is/image/lululemon/0001",1)</f>
        <v/>
      </c>
      <c r="J2224" s="6" t="inlineStr">
        <is>
          <t>XL</t>
        </is>
      </c>
      <c r="K2224" s="6" t="inlineStr">
        <is>
          <t>9/303</t>
        </is>
      </c>
      <c r="L2224" s="6" t="inlineStr">
        <is>
          <t>Yes</t>
        </is>
      </c>
      <c r="M2224" s="6" t="inlineStr">
        <is>
          <t>Serious about softness. This dolphin-hem version of our Scuba shorts is all about fleecy fabric and a slouchy oversized fit.</t>
        </is>
      </c>
      <c r="N2224" s="6" t="inlineStr">
        <is>
          <t>Scuba-Oversized-Mid-Rise-Dolphin-Hem-Short-3</t>
        </is>
      </c>
      <c r="O2224" s="6" t="inlineStr">
        <is>
          <t>Sweat Shorts</t>
        </is>
      </c>
    </row>
    <row r="2225" ht="80" customHeight="1">
      <c r="A2225" s="7">
        <f>IMAGE("https://images.lululemon.com/is/image/lululemon/LW1CJUS_0001_1?wid=320&amp;op_usm=0.8",1)</f>
        <v/>
      </c>
      <c r="B2225" s="7" t="inlineStr">
        <is>
          <t>Ebb to Street Cropped Racerback Tank Top *Light Support, B/C Cup</t>
        </is>
      </c>
      <c r="C2225" s="7" t="inlineStr">
        <is>
          <t>114806771</t>
        </is>
      </c>
      <c r="D2225" s="7" t="inlineStr">
        <is>
          <t>114806771-black</t>
        </is>
      </c>
      <c r="E2225" s="7" t="inlineStr">
        <is>
          <t>Ebb to Street Cropped Racerback Tank BLK 4</t>
        </is>
      </c>
      <c r="F2225" s="7" t="inlineStr">
        <is>
          <t>$68.00</t>
        </is>
      </c>
      <c r="G2225" s="7" t="inlineStr">
        <is>
          <t>$34.00</t>
        </is>
      </c>
      <c r="H2225" s="7" t="inlineStr">
        <is>
          <t>Black</t>
        </is>
      </c>
      <c r="I2225" s="7">
        <f>IMAGE("https://images.lululemon.com/is/image/lululemon/0001",1)</f>
        <v/>
      </c>
      <c r="J2225" s="7" t="inlineStr">
        <is>
          <t>4</t>
        </is>
      </c>
      <c r="K2225" s="7" t="inlineStr">
        <is>
          <t>171/2382</t>
        </is>
      </c>
      <c r="L2225" s="7" t="inlineStr">
        <is>
          <t>Yes</t>
        </is>
      </c>
      <c r="M2225" s="7" t="inlineStr">
        <is>
          <t>Seamless support. This one-and-done yoga tank is made using our seamless construction for a smooth fit and features built-in support for a fuss-free practice.</t>
        </is>
      </c>
      <c r="N2225" s="7" t="inlineStr">
        <is>
          <t>Ebb-To-Street-RB-Crop-Tank</t>
        </is>
      </c>
      <c r="O2225" s="7" t="inlineStr"/>
    </row>
    <row r="2226" ht="80" customHeight="1">
      <c r="A2226" s="4">
        <f>IMAGE("https://images.lululemon.com/is/image/lululemon/LW1CJUS_0001_1?wid=320&amp;op_usm=0.8",1)</f>
        <v/>
      </c>
      <c r="B2226" s="4" t="inlineStr">
        <is>
          <t>Ebb to Street Cropped Racerback Tank Top *Light Support, B/C Cup</t>
        </is>
      </c>
      <c r="C2226" s="4" t="inlineStr">
        <is>
          <t>114806773</t>
        </is>
      </c>
      <c r="D2226" s="4" t="inlineStr">
        <is>
          <t>114806773-black</t>
        </is>
      </c>
      <c r="E2226" s="4" t="inlineStr">
        <is>
          <t>Ebb to Street Cropped Racerback Tank BLK 4</t>
        </is>
      </c>
      <c r="F2226" s="4" t="inlineStr">
        <is>
          <t>$68.00</t>
        </is>
      </c>
      <c r="G2226" s="4" t="inlineStr">
        <is>
          <t>$34.00</t>
        </is>
      </c>
      <c r="H2226" s="4" t="inlineStr">
        <is>
          <t>Black</t>
        </is>
      </c>
      <c r="I2226" s="4">
        <f>IMAGE("https://images.lululemon.com/is/image/lululemon/0001",1)</f>
        <v/>
      </c>
      <c r="J2226" s="4" t="inlineStr">
        <is>
          <t>6</t>
        </is>
      </c>
      <c r="K2226" s="4" t="inlineStr">
        <is>
          <t>124/2382</t>
        </is>
      </c>
      <c r="L2226" s="4" t="inlineStr">
        <is>
          <t>Yes</t>
        </is>
      </c>
      <c r="M2226" s="4" t="inlineStr">
        <is>
          <t>Seamless support. This one-and-done yoga tank is made using our seamless construction for a smooth fit and features built-in support for a fuss-free practice.</t>
        </is>
      </c>
      <c r="N2226" s="4" t="inlineStr">
        <is>
          <t>Ebb-To-Street-RB-Crop-Tank</t>
        </is>
      </c>
      <c r="O2226" s="4" t="inlineStr"/>
    </row>
    <row r="2227" ht="80" customHeight="1">
      <c r="A2227" s="7">
        <f>IMAGE("https://images.lululemon.com/is/image/lululemon/LW1CJUS_0001_1?wid=320&amp;op_usm=0.8",1)</f>
        <v/>
      </c>
      <c r="B2227" s="7" t="inlineStr">
        <is>
          <t>Ebb to Street Cropped Racerback Tank Top *Light Support, B/C Cup</t>
        </is>
      </c>
      <c r="C2227" s="7" t="inlineStr">
        <is>
          <t>114806775</t>
        </is>
      </c>
      <c r="D2227" s="7" t="inlineStr">
        <is>
          <t>114806775-black</t>
        </is>
      </c>
      <c r="E2227" s="7" t="inlineStr">
        <is>
          <t>Ebb to Street Cropped Racerback Tank BLK 4</t>
        </is>
      </c>
      <c r="F2227" s="7" t="inlineStr">
        <is>
          <t>$68.00</t>
        </is>
      </c>
      <c r="G2227" s="7" t="inlineStr">
        <is>
          <t>$34.00</t>
        </is>
      </c>
      <c r="H2227" s="7" t="inlineStr">
        <is>
          <t>Black</t>
        </is>
      </c>
      <c r="I2227" s="7">
        <f>IMAGE("https://images.lululemon.com/is/image/lululemon/0001",1)</f>
        <v/>
      </c>
      <c r="J2227" s="7" t="inlineStr">
        <is>
          <t>8</t>
        </is>
      </c>
      <c r="K2227" s="7" t="inlineStr">
        <is>
          <t>105/2382</t>
        </is>
      </c>
      <c r="L2227" s="7" t="inlineStr">
        <is>
          <t>Yes</t>
        </is>
      </c>
      <c r="M2227" s="7" t="inlineStr">
        <is>
          <t>Seamless support. This one-and-done yoga tank is made using our seamless construction for a smooth fit and features built-in support for a fuss-free practice.</t>
        </is>
      </c>
      <c r="N2227" s="7" t="inlineStr">
        <is>
          <t>Ebb-To-Street-RB-Crop-Tank</t>
        </is>
      </c>
      <c r="O2227" s="7" t="inlineStr"/>
    </row>
    <row r="2228" ht="80" customHeight="1">
      <c r="A2228" s="4">
        <f>IMAGE("https://images.lululemon.com/is/image/lululemon/LW1CJUS_0001_1?wid=320&amp;op_usm=0.8",1)</f>
        <v/>
      </c>
      <c r="B2228" s="4" t="inlineStr">
        <is>
          <t>Ebb to Street Cropped Racerback Tank Top *Light Support, B/C Cup</t>
        </is>
      </c>
      <c r="C2228" s="4" t="inlineStr">
        <is>
          <t>114806764</t>
        </is>
      </c>
      <c r="D2228" s="4" t="inlineStr">
        <is>
          <t>114806764-black</t>
        </is>
      </c>
      <c r="E2228" s="4" t="inlineStr">
        <is>
          <t>Ebb to Street Cropped Racerback Tank BLK 4</t>
        </is>
      </c>
      <c r="F2228" s="4" t="inlineStr">
        <is>
          <t>$68.00</t>
        </is>
      </c>
      <c r="G2228" s="4" t="inlineStr">
        <is>
          <t>$34.00</t>
        </is>
      </c>
      <c r="H2228" s="4" t="inlineStr">
        <is>
          <t>Black</t>
        </is>
      </c>
      <c r="I2228" s="4">
        <f>IMAGE("https://images.lululemon.com/is/image/lululemon/0001",1)</f>
        <v/>
      </c>
      <c r="J2228" s="4" t="inlineStr">
        <is>
          <t>10</t>
        </is>
      </c>
      <c r="K2228" s="4" t="inlineStr">
        <is>
          <t>66/2382</t>
        </is>
      </c>
      <c r="L2228" s="4" t="inlineStr">
        <is>
          <t>Yes</t>
        </is>
      </c>
      <c r="M2228" s="4" t="inlineStr">
        <is>
          <t>Seamless support. This one-and-done yoga tank is made using our seamless construction for a smooth fit and features built-in support for a fuss-free practice.</t>
        </is>
      </c>
      <c r="N2228" s="4" t="inlineStr">
        <is>
          <t>Ebb-To-Street-RB-Crop-Tank</t>
        </is>
      </c>
      <c r="O2228" s="4" t="inlineStr"/>
    </row>
    <row r="2229" ht="80" customHeight="1">
      <c r="A2229" s="7">
        <f>IMAGE("https://images.lululemon.com/is/image/lululemon/LW1CJUS_0001_1?wid=320&amp;op_usm=0.8",1)</f>
        <v/>
      </c>
      <c r="B2229" s="7" t="inlineStr">
        <is>
          <t>Ebb to Street Cropped Racerback Tank Top *Light Support, B/C Cup</t>
        </is>
      </c>
      <c r="C2229" s="7" t="inlineStr">
        <is>
          <t>114806766</t>
        </is>
      </c>
      <c r="D2229" s="7" t="inlineStr">
        <is>
          <t>114806766-black</t>
        </is>
      </c>
      <c r="E2229" s="7" t="inlineStr">
        <is>
          <t>Ebb to Street Cropped Racerback Tank BLK 4</t>
        </is>
      </c>
      <c r="F2229" s="7" t="inlineStr">
        <is>
          <t>$68.00</t>
        </is>
      </c>
      <c r="G2229" s="7" t="inlineStr">
        <is>
          <t>$34.00</t>
        </is>
      </c>
      <c r="H2229" s="7" t="inlineStr">
        <is>
          <t>Black</t>
        </is>
      </c>
      <c r="I2229" s="7">
        <f>IMAGE("https://images.lululemon.com/is/image/lululemon/0001",1)</f>
        <v/>
      </c>
      <c r="J2229" s="7" t="inlineStr">
        <is>
          <t>12</t>
        </is>
      </c>
      <c r="K2229" s="7" t="inlineStr">
        <is>
          <t>50/2382</t>
        </is>
      </c>
      <c r="L2229" s="7" t="inlineStr">
        <is>
          <t>Yes</t>
        </is>
      </c>
      <c r="M2229" s="7" t="inlineStr">
        <is>
          <t>Seamless support. This one-and-done yoga tank is made using our seamless construction for a smooth fit and features built-in support for a fuss-free practice.</t>
        </is>
      </c>
      <c r="N2229" s="7" t="inlineStr">
        <is>
          <t>Ebb-To-Street-RB-Crop-Tank</t>
        </is>
      </c>
      <c r="O2229" s="7" t="inlineStr"/>
    </row>
    <row r="2230" ht="80" customHeight="1">
      <c r="A2230" s="4">
        <f>IMAGE("https://images.lululemon.com/is/image/lululemon/LW1CJUS_0001_1?wid=320&amp;op_usm=0.8",1)</f>
        <v/>
      </c>
      <c r="B2230" s="4" t="inlineStr">
        <is>
          <t>Ebb to Street Cropped Racerback Tank Top *Light Support, B/C Cup</t>
        </is>
      </c>
      <c r="C2230" s="4" t="inlineStr">
        <is>
          <t>114806787</t>
        </is>
      </c>
      <c r="D2230" s="4" t="inlineStr">
        <is>
          <t>114806787-white</t>
        </is>
      </c>
      <c r="E2230" s="4" t="inlineStr">
        <is>
          <t>Ebb to Street Cropped Racerback Tank BLK 4</t>
        </is>
      </c>
      <c r="F2230" s="4" t="inlineStr">
        <is>
          <t>$68.00</t>
        </is>
      </c>
      <c r="G2230" s="4" t="inlineStr">
        <is>
          <t>$34.00</t>
        </is>
      </c>
      <c r="H2230" s="4" t="inlineStr">
        <is>
          <t>White</t>
        </is>
      </c>
      <c r="I2230" s="4">
        <f>IMAGE("https://images.lululemon.com/is/image/lululemon/0002",1)</f>
        <v/>
      </c>
      <c r="J2230" s="4" t="inlineStr">
        <is>
          <t>4</t>
        </is>
      </c>
      <c r="K2230" s="4" t="inlineStr">
        <is>
          <t>174/2382</t>
        </is>
      </c>
      <c r="L2230" s="4" t="inlineStr">
        <is>
          <t>Yes</t>
        </is>
      </c>
      <c r="M2230" s="4" t="inlineStr">
        <is>
          <t>Seamless support. This one-and-done yoga tank is made using our seamless construction for a smooth fit and features built-in support for a fuss-free practice.</t>
        </is>
      </c>
      <c r="N2230" s="4" t="inlineStr">
        <is>
          <t>Ebb-To-Street-RB-Crop-Tank</t>
        </is>
      </c>
      <c r="O2230" s="4" t="inlineStr"/>
    </row>
    <row r="2231" ht="80" customHeight="1">
      <c r="A2231" s="7">
        <f>IMAGE("https://images.lululemon.com/is/image/lululemon/LW1CJUS_0001_1?wid=320&amp;op_usm=0.8",1)</f>
        <v/>
      </c>
      <c r="B2231" s="7" t="inlineStr">
        <is>
          <t>Ebb to Street Cropped Racerback Tank Top *Light Support, B/C Cup</t>
        </is>
      </c>
      <c r="C2231" s="7" t="inlineStr">
        <is>
          <t>114806789</t>
        </is>
      </c>
      <c r="D2231" s="7" t="inlineStr">
        <is>
          <t>114806789-white</t>
        </is>
      </c>
      <c r="E2231" s="7" t="inlineStr">
        <is>
          <t>Ebb to Street Cropped Racerback Tank BLK 4</t>
        </is>
      </c>
      <c r="F2231" s="7" t="inlineStr">
        <is>
          <t>$68.00</t>
        </is>
      </c>
      <c r="G2231" s="7" t="inlineStr">
        <is>
          <t>$34.00</t>
        </is>
      </c>
      <c r="H2231" s="7" t="inlineStr">
        <is>
          <t>White</t>
        </is>
      </c>
      <c r="I2231" s="7">
        <f>IMAGE("https://images.lululemon.com/is/image/lululemon/0002",1)</f>
        <v/>
      </c>
      <c r="J2231" s="7" t="inlineStr">
        <is>
          <t>6</t>
        </is>
      </c>
      <c r="K2231" s="7" t="inlineStr">
        <is>
          <t>157/2382</t>
        </is>
      </c>
      <c r="L2231" s="7" t="inlineStr">
        <is>
          <t>Yes</t>
        </is>
      </c>
      <c r="M2231" s="7" t="inlineStr">
        <is>
          <t>Seamless support. This one-and-done yoga tank is made using our seamless construction for a smooth fit and features built-in support for a fuss-free practice.</t>
        </is>
      </c>
      <c r="N2231" s="7" t="inlineStr">
        <is>
          <t>Ebb-To-Street-RB-Crop-Tank</t>
        </is>
      </c>
      <c r="O2231" s="7" t="inlineStr"/>
    </row>
    <row r="2232" ht="80" customHeight="1">
      <c r="A2232" s="4">
        <f>IMAGE("https://images.lululemon.com/is/image/lululemon/LW1CJUS_0001_1?wid=320&amp;op_usm=0.8",1)</f>
        <v/>
      </c>
      <c r="B2232" s="4" t="inlineStr">
        <is>
          <t>Ebb to Street Cropped Racerback Tank Top *Light Support, B/C Cup</t>
        </is>
      </c>
      <c r="C2232" s="4" t="inlineStr">
        <is>
          <t>114806791</t>
        </is>
      </c>
      <c r="D2232" s="4" t="inlineStr">
        <is>
          <t>114806791-white</t>
        </is>
      </c>
      <c r="E2232" s="4" t="inlineStr">
        <is>
          <t>Ebb to Street Cropped Racerback Tank BLK 4</t>
        </is>
      </c>
      <c r="F2232" s="4" t="inlineStr">
        <is>
          <t>$68.00</t>
        </is>
      </c>
      <c r="G2232" s="4" t="inlineStr">
        <is>
          <t>$34.00</t>
        </is>
      </c>
      <c r="H2232" s="4" t="inlineStr">
        <is>
          <t>White</t>
        </is>
      </c>
      <c r="I2232" s="4">
        <f>IMAGE("https://images.lululemon.com/is/image/lululemon/0002",1)</f>
        <v/>
      </c>
      <c r="J2232" s="4" t="inlineStr">
        <is>
          <t>8</t>
        </is>
      </c>
      <c r="K2232" s="4" t="inlineStr">
        <is>
          <t>84/2382</t>
        </is>
      </c>
      <c r="L2232" s="4" t="inlineStr">
        <is>
          <t>Yes</t>
        </is>
      </c>
      <c r="M2232" s="4" t="inlineStr">
        <is>
          <t>Seamless support. This one-and-done yoga tank is made using our seamless construction for a smooth fit and features built-in support for a fuss-free practice.</t>
        </is>
      </c>
      <c r="N2232" s="4" t="inlineStr">
        <is>
          <t>Ebb-To-Street-RB-Crop-Tank</t>
        </is>
      </c>
      <c r="O2232" s="4" t="inlineStr"/>
    </row>
    <row r="2233" ht="80" customHeight="1">
      <c r="A2233" s="7">
        <f>IMAGE("https://images.lululemon.com/is/image/lululemon/LW1CJUS_0001_1?wid=320&amp;op_usm=0.8",1)</f>
        <v/>
      </c>
      <c r="B2233" s="7" t="inlineStr">
        <is>
          <t>Ebb to Street Cropped Racerback Tank Top *Light Support, B/C Cup</t>
        </is>
      </c>
      <c r="C2233" s="7" t="inlineStr">
        <is>
          <t>114806778</t>
        </is>
      </c>
      <c r="D2233" s="7" t="inlineStr">
        <is>
          <t>114806778-white</t>
        </is>
      </c>
      <c r="E2233" s="7" t="inlineStr">
        <is>
          <t>Ebb to Street Cropped Racerback Tank BLK 4</t>
        </is>
      </c>
      <c r="F2233" s="7" t="inlineStr">
        <is>
          <t>$68.00</t>
        </is>
      </c>
      <c r="G2233" s="7" t="inlineStr">
        <is>
          <t>$34.00</t>
        </is>
      </c>
      <c r="H2233" s="7" t="inlineStr">
        <is>
          <t>White</t>
        </is>
      </c>
      <c r="I2233" s="7">
        <f>IMAGE("https://images.lululemon.com/is/image/lululemon/0002",1)</f>
        <v/>
      </c>
      <c r="J2233" s="7" t="inlineStr">
        <is>
          <t>10</t>
        </is>
      </c>
      <c r="K2233" s="7" t="inlineStr">
        <is>
          <t>53/2382</t>
        </is>
      </c>
      <c r="L2233" s="7" t="inlineStr">
        <is>
          <t>Yes</t>
        </is>
      </c>
      <c r="M2233" s="7" t="inlineStr">
        <is>
          <t>Seamless support. This one-and-done yoga tank is made using our seamless construction for a smooth fit and features built-in support for a fuss-free practice.</t>
        </is>
      </c>
      <c r="N2233" s="7" t="inlineStr">
        <is>
          <t>Ebb-To-Street-RB-Crop-Tank</t>
        </is>
      </c>
      <c r="O2233" s="7" t="inlineStr"/>
    </row>
    <row r="2234" ht="80" customHeight="1">
      <c r="A2234" s="4">
        <f>IMAGE("https://images.lululemon.com/is/image/lululemon/LW1CJUS_0001_1?wid=320&amp;op_usm=0.8",1)</f>
        <v/>
      </c>
      <c r="B2234" s="4" t="inlineStr">
        <is>
          <t>Ebb to Street Cropped Racerback Tank Top *Light Support, B/C Cup</t>
        </is>
      </c>
      <c r="C2234" s="4" t="inlineStr">
        <is>
          <t>114806780</t>
        </is>
      </c>
      <c r="D2234" s="4" t="inlineStr">
        <is>
          <t>114806780-white</t>
        </is>
      </c>
      <c r="E2234" s="4" t="inlineStr">
        <is>
          <t>Ebb to Street Cropped Racerback Tank BLK 4</t>
        </is>
      </c>
      <c r="F2234" s="4" t="inlineStr">
        <is>
          <t>$68.00</t>
        </is>
      </c>
      <c r="G2234" s="4" t="inlineStr">
        <is>
          <t>$34.00</t>
        </is>
      </c>
      <c r="H2234" s="4" t="inlineStr">
        <is>
          <t>White</t>
        </is>
      </c>
      <c r="I2234" s="4">
        <f>IMAGE("https://images.lululemon.com/is/image/lululemon/0002",1)</f>
        <v/>
      </c>
      <c r="J2234" s="4" t="inlineStr">
        <is>
          <t>12</t>
        </is>
      </c>
      <c r="K2234" s="4" t="inlineStr">
        <is>
          <t>22/2382</t>
        </is>
      </c>
      <c r="L2234" s="4" t="inlineStr">
        <is>
          <t>Yes</t>
        </is>
      </c>
      <c r="M2234" s="4" t="inlineStr">
        <is>
          <t>Seamless support. This one-and-done yoga tank is made using our seamless construction for a smooth fit and features built-in support for a fuss-free practice.</t>
        </is>
      </c>
      <c r="N2234" s="4" t="inlineStr">
        <is>
          <t>Ebb-To-Street-RB-Crop-Tank</t>
        </is>
      </c>
      <c r="O2234" s="4" t="inlineStr"/>
    </row>
    <row r="2235" ht="80" customHeight="1">
      <c r="A2235" s="7">
        <f>IMAGE("https://images.lululemon.com/is/image/lululemon/LW1CJUS_0001_1?wid=320&amp;op_usm=0.8",1)</f>
        <v/>
      </c>
      <c r="B2235" s="7" t="inlineStr">
        <is>
          <t>Ebb to Street Cropped Racerback Tank Top *Light Support, B/C Cup</t>
        </is>
      </c>
      <c r="C2235" s="7" t="inlineStr">
        <is>
          <t>156025746</t>
        </is>
      </c>
      <c r="D2235" s="7" t="inlineStr">
        <is>
          <t>156025746-raspberrycoulis</t>
        </is>
      </c>
      <c r="E2235" s="7" t="inlineStr">
        <is>
          <t>Ebb to Street Cropped Racerback Tank BLK 4</t>
        </is>
      </c>
      <c r="F2235" s="7" t="inlineStr">
        <is>
          <t>$68.00</t>
        </is>
      </c>
      <c r="G2235" s="7" t="inlineStr">
        <is>
          <t>$34.00</t>
        </is>
      </c>
      <c r="H2235" s="7" t="inlineStr">
        <is>
          <t>Raspberry coulis</t>
        </is>
      </c>
      <c r="I2235" s="7">
        <f>IMAGE("https://images.lululemon.com/is/image/lululemon/62220",1)</f>
        <v/>
      </c>
      <c r="J2235" s="7" t="inlineStr">
        <is>
          <t>4</t>
        </is>
      </c>
      <c r="K2235" s="7" t="inlineStr">
        <is>
          <t>8/2382</t>
        </is>
      </c>
      <c r="L2235" s="7" t="inlineStr">
        <is>
          <t>Yes</t>
        </is>
      </c>
      <c r="M2235" s="7" t="inlineStr">
        <is>
          <t>Seamless support. This one-and-done yoga tank is made using our seamless construction for a smooth fit and features built-in support for a fuss-free practice.</t>
        </is>
      </c>
      <c r="N2235" s="7" t="inlineStr">
        <is>
          <t>Ebb-To-Street-RB-Crop-Tank</t>
        </is>
      </c>
      <c r="O2235" s="7" t="inlineStr"/>
    </row>
    <row r="2236" ht="80" customHeight="1">
      <c r="A2236" s="4">
        <f>IMAGE("https://images.lululemon.com/is/image/lululemon/LW1CJUS_0001_1?wid=320&amp;op_usm=0.8",1)</f>
        <v/>
      </c>
      <c r="B2236" s="4" t="inlineStr">
        <is>
          <t>Ebb to Street Cropped Racerback Tank Top *Light Support, B/C Cup</t>
        </is>
      </c>
      <c r="C2236" s="4" t="inlineStr">
        <is>
          <t>156025752</t>
        </is>
      </c>
      <c r="D2236" s="4" t="inlineStr">
        <is>
          <t>156025752-raspberrycoulis</t>
        </is>
      </c>
      <c r="E2236" s="4" t="inlineStr">
        <is>
          <t>Ebb to Street Cropped Racerback Tank BLK 4</t>
        </is>
      </c>
      <c r="F2236" s="4" t="inlineStr">
        <is>
          <t>$68.00</t>
        </is>
      </c>
      <c r="G2236" s="4" t="inlineStr">
        <is>
          <t>$34.00</t>
        </is>
      </c>
      <c r="H2236" s="4" t="inlineStr">
        <is>
          <t>Raspberry coulis</t>
        </is>
      </c>
      <c r="I2236" s="4">
        <f>IMAGE("https://images.lululemon.com/is/image/lululemon/62220",1)</f>
        <v/>
      </c>
      <c r="J2236" s="4" t="inlineStr">
        <is>
          <t>8</t>
        </is>
      </c>
      <c r="K2236" s="4" t="inlineStr">
        <is>
          <t>12/2382</t>
        </is>
      </c>
      <c r="L2236" s="4" t="inlineStr">
        <is>
          <t>Yes</t>
        </is>
      </c>
      <c r="M2236" s="4" t="inlineStr">
        <is>
          <t>Seamless support. This one-and-done yoga tank is made using our seamless construction for a smooth fit and features built-in support for a fuss-free practice.</t>
        </is>
      </c>
      <c r="N2236" s="4" t="inlineStr">
        <is>
          <t>Ebb-To-Street-RB-Crop-Tank</t>
        </is>
      </c>
      <c r="O2236" s="4" t="inlineStr"/>
    </row>
    <row r="2237" ht="80" customHeight="1">
      <c r="A2237" s="7">
        <f>IMAGE("https://images.lululemon.com/is/image/lululemon/LW1CJUS_0001_1?wid=320&amp;op_usm=0.8",1)</f>
        <v/>
      </c>
      <c r="B2237" s="7" t="inlineStr">
        <is>
          <t>Ebb to Street Cropped Racerback Tank Top *Light Support, B/C Cup</t>
        </is>
      </c>
      <c r="C2237" s="7" t="inlineStr">
        <is>
          <t>156751589</t>
        </is>
      </c>
      <c r="D2237" s="7" t="inlineStr">
        <is>
          <t>156751589-sereneblue</t>
        </is>
      </c>
      <c r="E2237" s="7" t="inlineStr">
        <is>
          <t>Ebb to Street Cropped Racerback Tank BLK 4</t>
        </is>
      </c>
      <c r="F2237" s="7" t="inlineStr">
        <is>
          <t>$68.00</t>
        </is>
      </c>
      <c r="G2237" s="7" t="inlineStr">
        <is>
          <t>$34.00</t>
        </is>
      </c>
      <c r="H2237" s="7" t="inlineStr">
        <is>
          <t>Serene Blue</t>
        </is>
      </c>
      <c r="I2237" s="7">
        <f>IMAGE("https://images.lululemon.com/is/image/lululemon/32507",1)</f>
        <v/>
      </c>
      <c r="J2237" s="7" t="inlineStr">
        <is>
          <t>4</t>
        </is>
      </c>
      <c r="K2237" s="7" t="inlineStr">
        <is>
          <t>250/2382</t>
        </is>
      </c>
      <c r="L2237" s="7" t="inlineStr">
        <is>
          <t>Yes</t>
        </is>
      </c>
      <c r="M2237" s="7" t="inlineStr">
        <is>
          <t>Seamless support. This one-and-done yoga tank is made using our seamless construction for a smooth fit and features built-in support for a fuss-free practice.</t>
        </is>
      </c>
      <c r="N2237" s="7" t="inlineStr">
        <is>
          <t>Ebb-To-Street-RB-Crop-Tank</t>
        </is>
      </c>
      <c r="O2237" s="7" t="inlineStr"/>
    </row>
    <row r="2238" ht="80" customHeight="1">
      <c r="A2238" s="4">
        <f>IMAGE("https://images.lululemon.com/is/image/lululemon/LW1CJUS_0001_1?wid=320&amp;op_usm=0.8",1)</f>
        <v/>
      </c>
      <c r="B2238" s="4" t="inlineStr">
        <is>
          <t>Ebb to Street Cropped Racerback Tank Top *Light Support, B/C Cup</t>
        </is>
      </c>
      <c r="C2238" s="4" t="inlineStr">
        <is>
          <t>156751593</t>
        </is>
      </c>
      <c r="D2238" s="4" t="inlineStr">
        <is>
          <t>156751593-sereneblue</t>
        </is>
      </c>
      <c r="E2238" s="4" t="inlineStr">
        <is>
          <t>Ebb to Street Cropped Racerback Tank BLK 4</t>
        </is>
      </c>
      <c r="F2238" s="4" t="inlineStr">
        <is>
          <t>$68.00</t>
        </is>
      </c>
      <c r="G2238" s="4" t="inlineStr">
        <is>
          <t>$34.00</t>
        </is>
      </c>
      <c r="H2238" s="4" t="inlineStr">
        <is>
          <t>Serene Blue</t>
        </is>
      </c>
      <c r="I2238" s="4">
        <f>IMAGE("https://images.lululemon.com/is/image/lululemon/32507",1)</f>
        <v/>
      </c>
      <c r="J2238" s="4" t="inlineStr">
        <is>
          <t>6</t>
        </is>
      </c>
      <c r="K2238" s="4" t="inlineStr">
        <is>
          <t>324/2382</t>
        </is>
      </c>
      <c r="L2238" s="4" t="inlineStr">
        <is>
          <t>Yes</t>
        </is>
      </c>
      <c r="M2238" s="4" t="inlineStr">
        <is>
          <t>Seamless support. This one-and-done yoga tank is made using our seamless construction for a smooth fit and features built-in support for a fuss-free practice.</t>
        </is>
      </c>
      <c r="N2238" s="4" t="inlineStr">
        <is>
          <t>Ebb-To-Street-RB-Crop-Tank</t>
        </is>
      </c>
      <c r="O2238" s="4" t="inlineStr"/>
    </row>
    <row r="2239" ht="80" customHeight="1">
      <c r="A2239" s="7">
        <f>IMAGE("https://images.lululemon.com/is/image/lululemon/LW1CJUS_0001_1?wid=320&amp;op_usm=0.8",1)</f>
        <v/>
      </c>
      <c r="B2239" s="7" t="inlineStr">
        <is>
          <t>Ebb to Street Cropped Racerback Tank Top *Light Support, B/C Cup</t>
        </is>
      </c>
      <c r="C2239" s="7" t="inlineStr">
        <is>
          <t>156751595</t>
        </is>
      </c>
      <c r="D2239" s="7" t="inlineStr">
        <is>
          <t>156751595-sereneblue</t>
        </is>
      </c>
      <c r="E2239" s="7" t="inlineStr">
        <is>
          <t>Ebb to Street Cropped Racerback Tank BLK 4</t>
        </is>
      </c>
      <c r="F2239" s="7" t="inlineStr">
        <is>
          <t>$68.00</t>
        </is>
      </c>
      <c r="G2239" s="7" t="inlineStr">
        <is>
          <t>$34.00</t>
        </is>
      </c>
      <c r="H2239" s="7" t="inlineStr">
        <is>
          <t>Serene Blue</t>
        </is>
      </c>
      <c r="I2239" s="7">
        <f>IMAGE("https://images.lululemon.com/is/image/lululemon/32507",1)</f>
        <v/>
      </c>
      <c r="J2239" s="7" t="inlineStr">
        <is>
          <t>8</t>
        </is>
      </c>
      <c r="K2239" s="7" t="inlineStr">
        <is>
          <t>259/2382</t>
        </is>
      </c>
      <c r="L2239" s="7" t="inlineStr">
        <is>
          <t>Yes</t>
        </is>
      </c>
      <c r="M2239" s="7" t="inlineStr">
        <is>
          <t>Seamless support. This one-and-done yoga tank is made using our seamless construction for a smooth fit and features built-in support for a fuss-free practice.</t>
        </is>
      </c>
      <c r="N2239" s="7" t="inlineStr">
        <is>
          <t>Ebb-To-Street-RB-Crop-Tank</t>
        </is>
      </c>
      <c r="O2239" s="7" t="inlineStr"/>
    </row>
    <row r="2240" ht="80" customHeight="1">
      <c r="A2240" s="4">
        <f>IMAGE("https://images.lululemon.com/is/image/lululemon/LW1CJUS_0001_1?wid=320&amp;op_usm=0.8",1)</f>
        <v/>
      </c>
      <c r="B2240" s="4" t="inlineStr">
        <is>
          <t>Ebb to Street Cropped Racerback Tank Top *Light Support, B/C Cup</t>
        </is>
      </c>
      <c r="C2240" s="4" t="inlineStr">
        <is>
          <t>156751578</t>
        </is>
      </c>
      <c r="D2240" s="4" t="inlineStr">
        <is>
          <t>156751578-sereneblue</t>
        </is>
      </c>
      <c r="E2240" s="4" t="inlineStr">
        <is>
          <t>Ebb to Street Cropped Racerback Tank BLK 4</t>
        </is>
      </c>
      <c r="F2240" s="4" t="inlineStr">
        <is>
          <t>$68.00</t>
        </is>
      </c>
      <c r="G2240" s="4" t="inlineStr">
        <is>
          <t>$34.00</t>
        </is>
      </c>
      <c r="H2240" s="4" t="inlineStr">
        <is>
          <t>Serene Blue</t>
        </is>
      </c>
      <c r="I2240" s="4">
        <f>IMAGE("https://images.lululemon.com/is/image/lululemon/32507",1)</f>
        <v/>
      </c>
      <c r="J2240" s="4" t="inlineStr">
        <is>
          <t>10</t>
        </is>
      </c>
      <c r="K2240" s="4" t="inlineStr">
        <is>
          <t>150/2382</t>
        </is>
      </c>
      <c r="L2240" s="4" t="inlineStr">
        <is>
          <t>Yes</t>
        </is>
      </c>
      <c r="M2240" s="4" t="inlineStr">
        <is>
          <t>Seamless support. This one-and-done yoga tank is made using our seamless construction for a smooth fit and features built-in support for a fuss-free practice.</t>
        </is>
      </c>
      <c r="N2240" s="4" t="inlineStr">
        <is>
          <t>Ebb-To-Street-RB-Crop-Tank</t>
        </is>
      </c>
      <c r="O2240" s="4" t="inlineStr"/>
    </row>
    <row r="2241" ht="80" customHeight="1">
      <c r="A2241" s="7">
        <f>IMAGE("https://images.lululemon.com/is/image/lululemon/LW1CJUS_0001_1?wid=320&amp;op_usm=0.8",1)</f>
        <v/>
      </c>
      <c r="B2241" s="7" t="inlineStr">
        <is>
          <t>Ebb to Street Cropped Racerback Tank Top *Light Support, B/C Cup</t>
        </is>
      </c>
      <c r="C2241" s="7" t="inlineStr">
        <is>
          <t>156751585</t>
        </is>
      </c>
      <c r="D2241" s="7" t="inlineStr">
        <is>
          <t>156751585-sereneblue</t>
        </is>
      </c>
      <c r="E2241" s="7" t="inlineStr">
        <is>
          <t>Ebb to Street Cropped Racerback Tank BLK 4</t>
        </is>
      </c>
      <c r="F2241" s="7" t="inlineStr">
        <is>
          <t>$68.00</t>
        </is>
      </c>
      <c r="G2241" s="7" t="inlineStr">
        <is>
          <t>$34.00</t>
        </is>
      </c>
      <c r="H2241" s="7" t="inlineStr">
        <is>
          <t>Serene Blue</t>
        </is>
      </c>
      <c r="I2241" s="7">
        <f>IMAGE("https://images.lululemon.com/is/image/lululemon/32507",1)</f>
        <v/>
      </c>
      <c r="J2241" s="7" t="inlineStr">
        <is>
          <t>12</t>
        </is>
      </c>
      <c r="K2241" s="7" t="inlineStr">
        <is>
          <t>64/2382</t>
        </is>
      </c>
      <c r="L2241" s="7" t="inlineStr">
        <is>
          <t>Yes</t>
        </is>
      </c>
      <c r="M2241" s="7" t="inlineStr">
        <is>
          <t>Seamless support. This one-and-done yoga tank is made using our seamless construction for a smooth fit and features built-in support for a fuss-free practice.</t>
        </is>
      </c>
      <c r="N2241" s="7" t="inlineStr">
        <is>
          <t>Ebb-To-Street-RB-Crop-Tank</t>
        </is>
      </c>
      <c r="O2241" s="7" t="inlineStr"/>
    </row>
    <row r="2242" ht="80" customHeight="1">
      <c r="A2242" s="4">
        <f>IMAGE("https://images.lululemon.com/is/image/lululemon/LW1CJUS_0001_1?wid=320&amp;op_usm=0.8",1)</f>
        <v/>
      </c>
      <c r="B2242" s="4" t="inlineStr">
        <is>
          <t>Ebb to Street Cropped Racerback Tank Top *Light Support, B/C Cup</t>
        </is>
      </c>
      <c r="C2242" s="4" t="inlineStr">
        <is>
          <t>157718454</t>
        </is>
      </c>
      <c r="D2242" s="4" t="inlineStr">
        <is>
          <t>157718454-brilliantblue</t>
        </is>
      </c>
      <c r="E2242" s="4" t="inlineStr">
        <is>
          <t>Ebb to Street Cropped Racerback Tank BLK 4</t>
        </is>
      </c>
      <c r="F2242" s="4" t="inlineStr">
        <is>
          <t>$68.00</t>
        </is>
      </c>
      <c r="G2242" s="4" t="inlineStr">
        <is>
          <t>$34.00</t>
        </is>
      </c>
      <c r="H2242" s="4" t="inlineStr">
        <is>
          <t>Brilliant Blue</t>
        </is>
      </c>
      <c r="I2242" s="4">
        <f>IMAGE("https://images.lululemon.com/is/image/lululemon/33190",1)</f>
        <v/>
      </c>
      <c r="J2242" s="4" t="inlineStr">
        <is>
          <t>4</t>
        </is>
      </c>
      <c r="K2242" s="4" t="inlineStr">
        <is>
          <t>50/2382</t>
        </is>
      </c>
      <c r="L2242" s="4" t="inlineStr">
        <is>
          <t>Yes</t>
        </is>
      </c>
      <c r="M2242" s="4" t="inlineStr">
        <is>
          <t>Seamless support. This one-and-done yoga tank is made using our seamless construction for a smooth fit and features built-in support for a fuss-free practice.</t>
        </is>
      </c>
      <c r="N2242" s="4" t="inlineStr">
        <is>
          <t>Ebb-To-Street-RB-Crop-Tank</t>
        </is>
      </c>
      <c r="O2242" s="4" t="inlineStr"/>
    </row>
    <row r="2243" ht="80" customHeight="1">
      <c r="A2243" s="7">
        <f>IMAGE("https://images.lululemon.com/is/image/lululemon/LW1CJUS_0001_1?wid=320&amp;op_usm=0.8",1)</f>
        <v/>
      </c>
      <c r="B2243" s="7" t="inlineStr">
        <is>
          <t>Ebb to Street Cropped Racerback Tank Top *Light Support, B/C Cup</t>
        </is>
      </c>
      <c r="C2243" s="7" t="inlineStr">
        <is>
          <t>157718455</t>
        </is>
      </c>
      <c r="D2243" s="7" t="inlineStr">
        <is>
          <t>157718455-brilliantblue</t>
        </is>
      </c>
      <c r="E2243" s="7" t="inlineStr">
        <is>
          <t>Ebb to Street Cropped Racerback Tank BLK 4</t>
        </is>
      </c>
      <c r="F2243" s="7" t="inlineStr">
        <is>
          <t>$68.00</t>
        </is>
      </c>
      <c r="G2243" s="7" t="inlineStr">
        <is>
          <t>$34.00</t>
        </is>
      </c>
      <c r="H2243" s="7" t="inlineStr">
        <is>
          <t>Brilliant Blue</t>
        </is>
      </c>
      <c r="I2243" s="7">
        <f>IMAGE("https://images.lululemon.com/is/image/lululemon/33190",1)</f>
        <v/>
      </c>
      <c r="J2243" s="7" t="inlineStr">
        <is>
          <t>6</t>
        </is>
      </c>
      <c r="K2243" s="7" t="inlineStr">
        <is>
          <t>57/2382</t>
        </is>
      </c>
      <c r="L2243" s="7" t="inlineStr">
        <is>
          <t>Yes</t>
        </is>
      </c>
      <c r="M2243" s="7" t="inlineStr">
        <is>
          <t>Seamless support. This one-and-done yoga tank is made using our seamless construction for a smooth fit and features built-in support for a fuss-free practice.</t>
        </is>
      </c>
      <c r="N2243" s="7" t="inlineStr">
        <is>
          <t>Ebb-To-Street-RB-Crop-Tank</t>
        </is>
      </c>
      <c r="O2243" s="7" t="inlineStr"/>
    </row>
    <row r="2244" ht="80" customHeight="1">
      <c r="A2244" s="4">
        <f>IMAGE("https://images.lululemon.com/is/image/lululemon/LW1CJUS_0001_1?wid=320&amp;op_usm=0.8",1)</f>
        <v/>
      </c>
      <c r="B2244" s="4" t="inlineStr">
        <is>
          <t>Ebb to Street Cropped Racerback Tank Top *Light Support, B/C Cup</t>
        </is>
      </c>
      <c r="C2244" s="4" t="inlineStr">
        <is>
          <t>157718456</t>
        </is>
      </c>
      <c r="D2244" s="4" t="inlineStr">
        <is>
          <t>157718456-brilliantblue</t>
        </is>
      </c>
      <c r="E2244" s="4" t="inlineStr">
        <is>
          <t>Ebb to Street Cropped Racerback Tank BLK 4</t>
        </is>
      </c>
      <c r="F2244" s="4" t="inlineStr">
        <is>
          <t>$68.00</t>
        </is>
      </c>
      <c r="G2244" s="4" t="inlineStr">
        <is>
          <t>$34.00</t>
        </is>
      </c>
      <c r="H2244" s="4" t="inlineStr">
        <is>
          <t>Brilliant Blue</t>
        </is>
      </c>
      <c r="I2244" s="4">
        <f>IMAGE("https://images.lululemon.com/is/image/lululemon/33190",1)</f>
        <v/>
      </c>
      <c r="J2244" s="4" t="inlineStr">
        <is>
          <t>8</t>
        </is>
      </c>
      <c r="K2244" s="4" t="inlineStr">
        <is>
          <t>44/2382</t>
        </is>
      </c>
      <c r="L2244" s="4" t="inlineStr">
        <is>
          <t>Yes</t>
        </is>
      </c>
      <c r="M2244" s="4" t="inlineStr">
        <is>
          <t>Seamless support. This one-and-done yoga tank is made using our seamless construction for a smooth fit and features built-in support for a fuss-free practice.</t>
        </is>
      </c>
      <c r="N2244" s="4" t="inlineStr">
        <is>
          <t>Ebb-To-Street-RB-Crop-Tank</t>
        </is>
      </c>
      <c r="O2244" s="4" t="inlineStr"/>
    </row>
    <row r="2245" ht="80" customHeight="1">
      <c r="A2245" s="7">
        <f>IMAGE("https://images.lululemon.com/is/image/lululemon/LW1CJUS_0001_1?wid=320&amp;op_usm=0.8",1)</f>
        <v/>
      </c>
      <c r="B2245" s="7" t="inlineStr">
        <is>
          <t>Ebb to Street Cropped Racerback Tank Top *Light Support, B/C Cup</t>
        </is>
      </c>
      <c r="C2245" s="7" t="inlineStr">
        <is>
          <t>157718452</t>
        </is>
      </c>
      <c r="D2245" s="7" t="inlineStr">
        <is>
          <t>157718452-brilliantblue</t>
        </is>
      </c>
      <c r="E2245" s="7" t="inlineStr">
        <is>
          <t>Ebb to Street Cropped Racerback Tank BLK 4</t>
        </is>
      </c>
      <c r="F2245" s="7" t="inlineStr">
        <is>
          <t>$68.00</t>
        </is>
      </c>
      <c r="G2245" s="7" t="inlineStr">
        <is>
          <t>$34.00</t>
        </is>
      </c>
      <c r="H2245" s="7" t="inlineStr">
        <is>
          <t>Brilliant Blue</t>
        </is>
      </c>
      <c r="I2245" s="7">
        <f>IMAGE("https://images.lululemon.com/is/image/lululemon/33190",1)</f>
        <v/>
      </c>
      <c r="J2245" s="7" t="inlineStr">
        <is>
          <t>10</t>
        </is>
      </c>
      <c r="K2245" s="7" t="inlineStr">
        <is>
          <t>38/2382</t>
        </is>
      </c>
      <c r="L2245" s="7" t="inlineStr">
        <is>
          <t>Yes</t>
        </is>
      </c>
      <c r="M2245" s="7" t="inlineStr">
        <is>
          <t>Seamless support. This one-and-done yoga tank is made using our seamless construction for a smooth fit and features built-in support for a fuss-free practice.</t>
        </is>
      </c>
      <c r="N2245" s="7" t="inlineStr">
        <is>
          <t>Ebb-To-Street-RB-Crop-Tank</t>
        </is>
      </c>
      <c r="O2245" s="7" t="inlineStr"/>
    </row>
    <row r="2246" ht="80" customHeight="1">
      <c r="A2246" s="4">
        <f>IMAGE("https://images.lululemon.com/is/image/lululemon/LW1CJUS_0001_1?wid=320&amp;op_usm=0.8",1)</f>
        <v/>
      </c>
      <c r="B2246" s="4" t="inlineStr">
        <is>
          <t>Ebb to Street Cropped Racerback Tank Top *Light Support, B/C Cup</t>
        </is>
      </c>
      <c r="C2246" s="4" t="inlineStr">
        <is>
          <t>157718453</t>
        </is>
      </c>
      <c r="D2246" s="4" t="inlineStr">
        <is>
          <t>157718453-brilliantblue</t>
        </is>
      </c>
      <c r="E2246" s="4" t="inlineStr">
        <is>
          <t>Ebb to Street Cropped Racerback Tank BLK 4</t>
        </is>
      </c>
      <c r="F2246" s="4" t="inlineStr">
        <is>
          <t>$68.00</t>
        </is>
      </c>
      <c r="G2246" s="4" t="inlineStr">
        <is>
          <t>$34.00</t>
        </is>
      </c>
      <c r="H2246" s="4" t="inlineStr">
        <is>
          <t>Brilliant Blue</t>
        </is>
      </c>
      <c r="I2246" s="4">
        <f>IMAGE("https://images.lululemon.com/is/image/lululemon/33190",1)</f>
        <v/>
      </c>
      <c r="J2246" s="4" t="inlineStr">
        <is>
          <t>12</t>
        </is>
      </c>
      <c r="K2246" s="4" t="inlineStr">
        <is>
          <t>12/2382</t>
        </is>
      </c>
      <c r="L2246" s="4" t="inlineStr">
        <is>
          <t>Yes</t>
        </is>
      </c>
      <c r="M2246" s="4" t="inlineStr">
        <is>
          <t>Seamless support. This one-and-done yoga tank is made using our seamless construction for a smooth fit and features built-in support for a fuss-free practice.</t>
        </is>
      </c>
      <c r="N2246" s="4" t="inlineStr">
        <is>
          <t>Ebb-To-Street-RB-Crop-Tank</t>
        </is>
      </c>
      <c r="O2246" s="4" t="inlineStr"/>
    </row>
    <row r="2247" ht="80" customHeight="1">
      <c r="A2247" s="7">
        <f>IMAGE("https://images.lululemon.com/is/image/lululemon/LW1CJUS_0001_1?wid=320&amp;op_usm=0.8",1)</f>
        <v/>
      </c>
      <c r="B2247" s="7" t="inlineStr">
        <is>
          <t>Ebb to Street Cropped Racerback Tank Top *Light Support, B/C Cup</t>
        </is>
      </c>
      <c r="C2247" s="7" t="inlineStr">
        <is>
          <t>157718459</t>
        </is>
      </c>
      <c r="D2247" s="7" t="inlineStr">
        <is>
          <t>157718459-walnutcrunch</t>
        </is>
      </c>
      <c r="E2247" s="7" t="inlineStr">
        <is>
          <t>Ebb to Street Cropped Racerback Tank BLK 4</t>
        </is>
      </c>
      <c r="F2247" s="7" t="inlineStr">
        <is>
          <t>$68.00</t>
        </is>
      </c>
      <c r="G2247" s="7" t="inlineStr">
        <is>
          <t>$34.00</t>
        </is>
      </c>
      <c r="H2247" s="7" t="inlineStr">
        <is>
          <t>Walnut Crunch</t>
        </is>
      </c>
      <c r="I2247" s="7">
        <f>IMAGE("https://images.lululemon.com/is/image/lululemon/72761",1)</f>
        <v/>
      </c>
      <c r="J2247" s="7" t="inlineStr">
        <is>
          <t>4</t>
        </is>
      </c>
      <c r="K2247" s="7" t="inlineStr">
        <is>
          <t>33/2382</t>
        </is>
      </c>
      <c r="L2247" s="7" t="inlineStr">
        <is>
          <t>Yes</t>
        </is>
      </c>
      <c r="M2247" s="7" t="inlineStr">
        <is>
          <t>Seamless support. This one-and-done yoga tank is made using our seamless construction for a smooth fit and features built-in support for a fuss-free practice.</t>
        </is>
      </c>
      <c r="N2247" s="7" t="inlineStr">
        <is>
          <t>Ebb-To-Street-RB-Crop-Tank</t>
        </is>
      </c>
      <c r="O2247" s="7" t="inlineStr"/>
    </row>
    <row r="2248" ht="80" customHeight="1">
      <c r="A2248" s="4">
        <f>IMAGE("https://images.lululemon.com/is/image/lululemon/LW1CJUS_0001_1?wid=320&amp;op_usm=0.8",1)</f>
        <v/>
      </c>
      <c r="B2248" s="4" t="inlineStr">
        <is>
          <t>Ebb to Street Cropped Racerback Tank Top *Light Support, B/C Cup</t>
        </is>
      </c>
      <c r="C2248" s="4" t="inlineStr">
        <is>
          <t>157718460</t>
        </is>
      </c>
      <c r="D2248" s="4" t="inlineStr">
        <is>
          <t>157718460-walnutcrunch</t>
        </is>
      </c>
      <c r="E2248" s="4" t="inlineStr">
        <is>
          <t>Ebb to Street Cropped Racerback Tank BLK 4</t>
        </is>
      </c>
      <c r="F2248" s="4" t="inlineStr">
        <is>
          <t>$68.00</t>
        </is>
      </c>
      <c r="G2248" s="4" t="inlineStr">
        <is>
          <t>$34.00</t>
        </is>
      </c>
      <c r="H2248" s="4" t="inlineStr">
        <is>
          <t>Walnut Crunch</t>
        </is>
      </c>
      <c r="I2248" s="4">
        <f>IMAGE("https://images.lululemon.com/is/image/lululemon/72761",1)</f>
        <v/>
      </c>
      <c r="J2248" s="4" t="inlineStr">
        <is>
          <t>6</t>
        </is>
      </c>
      <c r="K2248" s="4" t="inlineStr">
        <is>
          <t>35/2382</t>
        </is>
      </c>
      <c r="L2248" s="4" t="inlineStr">
        <is>
          <t>Yes</t>
        </is>
      </c>
      <c r="M2248" s="4" t="inlineStr">
        <is>
          <t>Seamless support. This one-and-done yoga tank is made using our seamless construction for a smooth fit and features built-in support for a fuss-free practice.</t>
        </is>
      </c>
      <c r="N2248" s="4" t="inlineStr">
        <is>
          <t>Ebb-To-Street-RB-Crop-Tank</t>
        </is>
      </c>
      <c r="O2248" s="4" t="inlineStr"/>
    </row>
    <row r="2249" ht="80" customHeight="1">
      <c r="A2249" s="7">
        <f>IMAGE("https://images.lululemon.com/is/image/lululemon/LW1CJUS_0001_1?wid=320&amp;op_usm=0.8",1)</f>
        <v/>
      </c>
      <c r="B2249" s="7" t="inlineStr">
        <is>
          <t>Ebb to Street Cropped Racerback Tank Top *Light Support, B/C Cup</t>
        </is>
      </c>
      <c r="C2249" s="7" t="inlineStr">
        <is>
          <t>157718461</t>
        </is>
      </c>
      <c r="D2249" s="7" t="inlineStr">
        <is>
          <t>157718461-walnutcrunch</t>
        </is>
      </c>
      <c r="E2249" s="7" t="inlineStr">
        <is>
          <t>Ebb to Street Cropped Racerback Tank BLK 4</t>
        </is>
      </c>
      <c r="F2249" s="7" t="inlineStr">
        <is>
          <t>$68.00</t>
        </is>
      </c>
      <c r="G2249" s="7" t="inlineStr">
        <is>
          <t>$34.00</t>
        </is>
      </c>
      <c r="H2249" s="7" t="inlineStr">
        <is>
          <t>Walnut Crunch</t>
        </is>
      </c>
      <c r="I2249" s="7">
        <f>IMAGE("https://images.lululemon.com/is/image/lululemon/72761",1)</f>
        <v/>
      </c>
      <c r="J2249" s="7" t="inlineStr">
        <is>
          <t>8</t>
        </is>
      </c>
      <c r="K2249" s="7" t="inlineStr">
        <is>
          <t>31/2382</t>
        </is>
      </c>
      <c r="L2249" s="7" t="inlineStr">
        <is>
          <t>Yes</t>
        </is>
      </c>
      <c r="M2249" s="7" t="inlineStr">
        <is>
          <t>Seamless support. This one-and-done yoga tank is made using our seamless construction for a smooth fit and features built-in support for a fuss-free practice.</t>
        </is>
      </c>
      <c r="N2249" s="7" t="inlineStr">
        <is>
          <t>Ebb-To-Street-RB-Crop-Tank</t>
        </is>
      </c>
      <c r="O2249" s="7" t="inlineStr"/>
    </row>
    <row r="2250" ht="80" customHeight="1">
      <c r="A2250" s="6">
        <f>IMAGE("https://images.lululemon.com/is/image/lululemon/LW1CJUS_0001_1?wid=320&amp;op_usm=0.8",1)</f>
        <v/>
      </c>
      <c r="B2250" s="6" t="inlineStr">
        <is>
          <t>Ebb to Street Cropped Racerback Tank Top *Light Support, B/C Cup</t>
        </is>
      </c>
      <c r="C2250" s="6" t="inlineStr">
        <is>
          <t>157718458</t>
        </is>
      </c>
      <c r="D2250" s="6" t="inlineStr">
        <is>
          <t>157718458-walnutcrunch</t>
        </is>
      </c>
      <c r="E2250" s="6" t="inlineStr">
        <is>
          <t>Ebb to Street Cropped Racerback Tank BLK 4</t>
        </is>
      </c>
      <c r="F2250" s="6" t="inlineStr">
        <is>
          <t>$68.00</t>
        </is>
      </c>
      <c r="G2250" s="6" t="inlineStr">
        <is>
          <t>$34.00</t>
        </is>
      </c>
      <c r="H2250" s="6" t="inlineStr">
        <is>
          <t>Walnut Crunch</t>
        </is>
      </c>
      <c r="I2250" s="6">
        <f>IMAGE("https://images.lululemon.com/is/image/lululemon/72761",1)</f>
        <v/>
      </c>
      <c r="J2250" s="6" t="inlineStr">
        <is>
          <t>12</t>
        </is>
      </c>
      <c r="K2250" s="6" t="inlineStr">
        <is>
          <t>9/2382</t>
        </is>
      </c>
      <c r="L2250" s="6" t="inlineStr">
        <is>
          <t>Yes</t>
        </is>
      </c>
      <c r="M2250" s="6" t="inlineStr">
        <is>
          <t>Seamless support. This one-and-done yoga tank is made using our seamless construction for a smooth fit and features built-in support for a fuss-free practice.</t>
        </is>
      </c>
      <c r="N2250" s="6" t="inlineStr">
        <is>
          <t>Ebb-To-Street-RB-Crop-Tank</t>
        </is>
      </c>
      <c r="O2250" s="6" t="inlineStr"/>
    </row>
    <row r="2251" ht="80" customHeight="1">
      <c r="A2251" s="5">
        <f>IMAGE("https://images.lululemon.com/is/image/lululemon/LW9FF2S_065675_1?wid=320&amp;op_usm=0.8",1)</f>
        <v/>
      </c>
      <c r="B2251" s="5" t="inlineStr">
        <is>
          <t>Criss-Cross Claw Clip</t>
        </is>
      </c>
      <c r="C2251" s="5" t="inlineStr">
        <is>
          <t>153885350</t>
        </is>
      </c>
      <c r="D2251" s="5" t="inlineStr">
        <is>
          <t>153885350-frenchpress/burntcaramel</t>
        </is>
      </c>
      <c r="E2251" s="5" t="inlineStr">
        <is>
          <t>Criss-Cross Claw Clip FRPR/BTCA ONE SIZE</t>
        </is>
      </c>
      <c r="F2251" s="5" t="inlineStr">
        <is>
          <t>$22.00</t>
        </is>
      </c>
      <c r="G2251" s="5" t="inlineStr">
        <is>
          <t>$11.00</t>
        </is>
      </c>
      <c r="H2251" s="5" t="inlineStr">
        <is>
          <t>French Press/Burnt Caramel</t>
        </is>
      </c>
      <c r="I2251" s="5">
        <f>IMAGE("https://images.lululemon.com/is/image/lululemon/65675",1)</f>
        <v/>
      </c>
      <c r="J2251" s="5" t="inlineStr">
        <is>
          <t>O/S</t>
        </is>
      </c>
      <c r="K2251" s="5" t="inlineStr">
        <is>
          <t>141/141</t>
        </is>
      </c>
      <c r="L2251" s="5" t="inlineStr">
        <is>
          <t>Yes</t>
        </is>
      </c>
      <c r="M2251" s="5" t="inlineStr">
        <is>
          <t>Styling made easy. This rounded clip has extra long prongs to help keep stray locks secured.</t>
        </is>
      </c>
      <c r="N2251" s="5" t="inlineStr">
        <is>
          <t>Criss-Cross-Claw-Clip</t>
        </is>
      </c>
      <c r="O2251" s="5" t="inlineStr">
        <is>
          <t>Hair Clips</t>
        </is>
      </c>
    </row>
    <row r="2252" ht="80" customHeight="1">
      <c r="A2252" s="4">
        <f>IMAGE("https://images.lululemon.com/is/image/lululemon/LW9EICS_0001_1?wid=320&amp;op_usm=0.8",1)</f>
        <v/>
      </c>
      <c r="B2252" s="4" t="inlineStr">
        <is>
          <t>Women's Wunder Train Gloves</t>
        </is>
      </c>
      <c r="C2252" s="4" t="inlineStr">
        <is>
          <t>142475098</t>
        </is>
      </c>
      <c r="D2252" s="4" t="inlineStr">
        <is>
          <t>142475098-black</t>
        </is>
      </c>
      <c r="E2252" s="4" t="inlineStr">
        <is>
          <t>Wunder Train Gloves BLK XS/S</t>
        </is>
      </c>
      <c r="F2252" s="4" t="inlineStr">
        <is>
          <t>$38.00</t>
        </is>
      </c>
      <c r="G2252" s="4" t="inlineStr">
        <is>
          <t>$19.00</t>
        </is>
      </c>
      <c r="H2252" s="4" t="inlineStr">
        <is>
          <t>Black</t>
        </is>
      </c>
      <c r="I2252" s="4">
        <f>IMAGE("https://images.lululemon.com/is/image/lululemon/0001",1)</f>
        <v/>
      </c>
      <c r="J2252" s="4" t="inlineStr">
        <is>
          <t>XS/S</t>
        </is>
      </c>
      <c r="K2252" s="4" t="inlineStr">
        <is>
          <t>112/200</t>
        </is>
      </c>
      <c r="L2252" s="4" t="inlineStr">
        <is>
          <t>Yes</t>
        </is>
      </c>
      <c r="M2252" s="4" t="inlineStr">
        <is>
          <t>From deadlifts to pull-ups, these ventilated gloves help protect your hands while you train.</t>
        </is>
      </c>
      <c r="N2252" s="4" t="inlineStr">
        <is>
          <t>Wunder-Train-Gloves</t>
        </is>
      </c>
      <c r="O2252" s="4" t="inlineStr"/>
    </row>
    <row r="2253" ht="80" customHeight="1">
      <c r="A2253" s="5">
        <f>IMAGE("https://images.lululemon.com/is/image/lululemon/LW9EICS_0001_1?wid=320&amp;op_usm=0.8",1)</f>
        <v/>
      </c>
      <c r="B2253" s="5" t="inlineStr">
        <is>
          <t>Women's Wunder Train Gloves</t>
        </is>
      </c>
      <c r="C2253" s="5" t="inlineStr">
        <is>
          <t>142475095</t>
        </is>
      </c>
      <c r="D2253" s="5" t="inlineStr">
        <is>
          <t>142475095-black</t>
        </is>
      </c>
      <c r="E2253" s="5" t="inlineStr">
        <is>
          <t>Wunder Train Gloves BLK XS/S</t>
        </is>
      </c>
      <c r="F2253" s="5" t="inlineStr">
        <is>
          <t>$38.00</t>
        </is>
      </c>
      <c r="G2253" s="5" t="inlineStr">
        <is>
          <t>$19.00</t>
        </is>
      </c>
      <c r="H2253" s="5" t="inlineStr">
        <is>
          <t>Black</t>
        </is>
      </c>
      <c r="I2253" s="5">
        <f>IMAGE("https://images.lululemon.com/is/image/lululemon/0001",1)</f>
        <v/>
      </c>
      <c r="J2253" s="5" t="inlineStr">
        <is>
          <t>M/L</t>
        </is>
      </c>
      <c r="K2253" s="5" t="inlineStr">
        <is>
          <t>88/200</t>
        </is>
      </c>
      <c r="L2253" s="5" t="inlineStr">
        <is>
          <t>Yes</t>
        </is>
      </c>
      <c r="M2253" s="5" t="inlineStr">
        <is>
          <t>From deadlifts to pull-ups, these ventilated gloves help protect your hands while you train.</t>
        </is>
      </c>
      <c r="N2253" s="5" t="inlineStr">
        <is>
          <t>Wunder-Train-Gloves</t>
        </is>
      </c>
      <c r="O2253" s="5" t="inlineStr"/>
    </row>
    <row r="2254" ht="80" customHeight="1">
      <c r="A2254" s="4">
        <f>IMAGE("https://images.lululemon.com/is/image/lululemon/LW5FARS_0001_1?wid=320&amp;op_usm=0.8",1)</f>
        <v/>
      </c>
      <c r="B2254" s="4" t="inlineStr">
        <is>
          <t>Fast and Free High-Rise Tight 25" *5 Pocket</t>
        </is>
      </c>
      <c r="C2254" s="4" t="inlineStr">
        <is>
          <t>146050927</t>
        </is>
      </c>
      <c r="D2254" s="4" t="inlineStr">
        <is>
          <t>146050927-black</t>
        </is>
      </c>
      <c r="E2254" s="4" t="inlineStr">
        <is>
          <t>Fast and Free HR Tight 25" *Pockets BLK 2</t>
        </is>
      </c>
      <c r="F2254" s="4" t="inlineStr">
        <is>
          <t>$128.00</t>
        </is>
      </c>
      <c r="G2254" s="4" t="inlineStr">
        <is>
          <t>$64.00</t>
        </is>
      </c>
      <c r="H2254" s="4" t="inlineStr">
        <is>
          <t>Black</t>
        </is>
      </c>
      <c r="I2254" s="4">
        <f>IMAGE("https://images.lululemon.com/is/image/lululemon/0001",1)</f>
        <v/>
      </c>
      <c r="J2254" s="4" t="inlineStr">
        <is>
          <t>2</t>
        </is>
      </c>
      <c r="K2254" s="4" t="inlineStr">
        <is>
          <t>225/2517</t>
        </is>
      </c>
      <c r="L2254" s="4" t="inlineStr">
        <is>
          <t>Yes</t>
        </is>
      </c>
      <c r="M2254" s="4" t="inlineStr">
        <is>
          <t>Set your run free. This five-pocket version of our Fast and Free tight has seam-free inner thighs and a streamlined waistband to maximize that smooth, weightless feeling.</t>
        </is>
      </c>
      <c r="N2254" s="4" t="inlineStr">
        <is>
          <t>Nulux-5-Pocket-HR-Running-Tight-25</t>
        </is>
      </c>
      <c r="O2254" s="4" t="inlineStr">
        <is>
          <t>5 Pocket Pants, Athletic Pants</t>
        </is>
      </c>
    </row>
    <row r="2255" ht="80" customHeight="1">
      <c r="A2255" s="7">
        <f>IMAGE("https://images.lululemon.com/is/image/lululemon/LW5FARS_0001_1?wid=320&amp;op_usm=0.8",1)</f>
        <v/>
      </c>
      <c r="B2255" s="7" t="inlineStr">
        <is>
          <t>Fast and Free High-Rise Tight 25" *5 Pocket</t>
        </is>
      </c>
      <c r="C2255" s="7" t="inlineStr">
        <is>
          <t>146050944</t>
        </is>
      </c>
      <c r="D2255" s="7" t="inlineStr">
        <is>
          <t>146050944-black</t>
        </is>
      </c>
      <c r="E2255" s="7" t="inlineStr">
        <is>
          <t>Fast and Free HR Tight 25" *Pockets BLK 2</t>
        </is>
      </c>
      <c r="F2255" s="7" t="inlineStr">
        <is>
          <t>$128.00</t>
        </is>
      </c>
      <c r="G2255" s="7" t="inlineStr">
        <is>
          <t>$64.00</t>
        </is>
      </c>
      <c r="H2255" s="7" t="inlineStr">
        <is>
          <t>Black</t>
        </is>
      </c>
      <c r="I2255" s="7">
        <f>IMAGE("https://images.lululemon.com/is/image/lululemon/0001",1)</f>
        <v/>
      </c>
      <c r="J2255" s="7" t="inlineStr">
        <is>
          <t>4</t>
        </is>
      </c>
      <c r="K2255" s="7" t="inlineStr">
        <is>
          <t>451/2517</t>
        </is>
      </c>
      <c r="L2255" s="7" t="inlineStr">
        <is>
          <t>Yes</t>
        </is>
      </c>
      <c r="M2255" s="7" t="inlineStr">
        <is>
          <t>Set your run free. This five-pocket version of our Fast and Free tight has seam-free inner thighs and a streamlined waistband to maximize that smooth, weightless feeling.</t>
        </is>
      </c>
      <c r="N2255" s="7" t="inlineStr">
        <is>
          <t>Nulux-5-Pocket-HR-Running-Tight-25</t>
        </is>
      </c>
      <c r="O2255" s="7" t="inlineStr">
        <is>
          <t>5 Pocket Pants, Athletic Pants</t>
        </is>
      </c>
    </row>
    <row r="2256" ht="80" customHeight="1">
      <c r="A2256" s="4">
        <f>IMAGE("https://images.lululemon.com/is/image/lululemon/LW5FARS_0001_1?wid=320&amp;op_usm=0.8",1)</f>
        <v/>
      </c>
      <c r="B2256" s="4" t="inlineStr">
        <is>
          <t>Fast and Free High-Rise Tight 25" *5 Pocket</t>
        </is>
      </c>
      <c r="C2256" s="4" t="inlineStr">
        <is>
          <t>146050948</t>
        </is>
      </c>
      <c r="D2256" s="4" t="inlineStr">
        <is>
          <t>146050948-black</t>
        </is>
      </c>
      <c r="E2256" s="4" t="inlineStr">
        <is>
          <t>Fast and Free HR Tight 25" *Pockets BLK 2</t>
        </is>
      </c>
      <c r="F2256" s="4" t="inlineStr">
        <is>
          <t>$128.00</t>
        </is>
      </c>
      <c r="G2256" s="4" t="inlineStr">
        <is>
          <t>$64.00</t>
        </is>
      </c>
      <c r="H2256" s="4" t="inlineStr">
        <is>
          <t>Black</t>
        </is>
      </c>
      <c r="I2256" s="4">
        <f>IMAGE("https://images.lululemon.com/is/image/lululemon/0001",1)</f>
        <v/>
      </c>
      <c r="J2256" s="4" t="inlineStr">
        <is>
          <t>6</t>
        </is>
      </c>
      <c r="K2256" s="4" t="inlineStr">
        <is>
          <t>318/2517</t>
        </is>
      </c>
      <c r="L2256" s="4" t="inlineStr">
        <is>
          <t>Yes</t>
        </is>
      </c>
      <c r="M2256" s="4" t="inlineStr">
        <is>
          <t>Set your run free. This five-pocket version of our Fast and Free tight has seam-free inner thighs and a streamlined waistband to maximize that smooth, weightless feeling.</t>
        </is>
      </c>
      <c r="N2256" s="4" t="inlineStr">
        <is>
          <t>Nulux-5-Pocket-HR-Running-Tight-25</t>
        </is>
      </c>
      <c r="O2256" s="4" t="inlineStr">
        <is>
          <t>5 Pocket Pants, Athletic Pants</t>
        </is>
      </c>
    </row>
    <row r="2257" ht="80" customHeight="1">
      <c r="A2257" s="7">
        <f>IMAGE("https://images.lululemon.com/is/image/lululemon/LW5FARS_0001_1?wid=320&amp;op_usm=0.8",1)</f>
        <v/>
      </c>
      <c r="B2257" s="7" t="inlineStr">
        <is>
          <t>Fast and Free High-Rise Tight 25" *5 Pocket</t>
        </is>
      </c>
      <c r="C2257" s="7" t="inlineStr">
        <is>
          <t>146050951</t>
        </is>
      </c>
      <c r="D2257" s="7" t="inlineStr">
        <is>
          <t>146050951-black</t>
        </is>
      </c>
      <c r="E2257" s="7" t="inlineStr">
        <is>
          <t>Fast and Free HR Tight 25" *Pockets BLK 2</t>
        </is>
      </c>
      <c r="F2257" s="7" t="inlineStr">
        <is>
          <t>$128.00</t>
        </is>
      </c>
      <c r="G2257" s="7" t="inlineStr">
        <is>
          <t>$64.00</t>
        </is>
      </c>
      <c r="H2257" s="7" t="inlineStr">
        <is>
          <t>Black</t>
        </is>
      </c>
      <c r="I2257" s="7">
        <f>IMAGE("https://images.lululemon.com/is/image/lululemon/0001",1)</f>
        <v/>
      </c>
      <c r="J2257" s="7" t="inlineStr">
        <is>
          <t>8</t>
        </is>
      </c>
      <c r="K2257" s="7" t="inlineStr">
        <is>
          <t>202/2517</t>
        </is>
      </c>
      <c r="L2257" s="7" t="inlineStr">
        <is>
          <t>Yes</t>
        </is>
      </c>
      <c r="M2257" s="7" t="inlineStr">
        <is>
          <t>Set your run free. This five-pocket version of our Fast and Free tight has seam-free inner thighs and a streamlined waistband to maximize that smooth, weightless feeling.</t>
        </is>
      </c>
      <c r="N2257" s="7" t="inlineStr">
        <is>
          <t>Nulux-5-Pocket-HR-Running-Tight-25</t>
        </is>
      </c>
      <c r="O2257" s="7" t="inlineStr">
        <is>
          <t>5 Pocket Pants, Athletic Pants</t>
        </is>
      </c>
    </row>
    <row r="2258" ht="80" customHeight="1">
      <c r="A2258" s="4">
        <f>IMAGE("https://images.lululemon.com/is/image/lululemon/LW5FARS_0001_1?wid=320&amp;op_usm=0.8",1)</f>
        <v/>
      </c>
      <c r="B2258" s="4" t="inlineStr">
        <is>
          <t>Fast and Free High-Rise Tight 25" *5 Pocket</t>
        </is>
      </c>
      <c r="C2258" s="4" t="inlineStr">
        <is>
          <t>146050908</t>
        </is>
      </c>
      <c r="D2258" s="4" t="inlineStr">
        <is>
          <t>146050908-black</t>
        </is>
      </c>
      <c r="E2258" s="4" t="inlineStr">
        <is>
          <t>Fast and Free HR Tight 25" *Pockets BLK 2</t>
        </is>
      </c>
      <c r="F2258" s="4" t="inlineStr">
        <is>
          <t>$128.00</t>
        </is>
      </c>
      <c r="G2258" s="4" t="inlineStr">
        <is>
          <t>$64.00</t>
        </is>
      </c>
      <c r="H2258" s="4" t="inlineStr">
        <is>
          <t>Black</t>
        </is>
      </c>
      <c r="I2258" s="4">
        <f>IMAGE("https://images.lululemon.com/is/image/lululemon/0001",1)</f>
        <v/>
      </c>
      <c r="J2258" s="4" t="inlineStr">
        <is>
          <t>10</t>
        </is>
      </c>
      <c r="K2258" s="4" t="inlineStr">
        <is>
          <t>51/2517</t>
        </is>
      </c>
      <c r="L2258" s="4" t="inlineStr">
        <is>
          <t>Yes</t>
        </is>
      </c>
      <c r="M2258" s="4" t="inlineStr">
        <is>
          <t>Set your run free. This five-pocket version of our Fast and Free tight has seam-free inner thighs and a streamlined waistband to maximize that smooth, weightless feeling.</t>
        </is>
      </c>
      <c r="N2258" s="4" t="inlineStr">
        <is>
          <t>Nulux-5-Pocket-HR-Running-Tight-25</t>
        </is>
      </c>
      <c r="O2258" s="4" t="inlineStr">
        <is>
          <t>5 Pocket Pants, Athletic Pants</t>
        </is>
      </c>
    </row>
    <row r="2259" ht="80" customHeight="1">
      <c r="A2259" s="7">
        <f>IMAGE("https://images.lululemon.com/is/image/lululemon/LW5FARS_0001_1?wid=320&amp;op_usm=0.8",1)</f>
        <v/>
      </c>
      <c r="B2259" s="7" t="inlineStr">
        <is>
          <t>Fast and Free High-Rise Tight 25" *5 Pocket</t>
        </is>
      </c>
      <c r="C2259" s="7" t="inlineStr">
        <is>
          <t>146050913</t>
        </is>
      </c>
      <c r="D2259" s="7" t="inlineStr">
        <is>
          <t>146050913-black</t>
        </is>
      </c>
      <c r="E2259" s="7" t="inlineStr">
        <is>
          <t>Fast and Free HR Tight 25" *Pockets BLK 2</t>
        </is>
      </c>
      <c r="F2259" s="7" t="inlineStr">
        <is>
          <t>$128.00</t>
        </is>
      </c>
      <c r="G2259" s="7" t="inlineStr">
        <is>
          <t>$64.00</t>
        </is>
      </c>
      <c r="H2259" s="7" t="inlineStr">
        <is>
          <t>Black</t>
        </is>
      </c>
      <c r="I2259" s="7">
        <f>IMAGE("https://images.lululemon.com/is/image/lululemon/0001",1)</f>
        <v/>
      </c>
      <c r="J2259" s="7" t="inlineStr">
        <is>
          <t>12</t>
        </is>
      </c>
      <c r="K2259" s="7" t="inlineStr">
        <is>
          <t>26/2517</t>
        </is>
      </c>
      <c r="L2259" s="7" t="inlineStr">
        <is>
          <t>Yes</t>
        </is>
      </c>
      <c r="M2259" s="7" t="inlineStr">
        <is>
          <t>Set your run free. This five-pocket version of our Fast and Free tight has seam-free inner thighs and a streamlined waistband to maximize that smooth, weightless feeling.</t>
        </is>
      </c>
      <c r="N2259" s="7" t="inlineStr">
        <is>
          <t>Nulux-5-Pocket-HR-Running-Tight-25</t>
        </is>
      </c>
      <c r="O2259" s="7" t="inlineStr">
        <is>
          <t>5 Pocket Pants, Athletic Pants</t>
        </is>
      </c>
    </row>
    <row r="2260" ht="80" customHeight="1">
      <c r="A2260" s="4">
        <f>IMAGE("https://images.lululemon.com/is/image/lululemon/LW5FARS_0001_1?wid=320&amp;op_usm=0.8",1)</f>
        <v/>
      </c>
      <c r="B2260" s="4" t="inlineStr">
        <is>
          <t>Fast and Free High-Rise Tight 25" *5 Pocket</t>
        </is>
      </c>
      <c r="C2260" s="4" t="inlineStr">
        <is>
          <t>156526449</t>
        </is>
      </c>
      <c r="D2260" s="4" t="inlineStr">
        <is>
          <t>156526449-warmashgrey</t>
        </is>
      </c>
      <c r="E2260" s="4" t="inlineStr">
        <is>
          <t>Fast and Free HR Tight 25" *Pockets BLK 2</t>
        </is>
      </c>
      <c r="F2260" s="4" t="inlineStr">
        <is>
          <t>$128.00</t>
        </is>
      </c>
      <c r="G2260" s="4" t="inlineStr">
        <is>
          <t>$64.00</t>
        </is>
      </c>
      <c r="H2260" s="4" t="inlineStr">
        <is>
          <t>Warm Ash Grey</t>
        </is>
      </c>
      <c r="I2260" s="4">
        <f>IMAGE("https://images.lululemon.com/is/image/lululemon/70108",1)</f>
        <v/>
      </c>
      <c r="J2260" s="4" t="inlineStr">
        <is>
          <t>2</t>
        </is>
      </c>
      <c r="K2260" s="4" t="inlineStr">
        <is>
          <t>15/2517</t>
        </is>
      </c>
      <c r="L2260" s="4" t="inlineStr">
        <is>
          <t>Yes</t>
        </is>
      </c>
      <c r="M2260" s="4" t="inlineStr">
        <is>
          <t>Set your run free. This five-pocket version of our Fast and Free tight has seam-free inner thighs and a streamlined waistband to maximize that smooth, weightless feeling.</t>
        </is>
      </c>
      <c r="N2260" s="4" t="inlineStr">
        <is>
          <t>Nulux-5-Pocket-HR-Running-Tight-25</t>
        </is>
      </c>
      <c r="O2260" s="4" t="inlineStr">
        <is>
          <t>5 Pocket Pants, Athletic Pants</t>
        </is>
      </c>
    </row>
    <row r="2261" ht="80" customHeight="1">
      <c r="A2261" s="7">
        <f>IMAGE("https://images.lululemon.com/is/image/lululemon/LW5FARS_0001_1?wid=320&amp;op_usm=0.8",1)</f>
        <v/>
      </c>
      <c r="B2261" s="7" t="inlineStr">
        <is>
          <t>Fast and Free High-Rise Tight 25" *5 Pocket</t>
        </is>
      </c>
      <c r="C2261" s="7" t="inlineStr">
        <is>
          <t>156526462</t>
        </is>
      </c>
      <c r="D2261" s="7" t="inlineStr">
        <is>
          <t>156526462-warmashgrey</t>
        </is>
      </c>
      <c r="E2261" s="7" t="inlineStr">
        <is>
          <t>Fast and Free HR Tight 25" *Pockets BLK 2</t>
        </is>
      </c>
      <c r="F2261" s="7" t="inlineStr">
        <is>
          <t>$128.00</t>
        </is>
      </c>
      <c r="G2261" s="7" t="inlineStr">
        <is>
          <t>$64.00</t>
        </is>
      </c>
      <c r="H2261" s="7" t="inlineStr">
        <is>
          <t>Warm Ash Grey</t>
        </is>
      </c>
      <c r="I2261" s="7">
        <f>IMAGE("https://images.lululemon.com/is/image/lululemon/70108",1)</f>
        <v/>
      </c>
      <c r="J2261" s="7" t="inlineStr">
        <is>
          <t>4</t>
        </is>
      </c>
      <c r="K2261" s="7" t="inlineStr">
        <is>
          <t>29/2517</t>
        </is>
      </c>
      <c r="L2261" s="7" t="inlineStr">
        <is>
          <t>Yes</t>
        </is>
      </c>
      <c r="M2261" s="7" t="inlineStr">
        <is>
          <t>Set your run free. This five-pocket version of our Fast and Free tight has seam-free inner thighs and a streamlined waistband to maximize that smooth, weightless feeling.</t>
        </is>
      </c>
      <c r="N2261" s="7" t="inlineStr">
        <is>
          <t>Nulux-5-Pocket-HR-Running-Tight-25</t>
        </is>
      </c>
      <c r="O2261" s="7" t="inlineStr">
        <is>
          <t>5 Pocket Pants, Athletic Pants</t>
        </is>
      </c>
    </row>
    <row r="2262" ht="80" customHeight="1">
      <c r="A2262" s="4">
        <f>IMAGE("https://images.lululemon.com/is/image/lululemon/LW5FARS_0001_1?wid=320&amp;op_usm=0.8",1)</f>
        <v/>
      </c>
      <c r="B2262" s="4" t="inlineStr">
        <is>
          <t>Fast and Free High-Rise Tight 25" *5 Pocket</t>
        </is>
      </c>
      <c r="C2262" s="4" t="inlineStr">
        <is>
          <t>156526465</t>
        </is>
      </c>
      <c r="D2262" s="4" t="inlineStr">
        <is>
          <t>156526465-warmashgrey</t>
        </is>
      </c>
      <c r="E2262" s="4" t="inlineStr">
        <is>
          <t>Fast and Free HR Tight 25" *Pockets BLK 2</t>
        </is>
      </c>
      <c r="F2262" s="4" t="inlineStr">
        <is>
          <t>$128.00</t>
        </is>
      </c>
      <c r="G2262" s="4" t="inlineStr">
        <is>
          <t>$64.00</t>
        </is>
      </c>
      <c r="H2262" s="4" t="inlineStr">
        <is>
          <t>Warm Ash Grey</t>
        </is>
      </c>
      <c r="I2262" s="4">
        <f>IMAGE("https://images.lululemon.com/is/image/lululemon/70108",1)</f>
        <v/>
      </c>
      <c r="J2262" s="4" t="inlineStr">
        <is>
          <t>6</t>
        </is>
      </c>
      <c r="K2262" s="4" t="inlineStr">
        <is>
          <t>34/2517</t>
        </is>
      </c>
      <c r="L2262" s="4" t="inlineStr">
        <is>
          <t>Yes</t>
        </is>
      </c>
      <c r="M2262" s="4" t="inlineStr">
        <is>
          <t>Set your run free. This five-pocket version of our Fast and Free tight has seam-free inner thighs and a streamlined waistband to maximize that smooth, weightless feeling.</t>
        </is>
      </c>
      <c r="N2262" s="4" t="inlineStr">
        <is>
          <t>Nulux-5-Pocket-HR-Running-Tight-25</t>
        </is>
      </c>
      <c r="O2262" s="4" t="inlineStr">
        <is>
          <t>5 Pocket Pants, Athletic Pants</t>
        </is>
      </c>
    </row>
    <row r="2263" ht="80" customHeight="1">
      <c r="A2263" s="7">
        <f>IMAGE("https://images.lululemon.com/is/image/lululemon/LW5FARS_0001_1?wid=320&amp;op_usm=0.8",1)</f>
        <v/>
      </c>
      <c r="B2263" s="7" t="inlineStr">
        <is>
          <t>Fast and Free High-Rise Tight 25" *5 Pocket</t>
        </is>
      </c>
      <c r="C2263" s="7" t="inlineStr">
        <is>
          <t>156526468</t>
        </is>
      </c>
      <c r="D2263" s="7" t="inlineStr">
        <is>
          <t>156526468-warmashgrey</t>
        </is>
      </c>
      <c r="E2263" s="7" t="inlineStr">
        <is>
          <t>Fast and Free HR Tight 25" *Pockets BLK 2</t>
        </is>
      </c>
      <c r="F2263" s="7" t="inlineStr">
        <is>
          <t>$128.00</t>
        </is>
      </c>
      <c r="G2263" s="7" t="inlineStr">
        <is>
          <t>$64.00</t>
        </is>
      </c>
      <c r="H2263" s="7" t="inlineStr">
        <is>
          <t>Warm Ash Grey</t>
        </is>
      </c>
      <c r="I2263" s="7">
        <f>IMAGE("https://images.lululemon.com/is/image/lululemon/70108",1)</f>
        <v/>
      </c>
      <c r="J2263" s="7" t="inlineStr">
        <is>
          <t>8</t>
        </is>
      </c>
      <c r="K2263" s="7" t="inlineStr">
        <is>
          <t>22/2517</t>
        </is>
      </c>
      <c r="L2263" s="7" t="inlineStr">
        <is>
          <t>Yes</t>
        </is>
      </c>
      <c r="M2263" s="7" t="inlineStr">
        <is>
          <t>Set your run free. This five-pocket version of our Fast and Free tight has seam-free inner thighs and a streamlined waistband to maximize that smooth, weightless feeling.</t>
        </is>
      </c>
      <c r="N2263" s="7" t="inlineStr">
        <is>
          <t>Nulux-5-Pocket-HR-Running-Tight-25</t>
        </is>
      </c>
      <c r="O2263" s="7" t="inlineStr">
        <is>
          <t>5 Pocket Pants, Athletic Pants</t>
        </is>
      </c>
    </row>
    <row r="2264" ht="80" customHeight="1">
      <c r="A2264" s="4">
        <f>IMAGE("https://images.lululemon.com/is/image/lululemon/LW5FARS_0001_1?wid=320&amp;op_usm=0.8",1)</f>
        <v/>
      </c>
      <c r="B2264" s="4" t="inlineStr">
        <is>
          <t>Fast and Free High-Rise Tight 25" *5 Pocket</t>
        </is>
      </c>
      <c r="C2264" s="4" t="inlineStr">
        <is>
          <t>156526435</t>
        </is>
      </c>
      <c r="D2264" s="4" t="inlineStr">
        <is>
          <t>156526435-warmashgrey</t>
        </is>
      </c>
      <c r="E2264" s="4" t="inlineStr">
        <is>
          <t>Fast and Free HR Tight 25" *Pockets BLK 2</t>
        </is>
      </c>
      <c r="F2264" s="4" t="inlineStr">
        <is>
          <t>$128.00</t>
        </is>
      </c>
      <c r="G2264" s="4" t="inlineStr">
        <is>
          <t>$64.00</t>
        </is>
      </c>
      <c r="H2264" s="4" t="inlineStr">
        <is>
          <t>Warm Ash Grey</t>
        </is>
      </c>
      <c r="I2264" s="4">
        <f>IMAGE("https://images.lululemon.com/is/image/lululemon/70108",1)</f>
        <v/>
      </c>
      <c r="J2264" s="4" t="inlineStr">
        <is>
          <t>10</t>
        </is>
      </c>
      <c r="K2264" s="4" t="inlineStr">
        <is>
          <t>14/2517</t>
        </is>
      </c>
      <c r="L2264" s="4" t="inlineStr">
        <is>
          <t>Yes</t>
        </is>
      </c>
      <c r="M2264" s="4" t="inlineStr">
        <is>
          <t>Set your run free. This five-pocket version of our Fast and Free tight has seam-free inner thighs and a streamlined waistband to maximize that smooth, weightless feeling.</t>
        </is>
      </c>
      <c r="N2264" s="4" t="inlineStr">
        <is>
          <t>Nulux-5-Pocket-HR-Running-Tight-25</t>
        </is>
      </c>
      <c r="O2264" s="4" t="inlineStr">
        <is>
          <t>5 Pocket Pants, Athletic Pants</t>
        </is>
      </c>
    </row>
    <row r="2265" ht="80" customHeight="1">
      <c r="A2265" s="7">
        <f>IMAGE("https://images.lululemon.com/is/image/lululemon/LW5FARS_0001_1?wid=320&amp;op_usm=0.8",1)</f>
        <v/>
      </c>
      <c r="B2265" s="7" t="inlineStr">
        <is>
          <t>Fast and Free High-Rise Tight 25" *5 Pocket</t>
        </is>
      </c>
      <c r="C2265" s="7" t="inlineStr">
        <is>
          <t>156526438</t>
        </is>
      </c>
      <c r="D2265" s="7" t="inlineStr">
        <is>
          <t>156526438-warmashgrey</t>
        </is>
      </c>
      <c r="E2265" s="7" t="inlineStr">
        <is>
          <t>Fast and Free HR Tight 25" *Pockets BLK 2</t>
        </is>
      </c>
      <c r="F2265" s="7" t="inlineStr">
        <is>
          <t>$128.00</t>
        </is>
      </c>
      <c r="G2265" s="7" t="inlineStr">
        <is>
          <t>$64.00</t>
        </is>
      </c>
      <c r="H2265" s="7" t="inlineStr">
        <is>
          <t>Warm Ash Grey</t>
        </is>
      </c>
      <c r="I2265" s="7">
        <f>IMAGE("https://images.lululemon.com/is/image/lululemon/70108",1)</f>
        <v/>
      </c>
      <c r="J2265" s="7" t="inlineStr">
        <is>
          <t>12</t>
        </is>
      </c>
      <c r="K2265" s="7" t="inlineStr">
        <is>
          <t>9/2517</t>
        </is>
      </c>
      <c r="L2265" s="7" t="inlineStr">
        <is>
          <t>Yes</t>
        </is>
      </c>
      <c r="M2265" s="7" t="inlineStr">
        <is>
          <t>Set your run free. This five-pocket version of our Fast and Free tight has seam-free inner thighs and a streamlined waistband to maximize that smooth, weightless feeling.</t>
        </is>
      </c>
      <c r="N2265" s="7" t="inlineStr">
        <is>
          <t>Nulux-5-Pocket-HR-Running-Tight-25</t>
        </is>
      </c>
      <c r="O2265" s="7" t="inlineStr">
        <is>
          <t>5 Pocket Pants, Athletic Pants</t>
        </is>
      </c>
    </row>
    <row r="2266" ht="80" customHeight="1">
      <c r="A2266" s="4">
        <f>IMAGE("https://images.lululemon.com/is/image/lululemon/LW5FARS_0001_1?wid=320&amp;op_usm=0.8",1)</f>
        <v/>
      </c>
      <c r="B2266" s="4" t="inlineStr">
        <is>
          <t>Fast and Free High-Rise Tight 25" *5 Pocket</t>
        </is>
      </c>
      <c r="C2266" s="4" t="inlineStr">
        <is>
          <t>153847137</t>
        </is>
      </c>
      <c r="D2266" s="4" t="inlineStr">
        <is>
          <t>153847137-espresso</t>
        </is>
      </c>
      <c r="E2266" s="4" t="inlineStr">
        <is>
          <t>Fast and Free HR Tight 25" *Pockets BLK 2</t>
        </is>
      </c>
      <c r="F2266" s="4" t="inlineStr">
        <is>
          <t>$128.00</t>
        </is>
      </c>
      <c r="G2266" s="4" t="inlineStr">
        <is>
          <t>$64.00</t>
        </is>
      </c>
      <c r="H2266" s="4" t="inlineStr">
        <is>
          <t>Espresso</t>
        </is>
      </c>
      <c r="I2266" s="4">
        <f>IMAGE("https://images.lululemon.com/is/image/lululemon/19746",1)</f>
        <v/>
      </c>
      <c r="J2266" s="4" t="inlineStr">
        <is>
          <t>2</t>
        </is>
      </c>
      <c r="K2266" s="4" t="inlineStr">
        <is>
          <t>9/2517</t>
        </is>
      </c>
      <c r="L2266" s="4" t="inlineStr">
        <is>
          <t>Yes</t>
        </is>
      </c>
      <c r="M2266" s="4" t="inlineStr">
        <is>
          <t>Set your run free. This five-pocket version of our Fast and Free tight has seam-free inner thighs and a streamlined waistband to maximize that smooth, weightless feeling.</t>
        </is>
      </c>
      <c r="N2266" s="4" t="inlineStr">
        <is>
          <t>Nulux-5-Pocket-HR-Running-Tight-25</t>
        </is>
      </c>
      <c r="O2266" s="4" t="inlineStr">
        <is>
          <t>5 Pocket Pants, Athletic Pants</t>
        </is>
      </c>
    </row>
    <row r="2267" ht="80" customHeight="1">
      <c r="A2267" s="7">
        <f>IMAGE("https://images.lululemon.com/is/image/lululemon/LW5FARS_0001_1?wid=320&amp;op_usm=0.8",1)</f>
        <v/>
      </c>
      <c r="B2267" s="7" t="inlineStr">
        <is>
          <t>Fast and Free High-Rise Tight 25" *5 Pocket</t>
        </is>
      </c>
      <c r="C2267" s="7" t="inlineStr">
        <is>
          <t>153847149</t>
        </is>
      </c>
      <c r="D2267" s="7" t="inlineStr">
        <is>
          <t>153847149-espresso</t>
        </is>
      </c>
      <c r="E2267" s="7" t="inlineStr">
        <is>
          <t>Fast and Free HR Tight 25" *Pockets BLK 2</t>
        </is>
      </c>
      <c r="F2267" s="7" t="inlineStr">
        <is>
          <t>$128.00</t>
        </is>
      </c>
      <c r="G2267" s="7" t="inlineStr">
        <is>
          <t>$64.00</t>
        </is>
      </c>
      <c r="H2267" s="7" t="inlineStr">
        <is>
          <t>Espresso</t>
        </is>
      </c>
      <c r="I2267" s="7">
        <f>IMAGE("https://images.lululemon.com/is/image/lululemon/19746",1)</f>
        <v/>
      </c>
      <c r="J2267" s="7" t="inlineStr">
        <is>
          <t>4</t>
        </is>
      </c>
      <c r="K2267" s="7" t="inlineStr">
        <is>
          <t>13/2517</t>
        </is>
      </c>
      <c r="L2267" s="7" t="inlineStr">
        <is>
          <t>Yes</t>
        </is>
      </c>
      <c r="M2267" s="7" t="inlineStr">
        <is>
          <t>Set your run free. This five-pocket version of our Fast and Free tight has seam-free inner thighs and a streamlined waistband to maximize that smooth, weightless feeling.</t>
        </is>
      </c>
      <c r="N2267" s="7" t="inlineStr">
        <is>
          <t>Nulux-5-Pocket-HR-Running-Tight-25</t>
        </is>
      </c>
      <c r="O2267" s="7" t="inlineStr">
        <is>
          <t>5 Pocket Pants, Athletic Pants</t>
        </is>
      </c>
    </row>
    <row r="2268" ht="80" customHeight="1">
      <c r="A2268" s="4">
        <f>IMAGE("https://images.lululemon.com/is/image/lululemon/LW5FARS_0001_1?wid=320&amp;op_usm=0.8",1)</f>
        <v/>
      </c>
      <c r="B2268" s="4" t="inlineStr">
        <is>
          <t>Fast and Free High-Rise Tight 25" *5 Pocket</t>
        </is>
      </c>
      <c r="C2268" s="4" t="inlineStr">
        <is>
          <t>153847151</t>
        </is>
      </c>
      <c r="D2268" s="4" t="inlineStr">
        <is>
          <t>153847151-espresso</t>
        </is>
      </c>
      <c r="E2268" s="4" t="inlineStr">
        <is>
          <t>Fast and Free HR Tight 25" *Pockets BLK 2</t>
        </is>
      </c>
      <c r="F2268" s="4" t="inlineStr">
        <is>
          <t>$128.00</t>
        </is>
      </c>
      <c r="G2268" s="4" t="inlineStr">
        <is>
          <t>$64.00</t>
        </is>
      </c>
      <c r="H2268" s="4" t="inlineStr">
        <is>
          <t>Espresso</t>
        </is>
      </c>
      <c r="I2268" s="4">
        <f>IMAGE("https://images.lululemon.com/is/image/lululemon/19746",1)</f>
        <v/>
      </c>
      <c r="J2268" s="4" t="inlineStr">
        <is>
          <t>6</t>
        </is>
      </c>
      <c r="K2268" s="4" t="inlineStr">
        <is>
          <t>5/2517</t>
        </is>
      </c>
      <c r="L2268" s="4" t="inlineStr">
        <is>
          <t>Yes</t>
        </is>
      </c>
      <c r="M2268" s="4" t="inlineStr">
        <is>
          <t>Set your run free. This five-pocket version of our Fast and Free tight has seam-free inner thighs and a streamlined waistband to maximize that smooth, weightless feeling.</t>
        </is>
      </c>
      <c r="N2268" s="4" t="inlineStr">
        <is>
          <t>Nulux-5-Pocket-HR-Running-Tight-25</t>
        </is>
      </c>
      <c r="O2268" s="4" t="inlineStr">
        <is>
          <t>5 Pocket Pants, Athletic Pants</t>
        </is>
      </c>
    </row>
    <row r="2269" ht="80" customHeight="1">
      <c r="A2269" s="7">
        <f>IMAGE("https://images.lululemon.com/is/image/lululemon/LW5FARS_0001_1?wid=320&amp;op_usm=0.8",1)</f>
        <v/>
      </c>
      <c r="B2269" s="7" t="inlineStr">
        <is>
          <t>Fast and Free High-Rise Tight 25" *5 Pocket</t>
        </is>
      </c>
      <c r="C2269" s="7" t="inlineStr">
        <is>
          <t>153847155</t>
        </is>
      </c>
      <c r="D2269" s="7" t="inlineStr">
        <is>
          <t>153847155-espresso</t>
        </is>
      </c>
      <c r="E2269" s="7" t="inlineStr">
        <is>
          <t>Fast and Free HR Tight 25" *Pockets BLK 2</t>
        </is>
      </c>
      <c r="F2269" s="7" t="inlineStr">
        <is>
          <t>$128.00</t>
        </is>
      </c>
      <c r="G2269" s="7" t="inlineStr">
        <is>
          <t>$64.00</t>
        </is>
      </c>
      <c r="H2269" s="7" t="inlineStr">
        <is>
          <t>Espresso</t>
        </is>
      </c>
      <c r="I2269" s="7">
        <f>IMAGE("https://images.lululemon.com/is/image/lululemon/19746",1)</f>
        <v/>
      </c>
      <c r="J2269" s="7" t="inlineStr">
        <is>
          <t>8</t>
        </is>
      </c>
      <c r="K2269" s="7" t="inlineStr">
        <is>
          <t>6/2517</t>
        </is>
      </c>
      <c r="L2269" s="7" t="inlineStr">
        <is>
          <t>Yes</t>
        </is>
      </c>
      <c r="M2269" s="7" t="inlineStr">
        <is>
          <t>Set your run free. This five-pocket version of our Fast and Free tight has seam-free inner thighs and a streamlined waistband to maximize that smooth, weightless feeling.</t>
        </is>
      </c>
      <c r="N2269" s="7" t="inlineStr">
        <is>
          <t>Nulux-5-Pocket-HR-Running-Tight-25</t>
        </is>
      </c>
      <c r="O2269" s="7" t="inlineStr">
        <is>
          <t>5 Pocket Pants, Athletic Pants</t>
        </is>
      </c>
    </row>
    <row r="2270" ht="80" customHeight="1">
      <c r="A2270" s="4">
        <f>IMAGE("https://images.lululemon.com/is/image/lululemon/LW5FARS_0001_1?wid=320&amp;op_usm=0.8",1)</f>
        <v/>
      </c>
      <c r="B2270" s="4" t="inlineStr">
        <is>
          <t>Fast and Free High-Rise Tight 25" *5 Pocket</t>
        </is>
      </c>
      <c r="C2270" s="4" t="inlineStr">
        <is>
          <t>153847129</t>
        </is>
      </c>
      <c r="D2270" s="4" t="inlineStr">
        <is>
          <t>153847129-espresso</t>
        </is>
      </c>
      <c r="E2270" s="4" t="inlineStr">
        <is>
          <t>Fast and Free HR Tight 25" *Pockets BLK 2</t>
        </is>
      </c>
      <c r="F2270" s="4" t="inlineStr">
        <is>
          <t>$128.00</t>
        </is>
      </c>
      <c r="G2270" s="4" t="inlineStr">
        <is>
          <t>$64.00</t>
        </is>
      </c>
      <c r="H2270" s="4" t="inlineStr">
        <is>
          <t>Espresso</t>
        </is>
      </c>
      <c r="I2270" s="4">
        <f>IMAGE("https://images.lululemon.com/is/image/lululemon/19746",1)</f>
        <v/>
      </c>
      <c r="J2270" s="4" t="inlineStr">
        <is>
          <t>10</t>
        </is>
      </c>
      <c r="K2270" s="4" t="inlineStr">
        <is>
          <t>3/2517</t>
        </is>
      </c>
      <c r="L2270" s="4" t="inlineStr">
        <is>
          <t>Yes</t>
        </is>
      </c>
      <c r="M2270" s="4" t="inlineStr">
        <is>
          <t>Set your run free. This five-pocket version of our Fast and Free tight has seam-free inner thighs and a streamlined waistband to maximize that smooth, weightless feeling.</t>
        </is>
      </c>
      <c r="N2270" s="4" t="inlineStr">
        <is>
          <t>Nulux-5-Pocket-HR-Running-Tight-25</t>
        </is>
      </c>
      <c r="O2270" s="4" t="inlineStr">
        <is>
          <t>5 Pocket Pants, Athletic Pants</t>
        </is>
      </c>
    </row>
    <row r="2271" ht="80" customHeight="1">
      <c r="A2271" s="7">
        <f>IMAGE("https://images.lululemon.com/is/image/lululemon/LW5FARS_0001_1?wid=320&amp;op_usm=0.8",1)</f>
        <v/>
      </c>
      <c r="B2271" s="7" t="inlineStr">
        <is>
          <t>Fast and Free High-Rise Tight 25" *5 Pocket</t>
        </is>
      </c>
      <c r="C2271" s="7" t="inlineStr">
        <is>
          <t>153847132</t>
        </is>
      </c>
      <c r="D2271" s="7" t="inlineStr">
        <is>
          <t>153847132-espresso</t>
        </is>
      </c>
      <c r="E2271" s="7" t="inlineStr">
        <is>
          <t>Fast and Free HR Tight 25" *Pockets BLK 2</t>
        </is>
      </c>
      <c r="F2271" s="7" t="inlineStr">
        <is>
          <t>$128.00</t>
        </is>
      </c>
      <c r="G2271" s="7" t="inlineStr">
        <is>
          <t>$64.00</t>
        </is>
      </c>
      <c r="H2271" s="7" t="inlineStr">
        <is>
          <t>Espresso</t>
        </is>
      </c>
      <c r="I2271" s="7">
        <f>IMAGE("https://images.lululemon.com/is/image/lululemon/19746",1)</f>
        <v/>
      </c>
      <c r="J2271" s="7" t="inlineStr">
        <is>
          <t>12</t>
        </is>
      </c>
      <c r="K2271" s="7" t="inlineStr">
        <is>
          <t>9/2517</t>
        </is>
      </c>
      <c r="L2271" s="7" t="inlineStr">
        <is>
          <t>Yes</t>
        </is>
      </c>
      <c r="M2271" s="7" t="inlineStr">
        <is>
          <t>Set your run free. This five-pocket version of our Fast and Free tight has seam-free inner thighs and a streamlined waistband to maximize that smooth, weightless feeling.</t>
        </is>
      </c>
      <c r="N2271" s="7" t="inlineStr">
        <is>
          <t>Nulux-5-Pocket-HR-Running-Tight-25</t>
        </is>
      </c>
      <c r="O2271" s="7" t="inlineStr">
        <is>
          <t>5 Pocket Pants, Athletic Pants</t>
        </is>
      </c>
    </row>
    <row r="2272" ht="80" customHeight="1">
      <c r="A2272" s="4">
        <f>IMAGE("https://images.lululemon.com/is/image/lululemon/LW5FARS_0001_1?wid=320&amp;op_usm=0.8",1)</f>
        <v/>
      </c>
      <c r="B2272" s="4" t="inlineStr">
        <is>
          <t>Fast and Free High-Rise Tight 25" *5 Pocket</t>
        </is>
      </c>
      <c r="C2272" s="4" t="inlineStr">
        <is>
          <t>158029178</t>
        </is>
      </c>
      <c r="D2272" s="4" t="inlineStr">
        <is>
          <t>158029178-riverside</t>
        </is>
      </c>
      <c r="E2272" s="4" t="inlineStr">
        <is>
          <t>Fast and Free HR Tight 25" *Pockets BLK 2</t>
        </is>
      </c>
      <c r="F2272" s="4" t="inlineStr">
        <is>
          <t>$128.00</t>
        </is>
      </c>
      <c r="G2272" s="4" t="inlineStr">
        <is>
          <t>$64.00</t>
        </is>
      </c>
      <c r="H2272" s="4" t="inlineStr">
        <is>
          <t>Riverside</t>
        </is>
      </c>
      <c r="I2272" s="4">
        <f>IMAGE("https://images.lululemon.com/is/image/lululemon/72622",1)</f>
        <v/>
      </c>
      <c r="J2272" s="4" t="inlineStr">
        <is>
          <t>2</t>
        </is>
      </c>
      <c r="K2272" s="4" t="inlineStr">
        <is>
          <t>73/2517</t>
        </is>
      </c>
      <c r="L2272" s="4" t="inlineStr">
        <is>
          <t>Yes</t>
        </is>
      </c>
      <c r="M2272" s="4" t="inlineStr">
        <is>
          <t>Set your run free. This five-pocket version of our Fast and Free tight has seam-free inner thighs and a streamlined waistband to maximize that smooth, weightless feeling.</t>
        </is>
      </c>
      <c r="N2272" s="4" t="inlineStr">
        <is>
          <t>Nulux-5-Pocket-HR-Running-Tight-25</t>
        </is>
      </c>
      <c r="O2272" s="4" t="inlineStr">
        <is>
          <t>5 Pocket Pants, Athletic Pants</t>
        </is>
      </c>
    </row>
    <row r="2273" ht="80" customHeight="1">
      <c r="A2273" s="7">
        <f>IMAGE("https://images.lululemon.com/is/image/lululemon/LW5FARS_0001_1?wid=320&amp;op_usm=0.8",1)</f>
        <v/>
      </c>
      <c r="B2273" s="7" t="inlineStr">
        <is>
          <t>Fast and Free High-Rise Tight 25" *5 Pocket</t>
        </is>
      </c>
      <c r="C2273" s="7" t="inlineStr">
        <is>
          <t>158029186</t>
        </is>
      </c>
      <c r="D2273" s="7" t="inlineStr">
        <is>
          <t>158029186-riverside</t>
        </is>
      </c>
      <c r="E2273" s="7" t="inlineStr">
        <is>
          <t>Fast and Free HR Tight 25" *Pockets BLK 2</t>
        </is>
      </c>
      <c r="F2273" s="7" t="inlineStr">
        <is>
          <t>$128.00</t>
        </is>
      </c>
      <c r="G2273" s="7" t="inlineStr">
        <is>
          <t>$64.00</t>
        </is>
      </c>
      <c r="H2273" s="7" t="inlineStr">
        <is>
          <t>Riverside</t>
        </is>
      </c>
      <c r="I2273" s="7">
        <f>IMAGE("https://images.lululemon.com/is/image/lululemon/72622",1)</f>
        <v/>
      </c>
      <c r="J2273" s="7" t="inlineStr">
        <is>
          <t>4</t>
        </is>
      </c>
      <c r="K2273" s="7" t="inlineStr">
        <is>
          <t>164/2517</t>
        </is>
      </c>
      <c r="L2273" s="7" t="inlineStr">
        <is>
          <t>Yes</t>
        </is>
      </c>
      <c r="M2273" s="7" t="inlineStr">
        <is>
          <t>Set your run free. This five-pocket version of our Fast and Free tight has seam-free inner thighs and a streamlined waistband to maximize that smooth, weightless feeling.</t>
        </is>
      </c>
      <c r="N2273" s="7" t="inlineStr">
        <is>
          <t>Nulux-5-Pocket-HR-Running-Tight-25</t>
        </is>
      </c>
      <c r="O2273" s="7" t="inlineStr">
        <is>
          <t>5 Pocket Pants, Athletic Pants</t>
        </is>
      </c>
    </row>
    <row r="2274" ht="80" customHeight="1">
      <c r="A2274" s="4">
        <f>IMAGE("https://images.lululemon.com/is/image/lululemon/LW5FARS_0001_1?wid=320&amp;op_usm=0.8",1)</f>
        <v/>
      </c>
      <c r="B2274" s="4" t="inlineStr">
        <is>
          <t>Fast and Free High-Rise Tight 25" *5 Pocket</t>
        </is>
      </c>
      <c r="C2274" s="4" t="inlineStr">
        <is>
          <t>158029194</t>
        </is>
      </c>
      <c r="D2274" s="4" t="inlineStr">
        <is>
          <t>158029194-riverside</t>
        </is>
      </c>
      <c r="E2274" s="4" t="inlineStr">
        <is>
          <t>Fast and Free HR Tight 25" *Pockets BLK 2</t>
        </is>
      </c>
      <c r="F2274" s="4" t="inlineStr">
        <is>
          <t>$128.00</t>
        </is>
      </c>
      <c r="G2274" s="4" t="inlineStr">
        <is>
          <t>$64.00</t>
        </is>
      </c>
      <c r="H2274" s="4" t="inlineStr">
        <is>
          <t>Riverside</t>
        </is>
      </c>
      <c r="I2274" s="4">
        <f>IMAGE("https://images.lululemon.com/is/image/lululemon/72622",1)</f>
        <v/>
      </c>
      <c r="J2274" s="4" t="inlineStr">
        <is>
          <t>6</t>
        </is>
      </c>
      <c r="K2274" s="4" t="inlineStr">
        <is>
          <t>187/2517</t>
        </is>
      </c>
      <c r="L2274" s="4" t="inlineStr">
        <is>
          <t>Yes</t>
        </is>
      </c>
      <c r="M2274" s="4" t="inlineStr">
        <is>
          <t>Set your run free. This five-pocket version of our Fast and Free tight has seam-free inner thighs and a streamlined waistband to maximize that smooth, weightless feeling.</t>
        </is>
      </c>
      <c r="N2274" s="4" t="inlineStr">
        <is>
          <t>Nulux-5-Pocket-HR-Running-Tight-25</t>
        </is>
      </c>
      <c r="O2274" s="4" t="inlineStr">
        <is>
          <t>5 Pocket Pants, Athletic Pants</t>
        </is>
      </c>
    </row>
    <row r="2275" ht="80" customHeight="1">
      <c r="A2275" s="7">
        <f>IMAGE("https://images.lululemon.com/is/image/lululemon/LW5FARS_0001_1?wid=320&amp;op_usm=0.8",1)</f>
        <v/>
      </c>
      <c r="B2275" s="7" t="inlineStr">
        <is>
          <t>Fast and Free High-Rise Tight 25" *5 Pocket</t>
        </is>
      </c>
      <c r="C2275" s="7" t="inlineStr">
        <is>
          <t>158029200</t>
        </is>
      </c>
      <c r="D2275" s="7" t="inlineStr">
        <is>
          <t>158029200-riverside</t>
        </is>
      </c>
      <c r="E2275" s="7" t="inlineStr">
        <is>
          <t>Fast and Free HR Tight 25" *Pockets BLK 2</t>
        </is>
      </c>
      <c r="F2275" s="7" t="inlineStr">
        <is>
          <t>$128.00</t>
        </is>
      </c>
      <c r="G2275" s="7" t="inlineStr">
        <is>
          <t>$64.00</t>
        </is>
      </c>
      <c r="H2275" s="7" t="inlineStr">
        <is>
          <t>Riverside</t>
        </is>
      </c>
      <c r="I2275" s="7">
        <f>IMAGE("https://images.lululemon.com/is/image/lululemon/72622",1)</f>
        <v/>
      </c>
      <c r="J2275" s="7" t="inlineStr">
        <is>
          <t>8</t>
        </is>
      </c>
      <c r="K2275" s="7" t="inlineStr">
        <is>
          <t>146/2517</t>
        </is>
      </c>
      <c r="L2275" s="7" t="inlineStr">
        <is>
          <t>Yes</t>
        </is>
      </c>
      <c r="M2275" s="7" t="inlineStr">
        <is>
          <t>Set your run free. This five-pocket version of our Fast and Free tight has seam-free inner thighs and a streamlined waistband to maximize that smooth, weightless feeling.</t>
        </is>
      </c>
      <c r="N2275" s="7" t="inlineStr">
        <is>
          <t>Nulux-5-Pocket-HR-Running-Tight-25</t>
        </is>
      </c>
      <c r="O2275" s="7" t="inlineStr">
        <is>
          <t>5 Pocket Pants, Athletic Pants</t>
        </is>
      </c>
    </row>
    <row r="2276" ht="80" customHeight="1">
      <c r="A2276" s="4">
        <f>IMAGE("https://images.lululemon.com/is/image/lululemon/LW5FARS_0001_1?wid=320&amp;op_usm=0.8",1)</f>
        <v/>
      </c>
      <c r="B2276" s="4" t="inlineStr">
        <is>
          <t>Fast and Free High-Rise Tight 25" *5 Pocket</t>
        </is>
      </c>
      <c r="C2276" s="4" t="inlineStr">
        <is>
          <t>158029137</t>
        </is>
      </c>
      <c r="D2276" s="4" t="inlineStr">
        <is>
          <t>158029137-riverside</t>
        </is>
      </c>
      <c r="E2276" s="4" t="inlineStr">
        <is>
          <t>Fast and Free HR Tight 25" *Pockets BLK 2</t>
        </is>
      </c>
      <c r="F2276" s="4" t="inlineStr">
        <is>
          <t>$128.00</t>
        </is>
      </c>
      <c r="G2276" s="4" t="inlineStr">
        <is>
          <t>$64.00</t>
        </is>
      </c>
      <c r="H2276" s="4" t="inlineStr">
        <is>
          <t>Riverside</t>
        </is>
      </c>
      <c r="I2276" s="4">
        <f>IMAGE("https://images.lululemon.com/is/image/lululemon/72622",1)</f>
        <v/>
      </c>
      <c r="J2276" s="4" t="inlineStr">
        <is>
          <t>10</t>
        </is>
      </c>
      <c r="K2276" s="4" t="inlineStr">
        <is>
          <t>86/2517</t>
        </is>
      </c>
      <c r="L2276" s="4" t="inlineStr">
        <is>
          <t>Yes</t>
        </is>
      </c>
      <c r="M2276" s="4" t="inlineStr">
        <is>
          <t>Set your run free. This five-pocket version of our Fast and Free tight has seam-free inner thighs and a streamlined waistband to maximize that smooth, weightless feeling.</t>
        </is>
      </c>
      <c r="N2276" s="4" t="inlineStr">
        <is>
          <t>Nulux-5-Pocket-HR-Running-Tight-25</t>
        </is>
      </c>
      <c r="O2276" s="4" t="inlineStr">
        <is>
          <t>5 Pocket Pants, Athletic Pants</t>
        </is>
      </c>
    </row>
    <row r="2277" ht="80" customHeight="1">
      <c r="A2277" s="7">
        <f>IMAGE("https://images.lululemon.com/is/image/lululemon/LW5FARS_0001_1?wid=320&amp;op_usm=0.8",1)</f>
        <v/>
      </c>
      <c r="B2277" s="7" t="inlineStr">
        <is>
          <t>Fast and Free High-Rise Tight 25" *5 Pocket</t>
        </is>
      </c>
      <c r="C2277" s="7" t="inlineStr">
        <is>
          <t>158029146</t>
        </is>
      </c>
      <c r="D2277" s="7" t="inlineStr">
        <is>
          <t>158029146-riverside</t>
        </is>
      </c>
      <c r="E2277" s="7" t="inlineStr">
        <is>
          <t>Fast and Free HR Tight 25" *Pockets BLK 2</t>
        </is>
      </c>
      <c r="F2277" s="7" t="inlineStr">
        <is>
          <t>$128.00</t>
        </is>
      </c>
      <c r="G2277" s="7" t="inlineStr">
        <is>
          <t>$64.00</t>
        </is>
      </c>
      <c r="H2277" s="7" t="inlineStr">
        <is>
          <t>Riverside</t>
        </is>
      </c>
      <c r="I2277" s="7">
        <f>IMAGE("https://images.lululemon.com/is/image/lululemon/72622",1)</f>
        <v/>
      </c>
      <c r="J2277" s="7" t="inlineStr">
        <is>
          <t>12</t>
        </is>
      </c>
      <c r="K2277" s="7" t="inlineStr">
        <is>
          <t>36/2517</t>
        </is>
      </c>
      <c r="L2277" s="7" t="inlineStr">
        <is>
          <t>Yes</t>
        </is>
      </c>
      <c r="M2277" s="7" t="inlineStr">
        <is>
          <t>Set your run free. This five-pocket version of our Fast and Free tight has seam-free inner thighs and a streamlined waistband to maximize that smooth, weightless feeling.</t>
        </is>
      </c>
      <c r="N2277" s="7" t="inlineStr">
        <is>
          <t>Nulux-5-Pocket-HR-Running-Tight-25</t>
        </is>
      </c>
      <c r="O2277" s="7" t="inlineStr">
        <is>
          <t>5 Pocket Pants, Athletic Pants</t>
        </is>
      </c>
    </row>
    <row r="2278" ht="80" customHeight="1">
      <c r="A2278" s="4">
        <f>IMAGE("https://images.lululemon.com/is/image/lululemon/LW5FARS_0001_1?wid=320&amp;op_usm=0.8",1)</f>
        <v/>
      </c>
      <c r="B2278" s="4" t="inlineStr">
        <is>
          <t>Fast and Free High-Rise Tight 25" *5 Pocket</t>
        </is>
      </c>
      <c r="C2278" s="4" t="inlineStr">
        <is>
          <t>158028734</t>
        </is>
      </c>
      <c r="D2278" s="4" t="inlineStr">
        <is>
          <t>158028734-brilliantblue</t>
        </is>
      </c>
      <c r="E2278" s="4" t="inlineStr">
        <is>
          <t>Fast and Free HR Tight 25" *Pockets BLK 2</t>
        </is>
      </c>
      <c r="F2278" s="4" t="inlineStr">
        <is>
          <t>$128.00</t>
        </is>
      </c>
      <c r="G2278" s="4" t="inlineStr">
        <is>
          <t>$64.00</t>
        </is>
      </c>
      <c r="H2278" s="4" t="inlineStr">
        <is>
          <t>Brilliant Blue</t>
        </is>
      </c>
      <c r="I2278" s="4">
        <f>IMAGE("https://images.lululemon.com/is/image/lululemon/33190",1)</f>
        <v/>
      </c>
      <c r="J2278" s="4" t="inlineStr">
        <is>
          <t>2</t>
        </is>
      </c>
      <c r="K2278" s="4" t="inlineStr">
        <is>
          <t>38/2517</t>
        </is>
      </c>
      <c r="L2278" s="4" t="inlineStr">
        <is>
          <t>Yes</t>
        </is>
      </c>
      <c r="M2278" s="4" t="inlineStr">
        <is>
          <t>Set your run free. This five-pocket version of our Fast and Free tight has seam-free inner thighs and a streamlined waistband to maximize that smooth, weightless feeling.</t>
        </is>
      </c>
      <c r="N2278" s="4" t="inlineStr">
        <is>
          <t>Nulux-5-Pocket-HR-Running-Tight-25</t>
        </is>
      </c>
      <c r="O2278" s="4" t="inlineStr">
        <is>
          <t>5 Pocket Pants, Athletic Pants</t>
        </is>
      </c>
    </row>
    <row r="2279" ht="80" customHeight="1">
      <c r="A2279" s="7">
        <f>IMAGE("https://images.lululemon.com/is/image/lululemon/LW5FARS_0001_1?wid=320&amp;op_usm=0.8",1)</f>
        <v/>
      </c>
      <c r="B2279" s="7" t="inlineStr">
        <is>
          <t>Fast and Free High-Rise Tight 25" *5 Pocket</t>
        </is>
      </c>
      <c r="C2279" s="7" t="inlineStr">
        <is>
          <t>158028755</t>
        </is>
      </c>
      <c r="D2279" s="7" t="inlineStr">
        <is>
          <t>158028755-brilliantblue</t>
        </is>
      </c>
      <c r="E2279" s="7" t="inlineStr">
        <is>
          <t>Fast and Free HR Tight 25" *Pockets BLK 2</t>
        </is>
      </c>
      <c r="F2279" s="7" t="inlineStr">
        <is>
          <t>$128.00</t>
        </is>
      </c>
      <c r="G2279" s="7" t="inlineStr">
        <is>
          <t>$64.00</t>
        </is>
      </c>
      <c r="H2279" s="7" t="inlineStr">
        <is>
          <t>Brilliant Blue</t>
        </is>
      </c>
      <c r="I2279" s="7">
        <f>IMAGE("https://images.lululemon.com/is/image/lululemon/33190",1)</f>
        <v/>
      </c>
      <c r="J2279" s="7" t="inlineStr">
        <is>
          <t>4</t>
        </is>
      </c>
      <c r="K2279" s="7" t="inlineStr">
        <is>
          <t>89/2517</t>
        </is>
      </c>
      <c r="L2279" s="7" t="inlineStr">
        <is>
          <t>Yes</t>
        </is>
      </c>
      <c r="M2279" s="7" t="inlineStr">
        <is>
          <t>Set your run free. This five-pocket version of our Fast and Free tight has seam-free inner thighs and a streamlined waistband to maximize that smooth, weightless feeling.</t>
        </is>
      </c>
      <c r="N2279" s="7" t="inlineStr">
        <is>
          <t>Nulux-5-Pocket-HR-Running-Tight-25</t>
        </is>
      </c>
      <c r="O2279" s="7" t="inlineStr">
        <is>
          <t>5 Pocket Pants, Athletic Pants</t>
        </is>
      </c>
    </row>
    <row r="2280" ht="80" customHeight="1">
      <c r="A2280" s="4">
        <f>IMAGE("https://images.lululemon.com/is/image/lululemon/LW5FARS_0001_1?wid=320&amp;op_usm=0.8",1)</f>
        <v/>
      </c>
      <c r="B2280" s="4" t="inlineStr">
        <is>
          <t>Fast and Free High-Rise Tight 25" *5 Pocket</t>
        </is>
      </c>
      <c r="C2280" s="4" t="inlineStr">
        <is>
          <t>158028765</t>
        </is>
      </c>
      <c r="D2280" s="4" t="inlineStr">
        <is>
          <t>158028765-brilliantblue</t>
        </is>
      </c>
      <c r="E2280" s="4" t="inlineStr">
        <is>
          <t>Fast and Free HR Tight 25" *Pockets BLK 2</t>
        </is>
      </c>
      <c r="F2280" s="4" t="inlineStr">
        <is>
          <t>$128.00</t>
        </is>
      </c>
      <c r="G2280" s="4" t="inlineStr">
        <is>
          <t>$64.00</t>
        </is>
      </c>
      <c r="H2280" s="4" t="inlineStr">
        <is>
          <t>Brilliant Blue</t>
        </is>
      </c>
      <c r="I2280" s="4">
        <f>IMAGE("https://images.lululemon.com/is/image/lululemon/33190",1)</f>
        <v/>
      </c>
      <c r="J2280" s="4" t="inlineStr">
        <is>
          <t>6</t>
        </is>
      </c>
      <c r="K2280" s="4" t="inlineStr">
        <is>
          <t>106/2517</t>
        </is>
      </c>
      <c r="L2280" s="4" t="inlineStr">
        <is>
          <t>Yes</t>
        </is>
      </c>
      <c r="M2280" s="4" t="inlineStr">
        <is>
          <t>Set your run free. This five-pocket version of our Fast and Free tight has seam-free inner thighs and a streamlined waistband to maximize that smooth, weightless feeling.</t>
        </is>
      </c>
      <c r="N2280" s="4" t="inlineStr">
        <is>
          <t>Nulux-5-Pocket-HR-Running-Tight-25</t>
        </is>
      </c>
      <c r="O2280" s="4" t="inlineStr">
        <is>
          <t>5 Pocket Pants, Athletic Pants</t>
        </is>
      </c>
    </row>
    <row r="2281" ht="80" customHeight="1">
      <c r="A2281" s="7">
        <f>IMAGE("https://images.lululemon.com/is/image/lululemon/LW5FARS_0001_1?wid=320&amp;op_usm=0.8",1)</f>
        <v/>
      </c>
      <c r="B2281" s="7" t="inlineStr">
        <is>
          <t>Fast and Free High-Rise Tight 25" *5 Pocket</t>
        </is>
      </c>
      <c r="C2281" s="7" t="inlineStr">
        <is>
          <t>158028774</t>
        </is>
      </c>
      <c r="D2281" s="7" t="inlineStr">
        <is>
          <t>158028774-brilliantblue</t>
        </is>
      </c>
      <c r="E2281" s="7" t="inlineStr">
        <is>
          <t>Fast and Free HR Tight 25" *Pockets BLK 2</t>
        </is>
      </c>
      <c r="F2281" s="7" t="inlineStr">
        <is>
          <t>$128.00</t>
        </is>
      </c>
      <c r="G2281" s="7" t="inlineStr">
        <is>
          <t>$64.00</t>
        </is>
      </c>
      <c r="H2281" s="7" t="inlineStr">
        <is>
          <t>Brilliant Blue</t>
        </is>
      </c>
      <c r="I2281" s="7">
        <f>IMAGE("https://images.lululemon.com/is/image/lululemon/33190",1)</f>
        <v/>
      </c>
      <c r="J2281" s="7" t="inlineStr">
        <is>
          <t>8</t>
        </is>
      </c>
      <c r="K2281" s="7" t="inlineStr">
        <is>
          <t>84/2517</t>
        </is>
      </c>
      <c r="L2281" s="7" t="inlineStr">
        <is>
          <t>Yes</t>
        </is>
      </c>
      <c r="M2281" s="7" t="inlineStr">
        <is>
          <t>Set your run free. This five-pocket version of our Fast and Free tight has seam-free inner thighs and a streamlined waistband to maximize that smooth, weightless feeling.</t>
        </is>
      </c>
      <c r="N2281" s="7" t="inlineStr">
        <is>
          <t>Nulux-5-Pocket-HR-Running-Tight-25</t>
        </is>
      </c>
      <c r="O2281" s="7" t="inlineStr">
        <is>
          <t>5 Pocket Pants, Athletic Pants</t>
        </is>
      </c>
    </row>
    <row r="2282" ht="80" customHeight="1">
      <c r="A2282" s="4">
        <f>IMAGE("https://images.lululemon.com/is/image/lululemon/LW5FARS_0001_1?wid=320&amp;op_usm=0.8",1)</f>
        <v/>
      </c>
      <c r="B2282" s="4" t="inlineStr">
        <is>
          <t>Fast and Free High-Rise Tight 25" *5 Pocket</t>
        </is>
      </c>
      <c r="C2282" s="4" t="inlineStr">
        <is>
          <t>158028683</t>
        </is>
      </c>
      <c r="D2282" s="4" t="inlineStr">
        <is>
          <t>158028683-brilliantblue</t>
        </is>
      </c>
      <c r="E2282" s="4" t="inlineStr">
        <is>
          <t>Fast and Free HR Tight 25" *Pockets BLK 2</t>
        </is>
      </c>
      <c r="F2282" s="4" t="inlineStr">
        <is>
          <t>$128.00</t>
        </is>
      </c>
      <c r="G2282" s="4" t="inlineStr">
        <is>
          <t>$64.00</t>
        </is>
      </c>
      <c r="H2282" s="4" t="inlineStr">
        <is>
          <t>Brilliant Blue</t>
        </is>
      </c>
      <c r="I2282" s="4">
        <f>IMAGE("https://images.lululemon.com/is/image/lululemon/33190",1)</f>
        <v/>
      </c>
      <c r="J2282" s="4" t="inlineStr">
        <is>
          <t>10</t>
        </is>
      </c>
      <c r="K2282" s="4" t="inlineStr">
        <is>
          <t>49/2517</t>
        </is>
      </c>
      <c r="L2282" s="4" t="inlineStr">
        <is>
          <t>Yes</t>
        </is>
      </c>
      <c r="M2282" s="4" t="inlineStr">
        <is>
          <t>Set your run free. This five-pocket version of our Fast and Free tight has seam-free inner thighs and a streamlined waistband to maximize that smooth, weightless feeling.</t>
        </is>
      </c>
      <c r="N2282" s="4" t="inlineStr">
        <is>
          <t>Nulux-5-Pocket-HR-Running-Tight-25</t>
        </is>
      </c>
      <c r="O2282" s="4" t="inlineStr">
        <is>
          <t>5 Pocket Pants, Athletic Pants</t>
        </is>
      </c>
    </row>
    <row r="2283" ht="80" customHeight="1">
      <c r="A2283" s="5">
        <f>IMAGE("https://images.lululemon.com/is/image/lululemon/LW5FARS_0001_1?wid=320&amp;op_usm=0.8",1)</f>
        <v/>
      </c>
      <c r="B2283" s="5" t="inlineStr">
        <is>
          <t>Fast and Free High-Rise Tight 25" *5 Pocket</t>
        </is>
      </c>
      <c r="C2283" s="5" t="inlineStr">
        <is>
          <t>158028692</t>
        </is>
      </c>
      <c r="D2283" s="5" t="inlineStr">
        <is>
          <t>158028692-brilliantblue</t>
        </is>
      </c>
      <c r="E2283" s="5" t="inlineStr">
        <is>
          <t>Fast and Free HR Tight 25" *Pockets BLK 2</t>
        </is>
      </c>
      <c r="F2283" s="5" t="inlineStr">
        <is>
          <t>$128.00</t>
        </is>
      </c>
      <c r="G2283" s="5" t="inlineStr">
        <is>
          <t>$64.00</t>
        </is>
      </c>
      <c r="H2283" s="5" t="inlineStr">
        <is>
          <t>Brilliant Blue</t>
        </is>
      </c>
      <c r="I2283" s="5">
        <f>IMAGE("https://images.lululemon.com/is/image/lululemon/33190",1)</f>
        <v/>
      </c>
      <c r="J2283" s="5" t="inlineStr">
        <is>
          <t>12</t>
        </is>
      </c>
      <c r="K2283" s="5" t="inlineStr">
        <is>
          <t>18/2517</t>
        </is>
      </c>
      <c r="L2283" s="5" t="inlineStr">
        <is>
          <t>Yes</t>
        </is>
      </c>
      <c r="M2283" s="5" t="inlineStr">
        <is>
          <t>Set your run free. This five-pocket version of our Fast and Free tight has seam-free inner thighs and a streamlined waistband to maximize that smooth, weightless feeling.</t>
        </is>
      </c>
      <c r="N2283" s="5" t="inlineStr">
        <is>
          <t>Nulux-5-Pocket-HR-Running-Tight-25</t>
        </is>
      </c>
      <c r="O2283" s="5" t="inlineStr">
        <is>
          <t>5 Pocket Pants, Athletic Pants</t>
        </is>
      </c>
    </row>
    <row r="2284" ht="80" customHeight="1">
      <c r="A2284" s="4">
        <f>IMAGE("https://images.lululemon.com/is/image/lululemon/LW1FPXS_072733_1?wid=320&amp;op_usm=0.8",1)</f>
        <v/>
      </c>
      <c r="B2284" s="4" t="inlineStr">
        <is>
          <t>Cotton-Blend Golf Vest</t>
        </is>
      </c>
      <c r="C2284" s="4" t="inlineStr">
        <is>
          <t>158119786</t>
        </is>
      </c>
      <c r="D2284" s="4" t="inlineStr">
        <is>
          <t>158119786-ashenrose/goodnightplum</t>
        </is>
      </c>
      <c r="E2284" s="4" t="inlineStr">
        <is>
          <t>Cotton-Blend Golf Vest ASHR/GNPL XS</t>
        </is>
      </c>
      <c r="F2284" s="4" t="inlineStr">
        <is>
          <t>$88.00</t>
        </is>
      </c>
      <c r="G2284" s="4" t="inlineStr">
        <is>
          <t>$44.00</t>
        </is>
      </c>
      <c r="H2284" s="4" t="inlineStr">
        <is>
          <t>Ashen Rose/Goodnight Plum</t>
        </is>
      </c>
      <c r="I2284" s="4">
        <f>IMAGE("https://images.lululemon.com/is/image/lululemon/72733",1)</f>
        <v/>
      </c>
      <c r="J2284" s="4" t="inlineStr">
        <is>
          <t>XS</t>
        </is>
      </c>
      <c r="K2284" s="4" t="inlineStr">
        <is>
          <t>40/502</t>
        </is>
      </c>
      <c r="L2284" s="4" t="inlineStr">
        <is>
          <t>Yes</t>
        </is>
      </c>
      <c r="M2284" s="4" t="inlineStr">
        <is>
          <t>Back nine baddie. Solidify your style in this collared golf vest made from lightweight, four-way stretch pique fabric. Layer it up or wear it solo on warmer days.</t>
        </is>
      </c>
      <c r="N2284" s="4" t="inlineStr">
        <is>
          <t>Cotton-Blend-Golf-Vest</t>
        </is>
      </c>
      <c r="O2284" s="4" t="inlineStr">
        <is>
          <t>Vests</t>
        </is>
      </c>
    </row>
    <row r="2285" ht="80" customHeight="1">
      <c r="A2285" s="7">
        <f>IMAGE("https://images.lululemon.com/is/image/lululemon/LW1FPXS_072733_1?wid=320&amp;op_usm=0.8",1)</f>
        <v/>
      </c>
      <c r="B2285" s="7" t="inlineStr">
        <is>
          <t>Cotton-Blend Golf Vest</t>
        </is>
      </c>
      <c r="C2285" s="7" t="inlineStr">
        <is>
          <t>158119784</t>
        </is>
      </c>
      <c r="D2285" s="7" t="inlineStr">
        <is>
          <t>158119784-ashenrose/goodnightplum</t>
        </is>
      </c>
      <c r="E2285" s="7" t="inlineStr">
        <is>
          <t>Cotton-Blend Golf Vest ASHR/GNPL XS</t>
        </is>
      </c>
      <c r="F2285" s="7" t="inlineStr">
        <is>
          <t>$88.00</t>
        </is>
      </c>
      <c r="G2285" s="7" t="inlineStr">
        <is>
          <t>$44.00</t>
        </is>
      </c>
      <c r="H2285" s="7" t="inlineStr">
        <is>
          <t>Ashen Rose/Goodnight Plum</t>
        </is>
      </c>
      <c r="I2285" s="7">
        <f>IMAGE("https://images.lululemon.com/is/image/lululemon/72733",1)</f>
        <v/>
      </c>
      <c r="J2285" s="7" t="inlineStr">
        <is>
          <t>S</t>
        </is>
      </c>
      <c r="K2285" s="7" t="inlineStr">
        <is>
          <t>113/502</t>
        </is>
      </c>
      <c r="L2285" s="7" t="inlineStr">
        <is>
          <t>Yes</t>
        </is>
      </c>
      <c r="M2285" s="7" t="inlineStr">
        <is>
          <t>Back nine baddie. Solidify your style in this collared golf vest made from lightweight, four-way stretch pique fabric. Layer it up or wear it solo on warmer days.</t>
        </is>
      </c>
      <c r="N2285" s="7" t="inlineStr">
        <is>
          <t>Cotton-Blend-Golf-Vest</t>
        </is>
      </c>
      <c r="O2285" s="7" t="inlineStr">
        <is>
          <t>Vests</t>
        </is>
      </c>
    </row>
    <row r="2286" ht="80" customHeight="1">
      <c r="A2286" s="4">
        <f>IMAGE("https://images.lululemon.com/is/image/lululemon/LW1FPXS_072733_1?wid=320&amp;op_usm=0.8",1)</f>
        <v/>
      </c>
      <c r="B2286" s="4" t="inlineStr">
        <is>
          <t>Cotton-Blend Golf Vest</t>
        </is>
      </c>
      <c r="C2286" s="4" t="inlineStr">
        <is>
          <t>158119783</t>
        </is>
      </c>
      <c r="D2286" s="4" t="inlineStr">
        <is>
          <t>158119783-ashenrose/goodnightplum</t>
        </is>
      </c>
      <c r="E2286" s="4" t="inlineStr">
        <is>
          <t>Cotton-Blend Golf Vest ASHR/GNPL XS</t>
        </is>
      </c>
      <c r="F2286" s="4" t="inlineStr">
        <is>
          <t>$88.00</t>
        </is>
      </c>
      <c r="G2286" s="4" t="inlineStr">
        <is>
          <t>$44.00</t>
        </is>
      </c>
      <c r="H2286" s="4" t="inlineStr">
        <is>
          <t>Ashen Rose/Goodnight Plum</t>
        </is>
      </c>
      <c r="I2286" s="4">
        <f>IMAGE("https://images.lululemon.com/is/image/lululemon/72733",1)</f>
        <v/>
      </c>
      <c r="J2286" s="4" t="inlineStr">
        <is>
          <t>M</t>
        </is>
      </c>
      <c r="K2286" s="4" t="inlineStr">
        <is>
          <t>139/502</t>
        </is>
      </c>
      <c r="L2286" s="4" t="inlineStr">
        <is>
          <t>Yes</t>
        </is>
      </c>
      <c r="M2286" s="4" t="inlineStr">
        <is>
          <t>Back nine baddie. Solidify your style in this collared golf vest made from lightweight, four-way stretch pique fabric. Layer it up or wear it solo on warmer days.</t>
        </is>
      </c>
      <c r="N2286" s="4" t="inlineStr">
        <is>
          <t>Cotton-Blend-Golf-Vest</t>
        </is>
      </c>
      <c r="O2286" s="4" t="inlineStr">
        <is>
          <t>Vests</t>
        </is>
      </c>
    </row>
    <row r="2287" ht="80" customHeight="1">
      <c r="A2287" s="7">
        <f>IMAGE("https://images.lululemon.com/is/image/lululemon/LW1FPXS_072733_1?wid=320&amp;op_usm=0.8",1)</f>
        <v/>
      </c>
      <c r="B2287" s="7" t="inlineStr">
        <is>
          <t>Cotton-Blend Golf Vest</t>
        </is>
      </c>
      <c r="C2287" s="7" t="inlineStr">
        <is>
          <t>158119782</t>
        </is>
      </c>
      <c r="D2287" s="7" t="inlineStr">
        <is>
          <t>158119782-ashenrose/goodnightplum</t>
        </is>
      </c>
      <c r="E2287" s="7" t="inlineStr">
        <is>
          <t>Cotton-Blend Golf Vest ASHR/GNPL XS</t>
        </is>
      </c>
      <c r="F2287" s="7" t="inlineStr">
        <is>
          <t>$88.00</t>
        </is>
      </c>
      <c r="G2287" s="7" t="inlineStr">
        <is>
          <t>$44.00</t>
        </is>
      </c>
      <c r="H2287" s="7" t="inlineStr">
        <is>
          <t>Ashen Rose/Goodnight Plum</t>
        </is>
      </c>
      <c r="I2287" s="7">
        <f>IMAGE("https://images.lululemon.com/is/image/lululemon/72733",1)</f>
        <v/>
      </c>
      <c r="J2287" s="7" t="inlineStr">
        <is>
          <t>L</t>
        </is>
      </c>
      <c r="K2287" s="7" t="inlineStr">
        <is>
          <t>123/502</t>
        </is>
      </c>
      <c r="L2287" s="7" t="inlineStr">
        <is>
          <t>Yes</t>
        </is>
      </c>
      <c r="M2287" s="7" t="inlineStr">
        <is>
          <t>Back nine baddie. Solidify your style in this collared golf vest made from lightweight, four-way stretch pique fabric. Layer it up or wear it solo on warmer days.</t>
        </is>
      </c>
      <c r="N2287" s="7" t="inlineStr">
        <is>
          <t>Cotton-Blend-Golf-Vest</t>
        </is>
      </c>
      <c r="O2287" s="7" t="inlineStr">
        <is>
          <t>Vests</t>
        </is>
      </c>
    </row>
    <row r="2288" ht="80" customHeight="1">
      <c r="A2288" s="6">
        <f>IMAGE("https://images.lululemon.com/is/image/lululemon/LW1FPXS_072733_1?wid=320&amp;op_usm=0.8",1)</f>
        <v/>
      </c>
      <c r="B2288" s="6" t="inlineStr">
        <is>
          <t>Cotton-Blend Golf Vest</t>
        </is>
      </c>
      <c r="C2288" s="6" t="inlineStr">
        <is>
          <t>158119785</t>
        </is>
      </c>
      <c r="D2288" s="6" t="inlineStr">
        <is>
          <t>158119785-ashenrose/goodnightplum</t>
        </is>
      </c>
      <c r="E2288" s="6" t="inlineStr">
        <is>
          <t>Cotton-Blend Golf Vest ASHR/GNPL XS</t>
        </is>
      </c>
      <c r="F2288" s="6" t="inlineStr">
        <is>
          <t>$88.00</t>
        </is>
      </c>
      <c r="G2288" s="6" t="inlineStr">
        <is>
          <t>$44.00</t>
        </is>
      </c>
      <c r="H2288" s="6" t="inlineStr">
        <is>
          <t>Ashen Rose/Goodnight Plum</t>
        </is>
      </c>
      <c r="I2288" s="6">
        <f>IMAGE("https://images.lululemon.com/is/image/lululemon/72733",1)</f>
        <v/>
      </c>
      <c r="J2288" s="6" t="inlineStr">
        <is>
          <t>XL</t>
        </is>
      </c>
      <c r="K2288" s="6" t="inlineStr">
        <is>
          <t>87/502</t>
        </is>
      </c>
      <c r="L2288" s="6" t="inlineStr">
        <is>
          <t>Yes</t>
        </is>
      </c>
      <c r="M2288" s="6" t="inlineStr">
        <is>
          <t>Back nine baddie. Solidify your style in this collared golf vest made from lightweight, four-way stretch pique fabric. Layer it up or wear it solo on warmer days.</t>
        </is>
      </c>
      <c r="N2288" s="6" t="inlineStr">
        <is>
          <t>Cotton-Blend-Golf-Vest</t>
        </is>
      </c>
      <c r="O2288" s="6" t="inlineStr">
        <is>
          <t>Vests</t>
        </is>
      </c>
    </row>
    <row r="2289" ht="80" customHeight="1">
      <c r="A2289" s="7">
        <f>IMAGE("https://images.lululemon.com/is/image/lululemon/LW4BOUS_0001_1?wid=320&amp;op_usm=0.8",1)</f>
        <v/>
      </c>
      <c r="B2289" s="7" t="inlineStr">
        <is>
          <t>Pack It Down Vest</t>
        </is>
      </c>
      <c r="C2289" s="7" t="inlineStr">
        <is>
          <t>132325497</t>
        </is>
      </c>
      <c r="D2289" s="7" t="inlineStr">
        <is>
          <t>132325497-black</t>
        </is>
      </c>
      <c r="E2289" s="7" t="inlineStr">
        <is>
          <t>Pack It Down Vest BLK 2</t>
        </is>
      </c>
      <c r="F2289" s="7" t="inlineStr">
        <is>
          <t>$198.00</t>
        </is>
      </c>
      <c r="G2289" s="7" t="inlineStr">
        <is>
          <t>$99.00</t>
        </is>
      </c>
      <c r="H2289" s="7" t="inlineStr">
        <is>
          <t>Black</t>
        </is>
      </c>
      <c r="I2289" s="7">
        <f>IMAGE("https://images.lululemon.com/is/image/lululemon/0001",1)</f>
        <v/>
      </c>
      <c r="J2289" s="7" t="inlineStr">
        <is>
          <t>2</t>
        </is>
      </c>
      <c r="K2289" s="7" t="inlineStr">
        <is>
          <t>13/290</t>
        </is>
      </c>
      <c r="L2289" s="7" t="inlineStr">
        <is>
          <t>Yes</t>
        </is>
      </c>
      <c r="M2289" s="7" t="inlineStr">
        <is>
          <t>Layering season is here. Wear this packable, travel-friendly down vest on its own or under a shell for added warmth.</t>
        </is>
      </c>
      <c r="N2289" s="7" t="inlineStr">
        <is>
          <t>Pack-It-Down-Vest</t>
        </is>
      </c>
      <c r="O2289" s="7" t="inlineStr">
        <is>
          <t>Puffer Jackets, Vests</t>
        </is>
      </c>
    </row>
    <row r="2290" ht="80" customHeight="1">
      <c r="A2290" s="4">
        <f>IMAGE("https://images.lululemon.com/is/image/lululemon/LW4BOUS_0001_1?wid=320&amp;op_usm=0.8",1)</f>
        <v/>
      </c>
      <c r="B2290" s="4" t="inlineStr">
        <is>
          <t>Pack It Down Vest</t>
        </is>
      </c>
      <c r="C2290" s="4" t="inlineStr">
        <is>
          <t>132325513</t>
        </is>
      </c>
      <c r="D2290" s="4" t="inlineStr">
        <is>
          <t>132325513-black</t>
        </is>
      </c>
      <c r="E2290" s="4" t="inlineStr">
        <is>
          <t>Pack It Down Vest BLK 2</t>
        </is>
      </c>
      <c r="F2290" s="4" t="inlineStr">
        <is>
          <t>$198.00</t>
        </is>
      </c>
      <c r="G2290" s="4" t="inlineStr">
        <is>
          <t>$99.00</t>
        </is>
      </c>
      <c r="H2290" s="4" t="inlineStr">
        <is>
          <t>Black</t>
        </is>
      </c>
      <c r="I2290" s="4">
        <f>IMAGE("https://images.lululemon.com/is/image/lululemon/0001",1)</f>
        <v/>
      </c>
      <c r="J2290" s="4" t="inlineStr">
        <is>
          <t>4</t>
        </is>
      </c>
      <c r="K2290" s="4" t="inlineStr">
        <is>
          <t>149/290</t>
        </is>
      </c>
      <c r="L2290" s="4" t="inlineStr">
        <is>
          <t>Yes</t>
        </is>
      </c>
      <c r="M2290" s="4" t="inlineStr">
        <is>
          <t>Layering season is here. Wear this packable, travel-friendly down vest on its own or under a shell for added warmth.</t>
        </is>
      </c>
      <c r="N2290" s="4" t="inlineStr">
        <is>
          <t>Pack-It-Down-Vest</t>
        </is>
      </c>
      <c r="O2290" s="4" t="inlineStr">
        <is>
          <t>Puffer Jackets, Vests</t>
        </is>
      </c>
    </row>
    <row r="2291" ht="80" customHeight="1">
      <c r="A2291" s="7">
        <f>IMAGE("https://images.lululemon.com/is/image/lululemon/LW4BOUS_0001_1?wid=320&amp;op_usm=0.8",1)</f>
        <v/>
      </c>
      <c r="B2291" s="7" t="inlineStr">
        <is>
          <t>Pack It Down Vest</t>
        </is>
      </c>
      <c r="C2291" s="7" t="inlineStr">
        <is>
          <t>132325515</t>
        </is>
      </c>
      <c r="D2291" s="7" t="inlineStr">
        <is>
          <t>132325515-black</t>
        </is>
      </c>
      <c r="E2291" s="7" t="inlineStr">
        <is>
          <t>Pack It Down Vest BLK 2</t>
        </is>
      </c>
      <c r="F2291" s="7" t="inlineStr">
        <is>
          <t>$198.00</t>
        </is>
      </c>
      <c r="G2291" s="7" t="inlineStr">
        <is>
          <t>$99.00</t>
        </is>
      </c>
      <c r="H2291" s="7" t="inlineStr">
        <is>
          <t>Black</t>
        </is>
      </c>
      <c r="I2291" s="7">
        <f>IMAGE("https://images.lululemon.com/is/image/lululemon/0001",1)</f>
        <v/>
      </c>
      <c r="J2291" s="7" t="inlineStr">
        <is>
          <t>6</t>
        </is>
      </c>
      <c r="K2291" s="7" t="inlineStr">
        <is>
          <t>29/290</t>
        </is>
      </c>
      <c r="L2291" s="7" t="inlineStr">
        <is>
          <t>Yes</t>
        </is>
      </c>
      <c r="M2291" s="7" t="inlineStr">
        <is>
          <t>Layering season is here. Wear this packable, travel-friendly down vest on its own or under a shell for added warmth.</t>
        </is>
      </c>
      <c r="N2291" s="7" t="inlineStr">
        <is>
          <t>Pack-It-Down-Vest</t>
        </is>
      </c>
      <c r="O2291" s="7" t="inlineStr">
        <is>
          <t>Puffer Jackets, Vests</t>
        </is>
      </c>
    </row>
    <row r="2292" ht="80" customHeight="1">
      <c r="A2292" s="4">
        <f>IMAGE("https://images.lululemon.com/is/image/lululemon/LW4BOUS_0001_1?wid=320&amp;op_usm=0.8",1)</f>
        <v/>
      </c>
      <c r="B2292" s="4" t="inlineStr">
        <is>
          <t>Pack It Down Vest</t>
        </is>
      </c>
      <c r="C2292" s="4" t="inlineStr">
        <is>
          <t>132325517</t>
        </is>
      </c>
      <c r="D2292" s="4" t="inlineStr">
        <is>
          <t>132325517-black</t>
        </is>
      </c>
      <c r="E2292" s="4" t="inlineStr">
        <is>
          <t>Pack It Down Vest BLK 2</t>
        </is>
      </c>
      <c r="F2292" s="4" t="inlineStr">
        <is>
          <t>$198.00</t>
        </is>
      </c>
      <c r="G2292" s="4" t="inlineStr">
        <is>
          <t>$99.00</t>
        </is>
      </c>
      <c r="H2292" s="4" t="inlineStr">
        <is>
          <t>Black</t>
        </is>
      </c>
      <c r="I2292" s="4">
        <f>IMAGE("https://images.lululemon.com/is/image/lululemon/0001",1)</f>
        <v/>
      </c>
      <c r="J2292" s="4" t="inlineStr">
        <is>
          <t>8</t>
        </is>
      </c>
      <c r="K2292" s="4" t="inlineStr">
        <is>
          <t>33/290</t>
        </is>
      </c>
      <c r="L2292" s="4" t="inlineStr">
        <is>
          <t>Yes</t>
        </is>
      </c>
      <c r="M2292" s="4" t="inlineStr">
        <is>
          <t>Layering season is here. Wear this packable, travel-friendly down vest on its own or under a shell for added warmth.</t>
        </is>
      </c>
      <c r="N2292" s="4" t="inlineStr">
        <is>
          <t>Pack-It-Down-Vest</t>
        </is>
      </c>
      <c r="O2292" s="4" t="inlineStr">
        <is>
          <t>Puffer Jackets, Vests</t>
        </is>
      </c>
    </row>
    <row r="2293" ht="80" customHeight="1">
      <c r="A2293" s="7">
        <f>IMAGE("https://images.lululemon.com/is/image/lululemon/LW4BOUS_0001_1?wid=320&amp;op_usm=0.8",1)</f>
        <v/>
      </c>
      <c r="B2293" s="7" t="inlineStr">
        <is>
          <t>Pack It Down Vest</t>
        </is>
      </c>
      <c r="C2293" s="7" t="inlineStr">
        <is>
          <t>132325480</t>
        </is>
      </c>
      <c r="D2293" s="7" t="inlineStr">
        <is>
          <t>132325480-black</t>
        </is>
      </c>
      <c r="E2293" s="7" t="inlineStr">
        <is>
          <t>Pack It Down Vest BLK 2</t>
        </is>
      </c>
      <c r="F2293" s="7" t="inlineStr">
        <is>
          <t>$198.00</t>
        </is>
      </c>
      <c r="G2293" s="7" t="inlineStr">
        <is>
          <t>$99.00</t>
        </is>
      </c>
      <c r="H2293" s="7" t="inlineStr">
        <is>
          <t>Black</t>
        </is>
      </c>
      <c r="I2293" s="7">
        <f>IMAGE("https://images.lululemon.com/is/image/lululemon/0001",1)</f>
        <v/>
      </c>
      <c r="J2293" s="7" t="inlineStr">
        <is>
          <t>10</t>
        </is>
      </c>
      <c r="K2293" s="7" t="inlineStr">
        <is>
          <t>30/290</t>
        </is>
      </c>
      <c r="L2293" s="7" t="inlineStr">
        <is>
          <t>Yes</t>
        </is>
      </c>
      <c r="M2293" s="7" t="inlineStr">
        <is>
          <t>Layering season is here. Wear this packable, travel-friendly down vest on its own or under a shell for added warmth.</t>
        </is>
      </c>
      <c r="N2293" s="7" t="inlineStr">
        <is>
          <t>Pack-It-Down-Vest</t>
        </is>
      </c>
      <c r="O2293" s="7" t="inlineStr">
        <is>
          <t>Puffer Jackets, Vests</t>
        </is>
      </c>
    </row>
    <row r="2294" ht="80" customHeight="1">
      <c r="A2294" s="6">
        <f>IMAGE("https://images.lululemon.com/is/image/lululemon/LW4BOUS_0001_1?wid=320&amp;op_usm=0.8",1)</f>
        <v/>
      </c>
      <c r="B2294" s="6" t="inlineStr">
        <is>
          <t>Pack It Down Vest</t>
        </is>
      </c>
      <c r="C2294" s="6" t="inlineStr">
        <is>
          <t>132325486</t>
        </is>
      </c>
      <c r="D2294" s="6" t="inlineStr">
        <is>
          <t>132325486-black</t>
        </is>
      </c>
      <c r="E2294" s="6" t="inlineStr">
        <is>
          <t>Pack It Down Vest BLK 2</t>
        </is>
      </c>
      <c r="F2294" s="6" t="inlineStr">
        <is>
          <t>$198.00</t>
        </is>
      </c>
      <c r="G2294" s="6" t="inlineStr">
        <is>
          <t>$99.00</t>
        </is>
      </c>
      <c r="H2294" s="6" t="inlineStr">
        <is>
          <t>Black</t>
        </is>
      </c>
      <c r="I2294" s="6">
        <f>IMAGE("https://images.lululemon.com/is/image/lululemon/0001",1)</f>
        <v/>
      </c>
      <c r="J2294" s="6" t="inlineStr">
        <is>
          <t>12</t>
        </is>
      </c>
      <c r="K2294" s="6" t="inlineStr">
        <is>
          <t>36/290</t>
        </is>
      </c>
      <c r="L2294" s="6" t="inlineStr">
        <is>
          <t>Yes</t>
        </is>
      </c>
      <c r="M2294" s="6" t="inlineStr">
        <is>
          <t>Layering season is here. Wear this packable, travel-friendly down vest on its own or under a shell for added warmth.</t>
        </is>
      </c>
      <c r="N2294" s="6" t="inlineStr">
        <is>
          <t>Pack-It-Down-Vest</t>
        </is>
      </c>
      <c r="O2294" s="6" t="inlineStr">
        <is>
          <t>Puffer Jackets, Vests</t>
        </is>
      </c>
    </row>
    <row r="2295" ht="80" customHeight="1">
      <c r="A2295" s="7">
        <f>IMAGE("https://images.lululemon.com/is/image/lululemon/LW4CMJS_036865_1?wid=320&amp;op_usm=0.8",1)</f>
        <v/>
      </c>
      <c r="B2295" s="7" t="inlineStr">
        <is>
          <t>Featherweight 900-Down-Fill Quilted Jacket</t>
        </is>
      </c>
      <c r="C2295" s="7" t="inlineStr">
        <is>
          <t>158119781</t>
        </is>
      </c>
      <c r="D2295" s="7" t="inlineStr">
        <is>
          <t>158119781-dovegrey</t>
        </is>
      </c>
      <c r="E2295" s="7" t="inlineStr">
        <is>
          <t>Featherweight Down Quilted Jacket DVGY XXS</t>
        </is>
      </c>
      <c r="F2295" s="7" t="inlineStr">
        <is>
          <t>$298.00</t>
        </is>
      </c>
      <c r="G2295" s="7" t="inlineStr">
        <is>
          <t>$149.00</t>
        </is>
      </c>
      <c r="H2295" s="7" t="inlineStr">
        <is>
          <t>Dove Grey</t>
        </is>
      </c>
      <c r="I2295" s="7">
        <f>IMAGE("https://images.lululemon.com/is/image/lululemon/36865",1)</f>
        <v/>
      </c>
      <c r="J2295" s="7" t="inlineStr">
        <is>
          <t>XXS</t>
        </is>
      </c>
      <c r="K2295" s="7" t="inlineStr">
        <is>
          <t>4/843</t>
        </is>
      </c>
      <c r="L2295" s="7" t="inlineStr">
        <is>
          <t>Yes</t>
        </is>
      </c>
      <c r="M2295" s="7" t="inlineStr">
        <is>
          <t>Featherweight champ. Delivering mid-level warmth with a feather-light feel, this packable jacket is insulated with premium 900-fill-power down—layer it under a shell or over cozy sweaters when the cold sets in.</t>
        </is>
      </c>
      <c r="N2295" s="7" t="inlineStr">
        <is>
          <t>Featherweight-900-Down-Fill-Quilted-Jacket</t>
        </is>
      </c>
      <c r="O2295" s="7" t="inlineStr">
        <is>
          <t>Puffer Jackets</t>
        </is>
      </c>
    </row>
    <row r="2296" ht="80" customHeight="1">
      <c r="A2296" s="4">
        <f>IMAGE("https://images.lululemon.com/is/image/lululemon/LW4CMJS_036865_1?wid=320&amp;op_usm=0.8",1)</f>
        <v/>
      </c>
      <c r="B2296" s="4" t="inlineStr">
        <is>
          <t>Featherweight 900-Down-Fill Quilted Jacket</t>
        </is>
      </c>
      <c r="C2296" s="4" t="inlineStr">
        <is>
          <t>158119756</t>
        </is>
      </c>
      <c r="D2296" s="4" t="inlineStr">
        <is>
          <t>158119756-dovegrey</t>
        </is>
      </c>
      <c r="E2296" s="4" t="inlineStr">
        <is>
          <t>Featherweight Down Quilted Jacket DVGY XXS</t>
        </is>
      </c>
      <c r="F2296" s="4" t="inlineStr">
        <is>
          <t>$298.00</t>
        </is>
      </c>
      <c r="G2296" s="4" t="inlineStr">
        <is>
          <t>$149.00</t>
        </is>
      </c>
      <c r="H2296" s="4" t="inlineStr">
        <is>
          <t>Dove Grey</t>
        </is>
      </c>
      <c r="I2296" s="4">
        <f>IMAGE("https://images.lululemon.com/is/image/lululemon/36865",1)</f>
        <v/>
      </c>
      <c r="J2296" s="4" t="inlineStr">
        <is>
          <t>XS</t>
        </is>
      </c>
      <c r="K2296" s="4" t="inlineStr">
        <is>
          <t>20/843</t>
        </is>
      </c>
      <c r="L2296" s="4" t="inlineStr">
        <is>
          <t>Yes</t>
        </is>
      </c>
      <c r="M2296" s="4" t="inlineStr">
        <is>
          <t>Featherweight champ. Delivering mid-level warmth with a feather-light feel, this packable jacket is insulated with premium 900-fill-power down—layer it under a shell or over cozy sweaters when the cold sets in.</t>
        </is>
      </c>
      <c r="N2296" s="4" t="inlineStr">
        <is>
          <t>Featherweight-900-Down-Fill-Quilted-Jacket</t>
        </is>
      </c>
      <c r="O2296" s="4" t="inlineStr">
        <is>
          <t>Puffer Jackets</t>
        </is>
      </c>
    </row>
    <row r="2297" ht="80" customHeight="1">
      <c r="A2297" s="7">
        <f>IMAGE("https://images.lululemon.com/is/image/lululemon/LW4CMJS_036865_1?wid=320&amp;op_usm=0.8",1)</f>
        <v/>
      </c>
      <c r="B2297" s="7" t="inlineStr">
        <is>
          <t>Featherweight 900-Down-Fill Quilted Jacket</t>
        </is>
      </c>
      <c r="C2297" s="7" t="inlineStr">
        <is>
          <t>158119744</t>
        </is>
      </c>
      <c r="D2297" s="7" t="inlineStr">
        <is>
          <t>158119744-dovegrey</t>
        </is>
      </c>
      <c r="E2297" s="7" t="inlineStr">
        <is>
          <t>Featherweight Down Quilted Jacket DVGY XXS</t>
        </is>
      </c>
      <c r="F2297" s="7" t="inlineStr">
        <is>
          <t>$298.00</t>
        </is>
      </c>
      <c r="G2297" s="7" t="inlineStr">
        <is>
          <t>$149.00</t>
        </is>
      </c>
      <c r="H2297" s="7" t="inlineStr">
        <is>
          <t>Dove Grey</t>
        </is>
      </c>
      <c r="I2297" s="7">
        <f>IMAGE("https://images.lululemon.com/is/image/lululemon/36865",1)</f>
        <v/>
      </c>
      <c r="J2297" s="7" t="inlineStr">
        <is>
          <t>S</t>
        </is>
      </c>
      <c r="K2297" s="7" t="inlineStr">
        <is>
          <t>49/843</t>
        </is>
      </c>
      <c r="L2297" s="7" t="inlineStr">
        <is>
          <t>Yes</t>
        </is>
      </c>
      <c r="M2297" s="7" t="inlineStr">
        <is>
          <t>Featherweight champ. Delivering mid-level warmth with a feather-light feel, this packable jacket is insulated with premium 900-fill-power down—layer it under a shell or over cozy sweaters when the cold sets in.</t>
        </is>
      </c>
      <c r="N2297" s="7" t="inlineStr">
        <is>
          <t>Featherweight-900-Down-Fill-Quilted-Jacket</t>
        </is>
      </c>
      <c r="O2297" s="7" t="inlineStr">
        <is>
          <t>Puffer Jackets</t>
        </is>
      </c>
    </row>
    <row r="2298" ht="80" customHeight="1">
      <c r="A2298" s="4">
        <f>IMAGE("https://images.lululemon.com/is/image/lululemon/LW4CMJS_036865_1?wid=320&amp;op_usm=0.8",1)</f>
        <v/>
      </c>
      <c r="B2298" s="4" t="inlineStr">
        <is>
          <t>Featherweight 900-Down-Fill Quilted Jacket</t>
        </is>
      </c>
      <c r="C2298" s="4" t="inlineStr">
        <is>
          <t>158119738</t>
        </is>
      </c>
      <c r="D2298" s="4" t="inlineStr">
        <is>
          <t>158119738-dovegrey</t>
        </is>
      </c>
      <c r="E2298" s="4" t="inlineStr">
        <is>
          <t>Featherweight Down Quilted Jacket DVGY XXS</t>
        </is>
      </c>
      <c r="F2298" s="4" t="inlineStr">
        <is>
          <t>$298.00</t>
        </is>
      </c>
      <c r="G2298" s="4" t="inlineStr">
        <is>
          <t>$149.00</t>
        </is>
      </c>
      <c r="H2298" s="4" t="inlineStr">
        <is>
          <t>Dove Grey</t>
        </is>
      </c>
      <c r="I2298" s="4">
        <f>IMAGE("https://images.lululemon.com/is/image/lululemon/36865",1)</f>
        <v/>
      </c>
      <c r="J2298" s="4" t="inlineStr">
        <is>
          <t>M</t>
        </is>
      </c>
      <c r="K2298" s="4" t="inlineStr">
        <is>
          <t>67/843</t>
        </is>
      </c>
      <c r="L2298" s="4" t="inlineStr">
        <is>
          <t>Yes</t>
        </is>
      </c>
      <c r="M2298" s="4" t="inlineStr">
        <is>
          <t>Featherweight champ. Delivering mid-level warmth with a feather-light feel, this packable jacket is insulated with premium 900-fill-power down—layer it under a shell or over cozy sweaters when the cold sets in.</t>
        </is>
      </c>
      <c r="N2298" s="4" t="inlineStr">
        <is>
          <t>Featherweight-900-Down-Fill-Quilted-Jacket</t>
        </is>
      </c>
      <c r="O2298" s="4" t="inlineStr">
        <is>
          <t>Puffer Jackets</t>
        </is>
      </c>
    </row>
    <row r="2299" ht="80" customHeight="1">
      <c r="A2299" s="7">
        <f>IMAGE("https://images.lululemon.com/is/image/lululemon/LW4CMJS_036865_1?wid=320&amp;op_usm=0.8",1)</f>
        <v/>
      </c>
      <c r="B2299" s="7" t="inlineStr">
        <is>
          <t>Featherweight 900-Down-Fill Quilted Jacket</t>
        </is>
      </c>
      <c r="C2299" s="7" t="inlineStr">
        <is>
          <t>158119731</t>
        </is>
      </c>
      <c r="D2299" s="7" t="inlineStr">
        <is>
          <t>158119731-dovegrey</t>
        </is>
      </c>
      <c r="E2299" s="7" t="inlineStr">
        <is>
          <t>Featherweight Down Quilted Jacket DVGY XXS</t>
        </is>
      </c>
      <c r="F2299" s="7" t="inlineStr">
        <is>
          <t>$298.00</t>
        </is>
      </c>
      <c r="G2299" s="7" t="inlineStr">
        <is>
          <t>$149.00</t>
        </is>
      </c>
      <c r="H2299" s="7" t="inlineStr">
        <is>
          <t>Dove Grey</t>
        </is>
      </c>
      <c r="I2299" s="7">
        <f>IMAGE("https://images.lululemon.com/is/image/lululemon/36865",1)</f>
        <v/>
      </c>
      <c r="J2299" s="7" t="inlineStr">
        <is>
          <t>L</t>
        </is>
      </c>
      <c r="K2299" s="7" t="inlineStr">
        <is>
          <t>53/843</t>
        </is>
      </c>
      <c r="L2299" s="7" t="inlineStr">
        <is>
          <t>Yes</t>
        </is>
      </c>
      <c r="M2299" s="7" t="inlineStr">
        <is>
          <t>Featherweight champ. Delivering mid-level warmth with a feather-light feel, this packable jacket is insulated with premium 900-fill-power down—layer it under a shell or over cozy sweaters when the cold sets in.</t>
        </is>
      </c>
      <c r="N2299" s="7" t="inlineStr">
        <is>
          <t>Featherweight-900-Down-Fill-Quilted-Jacket</t>
        </is>
      </c>
      <c r="O2299" s="7" t="inlineStr">
        <is>
          <t>Puffer Jackets</t>
        </is>
      </c>
    </row>
    <row r="2300" ht="80" customHeight="1">
      <c r="A2300" s="4">
        <f>IMAGE("https://images.lululemon.com/is/image/lululemon/LW4CMJS_036865_1?wid=320&amp;op_usm=0.8",1)</f>
        <v/>
      </c>
      <c r="B2300" s="4" t="inlineStr">
        <is>
          <t>Featherweight 900-Down-Fill Quilted Jacket</t>
        </is>
      </c>
      <c r="C2300" s="4" t="inlineStr">
        <is>
          <t>158119749</t>
        </is>
      </c>
      <c r="D2300" s="4" t="inlineStr">
        <is>
          <t>158119749-dovegrey</t>
        </is>
      </c>
      <c r="E2300" s="4" t="inlineStr">
        <is>
          <t>Featherweight Down Quilted Jacket DVGY XXS</t>
        </is>
      </c>
      <c r="F2300" s="4" t="inlineStr">
        <is>
          <t>$298.00</t>
        </is>
      </c>
      <c r="G2300" s="4" t="inlineStr">
        <is>
          <t>$149.00</t>
        </is>
      </c>
      <c r="H2300" s="4" t="inlineStr">
        <is>
          <t>Dove Grey</t>
        </is>
      </c>
      <c r="I2300" s="4">
        <f>IMAGE("https://images.lululemon.com/is/image/lululemon/36865",1)</f>
        <v/>
      </c>
      <c r="J2300" s="4" t="inlineStr">
        <is>
          <t>XL</t>
        </is>
      </c>
      <c r="K2300" s="4" t="inlineStr">
        <is>
          <t>24/843</t>
        </is>
      </c>
      <c r="L2300" s="4" t="inlineStr">
        <is>
          <t>Yes</t>
        </is>
      </c>
      <c r="M2300" s="4" t="inlineStr">
        <is>
          <t>Featherweight champ. Delivering mid-level warmth with a feather-light feel, this packable jacket is insulated with premium 900-fill-power down—layer it under a shell or over cozy sweaters when the cold sets in.</t>
        </is>
      </c>
      <c r="N2300" s="4" t="inlineStr">
        <is>
          <t>Featherweight-900-Down-Fill-Quilted-Jacket</t>
        </is>
      </c>
      <c r="O2300" s="4" t="inlineStr">
        <is>
          <t>Puffer Jackets</t>
        </is>
      </c>
    </row>
    <row r="2301" ht="80" customHeight="1">
      <c r="A2301" s="7">
        <f>IMAGE("https://images.lululemon.com/is/image/lululemon/LW4CMJS_036865_1?wid=320&amp;op_usm=0.8",1)</f>
        <v/>
      </c>
      <c r="B2301" s="7" t="inlineStr">
        <is>
          <t>Featherweight 900-Down-Fill Quilted Jacket</t>
        </is>
      </c>
      <c r="C2301" s="7" t="inlineStr">
        <is>
          <t>158035457</t>
        </is>
      </c>
      <c r="D2301" s="7" t="inlineStr">
        <is>
          <t>158035457-black</t>
        </is>
      </c>
      <c r="E2301" s="7" t="inlineStr">
        <is>
          <t>Featherweight Down Quilted Jacket DVGY XXS</t>
        </is>
      </c>
      <c r="F2301" s="7" t="inlineStr">
        <is>
          <t>$298.00</t>
        </is>
      </c>
      <c r="G2301" s="7" t="inlineStr">
        <is>
          <t>$149.00</t>
        </is>
      </c>
      <c r="H2301" s="7" t="inlineStr">
        <is>
          <t>Black</t>
        </is>
      </c>
      <c r="I2301" s="7">
        <f>IMAGE("https://images.lululemon.com/is/image/lululemon/0001",1)</f>
        <v/>
      </c>
      <c r="J2301" s="7" t="inlineStr">
        <is>
          <t>XS</t>
        </is>
      </c>
      <c r="K2301" s="7" t="inlineStr">
        <is>
          <t>34/843</t>
        </is>
      </c>
      <c r="L2301" s="7" t="inlineStr">
        <is>
          <t>Yes</t>
        </is>
      </c>
      <c r="M2301" s="7" t="inlineStr">
        <is>
          <t>Featherweight champ. Delivering mid-level warmth with a feather-light feel, this packable jacket is insulated with premium 900-fill-power down—layer it under a shell or over cozy sweaters when the cold sets in.</t>
        </is>
      </c>
      <c r="N2301" s="7" t="inlineStr">
        <is>
          <t>Featherweight-900-Down-Fill-Quilted-Jacket</t>
        </is>
      </c>
      <c r="O2301" s="7" t="inlineStr">
        <is>
          <t>Puffer Jackets</t>
        </is>
      </c>
    </row>
    <row r="2302" ht="80" customHeight="1">
      <c r="A2302" s="4">
        <f>IMAGE("https://images.lululemon.com/is/image/lululemon/LW4CMJS_036865_1?wid=320&amp;op_usm=0.8",1)</f>
        <v/>
      </c>
      <c r="B2302" s="4" t="inlineStr">
        <is>
          <t>Featherweight 900-Down-Fill Quilted Jacket</t>
        </is>
      </c>
      <c r="C2302" s="4" t="inlineStr">
        <is>
          <t>158035441</t>
        </is>
      </c>
      <c r="D2302" s="4" t="inlineStr">
        <is>
          <t>158035441-black</t>
        </is>
      </c>
      <c r="E2302" s="4" t="inlineStr">
        <is>
          <t>Featherweight Down Quilted Jacket DVGY XXS</t>
        </is>
      </c>
      <c r="F2302" s="4" t="inlineStr">
        <is>
          <t>$298.00</t>
        </is>
      </c>
      <c r="G2302" s="4" t="inlineStr">
        <is>
          <t>$149.00</t>
        </is>
      </c>
      <c r="H2302" s="4" t="inlineStr">
        <is>
          <t>Black</t>
        </is>
      </c>
      <c r="I2302" s="4">
        <f>IMAGE("https://images.lululemon.com/is/image/lululemon/0001",1)</f>
        <v/>
      </c>
      <c r="J2302" s="4" t="inlineStr">
        <is>
          <t>S</t>
        </is>
      </c>
      <c r="K2302" s="4" t="inlineStr">
        <is>
          <t>107/843</t>
        </is>
      </c>
      <c r="L2302" s="4" t="inlineStr">
        <is>
          <t>Yes</t>
        </is>
      </c>
      <c r="M2302" s="4" t="inlineStr">
        <is>
          <t>Featherweight champ. Delivering mid-level warmth with a feather-light feel, this packable jacket is insulated with premium 900-fill-power down—layer it under a shell or over cozy sweaters when the cold sets in.</t>
        </is>
      </c>
      <c r="N2302" s="4" t="inlineStr">
        <is>
          <t>Featherweight-900-Down-Fill-Quilted-Jacket</t>
        </is>
      </c>
      <c r="O2302" s="4" t="inlineStr">
        <is>
          <t>Puffer Jackets</t>
        </is>
      </c>
    </row>
    <row r="2303" ht="80" customHeight="1">
      <c r="A2303" s="7">
        <f>IMAGE("https://images.lululemon.com/is/image/lululemon/LW4CMJS_036865_1?wid=320&amp;op_usm=0.8",1)</f>
        <v/>
      </c>
      <c r="B2303" s="7" t="inlineStr">
        <is>
          <t>Featherweight 900-Down-Fill Quilted Jacket</t>
        </is>
      </c>
      <c r="C2303" s="7" t="inlineStr">
        <is>
          <t>158035434</t>
        </is>
      </c>
      <c r="D2303" s="7" t="inlineStr">
        <is>
          <t>158035434-black</t>
        </is>
      </c>
      <c r="E2303" s="7" t="inlineStr">
        <is>
          <t>Featherweight Down Quilted Jacket DVGY XXS</t>
        </is>
      </c>
      <c r="F2303" s="7" t="inlineStr">
        <is>
          <t>$298.00</t>
        </is>
      </c>
      <c r="G2303" s="7" t="inlineStr">
        <is>
          <t>$149.00</t>
        </is>
      </c>
      <c r="H2303" s="7" t="inlineStr">
        <is>
          <t>Black</t>
        </is>
      </c>
      <c r="I2303" s="7">
        <f>IMAGE("https://images.lululemon.com/is/image/lululemon/0001",1)</f>
        <v/>
      </c>
      <c r="J2303" s="7" t="inlineStr">
        <is>
          <t>M</t>
        </is>
      </c>
      <c r="K2303" s="7" t="inlineStr">
        <is>
          <t>134/843</t>
        </is>
      </c>
      <c r="L2303" s="7" t="inlineStr">
        <is>
          <t>Yes</t>
        </is>
      </c>
      <c r="M2303" s="7" t="inlineStr">
        <is>
          <t>Featherweight champ. Delivering mid-level warmth with a feather-light feel, this packable jacket is insulated with premium 900-fill-power down—layer it under a shell or over cozy sweaters when the cold sets in.</t>
        </is>
      </c>
      <c r="N2303" s="7" t="inlineStr">
        <is>
          <t>Featherweight-900-Down-Fill-Quilted-Jacket</t>
        </is>
      </c>
      <c r="O2303" s="7" t="inlineStr">
        <is>
          <t>Puffer Jackets</t>
        </is>
      </c>
    </row>
    <row r="2304" ht="80" customHeight="1">
      <c r="A2304" s="4">
        <f>IMAGE("https://images.lululemon.com/is/image/lululemon/LW4CMJS_036865_1?wid=320&amp;op_usm=0.8",1)</f>
        <v/>
      </c>
      <c r="B2304" s="4" t="inlineStr">
        <is>
          <t>Featherweight 900-Down-Fill Quilted Jacket</t>
        </is>
      </c>
      <c r="C2304" s="4" t="inlineStr">
        <is>
          <t>158035428</t>
        </is>
      </c>
      <c r="D2304" s="4" t="inlineStr">
        <is>
          <t>158035428-black</t>
        </is>
      </c>
      <c r="E2304" s="4" t="inlineStr">
        <is>
          <t>Featherweight Down Quilted Jacket DVGY XXS</t>
        </is>
      </c>
      <c r="F2304" s="4" t="inlineStr">
        <is>
          <t>$298.00</t>
        </is>
      </c>
      <c r="G2304" s="4" t="inlineStr">
        <is>
          <t>$149.00</t>
        </is>
      </c>
      <c r="H2304" s="4" t="inlineStr">
        <is>
          <t>Black</t>
        </is>
      </c>
      <c r="I2304" s="4">
        <f>IMAGE("https://images.lululemon.com/is/image/lululemon/0001",1)</f>
        <v/>
      </c>
      <c r="J2304" s="4" t="inlineStr">
        <is>
          <t>L</t>
        </is>
      </c>
      <c r="K2304" s="4" t="inlineStr">
        <is>
          <t>102/843</t>
        </is>
      </c>
      <c r="L2304" s="4" t="inlineStr">
        <is>
          <t>Yes</t>
        </is>
      </c>
      <c r="M2304" s="4" t="inlineStr">
        <is>
          <t>Featherweight champ. Delivering mid-level warmth with a feather-light feel, this packable jacket is insulated with premium 900-fill-power down—layer it under a shell or over cozy sweaters when the cold sets in.</t>
        </is>
      </c>
      <c r="N2304" s="4" t="inlineStr">
        <is>
          <t>Featherweight-900-Down-Fill-Quilted-Jacket</t>
        </is>
      </c>
      <c r="O2304" s="4" t="inlineStr">
        <is>
          <t>Puffer Jackets</t>
        </is>
      </c>
    </row>
    <row r="2305" ht="80" customHeight="1">
      <c r="A2305" s="7">
        <f>IMAGE("https://images.lululemon.com/is/image/lululemon/LW4CMJS_036865_1?wid=320&amp;op_usm=0.8",1)</f>
        <v/>
      </c>
      <c r="B2305" s="7" t="inlineStr">
        <is>
          <t>Featherweight 900-Down-Fill Quilted Jacket</t>
        </is>
      </c>
      <c r="C2305" s="7" t="inlineStr">
        <is>
          <t>158035449</t>
        </is>
      </c>
      <c r="D2305" s="7" t="inlineStr">
        <is>
          <t>158035449-black</t>
        </is>
      </c>
      <c r="E2305" s="7" t="inlineStr">
        <is>
          <t>Featherweight Down Quilted Jacket DVGY XXS</t>
        </is>
      </c>
      <c r="F2305" s="7" t="inlineStr">
        <is>
          <t>$298.00</t>
        </is>
      </c>
      <c r="G2305" s="7" t="inlineStr">
        <is>
          <t>$149.00</t>
        </is>
      </c>
      <c r="H2305" s="7" t="inlineStr">
        <is>
          <t>Black</t>
        </is>
      </c>
      <c r="I2305" s="7">
        <f>IMAGE("https://images.lululemon.com/is/image/lululemon/0001",1)</f>
        <v/>
      </c>
      <c r="J2305" s="7" t="inlineStr">
        <is>
          <t>XL</t>
        </is>
      </c>
      <c r="K2305" s="7" t="inlineStr">
        <is>
          <t>47/843</t>
        </is>
      </c>
      <c r="L2305" s="7" t="inlineStr">
        <is>
          <t>Yes</t>
        </is>
      </c>
      <c r="M2305" s="7" t="inlineStr">
        <is>
          <t>Featherweight champ. Delivering mid-level warmth with a feather-light feel, this packable jacket is insulated with premium 900-fill-power down—layer it under a shell or over cozy sweaters when the cold sets in.</t>
        </is>
      </c>
      <c r="N2305" s="7" t="inlineStr">
        <is>
          <t>Featherweight-900-Down-Fill-Quilted-Jacket</t>
        </is>
      </c>
      <c r="O2305" s="7" t="inlineStr">
        <is>
          <t>Puffer Jackets</t>
        </is>
      </c>
    </row>
    <row r="2306" ht="80" customHeight="1">
      <c r="A2306" s="4">
        <f>IMAGE("https://images.lululemon.com/is/image/lululemon/LW4CMJS_036865_1?wid=320&amp;op_usm=0.8",1)</f>
        <v/>
      </c>
      <c r="B2306" s="4" t="inlineStr">
        <is>
          <t>Featherweight 900-Down-Fill Quilted Jacket</t>
        </is>
      </c>
      <c r="C2306" s="4" t="inlineStr">
        <is>
          <t>158035501</t>
        </is>
      </c>
      <c r="D2306" s="4" t="inlineStr">
        <is>
          <t>158035501-olivebrown</t>
        </is>
      </c>
      <c r="E2306" s="4" t="inlineStr">
        <is>
          <t>Featherweight Down Quilted Jacket DVGY XXS</t>
        </is>
      </c>
      <c r="F2306" s="4" t="inlineStr">
        <is>
          <t>$298.00</t>
        </is>
      </c>
      <c r="G2306" s="4" t="inlineStr">
        <is>
          <t>$149.00</t>
        </is>
      </c>
      <c r="H2306" s="4" t="inlineStr">
        <is>
          <t>Olive Brown</t>
        </is>
      </c>
      <c r="I2306" s="4">
        <f>IMAGE("https://images.lululemon.com/is/image/lululemon/71148",1)</f>
        <v/>
      </c>
      <c r="J2306" s="4" t="inlineStr">
        <is>
          <t>XS</t>
        </is>
      </c>
      <c r="K2306" s="4" t="inlineStr">
        <is>
          <t>16/843</t>
        </is>
      </c>
      <c r="L2306" s="4" t="inlineStr">
        <is>
          <t>Yes</t>
        </is>
      </c>
      <c r="M2306" s="4" t="inlineStr">
        <is>
          <t>Featherweight champ. Delivering mid-level warmth with a feather-light feel, this packable jacket is insulated with premium 900-fill-power down—layer it under a shell or over cozy sweaters when the cold sets in.</t>
        </is>
      </c>
      <c r="N2306" s="4" t="inlineStr">
        <is>
          <t>Featherweight-900-Down-Fill-Quilted-Jacket</t>
        </is>
      </c>
      <c r="O2306" s="4" t="inlineStr">
        <is>
          <t>Puffer Jackets</t>
        </is>
      </c>
    </row>
    <row r="2307" ht="80" customHeight="1">
      <c r="A2307" s="7">
        <f>IMAGE("https://images.lululemon.com/is/image/lululemon/LW4CMJS_036865_1?wid=320&amp;op_usm=0.8",1)</f>
        <v/>
      </c>
      <c r="B2307" s="7" t="inlineStr">
        <is>
          <t>Featherweight 900-Down-Fill Quilted Jacket</t>
        </is>
      </c>
      <c r="C2307" s="7" t="inlineStr">
        <is>
          <t>158035491</t>
        </is>
      </c>
      <c r="D2307" s="7" t="inlineStr">
        <is>
          <t>158035491-olivebrown</t>
        </is>
      </c>
      <c r="E2307" s="7" t="inlineStr">
        <is>
          <t>Featherweight Down Quilted Jacket DVGY XXS</t>
        </is>
      </c>
      <c r="F2307" s="7" t="inlineStr">
        <is>
          <t>$298.00</t>
        </is>
      </c>
      <c r="G2307" s="7" t="inlineStr">
        <is>
          <t>$149.00</t>
        </is>
      </c>
      <c r="H2307" s="7" t="inlineStr">
        <is>
          <t>Olive Brown</t>
        </is>
      </c>
      <c r="I2307" s="7">
        <f>IMAGE("https://images.lululemon.com/is/image/lululemon/71148",1)</f>
        <v/>
      </c>
      <c r="J2307" s="7" t="inlineStr">
        <is>
          <t>S</t>
        </is>
      </c>
      <c r="K2307" s="7" t="inlineStr">
        <is>
          <t>44/843</t>
        </is>
      </c>
      <c r="L2307" s="7" t="inlineStr">
        <is>
          <t>Yes</t>
        </is>
      </c>
      <c r="M2307" s="7" t="inlineStr">
        <is>
          <t>Featherweight champ. Delivering mid-level warmth with a feather-light feel, this packable jacket is insulated with premium 900-fill-power down—layer it under a shell or over cozy sweaters when the cold sets in.</t>
        </is>
      </c>
      <c r="N2307" s="7" t="inlineStr">
        <is>
          <t>Featherweight-900-Down-Fill-Quilted-Jacket</t>
        </is>
      </c>
      <c r="O2307" s="7" t="inlineStr">
        <is>
          <t>Puffer Jackets</t>
        </is>
      </c>
    </row>
    <row r="2308" ht="80" customHeight="1">
      <c r="A2308" s="4">
        <f>IMAGE("https://images.lululemon.com/is/image/lululemon/LW4CMJS_036865_1?wid=320&amp;op_usm=0.8",1)</f>
        <v/>
      </c>
      <c r="B2308" s="4" t="inlineStr">
        <is>
          <t>Featherweight 900-Down-Fill Quilted Jacket</t>
        </is>
      </c>
      <c r="C2308" s="4" t="inlineStr">
        <is>
          <t>158035487</t>
        </is>
      </c>
      <c r="D2308" s="4" t="inlineStr">
        <is>
          <t>158035487-olivebrown</t>
        </is>
      </c>
      <c r="E2308" s="4" t="inlineStr">
        <is>
          <t>Featherweight Down Quilted Jacket DVGY XXS</t>
        </is>
      </c>
      <c r="F2308" s="4" t="inlineStr">
        <is>
          <t>$298.00</t>
        </is>
      </c>
      <c r="G2308" s="4" t="inlineStr">
        <is>
          <t>$149.00</t>
        </is>
      </c>
      <c r="H2308" s="4" t="inlineStr">
        <is>
          <t>Olive Brown</t>
        </is>
      </c>
      <c r="I2308" s="4">
        <f>IMAGE("https://images.lululemon.com/is/image/lululemon/71148",1)</f>
        <v/>
      </c>
      <c r="J2308" s="4" t="inlineStr">
        <is>
          <t>M</t>
        </is>
      </c>
      <c r="K2308" s="4" t="inlineStr">
        <is>
          <t>64/843</t>
        </is>
      </c>
      <c r="L2308" s="4" t="inlineStr">
        <is>
          <t>Yes</t>
        </is>
      </c>
      <c r="M2308" s="4" t="inlineStr">
        <is>
          <t>Featherweight champ. Delivering mid-level warmth with a feather-light feel, this packable jacket is insulated with premium 900-fill-power down—layer it under a shell or over cozy sweaters when the cold sets in.</t>
        </is>
      </c>
      <c r="N2308" s="4" t="inlineStr">
        <is>
          <t>Featherweight-900-Down-Fill-Quilted-Jacket</t>
        </is>
      </c>
      <c r="O2308" s="4" t="inlineStr">
        <is>
          <t>Puffer Jackets</t>
        </is>
      </c>
    </row>
    <row r="2309" ht="80" customHeight="1">
      <c r="A2309" s="7">
        <f>IMAGE("https://images.lululemon.com/is/image/lululemon/LW4CMJS_036865_1?wid=320&amp;op_usm=0.8",1)</f>
        <v/>
      </c>
      <c r="B2309" s="7" t="inlineStr">
        <is>
          <t>Featherweight 900-Down-Fill Quilted Jacket</t>
        </is>
      </c>
      <c r="C2309" s="7" t="inlineStr">
        <is>
          <t>158035479</t>
        </is>
      </c>
      <c r="D2309" s="7" t="inlineStr">
        <is>
          <t>158035479-olivebrown</t>
        </is>
      </c>
      <c r="E2309" s="7" t="inlineStr">
        <is>
          <t>Featherweight Down Quilted Jacket DVGY XXS</t>
        </is>
      </c>
      <c r="F2309" s="7" t="inlineStr">
        <is>
          <t>$298.00</t>
        </is>
      </c>
      <c r="G2309" s="7" t="inlineStr">
        <is>
          <t>$149.00</t>
        </is>
      </c>
      <c r="H2309" s="7" t="inlineStr">
        <is>
          <t>Olive Brown</t>
        </is>
      </c>
      <c r="I2309" s="7">
        <f>IMAGE("https://images.lululemon.com/is/image/lululemon/71148",1)</f>
        <v/>
      </c>
      <c r="J2309" s="7" t="inlineStr">
        <is>
          <t>L</t>
        </is>
      </c>
      <c r="K2309" s="7" t="inlineStr">
        <is>
          <t>54/843</t>
        </is>
      </c>
      <c r="L2309" s="7" t="inlineStr">
        <is>
          <t>Yes</t>
        </is>
      </c>
      <c r="M2309" s="7" t="inlineStr">
        <is>
          <t>Featherweight champ. Delivering mid-level warmth with a feather-light feel, this packable jacket is insulated with premium 900-fill-power down—layer it under a shell or over cozy sweaters when the cold sets in.</t>
        </is>
      </c>
      <c r="N2309" s="7" t="inlineStr">
        <is>
          <t>Featherweight-900-Down-Fill-Quilted-Jacket</t>
        </is>
      </c>
      <c r="O2309" s="7" t="inlineStr">
        <is>
          <t>Puffer Jackets</t>
        </is>
      </c>
    </row>
    <row r="2310" ht="80" customHeight="1">
      <c r="A2310" s="6">
        <f>IMAGE("https://images.lululemon.com/is/image/lululemon/LW4CMJS_036865_1?wid=320&amp;op_usm=0.8",1)</f>
        <v/>
      </c>
      <c r="B2310" s="6" t="inlineStr">
        <is>
          <t>Featherweight 900-Down-Fill Quilted Jacket</t>
        </is>
      </c>
      <c r="C2310" s="6" t="inlineStr">
        <is>
          <t>158035497</t>
        </is>
      </c>
      <c r="D2310" s="6" t="inlineStr">
        <is>
          <t>158035497-olivebrown</t>
        </is>
      </c>
      <c r="E2310" s="6" t="inlineStr">
        <is>
          <t>Featherweight Down Quilted Jacket DVGY XXS</t>
        </is>
      </c>
      <c r="F2310" s="6" t="inlineStr">
        <is>
          <t>$298.00</t>
        </is>
      </c>
      <c r="G2310" s="6" t="inlineStr">
        <is>
          <t>$149.00</t>
        </is>
      </c>
      <c r="H2310" s="6" t="inlineStr">
        <is>
          <t>Olive Brown</t>
        </is>
      </c>
      <c r="I2310" s="6">
        <f>IMAGE("https://images.lululemon.com/is/image/lululemon/71148",1)</f>
        <v/>
      </c>
      <c r="J2310" s="6" t="inlineStr">
        <is>
          <t>XL</t>
        </is>
      </c>
      <c r="K2310" s="6" t="inlineStr">
        <is>
          <t>24/843</t>
        </is>
      </c>
      <c r="L2310" s="6" t="inlineStr">
        <is>
          <t>Yes</t>
        </is>
      </c>
      <c r="M2310" s="6" t="inlineStr">
        <is>
          <t>Featherweight champ. Delivering mid-level warmth with a feather-light feel, this packable jacket is insulated with premium 900-fill-power down—layer it under a shell or over cozy sweaters when the cold sets in.</t>
        </is>
      </c>
      <c r="N2310" s="6" t="inlineStr">
        <is>
          <t>Featherweight-900-Down-Fill-Quilted-Jacket</t>
        </is>
      </c>
      <c r="O2310" s="6" t="inlineStr">
        <is>
          <t>Puffer Jackets</t>
        </is>
      </c>
    </row>
    <row r="2311" ht="80" customHeight="1">
      <c r="A2311" s="7">
        <f>IMAGE("https://images.lululemon.com/is/image/lululemon/LW3IJ3S_032493_1?wid=320&amp;op_usm=0.8",1)</f>
        <v/>
      </c>
      <c r="B2311" s="7" t="inlineStr">
        <is>
          <t>Scuba Oversized Funnel-Neck Full Zip</t>
        </is>
      </c>
      <c r="C2311" s="7" t="inlineStr">
        <is>
          <t>153844428</t>
        </is>
      </c>
      <c r="D2311" s="7" t="inlineStr">
        <is>
          <t>153844428-heatheredcoreultralightgrey</t>
        </is>
      </c>
      <c r="E2311" s="7" t="inlineStr">
        <is>
          <t>Scuba Oversized Funnel-Neck Full Zip HCUG XS/S</t>
        </is>
      </c>
      <c r="F2311" s="7" t="inlineStr">
        <is>
          <t>$128.00</t>
        </is>
      </c>
      <c r="G2311" s="7" t="inlineStr">
        <is>
          <t>$64.00</t>
        </is>
      </c>
      <c r="H2311" s="7" t="inlineStr">
        <is>
          <t>Heathered Core Ultra Light Grey</t>
        </is>
      </c>
      <c r="I2311" s="7">
        <f>IMAGE("https://images.lululemon.com/is/image/lululemon/32493",1)</f>
        <v/>
      </c>
      <c r="J2311" s="7" t="inlineStr">
        <is>
          <t>XS/S</t>
        </is>
      </c>
      <c r="K2311" s="7" t="inlineStr">
        <is>
          <t>589/1201</t>
        </is>
      </c>
      <c r="L2311" s="7" t="inlineStr">
        <is>
          <t>Yes</t>
        </is>
      </c>
      <c r="M2311" s="7" t="inlineStr">
        <is>
          <t>Serious about softness. This full-zip sweatshirt is all about plush, fleecy fabric and pairs perfectly with our Scuba sweatpants.</t>
        </is>
      </c>
      <c r="N2311" s="7" t="inlineStr">
        <is>
          <t>Scuba-Oversized-Funnel-Neck-Full-Zip</t>
        </is>
      </c>
      <c r="O2311" s="7" t="inlineStr">
        <is>
          <t>Zip Up Sweatshirts</t>
        </is>
      </c>
    </row>
    <row r="2312" ht="80" customHeight="1">
      <c r="A2312" s="4">
        <f>IMAGE("https://images.lululemon.com/is/image/lululemon/LW3IJ3S_032493_1?wid=320&amp;op_usm=0.8",1)</f>
        <v/>
      </c>
      <c r="B2312" s="4" t="inlineStr">
        <is>
          <t>Scuba Oversized Funnel-Neck Full Zip</t>
        </is>
      </c>
      <c r="C2312" s="4" t="inlineStr">
        <is>
          <t>153844403</t>
        </is>
      </c>
      <c r="D2312" s="4" t="inlineStr">
        <is>
          <t>153844403-heatheredcoreultralightgrey</t>
        </is>
      </c>
      <c r="E2312" s="4" t="inlineStr">
        <is>
          <t>Scuba Oversized Funnel-Neck Full Zip HCUG XS/S</t>
        </is>
      </c>
      <c r="F2312" s="4" t="inlineStr">
        <is>
          <t>$128.00</t>
        </is>
      </c>
      <c r="G2312" s="4" t="inlineStr">
        <is>
          <t>$64.00</t>
        </is>
      </c>
      <c r="H2312" s="4" t="inlineStr">
        <is>
          <t>Heathered Core Ultra Light Grey</t>
        </is>
      </c>
      <c r="I2312" s="4">
        <f>IMAGE("https://images.lululemon.com/is/image/lululemon/32493",1)</f>
        <v/>
      </c>
      <c r="J2312" s="4" t="inlineStr">
        <is>
          <t>M/L</t>
        </is>
      </c>
      <c r="K2312" s="4" t="inlineStr">
        <is>
          <t>414/1201</t>
        </is>
      </c>
      <c r="L2312" s="4" t="inlineStr">
        <is>
          <t>Yes</t>
        </is>
      </c>
      <c r="M2312" s="4" t="inlineStr">
        <is>
          <t>Serious about softness. This full-zip sweatshirt is all about plush, fleecy fabric and pairs perfectly with our Scuba sweatpants.</t>
        </is>
      </c>
      <c r="N2312" s="4" t="inlineStr">
        <is>
          <t>Scuba-Oversized-Funnel-Neck-Full-Zip</t>
        </is>
      </c>
      <c r="O2312" s="4" t="inlineStr">
        <is>
          <t>Zip Up Sweatshirts</t>
        </is>
      </c>
    </row>
    <row r="2313" ht="80" customHeight="1">
      <c r="A2313" s="5">
        <f>IMAGE("https://images.lululemon.com/is/image/lululemon/LW3IJ3S_032493_1?wid=320&amp;op_usm=0.8",1)</f>
        <v/>
      </c>
      <c r="B2313" s="5" t="inlineStr">
        <is>
          <t>Scuba Oversized Funnel-Neck Full Zip</t>
        </is>
      </c>
      <c r="C2313" s="5" t="inlineStr">
        <is>
          <t>153844420</t>
        </is>
      </c>
      <c r="D2313" s="5" t="inlineStr">
        <is>
          <t>153844420-heatheredcoreultralightgrey</t>
        </is>
      </c>
      <c r="E2313" s="5" t="inlineStr">
        <is>
          <t>Scuba Oversized Funnel-Neck Full Zip HCUG XS/S</t>
        </is>
      </c>
      <c r="F2313" s="5" t="inlineStr">
        <is>
          <t>$128.00</t>
        </is>
      </c>
      <c r="G2313" s="5" t="inlineStr">
        <is>
          <t>$64.00</t>
        </is>
      </c>
      <c r="H2313" s="5" t="inlineStr">
        <is>
          <t>Heathered Core Ultra Light Grey</t>
        </is>
      </c>
      <c r="I2313" s="5">
        <f>IMAGE("https://images.lululemon.com/is/image/lululemon/32493",1)</f>
        <v/>
      </c>
      <c r="J2313" s="5" t="inlineStr">
        <is>
          <t>XL/XXL</t>
        </is>
      </c>
      <c r="K2313" s="5" t="inlineStr">
        <is>
          <t>198/1201</t>
        </is>
      </c>
      <c r="L2313" s="5" t="inlineStr">
        <is>
          <t>Yes</t>
        </is>
      </c>
      <c r="M2313" s="5" t="inlineStr">
        <is>
          <t>Serious about softness. This full-zip sweatshirt is all about plush, fleecy fabric and pairs perfectly with our Scuba sweatpants.</t>
        </is>
      </c>
      <c r="N2313" s="5" t="inlineStr">
        <is>
          <t>Scuba-Oversized-Funnel-Neck-Full-Zip</t>
        </is>
      </c>
      <c r="O2313" s="5" t="inlineStr">
        <is>
          <t>Zip Up Sweatshirts</t>
        </is>
      </c>
    </row>
    <row r="2314" ht="80" customHeight="1">
      <c r="A2314" s="6">
        <f>IMAGE("https://images.lululemon.com/is/image/lululemon/LW9FH8S_043639_1?wid=320&amp;op_usm=0.8",1)</f>
        <v/>
      </c>
      <c r="B2314" s="6" t="inlineStr">
        <is>
          <t>Women's Fast and Free Rulu Running Gloves</t>
        </is>
      </c>
      <c r="C2314" s="6" t="inlineStr">
        <is>
          <t>154525166</t>
        </is>
      </c>
      <c r="D2314" s="6" t="inlineStr">
        <is>
          <t>154525166-heatheredgraphitegrey</t>
        </is>
      </c>
      <c r="E2314" s="6" t="inlineStr">
        <is>
          <t>Fast and Free Rulu™ Run Gloves W HTGR M</t>
        </is>
      </c>
      <c r="F2314" s="6" t="inlineStr">
        <is>
          <t>$52.00</t>
        </is>
      </c>
      <c r="G2314" s="6" t="inlineStr">
        <is>
          <t>$26.00</t>
        </is>
      </c>
      <c r="H2314" s="6" t="inlineStr">
        <is>
          <t>Heathered Graphite Grey</t>
        </is>
      </c>
      <c r="I2314" s="6">
        <f>IMAGE("https://images.lululemon.com/is/image/lululemon/43639",1)</f>
        <v/>
      </c>
      <c r="J2314" s="6" t="inlineStr">
        <is>
          <t>M</t>
        </is>
      </c>
      <c r="K2314" s="6" t="inlineStr">
        <is>
          <t>39/39</t>
        </is>
      </c>
      <c r="L2314" s="6" t="inlineStr">
        <is>
          <t>Yes</t>
        </is>
      </c>
      <c r="M2314" s="6" t="inlineStr">
        <is>
          <t>Brisk, frosty, crisp—anyway you say it, these tech-friendly, fleece-insulated run gloves stop the chill in its tracks.</t>
        </is>
      </c>
      <c r="N2314" s="6" t="inlineStr">
        <is>
          <t>W-Fast-and-Free-Rulu-Run-Gloves</t>
        </is>
      </c>
      <c r="O2314" s="6" t="inlineStr"/>
    </row>
    <row r="2315" ht="80" customHeight="1">
      <c r="A2315" s="7">
        <f>IMAGE("https://images.lululemon.com/is/image/lululemon/LW3EPFS_0001_1?wid=320&amp;op_usm=0.8",1)</f>
        <v/>
      </c>
      <c r="B2315" s="7" t="inlineStr">
        <is>
          <t>Love Crewneck T-Shirt</t>
        </is>
      </c>
      <c r="C2315" s="7" t="inlineStr">
        <is>
          <t>142176489</t>
        </is>
      </c>
      <c r="D2315" s="7" t="inlineStr">
        <is>
          <t>142176489-truenavy</t>
        </is>
      </c>
      <c r="E2315" s="7" t="inlineStr">
        <is>
          <t>Love Crew TRNV 0</t>
        </is>
      </c>
      <c r="F2315" s="7" t="inlineStr">
        <is>
          <t>$48.00</t>
        </is>
      </c>
      <c r="G2315" s="7" t="inlineStr">
        <is>
          <t>$24.00</t>
        </is>
      </c>
      <c r="H2315" s="7" t="inlineStr">
        <is>
          <t>True Navy</t>
        </is>
      </c>
      <c r="I2315" s="7">
        <f>IMAGE("https://images.lululemon.com/is/image/lululemon/31382",1)</f>
        <v/>
      </c>
      <c r="J2315" s="7" t="inlineStr">
        <is>
          <t>0</t>
        </is>
      </c>
      <c r="K2315" s="7" t="inlineStr">
        <is>
          <t>1/650</t>
        </is>
      </c>
      <c r="L2315" s="7" t="inlineStr">
        <is>
          <t>Yes</t>
        </is>
      </c>
      <c r="M2315" s="7" t="inlineStr">
        <is>
          <t>Lots of reasons to love this tee. Soft cotton fabric, a hint of stretch, and a just-right curved hem that pairs perfectly with leggings.</t>
        </is>
      </c>
      <c r="N2315" s="7" t="inlineStr">
        <is>
          <t>Love-Crew</t>
        </is>
      </c>
      <c r="O2315" s="7" t="inlineStr"/>
    </row>
    <row r="2316" ht="80" customHeight="1">
      <c r="A2316" s="4">
        <f>IMAGE("https://images.lululemon.com/is/image/lululemon/LW3EPFS_0001_1?wid=320&amp;op_usm=0.8",1)</f>
        <v/>
      </c>
      <c r="B2316" s="4" t="inlineStr">
        <is>
          <t>Love Crewneck T-Shirt</t>
        </is>
      </c>
      <c r="C2316" s="4" t="inlineStr">
        <is>
          <t>142176560</t>
        </is>
      </c>
      <c r="D2316" s="4" t="inlineStr">
        <is>
          <t>142176560-truenavy</t>
        </is>
      </c>
      <c r="E2316" s="4" t="inlineStr">
        <is>
          <t>Love Crew TRNV 0</t>
        </is>
      </c>
      <c r="F2316" s="4" t="inlineStr">
        <is>
          <t>$48.00</t>
        </is>
      </c>
      <c r="G2316" s="4" t="inlineStr">
        <is>
          <t>$24.00</t>
        </is>
      </c>
      <c r="H2316" s="4" t="inlineStr">
        <is>
          <t>True Navy</t>
        </is>
      </c>
      <c r="I2316" s="4">
        <f>IMAGE("https://images.lululemon.com/is/image/lululemon/31382",1)</f>
        <v/>
      </c>
      <c r="J2316" s="4" t="inlineStr">
        <is>
          <t>4</t>
        </is>
      </c>
      <c r="K2316" s="4" t="inlineStr">
        <is>
          <t>8/650</t>
        </is>
      </c>
      <c r="L2316" s="4" t="inlineStr">
        <is>
          <t>Yes</t>
        </is>
      </c>
      <c r="M2316" s="4" t="inlineStr">
        <is>
          <t>Lots of reasons to love this tee. Soft cotton fabric, a hint of stretch, and a just-right curved hem that pairs perfectly with leggings.</t>
        </is>
      </c>
      <c r="N2316" s="4" t="inlineStr">
        <is>
          <t>Love-Crew</t>
        </is>
      </c>
      <c r="O2316" s="4" t="inlineStr"/>
    </row>
    <row r="2317" ht="80" customHeight="1">
      <c r="A2317" s="7">
        <f>IMAGE("https://images.lululemon.com/is/image/lululemon/LW3EPFS_0001_1?wid=320&amp;op_usm=0.8",1)</f>
        <v/>
      </c>
      <c r="B2317" s="7" t="inlineStr">
        <is>
          <t>Love Crewneck T-Shirt</t>
        </is>
      </c>
      <c r="C2317" s="7" t="inlineStr">
        <is>
          <t>142176567</t>
        </is>
      </c>
      <c r="D2317" s="7" t="inlineStr">
        <is>
          <t>142176567-truenavy</t>
        </is>
      </c>
      <c r="E2317" s="7" t="inlineStr">
        <is>
          <t>Love Crew TRNV 0</t>
        </is>
      </c>
      <c r="F2317" s="7" t="inlineStr">
        <is>
          <t>$48.00</t>
        </is>
      </c>
      <c r="G2317" s="7" t="inlineStr">
        <is>
          <t>$24.00</t>
        </is>
      </c>
      <c r="H2317" s="7" t="inlineStr">
        <is>
          <t>True Navy</t>
        </is>
      </c>
      <c r="I2317" s="7">
        <f>IMAGE("https://images.lululemon.com/is/image/lululemon/31382",1)</f>
        <v/>
      </c>
      <c r="J2317" s="7" t="inlineStr">
        <is>
          <t>6</t>
        </is>
      </c>
      <c r="K2317" s="7" t="inlineStr">
        <is>
          <t>16/650</t>
        </is>
      </c>
      <c r="L2317" s="7" t="inlineStr">
        <is>
          <t>Yes</t>
        </is>
      </c>
      <c r="M2317" s="7" t="inlineStr">
        <is>
          <t>Lots of reasons to love this tee. Soft cotton fabric, a hint of stretch, and a just-right curved hem that pairs perfectly with leggings.</t>
        </is>
      </c>
      <c r="N2317" s="7" t="inlineStr">
        <is>
          <t>Love-Crew</t>
        </is>
      </c>
      <c r="O2317" s="7" t="inlineStr"/>
    </row>
    <row r="2318" ht="80" customHeight="1">
      <c r="A2318" s="4">
        <f>IMAGE("https://images.lululemon.com/is/image/lululemon/LW3EPFS_0001_1?wid=320&amp;op_usm=0.8",1)</f>
        <v/>
      </c>
      <c r="B2318" s="4" t="inlineStr">
        <is>
          <t>Love Crewneck T-Shirt</t>
        </is>
      </c>
      <c r="C2318" s="4" t="inlineStr">
        <is>
          <t>142176570</t>
        </is>
      </c>
      <c r="D2318" s="4" t="inlineStr">
        <is>
          <t>142176570-truenavy</t>
        </is>
      </c>
      <c r="E2318" s="4" t="inlineStr">
        <is>
          <t>Love Crew TRNV 0</t>
        </is>
      </c>
      <c r="F2318" s="4" t="inlineStr">
        <is>
          <t>$48.00</t>
        </is>
      </c>
      <c r="G2318" s="4" t="inlineStr">
        <is>
          <t>$24.00</t>
        </is>
      </c>
      <c r="H2318" s="4" t="inlineStr">
        <is>
          <t>True Navy</t>
        </is>
      </c>
      <c r="I2318" s="4">
        <f>IMAGE("https://images.lululemon.com/is/image/lululemon/31382",1)</f>
        <v/>
      </c>
      <c r="J2318" s="4" t="inlineStr">
        <is>
          <t>8</t>
        </is>
      </c>
      <c r="K2318" s="4" t="inlineStr">
        <is>
          <t>25/650</t>
        </is>
      </c>
      <c r="L2318" s="4" t="inlineStr">
        <is>
          <t>Yes</t>
        </is>
      </c>
      <c r="M2318" s="4" t="inlineStr">
        <is>
          <t>Lots of reasons to love this tee. Soft cotton fabric, a hint of stretch, and a just-right curved hem that pairs perfectly with leggings.</t>
        </is>
      </c>
      <c r="N2318" s="4" t="inlineStr">
        <is>
          <t>Love-Crew</t>
        </is>
      </c>
      <c r="O2318" s="4" t="inlineStr"/>
    </row>
    <row r="2319" ht="80" customHeight="1">
      <c r="A2319" s="7">
        <f>IMAGE("https://images.lululemon.com/is/image/lululemon/LW3EPFS_0001_1?wid=320&amp;op_usm=0.8",1)</f>
        <v/>
      </c>
      <c r="B2319" s="7" t="inlineStr">
        <is>
          <t>Love Crewneck T-Shirt</t>
        </is>
      </c>
      <c r="C2319" s="7" t="inlineStr">
        <is>
          <t>142176498</t>
        </is>
      </c>
      <c r="D2319" s="7" t="inlineStr">
        <is>
          <t>142176498-truenavy</t>
        </is>
      </c>
      <c r="E2319" s="7" t="inlineStr">
        <is>
          <t>Love Crew TRNV 0</t>
        </is>
      </c>
      <c r="F2319" s="7" t="inlineStr">
        <is>
          <t>$48.00</t>
        </is>
      </c>
      <c r="G2319" s="7" t="inlineStr">
        <is>
          <t>$24.00</t>
        </is>
      </c>
      <c r="H2319" s="7" t="inlineStr">
        <is>
          <t>True Navy</t>
        </is>
      </c>
      <c r="I2319" s="7">
        <f>IMAGE("https://images.lululemon.com/is/image/lululemon/31382",1)</f>
        <v/>
      </c>
      <c r="J2319" s="7" t="inlineStr">
        <is>
          <t>10</t>
        </is>
      </c>
      <c r="K2319" s="7" t="inlineStr">
        <is>
          <t>26/650</t>
        </is>
      </c>
      <c r="L2319" s="7" t="inlineStr">
        <is>
          <t>Yes</t>
        </is>
      </c>
      <c r="M2319" s="7" t="inlineStr">
        <is>
          <t>Lots of reasons to love this tee. Soft cotton fabric, a hint of stretch, and a just-right curved hem that pairs perfectly with leggings.</t>
        </is>
      </c>
      <c r="N2319" s="7" t="inlineStr">
        <is>
          <t>Love-Crew</t>
        </is>
      </c>
      <c r="O2319" s="7" t="inlineStr"/>
    </row>
    <row r="2320" ht="80" customHeight="1">
      <c r="A2320" s="4">
        <f>IMAGE("https://images.lululemon.com/is/image/lululemon/LW3EPFS_0001_1?wid=320&amp;op_usm=0.8",1)</f>
        <v/>
      </c>
      <c r="B2320" s="4" t="inlineStr">
        <is>
          <t>Love Crewneck T-Shirt</t>
        </is>
      </c>
      <c r="C2320" s="4" t="inlineStr">
        <is>
          <t>142176507</t>
        </is>
      </c>
      <c r="D2320" s="4" t="inlineStr">
        <is>
          <t>142176507-truenavy</t>
        </is>
      </c>
      <c r="E2320" s="4" t="inlineStr">
        <is>
          <t>Love Crew TRNV 0</t>
        </is>
      </c>
      <c r="F2320" s="4" t="inlineStr">
        <is>
          <t>$48.00</t>
        </is>
      </c>
      <c r="G2320" s="4" t="inlineStr">
        <is>
          <t>$24.00</t>
        </is>
      </c>
      <c r="H2320" s="4" t="inlineStr">
        <is>
          <t>True Navy</t>
        </is>
      </c>
      <c r="I2320" s="4">
        <f>IMAGE("https://images.lululemon.com/is/image/lululemon/31382",1)</f>
        <v/>
      </c>
      <c r="J2320" s="4" t="inlineStr">
        <is>
          <t>12</t>
        </is>
      </c>
      <c r="K2320" s="4" t="inlineStr">
        <is>
          <t>3/650</t>
        </is>
      </c>
      <c r="L2320" s="4" t="inlineStr">
        <is>
          <t>Yes</t>
        </is>
      </c>
      <c r="M2320" s="4" t="inlineStr">
        <is>
          <t>Lots of reasons to love this tee. Soft cotton fabric, a hint of stretch, and a just-right curved hem that pairs perfectly with leggings.</t>
        </is>
      </c>
      <c r="N2320" s="4" t="inlineStr">
        <is>
          <t>Love-Crew</t>
        </is>
      </c>
      <c r="O2320" s="4" t="inlineStr"/>
    </row>
    <row r="2321" ht="80" customHeight="1">
      <c r="A2321" s="7">
        <f>IMAGE("https://images.lululemon.com/is/image/lululemon/LW3EPFS_0001_1?wid=320&amp;op_usm=0.8",1)</f>
        <v/>
      </c>
      <c r="B2321" s="7" t="inlineStr">
        <is>
          <t>Love Crewneck T-Shirt</t>
        </is>
      </c>
      <c r="C2321" s="7" t="inlineStr">
        <is>
          <t>138375054</t>
        </is>
      </c>
      <c r="D2321" s="7" t="inlineStr">
        <is>
          <t>138375054-white</t>
        </is>
      </c>
      <c r="E2321" s="7" t="inlineStr">
        <is>
          <t>Love Crew TRNV 0</t>
        </is>
      </c>
      <c r="F2321" s="7" t="inlineStr">
        <is>
          <t>$48.00</t>
        </is>
      </c>
      <c r="G2321" s="7" t="inlineStr">
        <is>
          <t>$24.00</t>
        </is>
      </c>
      <c r="H2321" s="7" t="inlineStr">
        <is>
          <t>White</t>
        </is>
      </c>
      <c r="I2321" s="7">
        <f>IMAGE("https://images.lululemon.com/is/image/lululemon/0002",1)</f>
        <v/>
      </c>
      <c r="J2321" s="7" t="inlineStr">
        <is>
          <t>2</t>
        </is>
      </c>
      <c r="K2321" s="7" t="inlineStr">
        <is>
          <t>19/650</t>
        </is>
      </c>
      <c r="L2321" s="7" t="inlineStr">
        <is>
          <t>Yes</t>
        </is>
      </c>
      <c r="M2321" s="7" t="inlineStr">
        <is>
          <t>Lots of reasons to love this tee. Soft cotton fabric, a hint of stretch, and a just-right curved hem that pairs perfectly with leggings.</t>
        </is>
      </c>
      <c r="N2321" s="7" t="inlineStr">
        <is>
          <t>Love-Crew</t>
        </is>
      </c>
      <c r="O2321" s="7" t="inlineStr"/>
    </row>
    <row r="2322" ht="80" customHeight="1">
      <c r="A2322" s="4">
        <f>IMAGE("https://images.lululemon.com/is/image/lululemon/LW3EPFS_0001_1?wid=320&amp;op_usm=0.8",1)</f>
        <v/>
      </c>
      <c r="B2322" s="4" t="inlineStr">
        <is>
          <t>Love Crewneck T-Shirt</t>
        </is>
      </c>
      <c r="C2322" s="4" t="inlineStr">
        <is>
          <t>138375059</t>
        </is>
      </c>
      <c r="D2322" s="4" t="inlineStr">
        <is>
          <t>138375059-white</t>
        </is>
      </c>
      <c r="E2322" s="4" t="inlineStr">
        <is>
          <t>Love Crew TRNV 0</t>
        </is>
      </c>
      <c r="F2322" s="4" t="inlineStr">
        <is>
          <t>$48.00</t>
        </is>
      </c>
      <c r="G2322" s="4" t="inlineStr">
        <is>
          <t>$24.00</t>
        </is>
      </c>
      <c r="H2322" s="4" t="inlineStr">
        <is>
          <t>White</t>
        </is>
      </c>
      <c r="I2322" s="4">
        <f>IMAGE("https://images.lululemon.com/is/image/lululemon/0002",1)</f>
        <v/>
      </c>
      <c r="J2322" s="4" t="inlineStr">
        <is>
          <t>4</t>
        </is>
      </c>
      <c r="K2322" s="4" t="inlineStr">
        <is>
          <t>85/650</t>
        </is>
      </c>
      <c r="L2322" s="4" t="inlineStr">
        <is>
          <t>Yes</t>
        </is>
      </c>
      <c r="M2322" s="4" t="inlineStr">
        <is>
          <t>Lots of reasons to love this tee. Soft cotton fabric, a hint of stretch, and a just-right curved hem that pairs perfectly with leggings.</t>
        </is>
      </c>
      <c r="N2322" s="4" t="inlineStr">
        <is>
          <t>Love-Crew</t>
        </is>
      </c>
      <c r="O2322" s="4" t="inlineStr"/>
    </row>
    <row r="2323" ht="80" customHeight="1">
      <c r="A2323" s="7">
        <f>IMAGE("https://images.lululemon.com/is/image/lululemon/LW3EPFS_0001_1?wid=320&amp;op_usm=0.8",1)</f>
        <v/>
      </c>
      <c r="B2323" s="7" t="inlineStr">
        <is>
          <t>Love Crewneck T-Shirt</t>
        </is>
      </c>
      <c r="C2323" s="7" t="inlineStr">
        <is>
          <t>138375060</t>
        </is>
      </c>
      <c r="D2323" s="7" t="inlineStr">
        <is>
          <t>138375060-white</t>
        </is>
      </c>
      <c r="E2323" s="7" t="inlineStr">
        <is>
          <t>Love Crew TRNV 0</t>
        </is>
      </c>
      <c r="F2323" s="7" t="inlineStr">
        <is>
          <t>$48.00</t>
        </is>
      </c>
      <c r="G2323" s="7" t="inlineStr">
        <is>
          <t>$24.00</t>
        </is>
      </c>
      <c r="H2323" s="7" t="inlineStr">
        <is>
          <t>White</t>
        </is>
      </c>
      <c r="I2323" s="7">
        <f>IMAGE("https://images.lululemon.com/is/image/lululemon/0002",1)</f>
        <v/>
      </c>
      <c r="J2323" s="7" t="inlineStr">
        <is>
          <t>6</t>
        </is>
      </c>
      <c r="K2323" s="7" t="inlineStr">
        <is>
          <t>85/650</t>
        </is>
      </c>
      <c r="L2323" s="7" t="inlineStr">
        <is>
          <t>Yes</t>
        </is>
      </c>
      <c r="M2323" s="7" t="inlineStr">
        <is>
          <t>Lots of reasons to love this tee. Soft cotton fabric, a hint of stretch, and a just-right curved hem that pairs perfectly with leggings.</t>
        </is>
      </c>
      <c r="N2323" s="7" t="inlineStr">
        <is>
          <t>Love-Crew</t>
        </is>
      </c>
      <c r="O2323" s="7" t="inlineStr"/>
    </row>
    <row r="2324" ht="80" customHeight="1">
      <c r="A2324" s="4">
        <f>IMAGE("https://images.lululemon.com/is/image/lululemon/LW3EPFS_0001_1?wid=320&amp;op_usm=0.8",1)</f>
        <v/>
      </c>
      <c r="B2324" s="4" t="inlineStr">
        <is>
          <t>Love Crewneck T-Shirt</t>
        </is>
      </c>
      <c r="C2324" s="4" t="inlineStr">
        <is>
          <t>138375061</t>
        </is>
      </c>
      <c r="D2324" s="4" t="inlineStr">
        <is>
          <t>138375061-white</t>
        </is>
      </c>
      <c r="E2324" s="4" t="inlineStr">
        <is>
          <t>Love Crew TRNV 0</t>
        </is>
      </c>
      <c r="F2324" s="4" t="inlineStr">
        <is>
          <t>$48.00</t>
        </is>
      </c>
      <c r="G2324" s="4" t="inlineStr">
        <is>
          <t>$24.00</t>
        </is>
      </c>
      <c r="H2324" s="4" t="inlineStr">
        <is>
          <t>White</t>
        </is>
      </c>
      <c r="I2324" s="4">
        <f>IMAGE("https://images.lululemon.com/is/image/lululemon/0002",1)</f>
        <v/>
      </c>
      <c r="J2324" s="4" t="inlineStr">
        <is>
          <t>8</t>
        </is>
      </c>
      <c r="K2324" s="4" t="inlineStr">
        <is>
          <t>21/650</t>
        </is>
      </c>
      <c r="L2324" s="4" t="inlineStr">
        <is>
          <t>Yes</t>
        </is>
      </c>
      <c r="M2324" s="4" t="inlineStr">
        <is>
          <t>Lots of reasons to love this tee. Soft cotton fabric, a hint of stretch, and a just-right curved hem that pairs perfectly with leggings.</t>
        </is>
      </c>
      <c r="N2324" s="4" t="inlineStr">
        <is>
          <t>Love-Crew</t>
        </is>
      </c>
      <c r="O2324" s="4" t="inlineStr"/>
    </row>
    <row r="2325" ht="80" customHeight="1">
      <c r="A2325" s="7">
        <f>IMAGE("https://images.lululemon.com/is/image/lululemon/LW3EPFS_0001_1?wid=320&amp;op_usm=0.8",1)</f>
        <v/>
      </c>
      <c r="B2325" s="7" t="inlineStr">
        <is>
          <t>Love Crewneck T-Shirt</t>
        </is>
      </c>
      <c r="C2325" s="7" t="inlineStr">
        <is>
          <t>138375049</t>
        </is>
      </c>
      <c r="D2325" s="7" t="inlineStr">
        <is>
          <t>138375049-white</t>
        </is>
      </c>
      <c r="E2325" s="7" t="inlineStr">
        <is>
          <t>Love Crew TRNV 0</t>
        </is>
      </c>
      <c r="F2325" s="7" t="inlineStr">
        <is>
          <t>$48.00</t>
        </is>
      </c>
      <c r="G2325" s="7" t="inlineStr">
        <is>
          <t>$24.00</t>
        </is>
      </c>
      <c r="H2325" s="7" t="inlineStr">
        <is>
          <t>White</t>
        </is>
      </c>
      <c r="I2325" s="7">
        <f>IMAGE("https://images.lululemon.com/is/image/lululemon/0002",1)</f>
        <v/>
      </c>
      <c r="J2325" s="7" t="inlineStr">
        <is>
          <t>10</t>
        </is>
      </c>
      <c r="K2325" s="7" t="inlineStr">
        <is>
          <t>7/650</t>
        </is>
      </c>
      <c r="L2325" s="7" t="inlineStr">
        <is>
          <t>Yes</t>
        </is>
      </c>
      <c r="M2325" s="7" t="inlineStr">
        <is>
          <t>Lots of reasons to love this tee. Soft cotton fabric, a hint of stretch, and a just-right curved hem that pairs perfectly with leggings.</t>
        </is>
      </c>
      <c r="N2325" s="7" t="inlineStr">
        <is>
          <t>Love-Crew</t>
        </is>
      </c>
      <c r="O2325" s="7" t="inlineStr"/>
    </row>
    <row r="2326" ht="80" customHeight="1">
      <c r="A2326" s="4">
        <f>IMAGE("https://images.lululemon.com/is/image/lululemon/LW3EPFS_0001_1?wid=320&amp;op_usm=0.8",1)</f>
        <v/>
      </c>
      <c r="B2326" s="4" t="inlineStr">
        <is>
          <t>Love Crewneck T-Shirt</t>
        </is>
      </c>
      <c r="C2326" s="4" t="inlineStr">
        <is>
          <t>138375050</t>
        </is>
      </c>
      <c r="D2326" s="4" t="inlineStr">
        <is>
          <t>138375050-white</t>
        </is>
      </c>
      <c r="E2326" s="4" t="inlineStr">
        <is>
          <t>Love Crew TRNV 0</t>
        </is>
      </c>
      <c r="F2326" s="4" t="inlineStr">
        <is>
          <t>$48.00</t>
        </is>
      </c>
      <c r="G2326" s="4" t="inlineStr">
        <is>
          <t>$24.00</t>
        </is>
      </c>
      <c r="H2326" s="4" t="inlineStr">
        <is>
          <t>White</t>
        </is>
      </c>
      <c r="I2326" s="4">
        <f>IMAGE("https://images.lululemon.com/is/image/lululemon/0002",1)</f>
        <v/>
      </c>
      <c r="J2326" s="4" t="inlineStr">
        <is>
          <t>12</t>
        </is>
      </c>
      <c r="K2326" s="4" t="inlineStr">
        <is>
          <t>1/650</t>
        </is>
      </c>
      <c r="L2326" s="4" t="inlineStr">
        <is>
          <t>Yes</t>
        </is>
      </c>
      <c r="M2326" s="4" t="inlineStr">
        <is>
          <t>Lots of reasons to love this tee. Soft cotton fabric, a hint of stretch, and a just-right curved hem that pairs perfectly with leggings.</t>
        </is>
      </c>
      <c r="N2326" s="4" t="inlineStr">
        <is>
          <t>Love-Crew</t>
        </is>
      </c>
      <c r="O2326" s="4" t="inlineStr"/>
    </row>
    <row r="2327" ht="80" customHeight="1">
      <c r="A2327" s="7">
        <f>IMAGE("https://images.lululemon.com/is/image/lululemon/LW3EPFS_0001_1?wid=320&amp;op_usm=0.8",1)</f>
        <v/>
      </c>
      <c r="B2327" s="7" t="inlineStr">
        <is>
          <t>Love Crewneck T-Shirt</t>
        </is>
      </c>
      <c r="C2327" s="7" t="inlineStr">
        <is>
          <t>132152214</t>
        </is>
      </c>
      <c r="D2327" s="7" t="inlineStr">
        <is>
          <t>132152214-black</t>
        </is>
      </c>
      <c r="E2327" s="7" t="inlineStr">
        <is>
          <t>Love Crew TRNV 0</t>
        </is>
      </c>
      <c r="F2327" s="7" t="inlineStr">
        <is>
          <t>$48.00</t>
        </is>
      </c>
      <c r="G2327" s="7" t="inlineStr">
        <is>
          <t>$24.00</t>
        </is>
      </c>
      <c r="H2327" s="7" t="inlineStr">
        <is>
          <t>Black</t>
        </is>
      </c>
      <c r="I2327" s="7">
        <f>IMAGE("https://images.lululemon.com/is/image/lululemon/0001",1)</f>
        <v/>
      </c>
      <c r="J2327" s="7" t="inlineStr">
        <is>
          <t>2</t>
        </is>
      </c>
      <c r="K2327" s="7" t="inlineStr">
        <is>
          <t>27/650</t>
        </is>
      </c>
      <c r="L2327" s="7" t="inlineStr">
        <is>
          <t>Yes</t>
        </is>
      </c>
      <c r="M2327" s="7" t="inlineStr">
        <is>
          <t>Lots of reasons to love this tee. Soft cotton fabric, a hint of stretch, and a just-right curved hem that pairs perfectly with leggings.</t>
        </is>
      </c>
      <c r="N2327" s="7" t="inlineStr">
        <is>
          <t>Love-Crew</t>
        </is>
      </c>
      <c r="O2327" s="7" t="inlineStr"/>
    </row>
    <row r="2328" ht="80" customHeight="1">
      <c r="A2328" s="4">
        <f>IMAGE("https://images.lululemon.com/is/image/lululemon/LW3EPFS_0001_1?wid=320&amp;op_usm=0.8",1)</f>
        <v/>
      </c>
      <c r="B2328" s="4" t="inlineStr">
        <is>
          <t>Love Crewneck T-Shirt</t>
        </is>
      </c>
      <c r="C2328" s="4" t="inlineStr">
        <is>
          <t>132152238</t>
        </is>
      </c>
      <c r="D2328" s="4" t="inlineStr">
        <is>
          <t>132152238-black</t>
        </is>
      </c>
      <c r="E2328" s="4" t="inlineStr">
        <is>
          <t>Love Crew TRNV 0</t>
        </is>
      </c>
      <c r="F2328" s="4" t="inlineStr">
        <is>
          <t>$48.00</t>
        </is>
      </c>
      <c r="G2328" s="4" t="inlineStr">
        <is>
          <t>$24.00</t>
        </is>
      </c>
      <c r="H2328" s="4" t="inlineStr">
        <is>
          <t>Black</t>
        </is>
      </c>
      <c r="I2328" s="4">
        <f>IMAGE("https://images.lululemon.com/is/image/lululemon/0001",1)</f>
        <v/>
      </c>
      <c r="J2328" s="4" t="inlineStr">
        <is>
          <t>4</t>
        </is>
      </c>
      <c r="K2328" s="4" t="inlineStr">
        <is>
          <t>47/650</t>
        </is>
      </c>
      <c r="L2328" s="4" t="inlineStr">
        <is>
          <t>Yes</t>
        </is>
      </c>
      <c r="M2328" s="4" t="inlineStr">
        <is>
          <t>Lots of reasons to love this tee. Soft cotton fabric, a hint of stretch, and a just-right curved hem that pairs perfectly with leggings.</t>
        </is>
      </c>
      <c r="N2328" s="4" t="inlineStr">
        <is>
          <t>Love-Crew</t>
        </is>
      </c>
      <c r="O2328" s="4" t="inlineStr"/>
    </row>
    <row r="2329" ht="80" customHeight="1">
      <c r="A2329" s="7">
        <f>IMAGE("https://images.lululemon.com/is/image/lululemon/LW3EPFS_0001_1?wid=320&amp;op_usm=0.8",1)</f>
        <v/>
      </c>
      <c r="B2329" s="7" t="inlineStr">
        <is>
          <t>Love Crewneck T-Shirt</t>
        </is>
      </c>
      <c r="C2329" s="7" t="inlineStr">
        <is>
          <t>139375673</t>
        </is>
      </c>
      <c r="D2329" s="7" t="inlineStr">
        <is>
          <t>139375673-black</t>
        </is>
      </c>
      <c r="E2329" s="7" t="inlineStr">
        <is>
          <t>Love Crew TRNV 0</t>
        </is>
      </c>
      <c r="F2329" s="7" t="inlineStr">
        <is>
          <t>$48.00</t>
        </is>
      </c>
      <c r="G2329" s="7" t="inlineStr">
        <is>
          <t>$24.00</t>
        </is>
      </c>
      <c r="H2329" s="7" t="inlineStr">
        <is>
          <t>Black</t>
        </is>
      </c>
      <c r="I2329" s="7">
        <f>IMAGE("https://images.lululemon.com/is/image/lululemon/0001",1)</f>
        <v/>
      </c>
      <c r="J2329" s="7" t="inlineStr">
        <is>
          <t>6</t>
        </is>
      </c>
      <c r="K2329" s="7" t="inlineStr">
        <is>
          <t>123/650</t>
        </is>
      </c>
      <c r="L2329" s="7" t="inlineStr">
        <is>
          <t>Yes</t>
        </is>
      </c>
      <c r="M2329" s="7" t="inlineStr">
        <is>
          <t>Lots of reasons to love this tee. Soft cotton fabric, a hint of stretch, and a just-right curved hem that pairs perfectly with leggings.</t>
        </is>
      </c>
      <c r="N2329" s="7" t="inlineStr">
        <is>
          <t>Love-Crew</t>
        </is>
      </c>
      <c r="O2329" s="7" t="inlineStr"/>
    </row>
    <row r="2330" ht="80" customHeight="1">
      <c r="A2330" s="4">
        <f>IMAGE("https://images.lululemon.com/is/image/lululemon/LW3EPFS_0001_1?wid=320&amp;op_usm=0.8",1)</f>
        <v/>
      </c>
      <c r="B2330" s="4" t="inlineStr">
        <is>
          <t>Love Crewneck T-Shirt</t>
        </is>
      </c>
      <c r="C2330" s="4" t="inlineStr">
        <is>
          <t>139375677</t>
        </is>
      </c>
      <c r="D2330" s="4" t="inlineStr">
        <is>
          <t>139375677-black</t>
        </is>
      </c>
      <c r="E2330" s="4" t="inlineStr">
        <is>
          <t>Love Crew TRNV 0</t>
        </is>
      </c>
      <c r="F2330" s="4" t="inlineStr">
        <is>
          <t>$48.00</t>
        </is>
      </c>
      <c r="G2330" s="4" t="inlineStr">
        <is>
          <t>$24.00</t>
        </is>
      </c>
      <c r="H2330" s="4" t="inlineStr">
        <is>
          <t>Black</t>
        </is>
      </c>
      <c r="I2330" s="4">
        <f>IMAGE("https://images.lululemon.com/is/image/lululemon/0001",1)</f>
        <v/>
      </c>
      <c r="J2330" s="4" t="inlineStr">
        <is>
          <t>8</t>
        </is>
      </c>
      <c r="K2330" s="4" t="inlineStr">
        <is>
          <t>37/650</t>
        </is>
      </c>
      <c r="L2330" s="4" t="inlineStr">
        <is>
          <t>Yes</t>
        </is>
      </c>
      <c r="M2330" s="4" t="inlineStr">
        <is>
          <t>Lots of reasons to love this tee. Soft cotton fabric, a hint of stretch, and a just-right curved hem that pairs perfectly with leggings.</t>
        </is>
      </c>
      <c r="N2330" s="4" t="inlineStr">
        <is>
          <t>Love-Crew</t>
        </is>
      </c>
      <c r="O2330" s="4" t="inlineStr"/>
    </row>
    <row r="2331" ht="80" customHeight="1">
      <c r="A2331" s="7">
        <f>IMAGE("https://images.lululemon.com/is/image/lululemon/LW3EPFS_0001_1?wid=320&amp;op_usm=0.8",1)</f>
        <v/>
      </c>
      <c r="B2331" s="7" t="inlineStr">
        <is>
          <t>Love Crewneck T-Shirt</t>
        </is>
      </c>
      <c r="C2331" s="7" t="inlineStr">
        <is>
          <t>139375629</t>
        </is>
      </c>
      <c r="D2331" s="7" t="inlineStr">
        <is>
          <t>139375629-black</t>
        </is>
      </c>
      <c r="E2331" s="7" t="inlineStr">
        <is>
          <t>Love Crew TRNV 0</t>
        </is>
      </c>
      <c r="F2331" s="7" t="inlineStr">
        <is>
          <t>$48.00</t>
        </is>
      </c>
      <c r="G2331" s="7" t="inlineStr">
        <is>
          <t>$24.00</t>
        </is>
      </c>
      <c r="H2331" s="7" t="inlineStr">
        <is>
          <t>Black</t>
        </is>
      </c>
      <c r="I2331" s="7">
        <f>IMAGE("https://images.lululemon.com/is/image/lululemon/0001",1)</f>
        <v/>
      </c>
      <c r="J2331" s="7" t="inlineStr">
        <is>
          <t>10</t>
        </is>
      </c>
      <c r="K2331" s="7" t="inlineStr">
        <is>
          <t>85/650</t>
        </is>
      </c>
      <c r="L2331" s="7" t="inlineStr">
        <is>
          <t>Yes</t>
        </is>
      </c>
      <c r="M2331" s="7" t="inlineStr">
        <is>
          <t>Lots of reasons to love this tee. Soft cotton fabric, a hint of stretch, and a just-right curved hem that pairs perfectly with leggings.</t>
        </is>
      </c>
      <c r="N2331" s="7" t="inlineStr">
        <is>
          <t>Love-Crew</t>
        </is>
      </c>
      <c r="O2331" s="7" t="inlineStr"/>
    </row>
    <row r="2332" ht="80" customHeight="1">
      <c r="A2332" s="4">
        <f>IMAGE("https://images.lululemon.com/is/image/lululemon/LW3EPFS_0001_1?wid=320&amp;op_usm=0.8",1)</f>
        <v/>
      </c>
      <c r="B2332" s="4" t="inlineStr">
        <is>
          <t>Love Crewneck T-Shirt</t>
        </is>
      </c>
      <c r="C2332" s="4" t="inlineStr">
        <is>
          <t>139375633</t>
        </is>
      </c>
      <c r="D2332" s="4" t="inlineStr">
        <is>
          <t>139375633-black</t>
        </is>
      </c>
      <c r="E2332" s="4" t="inlineStr">
        <is>
          <t>Love Crew TRNV 0</t>
        </is>
      </c>
      <c r="F2332" s="4" t="inlineStr">
        <is>
          <t>$48.00</t>
        </is>
      </c>
      <c r="G2332" s="4" t="inlineStr">
        <is>
          <t>$24.00</t>
        </is>
      </c>
      <c r="H2332" s="4" t="inlineStr">
        <is>
          <t>Black</t>
        </is>
      </c>
      <c r="I2332" s="4">
        <f>IMAGE("https://images.lululemon.com/is/image/lululemon/0001",1)</f>
        <v/>
      </c>
      <c r="J2332" s="4" t="inlineStr">
        <is>
          <t>12</t>
        </is>
      </c>
      <c r="K2332" s="4" t="inlineStr">
        <is>
          <t>27/650</t>
        </is>
      </c>
      <c r="L2332" s="4" t="inlineStr">
        <is>
          <t>Yes</t>
        </is>
      </c>
      <c r="M2332" s="4" t="inlineStr">
        <is>
          <t>Lots of reasons to love this tee. Soft cotton fabric, a hint of stretch, and a just-right curved hem that pairs perfectly with leggings.</t>
        </is>
      </c>
      <c r="N2332" s="4" t="inlineStr">
        <is>
          <t>Love-Crew</t>
        </is>
      </c>
      <c r="O2332" s="4" t="inlineStr"/>
    </row>
    <row r="2333" ht="80" customHeight="1">
      <c r="A2333" s="5">
        <f>IMAGE("https://images.lululemon.com/is/image/lululemon/LW3EPFS_0001_1?wid=320&amp;op_usm=0.8",1)</f>
        <v/>
      </c>
      <c r="B2333" s="5" t="inlineStr">
        <is>
          <t>Love Crewneck T-Shirt</t>
        </is>
      </c>
      <c r="C2333" s="5" t="inlineStr">
        <is>
          <t>132152201</t>
        </is>
      </c>
      <c r="D2333" s="5" t="inlineStr">
        <is>
          <t>132152201-black</t>
        </is>
      </c>
      <c r="E2333" s="5" t="inlineStr">
        <is>
          <t>Love Crew TRNV 0</t>
        </is>
      </c>
      <c r="F2333" s="5" t="inlineStr">
        <is>
          <t>$48.00</t>
        </is>
      </c>
      <c r="G2333" s="5" t="inlineStr">
        <is>
          <t>$24.00</t>
        </is>
      </c>
      <c r="H2333" s="5" t="inlineStr">
        <is>
          <t>Black</t>
        </is>
      </c>
      <c r="I2333" s="5">
        <f>IMAGE("https://images.lululemon.com/is/image/lululemon/0001",1)</f>
        <v/>
      </c>
      <c r="J2333" s="5" t="inlineStr">
        <is>
          <t>14</t>
        </is>
      </c>
      <c r="K2333" s="5" t="inlineStr">
        <is>
          <t>7/650</t>
        </is>
      </c>
      <c r="L2333" s="5" t="inlineStr">
        <is>
          <t>Yes</t>
        </is>
      </c>
      <c r="M2333" s="5" t="inlineStr">
        <is>
          <t>Lots of reasons to love this tee. Soft cotton fabric, a hint of stretch, and a just-right curved hem that pairs perfectly with leggings.</t>
        </is>
      </c>
      <c r="N2333" s="5" t="inlineStr">
        <is>
          <t>Love-Crew</t>
        </is>
      </c>
      <c r="O2333" s="5" t="inlineStr"/>
    </row>
    <row r="2334" ht="80" customHeight="1">
      <c r="A2334" s="6">
        <f>IMAGE("https://images.lululemon.com/is/image/lululemon/LW9FNQS_0002_1?wid=320&amp;op_usm=0.8",1)</f>
        <v/>
      </c>
      <c r="B2334" s="6" t="inlineStr">
        <is>
          <t>Women's Fast and Free Ponytail Running Hat</t>
        </is>
      </c>
      <c r="C2334" s="6" t="inlineStr">
        <is>
          <t>155725289</t>
        </is>
      </c>
      <c r="D2334" s="6" t="inlineStr">
        <is>
          <t>155725289-white</t>
        </is>
      </c>
      <c r="E2334" s="6" t="inlineStr">
        <is>
          <t>Fast and Free Run Hat *Pony WHT ONE SIZE</t>
        </is>
      </c>
      <c r="F2334" s="6" t="inlineStr">
        <is>
          <t>$38.00</t>
        </is>
      </c>
      <c r="G2334" s="6" t="inlineStr">
        <is>
          <t>$19.00</t>
        </is>
      </c>
      <c r="H2334" s="6" t="inlineStr">
        <is>
          <t>White</t>
        </is>
      </c>
      <c r="I2334" s="6">
        <f>IMAGE("https://images.lululemon.com/is/image/lululemon/0002",1)</f>
        <v/>
      </c>
      <c r="J2334" s="6" t="inlineStr">
        <is>
          <t>O/S</t>
        </is>
      </c>
      <c r="K2334" s="6" t="inlineStr">
        <is>
          <t>136/136</t>
        </is>
      </c>
      <c r="L2334" s="6" t="inlineStr">
        <is>
          <t>Yes</t>
        </is>
      </c>
      <c r="M2334" s="6" t="inlineStr">
        <is>
          <t>Run fast and let your hair free. This sweat-wicking hat has a wide back opening that fits your ponytail and gives you airflow.</t>
        </is>
      </c>
      <c r="N2334" s="6" t="inlineStr">
        <is>
          <t>Fast-and-Free-Womens-Run-Hat-Ponytail</t>
        </is>
      </c>
      <c r="O2334" s="6" t="inlineStr">
        <is>
          <t>Caps</t>
        </is>
      </c>
    </row>
    <row r="2335" ht="80" customHeight="1">
      <c r="A2335" s="7">
        <f>IMAGE("https://images.lululemon.com/is/image/lululemon/LW2CSIS_0001_1?wid=320&amp;op_usm=0.8",1)</f>
        <v/>
      </c>
      <c r="B2335" s="7" t="inlineStr">
        <is>
          <t>Like a Cloud Longline Bra *Light Support, B/C Cup</t>
        </is>
      </c>
      <c r="C2335" s="7" t="inlineStr">
        <is>
          <t>125075079</t>
        </is>
      </c>
      <c r="D2335" s="7" t="inlineStr">
        <is>
          <t>125075079-black</t>
        </is>
      </c>
      <c r="E2335" s="7" t="inlineStr">
        <is>
          <t>Like a Cloud Longline Bra B/C BLK 2</t>
        </is>
      </c>
      <c r="F2335" s="7" t="inlineStr">
        <is>
          <t>$68.00</t>
        </is>
      </c>
      <c r="G2335" s="7" t="inlineStr">
        <is>
          <t>$34.00</t>
        </is>
      </c>
      <c r="H2335" s="7" t="inlineStr">
        <is>
          <t>Black</t>
        </is>
      </c>
      <c r="I2335" s="7">
        <f>IMAGE("https://images.lululemon.com/is/image/lululemon/0001",1)</f>
        <v/>
      </c>
      <c r="J2335" s="7" t="inlineStr">
        <is>
          <t>2</t>
        </is>
      </c>
      <c r="K2335" s="7" t="inlineStr">
        <is>
          <t>112/3314</t>
        </is>
      </c>
      <c r="L2335" s="7" t="inlineStr">
        <is>
          <t>Yes</t>
        </is>
      </c>
      <c r="M2335" s="7" t="inlineStr">
        <is>
          <t>This yoga bra’s made with marshmallowy-soft foam cups and supple fabric to keep you comfortable during your practice—but we won’t be surprised if you wear it all day.</t>
        </is>
      </c>
      <c r="N2335" s="7" t="inlineStr">
        <is>
          <t>Like-a-Cloud-Bra-Long-Line</t>
        </is>
      </c>
      <c r="O2335" s="7" t="inlineStr">
        <is>
          <t>Longline Bras, Strappy Bras, Bralettes</t>
        </is>
      </c>
    </row>
    <row r="2336" ht="80" customHeight="1">
      <c r="A2336" s="4">
        <f>IMAGE("https://images.lululemon.com/is/image/lululemon/LW2CSIS_0001_1?wid=320&amp;op_usm=0.8",1)</f>
        <v/>
      </c>
      <c r="B2336" s="4" t="inlineStr">
        <is>
          <t>Like a Cloud Longline Bra *Light Support, B/C Cup</t>
        </is>
      </c>
      <c r="C2336" s="4" t="inlineStr">
        <is>
          <t>125075080</t>
        </is>
      </c>
      <c r="D2336" s="4" t="inlineStr">
        <is>
          <t>125075080-black</t>
        </is>
      </c>
      <c r="E2336" s="4" t="inlineStr">
        <is>
          <t>Like a Cloud Longline Bra B/C BLK 2</t>
        </is>
      </c>
      <c r="F2336" s="4" t="inlineStr">
        <is>
          <t>$68.00</t>
        </is>
      </c>
      <c r="G2336" s="4" t="inlineStr">
        <is>
          <t>$34.00</t>
        </is>
      </c>
      <c r="H2336" s="4" t="inlineStr">
        <is>
          <t>Black</t>
        </is>
      </c>
      <c r="I2336" s="4">
        <f>IMAGE("https://images.lululemon.com/is/image/lululemon/0001",1)</f>
        <v/>
      </c>
      <c r="J2336" s="4" t="inlineStr">
        <is>
          <t>4</t>
        </is>
      </c>
      <c r="K2336" s="4" t="inlineStr">
        <is>
          <t>442/3314</t>
        </is>
      </c>
      <c r="L2336" s="4" t="inlineStr">
        <is>
          <t>Yes</t>
        </is>
      </c>
      <c r="M2336" s="4" t="inlineStr">
        <is>
          <t>This yoga bra’s made with marshmallowy-soft foam cups and supple fabric to keep you comfortable during your practice—but we won’t be surprised if you wear it all day.</t>
        </is>
      </c>
      <c r="N2336" s="4" t="inlineStr">
        <is>
          <t>Like-a-Cloud-Bra-Long-Line</t>
        </is>
      </c>
      <c r="O2336" s="4" t="inlineStr">
        <is>
          <t>Longline Bras, Strappy Bras, Bralettes</t>
        </is>
      </c>
    </row>
    <row r="2337" ht="80" customHeight="1">
      <c r="A2337" s="7">
        <f>IMAGE("https://images.lululemon.com/is/image/lululemon/LW2CSIS_0001_1?wid=320&amp;op_usm=0.8",1)</f>
        <v/>
      </c>
      <c r="B2337" s="7" t="inlineStr">
        <is>
          <t>Like a Cloud Longline Bra *Light Support, B/C Cup</t>
        </is>
      </c>
      <c r="C2337" s="7" t="inlineStr">
        <is>
          <t>125075081</t>
        </is>
      </c>
      <c r="D2337" s="7" t="inlineStr">
        <is>
          <t>125075081-black</t>
        </is>
      </c>
      <c r="E2337" s="7" t="inlineStr">
        <is>
          <t>Like a Cloud Longline Bra B/C BLK 2</t>
        </is>
      </c>
      <c r="F2337" s="7" t="inlineStr">
        <is>
          <t>$68.00</t>
        </is>
      </c>
      <c r="G2337" s="7" t="inlineStr">
        <is>
          <t>$34.00</t>
        </is>
      </c>
      <c r="H2337" s="7" t="inlineStr">
        <is>
          <t>Black</t>
        </is>
      </c>
      <c r="I2337" s="7">
        <f>IMAGE("https://images.lululemon.com/is/image/lululemon/0001",1)</f>
        <v/>
      </c>
      <c r="J2337" s="7" t="inlineStr">
        <is>
          <t>6</t>
        </is>
      </c>
      <c r="K2337" s="7" t="inlineStr">
        <is>
          <t>519/3314</t>
        </is>
      </c>
      <c r="L2337" s="7" t="inlineStr">
        <is>
          <t>Yes</t>
        </is>
      </c>
      <c r="M2337" s="7" t="inlineStr">
        <is>
          <t>This yoga bra’s made with marshmallowy-soft foam cups and supple fabric to keep you comfortable during your practice—but we won’t be surprised if you wear it all day.</t>
        </is>
      </c>
      <c r="N2337" s="7" t="inlineStr">
        <is>
          <t>Like-a-Cloud-Bra-Long-Line</t>
        </is>
      </c>
      <c r="O2337" s="7" t="inlineStr">
        <is>
          <t>Longline Bras, Strappy Bras, Bralettes</t>
        </is>
      </c>
    </row>
    <row r="2338" ht="80" customHeight="1">
      <c r="A2338" s="4">
        <f>IMAGE("https://images.lululemon.com/is/image/lululemon/LW2CSIS_0001_1?wid=320&amp;op_usm=0.8",1)</f>
        <v/>
      </c>
      <c r="B2338" s="4" t="inlineStr">
        <is>
          <t>Like a Cloud Longline Bra *Light Support, B/C Cup</t>
        </is>
      </c>
      <c r="C2338" s="4" t="inlineStr">
        <is>
          <t>125075082</t>
        </is>
      </c>
      <c r="D2338" s="4" t="inlineStr">
        <is>
          <t>125075082-black</t>
        </is>
      </c>
      <c r="E2338" s="4" t="inlineStr">
        <is>
          <t>Like a Cloud Longline Bra B/C BLK 2</t>
        </is>
      </c>
      <c r="F2338" s="4" t="inlineStr">
        <is>
          <t>$68.00</t>
        </is>
      </c>
      <c r="G2338" s="4" t="inlineStr">
        <is>
          <t>$34.00</t>
        </is>
      </c>
      <c r="H2338" s="4" t="inlineStr">
        <is>
          <t>Black</t>
        </is>
      </c>
      <c r="I2338" s="4">
        <f>IMAGE("https://images.lululemon.com/is/image/lululemon/0001",1)</f>
        <v/>
      </c>
      <c r="J2338" s="4" t="inlineStr">
        <is>
          <t>8</t>
        </is>
      </c>
      <c r="K2338" s="4" t="inlineStr">
        <is>
          <t>409/3314</t>
        </is>
      </c>
      <c r="L2338" s="4" t="inlineStr">
        <is>
          <t>Yes</t>
        </is>
      </c>
      <c r="M2338" s="4" t="inlineStr">
        <is>
          <t>This yoga bra’s made with marshmallowy-soft foam cups and supple fabric to keep you comfortable during your practice—but we won’t be surprised if you wear it all day.</t>
        </is>
      </c>
      <c r="N2338" s="4" t="inlineStr">
        <is>
          <t>Like-a-Cloud-Bra-Long-Line</t>
        </is>
      </c>
      <c r="O2338" s="4" t="inlineStr">
        <is>
          <t>Longline Bras, Strappy Bras, Bralettes</t>
        </is>
      </c>
    </row>
    <row r="2339" ht="80" customHeight="1">
      <c r="A2339" s="7">
        <f>IMAGE("https://images.lululemon.com/is/image/lululemon/LW2CSIS_0001_1?wid=320&amp;op_usm=0.8",1)</f>
        <v/>
      </c>
      <c r="B2339" s="7" t="inlineStr">
        <is>
          <t>Like a Cloud Longline Bra *Light Support, B/C Cup</t>
        </is>
      </c>
      <c r="C2339" s="7" t="inlineStr">
        <is>
          <t>125075075</t>
        </is>
      </c>
      <c r="D2339" s="7" t="inlineStr">
        <is>
          <t>125075075-black</t>
        </is>
      </c>
      <c r="E2339" s="7" t="inlineStr">
        <is>
          <t>Like a Cloud Longline Bra B/C BLK 2</t>
        </is>
      </c>
      <c r="F2339" s="7" t="inlineStr">
        <is>
          <t>$68.00</t>
        </is>
      </c>
      <c r="G2339" s="7" t="inlineStr">
        <is>
          <t>$34.00</t>
        </is>
      </c>
      <c r="H2339" s="7" t="inlineStr">
        <is>
          <t>Black</t>
        </is>
      </c>
      <c r="I2339" s="7">
        <f>IMAGE("https://images.lululemon.com/is/image/lululemon/0001",1)</f>
        <v/>
      </c>
      <c r="J2339" s="7" t="inlineStr">
        <is>
          <t>10</t>
        </is>
      </c>
      <c r="K2339" s="7" t="inlineStr">
        <is>
          <t>233/3314</t>
        </is>
      </c>
      <c r="L2339" s="7" t="inlineStr">
        <is>
          <t>Yes</t>
        </is>
      </c>
      <c r="M2339" s="7" t="inlineStr">
        <is>
          <t>This yoga bra’s made with marshmallowy-soft foam cups and supple fabric to keep you comfortable during your practice—but we won’t be surprised if you wear it all day.</t>
        </is>
      </c>
      <c r="N2339" s="7" t="inlineStr">
        <is>
          <t>Like-a-Cloud-Bra-Long-Line</t>
        </is>
      </c>
      <c r="O2339" s="7" t="inlineStr">
        <is>
          <t>Longline Bras, Strappy Bras, Bralettes</t>
        </is>
      </c>
    </row>
    <row r="2340" ht="80" customHeight="1">
      <c r="A2340" s="4">
        <f>IMAGE("https://images.lululemon.com/is/image/lululemon/LW2CSIS_0001_1?wid=320&amp;op_usm=0.8",1)</f>
        <v/>
      </c>
      <c r="B2340" s="4" t="inlineStr">
        <is>
          <t>Like a Cloud Longline Bra *Light Support, B/C Cup</t>
        </is>
      </c>
      <c r="C2340" s="4" t="inlineStr">
        <is>
          <t>125075076</t>
        </is>
      </c>
      <c r="D2340" s="4" t="inlineStr">
        <is>
          <t>125075076-black</t>
        </is>
      </c>
      <c r="E2340" s="4" t="inlineStr">
        <is>
          <t>Like a Cloud Longline Bra B/C BLK 2</t>
        </is>
      </c>
      <c r="F2340" s="4" t="inlineStr">
        <is>
          <t>$68.00</t>
        </is>
      </c>
      <c r="G2340" s="4" t="inlineStr">
        <is>
          <t>$34.00</t>
        </is>
      </c>
      <c r="H2340" s="4" t="inlineStr">
        <is>
          <t>Black</t>
        </is>
      </c>
      <c r="I2340" s="4">
        <f>IMAGE("https://images.lululemon.com/is/image/lululemon/0001",1)</f>
        <v/>
      </c>
      <c r="J2340" s="4" t="inlineStr">
        <is>
          <t>12</t>
        </is>
      </c>
      <c r="K2340" s="4" t="inlineStr">
        <is>
          <t>44/3314</t>
        </is>
      </c>
      <c r="L2340" s="4" t="inlineStr">
        <is>
          <t>Yes</t>
        </is>
      </c>
      <c r="M2340" s="4" t="inlineStr">
        <is>
          <t>This yoga bra’s made with marshmallowy-soft foam cups and supple fabric to keep you comfortable during your practice—but we won’t be surprised if you wear it all day.</t>
        </is>
      </c>
      <c r="N2340" s="4" t="inlineStr">
        <is>
          <t>Like-a-Cloud-Bra-Long-Line</t>
        </is>
      </c>
      <c r="O2340" s="4" t="inlineStr">
        <is>
          <t>Longline Bras, Strappy Bras, Bralettes</t>
        </is>
      </c>
    </row>
    <row r="2341" ht="80" customHeight="1">
      <c r="A2341" s="7">
        <f>IMAGE("https://images.lululemon.com/is/image/lululemon/LW2CSIS_0001_1?wid=320&amp;op_usm=0.8",1)</f>
        <v/>
      </c>
      <c r="B2341" s="7" t="inlineStr">
        <is>
          <t>Like a Cloud Longline Bra *Light Support, B/C Cup</t>
        </is>
      </c>
      <c r="C2341" s="7" t="inlineStr">
        <is>
          <t>142150610</t>
        </is>
      </c>
      <c r="D2341" s="7" t="inlineStr">
        <is>
          <t>142150610-white</t>
        </is>
      </c>
      <c r="E2341" s="7" t="inlineStr">
        <is>
          <t>Like a Cloud Longline Bra B/C BLK 2</t>
        </is>
      </c>
      <c r="F2341" s="7" t="inlineStr">
        <is>
          <t>$68.00</t>
        </is>
      </c>
      <c r="G2341" s="7" t="inlineStr">
        <is>
          <t>$34.00</t>
        </is>
      </c>
      <c r="H2341" s="7" t="inlineStr">
        <is>
          <t>White</t>
        </is>
      </c>
      <c r="I2341" s="7">
        <f>IMAGE("https://images.lululemon.com/is/image/lululemon/0002",1)</f>
        <v/>
      </c>
      <c r="J2341" s="7" t="inlineStr">
        <is>
          <t>2</t>
        </is>
      </c>
      <c r="K2341" s="7" t="inlineStr">
        <is>
          <t>72/3314</t>
        </is>
      </c>
      <c r="L2341" s="7" t="inlineStr">
        <is>
          <t>Yes</t>
        </is>
      </c>
      <c r="M2341" s="7" t="inlineStr">
        <is>
          <t>This yoga bra’s made with marshmallowy-soft foam cups and supple fabric to keep you comfortable during your practice—but we won’t be surprised if you wear it all day.</t>
        </is>
      </c>
      <c r="N2341" s="7" t="inlineStr">
        <is>
          <t>Like-a-Cloud-Bra-Long-Line</t>
        </is>
      </c>
      <c r="O2341" s="7" t="inlineStr">
        <is>
          <t>Longline Bras, Strappy Bras, Bralettes</t>
        </is>
      </c>
    </row>
    <row r="2342" ht="80" customHeight="1">
      <c r="A2342" s="4">
        <f>IMAGE("https://images.lululemon.com/is/image/lululemon/LW2CSIS_0001_1?wid=320&amp;op_usm=0.8",1)</f>
        <v/>
      </c>
      <c r="B2342" s="4" t="inlineStr">
        <is>
          <t>Like a Cloud Longline Bra *Light Support, B/C Cup</t>
        </is>
      </c>
      <c r="C2342" s="4" t="inlineStr">
        <is>
          <t>142150615</t>
        </is>
      </c>
      <c r="D2342" s="4" t="inlineStr">
        <is>
          <t>142150615-white</t>
        </is>
      </c>
      <c r="E2342" s="4" t="inlineStr">
        <is>
          <t>Like a Cloud Longline Bra B/C BLK 2</t>
        </is>
      </c>
      <c r="F2342" s="4" t="inlineStr">
        <is>
          <t>$68.00</t>
        </is>
      </c>
      <c r="G2342" s="4" t="inlineStr">
        <is>
          <t>$34.00</t>
        </is>
      </c>
      <c r="H2342" s="4" t="inlineStr">
        <is>
          <t>White</t>
        </is>
      </c>
      <c r="I2342" s="4">
        <f>IMAGE("https://images.lululemon.com/is/image/lululemon/0002",1)</f>
        <v/>
      </c>
      <c r="J2342" s="4" t="inlineStr">
        <is>
          <t>4</t>
        </is>
      </c>
      <c r="K2342" s="4" t="inlineStr">
        <is>
          <t>267/3314</t>
        </is>
      </c>
      <c r="L2342" s="4" t="inlineStr">
        <is>
          <t>Yes</t>
        </is>
      </c>
      <c r="M2342" s="4" t="inlineStr">
        <is>
          <t>This yoga bra’s made with marshmallowy-soft foam cups and supple fabric to keep you comfortable during your practice—but we won’t be surprised if you wear it all day.</t>
        </is>
      </c>
      <c r="N2342" s="4" t="inlineStr">
        <is>
          <t>Like-a-Cloud-Bra-Long-Line</t>
        </is>
      </c>
      <c r="O2342" s="4" t="inlineStr">
        <is>
          <t>Longline Bras, Strappy Bras, Bralettes</t>
        </is>
      </c>
    </row>
    <row r="2343" ht="80" customHeight="1">
      <c r="A2343" s="7">
        <f>IMAGE("https://images.lululemon.com/is/image/lululemon/LW2CSIS_0001_1?wid=320&amp;op_usm=0.8",1)</f>
        <v/>
      </c>
      <c r="B2343" s="7" t="inlineStr">
        <is>
          <t>Like a Cloud Longline Bra *Light Support, B/C Cup</t>
        </is>
      </c>
      <c r="C2343" s="7" t="inlineStr">
        <is>
          <t>142150616</t>
        </is>
      </c>
      <c r="D2343" s="7" t="inlineStr">
        <is>
          <t>142150616-white</t>
        </is>
      </c>
      <c r="E2343" s="7" t="inlineStr">
        <is>
          <t>Like a Cloud Longline Bra B/C BLK 2</t>
        </is>
      </c>
      <c r="F2343" s="7" t="inlineStr">
        <is>
          <t>$68.00</t>
        </is>
      </c>
      <c r="G2343" s="7" t="inlineStr">
        <is>
          <t>$34.00</t>
        </is>
      </c>
      <c r="H2343" s="7" t="inlineStr">
        <is>
          <t>White</t>
        </is>
      </c>
      <c r="I2343" s="7">
        <f>IMAGE("https://images.lululemon.com/is/image/lululemon/0002",1)</f>
        <v/>
      </c>
      <c r="J2343" s="7" t="inlineStr">
        <is>
          <t>6</t>
        </is>
      </c>
      <c r="K2343" s="7" t="inlineStr">
        <is>
          <t>319/3314</t>
        </is>
      </c>
      <c r="L2343" s="7" t="inlineStr">
        <is>
          <t>Yes</t>
        </is>
      </c>
      <c r="M2343" s="7" t="inlineStr">
        <is>
          <t>This yoga bra’s made with marshmallowy-soft foam cups and supple fabric to keep you comfortable during your practice—but we won’t be surprised if you wear it all day.</t>
        </is>
      </c>
      <c r="N2343" s="7" t="inlineStr">
        <is>
          <t>Like-a-Cloud-Bra-Long-Line</t>
        </is>
      </c>
      <c r="O2343" s="7" t="inlineStr">
        <is>
          <t>Longline Bras, Strappy Bras, Bralettes</t>
        </is>
      </c>
    </row>
    <row r="2344" ht="80" customHeight="1">
      <c r="A2344" s="4">
        <f>IMAGE("https://images.lululemon.com/is/image/lululemon/LW2CSIS_0001_1?wid=320&amp;op_usm=0.8",1)</f>
        <v/>
      </c>
      <c r="B2344" s="4" t="inlineStr">
        <is>
          <t>Like a Cloud Longline Bra *Light Support, B/C Cup</t>
        </is>
      </c>
      <c r="C2344" s="4" t="inlineStr">
        <is>
          <t>142150617</t>
        </is>
      </c>
      <c r="D2344" s="4" t="inlineStr">
        <is>
          <t>142150617-white</t>
        </is>
      </c>
      <c r="E2344" s="4" t="inlineStr">
        <is>
          <t>Like a Cloud Longline Bra B/C BLK 2</t>
        </is>
      </c>
      <c r="F2344" s="4" t="inlineStr">
        <is>
          <t>$68.00</t>
        </is>
      </c>
      <c r="G2344" s="4" t="inlineStr">
        <is>
          <t>$34.00</t>
        </is>
      </c>
      <c r="H2344" s="4" t="inlineStr">
        <is>
          <t>White</t>
        </is>
      </c>
      <c r="I2344" s="4">
        <f>IMAGE("https://images.lululemon.com/is/image/lululemon/0002",1)</f>
        <v/>
      </c>
      <c r="J2344" s="4" t="inlineStr">
        <is>
          <t>8</t>
        </is>
      </c>
      <c r="K2344" s="4" t="inlineStr">
        <is>
          <t>245/3314</t>
        </is>
      </c>
      <c r="L2344" s="4" t="inlineStr">
        <is>
          <t>Yes</t>
        </is>
      </c>
      <c r="M2344" s="4" t="inlineStr">
        <is>
          <t>This yoga bra’s made with marshmallowy-soft foam cups and supple fabric to keep you comfortable during your practice—but we won’t be surprised if you wear it all day.</t>
        </is>
      </c>
      <c r="N2344" s="4" t="inlineStr">
        <is>
          <t>Like-a-Cloud-Bra-Long-Line</t>
        </is>
      </c>
      <c r="O2344" s="4" t="inlineStr">
        <is>
          <t>Longline Bras, Strappy Bras, Bralettes</t>
        </is>
      </c>
    </row>
    <row r="2345" ht="80" customHeight="1">
      <c r="A2345" s="7">
        <f>IMAGE("https://images.lululemon.com/is/image/lululemon/LW2CSIS_0001_1?wid=320&amp;op_usm=0.8",1)</f>
        <v/>
      </c>
      <c r="B2345" s="7" t="inlineStr">
        <is>
          <t>Like a Cloud Longline Bra *Light Support, B/C Cup</t>
        </is>
      </c>
      <c r="C2345" s="7" t="inlineStr">
        <is>
          <t>142150605</t>
        </is>
      </c>
      <c r="D2345" s="7" t="inlineStr">
        <is>
          <t>142150605-white</t>
        </is>
      </c>
      <c r="E2345" s="7" t="inlineStr">
        <is>
          <t>Like a Cloud Longline Bra B/C BLK 2</t>
        </is>
      </c>
      <c r="F2345" s="7" t="inlineStr">
        <is>
          <t>$68.00</t>
        </is>
      </c>
      <c r="G2345" s="7" t="inlineStr">
        <is>
          <t>$34.00</t>
        </is>
      </c>
      <c r="H2345" s="7" t="inlineStr">
        <is>
          <t>White</t>
        </is>
      </c>
      <c r="I2345" s="7">
        <f>IMAGE("https://images.lululemon.com/is/image/lululemon/0002",1)</f>
        <v/>
      </c>
      <c r="J2345" s="7" t="inlineStr">
        <is>
          <t>10</t>
        </is>
      </c>
      <c r="K2345" s="7" t="inlineStr">
        <is>
          <t>130/3314</t>
        </is>
      </c>
      <c r="L2345" s="7" t="inlineStr">
        <is>
          <t>Yes</t>
        </is>
      </c>
      <c r="M2345" s="7" t="inlineStr">
        <is>
          <t>This yoga bra’s made with marshmallowy-soft foam cups and supple fabric to keep you comfortable during your practice—but we won’t be surprised if you wear it all day.</t>
        </is>
      </c>
      <c r="N2345" s="7" t="inlineStr">
        <is>
          <t>Like-a-Cloud-Bra-Long-Line</t>
        </is>
      </c>
      <c r="O2345" s="7" t="inlineStr">
        <is>
          <t>Longline Bras, Strappy Bras, Bralettes</t>
        </is>
      </c>
    </row>
    <row r="2346" ht="80" customHeight="1">
      <c r="A2346" s="4">
        <f>IMAGE("https://images.lululemon.com/is/image/lululemon/LW2CSIS_0001_1?wid=320&amp;op_usm=0.8",1)</f>
        <v/>
      </c>
      <c r="B2346" s="4" t="inlineStr">
        <is>
          <t>Like a Cloud Longline Bra *Light Support, B/C Cup</t>
        </is>
      </c>
      <c r="C2346" s="4" t="inlineStr">
        <is>
          <t>142150606</t>
        </is>
      </c>
      <c r="D2346" s="4" t="inlineStr">
        <is>
          <t>142150606-white</t>
        </is>
      </c>
      <c r="E2346" s="4" t="inlineStr">
        <is>
          <t>Like a Cloud Longline Bra B/C BLK 2</t>
        </is>
      </c>
      <c r="F2346" s="4" t="inlineStr">
        <is>
          <t>$68.00</t>
        </is>
      </c>
      <c r="G2346" s="4" t="inlineStr">
        <is>
          <t>$34.00</t>
        </is>
      </c>
      <c r="H2346" s="4" t="inlineStr">
        <is>
          <t>White</t>
        </is>
      </c>
      <c r="I2346" s="4">
        <f>IMAGE("https://images.lululemon.com/is/image/lululemon/0002",1)</f>
        <v/>
      </c>
      <c r="J2346" s="4" t="inlineStr">
        <is>
          <t>12</t>
        </is>
      </c>
      <c r="K2346" s="4" t="inlineStr">
        <is>
          <t>53/3314</t>
        </is>
      </c>
      <c r="L2346" s="4" t="inlineStr">
        <is>
          <t>Yes</t>
        </is>
      </c>
      <c r="M2346" s="4" t="inlineStr">
        <is>
          <t>This yoga bra’s made with marshmallowy-soft foam cups and supple fabric to keep you comfortable during your practice—but we won’t be surprised if you wear it all day.</t>
        </is>
      </c>
      <c r="N2346" s="4" t="inlineStr">
        <is>
          <t>Like-a-Cloud-Bra-Long-Line</t>
        </is>
      </c>
      <c r="O2346" s="4" t="inlineStr">
        <is>
          <t>Longline Bras, Strappy Bras, Bralettes</t>
        </is>
      </c>
    </row>
    <row r="2347" ht="80" customHeight="1">
      <c r="A2347" s="7">
        <f>IMAGE("https://images.lululemon.com/is/image/lululemon/LW2CSIS_0001_1?wid=320&amp;op_usm=0.8",1)</f>
        <v/>
      </c>
      <c r="B2347" s="7" t="inlineStr">
        <is>
          <t>Like a Cloud Longline Bra *Light Support, B/C Cup</t>
        </is>
      </c>
      <c r="C2347" s="7" t="inlineStr">
        <is>
          <t>155677801</t>
        </is>
      </c>
      <c r="D2347" s="7" t="inlineStr">
        <is>
          <t>155677801-starchblue</t>
        </is>
      </c>
      <c r="E2347" s="7" t="inlineStr">
        <is>
          <t>Like a Cloud Longline Bra B/C BLK 2</t>
        </is>
      </c>
      <c r="F2347" s="7" t="inlineStr">
        <is>
          <t>$68.00</t>
        </is>
      </c>
      <c r="G2347" s="7" t="inlineStr">
        <is>
          <t>$34.00</t>
        </is>
      </c>
      <c r="H2347" s="7" t="inlineStr">
        <is>
          <t>Starch Blue</t>
        </is>
      </c>
      <c r="I2347" s="7">
        <f>IMAGE("https://images.lululemon.com/is/image/lululemon/68839",1)</f>
        <v/>
      </c>
      <c r="J2347" s="7" t="inlineStr">
        <is>
          <t>2</t>
        </is>
      </c>
      <c r="K2347" s="7" t="inlineStr">
        <is>
          <t>16/3314</t>
        </is>
      </c>
      <c r="L2347" s="7" t="inlineStr">
        <is>
          <t>Yes</t>
        </is>
      </c>
      <c r="M2347" s="7" t="inlineStr">
        <is>
          <t>This yoga bra’s made with marshmallowy-soft foam cups and supple fabric to keep you comfortable during your practice—but we won’t be surprised if you wear it all day.</t>
        </is>
      </c>
      <c r="N2347" s="7" t="inlineStr">
        <is>
          <t>Like-a-Cloud-Bra-Long-Line</t>
        </is>
      </c>
      <c r="O2347" s="7" t="inlineStr">
        <is>
          <t>Longline Bras, Strappy Bras, Bralettes</t>
        </is>
      </c>
    </row>
    <row r="2348" ht="80" customHeight="1">
      <c r="A2348" s="4">
        <f>IMAGE("https://images.lululemon.com/is/image/lululemon/LW2CSIS_0001_1?wid=320&amp;op_usm=0.8",1)</f>
        <v/>
      </c>
      <c r="B2348" s="4" t="inlineStr">
        <is>
          <t>Like a Cloud Longline Bra *Light Support, B/C Cup</t>
        </is>
      </c>
      <c r="C2348" s="4" t="inlineStr">
        <is>
          <t>155677803</t>
        </is>
      </c>
      <c r="D2348" s="4" t="inlineStr">
        <is>
          <t>155677803-starchblue</t>
        </is>
      </c>
      <c r="E2348" s="4" t="inlineStr">
        <is>
          <t>Like a Cloud Longline Bra B/C BLK 2</t>
        </is>
      </c>
      <c r="F2348" s="4" t="inlineStr">
        <is>
          <t>$68.00</t>
        </is>
      </c>
      <c r="G2348" s="4" t="inlineStr">
        <is>
          <t>$34.00</t>
        </is>
      </c>
      <c r="H2348" s="4" t="inlineStr">
        <is>
          <t>Starch Blue</t>
        </is>
      </c>
      <c r="I2348" s="4">
        <f>IMAGE("https://images.lululemon.com/is/image/lululemon/68839",1)</f>
        <v/>
      </c>
      <c r="J2348" s="4" t="inlineStr">
        <is>
          <t>4</t>
        </is>
      </c>
      <c r="K2348" s="4" t="inlineStr">
        <is>
          <t>28/3314</t>
        </is>
      </c>
      <c r="L2348" s="4" t="inlineStr">
        <is>
          <t>Yes</t>
        </is>
      </c>
      <c r="M2348" s="4" t="inlineStr">
        <is>
          <t>This yoga bra’s made with marshmallowy-soft foam cups and supple fabric to keep you comfortable during your practice—but we won’t be surprised if you wear it all day.</t>
        </is>
      </c>
      <c r="N2348" s="4" t="inlineStr">
        <is>
          <t>Like-a-Cloud-Bra-Long-Line</t>
        </is>
      </c>
      <c r="O2348" s="4" t="inlineStr">
        <is>
          <t>Longline Bras, Strappy Bras, Bralettes</t>
        </is>
      </c>
    </row>
    <row r="2349" ht="80" customHeight="1">
      <c r="A2349" s="7">
        <f>IMAGE("https://images.lululemon.com/is/image/lululemon/LW2CSIS_0001_1?wid=320&amp;op_usm=0.8",1)</f>
        <v/>
      </c>
      <c r="B2349" s="7" t="inlineStr">
        <is>
          <t>Like a Cloud Longline Bra *Light Support, B/C Cup</t>
        </is>
      </c>
      <c r="C2349" s="7" t="inlineStr">
        <is>
          <t>155677805</t>
        </is>
      </c>
      <c r="D2349" s="7" t="inlineStr">
        <is>
          <t>155677805-starchblue</t>
        </is>
      </c>
      <c r="E2349" s="7" t="inlineStr">
        <is>
          <t>Like a Cloud Longline Bra B/C BLK 2</t>
        </is>
      </c>
      <c r="F2349" s="7" t="inlineStr">
        <is>
          <t>$68.00</t>
        </is>
      </c>
      <c r="G2349" s="7" t="inlineStr">
        <is>
          <t>$34.00</t>
        </is>
      </c>
      <c r="H2349" s="7" t="inlineStr">
        <is>
          <t>Starch Blue</t>
        </is>
      </c>
      <c r="I2349" s="7">
        <f>IMAGE("https://images.lululemon.com/is/image/lululemon/68839",1)</f>
        <v/>
      </c>
      <c r="J2349" s="7" t="inlineStr">
        <is>
          <t>6</t>
        </is>
      </c>
      <c r="K2349" s="7" t="inlineStr">
        <is>
          <t>33/3314</t>
        </is>
      </c>
      <c r="L2349" s="7" t="inlineStr">
        <is>
          <t>Yes</t>
        </is>
      </c>
      <c r="M2349" s="7" t="inlineStr">
        <is>
          <t>This yoga bra’s made with marshmallowy-soft foam cups and supple fabric to keep you comfortable during your practice—but we won’t be surprised if you wear it all day.</t>
        </is>
      </c>
      <c r="N2349" s="7" t="inlineStr">
        <is>
          <t>Like-a-Cloud-Bra-Long-Line</t>
        </is>
      </c>
      <c r="O2349" s="7" t="inlineStr">
        <is>
          <t>Longline Bras, Strappy Bras, Bralettes</t>
        </is>
      </c>
    </row>
    <row r="2350" ht="80" customHeight="1">
      <c r="A2350" s="4">
        <f>IMAGE("https://images.lululemon.com/is/image/lululemon/LW2CSIS_0001_1?wid=320&amp;op_usm=0.8",1)</f>
        <v/>
      </c>
      <c r="B2350" s="4" t="inlineStr">
        <is>
          <t>Like a Cloud Longline Bra *Light Support, B/C Cup</t>
        </is>
      </c>
      <c r="C2350" s="4" t="inlineStr">
        <is>
          <t>155677808</t>
        </is>
      </c>
      <c r="D2350" s="4" t="inlineStr">
        <is>
          <t>155677808-starchblue</t>
        </is>
      </c>
      <c r="E2350" s="4" t="inlineStr">
        <is>
          <t>Like a Cloud Longline Bra B/C BLK 2</t>
        </is>
      </c>
      <c r="F2350" s="4" t="inlineStr">
        <is>
          <t>$68.00</t>
        </is>
      </c>
      <c r="G2350" s="4" t="inlineStr">
        <is>
          <t>$34.00</t>
        </is>
      </c>
      <c r="H2350" s="4" t="inlineStr">
        <is>
          <t>Starch Blue</t>
        </is>
      </c>
      <c r="I2350" s="4">
        <f>IMAGE("https://images.lululemon.com/is/image/lululemon/68839",1)</f>
        <v/>
      </c>
      <c r="J2350" s="4" t="inlineStr">
        <is>
          <t>8</t>
        </is>
      </c>
      <c r="K2350" s="4" t="inlineStr">
        <is>
          <t>22/3314</t>
        </is>
      </c>
      <c r="L2350" s="4" t="inlineStr">
        <is>
          <t>Yes</t>
        </is>
      </c>
      <c r="M2350" s="4" t="inlineStr">
        <is>
          <t>This yoga bra’s made with marshmallowy-soft foam cups and supple fabric to keep you comfortable during your practice—but we won’t be surprised if you wear it all day.</t>
        </is>
      </c>
      <c r="N2350" s="4" t="inlineStr">
        <is>
          <t>Like-a-Cloud-Bra-Long-Line</t>
        </is>
      </c>
      <c r="O2350" s="4" t="inlineStr">
        <is>
          <t>Longline Bras, Strappy Bras, Bralettes</t>
        </is>
      </c>
    </row>
    <row r="2351" ht="80" customHeight="1">
      <c r="A2351" s="7">
        <f>IMAGE("https://images.lululemon.com/is/image/lululemon/LW2CSIS_0001_1?wid=320&amp;op_usm=0.8",1)</f>
        <v/>
      </c>
      <c r="B2351" s="7" t="inlineStr">
        <is>
          <t>Like a Cloud Longline Bra *Light Support, B/C Cup</t>
        </is>
      </c>
      <c r="C2351" s="7" t="inlineStr">
        <is>
          <t>155677794</t>
        </is>
      </c>
      <c r="D2351" s="7" t="inlineStr">
        <is>
          <t>155677794-starchblue</t>
        </is>
      </c>
      <c r="E2351" s="7" t="inlineStr">
        <is>
          <t>Like a Cloud Longline Bra B/C BLK 2</t>
        </is>
      </c>
      <c r="F2351" s="7" t="inlineStr">
        <is>
          <t>$68.00</t>
        </is>
      </c>
      <c r="G2351" s="7" t="inlineStr">
        <is>
          <t>$34.00</t>
        </is>
      </c>
      <c r="H2351" s="7" t="inlineStr">
        <is>
          <t>Starch Blue</t>
        </is>
      </c>
      <c r="I2351" s="7">
        <f>IMAGE("https://images.lululemon.com/is/image/lululemon/68839",1)</f>
        <v/>
      </c>
      <c r="J2351" s="7" t="inlineStr">
        <is>
          <t>10</t>
        </is>
      </c>
      <c r="K2351" s="7" t="inlineStr">
        <is>
          <t>15/3314</t>
        </is>
      </c>
      <c r="L2351" s="7" t="inlineStr">
        <is>
          <t>Yes</t>
        </is>
      </c>
      <c r="M2351" s="7" t="inlineStr">
        <is>
          <t>This yoga bra’s made with marshmallowy-soft foam cups and supple fabric to keep you comfortable during your practice—but we won’t be surprised if you wear it all day.</t>
        </is>
      </c>
      <c r="N2351" s="7" t="inlineStr">
        <is>
          <t>Like-a-Cloud-Bra-Long-Line</t>
        </is>
      </c>
      <c r="O2351" s="7" t="inlineStr">
        <is>
          <t>Longline Bras, Strappy Bras, Bralettes</t>
        </is>
      </c>
    </row>
    <row r="2352" ht="80" customHeight="1">
      <c r="A2352" s="4">
        <f>IMAGE("https://images.lululemon.com/is/image/lululemon/LW2CSIS_0001_1?wid=320&amp;op_usm=0.8",1)</f>
        <v/>
      </c>
      <c r="B2352" s="4" t="inlineStr">
        <is>
          <t>Like a Cloud Longline Bra *Light Support, B/C Cup</t>
        </is>
      </c>
      <c r="C2352" s="4" t="inlineStr">
        <is>
          <t>155677796</t>
        </is>
      </c>
      <c r="D2352" s="4" t="inlineStr">
        <is>
          <t>155677796-starchblue</t>
        </is>
      </c>
      <c r="E2352" s="4" t="inlineStr">
        <is>
          <t>Like a Cloud Longline Bra B/C BLK 2</t>
        </is>
      </c>
      <c r="F2352" s="4" t="inlineStr">
        <is>
          <t>$68.00</t>
        </is>
      </c>
      <c r="G2352" s="4" t="inlineStr">
        <is>
          <t>$34.00</t>
        </is>
      </c>
      <c r="H2352" s="4" t="inlineStr">
        <is>
          <t>Starch Blue</t>
        </is>
      </c>
      <c r="I2352" s="4">
        <f>IMAGE("https://images.lululemon.com/is/image/lululemon/68839",1)</f>
        <v/>
      </c>
      <c r="J2352" s="4" t="inlineStr">
        <is>
          <t>12</t>
        </is>
      </c>
      <c r="K2352" s="4" t="inlineStr">
        <is>
          <t>5/3314</t>
        </is>
      </c>
      <c r="L2352" s="4" t="inlineStr">
        <is>
          <t>Yes</t>
        </is>
      </c>
      <c r="M2352" s="4" t="inlineStr">
        <is>
          <t>This yoga bra’s made with marshmallowy-soft foam cups and supple fabric to keep you comfortable during your practice—but we won’t be surprised if you wear it all day.</t>
        </is>
      </c>
      <c r="N2352" s="4" t="inlineStr">
        <is>
          <t>Like-a-Cloud-Bra-Long-Line</t>
        </is>
      </c>
      <c r="O2352" s="4" t="inlineStr">
        <is>
          <t>Longline Bras, Strappy Bras, Bralettes</t>
        </is>
      </c>
    </row>
    <row r="2353" ht="80" customHeight="1">
      <c r="A2353" s="7">
        <f>IMAGE("https://images.lululemon.com/is/image/lululemon/LW2CSIS_0001_1?wid=320&amp;op_usm=0.8",1)</f>
        <v/>
      </c>
      <c r="B2353" s="7" t="inlineStr">
        <is>
          <t>Like a Cloud Longline Bra *Light Support, B/C Cup</t>
        </is>
      </c>
      <c r="C2353" s="7" t="inlineStr">
        <is>
          <t>157675947</t>
        </is>
      </c>
      <c r="D2353" s="7" t="inlineStr">
        <is>
          <t>157675947-palmdeco</t>
        </is>
      </c>
      <c r="E2353" s="7" t="inlineStr">
        <is>
          <t>Like a Cloud Longline Bra B/C BLK 2</t>
        </is>
      </c>
      <c r="F2353" s="7" t="inlineStr">
        <is>
          <t>$68.00</t>
        </is>
      </c>
      <c r="G2353" s="7" t="inlineStr">
        <is>
          <t>$34.00</t>
        </is>
      </c>
      <c r="H2353" s="7" t="inlineStr">
        <is>
          <t>Palm Deco</t>
        </is>
      </c>
      <c r="I2353" s="7">
        <f>IMAGE("https://images.lululemon.com/is/image/lululemon/35487",1)</f>
        <v/>
      </c>
      <c r="J2353" s="7" t="inlineStr">
        <is>
          <t>2</t>
        </is>
      </c>
      <c r="K2353" s="7" t="inlineStr">
        <is>
          <t>15/3314</t>
        </is>
      </c>
      <c r="L2353" s="7" t="inlineStr">
        <is>
          <t>Yes</t>
        </is>
      </c>
      <c r="M2353" s="7" t="inlineStr">
        <is>
          <t>This yoga bra’s made with marshmallowy-soft foam cups and supple fabric to keep you comfortable during your practice—but we won’t be surprised if you wear it all day.</t>
        </is>
      </c>
      <c r="N2353" s="7" t="inlineStr">
        <is>
          <t>Like-a-Cloud-Bra-Long-Line</t>
        </is>
      </c>
      <c r="O2353" s="7" t="inlineStr">
        <is>
          <t>Longline Bras, Strappy Bras, Bralettes</t>
        </is>
      </c>
    </row>
    <row r="2354" ht="80" customHeight="1">
      <c r="A2354" s="4">
        <f>IMAGE("https://images.lululemon.com/is/image/lululemon/LW2CSIS_0001_1?wid=320&amp;op_usm=0.8",1)</f>
        <v/>
      </c>
      <c r="B2354" s="4" t="inlineStr">
        <is>
          <t>Like a Cloud Longline Bra *Light Support, B/C Cup</t>
        </is>
      </c>
      <c r="C2354" s="4" t="inlineStr">
        <is>
          <t>157675948</t>
        </is>
      </c>
      <c r="D2354" s="4" t="inlineStr">
        <is>
          <t>157675948-palmdeco</t>
        </is>
      </c>
      <c r="E2354" s="4" t="inlineStr">
        <is>
          <t>Like a Cloud Longline Bra B/C BLK 2</t>
        </is>
      </c>
      <c r="F2354" s="4" t="inlineStr">
        <is>
          <t>$68.00</t>
        </is>
      </c>
      <c r="G2354" s="4" t="inlineStr">
        <is>
          <t>$34.00</t>
        </is>
      </c>
      <c r="H2354" s="4" t="inlineStr">
        <is>
          <t>Palm Deco</t>
        </is>
      </c>
      <c r="I2354" s="4">
        <f>IMAGE("https://images.lululemon.com/is/image/lululemon/35487",1)</f>
        <v/>
      </c>
      <c r="J2354" s="4" t="inlineStr">
        <is>
          <t>4</t>
        </is>
      </c>
      <c r="K2354" s="4" t="inlineStr">
        <is>
          <t>5/3314</t>
        </is>
      </c>
      <c r="L2354" s="4" t="inlineStr">
        <is>
          <t>Yes</t>
        </is>
      </c>
      <c r="M2354" s="4" t="inlineStr">
        <is>
          <t>This yoga bra’s made with marshmallowy-soft foam cups and supple fabric to keep you comfortable during your practice—but we won’t be surprised if you wear it all day.</t>
        </is>
      </c>
      <c r="N2354" s="4" t="inlineStr">
        <is>
          <t>Like-a-Cloud-Bra-Long-Line</t>
        </is>
      </c>
      <c r="O2354" s="4" t="inlineStr">
        <is>
          <t>Longline Bras, Strappy Bras, Bralettes</t>
        </is>
      </c>
    </row>
    <row r="2355" ht="80" customHeight="1">
      <c r="A2355" s="7">
        <f>IMAGE("https://images.lululemon.com/is/image/lululemon/LW2CSIS_0001_1?wid=320&amp;op_usm=0.8",1)</f>
        <v/>
      </c>
      <c r="B2355" s="7" t="inlineStr">
        <is>
          <t>Like a Cloud Longline Bra *Light Support, B/C Cup</t>
        </is>
      </c>
      <c r="C2355" s="7" t="inlineStr">
        <is>
          <t>157675949</t>
        </is>
      </c>
      <c r="D2355" s="7" t="inlineStr">
        <is>
          <t>157675949-palmdeco</t>
        </is>
      </c>
      <c r="E2355" s="7" t="inlineStr">
        <is>
          <t>Like a Cloud Longline Bra B/C BLK 2</t>
        </is>
      </c>
      <c r="F2355" s="7" t="inlineStr">
        <is>
          <t>$68.00</t>
        </is>
      </c>
      <c r="G2355" s="7" t="inlineStr">
        <is>
          <t>$34.00</t>
        </is>
      </c>
      <c r="H2355" s="7" t="inlineStr">
        <is>
          <t>Palm Deco</t>
        </is>
      </c>
      <c r="I2355" s="7">
        <f>IMAGE("https://images.lululemon.com/is/image/lululemon/35487",1)</f>
        <v/>
      </c>
      <c r="J2355" s="7" t="inlineStr">
        <is>
          <t>6</t>
        </is>
      </c>
      <c r="K2355" s="7" t="inlineStr">
        <is>
          <t>7/3314</t>
        </is>
      </c>
      <c r="L2355" s="7" t="inlineStr">
        <is>
          <t>Yes</t>
        </is>
      </c>
      <c r="M2355" s="7" t="inlineStr">
        <is>
          <t>This yoga bra’s made with marshmallowy-soft foam cups and supple fabric to keep you comfortable during your practice—but we won’t be surprised if you wear it all day.</t>
        </is>
      </c>
      <c r="N2355" s="7" t="inlineStr">
        <is>
          <t>Like-a-Cloud-Bra-Long-Line</t>
        </is>
      </c>
      <c r="O2355" s="7" t="inlineStr">
        <is>
          <t>Longline Bras, Strappy Bras, Bralettes</t>
        </is>
      </c>
    </row>
    <row r="2356" ht="80" customHeight="1">
      <c r="A2356" s="4">
        <f>IMAGE("https://images.lululemon.com/is/image/lululemon/LW2CSIS_0001_1?wid=320&amp;op_usm=0.8",1)</f>
        <v/>
      </c>
      <c r="B2356" s="4" t="inlineStr">
        <is>
          <t>Like a Cloud Longline Bra *Light Support, B/C Cup</t>
        </is>
      </c>
      <c r="C2356" s="4" t="inlineStr">
        <is>
          <t>157675950</t>
        </is>
      </c>
      <c r="D2356" s="4" t="inlineStr">
        <is>
          <t>157675950-palmdeco</t>
        </is>
      </c>
      <c r="E2356" s="4" t="inlineStr">
        <is>
          <t>Like a Cloud Longline Bra B/C BLK 2</t>
        </is>
      </c>
      <c r="F2356" s="4" t="inlineStr">
        <is>
          <t>$68.00</t>
        </is>
      </c>
      <c r="G2356" s="4" t="inlineStr">
        <is>
          <t>$34.00</t>
        </is>
      </c>
      <c r="H2356" s="4" t="inlineStr">
        <is>
          <t>Palm Deco</t>
        </is>
      </c>
      <c r="I2356" s="4">
        <f>IMAGE("https://images.lululemon.com/is/image/lululemon/35487",1)</f>
        <v/>
      </c>
      <c r="J2356" s="4" t="inlineStr">
        <is>
          <t>8</t>
        </is>
      </c>
      <c r="K2356" s="4" t="inlineStr">
        <is>
          <t>10/3314</t>
        </is>
      </c>
      <c r="L2356" s="4" t="inlineStr">
        <is>
          <t>Yes</t>
        </is>
      </c>
      <c r="M2356" s="4" t="inlineStr">
        <is>
          <t>This yoga bra’s made with marshmallowy-soft foam cups and supple fabric to keep you comfortable during your practice—but we won’t be surprised if you wear it all day.</t>
        </is>
      </c>
      <c r="N2356" s="4" t="inlineStr">
        <is>
          <t>Like-a-Cloud-Bra-Long-Line</t>
        </is>
      </c>
      <c r="O2356" s="4" t="inlineStr">
        <is>
          <t>Longline Bras, Strappy Bras, Bralettes</t>
        </is>
      </c>
    </row>
    <row r="2357" ht="80" customHeight="1">
      <c r="A2357" s="7">
        <f>IMAGE("https://images.lululemon.com/is/image/lululemon/LW2CSIS_0001_1?wid=320&amp;op_usm=0.8",1)</f>
        <v/>
      </c>
      <c r="B2357" s="7" t="inlineStr">
        <is>
          <t>Like a Cloud Longline Bra *Light Support, B/C Cup</t>
        </is>
      </c>
      <c r="C2357" s="7" t="inlineStr">
        <is>
          <t>157675944</t>
        </is>
      </c>
      <c r="D2357" s="7" t="inlineStr">
        <is>
          <t>157675944-palmdeco</t>
        </is>
      </c>
      <c r="E2357" s="7" t="inlineStr">
        <is>
          <t>Like a Cloud Longline Bra B/C BLK 2</t>
        </is>
      </c>
      <c r="F2357" s="7" t="inlineStr">
        <is>
          <t>$68.00</t>
        </is>
      </c>
      <c r="G2357" s="7" t="inlineStr">
        <is>
          <t>$34.00</t>
        </is>
      </c>
      <c r="H2357" s="7" t="inlineStr">
        <is>
          <t>Palm Deco</t>
        </is>
      </c>
      <c r="I2357" s="7">
        <f>IMAGE("https://images.lululemon.com/is/image/lululemon/35487",1)</f>
        <v/>
      </c>
      <c r="J2357" s="7" t="inlineStr">
        <is>
          <t>10</t>
        </is>
      </c>
      <c r="K2357" s="7" t="inlineStr">
        <is>
          <t>4/3314</t>
        </is>
      </c>
      <c r="L2357" s="7" t="inlineStr">
        <is>
          <t>Yes</t>
        </is>
      </c>
      <c r="M2357" s="7" t="inlineStr">
        <is>
          <t>This yoga bra’s made with marshmallowy-soft foam cups and supple fabric to keep you comfortable during your practice—but we won’t be surprised if you wear it all day.</t>
        </is>
      </c>
      <c r="N2357" s="7" t="inlineStr">
        <is>
          <t>Like-a-Cloud-Bra-Long-Line</t>
        </is>
      </c>
      <c r="O2357" s="7" t="inlineStr">
        <is>
          <t>Longline Bras, Strappy Bras, Bralettes</t>
        </is>
      </c>
    </row>
    <row r="2358" ht="80" customHeight="1">
      <c r="A2358" s="4">
        <f>IMAGE("https://images.lululemon.com/is/image/lululemon/LW2CSIS_0001_1?wid=320&amp;op_usm=0.8",1)</f>
        <v/>
      </c>
      <c r="B2358" s="4" t="inlineStr">
        <is>
          <t>Like a Cloud Longline Bra *Light Support, B/C Cup</t>
        </is>
      </c>
      <c r="C2358" s="4" t="inlineStr">
        <is>
          <t>157675945</t>
        </is>
      </c>
      <c r="D2358" s="4" t="inlineStr">
        <is>
          <t>157675945-palmdeco</t>
        </is>
      </c>
      <c r="E2358" s="4" t="inlineStr">
        <is>
          <t>Like a Cloud Longline Bra B/C BLK 2</t>
        </is>
      </c>
      <c r="F2358" s="4" t="inlineStr">
        <is>
          <t>$68.00</t>
        </is>
      </c>
      <c r="G2358" s="4" t="inlineStr">
        <is>
          <t>$34.00</t>
        </is>
      </c>
      <c r="H2358" s="4" t="inlineStr">
        <is>
          <t>Palm Deco</t>
        </is>
      </c>
      <c r="I2358" s="4">
        <f>IMAGE("https://images.lululemon.com/is/image/lululemon/35487",1)</f>
        <v/>
      </c>
      <c r="J2358" s="4" t="inlineStr">
        <is>
          <t>12</t>
        </is>
      </c>
      <c r="K2358" s="4" t="inlineStr">
        <is>
          <t>1/3314</t>
        </is>
      </c>
      <c r="L2358" s="4" t="inlineStr">
        <is>
          <t>Yes</t>
        </is>
      </c>
      <c r="M2358" s="4" t="inlineStr">
        <is>
          <t>This yoga bra’s made with marshmallowy-soft foam cups and supple fabric to keep you comfortable during your practice—but we won’t be surprised if you wear it all day.</t>
        </is>
      </c>
      <c r="N2358" s="4" t="inlineStr">
        <is>
          <t>Like-a-Cloud-Bra-Long-Line</t>
        </is>
      </c>
      <c r="O2358" s="4" t="inlineStr">
        <is>
          <t>Longline Bras, Strappy Bras, Bralettes</t>
        </is>
      </c>
    </row>
    <row r="2359" ht="80" customHeight="1">
      <c r="A2359" s="7">
        <f>IMAGE("https://images.lululemon.com/is/image/lululemon/LW2CSIS_0001_1?wid=320&amp;op_usm=0.8",1)</f>
        <v/>
      </c>
      <c r="B2359" s="7" t="inlineStr">
        <is>
          <t>Like a Cloud Longline Bra *Light Support, B/C Cup</t>
        </is>
      </c>
      <c r="C2359" s="7" t="inlineStr">
        <is>
          <t>158094184</t>
        </is>
      </c>
      <c r="D2359" s="7" t="inlineStr">
        <is>
          <t>158094184-berryrumble</t>
        </is>
      </c>
      <c r="E2359" s="7" t="inlineStr">
        <is>
          <t>Like a Cloud Longline Bra B/C BLK 2</t>
        </is>
      </c>
      <c r="F2359" s="7" t="inlineStr">
        <is>
          <t>$68.00</t>
        </is>
      </c>
      <c r="G2359" s="7" t="inlineStr">
        <is>
          <t>$34.00</t>
        </is>
      </c>
      <c r="H2359" s="7" t="inlineStr">
        <is>
          <t>Berry Rumble</t>
        </is>
      </c>
      <c r="I2359" s="7">
        <f>IMAGE("https://images.lululemon.com/is/image/lululemon/21363",1)</f>
        <v/>
      </c>
      <c r="J2359" s="7" t="inlineStr">
        <is>
          <t>2</t>
        </is>
      </c>
      <c r="K2359" s="7" t="inlineStr">
        <is>
          <t>25/3314</t>
        </is>
      </c>
      <c r="L2359" s="7" t="inlineStr">
        <is>
          <t>Yes</t>
        </is>
      </c>
      <c r="M2359" s="7" t="inlineStr">
        <is>
          <t>This yoga bra’s made with marshmallowy-soft foam cups and supple fabric to keep you comfortable during your practice—but we won’t be surprised if you wear it all day.</t>
        </is>
      </c>
      <c r="N2359" s="7" t="inlineStr">
        <is>
          <t>Like-a-Cloud-Bra-Long-Line</t>
        </is>
      </c>
      <c r="O2359" s="7" t="inlineStr">
        <is>
          <t>Longline Bras, Strappy Bras, Bralettes</t>
        </is>
      </c>
    </row>
    <row r="2360" ht="80" customHeight="1">
      <c r="A2360" s="4">
        <f>IMAGE("https://images.lululemon.com/is/image/lululemon/LW2CSIS_0001_1?wid=320&amp;op_usm=0.8",1)</f>
        <v/>
      </c>
      <c r="B2360" s="4" t="inlineStr">
        <is>
          <t>Like a Cloud Longline Bra *Light Support, B/C Cup</t>
        </is>
      </c>
      <c r="C2360" s="4" t="inlineStr">
        <is>
          <t>158094186</t>
        </is>
      </c>
      <c r="D2360" s="4" t="inlineStr">
        <is>
          <t>158094186-berryrumble</t>
        </is>
      </c>
      <c r="E2360" s="4" t="inlineStr">
        <is>
          <t>Like a Cloud Longline Bra B/C BLK 2</t>
        </is>
      </c>
      <c r="F2360" s="4" t="inlineStr">
        <is>
          <t>$68.00</t>
        </is>
      </c>
      <c r="G2360" s="4" t="inlineStr">
        <is>
          <t>$34.00</t>
        </is>
      </c>
      <c r="H2360" s="4" t="inlineStr">
        <is>
          <t>Berry Rumble</t>
        </is>
      </c>
      <c r="I2360" s="4">
        <f>IMAGE("https://images.lululemon.com/is/image/lululemon/21363",1)</f>
        <v/>
      </c>
      <c r="J2360" s="4" t="inlineStr">
        <is>
          <t>4</t>
        </is>
      </c>
      <c r="K2360" s="4" t="inlineStr">
        <is>
          <t>55/3314</t>
        </is>
      </c>
      <c r="L2360" s="4" t="inlineStr">
        <is>
          <t>Yes</t>
        </is>
      </c>
      <c r="M2360" s="4" t="inlineStr">
        <is>
          <t>This yoga bra’s made with marshmallowy-soft foam cups and supple fabric to keep you comfortable during your practice—but we won’t be surprised if you wear it all day.</t>
        </is>
      </c>
      <c r="N2360" s="4" t="inlineStr">
        <is>
          <t>Like-a-Cloud-Bra-Long-Line</t>
        </is>
      </c>
      <c r="O2360" s="4" t="inlineStr">
        <is>
          <t>Longline Bras, Strappy Bras, Bralettes</t>
        </is>
      </c>
    </row>
    <row r="2361" ht="80" customHeight="1">
      <c r="A2361" s="7">
        <f>IMAGE("https://images.lululemon.com/is/image/lululemon/LW2CSIS_0001_1?wid=320&amp;op_usm=0.8",1)</f>
        <v/>
      </c>
      <c r="B2361" s="7" t="inlineStr">
        <is>
          <t>Like a Cloud Longline Bra *Light Support, B/C Cup</t>
        </is>
      </c>
      <c r="C2361" s="7" t="inlineStr">
        <is>
          <t>158094188</t>
        </is>
      </c>
      <c r="D2361" s="7" t="inlineStr">
        <is>
          <t>158094188-berryrumble</t>
        </is>
      </c>
      <c r="E2361" s="7" t="inlineStr">
        <is>
          <t>Like a Cloud Longline Bra B/C BLK 2</t>
        </is>
      </c>
      <c r="F2361" s="7" t="inlineStr">
        <is>
          <t>$68.00</t>
        </is>
      </c>
      <c r="G2361" s="7" t="inlineStr">
        <is>
          <t>$34.00</t>
        </is>
      </c>
      <c r="H2361" s="7" t="inlineStr">
        <is>
          <t>Berry Rumble</t>
        </is>
      </c>
      <c r="I2361" s="7">
        <f>IMAGE("https://images.lululemon.com/is/image/lululemon/21363",1)</f>
        <v/>
      </c>
      <c r="J2361" s="7" t="inlineStr">
        <is>
          <t>6</t>
        </is>
      </c>
      <c r="K2361" s="7" t="inlineStr">
        <is>
          <t>81/3314</t>
        </is>
      </c>
      <c r="L2361" s="7" t="inlineStr">
        <is>
          <t>Yes</t>
        </is>
      </c>
      <c r="M2361" s="7" t="inlineStr">
        <is>
          <t>This yoga bra’s made with marshmallowy-soft foam cups and supple fabric to keep you comfortable during your practice—but we won’t be surprised if you wear it all day.</t>
        </is>
      </c>
      <c r="N2361" s="7" t="inlineStr">
        <is>
          <t>Like-a-Cloud-Bra-Long-Line</t>
        </is>
      </c>
      <c r="O2361" s="7" t="inlineStr">
        <is>
          <t>Longline Bras, Strappy Bras, Bralettes</t>
        </is>
      </c>
    </row>
    <row r="2362" ht="80" customHeight="1">
      <c r="A2362" s="4">
        <f>IMAGE("https://images.lululemon.com/is/image/lululemon/LW2CSIS_0001_1?wid=320&amp;op_usm=0.8",1)</f>
        <v/>
      </c>
      <c r="B2362" s="4" t="inlineStr">
        <is>
          <t>Like a Cloud Longline Bra *Light Support, B/C Cup</t>
        </is>
      </c>
      <c r="C2362" s="4" t="inlineStr">
        <is>
          <t>158094190</t>
        </is>
      </c>
      <c r="D2362" s="4" t="inlineStr">
        <is>
          <t>158094190-berryrumble</t>
        </is>
      </c>
      <c r="E2362" s="4" t="inlineStr">
        <is>
          <t>Like a Cloud Longline Bra B/C BLK 2</t>
        </is>
      </c>
      <c r="F2362" s="4" t="inlineStr">
        <is>
          <t>$68.00</t>
        </is>
      </c>
      <c r="G2362" s="4" t="inlineStr">
        <is>
          <t>$34.00</t>
        </is>
      </c>
      <c r="H2362" s="4" t="inlineStr">
        <is>
          <t>Berry Rumble</t>
        </is>
      </c>
      <c r="I2362" s="4">
        <f>IMAGE("https://images.lululemon.com/is/image/lululemon/21363",1)</f>
        <v/>
      </c>
      <c r="J2362" s="4" t="inlineStr">
        <is>
          <t>8</t>
        </is>
      </c>
      <c r="K2362" s="4" t="inlineStr">
        <is>
          <t>78/3314</t>
        </is>
      </c>
      <c r="L2362" s="4" t="inlineStr">
        <is>
          <t>Yes</t>
        </is>
      </c>
      <c r="M2362" s="4" t="inlineStr">
        <is>
          <t>This yoga bra’s made with marshmallowy-soft foam cups and supple fabric to keep you comfortable during your practice—but we won’t be surprised if you wear it all day.</t>
        </is>
      </c>
      <c r="N2362" s="4" t="inlineStr">
        <is>
          <t>Like-a-Cloud-Bra-Long-Line</t>
        </is>
      </c>
      <c r="O2362" s="4" t="inlineStr">
        <is>
          <t>Longline Bras, Strappy Bras, Bralettes</t>
        </is>
      </c>
    </row>
    <row r="2363" ht="80" customHeight="1">
      <c r="A2363" s="7">
        <f>IMAGE("https://images.lululemon.com/is/image/lululemon/LW2CSIS_0001_1?wid=320&amp;op_usm=0.8",1)</f>
        <v/>
      </c>
      <c r="B2363" s="7" t="inlineStr">
        <is>
          <t>Like a Cloud Longline Bra *Light Support, B/C Cup</t>
        </is>
      </c>
      <c r="C2363" s="7" t="inlineStr">
        <is>
          <t>158094180</t>
        </is>
      </c>
      <c r="D2363" s="7" t="inlineStr">
        <is>
          <t>158094180-berryrumble</t>
        </is>
      </c>
      <c r="E2363" s="7" t="inlineStr">
        <is>
          <t>Like a Cloud Longline Bra B/C BLK 2</t>
        </is>
      </c>
      <c r="F2363" s="7" t="inlineStr">
        <is>
          <t>$68.00</t>
        </is>
      </c>
      <c r="G2363" s="7" t="inlineStr">
        <is>
          <t>$34.00</t>
        </is>
      </c>
      <c r="H2363" s="7" t="inlineStr">
        <is>
          <t>Berry Rumble</t>
        </is>
      </c>
      <c r="I2363" s="7">
        <f>IMAGE("https://images.lululemon.com/is/image/lululemon/21363",1)</f>
        <v/>
      </c>
      <c r="J2363" s="7" t="inlineStr">
        <is>
          <t>10</t>
        </is>
      </c>
      <c r="K2363" s="7" t="inlineStr">
        <is>
          <t>51/3314</t>
        </is>
      </c>
      <c r="L2363" s="7" t="inlineStr">
        <is>
          <t>Yes</t>
        </is>
      </c>
      <c r="M2363" s="7" t="inlineStr">
        <is>
          <t>This yoga bra’s made with marshmallowy-soft foam cups and supple fabric to keep you comfortable during your practice—but we won’t be surprised if you wear it all day.</t>
        </is>
      </c>
      <c r="N2363" s="7" t="inlineStr">
        <is>
          <t>Like-a-Cloud-Bra-Long-Line</t>
        </is>
      </c>
      <c r="O2363" s="7" t="inlineStr">
        <is>
          <t>Longline Bras, Strappy Bras, Bralettes</t>
        </is>
      </c>
    </row>
    <row r="2364" ht="80" customHeight="1">
      <c r="A2364" s="6">
        <f>IMAGE("https://images.lululemon.com/is/image/lululemon/LW2CSIS_0001_1?wid=320&amp;op_usm=0.8",1)</f>
        <v/>
      </c>
      <c r="B2364" s="6" t="inlineStr">
        <is>
          <t>Like a Cloud Longline Bra *Light Support, B/C Cup</t>
        </is>
      </c>
      <c r="C2364" s="6" t="inlineStr">
        <is>
          <t>158094181</t>
        </is>
      </c>
      <c r="D2364" s="6" t="inlineStr">
        <is>
          <t>158094181-berryrumble</t>
        </is>
      </c>
      <c r="E2364" s="6" t="inlineStr">
        <is>
          <t>Like a Cloud Longline Bra B/C BLK 2</t>
        </is>
      </c>
      <c r="F2364" s="6" t="inlineStr">
        <is>
          <t>$68.00</t>
        </is>
      </c>
      <c r="G2364" s="6" t="inlineStr">
        <is>
          <t>$34.00</t>
        </is>
      </c>
      <c r="H2364" s="6" t="inlineStr">
        <is>
          <t>Berry Rumble</t>
        </is>
      </c>
      <c r="I2364" s="6">
        <f>IMAGE("https://images.lululemon.com/is/image/lululemon/21363",1)</f>
        <v/>
      </c>
      <c r="J2364" s="6" t="inlineStr">
        <is>
          <t>12</t>
        </is>
      </c>
      <c r="K2364" s="6" t="inlineStr">
        <is>
          <t>18/3314</t>
        </is>
      </c>
      <c r="L2364" s="6" t="inlineStr">
        <is>
          <t>Yes</t>
        </is>
      </c>
      <c r="M2364" s="6" t="inlineStr">
        <is>
          <t>This yoga bra’s made with marshmallowy-soft foam cups and supple fabric to keep you comfortable during your practice—but we won’t be surprised if you wear it all day.</t>
        </is>
      </c>
      <c r="N2364" s="6" t="inlineStr">
        <is>
          <t>Like-a-Cloud-Bra-Long-Line</t>
        </is>
      </c>
      <c r="O2364" s="6" t="inlineStr">
        <is>
          <t>Longline Bras, Strappy Bras, Bralettes</t>
        </is>
      </c>
    </row>
    <row r="2365" ht="80" customHeight="1">
      <c r="A2365" s="7">
        <f>IMAGE("https://images.lululemon.com/is/image/lululemon/LW8AORS_068578_1?wid=320&amp;op_usm=0.8",1)</f>
        <v/>
      </c>
      <c r="B2365" s="7" t="inlineStr">
        <is>
          <t>Pleated High-Rise Knee-Length Tennis Skirt</t>
        </is>
      </c>
      <c r="C2365" s="7" t="inlineStr">
        <is>
          <t>156551193</t>
        </is>
      </c>
      <c r="D2365" s="7" t="inlineStr">
        <is>
          <t>156551193-clubblue</t>
        </is>
      </c>
      <c r="E2365" s="7" t="inlineStr">
        <is>
          <t>Pleated HR Knee-Length Tennis Skirt CLBL XS</t>
        </is>
      </c>
      <c r="F2365" s="7" t="inlineStr">
        <is>
          <t>$88.00</t>
        </is>
      </c>
      <c r="G2365" s="7" t="inlineStr">
        <is>
          <t>$44.00</t>
        </is>
      </c>
      <c r="H2365" s="7" t="inlineStr">
        <is>
          <t>Club Blue</t>
        </is>
      </c>
      <c r="I2365" s="7">
        <f>IMAGE("https://images.lululemon.com/is/image/lululemon/68578",1)</f>
        <v/>
      </c>
      <c r="J2365" s="7" t="inlineStr">
        <is>
          <t>XS</t>
        </is>
      </c>
      <c r="K2365" s="7" t="inlineStr">
        <is>
          <t>31/351</t>
        </is>
      </c>
      <c r="L2365" s="7" t="inlineStr">
        <is>
          <t>Yes</t>
        </is>
      </c>
      <c r="M2365" s="7" t="inlineStr">
        <is>
          <t>Rule the court (or course).  This pleated skirt's longer  length and built-in shorts  deliver distraction-free  coverage that always meets the  dress code.</t>
        </is>
      </c>
      <c r="N2365" s="7" t="inlineStr">
        <is>
          <t>Pleated-High-Rise-Knee-Length-Tennis-Skirt</t>
        </is>
      </c>
      <c r="O2365" s="7" t="inlineStr">
        <is>
          <t>Skorts, Athletic Skirts</t>
        </is>
      </c>
    </row>
    <row r="2366" ht="80" customHeight="1">
      <c r="A2366" s="4">
        <f>IMAGE("https://images.lululemon.com/is/image/lululemon/LW8AORS_068578_1?wid=320&amp;op_usm=0.8",1)</f>
        <v/>
      </c>
      <c r="B2366" s="4" t="inlineStr">
        <is>
          <t>Pleated High-Rise Knee-Length Tennis Skirt</t>
        </is>
      </c>
      <c r="C2366" s="4" t="inlineStr">
        <is>
          <t>156551189</t>
        </is>
      </c>
      <c r="D2366" s="4" t="inlineStr">
        <is>
          <t>156551189-clubblue</t>
        </is>
      </c>
      <c r="E2366" s="4" t="inlineStr">
        <is>
          <t>Pleated HR Knee-Length Tennis Skirt CLBL XS</t>
        </is>
      </c>
      <c r="F2366" s="4" t="inlineStr">
        <is>
          <t>$88.00</t>
        </is>
      </c>
      <c r="G2366" s="4" t="inlineStr">
        <is>
          <t>$44.00</t>
        </is>
      </c>
      <c r="H2366" s="4" t="inlineStr">
        <is>
          <t>Club Blue</t>
        </is>
      </c>
      <c r="I2366" s="4">
        <f>IMAGE("https://images.lululemon.com/is/image/lululemon/68578",1)</f>
        <v/>
      </c>
      <c r="J2366" s="4" t="inlineStr">
        <is>
          <t>S</t>
        </is>
      </c>
      <c r="K2366" s="4" t="inlineStr">
        <is>
          <t>85/351</t>
        </is>
      </c>
      <c r="L2366" s="4" t="inlineStr">
        <is>
          <t>Yes</t>
        </is>
      </c>
      <c r="M2366" s="4" t="inlineStr">
        <is>
          <t>Rule the court (or course).  This pleated skirt's longer  length and built-in shorts  deliver distraction-free  coverage that always meets the  dress code.</t>
        </is>
      </c>
      <c r="N2366" s="4" t="inlineStr">
        <is>
          <t>Pleated-High-Rise-Knee-Length-Tennis-Skirt</t>
        </is>
      </c>
      <c r="O2366" s="4" t="inlineStr">
        <is>
          <t>Skorts, Athletic Skirts</t>
        </is>
      </c>
    </row>
    <row r="2367" ht="80" customHeight="1">
      <c r="A2367" s="7">
        <f>IMAGE("https://images.lululemon.com/is/image/lululemon/LW8AORS_068578_1?wid=320&amp;op_usm=0.8",1)</f>
        <v/>
      </c>
      <c r="B2367" s="7" t="inlineStr">
        <is>
          <t>Pleated High-Rise Knee-Length Tennis Skirt</t>
        </is>
      </c>
      <c r="C2367" s="7" t="inlineStr">
        <is>
          <t>156551188</t>
        </is>
      </c>
      <c r="D2367" s="7" t="inlineStr">
        <is>
          <t>156551188-clubblue</t>
        </is>
      </c>
      <c r="E2367" s="7" t="inlineStr">
        <is>
          <t>Pleated HR Knee-Length Tennis Skirt CLBL XS</t>
        </is>
      </c>
      <c r="F2367" s="7" t="inlineStr">
        <is>
          <t>$88.00</t>
        </is>
      </c>
      <c r="G2367" s="7" t="inlineStr">
        <is>
          <t>$44.00</t>
        </is>
      </c>
      <c r="H2367" s="7" t="inlineStr">
        <is>
          <t>Club Blue</t>
        </is>
      </c>
      <c r="I2367" s="7">
        <f>IMAGE("https://images.lululemon.com/is/image/lululemon/68578",1)</f>
        <v/>
      </c>
      <c r="J2367" s="7" t="inlineStr">
        <is>
          <t>M</t>
        </is>
      </c>
      <c r="K2367" s="7" t="inlineStr">
        <is>
          <t>104/351</t>
        </is>
      </c>
      <c r="L2367" s="7" t="inlineStr">
        <is>
          <t>Yes</t>
        </is>
      </c>
      <c r="M2367" s="7" t="inlineStr">
        <is>
          <t>Rule the court (or course).  This pleated skirt's longer  length and built-in shorts  deliver distraction-free  coverage that always meets the  dress code.</t>
        </is>
      </c>
      <c r="N2367" s="7" t="inlineStr">
        <is>
          <t>Pleated-High-Rise-Knee-Length-Tennis-Skirt</t>
        </is>
      </c>
      <c r="O2367" s="7" t="inlineStr">
        <is>
          <t>Skorts, Athletic Skirts</t>
        </is>
      </c>
    </row>
    <row r="2368" ht="80" customHeight="1">
      <c r="A2368" s="4">
        <f>IMAGE("https://images.lululemon.com/is/image/lululemon/LW8AORS_068578_1?wid=320&amp;op_usm=0.8",1)</f>
        <v/>
      </c>
      <c r="B2368" s="4" t="inlineStr">
        <is>
          <t>Pleated High-Rise Knee-Length Tennis Skirt</t>
        </is>
      </c>
      <c r="C2368" s="4" t="inlineStr">
        <is>
          <t>156551186</t>
        </is>
      </c>
      <c r="D2368" s="4" t="inlineStr">
        <is>
          <t>156551186-clubblue</t>
        </is>
      </c>
      <c r="E2368" s="4" t="inlineStr">
        <is>
          <t>Pleated HR Knee-Length Tennis Skirt CLBL XS</t>
        </is>
      </c>
      <c r="F2368" s="4" t="inlineStr">
        <is>
          <t>$88.00</t>
        </is>
      </c>
      <c r="G2368" s="4" t="inlineStr">
        <is>
          <t>$44.00</t>
        </is>
      </c>
      <c r="H2368" s="4" t="inlineStr">
        <is>
          <t>Club Blue</t>
        </is>
      </c>
      <c r="I2368" s="4">
        <f>IMAGE("https://images.lululemon.com/is/image/lululemon/68578",1)</f>
        <v/>
      </c>
      <c r="J2368" s="4" t="inlineStr">
        <is>
          <t>L</t>
        </is>
      </c>
      <c r="K2368" s="4" t="inlineStr">
        <is>
          <t>80/351</t>
        </is>
      </c>
      <c r="L2368" s="4" t="inlineStr">
        <is>
          <t>Yes</t>
        </is>
      </c>
      <c r="M2368" s="4" t="inlineStr">
        <is>
          <t>Rule the court (or course).  This pleated skirt's longer  length and built-in shorts  deliver distraction-free  coverage that always meets the  dress code.</t>
        </is>
      </c>
      <c r="N2368" s="4" t="inlineStr">
        <is>
          <t>Pleated-High-Rise-Knee-Length-Tennis-Skirt</t>
        </is>
      </c>
      <c r="O2368" s="4" t="inlineStr">
        <is>
          <t>Skorts, Athletic Skirts</t>
        </is>
      </c>
    </row>
    <row r="2369" ht="80" customHeight="1">
      <c r="A2369" s="5">
        <f>IMAGE("https://images.lululemon.com/is/image/lululemon/LW8AORS_068578_1?wid=320&amp;op_usm=0.8",1)</f>
        <v/>
      </c>
      <c r="B2369" s="5" t="inlineStr">
        <is>
          <t>Pleated High-Rise Knee-Length Tennis Skirt</t>
        </is>
      </c>
      <c r="C2369" s="5" t="inlineStr">
        <is>
          <t>156551191</t>
        </is>
      </c>
      <c r="D2369" s="5" t="inlineStr">
        <is>
          <t>156551191-clubblue</t>
        </is>
      </c>
      <c r="E2369" s="5" t="inlineStr">
        <is>
          <t>Pleated HR Knee-Length Tennis Skirt CLBL XS</t>
        </is>
      </c>
      <c r="F2369" s="5" t="inlineStr">
        <is>
          <t>$88.00</t>
        </is>
      </c>
      <c r="G2369" s="5" t="inlineStr">
        <is>
          <t>$44.00</t>
        </is>
      </c>
      <c r="H2369" s="5" t="inlineStr">
        <is>
          <t>Club Blue</t>
        </is>
      </c>
      <c r="I2369" s="5">
        <f>IMAGE("https://images.lululemon.com/is/image/lululemon/68578",1)</f>
        <v/>
      </c>
      <c r="J2369" s="5" t="inlineStr">
        <is>
          <t>XL</t>
        </is>
      </c>
      <c r="K2369" s="5" t="inlineStr">
        <is>
          <t>51/351</t>
        </is>
      </c>
      <c r="L2369" s="5" t="inlineStr">
        <is>
          <t>Yes</t>
        </is>
      </c>
      <c r="M2369" s="5" t="inlineStr">
        <is>
          <t>Rule the court (or course).  This pleated skirt's longer  length and built-in shorts  deliver distraction-free  coverage that always meets the  dress code.</t>
        </is>
      </c>
      <c r="N2369" s="5" t="inlineStr">
        <is>
          <t>Pleated-High-Rise-Knee-Length-Tennis-Skirt</t>
        </is>
      </c>
      <c r="O2369" s="5" t="inlineStr">
        <is>
          <t>Skorts, Athletic Skirts</t>
        </is>
      </c>
    </row>
    <row r="2370" ht="80" customHeight="1">
      <c r="A2370" s="4">
        <f>IMAGE("https://images.lululemon.com/is/image/lululemon/LU9C94S_036168_1?wid=320&amp;op_usm=0.8",1)</f>
        <v/>
      </c>
      <c r="B2370" s="4" t="inlineStr">
        <is>
          <t>Warm Revelation Gloves</t>
        </is>
      </c>
      <c r="C2370" s="4" t="inlineStr">
        <is>
          <t>157703621</t>
        </is>
      </c>
      <c r="D2370" s="4" t="inlineStr">
        <is>
          <t>157703621-heatheredlightivory</t>
        </is>
      </c>
      <c r="E2370" s="4" t="inlineStr">
        <is>
          <t>Warm Revelation Gloves HRLI S</t>
        </is>
      </c>
      <c r="F2370" s="4" t="inlineStr">
        <is>
          <t>$52.00</t>
        </is>
      </c>
      <c r="G2370" s="4" t="inlineStr">
        <is>
          <t>$26.00</t>
        </is>
      </c>
      <c r="H2370" s="4" t="inlineStr">
        <is>
          <t>Heathered Light Ivory</t>
        </is>
      </c>
      <c r="I2370" s="4">
        <f>IMAGE("https://images.lululemon.com/is/image/lululemon/36168",1)</f>
        <v/>
      </c>
      <c r="J2370" s="4" t="inlineStr">
        <is>
          <t>S</t>
        </is>
      </c>
      <c r="K2370" s="4" t="inlineStr">
        <is>
          <t>1/42</t>
        </is>
      </c>
      <c r="L2370" s="4" t="inlineStr">
        <is>
          <t>Yes</t>
        </is>
      </c>
      <c r="M2370" s="4" t="inlineStr">
        <is>
          <t>Pop on these merino wool-blend gloves when the temperature drops to help keep you cozy on chilly days.</t>
        </is>
      </c>
      <c r="N2370" s="4" t="inlineStr">
        <is>
          <t>Warm-Revelation-Gloves-Updated</t>
        </is>
      </c>
      <c r="O2370" s="4" t="inlineStr"/>
    </row>
    <row r="2371" ht="80" customHeight="1">
      <c r="A2371" s="7">
        <f>IMAGE("https://images.lululemon.com/is/image/lululemon/LU9C94S_036168_1?wid=320&amp;op_usm=0.8",1)</f>
        <v/>
      </c>
      <c r="B2371" s="7" t="inlineStr">
        <is>
          <t>Warm Revelation Gloves</t>
        </is>
      </c>
      <c r="C2371" s="7" t="inlineStr">
        <is>
          <t>157703609</t>
        </is>
      </c>
      <c r="D2371" s="7" t="inlineStr">
        <is>
          <t>157703609-heatheredlightivory</t>
        </is>
      </c>
      <c r="E2371" s="7" t="inlineStr">
        <is>
          <t>Warm Revelation Gloves HRLI S</t>
        </is>
      </c>
      <c r="F2371" s="7" t="inlineStr">
        <is>
          <t>$52.00</t>
        </is>
      </c>
      <c r="G2371" s="7" t="inlineStr">
        <is>
          <t>$26.00</t>
        </is>
      </c>
      <c r="H2371" s="7" t="inlineStr">
        <is>
          <t>Heathered Light Ivory</t>
        </is>
      </c>
      <c r="I2371" s="7">
        <f>IMAGE("https://images.lululemon.com/is/image/lululemon/36168",1)</f>
        <v/>
      </c>
      <c r="J2371" s="7" t="inlineStr">
        <is>
          <t>M</t>
        </is>
      </c>
      <c r="K2371" s="7" t="inlineStr">
        <is>
          <t>6/42</t>
        </is>
      </c>
      <c r="L2371" s="7" t="inlineStr">
        <is>
          <t>Yes</t>
        </is>
      </c>
      <c r="M2371" s="7" t="inlineStr">
        <is>
          <t>Pop on these merino wool-blend gloves when the temperature drops to help keep you cozy on chilly days.</t>
        </is>
      </c>
      <c r="N2371" s="7" t="inlineStr">
        <is>
          <t>Warm-Revelation-Gloves-Updated</t>
        </is>
      </c>
      <c r="O2371" s="7" t="inlineStr"/>
    </row>
    <row r="2372" ht="80" customHeight="1">
      <c r="A2372" s="4">
        <f>IMAGE("https://images.lululemon.com/is/image/lululemon/LU9C94S_036168_1?wid=320&amp;op_usm=0.8",1)</f>
        <v/>
      </c>
      <c r="B2372" s="4" t="inlineStr">
        <is>
          <t>Warm Revelation Gloves</t>
        </is>
      </c>
      <c r="C2372" s="4" t="inlineStr">
        <is>
          <t>157703597</t>
        </is>
      </c>
      <c r="D2372" s="4" t="inlineStr">
        <is>
          <t>157703597-heatheredlightivory</t>
        </is>
      </c>
      <c r="E2372" s="4" t="inlineStr">
        <is>
          <t>Warm Revelation Gloves HRLI S</t>
        </is>
      </c>
      <c r="F2372" s="4" t="inlineStr">
        <is>
          <t>$52.00</t>
        </is>
      </c>
      <c r="G2372" s="4" t="inlineStr">
        <is>
          <t>$26.00</t>
        </is>
      </c>
      <c r="H2372" s="4" t="inlineStr">
        <is>
          <t>Heathered Light Ivory</t>
        </is>
      </c>
      <c r="I2372" s="4">
        <f>IMAGE("https://images.lululemon.com/is/image/lululemon/36168",1)</f>
        <v/>
      </c>
      <c r="J2372" s="4" t="inlineStr">
        <is>
          <t>L</t>
        </is>
      </c>
      <c r="K2372" s="4" t="inlineStr">
        <is>
          <t>24/42</t>
        </is>
      </c>
      <c r="L2372" s="4" t="inlineStr">
        <is>
          <t>Yes</t>
        </is>
      </c>
      <c r="M2372" s="4" t="inlineStr">
        <is>
          <t>Pop on these merino wool-blend gloves when the temperature drops to help keep you cozy on chilly days.</t>
        </is>
      </c>
      <c r="N2372" s="4" t="inlineStr">
        <is>
          <t>Warm-Revelation-Gloves-Updated</t>
        </is>
      </c>
      <c r="O2372" s="4" t="inlineStr"/>
    </row>
    <row r="2373" ht="80" customHeight="1">
      <c r="A2373" s="5">
        <f>IMAGE("https://images.lululemon.com/is/image/lululemon/LU9C94S_036168_1?wid=320&amp;op_usm=0.8",1)</f>
        <v/>
      </c>
      <c r="B2373" s="5" t="inlineStr">
        <is>
          <t>Warm Revelation Gloves</t>
        </is>
      </c>
      <c r="C2373" s="5" t="inlineStr">
        <is>
          <t>157703632</t>
        </is>
      </c>
      <c r="D2373" s="5" t="inlineStr">
        <is>
          <t>157703632-heatheredlightivory</t>
        </is>
      </c>
      <c r="E2373" s="5" t="inlineStr">
        <is>
          <t>Warm Revelation Gloves HRLI S</t>
        </is>
      </c>
      <c r="F2373" s="5" t="inlineStr">
        <is>
          <t>$52.00</t>
        </is>
      </c>
      <c r="G2373" s="5" t="inlineStr">
        <is>
          <t>$26.00</t>
        </is>
      </c>
      <c r="H2373" s="5" t="inlineStr">
        <is>
          <t>Heathered Light Ivory</t>
        </is>
      </c>
      <c r="I2373" s="5">
        <f>IMAGE("https://images.lululemon.com/is/image/lululemon/36168",1)</f>
        <v/>
      </c>
      <c r="J2373" s="5" t="inlineStr">
        <is>
          <t>XL</t>
        </is>
      </c>
      <c r="K2373" s="5" t="inlineStr">
        <is>
          <t>11/42</t>
        </is>
      </c>
      <c r="L2373" s="5" t="inlineStr">
        <is>
          <t>Yes</t>
        </is>
      </c>
      <c r="M2373" s="5" t="inlineStr">
        <is>
          <t>Pop on these merino wool-blend gloves when the temperature drops to help keep you cozy on chilly days.</t>
        </is>
      </c>
      <c r="N2373" s="5" t="inlineStr">
        <is>
          <t>Warm-Revelation-Gloves-Updated</t>
        </is>
      </c>
      <c r="O2373" s="5" t="inlineStr"/>
    </row>
    <row r="2374" ht="80" customHeight="1">
      <c r="A2374" s="4">
        <f>IMAGE("https://images.lululemon.com/is/image/lululemon/LW5HFQS_032493_1?wid=320&amp;op_usm=0.8",1)</f>
        <v/>
      </c>
      <c r="B2374" s="4" t="inlineStr">
        <is>
          <t>Scuba Mid-Rise Wide-Leg Pant *Waffle</t>
        </is>
      </c>
      <c r="C2374" s="4" t="inlineStr">
        <is>
          <t>157708107</t>
        </is>
      </c>
      <c r="D2374" s="4" t="inlineStr">
        <is>
          <t>157708107-heatheredcoreultralightgrey</t>
        </is>
      </c>
      <c r="E2374" s="4" t="inlineStr">
        <is>
          <t>Scuba Mid-Rise Wide-Leg Pant *Waffle HCUG S</t>
        </is>
      </c>
      <c r="F2374" s="4" t="inlineStr">
        <is>
          <t>$148.00</t>
        </is>
      </c>
      <c r="G2374" s="4" t="inlineStr">
        <is>
          <t>$74.00</t>
        </is>
      </c>
      <c r="H2374" s="4" t="inlineStr">
        <is>
          <t>Heathered Core Ultra Light Grey</t>
        </is>
      </c>
      <c r="I2374" s="4">
        <f>IMAGE("https://images.lululemon.com/is/image/lululemon/32493",1)</f>
        <v/>
      </c>
      <c r="J2374" s="4" t="inlineStr">
        <is>
          <t>S</t>
        </is>
      </c>
      <c r="K2374" s="4" t="inlineStr">
        <is>
          <t>21/572</t>
        </is>
      </c>
      <c r="L2374" s="4" t="inlineStr">
        <is>
          <t>Yes</t>
        </is>
      </c>
      <c r="M2374" s="4" t="inlineStr">
        <is>
          <t>Our signature sweatpants with a textured twist. A rich, waffle-knit fabric adds depth and softness to your downtime.</t>
        </is>
      </c>
      <c r="N2374" s="4" t="inlineStr">
        <is>
          <t>Scuba-Mid-Rise-Wide-Leg-Pant-Waffle</t>
        </is>
      </c>
      <c r="O2374" s="4" t="inlineStr"/>
    </row>
    <row r="2375" ht="80" customHeight="1">
      <c r="A2375" s="7">
        <f>IMAGE("https://images.lululemon.com/is/image/lululemon/LW5HFQS_032493_1?wid=320&amp;op_usm=0.8",1)</f>
        <v/>
      </c>
      <c r="B2375" s="7" t="inlineStr">
        <is>
          <t>Scuba Mid-Rise Wide-Leg Pant *Waffle</t>
        </is>
      </c>
      <c r="C2375" s="7" t="inlineStr">
        <is>
          <t>157708096</t>
        </is>
      </c>
      <c r="D2375" s="7" t="inlineStr">
        <is>
          <t>157708096-heatheredcoreultralightgrey</t>
        </is>
      </c>
      <c r="E2375" s="7" t="inlineStr">
        <is>
          <t>Scuba Mid-Rise Wide-Leg Pant *Waffle HCUG S</t>
        </is>
      </c>
      <c r="F2375" s="7" t="inlineStr">
        <is>
          <t>$148.00</t>
        </is>
      </c>
      <c r="G2375" s="7" t="inlineStr">
        <is>
          <t>$74.00</t>
        </is>
      </c>
      <c r="H2375" s="7" t="inlineStr">
        <is>
          <t>Heathered Core Ultra Light Grey</t>
        </is>
      </c>
      <c r="I2375" s="7">
        <f>IMAGE("https://images.lululemon.com/is/image/lululemon/32493",1)</f>
        <v/>
      </c>
      <c r="J2375" s="7" t="inlineStr">
        <is>
          <t>M</t>
        </is>
      </c>
      <c r="K2375" s="7" t="inlineStr">
        <is>
          <t>75/572</t>
        </is>
      </c>
      <c r="L2375" s="7" t="inlineStr">
        <is>
          <t>Yes</t>
        </is>
      </c>
      <c r="M2375" s="7" t="inlineStr">
        <is>
          <t>Our signature sweatpants with a textured twist. A rich, waffle-knit fabric adds depth and softness to your downtime.</t>
        </is>
      </c>
      <c r="N2375" s="7" t="inlineStr">
        <is>
          <t>Scuba-Mid-Rise-Wide-Leg-Pant-Waffle</t>
        </is>
      </c>
      <c r="O2375" s="7" t="inlineStr"/>
    </row>
    <row r="2376" ht="80" customHeight="1">
      <c r="A2376" s="4">
        <f>IMAGE("https://images.lululemon.com/is/image/lululemon/LW5HFQS_032493_1?wid=320&amp;op_usm=0.8",1)</f>
        <v/>
      </c>
      <c r="B2376" s="4" t="inlineStr">
        <is>
          <t>Scuba Mid-Rise Wide-Leg Pant *Waffle</t>
        </is>
      </c>
      <c r="C2376" s="4" t="inlineStr">
        <is>
          <t>157708086</t>
        </is>
      </c>
      <c r="D2376" s="4" t="inlineStr">
        <is>
          <t>157708086-heatheredcoreultralightgrey</t>
        </is>
      </c>
      <c r="E2376" s="4" t="inlineStr">
        <is>
          <t>Scuba Mid-Rise Wide-Leg Pant *Waffle HCUG S</t>
        </is>
      </c>
      <c r="F2376" s="4" t="inlineStr">
        <is>
          <t>$148.00</t>
        </is>
      </c>
      <c r="G2376" s="4" t="inlineStr">
        <is>
          <t>$74.00</t>
        </is>
      </c>
      <c r="H2376" s="4" t="inlineStr">
        <is>
          <t>Heathered Core Ultra Light Grey</t>
        </is>
      </c>
      <c r="I2376" s="4">
        <f>IMAGE("https://images.lululemon.com/is/image/lululemon/32493",1)</f>
        <v/>
      </c>
      <c r="J2376" s="4" t="inlineStr">
        <is>
          <t>L</t>
        </is>
      </c>
      <c r="K2376" s="4" t="inlineStr">
        <is>
          <t>204/572</t>
        </is>
      </c>
      <c r="L2376" s="4" t="inlineStr">
        <is>
          <t>Yes</t>
        </is>
      </c>
      <c r="M2376" s="4" t="inlineStr">
        <is>
          <t>Our signature sweatpants with a textured twist. A rich, waffle-knit fabric adds depth and softness to your downtime.</t>
        </is>
      </c>
      <c r="N2376" s="4" t="inlineStr">
        <is>
          <t>Scuba-Mid-Rise-Wide-Leg-Pant-Waffle</t>
        </is>
      </c>
      <c r="O2376" s="4" t="inlineStr"/>
    </row>
    <row r="2377" ht="80" customHeight="1">
      <c r="A2377" s="7">
        <f>IMAGE("https://images.lululemon.com/is/image/lululemon/LW5HFQS_032493_1?wid=320&amp;op_usm=0.8",1)</f>
        <v/>
      </c>
      <c r="B2377" s="7" t="inlineStr">
        <is>
          <t>Scuba Mid-Rise Wide-Leg Pant *Waffle</t>
        </is>
      </c>
      <c r="C2377" s="7" t="inlineStr">
        <is>
          <t>157708115</t>
        </is>
      </c>
      <c r="D2377" s="7" t="inlineStr">
        <is>
          <t>157708115-heatheredcoreultralightgrey</t>
        </is>
      </c>
      <c r="E2377" s="7" t="inlineStr">
        <is>
          <t>Scuba Mid-Rise Wide-Leg Pant *Waffle HCUG S</t>
        </is>
      </c>
      <c r="F2377" s="7" t="inlineStr">
        <is>
          <t>$148.00</t>
        </is>
      </c>
      <c r="G2377" s="7" t="inlineStr">
        <is>
          <t>$74.00</t>
        </is>
      </c>
      <c r="H2377" s="7" t="inlineStr">
        <is>
          <t>Heathered Core Ultra Light Grey</t>
        </is>
      </c>
      <c r="I2377" s="7">
        <f>IMAGE("https://images.lululemon.com/is/image/lululemon/32493",1)</f>
        <v/>
      </c>
      <c r="J2377" s="7" t="inlineStr">
        <is>
          <t>XL</t>
        </is>
      </c>
      <c r="K2377" s="7" t="inlineStr">
        <is>
          <t>81/572</t>
        </is>
      </c>
      <c r="L2377" s="7" t="inlineStr">
        <is>
          <t>Yes</t>
        </is>
      </c>
      <c r="M2377" s="7" t="inlineStr">
        <is>
          <t>Our signature sweatpants with a textured twist. A rich, waffle-knit fabric adds depth and softness to your downtime.</t>
        </is>
      </c>
      <c r="N2377" s="7" t="inlineStr">
        <is>
          <t>Scuba-Mid-Rise-Wide-Leg-Pant-Waffle</t>
        </is>
      </c>
      <c r="O2377" s="7" t="inlineStr"/>
    </row>
    <row r="2378" ht="80" customHeight="1">
      <c r="A2378" s="4">
        <f>IMAGE("https://images.lululemon.com/is/image/lululemon/LW5HFQS_032493_1?wid=320&amp;op_usm=0.8",1)</f>
        <v/>
      </c>
      <c r="B2378" s="4" t="inlineStr">
        <is>
          <t>Scuba Mid-Rise Wide-Leg Pant *Waffle</t>
        </is>
      </c>
      <c r="C2378" s="4" t="inlineStr">
        <is>
          <t>157708163</t>
        </is>
      </c>
      <c r="D2378" s="4" t="inlineStr">
        <is>
          <t>157708163-heatheredlightivory</t>
        </is>
      </c>
      <c r="E2378" s="4" t="inlineStr">
        <is>
          <t>Scuba Mid-Rise Wide-Leg Pant *Waffle HCUG S</t>
        </is>
      </c>
      <c r="F2378" s="4" t="inlineStr">
        <is>
          <t>$148.00</t>
        </is>
      </c>
      <c r="G2378" s="4" t="inlineStr">
        <is>
          <t>$74.00</t>
        </is>
      </c>
      <c r="H2378" s="4" t="inlineStr">
        <is>
          <t>Heathered Light Ivory</t>
        </is>
      </c>
      <c r="I2378" s="4">
        <f>IMAGE("https://images.lululemon.com/is/image/lululemon/36168",1)</f>
        <v/>
      </c>
      <c r="J2378" s="4" t="inlineStr">
        <is>
          <t>M</t>
        </is>
      </c>
      <c r="K2378" s="4" t="inlineStr">
        <is>
          <t>26/572</t>
        </is>
      </c>
      <c r="L2378" s="4" t="inlineStr">
        <is>
          <t>Yes</t>
        </is>
      </c>
      <c r="M2378" s="4" t="inlineStr">
        <is>
          <t>Our signature sweatpants with a textured twist. A rich, waffle-knit fabric adds depth and softness to your downtime.</t>
        </is>
      </c>
      <c r="N2378" s="4" t="inlineStr">
        <is>
          <t>Scuba-Mid-Rise-Wide-Leg-Pant-Waffle</t>
        </is>
      </c>
      <c r="O2378" s="4" t="inlineStr"/>
    </row>
    <row r="2379" ht="80" customHeight="1">
      <c r="A2379" s="7">
        <f>IMAGE("https://images.lululemon.com/is/image/lululemon/LW5HFQS_032493_1?wid=320&amp;op_usm=0.8",1)</f>
        <v/>
      </c>
      <c r="B2379" s="7" t="inlineStr">
        <is>
          <t>Scuba Mid-Rise Wide-Leg Pant *Waffle</t>
        </is>
      </c>
      <c r="C2379" s="7" t="inlineStr">
        <is>
          <t>157708152</t>
        </is>
      </c>
      <c r="D2379" s="7" t="inlineStr">
        <is>
          <t>157708152-heatheredlightivory</t>
        </is>
      </c>
      <c r="E2379" s="7" t="inlineStr">
        <is>
          <t>Scuba Mid-Rise Wide-Leg Pant *Waffle HCUG S</t>
        </is>
      </c>
      <c r="F2379" s="7" t="inlineStr">
        <is>
          <t>$148.00</t>
        </is>
      </c>
      <c r="G2379" s="7" t="inlineStr">
        <is>
          <t>$74.00</t>
        </is>
      </c>
      <c r="H2379" s="7" t="inlineStr">
        <is>
          <t>Heathered Light Ivory</t>
        </is>
      </c>
      <c r="I2379" s="7">
        <f>IMAGE("https://images.lululemon.com/is/image/lululemon/36168",1)</f>
        <v/>
      </c>
      <c r="J2379" s="7" t="inlineStr">
        <is>
          <t>L</t>
        </is>
      </c>
      <c r="K2379" s="7" t="inlineStr">
        <is>
          <t>111/572</t>
        </is>
      </c>
      <c r="L2379" s="7" t="inlineStr">
        <is>
          <t>Yes</t>
        </is>
      </c>
      <c r="M2379" s="7" t="inlineStr">
        <is>
          <t>Our signature sweatpants with a textured twist. A rich, waffle-knit fabric adds depth and softness to your downtime.</t>
        </is>
      </c>
      <c r="N2379" s="7" t="inlineStr">
        <is>
          <t>Scuba-Mid-Rise-Wide-Leg-Pant-Waffle</t>
        </is>
      </c>
      <c r="O2379" s="7" t="inlineStr"/>
    </row>
    <row r="2380" ht="80" customHeight="1">
      <c r="A2380" s="6">
        <f>IMAGE("https://images.lululemon.com/is/image/lululemon/LW5HFQS_032493_1?wid=320&amp;op_usm=0.8",1)</f>
        <v/>
      </c>
      <c r="B2380" s="6" t="inlineStr">
        <is>
          <t>Scuba Mid-Rise Wide-Leg Pant *Waffle</t>
        </is>
      </c>
      <c r="C2380" s="6" t="inlineStr">
        <is>
          <t>157708183</t>
        </is>
      </c>
      <c r="D2380" s="6" t="inlineStr">
        <is>
          <t>157708183-heatheredlightivory</t>
        </is>
      </c>
      <c r="E2380" s="6" t="inlineStr">
        <is>
          <t>Scuba Mid-Rise Wide-Leg Pant *Waffle HCUG S</t>
        </is>
      </c>
      <c r="F2380" s="6" t="inlineStr">
        <is>
          <t>$148.00</t>
        </is>
      </c>
      <c r="G2380" s="6" t="inlineStr">
        <is>
          <t>$74.00</t>
        </is>
      </c>
      <c r="H2380" s="6" t="inlineStr">
        <is>
          <t>Heathered Light Ivory</t>
        </is>
      </c>
      <c r="I2380" s="6">
        <f>IMAGE("https://images.lululemon.com/is/image/lululemon/36168",1)</f>
        <v/>
      </c>
      <c r="J2380" s="6" t="inlineStr">
        <is>
          <t>XL</t>
        </is>
      </c>
      <c r="K2380" s="6" t="inlineStr">
        <is>
          <t>54/572</t>
        </is>
      </c>
      <c r="L2380" s="6" t="inlineStr">
        <is>
          <t>Yes</t>
        </is>
      </c>
      <c r="M2380" s="6" t="inlineStr">
        <is>
          <t>Our signature sweatpants with a textured twist. A rich, waffle-knit fabric adds depth and softness to your downtime.</t>
        </is>
      </c>
      <c r="N2380" s="6" t="inlineStr">
        <is>
          <t>Scuba-Mid-Rise-Wide-Leg-Pant-Waffle</t>
        </is>
      </c>
      <c r="O2380" s="6" t="inlineStr"/>
    </row>
    <row r="2381" ht="80" customHeight="1">
      <c r="A2381" s="7">
        <f>IMAGE("https://images.lululemon.com/is/image/lululemon/LW3HB5S_031382_1?wid=320&amp;op_usm=0.8",1)</f>
        <v/>
      </c>
      <c r="B2381" s="7" t="inlineStr">
        <is>
          <t>Define Cropped Jacket *Nulu</t>
        </is>
      </c>
      <c r="C2381" s="7" t="inlineStr">
        <is>
          <t>158023712</t>
        </is>
      </c>
      <c r="D2381" s="7" t="inlineStr">
        <is>
          <t>158023712-black</t>
        </is>
      </c>
      <c r="E2381" s="7" t="inlineStr">
        <is>
          <t>Define Cropped Jacket *Nulu™ BLK 0</t>
        </is>
      </c>
      <c r="F2381" s="7" t="inlineStr">
        <is>
          <t>$128.00</t>
        </is>
      </c>
      <c r="G2381" s="7" t="inlineStr">
        <is>
          <t>$64.00</t>
        </is>
      </c>
      <c r="H2381" s="7" t="inlineStr">
        <is>
          <t>Black</t>
        </is>
      </c>
      <c r="I2381" s="7">
        <f>IMAGE("https://images.lululemon.com/is/image/lululemon/0001",1)</f>
        <v/>
      </c>
      <c r="J2381" s="7" t="inlineStr">
        <is>
          <t>0</t>
        </is>
      </c>
      <c r="K2381" s="7" t="inlineStr">
        <is>
          <t>11/3830</t>
        </is>
      </c>
      <c r="L2381" s="7" t="inlineStr">
        <is>
          <t>Yes</t>
        </is>
      </c>
      <c r="M2381" s="7" t="inlineStr">
        <is>
          <t>Up for adventure and ready for downtime. This shortened version of our fan-favourite Define Jacket has a feel-good fit that can do it all.</t>
        </is>
      </c>
      <c r="N2381" s="7" t="inlineStr">
        <is>
          <t>Nulu-Cropped-Define-Jacket</t>
        </is>
      </c>
      <c r="O2381" s="7" t="inlineStr">
        <is>
          <t>Athletic Jackets, Zip Up Sweatshirts</t>
        </is>
      </c>
    </row>
    <row r="2382" ht="80" customHeight="1">
      <c r="A2382" s="4">
        <f>IMAGE("https://images.lululemon.com/is/image/lululemon/LW3HB5S_031382_1?wid=320&amp;op_usm=0.8",1)</f>
        <v/>
      </c>
      <c r="B2382" s="4" t="inlineStr">
        <is>
          <t>Define Cropped Jacket *Nulu</t>
        </is>
      </c>
      <c r="C2382" s="4" t="inlineStr">
        <is>
          <t>158023742</t>
        </is>
      </c>
      <c r="D2382" s="4" t="inlineStr">
        <is>
          <t>158023742-black</t>
        </is>
      </c>
      <c r="E2382" s="4" t="inlineStr">
        <is>
          <t>Define Cropped Jacket *Nulu™ BLK 0</t>
        </is>
      </c>
      <c r="F2382" s="4" t="inlineStr">
        <is>
          <t>$128.00</t>
        </is>
      </c>
      <c r="G2382" s="4" t="inlineStr">
        <is>
          <t>$64.00</t>
        </is>
      </c>
      <c r="H2382" s="4" t="inlineStr">
        <is>
          <t>Black</t>
        </is>
      </c>
      <c r="I2382" s="4">
        <f>IMAGE("https://images.lululemon.com/is/image/lululemon/0001",1)</f>
        <v/>
      </c>
      <c r="J2382" s="4" t="inlineStr">
        <is>
          <t>2</t>
        </is>
      </c>
      <c r="K2382" s="4" t="inlineStr">
        <is>
          <t>62/3830</t>
        </is>
      </c>
      <c r="L2382" s="4" t="inlineStr">
        <is>
          <t>Yes</t>
        </is>
      </c>
      <c r="M2382" s="4" t="inlineStr">
        <is>
          <t>Up for adventure and ready for downtime. This shortened version of our fan-favourite Define Jacket has a feel-good fit that can do it all.</t>
        </is>
      </c>
      <c r="N2382" s="4" t="inlineStr">
        <is>
          <t>Nulu-Cropped-Define-Jacket</t>
        </is>
      </c>
      <c r="O2382" s="4" t="inlineStr">
        <is>
          <t>Athletic Jackets, Zip Up Sweatshirts</t>
        </is>
      </c>
    </row>
    <row r="2383" ht="80" customHeight="1">
      <c r="A2383" s="7">
        <f>IMAGE("https://images.lululemon.com/is/image/lululemon/LW3HB5S_031382_1?wid=320&amp;op_usm=0.8",1)</f>
        <v/>
      </c>
      <c r="B2383" s="7" t="inlineStr">
        <is>
          <t>Define Cropped Jacket *Nulu</t>
        </is>
      </c>
      <c r="C2383" s="7" t="inlineStr">
        <is>
          <t>158023748</t>
        </is>
      </c>
      <c r="D2383" s="7" t="inlineStr">
        <is>
          <t>158023748-black</t>
        </is>
      </c>
      <c r="E2383" s="7" t="inlineStr">
        <is>
          <t>Define Cropped Jacket *Nulu™ BLK 0</t>
        </is>
      </c>
      <c r="F2383" s="7" t="inlineStr">
        <is>
          <t>$128.00</t>
        </is>
      </c>
      <c r="G2383" s="7" t="inlineStr">
        <is>
          <t>$64.00</t>
        </is>
      </c>
      <c r="H2383" s="7" t="inlineStr">
        <is>
          <t>Black</t>
        </is>
      </c>
      <c r="I2383" s="7">
        <f>IMAGE("https://images.lululemon.com/is/image/lululemon/0001",1)</f>
        <v/>
      </c>
      <c r="J2383" s="7" t="inlineStr">
        <is>
          <t>4</t>
        </is>
      </c>
      <c r="K2383" s="7" t="inlineStr">
        <is>
          <t>155/3830</t>
        </is>
      </c>
      <c r="L2383" s="7" t="inlineStr">
        <is>
          <t>Yes</t>
        </is>
      </c>
      <c r="M2383" s="7" t="inlineStr">
        <is>
          <t>Up for adventure and ready for downtime. This shortened version of our fan-favourite Define Jacket has a feel-good fit that can do it all.</t>
        </is>
      </c>
      <c r="N2383" s="7" t="inlineStr">
        <is>
          <t>Nulu-Cropped-Define-Jacket</t>
        </is>
      </c>
      <c r="O2383" s="7" t="inlineStr">
        <is>
          <t>Athletic Jackets, Zip Up Sweatshirts</t>
        </is>
      </c>
    </row>
    <row r="2384" ht="80" customHeight="1">
      <c r="A2384" s="4">
        <f>IMAGE("https://images.lululemon.com/is/image/lululemon/LW3HB5S_031382_1?wid=320&amp;op_usm=0.8",1)</f>
        <v/>
      </c>
      <c r="B2384" s="4" t="inlineStr">
        <is>
          <t>Define Cropped Jacket *Nulu</t>
        </is>
      </c>
      <c r="C2384" s="4" t="inlineStr">
        <is>
          <t>158023756</t>
        </is>
      </c>
      <c r="D2384" s="4" t="inlineStr">
        <is>
          <t>158023756-black</t>
        </is>
      </c>
      <c r="E2384" s="4" t="inlineStr">
        <is>
          <t>Define Cropped Jacket *Nulu™ BLK 0</t>
        </is>
      </c>
      <c r="F2384" s="4" t="inlineStr">
        <is>
          <t>$128.00</t>
        </is>
      </c>
      <c r="G2384" s="4" t="inlineStr">
        <is>
          <t>$64.00</t>
        </is>
      </c>
      <c r="H2384" s="4" t="inlineStr">
        <is>
          <t>Black</t>
        </is>
      </c>
      <c r="I2384" s="4">
        <f>IMAGE("https://images.lululemon.com/is/image/lululemon/0001",1)</f>
        <v/>
      </c>
      <c r="J2384" s="4" t="inlineStr">
        <is>
          <t>6</t>
        </is>
      </c>
      <c r="K2384" s="4" t="inlineStr">
        <is>
          <t>177/3830</t>
        </is>
      </c>
      <c r="L2384" s="4" t="inlineStr">
        <is>
          <t>Yes</t>
        </is>
      </c>
      <c r="M2384" s="4" t="inlineStr">
        <is>
          <t>Up for adventure and ready for downtime. This shortened version of our fan-favourite Define Jacket has a feel-good fit that can do it all.</t>
        </is>
      </c>
      <c r="N2384" s="4" t="inlineStr">
        <is>
          <t>Nulu-Cropped-Define-Jacket</t>
        </is>
      </c>
      <c r="O2384" s="4" t="inlineStr">
        <is>
          <t>Athletic Jackets, Zip Up Sweatshirts</t>
        </is>
      </c>
    </row>
    <row r="2385" ht="80" customHeight="1">
      <c r="A2385" s="7">
        <f>IMAGE("https://images.lululemon.com/is/image/lululemon/LW3HB5S_031382_1?wid=320&amp;op_usm=0.8",1)</f>
        <v/>
      </c>
      <c r="B2385" s="7" t="inlineStr">
        <is>
          <t>Define Cropped Jacket *Nulu</t>
        </is>
      </c>
      <c r="C2385" s="7" t="inlineStr">
        <is>
          <t>158023762</t>
        </is>
      </c>
      <c r="D2385" s="7" t="inlineStr">
        <is>
          <t>158023762-black</t>
        </is>
      </c>
      <c r="E2385" s="7" t="inlineStr">
        <is>
          <t>Define Cropped Jacket *Nulu™ BLK 0</t>
        </is>
      </c>
      <c r="F2385" s="7" t="inlineStr">
        <is>
          <t>$128.00</t>
        </is>
      </c>
      <c r="G2385" s="7" t="inlineStr">
        <is>
          <t>$64.00</t>
        </is>
      </c>
      <c r="H2385" s="7" t="inlineStr">
        <is>
          <t>Black</t>
        </is>
      </c>
      <c r="I2385" s="7">
        <f>IMAGE("https://images.lululemon.com/is/image/lululemon/0001",1)</f>
        <v/>
      </c>
      <c r="J2385" s="7" t="inlineStr">
        <is>
          <t>8</t>
        </is>
      </c>
      <c r="K2385" s="7" t="inlineStr">
        <is>
          <t>167/3830</t>
        </is>
      </c>
      <c r="L2385" s="7" t="inlineStr">
        <is>
          <t>Yes</t>
        </is>
      </c>
      <c r="M2385" s="7" t="inlineStr">
        <is>
          <t>Up for adventure and ready for downtime. This shortened version of our fan-favourite Define Jacket has a feel-good fit that can do it all.</t>
        </is>
      </c>
      <c r="N2385" s="7" t="inlineStr">
        <is>
          <t>Nulu-Cropped-Define-Jacket</t>
        </is>
      </c>
      <c r="O2385" s="7" t="inlineStr">
        <is>
          <t>Athletic Jackets, Zip Up Sweatshirts</t>
        </is>
      </c>
    </row>
    <row r="2386" ht="80" customHeight="1">
      <c r="A2386" s="4">
        <f>IMAGE("https://images.lululemon.com/is/image/lululemon/LW3HB5S_031382_1?wid=320&amp;op_usm=0.8",1)</f>
        <v/>
      </c>
      <c r="B2386" s="4" t="inlineStr">
        <is>
          <t>Define Cropped Jacket *Nulu</t>
        </is>
      </c>
      <c r="C2386" s="4" t="inlineStr">
        <is>
          <t>158023717</t>
        </is>
      </c>
      <c r="D2386" s="4" t="inlineStr">
        <is>
          <t>158023717-black</t>
        </is>
      </c>
      <c r="E2386" s="4" t="inlineStr">
        <is>
          <t>Define Cropped Jacket *Nulu™ BLK 0</t>
        </is>
      </c>
      <c r="F2386" s="4" t="inlineStr">
        <is>
          <t>$128.00</t>
        </is>
      </c>
      <c r="G2386" s="4" t="inlineStr">
        <is>
          <t>$64.00</t>
        </is>
      </c>
      <c r="H2386" s="4" t="inlineStr">
        <is>
          <t>Black</t>
        </is>
      </c>
      <c r="I2386" s="4">
        <f>IMAGE("https://images.lululemon.com/is/image/lululemon/0001",1)</f>
        <v/>
      </c>
      <c r="J2386" s="4" t="inlineStr">
        <is>
          <t>10</t>
        </is>
      </c>
      <c r="K2386" s="4" t="inlineStr">
        <is>
          <t>124/3830</t>
        </is>
      </c>
      <c r="L2386" s="4" t="inlineStr">
        <is>
          <t>Yes</t>
        </is>
      </c>
      <c r="M2386" s="4" t="inlineStr">
        <is>
          <t>Up for adventure and ready for downtime. This shortened version of our fan-favourite Define Jacket has a feel-good fit that can do it all.</t>
        </is>
      </c>
      <c r="N2386" s="4" t="inlineStr">
        <is>
          <t>Nulu-Cropped-Define-Jacket</t>
        </is>
      </c>
      <c r="O2386" s="4" t="inlineStr">
        <is>
          <t>Athletic Jackets, Zip Up Sweatshirts</t>
        </is>
      </c>
    </row>
    <row r="2387" ht="80" customHeight="1">
      <c r="A2387" s="7">
        <f>IMAGE("https://images.lululemon.com/is/image/lululemon/LW3HB5S_031382_1?wid=320&amp;op_usm=0.8",1)</f>
        <v/>
      </c>
      <c r="B2387" s="7" t="inlineStr">
        <is>
          <t>Define Cropped Jacket *Nulu</t>
        </is>
      </c>
      <c r="C2387" s="7" t="inlineStr">
        <is>
          <t>158023728</t>
        </is>
      </c>
      <c r="D2387" s="7" t="inlineStr">
        <is>
          <t>158023728-black</t>
        </is>
      </c>
      <c r="E2387" s="7" t="inlineStr">
        <is>
          <t>Define Cropped Jacket *Nulu™ BLK 0</t>
        </is>
      </c>
      <c r="F2387" s="7" t="inlineStr">
        <is>
          <t>$128.00</t>
        </is>
      </c>
      <c r="G2387" s="7" t="inlineStr">
        <is>
          <t>$64.00</t>
        </is>
      </c>
      <c r="H2387" s="7" t="inlineStr">
        <is>
          <t>Black</t>
        </is>
      </c>
      <c r="I2387" s="7">
        <f>IMAGE("https://images.lululemon.com/is/image/lululemon/0001",1)</f>
        <v/>
      </c>
      <c r="J2387" s="7" t="inlineStr">
        <is>
          <t>12</t>
        </is>
      </c>
      <c r="K2387" s="7" t="inlineStr">
        <is>
          <t>80/3830</t>
        </is>
      </c>
      <c r="L2387" s="7" t="inlineStr">
        <is>
          <t>Yes</t>
        </is>
      </c>
      <c r="M2387" s="7" t="inlineStr">
        <is>
          <t>Up for adventure and ready for downtime. This shortened version of our fan-favourite Define Jacket has a feel-good fit that can do it all.</t>
        </is>
      </c>
      <c r="N2387" s="7" t="inlineStr">
        <is>
          <t>Nulu-Cropped-Define-Jacket</t>
        </is>
      </c>
      <c r="O2387" s="7" t="inlineStr">
        <is>
          <t>Athletic Jackets, Zip Up Sweatshirts</t>
        </is>
      </c>
    </row>
    <row r="2388" ht="80" customHeight="1">
      <c r="A2388" s="4">
        <f>IMAGE("https://images.lululemon.com/is/image/lululemon/LW3HB5S_031382_1?wid=320&amp;op_usm=0.8",1)</f>
        <v/>
      </c>
      <c r="B2388" s="4" t="inlineStr">
        <is>
          <t>Define Cropped Jacket *Nulu</t>
        </is>
      </c>
      <c r="C2388" s="4" t="inlineStr">
        <is>
          <t>158023734</t>
        </is>
      </c>
      <c r="D2388" s="4" t="inlineStr">
        <is>
          <t>158023734-black</t>
        </is>
      </c>
      <c r="E2388" s="4" t="inlineStr">
        <is>
          <t>Define Cropped Jacket *Nulu™ BLK 0</t>
        </is>
      </c>
      <c r="F2388" s="4" t="inlineStr">
        <is>
          <t>$128.00</t>
        </is>
      </c>
      <c r="G2388" s="4" t="inlineStr">
        <is>
          <t>$64.00</t>
        </is>
      </c>
      <c r="H2388" s="4" t="inlineStr">
        <is>
          <t>Black</t>
        </is>
      </c>
      <c r="I2388" s="4">
        <f>IMAGE("https://images.lululemon.com/is/image/lululemon/0001",1)</f>
        <v/>
      </c>
      <c r="J2388" s="4" t="inlineStr">
        <is>
          <t>14</t>
        </is>
      </c>
      <c r="K2388" s="4" t="inlineStr">
        <is>
          <t>24/3830</t>
        </is>
      </c>
      <c r="L2388" s="4" t="inlineStr">
        <is>
          <t>Yes</t>
        </is>
      </c>
      <c r="M2388" s="4" t="inlineStr">
        <is>
          <t>Up for adventure and ready for downtime. This shortened version of our fan-favourite Define Jacket has a feel-good fit that can do it all.</t>
        </is>
      </c>
      <c r="N2388" s="4" t="inlineStr">
        <is>
          <t>Nulu-Cropped-Define-Jacket</t>
        </is>
      </c>
      <c r="O2388" s="4" t="inlineStr">
        <is>
          <t>Athletic Jackets, Zip Up Sweatshirts</t>
        </is>
      </c>
    </row>
    <row r="2389" ht="80" customHeight="1">
      <c r="A2389" s="7">
        <f>IMAGE("https://images.lululemon.com/is/image/lululemon/LW3HB5S_031382_1?wid=320&amp;op_usm=0.8",1)</f>
        <v/>
      </c>
      <c r="B2389" s="7" t="inlineStr">
        <is>
          <t>Define Cropped Jacket *Nulu</t>
        </is>
      </c>
      <c r="C2389" s="7" t="inlineStr">
        <is>
          <t>158095988</t>
        </is>
      </c>
      <c r="D2389" s="7" t="inlineStr">
        <is>
          <t>158095988-grapemist/mirrorsilver/mirrorsilver</t>
        </is>
      </c>
      <c r="E2389" s="7" t="inlineStr">
        <is>
          <t>Define Cropped Jacket *Nulu™ BLK 0</t>
        </is>
      </c>
      <c r="F2389" s="7" t="inlineStr">
        <is>
          <t>$128.00</t>
        </is>
      </c>
      <c r="G2389" s="7" t="inlineStr">
        <is>
          <t>$64.00</t>
        </is>
      </c>
      <c r="H2389" s="7" t="inlineStr">
        <is>
          <t>Grape Mist/Mirror Silver/Mirror Silver</t>
        </is>
      </c>
      <c r="I2389" s="7">
        <f>IMAGE("https://images.lululemon.com/is/image/lululemon/74899",1)</f>
        <v/>
      </c>
      <c r="J2389" s="7" t="inlineStr">
        <is>
          <t>0</t>
        </is>
      </c>
      <c r="K2389" s="7" t="inlineStr">
        <is>
          <t>36/3830</t>
        </is>
      </c>
      <c r="L2389" s="7" t="inlineStr">
        <is>
          <t>Yes</t>
        </is>
      </c>
      <c r="M2389" s="7" t="inlineStr">
        <is>
          <t>Up for adventure and ready for downtime. This shortened version of our fan-favourite Define Jacket has a feel-good fit that can do it all.</t>
        </is>
      </c>
      <c r="N2389" s="7" t="inlineStr">
        <is>
          <t>Nulu-Cropped-Define-Jacket</t>
        </is>
      </c>
      <c r="O2389" s="7" t="inlineStr">
        <is>
          <t>Athletic Jackets, Zip Up Sweatshirts</t>
        </is>
      </c>
    </row>
    <row r="2390" ht="80" customHeight="1">
      <c r="A2390" s="4">
        <f>IMAGE("https://images.lululemon.com/is/image/lululemon/LW3HB5S_031382_1?wid=320&amp;op_usm=0.8",1)</f>
        <v/>
      </c>
      <c r="B2390" s="4" t="inlineStr">
        <is>
          <t>Define Cropped Jacket *Nulu</t>
        </is>
      </c>
      <c r="C2390" s="4" t="inlineStr">
        <is>
          <t>158096007</t>
        </is>
      </c>
      <c r="D2390" s="4" t="inlineStr">
        <is>
          <t>158096007-grapemist/mirrorsilver/mirrorsilver</t>
        </is>
      </c>
      <c r="E2390" s="4" t="inlineStr">
        <is>
          <t>Define Cropped Jacket *Nulu™ BLK 0</t>
        </is>
      </c>
      <c r="F2390" s="4" t="inlineStr">
        <is>
          <t>$128.00</t>
        </is>
      </c>
      <c r="G2390" s="4" t="inlineStr">
        <is>
          <t>$64.00</t>
        </is>
      </c>
      <c r="H2390" s="4" t="inlineStr">
        <is>
          <t>Grape Mist/Mirror Silver/Mirror Silver</t>
        </is>
      </c>
      <c r="I2390" s="4">
        <f>IMAGE("https://images.lululemon.com/is/image/lululemon/74899",1)</f>
        <v/>
      </c>
      <c r="J2390" s="4" t="inlineStr">
        <is>
          <t>2</t>
        </is>
      </c>
      <c r="K2390" s="4" t="inlineStr">
        <is>
          <t>130/3830</t>
        </is>
      </c>
      <c r="L2390" s="4" t="inlineStr">
        <is>
          <t>Yes</t>
        </is>
      </c>
      <c r="M2390" s="4" t="inlineStr">
        <is>
          <t>Up for adventure and ready for downtime. This shortened version of our fan-favourite Define Jacket has a feel-good fit that can do it all.</t>
        </is>
      </c>
      <c r="N2390" s="4" t="inlineStr">
        <is>
          <t>Nulu-Cropped-Define-Jacket</t>
        </is>
      </c>
      <c r="O2390" s="4" t="inlineStr">
        <is>
          <t>Athletic Jackets, Zip Up Sweatshirts</t>
        </is>
      </c>
    </row>
    <row r="2391" ht="80" customHeight="1">
      <c r="A2391" s="7">
        <f>IMAGE("https://images.lululemon.com/is/image/lululemon/LW3HB5S_031382_1?wid=320&amp;op_usm=0.8",1)</f>
        <v/>
      </c>
      <c r="B2391" s="7" t="inlineStr">
        <is>
          <t>Define Cropped Jacket *Nulu</t>
        </is>
      </c>
      <c r="C2391" s="7" t="inlineStr">
        <is>
          <t>158096012</t>
        </is>
      </c>
      <c r="D2391" s="7" t="inlineStr">
        <is>
          <t>158096012-grapemist/mirrorsilver/mirrorsilver</t>
        </is>
      </c>
      <c r="E2391" s="7" t="inlineStr">
        <is>
          <t>Define Cropped Jacket *Nulu™ BLK 0</t>
        </is>
      </c>
      <c r="F2391" s="7" t="inlineStr">
        <is>
          <t>$128.00</t>
        </is>
      </c>
      <c r="G2391" s="7" t="inlineStr">
        <is>
          <t>$64.00</t>
        </is>
      </c>
      <c r="H2391" s="7" t="inlineStr">
        <is>
          <t>Grape Mist/Mirror Silver/Mirror Silver</t>
        </is>
      </c>
      <c r="I2391" s="7">
        <f>IMAGE("https://images.lululemon.com/is/image/lululemon/74899",1)</f>
        <v/>
      </c>
      <c r="J2391" s="7" t="inlineStr">
        <is>
          <t>4</t>
        </is>
      </c>
      <c r="K2391" s="7" t="inlineStr">
        <is>
          <t>166/3830</t>
        </is>
      </c>
      <c r="L2391" s="7" t="inlineStr">
        <is>
          <t>Yes</t>
        </is>
      </c>
      <c r="M2391" s="7" t="inlineStr">
        <is>
          <t>Up for adventure and ready for downtime. This shortened version of our fan-favourite Define Jacket has a feel-good fit that can do it all.</t>
        </is>
      </c>
      <c r="N2391" s="7" t="inlineStr">
        <is>
          <t>Nulu-Cropped-Define-Jacket</t>
        </is>
      </c>
      <c r="O2391" s="7" t="inlineStr">
        <is>
          <t>Athletic Jackets, Zip Up Sweatshirts</t>
        </is>
      </c>
    </row>
    <row r="2392" ht="80" customHeight="1">
      <c r="A2392" s="4">
        <f>IMAGE("https://images.lululemon.com/is/image/lululemon/LW3HB5S_031382_1?wid=320&amp;op_usm=0.8",1)</f>
        <v/>
      </c>
      <c r="B2392" s="4" t="inlineStr">
        <is>
          <t>Define Cropped Jacket *Nulu</t>
        </is>
      </c>
      <c r="C2392" s="4" t="inlineStr">
        <is>
          <t>158096017</t>
        </is>
      </c>
      <c r="D2392" s="4" t="inlineStr">
        <is>
          <t>158096017-grapemist/mirrorsilver/mirrorsilver</t>
        </is>
      </c>
      <c r="E2392" s="4" t="inlineStr">
        <is>
          <t>Define Cropped Jacket *Nulu™ BLK 0</t>
        </is>
      </c>
      <c r="F2392" s="4" t="inlineStr">
        <is>
          <t>$128.00</t>
        </is>
      </c>
      <c r="G2392" s="4" t="inlineStr">
        <is>
          <t>$64.00</t>
        </is>
      </c>
      <c r="H2392" s="4" t="inlineStr">
        <is>
          <t>Grape Mist/Mirror Silver/Mirror Silver</t>
        </is>
      </c>
      <c r="I2392" s="4">
        <f>IMAGE("https://images.lululemon.com/is/image/lululemon/74899",1)</f>
        <v/>
      </c>
      <c r="J2392" s="4" t="inlineStr">
        <is>
          <t>6</t>
        </is>
      </c>
      <c r="K2392" s="4" t="inlineStr">
        <is>
          <t>214/3830</t>
        </is>
      </c>
      <c r="L2392" s="4" t="inlineStr">
        <is>
          <t>Yes</t>
        </is>
      </c>
      <c r="M2392" s="4" t="inlineStr">
        <is>
          <t>Up for adventure and ready for downtime. This shortened version of our fan-favourite Define Jacket has a feel-good fit that can do it all.</t>
        </is>
      </c>
      <c r="N2392" s="4" t="inlineStr">
        <is>
          <t>Nulu-Cropped-Define-Jacket</t>
        </is>
      </c>
      <c r="O2392" s="4" t="inlineStr">
        <is>
          <t>Athletic Jackets, Zip Up Sweatshirts</t>
        </is>
      </c>
    </row>
    <row r="2393" ht="80" customHeight="1">
      <c r="A2393" s="7">
        <f>IMAGE("https://images.lululemon.com/is/image/lululemon/LW3HB5S_031382_1?wid=320&amp;op_usm=0.8",1)</f>
        <v/>
      </c>
      <c r="B2393" s="7" t="inlineStr">
        <is>
          <t>Define Cropped Jacket *Nulu</t>
        </is>
      </c>
      <c r="C2393" s="7" t="inlineStr">
        <is>
          <t>158096021</t>
        </is>
      </c>
      <c r="D2393" s="7" t="inlineStr">
        <is>
          <t>158096021-grapemist/mirrorsilver/mirrorsilver</t>
        </is>
      </c>
      <c r="E2393" s="7" t="inlineStr">
        <is>
          <t>Define Cropped Jacket *Nulu™ BLK 0</t>
        </is>
      </c>
      <c r="F2393" s="7" t="inlineStr">
        <is>
          <t>$128.00</t>
        </is>
      </c>
      <c r="G2393" s="7" t="inlineStr">
        <is>
          <t>$64.00</t>
        </is>
      </c>
      <c r="H2393" s="7" t="inlineStr">
        <is>
          <t>Grape Mist/Mirror Silver/Mirror Silver</t>
        </is>
      </c>
      <c r="I2393" s="7">
        <f>IMAGE("https://images.lululemon.com/is/image/lululemon/74899",1)</f>
        <v/>
      </c>
      <c r="J2393" s="7" t="inlineStr">
        <is>
          <t>8</t>
        </is>
      </c>
      <c r="K2393" s="7" t="inlineStr">
        <is>
          <t>227/3830</t>
        </is>
      </c>
      <c r="L2393" s="7" t="inlineStr">
        <is>
          <t>Yes</t>
        </is>
      </c>
      <c r="M2393" s="7" t="inlineStr">
        <is>
          <t>Up for adventure and ready for downtime. This shortened version of our fan-favourite Define Jacket has a feel-good fit that can do it all.</t>
        </is>
      </c>
      <c r="N2393" s="7" t="inlineStr">
        <is>
          <t>Nulu-Cropped-Define-Jacket</t>
        </is>
      </c>
      <c r="O2393" s="7" t="inlineStr">
        <is>
          <t>Athletic Jackets, Zip Up Sweatshirts</t>
        </is>
      </c>
    </row>
    <row r="2394" ht="80" customHeight="1">
      <c r="A2394" s="4">
        <f>IMAGE("https://images.lululemon.com/is/image/lululemon/LW3HB5S_031382_1?wid=320&amp;op_usm=0.8",1)</f>
        <v/>
      </c>
      <c r="B2394" s="4" t="inlineStr">
        <is>
          <t>Define Cropped Jacket *Nulu</t>
        </is>
      </c>
      <c r="C2394" s="4" t="inlineStr">
        <is>
          <t>158095993</t>
        </is>
      </c>
      <c r="D2394" s="4" t="inlineStr">
        <is>
          <t>158095993-grapemist/mirrorsilver/mirrorsilver</t>
        </is>
      </c>
      <c r="E2394" s="4" t="inlineStr">
        <is>
          <t>Define Cropped Jacket *Nulu™ BLK 0</t>
        </is>
      </c>
      <c r="F2394" s="4" t="inlineStr">
        <is>
          <t>$128.00</t>
        </is>
      </c>
      <c r="G2394" s="4" t="inlineStr">
        <is>
          <t>$64.00</t>
        </is>
      </c>
      <c r="H2394" s="4" t="inlineStr">
        <is>
          <t>Grape Mist/Mirror Silver/Mirror Silver</t>
        </is>
      </c>
      <c r="I2394" s="4">
        <f>IMAGE("https://images.lululemon.com/is/image/lululemon/74899",1)</f>
        <v/>
      </c>
      <c r="J2394" s="4" t="inlineStr">
        <is>
          <t>10</t>
        </is>
      </c>
      <c r="K2394" s="4" t="inlineStr">
        <is>
          <t>130/3830</t>
        </is>
      </c>
      <c r="L2394" s="4" t="inlineStr">
        <is>
          <t>Yes</t>
        </is>
      </c>
      <c r="M2394" s="4" t="inlineStr">
        <is>
          <t>Up for adventure and ready for downtime. This shortened version of our fan-favourite Define Jacket has a feel-good fit that can do it all.</t>
        </is>
      </c>
      <c r="N2394" s="4" t="inlineStr">
        <is>
          <t>Nulu-Cropped-Define-Jacket</t>
        </is>
      </c>
      <c r="O2394" s="4" t="inlineStr">
        <is>
          <t>Athletic Jackets, Zip Up Sweatshirts</t>
        </is>
      </c>
    </row>
    <row r="2395" ht="80" customHeight="1">
      <c r="A2395" s="7">
        <f>IMAGE("https://images.lululemon.com/is/image/lululemon/LW3HB5S_031382_1?wid=320&amp;op_usm=0.8",1)</f>
        <v/>
      </c>
      <c r="B2395" s="7" t="inlineStr">
        <is>
          <t>Define Cropped Jacket *Nulu</t>
        </is>
      </c>
      <c r="C2395" s="7" t="inlineStr">
        <is>
          <t>158096000</t>
        </is>
      </c>
      <c r="D2395" s="7" t="inlineStr">
        <is>
          <t>158096000-grapemist/mirrorsilver/mirrorsilver</t>
        </is>
      </c>
      <c r="E2395" s="7" t="inlineStr">
        <is>
          <t>Define Cropped Jacket *Nulu™ BLK 0</t>
        </is>
      </c>
      <c r="F2395" s="7" t="inlineStr">
        <is>
          <t>$128.00</t>
        </is>
      </c>
      <c r="G2395" s="7" t="inlineStr">
        <is>
          <t>$64.00</t>
        </is>
      </c>
      <c r="H2395" s="7" t="inlineStr">
        <is>
          <t>Grape Mist/Mirror Silver/Mirror Silver</t>
        </is>
      </c>
      <c r="I2395" s="7">
        <f>IMAGE("https://images.lululemon.com/is/image/lululemon/74899",1)</f>
        <v/>
      </c>
      <c r="J2395" s="7" t="inlineStr">
        <is>
          <t>12</t>
        </is>
      </c>
      <c r="K2395" s="7" t="inlineStr">
        <is>
          <t>51/3830</t>
        </is>
      </c>
      <c r="L2395" s="7" t="inlineStr">
        <is>
          <t>Yes</t>
        </is>
      </c>
      <c r="M2395" s="7" t="inlineStr">
        <is>
          <t>Up for adventure and ready for downtime. This shortened version of our fan-favourite Define Jacket has a feel-good fit that can do it all.</t>
        </is>
      </c>
      <c r="N2395" s="7" t="inlineStr">
        <is>
          <t>Nulu-Cropped-Define-Jacket</t>
        </is>
      </c>
      <c r="O2395" s="7" t="inlineStr">
        <is>
          <t>Athletic Jackets, Zip Up Sweatshirts</t>
        </is>
      </c>
    </row>
    <row r="2396" ht="80" customHeight="1">
      <c r="A2396" s="4">
        <f>IMAGE("https://images.lululemon.com/is/image/lululemon/LW3HB5S_031382_1?wid=320&amp;op_usm=0.8",1)</f>
        <v/>
      </c>
      <c r="B2396" s="4" t="inlineStr">
        <is>
          <t>Define Cropped Jacket *Nulu</t>
        </is>
      </c>
      <c r="C2396" s="4" t="inlineStr">
        <is>
          <t>153835693</t>
        </is>
      </c>
      <c r="D2396" s="4" t="inlineStr">
        <is>
          <t>153835693-white</t>
        </is>
      </c>
      <c r="E2396" s="4" t="inlineStr">
        <is>
          <t>Define Cropped Jacket *Nulu™ BLK 0</t>
        </is>
      </c>
      <c r="F2396" s="4" t="inlineStr">
        <is>
          <t>$128.00</t>
        </is>
      </c>
      <c r="G2396" s="4" t="inlineStr">
        <is>
          <t>$64.00</t>
        </is>
      </c>
      <c r="H2396" s="4" t="inlineStr">
        <is>
          <t>White</t>
        </is>
      </c>
      <c r="I2396" s="4">
        <f>IMAGE("https://images.lululemon.com/is/image/lululemon/0002",1)</f>
        <v/>
      </c>
      <c r="J2396" s="4" t="inlineStr">
        <is>
          <t>2</t>
        </is>
      </c>
      <c r="K2396" s="4" t="inlineStr">
        <is>
          <t>86/3830</t>
        </is>
      </c>
      <c r="L2396" s="4" t="inlineStr">
        <is>
          <t>Yes</t>
        </is>
      </c>
      <c r="M2396" s="4" t="inlineStr">
        <is>
          <t>Up for adventure and ready for downtime. This shortened version of our fan-favourite Define Jacket has a feel-good fit that can do it all.</t>
        </is>
      </c>
      <c r="N2396" s="4" t="inlineStr">
        <is>
          <t>Nulu-Cropped-Define-Jacket</t>
        </is>
      </c>
      <c r="O2396" s="4" t="inlineStr">
        <is>
          <t>Athletic Jackets, Zip Up Sweatshirts</t>
        </is>
      </c>
    </row>
    <row r="2397" ht="80" customHeight="1">
      <c r="A2397" s="7">
        <f>IMAGE("https://images.lululemon.com/is/image/lululemon/LW3HB5S_031382_1?wid=320&amp;op_usm=0.8",1)</f>
        <v/>
      </c>
      <c r="B2397" s="7" t="inlineStr">
        <is>
          <t>Define Cropped Jacket *Nulu</t>
        </is>
      </c>
      <c r="C2397" s="7" t="inlineStr">
        <is>
          <t>153835730</t>
        </is>
      </c>
      <c r="D2397" s="7" t="inlineStr">
        <is>
          <t>153835730-white</t>
        </is>
      </c>
      <c r="E2397" s="7" t="inlineStr">
        <is>
          <t>Define Cropped Jacket *Nulu™ BLK 0</t>
        </is>
      </c>
      <c r="F2397" s="7" t="inlineStr">
        <is>
          <t>$128.00</t>
        </is>
      </c>
      <c r="G2397" s="7" t="inlineStr">
        <is>
          <t>$64.00</t>
        </is>
      </c>
      <c r="H2397" s="7" t="inlineStr">
        <is>
          <t>White</t>
        </is>
      </c>
      <c r="I2397" s="7">
        <f>IMAGE("https://images.lululemon.com/is/image/lululemon/0002",1)</f>
        <v/>
      </c>
      <c r="J2397" s="7" t="inlineStr">
        <is>
          <t>4</t>
        </is>
      </c>
      <c r="K2397" s="7" t="inlineStr">
        <is>
          <t>219/3830</t>
        </is>
      </c>
      <c r="L2397" s="7" t="inlineStr">
        <is>
          <t>Yes</t>
        </is>
      </c>
      <c r="M2397" s="7" t="inlineStr">
        <is>
          <t>Up for adventure and ready for downtime. This shortened version of our fan-favourite Define Jacket has a feel-good fit that can do it all.</t>
        </is>
      </c>
      <c r="N2397" s="7" t="inlineStr">
        <is>
          <t>Nulu-Cropped-Define-Jacket</t>
        </is>
      </c>
      <c r="O2397" s="7" t="inlineStr">
        <is>
          <t>Athletic Jackets, Zip Up Sweatshirts</t>
        </is>
      </c>
    </row>
    <row r="2398" ht="80" customHeight="1">
      <c r="A2398" s="4">
        <f>IMAGE("https://images.lululemon.com/is/image/lululemon/LW3HB5S_031382_1?wid=320&amp;op_usm=0.8",1)</f>
        <v/>
      </c>
      <c r="B2398" s="4" t="inlineStr">
        <is>
          <t>Define Cropped Jacket *Nulu</t>
        </is>
      </c>
      <c r="C2398" s="4" t="inlineStr">
        <is>
          <t>153835738</t>
        </is>
      </c>
      <c r="D2398" s="4" t="inlineStr">
        <is>
          <t>153835738-white</t>
        </is>
      </c>
      <c r="E2398" s="4" t="inlineStr">
        <is>
          <t>Define Cropped Jacket *Nulu™ BLK 0</t>
        </is>
      </c>
      <c r="F2398" s="4" t="inlineStr">
        <is>
          <t>$128.00</t>
        </is>
      </c>
      <c r="G2398" s="4" t="inlineStr">
        <is>
          <t>$64.00</t>
        </is>
      </c>
      <c r="H2398" s="4" t="inlineStr">
        <is>
          <t>White</t>
        </is>
      </c>
      <c r="I2398" s="4">
        <f>IMAGE("https://images.lululemon.com/is/image/lululemon/0002",1)</f>
        <v/>
      </c>
      <c r="J2398" s="4" t="inlineStr">
        <is>
          <t>6</t>
        </is>
      </c>
      <c r="K2398" s="4" t="inlineStr">
        <is>
          <t>306/3830</t>
        </is>
      </c>
      <c r="L2398" s="4" t="inlineStr">
        <is>
          <t>Yes</t>
        </is>
      </c>
      <c r="M2398" s="4" t="inlineStr">
        <is>
          <t>Up for adventure and ready for downtime. This shortened version of our fan-favourite Define Jacket has a feel-good fit that can do it all.</t>
        </is>
      </c>
      <c r="N2398" s="4" t="inlineStr">
        <is>
          <t>Nulu-Cropped-Define-Jacket</t>
        </is>
      </c>
      <c r="O2398" s="4" t="inlineStr">
        <is>
          <t>Athletic Jackets, Zip Up Sweatshirts</t>
        </is>
      </c>
    </row>
    <row r="2399" ht="80" customHeight="1">
      <c r="A2399" s="7">
        <f>IMAGE("https://images.lululemon.com/is/image/lululemon/LW3HB5S_031382_1?wid=320&amp;op_usm=0.8",1)</f>
        <v/>
      </c>
      <c r="B2399" s="7" t="inlineStr">
        <is>
          <t>Define Cropped Jacket *Nulu</t>
        </is>
      </c>
      <c r="C2399" s="7" t="inlineStr">
        <is>
          <t>153835746</t>
        </is>
      </c>
      <c r="D2399" s="7" t="inlineStr">
        <is>
          <t>153835746-white</t>
        </is>
      </c>
      <c r="E2399" s="7" t="inlineStr">
        <is>
          <t>Define Cropped Jacket *Nulu™ BLK 0</t>
        </is>
      </c>
      <c r="F2399" s="7" t="inlineStr">
        <is>
          <t>$128.00</t>
        </is>
      </c>
      <c r="G2399" s="7" t="inlineStr">
        <is>
          <t>$64.00</t>
        </is>
      </c>
      <c r="H2399" s="7" t="inlineStr">
        <is>
          <t>White</t>
        </is>
      </c>
      <c r="I2399" s="7">
        <f>IMAGE("https://images.lululemon.com/is/image/lululemon/0002",1)</f>
        <v/>
      </c>
      <c r="J2399" s="7" t="inlineStr">
        <is>
          <t>8</t>
        </is>
      </c>
      <c r="K2399" s="7" t="inlineStr">
        <is>
          <t>304/3830</t>
        </is>
      </c>
      <c r="L2399" s="7" t="inlineStr">
        <is>
          <t>Yes</t>
        </is>
      </c>
      <c r="M2399" s="7" t="inlineStr">
        <is>
          <t>Up for adventure and ready for downtime. This shortened version of our fan-favourite Define Jacket has a feel-good fit that can do it all.</t>
        </is>
      </c>
      <c r="N2399" s="7" t="inlineStr">
        <is>
          <t>Nulu-Cropped-Define-Jacket</t>
        </is>
      </c>
      <c r="O2399" s="7" t="inlineStr">
        <is>
          <t>Athletic Jackets, Zip Up Sweatshirts</t>
        </is>
      </c>
    </row>
    <row r="2400" ht="80" customHeight="1">
      <c r="A2400" s="4">
        <f>IMAGE("https://images.lululemon.com/is/image/lululemon/LW3HB5S_031382_1?wid=320&amp;op_usm=0.8",1)</f>
        <v/>
      </c>
      <c r="B2400" s="4" t="inlineStr">
        <is>
          <t>Define Cropped Jacket *Nulu</t>
        </is>
      </c>
      <c r="C2400" s="4" t="inlineStr">
        <is>
          <t>153835653</t>
        </is>
      </c>
      <c r="D2400" s="4" t="inlineStr">
        <is>
          <t>153835653-white</t>
        </is>
      </c>
      <c r="E2400" s="4" t="inlineStr">
        <is>
          <t>Define Cropped Jacket *Nulu™ BLK 0</t>
        </is>
      </c>
      <c r="F2400" s="4" t="inlineStr">
        <is>
          <t>$128.00</t>
        </is>
      </c>
      <c r="G2400" s="4" t="inlineStr">
        <is>
          <t>$64.00</t>
        </is>
      </c>
      <c r="H2400" s="4" t="inlineStr">
        <is>
          <t>White</t>
        </is>
      </c>
      <c r="I2400" s="4">
        <f>IMAGE("https://images.lululemon.com/is/image/lululemon/0002",1)</f>
        <v/>
      </c>
      <c r="J2400" s="4" t="inlineStr">
        <is>
          <t>10</t>
        </is>
      </c>
      <c r="K2400" s="4" t="inlineStr">
        <is>
          <t>218/3830</t>
        </is>
      </c>
      <c r="L2400" s="4" t="inlineStr">
        <is>
          <t>Yes</t>
        </is>
      </c>
      <c r="M2400" s="4" t="inlineStr">
        <is>
          <t>Up for adventure and ready for downtime. This shortened version of our fan-favourite Define Jacket has a feel-good fit that can do it all.</t>
        </is>
      </c>
      <c r="N2400" s="4" t="inlineStr">
        <is>
          <t>Nulu-Cropped-Define-Jacket</t>
        </is>
      </c>
      <c r="O2400" s="4" t="inlineStr">
        <is>
          <t>Athletic Jackets, Zip Up Sweatshirts</t>
        </is>
      </c>
    </row>
    <row r="2401" ht="80" customHeight="1">
      <c r="A2401" s="7">
        <f>IMAGE("https://images.lululemon.com/is/image/lululemon/LW3HB5S_031382_1?wid=320&amp;op_usm=0.8",1)</f>
        <v/>
      </c>
      <c r="B2401" s="7" t="inlineStr">
        <is>
          <t>Define Cropped Jacket *Nulu</t>
        </is>
      </c>
      <c r="C2401" s="7" t="inlineStr">
        <is>
          <t>153835660</t>
        </is>
      </c>
      <c r="D2401" s="7" t="inlineStr">
        <is>
          <t>153835660-white</t>
        </is>
      </c>
      <c r="E2401" s="7" t="inlineStr">
        <is>
          <t>Define Cropped Jacket *Nulu™ BLK 0</t>
        </is>
      </c>
      <c r="F2401" s="7" t="inlineStr">
        <is>
          <t>$128.00</t>
        </is>
      </c>
      <c r="G2401" s="7" t="inlineStr">
        <is>
          <t>$64.00</t>
        </is>
      </c>
      <c r="H2401" s="7" t="inlineStr">
        <is>
          <t>White</t>
        </is>
      </c>
      <c r="I2401" s="7">
        <f>IMAGE("https://images.lululemon.com/is/image/lululemon/0002",1)</f>
        <v/>
      </c>
      <c r="J2401" s="7" t="inlineStr">
        <is>
          <t>12</t>
        </is>
      </c>
      <c r="K2401" s="7" t="inlineStr">
        <is>
          <t>94/3830</t>
        </is>
      </c>
      <c r="L2401" s="7" t="inlineStr">
        <is>
          <t>Yes</t>
        </is>
      </c>
      <c r="M2401" s="7" t="inlineStr">
        <is>
          <t>Up for adventure and ready for downtime. This shortened version of our fan-favourite Define Jacket has a feel-good fit that can do it all.</t>
        </is>
      </c>
      <c r="N2401" s="7" t="inlineStr">
        <is>
          <t>Nulu-Cropped-Define-Jacket</t>
        </is>
      </c>
      <c r="O2401" s="7" t="inlineStr">
        <is>
          <t>Athletic Jackets, Zip Up Sweatshirts</t>
        </is>
      </c>
    </row>
    <row r="2402" ht="80" customHeight="1">
      <c r="A2402" s="4">
        <f>IMAGE("https://images.lululemon.com/is/image/lululemon/LW3HB5S_031382_1?wid=320&amp;op_usm=0.8",1)</f>
        <v/>
      </c>
      <c r="B2402" s="4" t="inlineStr">
        <is>
          <t>Define Cropped Jacket *Nulu</t>
        </is>
      </c>
      <c r="C2402" s="4" t="inlineStr">
        <is>
          <t>158034714</t>
        </is>
      </c>
      <c r="D2402" s="4" t="inlineStr">
        <is>
          <t>158034714-berryrumble</t>
        </is>
      </c>
      <c r="E2402" s="4" t="inlineStr">
        <is>
          <t>Define Cropped Jacket *Nulu™ BLK 0</t>
        </is>
      </c>
      <c r="F2402" s="4" t="inlineStr">
        <is>
          <t>$128.00</t>
        </is>
      </c>
      <c r="G2402" s="4" t="inlineStr">
        <is>
          <t>$64.00</t>
        </is>
      </c>
      <c r="H2402" s="4" t="inlineStr">
        <is>
          <t>Berry Rumble</t>
        </is>
      </c>
      <c r="I2402" s="4">
        <f>IMAGE("https://images.lululemon.com/is/image/lululemon/21363",1)</f>
        <v/>
      </c>
      <c r="J2402" s="4" t="inlineStr">
        <is>
          <t>2</t>
        </is>
      </c>
      <c r="K2402" s="4" t="inlineStr">
        <is>
          <t>26/3830</t>
        </is>
      </c>
      <c r="L2402" s="4" t="inlineStr">
        <is>
          <t>Yes</t>
        </is>
      </c>
      <c r="M2402" s="4" t="inlineStr">
        <is>
          <t>Up for adventure and ready for downtime. This shortened version of our fan-favourite Define Jacket has a feel-good fit that can do it all.</t>
        </is>
      </c>
      <c r="N2402" s="4" t="inlineStr">
        <is>
          <t>Nulu-Cropped-Define-Jacket</t>
        </is>
      </c>
      <c r="O2402" s="4" t="inlineStr">
        <is>
          <t>Athletic Jackets, Zip Up Sweatshirts</t>
        </is>
      </c>
    </row>
    <row r="2403" ht="80" customHeight="1">
      <c r="A2403" s="7">
        <f>IMAGE("https://images.lululemon.com/is/image/lululemon/LW3HB5S_031382_1?wid=320&amp;op_usm=0.8",1)</f>
        <v/>
      </c>
      <c r="B2403" s="7" t="inlineStr">
        <is>
          <t>Define Cropped Jacket *Nulu</t>
        </is>
      </c>
      <c r="C2403" s="7" t="inlineStr">
        <is>
          <t>158034724</t>
        </is>
      </c>
      <c r="D2403" s="7" t="inlineStr">
        <is>
          <t>158034724-berryrumble</t>
        </is>
      </c>
      <c r="E2403" s="7" t="inlineStr">
        <is>
          <t>Define Cropped Jacket *Nulu™ BLK 0</t>
        </is>
      </c>
      <c r="F2403" s="7" t="inlineStr">
        <is>
          <t>$128.00</t>
        </is>
      </c>
      <c r="G2403" s="7" t="inlineStr">
        <is>
          <t>$64.00</t>
        </is>
      </c>
      <c r="H2403" s="7" t="inlineStr">
        <is>
          <t>Berry Rumble</t>
        </is>
      </c>
      <c r="I2403" s="7">
        <f>IMAGE("https://images.lululemon.com/is/image/lululemon/21363",1)</f>
        <v/>
      </c>
      <c r="J2403" s="7" t="inlineStr">
        <is>
          <t>4</t>
        </is>
      </c>
      <c r="K2403" s="7" t="inlineStr">
        <is>
          <t>103/3830</t>
        </is>
      </c>
      <c r="L2403" s="7" t="inlineStr">
        <is>
          <t>Yes</t>
        </is>
      </c>
      <c r="M2403" s="7" t="inlineStr">
        <is>
          <t>Up for adventure and ready for downtime. This shortened version of our fan-favourite Define Jacket has a feel-good fit that can do it all.</t>
        </is>
      </c>
      <c r="N2403" s="7" t="inlineStr">
        <is>
          <t>Nulu-Cropped-Define-Jacket</t>
        </is>
      </c>
      <c r="O2403" s="7" t="inlineStr">
        <is>
          <t>Athletic Jackets, Zip Up Sweatshirts</t>
        </is>
      </c>
    </row>
    <row r="2404" ht="80" customHeight="1">
      <c r="A2404" s="4">
        <f>IMAGE("https://images.lululemon.com/is/image/lululemon/LW3HB5S_031382_1?wid=320&amp;op_usm=0.8",1)</f>
        <v/>
      </c>
      <c r="B2404" s="4" t="inlineStr">
        <is>
          <t>Define Cropped Jacket *Nulu</t>
        </is>
      </c>
      <c r="C2404" s="4" t="inlineStr">
        <is>
          <t>158034731</t>
        </is>
      </c>
      <c r="D2404" s="4" t="inlineStr">
        <is>
          <t>158034731-berryrumble</t>
        </is>
      </c>
      <c r="E2404" s="4" t="inlineStr">
        <is>
          <t>Define Cropped Jacket *Nulu™ BLK 0</t>
        </is>
      </c>
      <c r="F2404" s="4" t="inlineStr">
        <is>
          <t>$128.00</t>
        </is>
      </c>
      <c r="G2404" s="4" t="inlineStr">
        <is>
          <t>$64.00</t>
        </is>
      </c>
      <c r="H2404" s="4" t="inlineStr">
        <is>
          <t>Berry Rumble</t>
        </is>
      </c>
      <c r="I2404" s="4">
        <f>IMAGE("https://images.lululemon.com/is/image/lululemon/21363",1)</f>
        <v/>
      </c>
      <c r="J2404" s="4" t="inlineStr">
        <is>
          <t>6</t>
        </is>
      </c>
      <c r="K2404" s="4" t="inlineStr">
        <is>
          <t>148/3830</t>
        </is>
      </c>
      <c r="L2404" s="4" t="inlineStr">
        <is>
          <t>Yes</t>
        </is>
      </c>
      <c r="M2404" s="4" t="inlineStr">
        <is>
          <t>Up for adventure and ready for downtime. This shortened version of our fan-favourite Define Jacket has a feel-good fit that can do it all.</t>
        </is>
      </c>
      <c r="N2404" s="4" t="inlineStr">
        <is>
          <t>Nulu-Cropped-Define-Jacket</t>
        </is>
      </c>
      <c r="O2404" s="4" t="inlineStr">
        <is>
          <t>Athletic Jackets, Zip Up Sweatshirts</t>
        </is>
      </c>
    </row>
    <row r="2405" ht="80" customHeight="1">
      <c r="A2405" s="7">
        <f>IMAGE("https://images.lululemon.com/is/image/lululemon/LW3HB5S_031382_1?wid=320&amp;op_usm=0.8",1)</f>
        <v/>
      </c>
      <c r="B2405" s="7" t="inlineStr">
        <is>
          <t>Define Cropped Jacket *Nulu</t>
        </is>
      </c>
      <c r="C2405" s="7" t="inlineStr">
        <is>
          <t>158034739</t>
        </is>
      </c>
      <c r="D2405" s="7" t="inlineStr">
        <is>
          <t>158034739-berryrumble</t>
        </is>
      </c>
      <c r="E2405" s="7" t="inlineStr">
        <is>
          <t>Define Cropped Jacket *Nulu™ BLK 0</t>
        </is>
      </c>
      <c r="F2405" s="7" t="inlineStr">
        <is>
          <t>$128.00</t>
        </is>
      </c>
      <c r="G2405" s="7" t="inlineStr">
        <is>
          <t>$64.00</t>
        </is>
      </c>
      <c r="H2405" s="7" t="inlineStr">
        <is>
          <t>Berry Rumble</t>
        </is>
      </c>
      <c r="I2405" s="7">
        <f>IMAGE("https://images.lululemon.com/is/image/lululemon/21363",1)</f>
        <v/>
      </c>
      <c r="J2405" s="7" t="inlineStr">
        <is>
          <t>8</t>
        </is>
      </c>
      <c r="K2405" s="7" t="inlineStr">
        <is>
          <t>134/3830</t>
        </is>
      </c>
      <c r="L2405" s="7" t="inlineStr">
        <is>
          <t>Yes</t>
        </is>
      </c>
      <c r="M2405" s="7" t="inlineStr">
        <is>
          <t>Up for adventure and ready for downtime. This shortened version of our fan-favourite Define Jacket has a feel-good fit that can do it all.</t>
        </is>
      </c>
      <c r="N2405" s="7" t="inlineStr">
        <is>
          <t>Nulu-Cropped-Define-Jacket</t>
        </is>
      </c>
      <c r="O2405" s="7" t="inlineStr">
        <is>
          <t>Athletic Jackets, Zip Up Sweatshirts</t>
        </is>
      </c>
    </row>
    <row r="2406" ht="80" customHeight="1">
      <c r="A2406" s="4">
        <f>IMAGE("https://images.lululemon.com/is/image/lululemon/LW3HB5S_031382_1?wid=320&amp;op_usm=0.8",1)</f>
        <v/>
      </c>
      <c r="B2406" s="4" t="inlineStr">
        <is>
          <t>Define Cropped Jacket *Nulu</t>
        </is>
      </c>
      <c r="C2406" s="4" t="inlineStr">
        <is>
          <t>158034686</t>
        </is>
      </c>
      <c r="D2406" s="4" t="inlineStr">
        <is>
          <t>158034686-berryrumble</t>
        </is>
      </c>
      <c r="E2406" s="4" t="inlineStr">
        <is>
          <t>Define Cropped Jacket *Nulu™ BLK 0</t>
        </is>
      </c>
      <c r="F2406" s="4" t="inlineStr">
        <is>
          <t>$128.00</t>
        </is>
      </c>
      <c r="G2406" s="4" t="inlineStr">
        <is>
          <t>$64.00</t>
        </is>
      </c>
      <c r="H2406" s="4" t="inlineStr">
        <is>
          <t>Berry Rumble</t>
        </is>
      </c>
      <c r="I2406" s="4">
        <f>IMAGE("https://images.lululemon.com/is/image/lululemon/21363",1)</f>
        <v/>
      </c>
      <c r="J2406" s="4" t="inlineStr">
        <is>
          <t>10</t>
        </is>
      </c>
      <c r="K2406" s="4" t="inlineStr">
        <is>
          <t>104/3830</t>
        </is>
      </c>
      <c r="L2406" s="4" t="inlineStr">
        <is>
          <t>Yes</t>
        </is>
      </c>
      <c r="M2406" s="4" t="inlineStr">
        <is>
          <t>Up for adventure and ready for downtime. This shortened version of our fan-favourite Define Jacket has a feel-good fit that can do it all.</t>
        </is>
      </c>
      <c r="N2406" s="4" t="inlineStr">
        <is>
          <t>Nulu-Cropped-Define-Jacket</t>
        </is>
      </c>
      <c r="O2406" s="4" t="inlineStr">
        <is>
          <t>Athletic Jackets, Zip Up Sweatshirts</t>
        </is>
      </c>
    </row>
    <row r="2407" ht="80" customHeight="1">
      <c r="A2407" s="7">
        <f>IMAGE("https://images.lululemon.com/is/image/lululemon/LW3HB5S_031382_1?wid=320&amp;op_usm=0.8",1)</f>
        <v/>
      </c>
      <c r="B2407" s="7" t="inlineStr">
        <is>
          <t>Define Cropped Jacket *Nulu</t>
        </is>
      </c>
      <c r="C2407" s="7" t="inlineStr">
        <is>
          <t>158034697</t>
        </is>
      </c>
      <c r="D2407" s="7" t="inlineStr">
        <is>
          <t>158034697-berryrumble</t>
        </is>
      </c>
      <c r="E2407" s="7" t="inlineStr">
        <is>
          <t>Define Cropped Jacket *Nulu™ BLK 0</t>
        </is>
      </c>
      <c r="F2407" s="7" t="inlineStr">
        <is>
          <t>$128.00</t>
        </is>
      </c>
      <c r="G2407" s="7" t="inlineStr">
        <is>
          <t>$64.00</t>
        </is>
      </c>
      <c r="H2407" s="7" t="inlineStr">
        <is>
          <t>Berry Rumble</t>
        </is>
      </c>
      <c r="I2407" s="7">
        <f>IMAGE("https://images.lululemon.com/is/image/lululemon/21363",1)</f>
        <v/>
      </c>
      <c r="J2407" s="7" t="inlineStr">
        <is>
          <t>12</t>
        </is>
      </c>
      <c r="K2407" s="7" t="inlineStr">
        <is>
          <t>46/3830</t>
        </is>
      </c>
      <c r="L2407" s="7" t="inlineStr">
        <is>
          <t>Yes</t>
        </is>
      </c>
      <c r="M2407" s="7" t="inlineStr">
        <is>
          <t>Up for adventure and ready for downtime. This shortened version of our fan-favourite Define Jacket has a feel-good fit that can do it all.</t>
        </is>
      </c>
      <c r="N2407" s="7" t="inlineStr">
        <is>
          <t>Nulu-Cropped-Define-Jacket</t>
        </is>
      </c>
      <c r="O2407" s="7" t="inlineStr">
        <is>
          <t>Athletic Jackets, Zip Up Sweatshirts</t>
        </is>
      </c>
    </row>
    <row r="2408" ht="80" customHeight="1">
      <c r="A2408" s="4">
        <f>IMAGE("https://images.lululemon.com/is/image/lululemon/LW3HB5S_031382_1?wid=320&amp;op_usm=0.8",1)</f>
        <v/>
      </c>
      <c r="B2408" s="4" t="inlineStr">
        <is>
          <t>Define Cropped Jacket *Nulu</t>
        </is>
      </c>
      <c r="C2408" s="4" t="inlineStr">
        <is>
          <t>156496568</t>
        </is>
      </c>
      <c r="D2408" s="4" t="inlineStr">
        <is>
          <t>156496568-washedblue</t>
        </is>
      </c>
      <c r="E2408" s="4" t="inlineStr">
        <is>
          <t>Define Cropped Jacket *Nulu™ BLK 0</t>
        </is>
      </c>
      <c r="F2408" s="4" t="inlineStr">
        <is>
          <t>$128.00</t>
        </is>
      </c>
      <c r="G2408" s="4" t="inlineStr">
        <is>
          <t>$64.00</t>
        </is>
      </c>
      <c r="H2408" s="4" t="inlineStr">
        <is>
          <t>Washed Blue</t>
        </is>
      </c>
      <c r="I2408" s="4">
        <f>IMAGE("https://images.lululemon.com/is/image/lululemon/70135",1)</f>
        <v/>
      </c>
      <c r="J2408" s="4" t="inlineStr">
        <is>
          <t>6</t>
        </is>
      </c>
      <c r="K2408" s="4" t="inlineStr">
        <is>
          <t>18/3830</t>
        </is>
      </c>
      <c r="L2408" s="4" t="inlineStr">
        <is>
          <t>Yes</t>
        </is>
      </c>
      <c r="M2408" s="4" t="inlineStr">
        <is>
          <t>Up for adventure and ready for downtime. This shortened version of our fan-favourite Define Jacket has a feel-good fit that can do it all.</t>
        </is>
      </c>
      <c r="N2408" s="4" t="inlineStr">
        <is>
          <t>Nulu-Cropped-Define-Jacket</t>
        </is>
      </c>
      <c r="O2408" s="4" t="inlineStr">
        <is>
          <t>Athletic Jackets, Zip Up Sweatshirts</t>
        </is>
      </c>
    </row>
    <row r="2409" ht="80" customHeight="1">
      <c r="A2409" s="7">
        <f>IMAGE("https://images.lululemon.com/is/image/lululemon/LW3HB5S_031382_1?wid=320&amp;op_usm=0.8",1)</f>
        <v/>
      </c>
      <c r="B2409" s="7" t="inlineStr">
        <is>
          <t>Define Cropped Jacket *Nulu</t>
        </is>
      </c>
      <c r="C2409" s="7" t="inlineStr">
        <is>
          <t>156496590</t>
        </is>
      </c>
      <c r="D2409" s="7" t="inlineStr">
        <is>
          <t>156496590-washedblue</t>
        </is>
      </c>
      <c r="E2409" s="7" t="inlineStr">
        <is>
          <t>Define Cropped Jacket *Nulu™ BLK 0</t>
        </is>
      </c>
      <c r="F2409" s="7" t="inlineStr">
        <is>
          <t>$128.00</t>
        </is>
      </c>
      <c r="G2409" s="7" t="inlineStr">
        <is>
          <t>$64.00</t>
        </is>
      </c>
      <c r="H2409" s="7" t="inlineStr">
        <is>
          <t>Washed Blue</t>
        </is>
      </c>
      <c r="I2409" s="7">
        <f>IMAGE("https://images.lululemon.com/is/image/lululemon/70135",1)</f>
        <v/>
      </c>
      <c r="J2409" s="7" t="inlineStr">
        <is>
          <t>8</t>
        </is>
      </c>
      <c r="K2409" s="7" t="inlineStr">
        <is>
          <t>27/3830</t>
        </is>
      </c>
      <c r="L2409" s="7" t="inlineStr">
        <is>
          <t>Yes</t>
        </is>
      </c>
      <c r="M2409" s="7" t="inlineStr">
        <is>
          <t>Up for adventure and ready for downtime. This shortened version of our fan-favourite Define Jacket has a feel-good fit that can do it all.</t>
        </is>
      </c>
      <c r="N2409" s="7" t="inlineStr">
        <is>
          <t>Nulu-Cropped-Define-Jacket</t>
        </is>
      </c>
      <c r="O2409" s="7" t="inlineStr">
        <is>
          <t>Athletic Jackets, Zip Up Sweatshirts</t>
        </is>
      </c>
    </row>
    <row r="2410" ht="80" customHeight="1">
      <c r="A2410" s="4">
        <f>IMAGE("https://images.lululemon.com/is/image/lululemon/LW3HB5S_031382_1?wid=320&amp;op_usm=0.8",1)</f>
        <v/>
      </c>
      <c r="B2410" s="4" t="inlineStr">
        <is>
          <t>Define Cropped Jacket *Nulu</t>
        </is>
      </c>
      <c r="C2410" s="4" t="inlineStr">
        <is>
          <t>156496313</t>
        </is>
      </c>
      <c r="D2410" s="4" t="inlineStr">
        <is>
          <t>156496313-washedblue</t>
        </is>
      </c>
      <c r="E2410" s="4" t="inlineStr">
        <is>
          <t>Define Cropped Jacket *Nulu™ BLK 0</t>
        </is>
      </c>
      <c r="F2410" s="4" t="inlineStr">
        <is>
          <t>$128.00</t>
        </is>
      </c>
      <c r="G2410" s="4" t="inlineStr">
        <is>
          <t>$64.00</t>
        </is>
      </c>
      <c r="H2410" s="4" t="inlineStr">
        <is>
          <t>Washed Blue</t>
        </is>
      </c>
      <c r="I2410" s="4">
        <f>IMAGE("https://images.lululemon.com/is/image/lululemon/70135",1)</f>
        <v/>
      </c>
      <c r="J2410" s="4" t="inlineStr">
        <is>
          <t>10</t>
        </is>
      </c>
      <c r="K2410" s="4" t="inlineStr">
        <is>
          <t>32/3830</t>
        </is>
      </c>
      <c r="L2410" s="4" t="inlineStr">
        <is>
          <t>Yes</t>
        </is>
      </c>
      <c r="M2410" s="4" t="inlineStr">
        <is>
          <t>Up for adventure and ready for downtime. This shortened version of our fan-favourite Define Jacket has a feel-good fit that can do it all.</t>
        </is>
      </c>
      <c r="N2410" s="4" t="inlineStr">
        <is>
          <t>Nulu-Cropped-Define-Jacket</t>
        </is>
      </c>
      <c r="O2410" s="4" t="inlineStr">
        <is>
          <t>Athletic Jackets, Zip Up Sweatshirts</t>
        </is>
      </c>
    </row>
    <row r="2411" ht="80" customHeight="1">
      <c r="A2411" s="7">
        <f>IMAGE("https://images.lululemon.com/is/image/lululemon/LW3HB5S_031382_1?wid=320&amp;op_usm=0.8",1)</f>
        <v/>
      </c>
      <c r="B2411" s="7" t="inlineStr">
        <is>
          <t>Define Cropped Jacket *Nulu</t>
        </is>
      </c>
      <c r="C2411" s="7" t="inlineStr">
        <is>
          <t>156496338</t>
        </is>
      </c>
      <c r="D2411" s="7" t="inlineStr">
        <is>
          <t>156496338-washedblue</t>
        </is>
      </c>
      <c r="E2411" s="7" t="inlineStr">
        <is>
          <t>Define Cropped Jacket *Nulu™ BLK 0</t>
        </is>
      </c>
      <c r="F2411" s="7" t="inlineStr">
        <is>
          <t>$128.00</t>
        </is>
      </c>
      <c r="G2411" s="7" t="inlineStr">
        <is>
          <t>$64.00</t>
        </is>
      </c>
      <c r="H2411" s="7" t="inlineStr">
        <is>
          <t>Washed Blue</t>
        </is>
      </c>
      <c r="I2411" s="7">
        <f>IMAGE("https://images.lululemon.com/is/image/lululemon/70135",1)</f>
        <v/>
      </c>
      <c r="J2411" s="7" t="inlineStr">
        <is>
          <t>12</t>
        </is>
      </c>
      <c r="K2411" s="7" t="inlineStr">
        <is>
          <t>55/3830</t>
        </is>
      </c>
      <c r="L2411" s="7" t="inlineStr">
        <is>
          <t>Yes</t>
        </is>
      </c>
      <c r="M2411" s="7" t="inlineStr">
        <is>
          <t>Up for adventure and ready for downtime. This shortened version of our fan-favourite Define Jacket has a feel-good fit that can do it all.</t>
        </is>
      </c>
      <c r="N2411" s="7" t="inlineStr">
        <is>
          <t>Nulu-Cropped-Define-Jacket</t>
        </is>
      </c>
      <c r="O2411" s="7" t="inlineStr">
        <is>
          <t>Athletic Jackets, Zip Up Sweatshirts</t>
        </is>
      </c>
    </row>
    <row r="2412" ht="80" customHeight="1">
      <c r="A2412" s="4">
        <f>IMAGE("https://images.lululemon.com/is/image/lululemon/LW3HB5S_031382_1?wid=320&amp;op_usm=0.8",1)</f>
        <v/>
      </c>
      <c r="B2412" s="4" t="inlineStr">
        <is>
          <t>Define Cropped Jacket *Nulu</t>
        </is>
      </c>
      <c r="C2412" s="4" t="inlineStr">
        <is>
          <t>156496361</t>
        </is>
      </c>
      <c r="D2412" s="4" t="inlineStr">
        <is>
          <t>156496361-washedblue</t>
        </is>
      </c>
      <c r="E2412" s="4" t="inlineStr">
        <is>
          <t>Define Cropped Jacket *Nulu™ BLK 0</t>
        </is>
      </c>
      <c r="F2412" s="4" t="inlineStr">
        <is>
          <t>$128.00</t>
        </is>
      </c>
      <c r="G2412" s="4" t="inlineStr">
        <is>
          <t>$64.00</t>
        </is>
      </c>
      <c r="H2412" s="4" t="inlineStr">
        <is>
          <t>Washed Blue</t>
        </is>
      </c>
      <c r="I2412" s="4">
        <f>IMAGE("https://images.lululemon.com/is/image/lululemon/70135",1)</f>
        <v/>
      </c>
      <c r="J2412" s="4" t="inlineStr">
        <is>
          <t>14</t>
        </is>
      </c>
      <c r="K2412" s="4" t="inlineStr">
        <is>
          <t>24/3830</t>
        </is>
      </c>
      <c r="L2412" s="4" t="inlineStr">
        <is>
          <t>Yes</t>
        </is>
      </c>
      <c r="M2412" s="4" t="inlineStr">
        <is>
          <t>Up for adventure and ready for downtime. This shortened version of our fan-favourite Define Jacket has a feel-good fit that can do it all.</t>
        </is>
      </c>
      <c r="N2412" s="4" t="inlineStr">
        <is>
          <t>Nulu-Cropped-Define-Jacket</t>
        </is>
      </c>
      <c r="O2412" s="4" t="inlineStr">
        <is>
          <t>Athletic Jackets, Zip Up Sweatshirts</t>
        </is>
      </c>
    </row>
    <row r="2413" ht="80" customHeight="1">
      <c r="A2413" s="7">
        <f>IMAGE("https://images.lululemon.com/is/image/lululemon/LW3HB5S_031382_1?wid=320&amp;op_usm=0.8",1)</f>
        <v/>
      </c>
      <c r="B2413" s="7" t="inlineStr">
        <is>
          <t>Define Cropped Jacket *Nulu</t>
        </is>
      </c>
      <c r="C2413" s="7" t="inlineStr">
        <is>
          <t>156483480</t>
        </is>
      </c>
      <c r="D2413" s="7" t="inlineStr">
        <is>
          <t>156483480-truenavy/mirrorsilver/mirrorsilver</t>
        </is>
      </c>
      <c r="E2413" s="7" t="inlineStr">
        <is>
          <t>Define Cropped Jacket *Nulu™ BLK 0</t>
        </is>
      </c>
      <c r="F2413" s="7" t="inlineStr">
        <is>
          <t>$128.00</t>
        </is>
      </c>
      <c r="G2413" s="7" t="inlineStr">
        <is>
          <t>$64.00</t>
        </is>
      </c>
      <c r="H2413" s="7" t="inlineStr">
        <is>
          <t>True Navy/Mirror Silver/Mirror Silver</t>
        </is>
      </c>
      <c r="I2413" s="7">
        <f>IMAGE("https://images.lululemon.com/is/image/lululemon/71918",1)</f>
        <v/>
      </c>
      <c r="J2413" s="7" t="inlineStr">
        <is>
          <t>8</t>
        </is>
      </c>
      <c r="K2413" s="7" t="inlineStr">
        <is>
          <t>1/3830</t>
        </is>
      </c>
      <c r="L2413" s="7" t="inlineStr">
        <is>
          <t>Yes</t>
        </is>
      </c>
      <c r="M2413" s="7" t="inlineStr">
        <is>
          <t>Up for adventure and ready for downtime. This shortened version of our fan-favourite Define Jacket has a feel-good fit that can do it all.</t>
        </is>
      </c>
      <c r="N2413" s="7" t="inlineStr">
        <is>
          <t>Nulu-Cropped-Define-Jacket</t>
        </is>
      </c>
      <c r="O2413" s="7" t="inlineStr">
        <is>
          <t>Athletic Jackets, Zip Up Sweatshirts</t>
        </is>
      </c>
    </row>
    <row r="2414" ht="80" customHeight="1">
      <c r="A2414" s="4">
        <f>IMAGE("https://images.lululemon.com/is/image/lululemon/LW3HB5S_031382_1?wid=320&amp;op_usm=0.8",1)</f>
        <v/>
      </c>
      <c r="B2414" s="4" t="inlineStr">
        <is>
          <t>Define Cropped Jacket *Nulu</t>
        </is>
      </c>
      <c r="C2414" s="4" t="inlineStr">
        <is>
          <t>156483407</t>
        </is>
      </c>
      <c r="D2414" s="4" t="inlineStr">
        <is>
          <t>156483407-truenavy/mirrorsilver/mirrorsilver</t>
        </is>
      </c>
      <c r="E2414" s="4" t="inlineStr">
        <is>
          <t>Define Cropped Jacket *Nulu™ BLK 0</t>
        </is>
      </c>
      <c r="F2414" s="4" t="inlineStr">
        <is>
          <t>$128.00</t>
        </is>
      </c>
      <c r="G2414" s="4" t="inlineStr">
        <is>
          <t>$64.00</t>
        </is>
      </c>
      <c r="H2414" s="4" t="inlineStr">
        <is>
          <t>True Navy/Mirror Silver/Mirror Silver</t>
        </is>
      </c>
      <c r="I2414" s="4">
        <f>IMAGE("https://images.lululemon.com/is/image/lululemon/71918",1)</f>
        <v/>
      </c>
      <c r="J2414" s="4" t="inlineStr">
        <is>
          <t>10</t>
        </is>
      </c>
      <c r="K2414" s="4" t="inlineStr">
        <is>
          <t>10/3830</t>
        </is>
      </c>
      <c r="L2414" s="4" t="inlineStr">
        <is>
          <t>Yes</t>
        </is>
      </c>
      <c r="M2414" s="4" t="inlineStr">
        <is>
          <t>Up for adventure and ready for downtime. This shortened version of our fan-favourite Define Jacket has a feel-good fit that can do it all.</t>
        </is>
      </c>
      <c r="N2414" s="4" t="inlineStr">
        <is>
          <t>Nulu-Cropped-Define-Jacket</t>
        </is>
      </c>
      <c r="O2414" s="4" t="inlineStr">
        <is>
          <t>Athletic Jackets, Zip Up Sweatshirts</t>
        </is>
      </c>
    </row>
    <row r="2415" ht="80" customHeight="1">
      <c r="A2415" s="7">
        <f>IMAGE("https://images.lululemon.com/is/image/lululemon/LW3HB5S_031382_1?wid=320&amp;op_usm=0.8",1)</f>
        <v/>
      </c>
      <c r="B2415" s="7" t="inlineStr">
        <is>
          <t>Define Cropped Jacket *Nulu</t>
        </is>
      </c>
      <c r="C2415" s="7" t="inlineStr">
        <is>
          <t>156483413</t>
        </is>
      </c>
      <c r="D2415" s="7" t="inlineStr">
        <is>
          <t>156483413-truenavy/mirrorsilver/mirrorsilver</t>
        </is>
      </c>
      <c r="E2415" s="7" t="inlineStr">
        <is>
          <t>Define Cropped Jacket *Nulu™ BLK 0</t>
        </is>
      </c>
      <c r="F2415" s="7" t="inlineStr">
        <is>
          <t>$128.00</t>
        </is>
      </c>
      <c r="G2415" s="7" t="inlineStr">
        <is>
          <t>$64.00</t>
        </is>
      </c>
      <c r="H2415" s="7" t="inlineStr">
        <is>
          <t>True Navy/Mirror Silver/Mirror Silver</t>
        </is>
      </c>
      <c r="I2415" s="7">
        <f>IMAGE("https://images.lululemon.com/is/image/lululemon/71918",1)</f>
        <v/>
      </c>
      <c r="J2415" s="7" t="inlineStr">
        <is>
          <t>12</t>
        </is>
      </c>
      <c r="K2415" s="7" t="inlineStr">
        <is>
          <t>39/3830</t>
        </is>
      </c>
      <c r="L2415" s="7" t="inlineStr">
        <is>
          <t>Yes</t>
        </is>
      </c>
      <c r="M2415" s="7" t="inlineStr">
        <is>
          <t>Up for adventure and ready for downtime. This shortened version of our fan-favourite Define Jacket has a feel-good fit that can do it all.</t>
        </is>
      </c>
      <c r="N2415" s="7" t="inlineStr">
        <is>
          <t>Nulu-Cropped-Define-Jacket</t>
        </is>
      </c>
      <c r="O2415" s="7" t="inlineStr">
        <is>
          <t>Athletic Jackets, Zip Up Sweatshirts</t>
        </is>
      </c>
    </row>
    <row r="2416" ht="80" customHeight="1">
      <c r="A2416" s="4">
        <f>IMAGE("https://images.lululemon.com/is/image/lululemon/LW3HB5S_031382_1?wid=320&amp;op_usm=0.8",1)</f>
        <v/>
      </c>
      <c r="B2416" s="4" t="inlineStr">
        <is>
          <t>Define Cropped Jacket *Nulu</t>
        </is>
      </c>
      <c r="C2416" s="4" t="inlineStr">
        <is>
          <t>156483419</t>
        </is>
      </c>
      <c r="D2416" s="4" t="inlineStr">
        <is>
          <t>156483419-truenavy/mirrorsilver/mirrorsilver</t>
        </is>
      </c>
      <c r="E2416" s="4" t="inlineStr">
        <is>
          <t>Define Cropped Jacket *Nulu™ BLK 0</t>
        </is>
      </c>
      <c r="F2416" s="4" t="inlineStr">
        <is>
          <t>$128.00</t>
        </is>
      </c>
      <c r="G2416" s="4" t="inlineStr">
        <is>
          <t>$64.00</t>
        </is>
      </c>
      <c r="H2416" s="4" t="inlineStr">
        <is>
          <t>True Navy/Mirror Silver/Mirror Silver</t>
        </is>
      </c>
      <c r="I2416" s="4">
        <f>IMAGE("https://images.lululemon.com/is/image/lululemon/71918",1)</f>
        <v/>
      </c>
      <c r="J2416" s="4" t="inlineStr">
        <is>
          <t>14</t>
        </is>
      </c>
      <c r="K2416" s="4" t="inlineStr">
        <is>
          <t>14/3830</t>
        </is>
      </c>
      <c r="L2416" s="4" t="inlineStr">
        <is>
          <t>Yes</t>
        </is>
      </c>
      <c r="M2416" s="4" t="inlineStr">
        <is>
          <t>Up for adventure and ready for downtime. This shortened version of our fan-favourite Define Jacket has a feel-good fit that can do it all.</t>
        </is>
      </c>
      <c r="N2416" s="4" t="inlineStr">
        <is>
          <t>Nulu-Cropped-Define-Jacket</t>
        </is>
      </c>
      <c r="O2416" s="4" t="inlineStr">
        <is>
          <t>Athletic Jackets, Zip Up Sweatshirts</t>
        </is>
      </c>
    </row>
    <row r="2417" ht="80" customHeight="1">
      <c r="A2417" s="7">
        <f>IMAGE("https://images.lululemon.com/is/image/lululemon/LW3HB5S_031382_1?wid=320&amp;op_usm=0.8",1)</f>
        <v/>
      </c>
      <c r="B2417" s="7" t="inlineStr">
        <is>
          <t>Define Cropped Jacket *Nulu</t>
        </is>
      </c>
      <c r="C2417" s="7" t="inlineStr">
        <is>
          <t>151678990</t>
        </is>
      </c>
      <c r="D2417" s="7" t="inlineStr">
        <is>
          <t>151678990-truenavy</t>
        </is>
      </c>
      <c r="E2417" s="7" t="inlineStr">
        <is>
          <t>Define Cropped Jacket *Nulu™ BLK 0</t>
        </is>
      </c>
      <c r="F2417" s="7" t="inlineStr">
        <is>
          <t>$128.00</t>
        </is>
      </c>
      <c r="G2417" s="7" t="inlineStr">
        <is>
          <t>$64.00</t>
        </is>
      </c>
      <c r="H2417" s="7" t="inlineStr">
        <is>
          <t>True Navy</t>
        </is>
      </c>
      <c r="I2417" s="7">
        <f>IMAGE("https://images.lululemon.com/is/image/lululemon/31382",1)</f>
        <v/>
      </c>
      <c r="J2417" s="7" t="inlineStr">
        <is>
          <t>10</t>
        </is>
      </c>
      <c r="K2417" s="7" t="inlineStr">
        <is>
          <t>21/3830</t>
        </is>
      </c>
      <c r="L2417" s="7" t="inlineStr">
        <is>
          <t>Yes</t>
        </is>
      </c>
      <c r="M2417" s="7" t="inlineStr">
        <is>
          <t>Up for adventure and ready for downtime. This shortened version of our fan-favourite Define Jacket has a feel-good fit that can do it all.</t>
        </is>
      </c>
      <c r="N2417" s="7" t="inlineStr">
        <is>
          <t>Nulu-Cropped-Define-Jacket</t>
        </is>
      </c>
      <c r="O2417" s="7" t="inlineStr">
        <is>
          <t>Athletic Jackets, Zip Up Sweatshirts</t>
        </is>
      </c>
    </row>
    <row r="2418" ht="80" customHeight="1">
      <c r="A2418" s="4">
        <f>IMAGE("https://images.lululemon.com/is/image/lululemon/LW3HB5S_031382_1?wid=320&amp;op_usm=0.8",1)</f>
        <v/>
      </c>
      <c r="B2418" s="4" t="inlineStr">
        <is>
          <t>Define Cropped Jacket *Nulu</t>
        </is>
      </c>
      <c r="C2418" s="4" t="inlineStr">
        <is>
          <t>151678996</t>
        </is>
      </c>
      <c r="D2418" s="4" t="inlineStr">
        <is>
          <t>151678996-truenavy</t>
        </is>
      </c>
      <c r="E2418" s="4" t="inlineStr">
        <is>
          <t>Define Cropped Jacket *Nulu™ BLK 0</t>
        </is>
      </c>
      <c r="F2418" s="4" t="inlineStr">
        <is>
          <t>$128.00</t>
        </is>
      </c>
      <c r="G2418" s="4" t="inlineStr">
        <is>
          <t>$64.00</t>
        </is>
      </c>
      <c r="H2418" s="4" t="inlineStr">
        <is>
          <t>True Navy</t>
        </is>
      </c>
      <c r="I2418" s="4">
        <f>IMAGE("https://images.lululemon.com/is/image/lululemon/31382",1)</f>
        <v/>
      </c>
      <c r="J2418" s="4" t="inlineStr">
        <is>
          <t>12</t>
        </is>
      </c>
      <c r="K2418" s="4" t="inlineStr">
        <is>
          <t>1/3830</t>
        </is>
      </c>
      <c r="L2418" s="4" t="inlineStr">
        <is>
          <t>Yes</t>
        </is>
      </c>
      <c r="M2418" s="4" t="inlineStr">
        <is>
          <t>Up for adventure and ready for downtime. This shortened version of our fan-favourite Define Jacket has a feel-good fit that can do it all.</t>
        </is>
      </c>
      <c r="N2418" s="4" t="inlineStr">
        <is>
          <t>Nulu-Cropped-Define-Jacket</t>
        </is>
      </c>
      <c r="O2418" s="4" t="inlineStr">
        <is>
          <t>Athletic Jackets, Zip Up Sweatshirts</t>
        </is>
      </c>
    </row>
    <row r="2419" ht="80" customHeight="1">
      <c r="A2419" s="7">
        <f>IMAGE("https://images.lululemon.com/is/image/lululemon/LW3HB5S_031382_1?wid=320&amp;op_usm=0.8",1)</f>
        <v/>
      </c>
      <c r="B2419" s="7" t="inlineStr">
        <is>
          <t>Define Cropped Jacket *Nulu</t>
        </is>
      </c>
      <c r="C2419" s="7" t="inlineStr">
        <is>
          <t>158095733</t>
        </is>
      </c>
      <c r="D2419" s="7" t="inlineStr">
        <is>
          <t>158095733-blackplum</t>
        </is>
      </c>
      <c r="E2419" s="7" t="inlineStr">
        <is>
          <t>Define Cropped Jacket *Nulu™ BLK 0</t>
        </is>
      </c>
      <c r="F2419" s="7" t="inlineStr">
        <is>
          <t>$128.00</t>
        </is>
      </c>
      <c r="G2419" s="7" t="inlineStr">
        <is>
          <t>$64.00</t>
        </is>
      </c>
      <c r="H2419" s="7" t="inlineStr">
        <is>
          <t>Black Plum</t>
        </is>
      </c>
      <c r="I2419" s="7">
        <f>IMAGE("https://images.lululemon.com/is/image/lululemon/34697",1)</f>
        <v/>
      </c>
      <c r="J2419" s="7" t="inlineStr">
        <is>
          <t>10</t>
        </is>
      </c>
      <c r="K2419" s="7" t="inlineStr">
        <is>
          <t>23/3830</t>
        </is>
      </c>
      <c r="L2419" s="7" t="inlineStr">
        <is>
          <t>Yes</t>
        </is>
      </c>
      <c r="M2419" s="7" t="inlineStr">
        <is>
          <t>Up for adventure and ready for downtime. This shortened version of our fan-favourite Define Jacket has a feel-good fit that can do it all.</t>
        </is>
      </c>
      <c r="N2419" s="7" t="inlineStr">
        <is>
          <t>Nulu-Cropped-Define-Jacket</t>
        </is>
      </c>
      <c r="O2419" s="7" t="inlineStr">
        <is>
          <t>Athletic Jackets, Zip Up Sweatshirts</t>
        </is>
      </c>
    </row>
    <row r="2420" ht="80" customHeight="1">
      <c r="A2420" s="6">
        <f>IMAGE("https://images.lululemon.com/is/image/lululemon/LW3HB5S_031382_1?wid=320&amp;op_usm=0.8",1)</f>
        <v/>
      </c>
      <c r="B2420" s="6" t="inlineStr">
        <is>
          <t>Define Cropped Jacket *Nulu</t>
        </is>
      </c>
      <c r="C2420" s="6" t="inlineStr">
        <is>
          <t>158095738</t>
        </is>
      </c>
      <c r="D2420" s="6" t="inlineStr">
        <is>
          <t>158095738-blackplum</t>
        </is>
      </c>
      <c r="E2420" s="6" t="inlineStr">
        <is>
          <t>Define Cropped Jacket *Nulu™ BLK 0</t>
        </is>
      </c>
      <c r="F2420" s="6" t="inlineStr">
        <is>
          <t>$128.00</t>
        </is>
      </c>
      <c r="G2420" s="6" t="inlineStr">
        <is>
          <t>$64.00</t>
        </is>
      </c>
      <c r="H2420" s="6" t="inlineStr">
        <is>
          <t>Black Plum</t>
        </is>
      </c>
      <c r="I2420" s="6">
        <f>IMAGE("https://images.lululemon.com/is/image/lululemon/34697",1)</f>
        <v/>
      </c>
      <c r="J2420" s="6" t="inlineStr">
        <is>
          <t>12</t>
        </is>
      </c>
      <c r="K2420" s="6" t="inlineStr">
        <is>
          <t>23/3830</t>
        </is>
      </c>
      <c r="L2420" s="6" t="inlineStr">
        <is>
          <t>Yes</t>
        </is>
      </c>
      <c r="M2420" s="6" t="inlineStr">
        <is>
          <t>Up for adventure and ready for downtime. This shortened version of our fan-favourite Define Jacket has a feel-good fit that can do it all.</t>
        </is>
      </c>
      <c r="N2420" s="6" t="inlineStr">
        <is>
          <t>Nulu-Cropped-Define-Jacket</t>
        </is>
      </c>
      <c r="O2420" s="6" t="inlineStr">
        <is>
          <t>Athletic Jackets, Zip Up Sweatshirts</t>
        </is>
      </c>
    </row>
    <row r="2421" ht="80" customHeight="1">
      <c r="A2421" s="5">
        <f>IMAGE("https://images.lululemon.com/is/image/lululemon/LU9BQPS_0001_1?wid=320&amp;op_usm=0.8",1)</f>
        <v/>
      </c>
      <c r="B2421" s="5" t="inlineStr">
        <is>
          <t>Back to Life Sport Bottle 18oz *Straw Lid</t>
        </is>
      </c>
      <c r="C2421" s="5" t="inlineStr">
        <is>
          <t>147150092</t>
        </is>
      </c>
      <c r="D2421" s="5" t="inlineStr">
        <is>
          <t>147150092-black</t>
        </is>
      </c>
      <c r="E2421" s="5" t="inlineStr">
        <is>
          <t>Back to Life Sport Bottle 18oz*Straw Lid BLK ONE SIZE</t>
        </is>
      </c>
      <c r="F2421" s="5" t="inlineStr">
        <is>
          <t>$38.00</t>
        </is>
      </c>
      <c r="G2421" s="5" t="inlineStr">
        <is>
          <t>$19.00</t>
        </is>
      </c>
      <c r="H2421" s="5" t="inlineStr">
        <is>
          <t>Black</t>
        </is>
      </c>
      <c r="I2421" s="5">
        <f>IMAGE("https://images.lululemon.com/is/image/lululemon/0001",1)</f>
        <v/>
      </c>
      <c r="J2421" s="5" t="inlineStr">
        <is>
          <t>O/S</t>
        </is>
      </c>
      <c r="K2421" s="5" t="inlineStr">
        <is>
          <t>225/225</t>
        </is>
      </c>
      <c r="L2421" s="5" t="inlineStr">
        <is>
          <t>Yes</t>
        </is>
      </c>
      <c r="M2421" s="5" t="inlineStr">
        <is>
          <t>Sport mode: activated. This insulated water bottle has a built-in straw lid and a slip-free texture to make one-handed drinking a breeze.</t>
        </is>
      </c>
      <c r="N2421" s="5" t="inlineStr">
        <is>
          <t>Bck-to-Life-Sprt-Bttle-18oz-Straw-Lid</t>
        </is>
      </c>
      <c r="O2421" s="5" t="inlineStr"/>
    </row>
    <row r="2422" ht="80" customHeight="1">
      <c r="A2422" s="4">
        <f>IMAGE("https://images.lululemon.com/is/image/lululemon/LW8AQ9S_0001_1?wid=320&amp;op_usm=0.8",1)</f>
        <v/>
      </c>
      <c r="B2422" s="4" t="inlineStr">
        <is>
          <t>Varsity High-Rise Pleated Tennis Skirt</t>
        </is>
      </c>
      <c r="C2422" s="4" t="inlineStr">
        <is>
          <t>151600819</t>
        </is>
      </c>
      <c r="D2422" s="4" t="inlineStr">
        <is>
          <t>151600819-black</t>
        </is>
      </c>
      <c r="E2422" s="4" t="inlineStr">
        <is>
          <t>RePleat HR Pleated Tennis Skirt BLK 2</t>
        </is>
      </c>
      <c r="F2422" s="4" t="inlineStr">
        <is>
          <t>$88.00</t>
        </is>
      </c>
      <c r="G2422" s="4" t="inlineStr">
        <is>
          <t>$44.00</t>
        </is>
      </c>
      <c r="H2422" s="4" t="inlineStr">
        <is>
          <t>Black</t>
        </is>
      </c>
      <c r="I2422" s="4">
        <f>IMAGE("https://images.lululemon.com/is/image/lululemon/0001",1)</f>
        <v/>
      </c>
      <c r="J2422" s="4" t="inlineStr">
        <is>
          <t>2</t>
        </is>
      </c>
      <c r="K2422" s="4" t="inlineStr">
        <is>
          <t>470/4667</t>
        </is>
      </c>
      <c r="L2422" s="4" t="inlineStr">
        <is>
          <t>Yes</t>
        </is>
      </c>
      <c r="M2422" s="4" t="inlineStr">
        <is>
          <t>Rule the court. This tennis skirt's weightless pleats and built-in shorts deliver distraction-free coverage.</t>
        </is>
      </c>
      <c r="N2422" s="4" t="inlineStr">
        <is>
          <t>HR-Pleated-Tennis-Skirt</t>
        </is>
      </c>
      <c r="O2422" s="4" t="inlineStr">
        <is>
          <t>Athletic Skirts, Skorts</t>
        </is>
      </c>
    </row>
    <row r="2423" ht="80" customHeight="1">
      <c r="A2423" s="7">
        <f>IMAGE("https://images.lululemon.com/is/image/lululemon/LW8AQ9S_0001_1?wid=320&amp;op_usm=0.8",1)</f>
        <v/>
      </c>
      <c r="B2423" s="7" t="inlineStr">
        <is>
          <t>Varsity High-Rise Pleated Tennis Skirt</t>
        </is>
      </c>
      <c r="C2423" s="7" t="inlineStr">
        <is>
          <t>151600867</t>
        </is>
      </c>
      <c r="D2423" s="7" t="inlineStr">
        <is>
          <t>151600867-black</t>
        </is>
      </c>
      <c r="E2423" s="7" t="inlineStr">
        <is>
          <t>RePleat HR Pleated Tennis Skirt BLK 2</t>
        </is>
      </c>
      <c r="F2423" s="7" t="inlineStr">
        <is>
          <t>$88.00</t>
        </is>
      </c>
      <c r="G2423" s="7" t="inlineStr">
        <is>
          <t>$44.00</t>
        </is>
      </c>
      <c r="H2423" s="7" t="inlineStr">
        <is>
          <t>Black</t>
        </is>
      </c>
      <c r="I2423" s="7">
        <f>IMAGE("https://images.lululemon.com/is/image/lululemon/0001",1)</f>
        <v/>
      </c>
      <c r="J2423" s="7" t="inlineStr">
        <is>
          <t>4</t>
        </is>
      </c>
      <c r="K2423" s="7" t="inlineStr">
        <is>
          <t>535/4667</t>
        </is>
      </c>
      <c r="L2423" s="7" t="inlineStr">
        <is>
          <t>Yes</t>
        </is>
      </c>
      <c r="M2423" s="7" t="inlineStr">
        <is>
          <t>Rule the court. This tennis skirt's weightless pleats and built-in shorts deliver distraction-free coverage.</t>
        </is>
      </c>
      <c r="N2423" s="7" t="inlineStr">
        <is>
          <t>HR-Pleated-Tennis-Skirt</t>
        </is>
      </c>
      <c r="O2423" s="7" t="inlineStr">
        <is>
          <t>Athletic Skirts, Skorts</t>
        </is>
      </c>
    </row>
    <row r="2424" ht="80" customHeight="1">
      <c r="A2424" s="4">
        <f>IMAGE("https://images.lululemon.com/is/image/lululemon/LW8AQ9S_0001_1?wid=320&amp;op_usm=0.8",1)</f>
        <v/>
      </c>
      <c r="B2424" s="4" t="inlineStr">
        <is>
          <t>Varsity High-Rise Pleated Tennis Skirt</t>
        </is>
      </c>
      <c r="C2424" s="4" t="inlineStr">
        <is>
          <t>151600876</t>
        </is>
      </c>
      <c r="D2424" s="4" t="inlineStr">
        <is>
          <t>151600876-black</t>
        </is>
      </c>
      <c r="E2424" s="4" t="inlineStr">
        <is>
          <t>RePleat HR Pleated Tennis Skirt BLK 2</t>
        </is>
      </c>
      <c r="F2424" s="4" t="inlineStr">
        <is>
          <t>$88.00</t>
        </is>
      </c>
      <c r="G2424" s="4" t="inlineStr">
        <is>
          <t>$44.00</t>
        </is>
      </c>
      <c r="H2424" s="4" t="inlineStr">
        <is>
          <t>Black</t>
        </is>
      </c>
      <c r="I2424" s="4">
        <f>IMAGE("https://images.lululemon.com/is/image/lululemon/0001",1)</f>
        <v/>
      </c>
      <c r="J2424" s="4" t="inlineStr">
        <is>
          <t>6</t>
        </is>
      </c>
      <c r="K2424" s="4" t="inlineStr">
        <is>
          <t>597/4667</t>
        </is>
      </c>
      <c r="L2424" s="4" t="inlineStr">
        <is>
          <t>Yes</t>
        </is>
      </c>
      <c r="M2424" s="4" t="inlineStr">
        <is>
          <t>Rule the court. This tennis skirt's weightless pleats and built-in shorts deliver distraction-free coverage.</t>
        </is>
      </c>
      <c r="N2424" s="4" t="inlineStr">
        <is>
          <t>HR-Pleated-Tennis-Skirt</t>
        </is>
      </c>
      <c r="O2424" s="4" t="inlineStr">
        <is>
          <t>Athletic Skirts, Skorts</t>
        </is>
      </c>
    </row>
    <row r="2425" ht="80" customHeight="1">
      <c r="A2425" s="7">
        <f>IMAGE("https://images.lululemon.com/is/image/lululemon/LW8AQ9S_0001_1?wid=320&amp;op_usm=0.8",1)</f>
        <v/>
      </c>
      <c r="B2425" s="7" t="inlineStr">
        <is>
          <t>Varsity High-Rise Pleated Tennis Skirt</t>
        </is>
      </c>
      <c r="C2425" s="7" t="inlineStr">
        <is>
          <t>151600885</t>
        </is>
      </c>
      <c r="D2425" s="7" t="inlineStr">
        <is>
          <t>151600885-black</t>
        </is>
      </c>
      <c r="E2425" s="7" t="inlineStr">
        <is>
          <t>RePleat HR Pleated Tennis Skirt BLK 2</t>
        </is>
      </c>
      <c r="F2425" s="7" t="inlineStr">
        <is>
          <t>$88.00</t>
        </is>
      </c>
      <c r="G2425" s="7" t="inlineStr">
        <is>
          <t>$44.00</t>
        </is>
      </c>
      <c r="H2425" s="7" t="inlineStr">
        <is>
          <t>Black</t>
        </is>
      </c>
      <c r="I2425" s="7">
        <f>IMAGE("https://images.lululemon.com/is/image/lululemon/0001",1)</f>
        <v/>
      </c>
      <c r="J2425" s="7" t="inlineStr">
        <is>
          <t>8</t>
        </is>
      </c>
      <c r="K2425" s="7" t="inlineStr">
        <is>
          <t>351/4667</t>
        </is>
      </c>
      <c r="L2425" s="7" t="inlineStr">
        <is>
          <t>Yes</t>
        </is>
      </c>
      <c r="M2425" s="7" t="inlineStr">
        <is>
          <t>Rule the court. This tennis skirt's weightless pleats and built-in shorts deliver distraction-free coverage.</t>
        </is>
      </c>
      <c r="N2425" s="7" t="inlineStr">
        <is>
          <t>HR-Pleated-Tennis-Skirt</t>
        </is>
      </c>
      <c r="O2425" s="7" t="inlineStr">
        <is>
          <t>Athletic Skirts, Skorts</t>
        </is>
      </c>
    </row>
    <row r="2426" ht="80" customHeight="1">
      <c r="A2426" s="4">
        <f>IMAGE("https://images.lululemon.com/is/image/lululemon/LW8AQ9S_0001_1?wid=320&amp;op_usm=0.8",1)</f>
        <v/>
      </c>
      <c r="B2426" s="4" t="inlineStr">
        <is>
          <t>Varsity High-Rise Pleated Tennis Skirt</t>
        </is>
      </c>
      <c r="C2426" s="4" t="inlineStr">
        <is>
          <t>151600768</t>
        </is>
      </c>
      <c r="D2426" s="4" t="inlineStr">
        <is>
          <t>151600768-black</t>
        </is>
      </c>
      <c r="E2426" s="4" t="inlineStr">
        <is>
          <t>RePleat HR Pleated Tennis Skirt BLK 2</t>
        </is>
      </c>
      <c r="F2426" s="4" t="inlineStr">
        <is>
          <t>$88.00</t>
        </is>
      </c>
      <c r="G2426" s="4" t="inlineStr">
        <is>
          <t>$44.00</t>
        </is>
      </c>
      <c r="H2426" s="4" t="inlineStr">
        <is>
          <t>Black</t>
        </is>
      </c>
      <c r="I2426" s="4">
        <f>IMAGE("https://images.lululemon.com/is/image/lululemon/0001",1)</f>
        <v/>
      </c>
      <c r="J2426" s="4" t="inlineStr">
        <is>
          <t>10</t>
        </is>
      </c>
      <c r="K2426" s="4" t="inlineStr">
        <is>
          <t>114/4667</t>
        </is>
      </c>
      <c r="L2426" s="4" t="inlineStr">
        <is>
          <t>Yes</t>
        </is>
      </c>
      <c r="M2426" s="4" t="inlineStr">
        <is>
          <t>Rule the court. This tennis skirt's weightless pleats and built-in shorts deliver distraction-free coverage.</t>
        </is>
      </c>
      <c r="N2426" s="4" t="inlineStr">
        <is>
          <t>HR-Pleated-Tennis-Skirt</t>
        </is>
      </c>
      <c r="O2426" s="4" t="inlineStr">
        <is>
          <t>Athletic Skirts, Skorts</t>
        </is>
      </c>
    </row>
    <row r="2427" ht="80" customHeight="1">
      <c r="A2427" s="7">
        <f>IMAGE("https://images.lululemon.com/is/image/lululemon/LW8AQ9S_0001_1?wid=320&amp;op_usm=0.8",1)</f>
        <v/>
      </c>
      <c r="B2427" s="7" t="inlineStr">
        <is>
          <t>Varsity High-Rise Pleated Tennis Skirt</t>
        </is>
      </c>
      <c r="C2427" s="7" t="inlineStr">
        <is>
          <t>151600777</t>
        </is>
      </c>
      <c r="D2427" s="7" t="inlineStr">
        <is>
          <t>151600777-black</t>
        </is>
      </c>
      <c r="E2427" s="7" t="inlineStr">
        <is>
          <t>RePleat HR Pleated Tennis Skirt BLK 2</t>
        </is>
      </c>
      <c r="F2427" s="7" t="inlineStr">
        <is>
          <t>$88.00</t>
        </is>
      </c>
      <c r="G2427" s="7" t="inlineStr">
        <is>
          <t>$44.00</t>
        </is>
      </c>
      <c r="H2427" s="7" t="inlineStr">
        <is>
          <t>Black</t>
        </is>
      </c>
      <c r="I2427" s="7">
        <f>IMAGE("https://images.lululemon.com/is/image/lululemon/0001",1)</f>
        <v/>
      </c>
      <c r="J2427" s="7" t="inlineStr">
        <is>
          <t>12</t>
        </is>
      </c>
      <c r="K2427" s="7" t="inlineStr">
        <is>
          <t>145/4667</t>
        </is>
      </c>
      <c r="L2427" s="7" t="inlineStr">
        <is>
          <t>Yes</t>
        </is>
      </c>
      <c r="M2427" s="7" t="inlineStr">
        <is>
          <t>Rule the court. This tennis skirt's weightless pleats and built-in shorts deliver distraction-free coverage.</t>
        </is>
      </c>
      <c r="N2427" s="7" t="inlineStr">
        <is>
          <t>HR-Pleated-Tennis-Skirt</t>
        </is>
      </c>
      <c r="O2427" s="7" t="inlineStr">
        <is>
          <t>Athletic Skirts, Skorts</t>
        </is>
      </c>
    </row>
    <row r="2428" ht="80" customHeight="1">
      <c r="A2428" s="4">
        <f>IMAGE("https://images.lululemon.com/is/image/lululemon/LW8AQ9S_0001_1?wid=320&amp;op_usm=0.8",1)</f>
        <v/>
      </c>
      <c r="B2428" s="4" t="inlineStr">
        <is>
          <t>Varsity High-Rise Pleated Tennis Skirt</t>
        </is>
      </c>
      <c r="C2428" s="4" t="inlineStr">
        <is>
          <t>151601581</t>
        </is>
      </c>
      <c r="D2428" s="4" t="inlineStr">
        <is>
          <t>151601581-white</t>
        </is>
      </c>
      <c r="E2428" s="4" t="inlineStr">
        <is>
          <t>RePleat HR Pleated Tennis Skirt BLK 2</t>
        </is>
      </c>
      <c r="F2428" s="4" t="inlineStr">
        <is>
          <t>$88.00</t>
        </is>
      </c>
      <c r="G2428" s="4" t="inlineStr">
        <is>
          <t>$44.00</t>
        </is>
      </c>
      <c r="H2428" s="4" t="inlineStr">
        <is>
          <t>White</t>
        </is>
      </c>
      <c r="I2428" s="4">
        <f>IMAGE("https://images.lululemon.com/is/image/lululemon/0002",1)</f>
        <v/>
      </c>
      <c r="J2428" s="4" t="inlineStr">
        <is>
          <t>2</t>
        </is>
      </c>
      <c r="K2428" s="4" t="inlineStr">
        <is>
          <t>407/4667</t>
        </is>
      </c>
      <c r="L2428" s="4" t="inlineStr">
        <is>
          <t>Yes</t>
        </is>
      </c>
      <c r="M2428" s="4" t="inlineStr">
        <is>
          <t>Rule the court. This tennis skirt's weightless pleats and built-in shorts deliver distraction-free coverage.</t>
        </is>
      </c>
      <c r="N2428" s="4" t="inlineStr">
        <is>
          <t>HR-Pleated-Tennis-Skirt</t>
        </is>
      </c>
      <c r="O2428" s="4" t="inlineStr">
        <is>
          <t>Athletic Skirts, Skorts</t>
        </is>
      </c>
    </row>
    <row r="2429" ht="80" customHeight="1">
      <c r="A2429" s="7">
        <f>IMAGE("https://images.lululemon.com/is/image/lululemon/LW8AQ9S_0001_1?wid=320&amp;op_usm=0.8",1)</f>
        <v/>
      </c>
      <c r="B2429" s="7" t="inlineStr">
        <is>
          <t>Varsity High-Rise Pleated Tennis Skirt</t>
        </is>
      </c>
      <c r="C2429" s="7" t="inlineStr">
        <is>
          <t>151601620</t>
        </is>
      </c>
      <c r="D2429" s="7" t="inlineStr">
        <is>
          <t>151601620-white</t>
        </is>
      </c>
      <c r="E2429" s="7" t="inlineStr">
        <is>
          <t>RePleat HR Pleated Tennis Skirt BLK 2</t>
        </is>
      </c>
      <c r="F2429" s="7" t="inlineStr">
        <is>
          <t>$88.00</t>
        </is>
      </c>
      <c r="G2429" s="7" t="inlineStr">
        <is>
          <t>$44.00</t>
        </is>
      </c>
      <c r="H2429" s="7" t="inlineStr">
        <is>
          <t>White</t>
        </is>
      </c>
      <c r="I2429" s="7">
        <f>IMAGE("https://images.lululemon.com/is/image/lululemon/0002",1)</f>
        <v/>
      </c>
      <c r="J2429" s="7" t="inlineStr">
        <is>
          <t>4</t>
        </is>
      </c>
      <c r="K2429" s="7" t="inlineStr">
        <is>
          <t>411/4667</t>
        </is>
      </c>
      <c r="L2429" s="7" t="inlineStr">
        <is>
          <t>Yes</t>
        </is>
      </c>
      <c r="M2429" s="7" t="inlineStr">
        <is>
          <t>Rule the court. This tennis skirt's weightless pleats and built-in shorts deliver distraction-free coverage.</t>
        </is>
      </c>
      <c r="N2429" s="7" t="inlineStr">
        <is>
          <t>HR-Pleated-Tennis-Skirt</t>
        </is>
      </c>
      <c r="O2429" s="7" t="inlineStr">
        <is>
          <t>Athletic Skirts, Skorts</t>
        </is>
      </c>
    </row>
    <row r="2430" ht="80" customHeight="1">
      <c r="A2430" s="4">
        <f>IMAGE("https://images.lululemon.com/is/image/lululemon/LW8AQ9S_0001_1?wid=320&amp;op_usm=0.8",1)</f>
        <v/>
      </c>
      <c r="B2430" s="4" t="inlineStr">
        <is>
          <t>Varsity High-Rise Pleated Tennis Skirt</t>
        </is>
      </c>
      <c r="C2430" s="4" t="inlineStr">
        <is>
          <t>151601632</t>
        </is>
      </c>
      <c r="D2430" s="4" t="inlineStr">
        <is>
          <t>151601632-white</t>
        </is>
      </c>
      <c r="E2430" s="4" t="inlineStr">
        <is>
          <t>RePleat HR Pleated Tennis Skirt BLK 2</t>
        </is>
      </c>
      <c r="F2430" s="4" t="inlineStr">
        <is>
          <t>$88.00</t>
        </is>
      </c>
      <c r="G2430" s="4" t="inlineStr">
        <is>
          <t>$44.00</t>
        </is>
      </c>
      <c r="H2430" s="4" t="inlineStr">
        <is>
          <t>White</t>
        </is>
      </c>
      <c r="I2430" s="4">
        <f>IMAGE("https://images.lululemon.com/is/image/lululemon/0002",1)</f>
        <v/>
      </c>
      <c r="J2430" s="4" t="inlineStr">
        <is>
          <t>6</t>
        </is>
      </c>
      <c r="K2430" s="4" t="inlineStr">
        <is>
          <t>455/4667</t>
        </is>
      </c>
      <c r="L2430" s="4" t="inlineStr">
        <is>
          <t>Yes</t>
        </is>
      </c>
      <c r="M2430" s="4" t="inlineStr">
        <is>
          <t>Rule the court. This tennis skirt's weightless pleats and built-in shorts deliver distraction-free coverage.</t>
        </is>
      </c>
      <c r="N2430" s="4" t="inlineStr">
        <is>
          <t>HR-Pleated-Tennis-Skirt</t>
        </is>
      </c>
      <c r="O2430" s="4" t="inlineStr">
        <is>
          <t>Athletic Skirts, Skorts</t>
        </is>
      </c>
    </row>
    <row r="2431" ht="80" customHeight="1">
      <c r="A2431" s="7">
        <f>IMAGE("https://images.lululemon.com/is/image/lululemon/LW8AQ9S_0001_1?wid=320&amp;op_usm=0.8",1)</f>
        <v/>
      </c>
      <c r="B2431" s="7" t="inlineStr">
        <is>
          <t>Varsity High-Rise Pleated Tennis Skirt</t>
        </is>
      </c>
      <c r="C2431" s="7" t="inlineStr">
        <is>
          <t>151601639</t>
        </is>
      </c>
      <c r="D2431" s="7" t="inlineStr">
        <is>
          <t>151601639-white</t>
        </is>
      </c>
      <c r="E2431" s="7" t="inlineStr">
        <is>
          <t>RePleat HR Pleated Tennis Skirt BLK 2</t>
        </is>
      </c>
      <c r="F2431" s="7" t="inlineStr">
        <is>
          <t>$88.00</t>
        </is>
      </c>
      <c r="G2431" s="7" t="inlineStr">
        <is>
          <t>$44.00</t>
        </is>
      </c>
      <c r="H2431" s="7" t="inlineStr">
        <is>
          <t>White</t>
        </is>
      </c>
      <c r="I2431" s="7">
        <f>IMAGE("https://images.lululemon.com/is/image/lululemon/0002",1)</f>
        <v/>
      </c>
      <c r="J2431" s="7" t="inlineStr">
        <is>
          <t>8</t>
        </is>
      </c>
      <c r="K2431" s="7" t="inlineStr">
        <is>
          <t>76/4667</t>
        </is>
      </c>
      <c r="L2431" s="7" t="inlineStr">
        <is>
          <t>Yes</t>
        </is>
      </c>
      <c r="M2431" s="7" t="inlineStr">
        <is>
          <t>Rule the court. This tennis skirt's weightless pleats and built-in shorts deliver distraction-free coverage.</t>
        </is>
      </c>
      <c r="N2431" s="7" t="inlineStr">
        <is>
          <t>HR-Pleated-Tennis-Skirt</t>
        </is>
      </c>
      <c r="O2431" s="7" t="inlineStr">
        <is>
          <t>Athletic Skirts, Skorts</t>
        </is>
      </c>
    </row>
    <row r="2432" ht="80" customHeight="1">
      <c r="A2432" s="4">
        <f>IMAGE("https://images.lululemon.com/is/image/lululemon/LW8AQ9S_0001_1?wid=320&amp;op_usm=0.8",1)</f>
        <v/>
      </c>
      <c r="B2432" s="4" t="inlineStr">
        <is>
          <t>Varsity High-Rise Pleated Tennis Skirt</t>
        </is>
      </c>
      <c r="C2432" s="4" t="inlineStr">
        <is>
          <t>151601537</t>
        </is>
      </c>
      <c r="D2432" s="4" t="inlineStr">
        <is>
          <t>151601537-white</t>
        </is>
      </c>
      <c r="E2432" s="4" t="inlineStr">
        <is>
          <t>RePleat HR Pleated Tennis Skirt BLK 2</t>
        </is>
      </c>
      <c r="F2432" s="4" t="inlineStr">
        <is>
          <t>$88.00</t>
        </is>
      </c>
      <c r="G2432" s="4" t="inlineStr">
        <is>
          <t>$44.00</t>
        </is>
      </c>
      <c r="H2432" s="4" t="inlineStr">
        <is>
          <t>White</t>
        </is>
      </c>
      <c r="I2432" s="4">
        <f>IMAGE("https://images.lululemon.com/is/image/lululemon/0002",1)</f>
        <v/>
      </c>
      <c r="J2432" s="4" t="inlineStr">
        <is>
          <t>10</t>
        </is>
      </c>
      <c r="K2432" s="4" t="inlineStr">
        <is>
          <t>185/4667</t>
        </is>
      </c>
      <c r="L2432" s="4" t="inlineStr">
        <is>
          <t>Yes</t>
        </is>
      </c>
      <c r="M2432" s="4" t="inlineStr">
        <is>
          <t>Rule the court. This tennis skirt's weightless pleats and built-in shorts deliver distraction-free coverage.</t>
        </is>
      </c>
      <c r="N2432" s="4" t="inlineStr">
        <is>
          <t>HR-Pleated-Tennis-Skirt</t>
        </is>
      </c>
      <c r="O2432" s="4" t="inlineStr">
        <is>
          <t>Athletic Skirts, Skorts</t>
        </is>
      </c>
    </row>
    <row r="2433" ht="80" customHeight="1">
      <c r="A2433" s="7">
        <f>IMAGE("https://images.lululemon.com/is/image/lululemon/LW8AQ9S_0001_1?wid=320&amp;op_usm=0.8",1)</f>
        <v/>
      </c>
      <c r="B2433" s="7" t="inlineStr">
        <is>
          <t>Varsity High-Rise Pleated Tennis Skirt</t>
        </is>
      </c>
      <c r="C2433" s="7" t="inlineStr">
        <is>
          <t>151601542</t>
        </is>
      </c>
      <c r="D2433" s="7" t="inlineStr">
        <is>
          <t>151601542-white</t>
        </is>
      </c>
      <c r="E2433" s="7" t="inlineStr">
        <is>
          <t>RePleat HR Pleated Tennis Skirt BLK 2</t>
        </is>
      </c>
      <c r="F2433" s="7" t="inlineStr">
        <is>
          <t>$88.00</t>
        </is>
      </c>
      <c r="G2433" s="7" t="inlineStr">
        <is>
          <t>$44.00</t>
        </is>
      </c>
      <c r="H2433" s="7" t="inlineStr">
        <is>
          <t>White</t>
        </is>
      </c>
      <c r="I2433" s="7">
        <f>IMAGE("https://images.lululemon.com/is/image/lululemon/0002",1)</f>
        <v/>
      </c>
      <c r="J2433" s="7" t="inlineStr">
        <is>
          <t>12</t>
        </is>
      </c>
      <c r="K2433" s="7" t="inlineStr">
        <is>
          <t>156/4667</t>
        </is>
      </c>
      <c r="L2433" s="7" t="inlineStr">
        <is>
          <t>Yes</t>
        </is>
      </c>
      <c r="M2433" s="7" t="inlineStr">
        <is>
          <t>Rule the court. This tennis skirt's weightless pleats and built-in shorts deliver distraction-free coverage.</t>
        </is>
      </c>
      <c r="N2433" s="7" t="inlineStr">
        <is>
          <t>HR-Pleated-Tennis-Skirt</t>
        </is>
      </c>
      <c r="O2433" s="7" t="inlineStr">
        <is>
          <t>Athletic Skirts, Skorts</t>
        </is>
      </c>
    </row>
    <row r="2434" ht="80" customHeight="1">
      <c r="A2434" s="4">
        <f>IMAGE("https://images.lululemon.com/is/image/lululemon/LW8AQ9S_0001_1?wid=320&amp;op_usm=0.8",1)</f>
        <v/>
      </c>
      <c r="B2434" s="4" t="inlineStr">
        <is>
          <t>Varsity High-Rise Pleated Tennis Skirt</t>
        </is>
      </c>
      <c r="C2434" s="4" t="inlineStr">
        <is>
          <t>156502056</t>
        </is>
      </c>
      <c r="D2434" s="4" t="inlineStr">
        <is>
          <t>156502056-racewaygreen</t>
        </is>
      </c>
      <c r="E2434" s="4" t="inlineStr">
        <is>
          <t>RePleat HR Pleated Tennis Skirt BLK 2</t>
        </is>
      </c>
      <c r="F2434" s="4" t="inlineStr">
        <is>
          <t>$88.00</t>
        </is>
      </c>
      <c r="G2434" s="4" t="inlineStr">
        <is>
          <t>$44.00</t>
        </is>
      </c>
      <c r="H2434" s="4" t="inlineStr">
        <is>
          <t>Raceway Green</t>
        </is>
      </c>
      <c r="I2434" s="4">
        <f>IMAGE("https://images.lululemon.com/is/image/lululemon/62468",1)</f>
        <v/>
      </c>
      <c r="J2434" s="4" t="inlineStr">
        <is>
          <t>2</t>
        </is>
      </c>
      <c r="K2434" s="4" t="inlineStr">
        <is>
          <t>136/4667</t>
        </is>
      </c>
      <c r="L2434" s="4" t="inlineStr">
        <is>
          <t>Yes</t>
        </is>
      </c>
      <c r="M2434" s="4" t="inlineStr">
        <is>
          <t>Rule the court. This tennis skirt's weightless pleats and built-in shorts deliver distraction-free coverage.</t>
        </is>
      </c>
      <c r="N2434" s="4" t="inlineStr">
        <is>
          <t>HR-Pleated-Tennis-Skirt</t>
        </is>
      </c>
      <c r="O2434" s="4" t="inlineStr">
        <is>
          <t>Athletic Skirts, Skorts</t>
        </is>
      </c>
    </row>
    <row r="2435" ht="80" customHeight="1">
      <c r="A2435" s="7">
        <f>IMAGE("https://images.lululemon.com/is/image/lululemon/LW8AQ9S_0001_1?wid=320&amp;op_usm=0.8",1)</f>
        <v/>
      </c>
      <c r="B2435" s="7" t="inlineStr">
        <is>
          <t>Varsity High-Rise Pleated Tennis Skirt</t>
        </is>
      </c>
      <c r="C2435" s="7" t="inlineStr">
        <is>
          <t>156502079</t>
        </is>
      </c>
      <c r="D2435" s="7" t="inlineStr">
        <is>
          <t>156502079-racewaygreen</t>
        </is>
      </c>
      <c r="E2435" s="7" t="inlineStr">
        <is>
          <t>RePleat HR Pleated Tennis Skirt BLK 2</t>
        </is>
      </c>
      <c r="F2435" s="7" t="inlineStr">
        <is>
          <t>$88.00</t>
        </is>
      </c>
      <c r="G2435" s="7" t="inlineStr">
        <is>
          <t>$44.00</t>
        </is>
      </c>
      <c r="H2435" s="7" t="inlineStr">
        <is>
          <t>Raceway Green</t>
        </is>
      </c>
      <c r="I2435" s="7">
        <f>IMAGE("https://images.lululemon.com/is/image/lululemon/62468",1)</f>
        <v/>
      </c>
      <c r="J2435" s="7" t="inlineStr">
        <is>
          <t>4</t>
        </is>
      </c>
      <c r="K2435" s="7" t="inlineStr">
        <is>
          <t>103/4667</t>
        </is>
      </c>
      <c r="L2435" s="7" t="inlineStr">
        <is>
          <t>Yes</t>
        </is>
      </c>
      <c r="M2435" s="7" t="inlineStr">
        <is>
          <t>Rule the court. This tennis skirt's weightless pleats and built-in shorts deliver distraction-free coverage.</t>
        </is>
      </c>
      <c r="N2435" s="7" t="inlineStr">
        <is>
          <t>HR-Pleated-Tennis-Skirt</t>
        </is>
      </c>
      <c r="O2435" s="7" t="inlineStr">
        <is>
          <t>Athletic Skirts, Skorts</t>
        </is>
      </c>
    </row>
    <row r="2436" ht="80" customHeight="1">
      <c r="A2436" s="4">
        <f>IMAGE("https://images.lululemon.com/is/image/lululemon/LW8AQ9S_0001_1?wid=320&amp;op_usm=0.8",1)</f>
        <v/>
      </c>
      <c r="B2436" s="4" t="inlineStr">
        <is>
          <t>Varsity High-Rise Pleated Tennis Skirt</t>
        </is>
      </c>
      <c r="C2436" s="4" t="inlineStr">
        <is>
          <t>156502083</t>
        </is>
      </c>
      <c r="D2436" s="4" t="inlineStr">
        <is>
          <t>156502083-racewaygreen</t>
        </is>
      </c>
      <c r="E2436" s="4" t="inlineStr">
        <is>
          <t>RePleat HR Pleated Tennis Skirt BLK 2</t>
        </is>
      </c>
      <c r="F2436" s="4" t="inlineStr">
        <is>
          <t>$88.00</t>
        </is>
      </c>
      <c r="G2436" s="4" t="inlineStr">
        <is>
          <t>$44.00</t>
        </is>
      </c>
      <c r="H2436" s="4" t="inlineStr">
        <is>
          <t>Raceway Green</t>
        </is>
      </c>
      <c r="I2436" s="4">
        <f>IMAGE("https://images.lululemon.com/is/image/lululemon/62468",1)</f>
        <v/>
      </c>
      <c r="J2436" s="4" t="inlineStr">
        <is>
          <t>6</t>
        </is>
      </c>
      <c r="K2436" s="4" t="inlineStr">
        <is>
          <t>135/4667</t>
        </is>
      </c>
      <c r="L2436" s="4" t="inlineStr">
        <is>
          <t>Yes</t>
        </is>
      </c>
      <c r="M2436" s="4" t="inlineStr">
        <is>
          <t>Rule the court. This tennis skirt's weightless pleats and built-in shorts deliver distraction-free coverage.</t>
        </is>
      </c>
      <c r="N2436" s="4" t="inlineStr">
        <is>
          <t>HR-Pleated-Tennis-Skirt</t>
        </is>
      </c>
      <c r="O2436" s="4" t="inlineStr">
        <is>
          <t>Athletic Skirts, Skorts</t>
        </is>
      </c>
    </row>
    <row r="2437" ht="80" customHeight="1">
      <c r="A2437" s="7">
        <f>IMAGE("https://images.lululemon.com/is/image/lululemon/LW8AQ9S_0001_1?wid=320&amp;op_usm=0.8",1)</f>
        <v/>
      </c>
      <c r="B2437" s="7" t="inlineStr">
        <is>
          <t>Varsity High-Rise Pleated Tennis Skirt</t>
        </is>
      </c>
      <c r="C2437" s="7" t="inlineStr">
        <is>
          <t>156502088</t>
        </is>
      </c>
      <c r="D2437" s="7" t="inlineStr">
        <is>
          <t>156502088-racewaygreen</t>
        </is>
      </c>
      <c r="E2437" s="7" t="inlineStr">
        <is>
          <t>RePleat HR Pleated Tennis Skirt BLK 2</t>
        </is>
      </c>
      <c r="F2437" s="7" t="inlineStr">
        <is>
          <t>$88.00</t>
        </is>
      </c>
      <c r="G2437" s="7" t="inlineStr">
        <is>
          <t>$44.00</t>
        </is>
      </c>
      <c r="H2437" s="7" t="inlineStr">
        <is>
          <t>Raceway Green</t>
        </is>
      </c>
      <c r="I2437" s="7">
        <f>IMAGE("https://images.lululemon.com/is/image/lululemon/62468",1)</f>
        <v/>
      </c>
      <c r="J2437" s="7" t="inlineStr">
        <is>
          <t>8</t>
        </is>
      </c>
      <c r="K2437" s="7" t="inlineStr">
        <is>
          <t>3/4667</t>
        </is>
      </c>
      <c r="L2437" s="7" t="inlineStr">
        <is>
          <t>Yes</t>
        </is>
      </c>
      <c r="M2437" s="7" t="inlineStr">
        <is>
          <t>Rule the court. This tennis skirt's weightless pleats and built-in shorts deliver distraction-free coverage.</t>
        </is>
      </c>
      <c r="N2437" s="7" t="inlineStr">
        <is>
          <t>HR-Pleated-Tennis-Skirt</t>
        </is>
      </c>
      <c r="O2437" s="7" t="inlineStr">
        <is>
          <t>Athletic Skirts, Skorts</t>
        </is>
      </c>
    </row>
    <row r="2438" ht="80" customHeight="1">
      <c r="A2438" s="4">
        <f>IMAGE("https://images.lululemon.com/is/image/lululemon/LW8AQ9S_0001_1?wid=320&amp;op_usm=0.8",1)</f>
        <v/>
      </c>
      <c r="B2438" s="4" t="inlineStr">
        <is>
          <t>Varsity High-Rise Pleated Tennis Skirt</t>
        </is>
      </c>
      <c r="C2438" s="4" t="inlineStr">
        <is>
          <t>156502033</t>
        </is>
      </c>
      <c r="D2438" s="4" t="inlineStr">
        <is>
          <t>156502033-racewaygreen</t>
        </is>
      </c>
      <c r="E2438" s="4" t="inlineStr">
        <is>
          <t>RePleat HR Pleated Tennis Skirt BLK 2</t>
        </is>
      </c>
      <c r="F2438" s="4" t="inlineStr">
        <is>
          <t>$88.00</t>
        </is>
      </c>
      <c r="G2438" s="4" t="inlineStr">
        <is>
          <t>$44.00</t>
        </is>
      </c>
      <c r="H2438" s="4" t="inlineStr">
        <is>
          <t>Raceway Green</t>
        </is>
      </c>
      <c r="I2438" s="4">
        <f>IMAGE("https://images.lululemon.com/is/image/lululemon/62468",1)</f>
        <v/>
      </c>
      <c r="J2438" s="4" t="inlineStr">
        <is>
          <t>10</t>
        </is>
      </c>
      <c r="K2438" s="4" t="inlineStr">
        <is>
          <t>4/4667</t>
        </is>
      </c>
      <c r="L2438" s="4" t="inlineStr">
        <is>
          <t>Yes</t>
        </is>
      </c>
      <c r="M2438" s="4" t="inlineStr">
        <is>
          <t>Rule the court. This tennis skirt's weightless pleats and built-in shorts deliver distraction-free coverage.</t>
        </is>
      </c>
      <c r="N2438" s="4" t="inlineStr">
        <is>
          <t>HR-Pleated-Tennis-Skirt</t>
        </is>
      </c>
      <c r="O2438" s="4" t="inlineStr">
        <is>
          <t>Athletic Skirts, Skorts</t>
        </is>
      </c>
    </row>
    <row r="2439" ht="80" customHeight="1">
      <c r="A2439" s="7">
        <f>IMAGE("https://images.lululemon.com/is/image/lululemon/LW8AQ9S_0001_1?wid=320&amp;op_usm=0.8",1)</f>
        <v/>
      </c>
      <c r="B2439" s="7" t="inlineStr">
        <is>
          <t>Varsity High-Rise Pleated Tennis Skirt</t>
        </is>
      </c>
      <c r="C2439" s="7" t="inlineStr">
        <is>
          <t>158020696</t>
        </is>
      </c>
      <c r="D2439" s="7" t="inlineStr">
        <is>
          <t>158020696-oxfordred</t>
        </is>
      </c>
      <c r="E2439" s="7" t="inlineStr">
        <is>
          <t>RePleat HR Pleated Tennis Skirt BLK 2</t>
        </is>
      </c>
      <c r="F2439" s="7" t="inlineStr">
        <is>
          <t>$88.00</t>
        </is>
      </c>
      <c r="G2439" s="7" t="inlineStr">
        <is>
          <t>$44.00</t>
        </is>
      </c>
      <c r="H2439" s="7" t="inlineStr">
        <is>
          <t>Oxford Red</t>
        </is>
      </c>
      <c r="I2439" s="7">
        <f>IMAGE("https://images.lululemon.com/is/image/lululemon/72757",1)</f>
        <v/>
      </c>
      <c r="J2439" s="7" t="inlineStr">
        <is>
          <t>2</t>
        </is>
      </c>
      <c r="K2439" s="7" t="inlineStr">
        <is>
          <t>54/4667</t>
        </is>
      </c>
      <c r="L2439" s="7" t="inlineStr">
        <is>
          <t>Yes</t>
        </is>
      </c>
      <c r="M2439" s="7" t="inlineStr">
        <is>
          <t>Rule the court. This tennis skirt's weightless pleats and built-in shorts deliver distraction-free coverage.</t>
        </is>
      </c>
      <c r="N2439" s="7" t="inlineStr">
        <is>
          <t>HR-Pleated-Tennis-Skirt</t>
        </is>
      </c>
      <c r="O2439" s="7" t="inlineStr">
        <is>
          <t>Athletic Skirts, Skorts</t>
        </is>
      </c>
    </row>
    <row r="2440" ht="80" customHeight="1">
      <c r="A2440" s="4">
        <f>IMAGE("https://images.lululemon.com/is/image/lululemon/LW8AQ9S_0001_1?wid=320&amp;op_usm=0.8",1)</f>
        <v/>
      </c>
      <c r="B2440" s="4" t="inlineStr">
        <is>
          <t>Varsity High-Rise Pleated Tennis Skirt</t>
        </is>
      </c>
      <c r="C2440" s="4" t="inlineStr">
        <is>
          <t>158020708</t>
        </is>
      </c>
      <c r="D2440" s="4" t="inlineStr">
        <is>
          <t>158020708-oxfordred</t>
        </is>
      </c>
      <c r="E2440" s="4" t="inlineStr">
        <is>
          <t>RePleat HR Pleated Tennis Skirt BLK 2</t>
        </is>
      </c>
      <c r="F2440" s="4" t="inlineStr">
        <is>
          <t>$88.00</t>
        </is>
      </c>
      <c r="G2440" s="4" t="inlineStr">
        <is>
          <t>$44.00</t>
        </is>
      </c>
      <c r="H2440" s="4" t="inlineStr">
        <is>
          <t>Oxford Red</t>
        </is>
      </c>
      <c r="I2440" s="4">
        <f>IMAGE("https://images.lululemon.com/is/image/lululemon/72757",1)</f>
        <v/>
      </c>
      <c r="J2440" s="4" t="inlineStr">
        <is>
          <t>4</t>
        </is>
      </c>
      <c r="K2440" s="4" t="inlineStr">
        <is>
          <t>94/4667</t>
        </is>
      </c>
      <c r="L2440" s="4" t="inlineStr">
        <is>
          <t>Yes</t>
        </is>
      </c>
      <c r="M2440" s="4" t="inlineStr">
        <is>
          <t>Rule the court. This tennis skirt's weightless pleats and built-in shorts deliver distraction-free coverage.</t>
        </is>
      </c>
      <c r="N2440" s="4" t="inlineStr">
        <is>
          <t>HR-Pleated-Tennis-Skirt</t>
        </is>
      </c>
      <c r="O2440" s="4" t="inlineStr">
        <is>
          <t>Athletic Skirts, Skorts</t>
        </is>
      </c>
    </row>
    <row r="2441" ht="80" customHeight="1">
      <c r="A2441" s="7">
        <f>IMAGE("https://images.lululemon.com/is/image/lululemon/LW8AQ9S_0001_1?wid=320&amp;op_usm=0.8",1)</f>
        <v/>
      </c>
      <c r="B2441" s="7" t="inlineStr">
        <is>
          <t>Varsity High-Rise Pleated Tennis Skirt</t>
        </is>
      </c>
      <c r="C2441" s="7" t="inlineStr">
        <is>
          <t>158020719</t>
        </is>
      </c>
      <c r="D2441" s="7" t="inlineStr">
        <is>
          <t>158020719-oxfordred</t>
        </is>
      </c>
      <c r="E2441" s="7" t="inlineStr">
        <is>
          <t>RePleat HR Pleated Tennis Skirt BLK 2</t>
        </is>
      </c>
      <c r="F2441" s="7" t="inlineStr">
        <is>
          <t>$88.00</t>
        </is>
      </c>
      <c r="G2441" s="7" t="inlineStr">
        <is>
          <t>$44.00</t>
        </is>
      </c>
      <c r="H2441" s="7" t="inlineStr">
        <is>
          <t>Oxford Red</t>
        </is>
      </c>
      <c r="I2441" s="7">
        <f>IMAGE("https://images.lululemon.com/is/image/lululemon/72757",1)</f>
        <v/>
      </c>
      <c r="J2441" s="7" t="inlineStr">
        <is>
          <t>6</t>
        </is>
      </c>
      <c r="K2441" s="7" t="inlineStr">
        <is>
          <t>103/4667</t>
        </is>
      </c>
      <c r="L2441" s="7" t="inlineStr">
        <is>
          <t>Yes</t>
        </is>
      </c>
      <c r="M2441" s="7" t="inlineStr">
        <is>
          <t>Rule the court. This tennis skirt's weightless pleats and built-in shorts deliver distraction-free coverage.</t>
        </is>
      </c>
      <c r="N2441" s="7" t="inlineStr">
        <is>
          <t>HR-Pleated-Tennis-Skirt</t>
        </is>
      </c>
      <c r="O2441" s="7" t="inlineStr">
        <is>
          <t>Athletic Skirts, Skorts</t>
        </is>
      </c>
    </row>
    <row r="2442" ht="80" customHeight="1">
      <c r="A2442" s="4">
        <f>IMAGE("https://images.lululemon.com/is/image/lululemon/LW8AQ9S_0001_1?wid=320&amp;op_usm=0.8",1)</f>
        <v/>
      </c>
      <c r="B2442" s="4" t="inlineStr">
        <is>
          <t>Varsity High-Rise Pleated Tennis Skirt</t>
        </is>
      </c>
      <c r="C2442" s="4" t="inlineStr">
        <is>
          <t>158020730</t>
        </is>
      </c>
      <c r="D2442" s="4" t="inlineStr">
        <is>
          <t>158020730-oxfordred</t>
        </is>
      </c>
      <c r="E2442" s="4" t="inlineStr">
        <is>
          <t>RePleat HR Pleated Tennis Skirt BLK 2</t>
        </is>
      </c>
      <c r="F2442" s="4" t="inlineStr">
        <is>
          <t>$88.00</t>
        </is>
      </c>
      <c r="G2442" s="4" t="inlineStr">
        <is>
          <t>$44.00</t>
        </is>
      </c>
      <c r="H2442" s="4" t="inlineStr">
        <is>
          <t>Oxford Red</t>
        </is>
      </c>
      <c r="I2442" s="4">
        <f>IMAGE("https://images.lululemon.com/is/image/lululemon/72757",1)</f>
        <v/>
      </c>
      <c r="J2442" s="4" t="inlineStr">
        <is>
          <t>8</t>
        </is>
      </c>
      <c r="K2442" s="4" t="inlineStr">
        <is>
          <t>78/4667</t>
        </is>
      </c>
      <c r="L2442" s="4" t="inlineStr">
        <is>
          <t>Yes</t>
        </is>
      </c>
      <c r="M2442" s="4" t="inlineStr">
        <is>
          <t>Rule the court. This tennis skirt's weightless pleats and built-in shorts deliver distraction-free coverage.</t>
        </is>
      </c>
      <c r="N2442" s="4" t="inlineStr">
        <is>
          <t>HR-Pleated-Tennis-Skirt</t>
        </is>
      </c>
      <c r="O2442" s="4" t="inlineStr">
        <is>
          <t>Athletic Skirts, Skorts</t>
        </is>
      </c>
    </row>
    <row r="2443" ht="80" customHeight="1">
      <c r="A2443" s="7">
        <f>IMAGE("https://images.lululemon.com/is/image/lululemon/LW8AQ9S_0001_1?wid=320&amp;op_usm=0.8",1)</f>
        <v/>
      </c>
      <c r="B2443" s="7" t="inlineStr">
        <is>
          <t>Varsity High-Rise Pleated Tennis Skirt</t>
        </is>
      </c>
      <c r="C2443" s="7" t="inlineStr">
        <is>
          <t>158020658</t>
        </is>
      </c>
      <c r="D2443" s="7" t="inlineStr">
        <is>
          <t>158020658-oxfordred</t>
        </is>
      </c>
      <c r="E2443" s="7" t="inlineStr">
        <is>
          <t>RePleat HR Pleated Tennis Skirt BLK 2</t>
        </is>
      </c>
      <c r="F2443" s="7" t="inlineStr">
        <is>
          <t>$88.00</t>
        </is>
      </c>
      <c r="G2443" s="7" t="inlineStr">
        <is>
          <t>$44.00</t>
        </is>
      </c>
      <c r="H2443" s="7" t="inlineStr">
        <is>
          <t>Oxford Red</t>
        </is>
      </c>
      <c r="I2443" s="7">
        <f>IMAGE("https://images.lululemon.com/is/image/lululemon/72757",1)</f>
        <v/>
      </c>
      <c r="J2443" s="7" t="inlineStr">
        <is>
          <t>10</t>
        </is>
      </c>
      <c r="K2443" s="7" t="inlineStr">
        <is>
          <t>40/4667</t>
        </is>
      </c>
      <c r="L2443" s="7" t="inlineStr">
        <is>
          <t>Yes</t>
        </is>
      </c>
      <c r="M2443" s="7" t="inlineStr">
        <is>
          <t>Rule the court. This tennis skirt's weightless pleats and built-in shorts deliver distraction-free coverage.</t>
        </is>
      </c>
      <c r="N2443" s="7" t="inlineStr">
        <is>
          <t>HR-Pleated-Tennis-Skirt</t>
        </is>
      </c>
      <c r="O2443" s="7" t="inlineStr">
        <is>
          <t>Athletic Skirts, Skorts</t>
        </is>
      </c>
    </row>
    <row r="2444" ht="80" customHeight="1">
      <c r="A2444" s="6">
        <f>IMAGE("https://images.lululemon.com/is/image/lululemon/LW8AQ9S_0001_1?wid=320&amp;op_usm=0.8",1)</f>
        <v/>
      </c>
      <c r="B2444" s="6" t="inlineStr">
        <is>
          <t>Varsity High-Rise Pleated Tennis Skirt</t>
        </is>
      </c>
      <c r="C2444" s="6" t="inlineStr">
        <is>
          <t>158020670</t>
        </is>
      </c>
      <c r="D2444" s="6" t="inlineStr">
        <is>
          <t>158020670-oxfordred</t>
        </is>
      </c>
      <c r="E2444" s="6" t="inlineStr">
        <is>
          <t>RePleat HR Pleated Tennis Skirt BLK 2</t>
        </is>
      </c>
      <c r="F2444" s="6" t="inlineStr">
        <is>
          <t>$88.00</t>
        </is>
      </c>
      <c r="G2444" s="6" t="inlineStr">
        <is>
          <t>$44.00</t>
        </is>
      </c>
      <c r="H2444" s="6" t="inlineStr">
        <is>
          <t>Oxford Red</t>
        </is>
      </c>
      <c r="I2444" s="6">
        <f>IMAGE("https://images.lululemon.com/is/image/lululemon/72757",1)</f>
        <v/>
      </c>
      <c r="J2444" s="6" t="inlineStr">
        <is>
          <t>12</t>
        </is>
      </c>
      <c r="K2444" s="6" t="inlineStr">
        <is>
          <t>15/4667</t>
        </is>
      </c>
      <c r="L2444" s="6" t="inlineStr">
        <is>
          <t>Yes</t>
        </is>
      </c>
      <c r="M2444" s="6" t="inlineStr">
        <is>
          <t>Rule the court. This tennis skirt's weightless pleats and built-in shorts deliver distraction-free coverage.</t>
        </is>
      </c>
      <c r="N2444" s="6" t="inlineStr">
        <is>
          <t>HR-Pleated-Tennis-Skirt</t>
        </is>
      </c>
      <c r="O2444" s="6" t="inlineStr">
        <is>
          <t>Athletic Skirts, Skorts</t>
        </is>
      </c>
    </row>
    <row r="2445" ht="80" customHeight="1">
      <c r="A2445" s="7">
        <f>IMAGE("https://images.lululemon.com/is/image/lululemon/LW1AX1S_0001_1?wid=320&amp;op_usm=0.8",1)</f>
        <v/>
      </c>
      <c r="B2445" s="7" t="inlineStr">
        <is>
          <t>Ebb to Street Tank Top *Light Support, B/C Cup</t>
        </is>
      </c>
      <c r="C2445" s="7" t="inlineStr">
        <is>
          <t>3803597</t>
        </is>
      </c>
      <c r="D2445" s="7" t="inlineStr">
        <is>
          <t>3803597-black</t>
        </is>
      </c>
      <c r="E2445" s="7" t="inlineStr">
        <is>
          <t>Ebb to Street Tank BLK 2</t>
        </is>
      </c>
      <c r="F2445" s="7" t="inlineStr">
        <is>
          <t>$68.00</t>
        </is>
      </c>
      <c r="G2445" s="7" t="inlineStr">
        <is>
          <t>$34.00</t>
        </is>
      </c>
      <c r="H2445" s="7" t="inlineStr">
        <is>
          <t>Black</t>
        </is>
      </c>
      <c r="I2445" s="7">
        <f>IMAGE("https://images.lululemon.com/is/image/lululemon/0001",1)</f>
        <v/>
      </c>
      <c r="J2445" s="7" t="inlineStr">
        <is>
          <t>2</t>
        </is>
      </c>
      <c r="K2445" s="7" t="inlineStr">
        <is>
          <t>20/2348</t>
        </is>
      </c>
      <c r="L2445" s="7" t="inlineStr">
        <is>
          <t>Yes</t>
        </is>
      </c>
      <c r="M2445" s="7" t="inlineStr">
        <is>
          <t>Seamless support. This one-and-done yoga tank is made using our seamless construction for a smooth fit and features built-in support for a fuss-free practice.</t>
        </is>
      </c>
      <c r="N2445" s="7" t="inlineStr">
        <is>
          <t>Ebb-To-Street-Tank</t>
        </is>
      </c>
      <c r="O2445" s="7" t="inlineStr"/>
    </row>
    <row r="2446" ht="80" customHeight="1">
      <c r="A2446" s="4">
        <f>IMAGE("https://images.lululemon.com/is/image/lululemon/LW1AX1S_0001_1?wid=320&amp;op_usm=0.8",1)</f>
        <v/>
      </c>
      <c r="B2446" s="4" t="inlineStr">
        <is>
          <t>Ebb to Street Tank Top *Light Support, B/C Cup</t>
        </is>
      </c>
      <c r="C2446" s="4" t="inlineStr">
        <is>
          <t>3803598</t>
        </is>
      </c>
      <c r="D2446" s="4" t="inlineStr">
        <is>
          <t>3803598-black</t>
        </is>
      </c>
      <c r="E2446" s="4" t="inlineStr">
        <is>
          <t>Ebb to Street Tank BLK 2</t>
        </is>
      </c>
      <c r="F2446" s="4" t="inlineStr">
        <is>
          <t>$68.00</t>
        </is>
      </c>
      <c r="G2446" s="4" t="inlineStr">
        <is>
          <t>$34.00</t>
        </is>
      </c>
      <c r="H2446" s="4" t="inlineStr">
        <is>
          <t>Black</t>
        </is>
      </c>
      <c r="I2446" s="4">
        <f>IMAGE("https://images.lululemon.com/is/image/lululemon/0001",1)</f>
        <v/>
      </c>
      <c r="J2446" s="4" t="inlineStr">
        <is>
          <t>4</t>
        </is>
      </c>
      <c r="K2446" s="4" t="inlineStr">
        <is>
          <t>179/2348</t>
        </is>
      </c>
      <c r="L2446" s="4" t="inlineStr">
        <is>
          <t>Yes</t>
        </is>
      </c>
      <c r="M2446" s="4" t="inlineStr">
        <is>
          <t>Seamless support. This one-and-done yoga tank is made using our seamless construction for a smooth fit and features built-in support for a fuss-free practice.</t>
        </is>
      </c>
      <c r="N2446" s="4" t="inlineStr">
        <is>
          <t>Ebb-To-Street-Tank</t>
        </is>
      </c>
      <c r="O2446" s="4" t="inlineStr"/>
    </row>
    <row r="2447" ht="80" customHeight="1">
      <c r="A2447" s="7">
        <f>IMAGE("https://images.lululemon.com/is/image/lululemon/LW1AX1S_0001_1?wid=320&amp;op_usm=0.8",1)</f>
        <v/>
      </c>
      <c r="B2447" s="7" t="inlineStr">
        <is>
          <t>Ebb to Street Tank Top *Light Support, B/C Cup</t>
        </is>
      </c>
      <c r="C2447" s="7" t="inlineStr">
        <is>
          <t>3803599</t>
        </is>
      </c>
      <c r="D2447" s="7" t="inlineStr">
        <is>
          <t>3803599-black</t>
        </is>
      </c>
      <c r="E2447" s="7" t="inlineStr">
        <is>
          <t>Ebb to Street Tank BLK 2</t>
        </is>
      </c>
      <c r="F2447" s="7" t="inlineStr">
        <is>
          <t>$68.00</t>
        </is>
      </c>
      <c r="G2447" s="7" t="inlineStr">
        <is>
          <t>$34.00</t>
        </is>
      </c>
      <c r="H2447" s="7" t="inlineStr">
        <is>
          <t>Black</t>
        </is>
      </c>
      <c r="I2447" s="7">
        <f>IMAGE("https://images.lululemon.com/is/image/lululemon/0001",1)</f>
        <v/>
      </c>
      <c r="J2447" s="7" t="inlineStr">
        <is>
          <t>6</t>
        </is>
      </c>
      <c r="K2447" s="7" t="inlineStr">
        <is>
          <t>358/2348</t>
        </is>
      </c>
      <c r="L2447" s="7" t="inlineStr">
        <is>
          <t>Yes</t>
        </is>
      </c>
      <c r="M2447" s="7" t="inlineStr">
        <is>
          <t>Seamless support. This one-and-done yoga tank is made using our seamless construction for a smooth fit and features built-in support for a fuss-free practice.</t>
        </is>
      </c>
      <c r="N2447" s="7" t="inlineStr">
        <is>
          <t>Ebb-To-Street-Tank</t>
        </is>
      </c>
      <c r="O2447" s="7" t="inlineStr"/>
    </row>
    <row r="2448" ht="80" customHeight="1">
      <c r="A2448" s="4">
        <f>IMAGE("https://images.lululemon.com/is/image/lululemon/LW1AX1S_0001_1?wid=320&amp;op_usm=0.8",1)</f>
        <v/>
      </c>
      <c r="B2448" s="4" t="inlineStr">
        <is>
          <t>Ebb to Street Tank Top *Light Support, B/C Cup</t>
        </is>
      </c>
      <c r="C2448" s="4" t="inlineStr">
        <is>
          <t>3803600</t>
        </is>
      </c>
      <c r="D2448" s="4" t="inlineStr">
        <is>
          <t>3803600-black</t>
        </is>
      </c>
      <c r="E2448" s="4" t="inlineStr">
        <is>
          <t>Ebb to Street Tank BLK 2</t>
        </is>
      </c>
      <c r="F2448" s="4" t="inlineStr">
        <is>
          <t>$68.00</t>
        </is>
      </c>
      <c r="G2448" s="4" t="inlineStr">
        <is>
          <t>$34.00</t>
        </is>
      </c>
      <c r="H2448" s="4" t="inlineStr">
        <is>
          <t>Black</t>
        </is>
      </c>
      <c r="I2448" s="4">
        <f>IMAGE("https://images.lululemon.com/is/image/lululemon/0001",1)</f>
        <v/>
      </c>
      <c r="J2448" s="4" t="inlineStr">
        <is>
          <t>8</t>
        </is>
      </c>
      <c r="K2448" s="4" t="inlineStr">
        <is>
          <t>310/2348</t>
        </is>
      </c>
      <c r="L2448" s="4" t="inlineStr">
        <is>
          <t>Yes</t>
        </is>
      </c>
      <c r="M2448" s="4" t="inlineStr">
        <is>
          <t>Seamless support. This one-and-done yoga tank is made using our seamless construction for a smooth fit and features built-in support for a fuss-free practice.</t>
        </is>
      </c>
      <c r="N2448" s="4" t="inlineStr">
        <is>
          <t>Ebb-To-Street-Tank</t>
        </is>
      </c>
      <c r="O2448" s="4" t="inlineStr"/>
    </row>
    <row r="2449" ht="80" customHeight="1">
      <c r="A2449" s="7">
        <f>IMAGE("https://images.lululemon.com/is/image/lululemon/LW1AX1S_0001_1?wid=320&amp;op_usm=0.8",1)</f>
        <v/>
      </c>
      <c r="B2449" s="7" t="inlineStr">
        <is>
          <t>Ebb to Street Tank Top *Light Support, B/C Cup</t>
        </is>
      </c>
      <c r="C2449" s="7" t="inlineStr">
        <is>
          <t>3803594</t>
        </is>
      </c>
      <c r="D2449" s="7" t="inlineStr">
        <is>
          <t>3803594-black</t>
        </is>
      </c>
      <c r="E2449" s="7" t="inlineStr">
        <is>
          <t>Ebb to Street Tank BLK 2</t>
        </is>
      </c>
      <c r="F2449" s="7" t="inlineStr">
        <is>
          <t>$68.00</t>
        </is>
      </c>
      <c r="G2449" s="7" t="inlineStr">
        <is>
          <t>$34.00</t>
        </is>
      </c>
      <c r="H2449" s="7" t="inlineStr">
        <is>
          <t>Black</t>
        </is>
      </c>
      <c r="I2449" s="7">
        <f>IMAGE("https://images.lululemon.com/is/image/lululemon/0001",1)</f>
        <v/>
      </c>
      <c r="J2449" s="7" t="inlineStr">
        <is>
          <t>10</t>
        </is>
      </c>
      <c r="K2449" s="7" t="inlineStr">
        <is>
          <t>131/2348</t>
        </is>
      </c>
      <c r="L2449" s="7" t="inlineStr">
        <is>
          <t>Yes</t>
        </is>
      </c>
      <c r="M2449" s="7" t="inlineStr">
        <is>
          <t>Seamless support. This one-and-done yoga tank is made using our seamless construction for a smooth fit and features built-in support for a fuss-free practice.</t>
        </is>
      </c>
      <c r="N2449" s="7" t="inlineStr">
        <is>
          <t>Ebb-To-Street-Tank</t>
        </is>
      </c>
      <c r="O2449" s="7" t="inlineStr"/>
    </row>
    <row r="2450" ht="80" customHeight="1">
      <c r="A2450" s="4">
        <f>IMAGE("https://images.lululemon.com/is/image/lululemon/LW1AX1S_0001_1?wid=320&amp;op_usm=0.8",1)</f>
        <v/>
      </c>
      <c r="B2450" s="4" t="inlineStr">
        <is>
          <t>Ebb to Street Tank Top *Light Support, B/C Cup</t>
        </is>
      </c>
      <c r="C2450" s="4" t="inlineStr">
        <is>
          <t>3803595</t>
        </is>
      </c>
      <c r="D2450" s="4" t="inlineStr">
        <is>
          <t>3803595-black</t>
        </is>
      </c>
      <c r="E2450" s="4" t="inlineStr">
        <is>
          <t>Ebb to Street Tank BLK 2</t>
        </is>
      </c>
      <c r="F2450" s="4" t="inlineStr">
        <is>
          <t>$68.00</t>
        </is>
      </c>
      <c r="G2450" s="4" t="inlineStr">
        <is>
          <t>$34.00</t>
        </is>
      </c>
      <c r="H2450" s="4" t="inlineStr">
        <is>
          <t>Black</t>
        </is>
      </c>
      <c r="I2450" s="4">
        <f>IMAGE("https://images.lululemon.com/is/image/lululemon/0001",1)</f>
        <v/>
      </c>
      <c r="J2450" s="4" t="inlineStr">
        <is>
          <t>12</t>
        </is>
      </c>
      <c r="K2450" s="4" t="inlineStr">
        <is>
          <t>41/2348</t>
        </is>
      </c>
      <c r="L2450" s="4" t="inlineStr">
        <is>
          <t>Yes</t>
        </is>
      </c>
      <c r="M2450" s="4" t="inlineStr">
        <is>
          <t>Seamless support. This one-and-done yoga tank is made using our seamless construction for a smooth fit and features built-in support for a fuss-free practice.</t>
        </is>
      </c>
      <c r="N2450" s="4" t="inlineStr">
        <is>
          <t>Ebb-To-Street-Tank</t>
        </is>
      </c>
      <c r="O2450" s="4" t="inlineStr"/>
    </row>
    <row r="2451" ht="80" customHeight="1">
      <c r="A2451" s="7">
        <f>IMAGE("https://images.lululemon.com/is/image/lululemon/LW1AX1S_0001_1?wid=320&amp;op_usm=0.8",1)</f>
        <v/>
      </c>
      <c r="B2451" s="7" t="inlineStr">
        <is>
          <t>Ebb to Street Tank Top *Light Support, B/C Cup</t>
        </is>
      </c>
      <c r="C2451" s="7" t="inlineStr">
        <is>
          <t>3803605</t>
        </is>
      </c>
      <c r="D2451" s="7" t="inlineStr">
        <is>
          <t>3803605-white</t>
        </is>
      </c>
      <c r="E2451" s="7" t="inlineStr">
        <is>
          <t>Ebb to Street Tank BLK 2</t>
        </is>
      </c>
      <c r="F2451" s="7" t="inlineStr">
        <is>
          <t>$68.00</t>
        </is>
      </c>
      <c r="G2451" s="7" t="inlineStr">
        <is>
          <t>$34.00</t>
        </is>
      </c>
      <c r="H2451" s="7" t="inlineStr">
        <is>
          <t>White</t>
        </is>
      </c>
      <c r="I2451" s="7">
        <f>IMAGE("https://images.lululemon.com/is/image/lululemon/0002",1)</f>
        <v/>
      </c>
      <c r="J2451" s="7" t="inlineStr">
        <is>
          <t>2</t>
        </is>
      </c>
      <c r="K2451" s="7" t="inlineStr">
        <is>
          <t>42/2348</t>
        </is>
      </c>
      <c r="L2451" s="7" t="inlineStr">
        <is>
          <t>Yes</t>
        </is>
      </c>
      <c r="M2451" s="7" t="inlineStr">
        <is>
          <t>Seamless support. This one-and-done yoga tank is made using our seamless construction for a smooth fit and features built-in support for a fuss-free practice.</t>
        </is>
      </c>
      <c r="N2451" s="7" t="inlineStr">
        <is>
          <t>Ebb-To-Street-Tank</t>
        </is>
      </c>
      <c r="O2451" s="7" t="inlineStr"/>
    </row>
    <row r="2452" ht="80" customHeight="1">
      <c r="A2452" s="4">
        <f>IMAGE("https://images.lululemon.com/is/image/lululemon/LW1AX1S_0001_1?wid=320&amp;op_usm=0.8",1)</f>
        <v/>
      </c>
      <c r="B2452" s="4" t="inlineStr">
        <is>
          <t>Ebb to Street Tank Top *Light Support, B/C Cup</t>
        </is>
      </c>
      <c r="C2452" s="4" t="inlineStr">
        <is>
          <t>3803606</t>
        </is>
      </c>
      <c r="D2452" s="4" t="inlineStr">
        <is>
          <t>3803606-white</t>
        </is>
      </c>
      <c r="E2452" s="4" t="inlineStr">
        <is>
          <t>Ebb to Street Tank BLK 2</t>
        </is>
      </c>
      <c r="F2452" s="4" t="inlineStr">
        <is>
          <t>$68.00</t>
        </is>
      </c>
      <c r="G2452" s="4" t="inlineStr">
        <is>
          <t>$34.00</t>
        </is>
      </c>
      <c r="H2452" s="4" t="inlineStr">
        <is>
          <t>White</t>
        </is>
      </c>
      <c r="I2452" s="4">
        <f>IMAGE("https://images.lululemon.com/is/image/lululemon/0002",1)</f>
        <v/>
      </c>
      <c r="J2452" s="4" t="inlineStr">
        <is>
          <t>4</t>
        </is>
      </c>
      <c r="K2452" s="4" t="inlineStr">
        <is>
          <t>164/2348</t>
        </is>
      </c>
      <c r="L2452" s="4" t="inlineStr">
        <is>
          <t>Yes</t>
        </is>
      </c>
      <c r="M2452" s="4" t="inlineStr">
        <is>
          <t>Seamless support. This one-and-done yoga tank is made using our seamless construction for a smooth fit and features built-in support for a fuss-free practice.</t>
        </is>
      </c>
      <c r="N2452" s="4" t="inlineStr">
        <is>
          <t>Ebb-To-Street-Tank</t>
        </is>
      </c>
      <c r="O2452" s="4" t="inlineStr"/>
    </row>
    <row r="2453" ht="80" customHeight="1">
      <c r="A2453" s="7">
        <f>IMAGE("https://images.lululemon.com/is/image/lululemon/LW1AX1S_0001_1?wid=320&amp;op_usm=0.8",1)</f>
        <v/>
      </c>
      <c r="B2453" s="7" t="inlineStr">
        <is>
          <t>Ebb to Street Tank Top *Light Support, B/C Cup</t>
        </is>
      </c>
      <c r="C2453" s="7" t="inlineStr">
        <is>
          <t>3803607</t>
        </is>
      </c>
      <c r="D2453" s="7" t="inlineStr">
        <is>
          <t>3803607-white</t>
        </is>
      </c>
      <c r="E2453" s="7" t="inlineStr">
        <is>
          <t>Ebb to Street Tank BLK 2</t>
        </is>
      </c>
      <c r="F2453" s="7" t="inlineStr">
        <is>
          <t>$68.00</t>
        </is>
      </c>
      <c r="G2453" s="7" t="inlineStr">
        <is>
          <t>$34.00</t>
        </is>
      </c>
      <c r="H2453" s="7" t="inlineStr">
        <is>
          <t>White</t>
        </is>
      </c>
      <c r="I2453" s="7">
        <f>IMAGE("https://images.lululemon.com/is/image/lululemon/0002",1)</f>
        <v/>
      </c>
      <c r="J2453" s="7" t="inlineStr">
        <is>
          <t>6</t>
        </is>
      </c>
      <c r="K2453" s="7" t="inlineStr">
        <is>
          <t>256/2348</t>
        </is>
      </c>
      <c r="L2453" s="7" t="inlineStr">
        <is>
          <t>Yes</t>
        </is>
      </c>
      <c r="M2453" s="7" t="inlineStr">
        <is>
          <t>Seamless support. This one-and-done yoga tank is made using our seamless construction for a smooth fit and features built-in support for a fuss-free practice.</t>
        </is>
      </c>
      <c r="N2453" s="7" t="inlineStr">
        <is>
          <t>Ebb-To-Street-Tank</t>
        </is>
      </c>
      <c r="O2453" s="7" t="inlineStr"/>
    </row>
    <row r="2454" ht="80" customHeight="1">
      <c r="A2454" s="4">
        <f>IMAGE("https://images.lululemon.com/is/image/lululemon/LW1AX1S_0001_1?wid=320&amp;op_usm=0.8",1)</f>
        <v/>
      </c>
      <c r="B2454" s="4" t="inlineStr">
        <is>
          <t>Ebb to Street Tank Top *Light Support, B/C Cup</t>
        </is>
      </c>
      <c r="C2454" s="4" t="inlineStr">
        <is>
          <t>3803608</t>
        </is>
      </c>
      <c r="D2454" s="4" t="inlineStr">
        <is>
          <t>3803608-white</t>
        </is>
      </c>
      <c r="E2454" s="4" t="inlineStr">
        <is>
          <t>Ebb to Street Tank BLK 2</t>
        </is>
      </c>
      <c r="F2454" s="4" t="inlineStr">
        <is>
          <t>$68.00</t>
        </is>
      </c>
      <c r="G2454" s="4" t="inlineStr">
        <is>
          <t>$34.00</t>
        </is>
      </c>
      <c r="H2454" s="4" t="inlineStr">
        <is>
          <t>White</t>
        </is>
      </c>
      <c r="I2454" s="4">
        <f>IMAGE("https://images.lululemon.com/is/image/lululemon/0002",1)</f>
        <v/>
      </c>
      <c r="J2454" s="4" t="inlineStr">
        <is>
          <t>8</t>
        </is>
      </c>
      <c r="K2454" s="4" t="inlineStr">
        <is>
          <t>230/2348</t>
        </is>
      </c>
      <c r="L2454" s="4" t="inlineStr">
        <is>
          <t>Yes</t>
        </is>
      </c>
      <c r="M2454" s="4" t="inlineStr">
        <is>
          <t>Seamless support. This one-and-done yoga tank is made using our seamless construction for a smooth fit and features built-in support for a fuss-free practice.</t>
        </is>
      </c>
      <c r="N2454" s="4" t="inlineStr">
        <is>
          <t>Ebb-To-Street-Tank</t>
        </is>
      </c>
      <c r="O2454" s="4" t="inlineStr"/>
    </row>
    <row r="2455" ht="80" customHeight="1">
      <c r="A2455" s="7">
        <f>IMAGE("https://images.lululemon.com/is/image/lululemon/LW1AX1S_0001_1?wid=320&amp;op_usm=0.8",1)</f>
        <v/>
      </c>
      <c r="B2455" s="7" t="inlineStr">
        <is>
          <t>Ebb to Street Tank Top *Light Support, B/C Cup</t>
        </is>
      </c>
      <c r="C2455" s="7" t="inlineStr">
        <is>
          <t>3803602</t>
        </is>
      </c>
      <c r="D2455" s="7" t="inlineStr">
        <is>
          <t>3803602-white</t>
        </is>
      </c>
      <c r="E2455" s="7" t="inlineStr">
        <is>
          <t>Ebb to Street Tank BLK 2</t>
        </is>
      </c>
      <c r="F2455" s="7" t="inlineStr">
        <is>
          <t>$68.00</t>
        </is>
      </c>
      <c r="G2455" s="7" t="inlineStr">
        <is>
          <t>$34.00</t>
        </is>
      </c>
      <c r="H2455" s="7" t="inlineStr">
        <is>
          <t>White</t>
        </is>
      </c>
      <c r="I2455" s="7">
        <f>IMAGE("https://images.lululemon.com/is/image/lululemon/0002",1)</f>
        <v/>
      </c>
      <c r="J2455" s="7" t="inlineStr">
        <is>
          <t>10</t>
        </is>
      </c>
      <c r="K2455" s="7" t="inlineStr">
        <is>
          <t>111/2348</t>
        </is>
      </c>
      <c r="L2455" s="7" t="inlineStr">
        <is>
          <t>Yes</t>
        </is>
      </c>
      <c r="M2455" s="7" t="inlineStr">
        <is>
          <t>Seamless support. This one-and-done yoga tank is made using our seamless construction for a smooth fit and features built-in support for a fuss-free practice.</t>
        </is>
      </c>
      <c r="N2455" s="7" t="inlineStr">
        <is>
          <t>Ebb-To-Street-Tank</t>
        </is>
      </c>
      <c r="O2455" s="7" t="inlineStr"/>
    </row>
    <row r="2456" ht="80" customHeight="1">
      <c r="A2456" s="4">
        <f>IMAGE("https://images.lululemon.com/is/image/lululemon/LW1AX1S_0001_1?wid=320&amp;op_usm=0.8",1)</f>
        <v/>
      </c>
      <c r="B2456" s="4" t="inlineStr">
        <is>
          <t>Ebb to Street Tank Top *Light Support, B/C Cup</t>
        </is>
      </c>
      <c r="C2456" s="4" t="inlineStr">
        <is>
          <t>3803603</t>
        </is>
      </c>
      <c r="D2456" s="4" t="inlineStr">
        <is>
          <t>3803603-white</t>
        </is>
      </c>
      <c r="E2456" s="4" t="inlineStr">
        <is>
          <t>Ebb to Street Tank BLK 2</t>
        </is>
      </c>
      <c r="F2456" s="4" t="inlineStr">
        <is>
          <t>$68.00</t>
        </is>
      </c>
      <c r="G2456" s="4" t="inlineStr">
        <is>
          <t>$34.00</t>
        </is>
      </c>
      <c r="H2456" s="4" t="inlineStr">
        <is>
          <t>White</t>
        </is>
      </c>
      <c r="I2456" s="4">
        <f>IMAGE("https://images.lululemon.com/is/image/lululemon/0002",1)</f>
        <v/>
      </c>
      <c r="J2456" s="4" t="inlineStr">
        <is>
          <t>12</t>
        </is>
      </c>
      <c r="K2456" s="4" t="inlineStr">
        <is>
          <t>42/2348</t>
        </is>
      </c>
      <c r="L2456" s="4" t="inlineStr">
        <is>
          <t>Yes</t>
        </is>
      </c>
      <c r="M2456" s="4" t="inlineStr">
        <is>
          <t>Seamless support. This one-and-done yoga tank is made using our seamless construction for a smooth fit and features built-in support for a fuss-free practice.</t>
        </is>
      </c>
      <c r="N2456" s="4" t="inlineStr">
        <is>
          <t>Ebb-To-Street-Tank</t>
        </is>
      </c>
      <c r="O2456" s="4" t="inlineStr"/>
    </row>
    <row r="2457" ht="80" customHeight="1">
      <c r="A2457" s="7">
        <f>IMAGE("https://images.lululemon.com/is/image/lululemon/LW1AX1S_0001_1?wid=320&amp;op_usm=0.8",1)</f>
        <v/>
      </c>
      <c r="B2457" s="7" t="inlineStr">
        <is>
          <t>Ebb to Street Tank Top *Light Support, B/C Cup</t>
        </is>
      </c>
      <c r="C2457" s="7" t="inlineStr">
        <is>
          <t>157718332</t>
        </is>
      </c>
      <c r="D2457" s="7" t="inlineStr">
        <is>
          <t>157718332-brilliantblue</t>
        </is>
      </c>
      <c r="E2457" s="7" t="inlineStr">
        <is>
          <t>Ebb to Street Tank BLK 2</t>
        </is>
      </c>
      <c r="F2457" s="7" t="inlineStr">
        <is>
          <t>$68.00</t>
        </is>
      </c>
      <c r="G2457" s="7" t="inlineStr">
        <is>
          <t>$34.00</t>
        </is>
      </c>
      <c r="H2457" s="7" t="inlineStr">
        <is>
          <t>Brilliant Blue</t>
        </is>
      </c>
      <c r="I2457" s="7">
        <f>IMAGE("https://images.lululemon.com/is/image/lululemon/33190",1)</f>
        <v/>
      </c>
      <c r="J2457" s="7" t="inlineStr">
        <is>
          <t>2</t>
        </is>
      </c>
      <c r="K2457" s="7" t="inlineStr">
        <is>
          <t>12/2348</t>
        </is>
      </c>
      <c r="L2457" s="7" t="inlineStr">
        <is>
          <t>Yes</t>
        </is>
      </c>
      <c r="M2457" s="7" t="inlineStr">
        <is>
          <t>Seamless support. This one-and-done yoga tank is made using our seamless construction for a smooth fit and features built-in support for a fuss-free practice.</t>
        </is>
      </c>
      <c r="N2457" s="7" t="inlineStr">
        <is>
          <t>Ebb-To-Street-Tank</t>
        </is>
      </c>
      <c r="O2457" s="7" t="inlineStr"/>
    </row>
    <row r="2458" ht="80" customHeight="1">
      <c r="A2458" s="4">
        <f>IMAGE("https://images.lululemon.com/is/image/lululemon/LW1AX1S_0001_1?wid=320&amp;op_usm=0.8",1)</f>
        <v/>
      </c>
      <c r="B2458" s="4" t="inlineStr">
        <is>
          <t>Ebb to Street Tank Top *Light Support, B/C Cup</t>
        </is>
      </c>
      <c r="C2458" s="4" t="inlineStr">
        <is>
          <t>157718333</t>
        </is>
      </c>
      <c r="D2458" s="4" t="inlineStr">
        <is>
          <t>157718333-brilliantblue</t>
        </is>
      </c>
      <c r="E2458" s="4" t="inlineStr">
        <is>
          <t>Ebb to Street Tank BLK 2</t>
        </is>
      </c>
      <c r="F2458" s="4" t="inlineStr">
        <is>
          <t>$68.00</t>
        </is>
      </c>
      <c r="G2458" s="4" t="inlineStr">
        <is>
          <t>$34.00</t>
        </is>
      </c>
      <c r="H2458" s="4" t="inlineStr">
        <is>
          <t>Brilliant Blue</t>
        </is>
      </c>
      <c r="I2458" s="4">
        <f>IMAGE("https://images.lululemon.com/is/image/lululemon/33190",1)</f>
        <v/>
      </c>
      <c r="J2458" s="4" t="inlineStr">
        <is>
          <t>4</t>
        </is>
      </c>
      <c r="K2458" s="4" t="inlineStr">
        <is>
          <t>30/2348</t>
        </is>
      </c>
      <c r="L2458" s="4" t="inlineStr">
        <is>
          <t>Yes</t>
        </is>
      </c>
      <c r="M2458" s="4" t="inlineStr">
        <is>
          <t>Seamless support. This one-and-done yoga tank is made using our seamless construction for a smooth fit and features built-in support for a fuss-free practice.</t>
        </is>
      </c>
      <c r="N2458" s="4" t="inlineStr">
        <is>
          <t>Ebb-To-Street-Tank</t>
        </is>
      </c>
      <c r="O2458" s="4" t="inlineStr"/>
    </row>
    <row r="2459" ht="80" customHeight="1">
      <c r="A2459" s="7">
        <f>IMAGE("https://images.lululemon.com/is/image/lululemon/LW1AX1S_0001_1?wid=320&amp;op_usm=0.8",1)</f>
        <v/>
      </c>
      <c r="B2459" s="7" t="inlineStr">
        <is>
          <t>Ebb to Street Tank Top *Light Support, B/C Cup</t>
        </is>
      </c>
      <c r="C2459" s="7" t="inlineStr">
        <is>
          <t>157718334</t>
        </is>
      </c>
      <c r="D2459" s="7" t="inlineStr">
        <is>
          <t>157718334-brilliantblue</t>
        </is>
      </c>
      <c r="E2459" s="7" t="inlineStr">
        <is>
          <t>Ebb to Street Tank BLK 2</t>
        </is>
      </c>
      <c r="F2459" s="7" t="inlineStr">
        <is>
          <t>$68.00</t>
        </is>
      </c>
      <c r="G2459" s="7" t="inlineStr">
        <is>
          <t>$34.00</t>
        </is>
      </c>
      <c r="H2459" s="7" t="inlineStr">
        <is>
          <t>Brilliant Blue</t>
        </is>
      </c>
      <c r="I2459" s="7">
        <f>IMAGE("https://images.lululemon.com/is/image/lululemon/33190",1)</f>
        <v/>
      </c>
      <c r="J2459" s="7" t="inlineStr">
        <is>
          <t>6</t>
        </is>
      </c>
      <c r="K2459" s="7" t="inlineStr">
        <is>
          <t>42/2348</t>
        </is>
      </c>
      <c r="L2459" s="7" t="inlineStr">
        <is>
          <t>Yes</t>
        </is>
      </c>
      <c r="M2459" s="7" t="inlineStr">
        <is>
          <t>Seamless support. This one-and-done yoga tank is made using our seamless construction for a smooth fit and features built-in support for a fuss-free practice.</t>
        </is>
      </c>
      <c r="N2459" s="7" t="inlineStr">
        <is>
          <t>Ebb-To-Street-Tank</t>
        </is>
      </c>
      <c r="O2459" s="7" t="inlineStr"/>
    </row>
    <row r="2460" ht="80" customHeight="1">
      <c r="A2460" s="4">
        <f>IMAGE("https://images.lululemon.com/is/image/lululemon/LW1AX1S_0001_1?wid=320&amp;op_usm=0.8",1)</f>
        <v/>
      </c>
      <c r="B2460" s="4" t="inlineStr">
        <is>
          <t>Ebb to Street Tank Top *Light Support, B/C Cup</t>
        </is>
      </c>
      <c r="C2460" s="4" t="inlineStr">
        <is>
          <t>157718335</t>
        </is>
      </c>
      <c r="D2460" s="4" t="inlineStr">
        <is>
          <t>157718335-brilliantblue</t>
        </is>
      </c>
      <c r="E2460" s="4" t="inlineStr">
        <is>
          <t>Ebb to Street Tank BLK 2</t>
        </is>
      </c>
      <c r="F2460" s="4" t="inlineStr">
        <is>
          <t>$68.00</t>
        </is>
      </c>
      <c r="G2460" s="4" t="inlineStr">
        <is>
          <t>$34.00</t>
        </is>
      </c>
      <c r="H2460" s="4" t="inlineStr">
        <is>
          <t>Brilliant Blue</t>
        </is>
      </c>
      <c r="I2460" s="4">
        <f>IMAGE("https://images.lululemon.com/is/image/lululemon/33190",1)</f>
        <v/>
      </c>
      <c r="J2460" s="4" t="inlineStr">
        <is>
          <t>8</t>
        </is>
      </c>
      <c r="K2460" s="4" t="inlineStr">
        <is>
          <t>31/2348</t>
        </is>
      </c>
      <c r="L2460" s="4" t="inlineStr">
        <is>
          <t>Yes</t>
        </is>
      </c>
      <c r="M2460" s="4" t="inlineStr">
        <is>
          <t>Seamless support. This one-and-done yoga tank is made using our seamless construction for a smooth fit and features built-in support for a fuss-free practice.</t>
        </is>
      </c>
      <c r="N2460" s="4" t="inlineStr">
        <is>
          <t>Ebb-To-Street-Tank</t>
        </is>
      </c>
      <c r="O2460" s="4" t="inlineStr"/>
    </row>
    <row r="2461" ht="80" customHeight="1">
      <c r="A2461" s="7">
        <f>IMAGE("https://images.lululemon.com/is/image/lululemon/LW1AX1S_0001_1?wid=320&amp;op_usm=0.8",1)</f>
        <v/>
      </c>
      <c r="B2461" s="7" t="inlineStr">
        <is>
          <t>Ebb to Street Tank Top *Light Support, B/C Cup</t>
        </is>
      </c>
      <c r="C2461" s="7" t="inlineStr">
        <is>
          <t>157718329</t>
        </is>
      </c>
      <c r="D2461" s="7" t="inlineStr">
        <is>
          <t>157718329-brilliantblue</t>
        </is>
      </c>
      <c r="E2461" s="7" t="inlineStr">
        <is>
          <t>Ebb to Street Tank BLK 2</t>
        </is>
      </c>
      <c r="F2461" s="7" t="inlineStr">
        <is>
          <t>$68.00</t>
        </is>
      </c>
      <c r="G2461" s="7" t="inlineStr">
        <is>
          <t>$34.00</t>
        </is>
      </c>
      <c r="H2461" s="7" t="inlineStr">
        <is>
          <t>Brilliant Blue</t>
        </is>
      </c>
      <c r="I2461" s="7">
        <f>IMAGE("https://images.lululemon.com/is/image/lululemon/33190",1)</f>
        <v/>
      </c>
      <c r="J2461" s="7" t="inlineStr">
        <is>
          <t>10</t>
        </is>
      </c>
      <c r="K2461" s="7" t="inlineStr">
        <is>
          <t>16/2348</t>
        </is>
      </c>
      <c r="L2461" s="7" t="inlineStr">
        <is>
          <t>Yes</t>
        </is>
      </c>
      <c r="M2461" s="7" t="inlineStr">
        <is>
          <t>Seamless support. This one-and-done yoga tank is made using our seamless construction for a smooth fit and features built-in support for a fuss-free practice.</t>
        </is>
      </c>
      <c r="N2461" s="7" t="inlineStr">
        <is>
          <t>Ebb-To-Street-Tank</t>
        </is>
      </c>
      <c r="O2461" s="7" t="inlineStr"/>
    </row>
    <row r="2462" ht="80" customHeight="1">
      <c r="A2462" s="4">
        <f>IMAGE("https://images.lululemon.com/is/image/lululemon/LW1AX1S_0001_1?wid=320&amp;op_usm=0.8",1)</f>
        <v/>
      </c>
      <c r="B2462" s="4" t="inlineStr">
        <is>
          <t>Ebb to Street Tank Top *Light Support, B/C Cup</t>
        </is>
      </c>
      <c r="C2462" s="4" t="inlineStr">
        <is>
          <t>157718330</t>
        </is>
      </c>
      <c r="D2462" s="4" t="inlineStr">
        <is>
          <t>157718330-brilliantblue</t>
        </is>
      </c>
      <c r="E2462" s="4" t="inlineStr">
        <is>
          <t>Ebb to Street Tank BLK 2</t>
        </is>
      </c>
      <c r="F2462" s="4" t="inlineStr">
        <is>
          <t>$68.00</t>
        </is>
      </c>
      <c r="G2462" s="4" t="inlineStr">
        <is>
          <t>$34.00</t>
        </is>
      </c>
      <c r="H2462" s="4" t="inlineStr">
        <is>
          <t>Brilliant Blue</t>
        </is>
      </c>
      <c r="I2462" s="4">
        <f>IMAGE("https://images.lululemon.com/is/image/lululemon/33190",1)</f>
        <v/>
      </c>
      <c r="J2462" s="4" t="inlineStr">
        <is>
          <t>12</t>
        </is>
      </c>
      <c r="K2462" s="4" t="inlineStr">
        <is>
          <t>11/2348</t>
        </is>
      </c>
      <c r="L2462" s="4" t="inlineStr">
        <is>
          <t>Yes</t>
        </is>
      </c>
      <c r="M2462" s="4" t="inlineStr">
        <is>
          <t>Seamless support. This one-and-done yoga tank is made using our seamless construction for a smooth fit and features built-in support for a fuss-free practice.</t>
        </is>
      </c>
      <c r="N2462" s="4" t="inlineStr">
        <is>
          <t>Ebb-To-Street-Tank</t>
        </is>
      </c>
      <c r="O2462" s="4" t="inlineStr"/>
    </row>
    <row r="2463" ht="80" customHeight="1">
      <c r="A2463" s="7">
        <f>IMAGE("https://images.lululemon.com/is/image/lululemon/LW1AX1S_0001_1?wid=320&amp;op_usm=0.8",1)</f>
        <v/>
      </c>
      <c r="B2463" s="7" t="inlineStr">
        <is>
          <t>Ebb to Street Tank Top *Light Support, B/C Cup</t>
        </is>
      </c>
      <c r="C2463" s="7" t="inlineStr">
        <is>
          <t>157718352</t>
        </is>
      </c>
      <c r="D2463" s="7" t="inlineStr">
        <is>
          <t>157718352-atmosphericpurple</t>
        </is>
      </c>
      <c r="E2463" s="7" t="inlineStr">
        <is>
          <t>Ebb to Street Tank BLK 2</t>
        </is>
      </c>
      <c r="F2463" s="7" t="inlineStr">
        <is>
          <t>$68.00</t>
        </is>
      </c>
      <c r="G2463" s="7" t="inlineStr">
        <is>
          <t>$34.00</t>
        </is>
      </c>
      <c r="H2463" s="7" t="inlineStr">
        <is>
          <t>ATMOSPHERIC PURPLE</t>
        </is>
      </c>
      <c r="I2463" s="7">
        <f>IMAGE("https://images.lululemon.com/is/image/lululemon/63787",1)</f>
        <v/>
      </c>
      <c r="J2463" s="7" t="inlineStr">
        <is>
          <t>4</t>
        </is>
      </c>
      <c r="K2463" s="7" t="inlineStr">
        <is>
          <t>73/2348</t>
        </is>
      </c>
      <c r="L2463" s="7" t="inlineStr">
        <is>
          <t>Yes</t>
        </is>
      </c>
      <c r="M2463" s="7" t="inlineStr">
        <is>
          <t>Seamless support. This one-and-done yoga tank is made using our seamless construction for a smooth fit and features built-in support for a fuss-free practice.</t>
        </is>
      </c>
      <c r="N2463" s="7" t="inlineStr">
        <is>
          <t>Ebb-To-Street-Tank</t>
        </is>
      </c>
      <c r="O2463" s="7" t="inlineStr"/>
    </row>
    <row r="2464" ht="80" customHeight="1">
      <c r="A2464" s="4">
        <f>IMAGE("https://images.lululemon.com/is/image/lululemon/LW1AX1S_0001_1?wid=320&amp;op_usm=0.8",1)</f>
        <v/>
      </c>
      <c r="B2464" s="4" t="inlineStr">
        <is>
          <t>Ebb to Street Tank Top *Light Support, B/C Cup</t>
        </is>
      </c>
      <c r="C2464" s="4" t="inlineStr">
        <is>
          <t>157718353</t>
        </is>
      </c>
      <c r="D2464" s="4" t="inlineStr">
        <is>
          <t>157718353-atmosphericpurple</t>
        </is>
      </c>
      <c r="E2464" s="4" t="inlineStr">
        <is>
          <t>Ebb to Street Tank BLK 2</t>
        </is>
      </c>
      <c r="F2464" s="4" t="inlineStr">
        <is>
          <t>$68.00</t>
        </is>
      </c>
      <c r="G2464" s="4" t="inlineStr">
        <is>
          <t>$34.00</t>
        </is>
      </c>
      <c r="H2464" s="4" t="inlineStr">
        <is>
          <t>ATMOSPHERIC PURPLE</t>
        </is>
      </c>
      <c r="I2464" s="4">
        <f>IMAGE("https://images.lululemon.com/is/image/lululemon/63787",1)</f>
        <v/>
      </c>
      <c r="J2464" s="4" t="inlineStr">
        <is>
          <t>6</t>
        </is>
      </c>
      <c r="K2464" s="4" t="inlineStr">
        <is>
          <t>83/2348</t>
        </is>
      </c>
      <c r="L2464" s="4" t="inlineStr">
        <is>
          <t>Yes</t>
        </is>
      </c>
      <c r="M2464" s="4" t="inlineStr">
        <is>
          <t>Seamless support. This one-and-done yoga tank is made using our seamless construction for a smooth fit and features built-in support for a fuss-free practice.</t>
        </is>
      </c>
      <c r="N2464" s="4" t="inlineStr">
        <is>
          <t>Ebb-To-Street-Tank</t>
        </is>
      </c>
      <c r="O2464" s="4" t="inlineStr"/>
    </row>
    <row r="2465" ht="80" customHeight="1">
      <c r="A2465" s="7">
        <f>IMAGE("https://images.lululemon.com/is/image/lululemon/LW1AX1S_0001_1?wid=320&amp;op_usm=0.8",1)</f>
        <v/>
      </c>
      <c r="B2465" s="7" t="inlineStr">
        <is>
          <t>Ebb to Street Tank Top *Light Support, B/C Cup</t>
        </is>
      </c>
      <c r="C2465" s="7" t="inlineStr">
        <is>
          <t>157718354</t>
        </is>
      </c>
      <c r="D2465" s="7" t="inlineStr">
        <is>
          <t>157718354-atmosphericpurple</t>
        </is>
      </c>
      <c r="E2465" s="7" t="inlineStr">
        <is>
          <t>Ebb to Street Tank BLK 2</t>
        </is>
      </c>
      <c r="F2465" s="7" t="inlineStr">
        <is>
          <t>$68.00</t>
        </is>
      </c>
      <c r="G2465" s="7" t="inlineStr">
        <is>
          <t>$34.00</t>
        </is>
      </c>
      <c r="H2465" s="7" t="inlineStr">
        <is>
          <t>ATMOSPHERIC PURPLE</t>
        </is>
      </c>
      <c r="I2465" s="7">
        <f>IMAGE("https://images.lululemon.com/is/image/lululemon/63787",1)</f>
        <v/>
      </c>
      <c r="J2465" s="7" t="inlineStr">
        <is>
          <t>8</t>
        </is>
      </c>
      <c r="K2465" s="7" t="inlineStr">
        <is>
          <t>74/2348</t>
        </is>
      </c>
      <c r="L2465" s="7" t="inlineStr">
        <is>
          <t>Yes</t>
        </is>
      </c>
      <c r="M2465" s="7" t="inlineStr">
        <is>
          <t>Seamless support. This one-and-done yoga tank is made using our seamless construction for a smooth fit and features built-in support for a fuss-free practice.</t>
        </is>
      </c>
      <c r="N2465" s="7" t="inlineStr">
        <is>
          <t>Ebb-To-Street-Tank</t>
        </is>
      </c>
      <c r="O2465" s="7" t="inlineStr"/>
    </row>
    <row r="2466" ht="80" customHeight="1">
      <c r="A2466" s="4">
        <f>IMAGE("https://images.lululemon.com/is/image/lululemon/LW1AX1S_0001_1?wid=320&amp;op_usm=0.8",1)</f>
        <v/>
      </c>
      <c r="B2466" s="4" t="inlineStr">
        <is>
          <t>Ebb to Street Tank Top *Light Support, B/C Cup</t>
        </is>
      </c>
      <c r="C2466" s="4" t="inlineStr">
        <is>
          <t>157718349</t>
        </is>
      </c>
      <c r="D2466" s="4" t="inlineStr">
        <is>
          <t>157718349-atmosphericpurple</t>
        </is>
      </c>
      <c r="E2466" s="4" t="inlineStr">
        <is>
          <t>Ebb to Street Tank BLK 2</t>
        </is>
      </c>
      <c r="F2466" s="4" t="inlineStr">
        <is>
          <t>$68.00</t>
        </is>
      </c>
      <c r="G2466" s="4" t="inlineStr">
        <is>
          <t>$34.00</t>
        </is>
      </c>
      <c r="H2466" s="4" t="inlineStr">
        <is>
          <t>ATMOSPHERIC PURPLE</t>
        </is>
      </c>
      <c r="I2466" s="4">
        <f>IMAGE("https://images.lululemon.com/is/image/lululemon/63787",1)</f>
        <v/>
      </c>
      <c r="J2466" s="4" t="inlineStr">
        <is>
          <t>10</t>
        </is>
      </c>
      <c r="K2466" s="4" t="inlineStr">
        <is>
          <t>41/2348</t>
        </is>
      </c>
      <c r="L2466" s="4" t="inlineStr">
        <is>
          <t>Yes</t>
        </is>
      </c>
      <c r="M2466" s="4" t="inlineStr">
        <is>
          <t>Seamless support. This one-and-done yoga tank is made using our seamless construction for a smooth fit and features built-in support for a fuss-free practice.</t>
        </is>
      </c>
      <c r="N2466" s="4" t="inlineStr">
        <is>
          <t>Ebb-To-Street-Tank</t>
        </is>
      </c>
      <c r="O2466" s="4" t="inlineStr"/>
    </row>
    <row r="2467" ht="80" customHeight="1">
      <c r="A2467" s="7">
        <f>IMAGE("https://images.lululemon.com/is/image/lululemon/LW1AX1S_0001_1?wid=320&amp;op_usm=0.8",1)</f>
        <v/>
      </c>
      <c r="B2467" s="7" t="inlineStr">
        <is>
          <t>Ebb to Street Tank Top *Light Support, B/C Cup</t>
        </is>
      </c>
      <c r="C2467" s="7" t="inlineStr">
        <is>
          <t>157718350</t>
        </is>
      </c>
      <c r="D2467" s="7" t="inlineStr">
        <is>
          <t>157718350-atmosphericpurple</t>
        </is>
      </c>
      <c r="E2467" s="7" t="inlineStr">
        <is>
          <t>Ebb to Street Tank BLK 2</t>
        </is>
      </c>
      <c r="F2467" s="7" t="inlineStr">
        <is>
          <t>$68.00</t>
        </is>
      </c>
      <c r="G2467" s="7" t="inlineStr">
        <is>
          <t>$34.00</t>
        </is>
      </c>
      <c r="H2467" s="7" t="inlineStr">
        <is>
          <t>ATMOSPHERIC PURPLE</t>
        </is>
      </c>
      <c r="I2467" s="7">
        <f>IMAGE("https://images.lululemon.com/is/image/lululemon/63787",1)</f>
        <v/>
      </c>
      <c r="J2467" s="7" t="inlineStr">
        <is>
          <t>12</t>
        </is>
      </c>
      <c r="K2467" s="7" t="inlineStr">
        <is>
          <t>14/2348</t>
        </is>
      </c>
      <c r="L2467" s="7" t="inlineStr">
        <is>
          <t>Yes</t>
        </is>
      </c>
      <c r="M2467" s="7" t="inlineStr">
        <is>
          <t>Seamless support. This one-and-done yoga tank is made using our seamless construction for a smooth fit and features built-in support for a fuss-free practice.</t>
        </is>
      </c>
      <c r="N2467" s="7" t="inlineStr">
        <is>
          <t>Ebb-To-Street-Tank</t>
        </is>
      </c>
      <c r="O2467" s="7" t="inlineStr"/>
    </row>
    <row r="2468" ht="80" customHeight="1">
      <c r="A2468" s="6">
        <f>IMAGE("https://images.lululemon.com/is/image/lululemon/LW1AX1S_0001_1?wid=320&amp;op_usm=0.8",1)</f>
        <v/>
      </c>
      <c r="B2468" s="6" t="inlineStr">
        <is>
          <t>Ebb to Street Tank Top *Light Support, B/C Cup</t>
        </is>
      </c>
      <c r="C2468" s="6" t="inlineStr">
        <is>
          <t>156751361</t>
        </is>
      </c>
      <c r="D2468" s="6" t="inlineStr">
        <is>
          <t>156751361-pinkfrosting</t>
        </is>
      </c>
      <c r="E2468" s="6" t="inlineStr">
        <is>
          <t>Ebb to Street Tank BLK 2</t>
        </is>
      </c>
      <c r="F2468" s="6" t="inlineStr">
        <is>
          <t>$68.00</t>
        </is>
      </c>
      <c r="G2468" s="6" t="inlineStr">
        <is>
          <t>$34.00</t>
        </is>
      </c>
      <c r="H2468" s="6" t="inlineStr">
        <is>
          <t>Pink Frosting</t>
        </is>
      </c>
      <c r="I2468" s="6">
        <f>IMAGE("https://images.lululemon.com/is/image/lululemon/71152",1)</f>
        <v/>
      </c>
      <c r="J2468" s="6" t="inlineStr">
        <is>
          <t>10</t>
        </is>
      </c>
      <c r="K2468" s="6" t="inlineStr">
        <is>
          <t>37/2348</t>
        </is>
      </c>
      <c r="L2468" s="6" t="inlineStr">
        <is>
          <t>Yes</t>
        </is>
      </c>
      <c r="M2468" s="6" t="inlineStr">
        <is>
          <t>Seamless support. This one-and-done yoga tank is made using our seamless construction for a smooth fit and features built-in support for a fuss-free practice.</t>
        </is>
      </c>
      <c r="N2468" s="6" t="inlineStr">
        <is>
          <t>Ebb-To-Street-Tank</t>
        </is>
      </c>
      <c r="O2468" s="6" t="inlineStr"/>
    </row>
    <row r="2469" ht="80" customHeight="1">
      <c r="A2469" s="7">
        <f>IMAGE("https://images.lululemon.com/is/image/lululemon/LW3JLVS_0001_1?wid=320&amp;op_usm=0.8",1)</f>
        <v/>
      </c>
      <c r="B2469" s="7" t="inlineStr">
        <is>
          <t>Adapted State Thermal Track Jacket</t>
        </is>
      </c>
      <c r="C2469" s="7" t="inlineStr">
        <is>
          <t>158028406</t>
        </is>
      </c>
      <c r="D2469" s="7" t="inlineStr">
        <is>
          <t>158028406-dovegrey</t>
        </is>
      </c>
      <c r="E2469" s="7" t="inlineStr">
        <is>
          <t>Adapted State Thermal Track Jacket DVGY 2</t>
        </is>
      </c>
      <c r="F2469" s="7" t="inlineStr">
        <is>
          <t>$148.00</t>
        </is>
      </c>
      <c r="G2469" s="7" t="inlineStr">
        <is>
          <t>$74.00</t>
        </is>
      </c>
      <c r="H2469" s="7" t="inlineStr">
        <is>
          <t>Dove Grey</t>
        </is>
      </c>
      <c r="I2469" s="7">
        <f>IMAGE("https://images.lululemon.com/is/image/lululemon/36865",1)</f>
        <v/>
      </c>
      <c r="J2469" s="7" t="inlineStr">
        <is>
          <t>2</t>
        </is>
      </c>
      <c r="K2469" s="7" t="inlineStr">
        <is>
          <t>58/1220</t>
        </is>
      </c>
      <c r="L2469" s="7" t="inlineStr">
        <is>
          <t>Yes</t>
        </is>
      </c>
      <c r="M2469" s="7" t="inlineStr">
        <is>
          <t>Think fast, stay warm. Made from technical thermal fabric, this version of our Adapted State jacket makes quick transitions cozier in cold weather.</t>
        </is>
      </c>
      <c r="N2469" s="7" t="inlineStr">
        <is>
          <t>Adapted-State-Thermal-Track-Jacket</t>
        </is>
      </c>
      <c r="O2469" s="7" t="inlineStr">
        <is>
          <t>Track Jackets, Athletic Jackets</t>
        </is>
      </c>
    </row>
    <row r="2470" ht="80" customHeight="1">
      <c r="A2470" s="4">
        <f>IMAGE("https://images.lululemon.com/is/image/lululemon/LW3JLVS_0001_1?wid=320&amp;op_usm=0.8",1)</f>
        <v/>
      </c>
      <c r="B2470" s="4" t="inlineStr">
        <is>
          <t>Adapted State Thermal Track Jacket</t>
        </is>
      </c>
      <c r="C2470" s="4" t="inlineStr">
        <is>
          <t>158028414</t>
        </is>
      </c>
      <c r="D2470" s="4" t="inlineStr">
        <is>
          <t>158028414-dovegrey</t>
        </is>
      </c>
      <c r="E2470" s="4" t="inlineStr">
        <is>
          <t>Adapted State Thermal Track Jacket DVGY 2</t>
        </is>
      </c>
      <c r="F2470" s="4" t="inlineStr">
        <is>
          <t>$148.00</t>
        </is>
      </c>
      <c r="G2470" s="4" t="inlineStr">
        <is>
          <t>$74.00</t>
        </is>
      </c>
      <c r="H2470" s="4" t="inlineStr">
        <is>
          <t>Dove Grey</t>
        </is>
      </c>
      <c r="I2470" s="4">
        <f>IMAGE("https://images.lululemon.com/is/image/lululemon/36865",1)</f>
        <v/>
      </c>
      <c r="J2470" s="4" t="inlineStr">
        <is>
          <t>4</t>
        </is>
      </c>
      <c r="K2470" s="4" t="inlineStr">
        <is>
          <t>120/1220</t>
        </is>
      </c>
      <c r="L2470" s="4" t="inlineStr">
        <is>
          <t>Yes</t>
        </is>
      </c>
      <c r="M2470" s="4" t="inlineStr">
        <is>
          <t>Think fast, stay warm. Made from technical thermal fabric, this version of our Adapted State jacket makes quick transitions cozier in cold weather.</t>
        </is>
      </c>
      <c r="N2470" s="4" t="inlineStr">
        <is>
          <t>Adapted-State-Thermal-Track-Jacket</t>
        </is>
      </c>
      <c r="O2470" s="4" t="inlineStr">
        <is>
          <t>Track Jackets, Athletic Jackets</t>
        </is>
      </c>
    </row>
    <row r="2471" ht="80" customHeight="1">
      <c r="A2471" s="7">
        <f>IMAGE("https://images.lululemon.com/is/image/lululemon/LW3JLVS_0001_1?wid=320&amp;op_usm=0.8",1)</f>
        <v/>
      </c>
      <c r="B2471" s="7" t="inlineStr">
        <is>
          <t>Adapted State Thermal Track Jacket</t>
        </is>
      </c>
      <c r="C2471" s="7" t="inlineStr">
        <is>
          <t>158028423</t>
        </is>
      </c>
      <c r="D2471" s="7" t="inlineStr">
        <is>
          <t>158028423-dovegrey</t>
        </is>
      </c>
      <c r="E2471" s="7" t="inlineStr">
        <is>
          <t>Adapted State Thermal Track Jacket DVGY 2</t>
        </is>
      </c>
      <c r="F2471" s="7" t="inlineStr">
        <is>
          <t>$148.00</t>
        </is>
      </c>
      <c r="G2471" s="7" t="inlineStr">
        <is>
          <t>$74.00</t>
        </is>
      </c>
      <c r="H2471" s="7" t="inlineStr">
        <is>
          <t>Dove Grey</t>
        </is>
      </c>
      <c r="I2471" s="7">
        <f>IMAGE("https://images.lululemon.com/is/image/lululemon/36865",1)</f>
        <v/>
      </c>
      <c r="J2471" s="7" t="inlineStr">
        <is>
          <t>6</t>
        </is>
      </c>
      <c r="K2471" s="7" t="inlineStr">
        <is>
          <t>148/1220</t>
        </is>
      </c>
      <c r="L2471" s="7" t="inlineStr">
        <is>
          <t>Yes</t>
        </is>
      </c>
      <c r="M2471" s="7" t="inlineStr">
        <is>
          <t>Think fast, stay warm. Made from technical thermal fabric, this version of our Adapted State jacket makes quick transitions cozier in cold weather.</t>
        </is>
      </c>
      <c r="N2471" s="7" t="inlineStr">
        <is>
          <t>Adapted-State-Thermal-Track-Jacket</t>
        </is>
      </c>
      <c r="O2471" s="7" t="inlineStr">
        <is>
          <t>Track Jackets, Athletic Jackets</t>
        </is>
      </c>
    </row>
    <row r="2472" ht="80" customHeight="1">
      <c r="A2472" s="4">
        <f>IMAGE("https://images.lululemon.com/is/image/lululemon/LW3JLVS_0001_1?wid=320&amp;op_usm=0.8",1)</f>
        <v/>
      </c>
      <c r="B2472" s="4" t="inlineStr">
        <is>
          <t>Adapted State Thermal Track Jacket</t>
        </is>
      </c>
      <c r="C2472" s="4" t="inlineStr">
        <is>
          <t>158028431</t>
        </is>
      </c>
      <c r="D2472" s="4" t="inlineStr">
        <is>
          <t>158028431-dovegrey</t>
        </is>
      </c>
      <c r="E2472" s="4" t="inlineStr">
        <is>
          <t>Adapted State Thermal Track Jacket DVGY 2</t>
        </is>
      </c>
      <c r="F2472" s="4" t="inlineStr">
        <is>
          <t>$148.00</t>
        </is>
      </c>
      <c r="G2472" s="4" t="inlineStr">
        <is>
          <t>$74.00</t>
        </is>
      </c>
      <c r="H2472" s="4" t="inlineStr">
        <is>
          <t>Dove Grey</t>
        </is>
      </c>
      <c r="I2472" s="4">
        <f>IMAGE("https://images.lululemon.com/is/image/lululemon/36865",1)</f>
        <v/>
      </c>
      <c r="J2472" s="4" t="inlineStr">
        <is>
          <t>8</t>
        </is>
      </c>
      <c r="K2472" s="4" t="inlineStr">
        <is>
          <t>135/1220</t>
        </is>
      </c>
      <c r="L2472" s="4" t="inlineStr">
        <is>
          <t>Yes</t>
        </is>
      </c>
      <c r="M2472" s="4" t="inlineStr">
        <is>
          <t>Think fast, stay warm. Made from technical thermal fabric, this version of our Adapted State jacket makes quick transitions cozier in cold weather.</t>
        </is>
      </c>
      <c r="N2472" s="4" t="inlineStr">
        <is>
          <t>Adapted-State-Thermal-Track-Jacket</t>
        </is>
      </c>
      <c r="O2472" s="4" t="inlineStr">
        <is>
          <t>Track Jackets, Athletic Jackets</t>
        </is>
      </c>
    </row>
    <row r="2473" ht="80" customHeight="1">
      <c r="A2473" s="7">
        <f>IMAGE("https://images.lululemon.com/is/image/lululemon/LW3JLVS_0001_1?wid=320&amp;op_usm=0.8",1)</f>
        <v/>
      </c>
      <c r="B2473" s="7" t="inlineStr">
        <is>
          <t>Adapted State Thermal Track Jacket</t>
        </is>
      </c>
      <c r="C2473" s="7" t="inlineStr">
        <is>
          <t>158028387</t>
        </is>
      </c>
      <c r="D2473" s="7" t="inlineStr">
        <is>
          <t>158028387-dovegrey</t>
        </is>
      </c>
      <c r="E2473" s="7" t="inlineStr">
        <is>
          <t>Adapted State Thermal Track Jacket DVGY 2</t>
        </is>
      </c>
      <c r="F2473" s="7" t="inlineStr">
        <is>
          <t>$148.00</t>
        </is>
      </c>
      <c r="G2473" s="7" t="inlineStr">
        <is>
          <t>$74.00</t>
        </is>
      </c>
      <c r="H2473" s="7" t="inlineStr">
        <is>
          <t>Dove Grey</t>
        </is>
      </c>
      <c r="I2473" s="7">
        <f>IMAGE("https://images.lululemon.com/is/image/lululemon/36865",1)</f>
        <v/>
      </c>
      <c r="J2473" s="7" t="inlineStr">
        <is>
          <t>10</t>
        </is>
      </c>
      <c r="K2473" s="7" t="inlineStr">
        <is>
          <t>90/1220</t>
        </is>
      </c>
      <c r="L2473" s="7" t="inlineStr">
        <is>
          <t>Yes</t>
        </is>
      </c>
      <c r="M2473" s="7" t="inlineStr">
        <is>
          <t>Think fast, stay warm. Made from technical thermal fabric, this version of our Adapted State jacket makes quick transitions cozier in cold weather.</t>
        </is>
      </c>
      <c r="N2473" s="7" t="inlineStr">
        <is>
          <t>Adapted-State-Thermal-Track-Jacket</t>
        </is>
      </c>
      <c r="O2473" s="7" t="inlineStr">
        <is>
          <t>Track Jackets, Athletic Jackets</t>
        </is>
      </c>
    </row>
    <row r="2474" ht="80" customHeight="1">
      <c r="A2474" s="4">
        <f>IMAGE("https://images.lululemon.com/is/image/lululemon/LW3JLVS_0001_1?wid=320&amp;op_usm=0.8",1)</f>
        <v/>
      </c>
      <c r="B2474" s="4" t="inlineStr">
        <is>
          <t>Adapted State Thermal Track Jacket</t>
        </is>
      </c>
      <c r="C2474" s="4" t="inlineStr">
        <is>
          <t>158028394</t>
        </is>
      </c>
      <c r="D2474" s="4" t="inlineStr">
        <is>
          <t>158028394-dovegrey</t>
        </is>
      </c>
      <c r="E2474" s="4" t="inlineStr">
        <is>
          <t>Adapted State Thermal Track Jacket DVGY 2</t>
        </is>
      </c>
      <c r="F2474" s="4" t="inlineStr">
        <is>
          <t>$148.00</t>
        </is>
      </c>
      <c r="G2474" s="4" t="inlineStr">
        <is>
          <t>$74.00</t>
        </is>
      </c>
      <c r="H2474" s="4" t="inlineStr">
        <is>
          <t>Dove Grey</t>
        </is>
      </c>
      <c r="I2474" s="4">
        <f>IMAGE("https://images.lululemon.com/is/image/lululemon/36865",1)</f>
        <v/>
      </c>
      <c r="J2474" s="4" t="inlineStr">
        <is>
          <t>12</t>
        </is>
      </c>
      <c r="K2474" s="4" t="inlineStr">
        <is>
          <t>47/1220</t>
        </is>
      </c>
      <c r="L2474" s="4" t="inlineStr">
        <is>
          <t>Yes</t>
        </is>
      </c>
      <c r="M2474" s="4" t="inlineStr">
        <is>
          <t>Think fast, stay warm. Made from technical thermal fabric, this version of our Adapted State jacket makes quick transitions cozier in cold weather.</t>
        </is>
      </c>
      <c r="N2474" s="4" t="inlineStr">
        <is>
          <t>Adapted-State-Thermal-Track-Jacket</t>
        </is>
      </c>
      <c r="O2474" s="4" t="inlineStr">
        <is>
          <t>Track Jackets, Athletic Jackets</t>
        </is>
      </c>
    </row>
    <row r="2475" ht="80" customHeight="1">
      <c r="A2475" s="7">
        <f>IMAGE("https://images.lululemon.com/is/image/lululemon/LW3JLVS_0001_1?wid=320&amp;op_usm=0.8",1)</f>
        <v/>
      </c>
      <c r="B2475" s="7" t="inlineStr">
        <is>
          <t>Adapted State Thermal Track Jacket</t>
        </is>
      </c>
      <c r="C2475" s="7" t="inlineStr">
        <is>
          <t>158026199</t>
        </is>
      </c>
      <c r="D2475" s="7" t="inlineStr">
        <is>
          <t>158026199-black</t>
        </is>
      </c>
      <c r="E2475" s="7" t="inlineStr">
        <is>
          <t>Adapted State Thermal Track Jacket DVGY 2</t>
        </is>
      </c>
      <c r="F2475" s="7" t="inlineStr">
        <is>
          <t>$148.00</t>
        </is>
      </c>
      <c r="G2475" s="7" t="inlineStr">
        <is>
          <t>$74.00</t>
        </is>
      </c>
      <c r="H2475" s="7" t="inlineStr">
        <is>
          <t>Black</t>
        </is>
      </c>
      <c r="I2475" s="7">
        <f>IMAGE("https://images.lululemon.com/is/image/lululemon/0001",1)</f>
        <v/>
      </c>
      <c r="J2475" s="7" t="inlineStr">
        <is>
          <t>2</t>
        </is>
      </c>
      <c r="K2475" s="7" t="inlineStr">
        <is>
          <t>58/1220</t>
        </is>
      </c>
      <c r="L2475" s="7" t="inlineStr">
        <is>
          <t>Yes</t>
        </is>
      </c>
      <c r="M2475" s="7" t="inlineStr">
        <is>
          <t>Think fast, stay warm. Made from technical thermal fabric, this version of our Adapted State jacket makes quick transitions cozier in cold weather.</t>
        </is>
      </c>
      <c r="N2475" s="7" t="inlineStr">
        <is>
          <t>Adapted-State-Thermal-Track-Jacket</t>
        </is>
      </c>
      <c r="O2475" s="7" t="inlineStr">
        <is>
          <t>Track Jackets, Athletic Jackets</t>
        </is>
      </c>
    </row>
    <row r="2476" ht="80" customHeight="1">
      <c r="A2476" s="4">
        <f>IMAGE("https://images.lululemon.com/is/image/lululemon/LW3JLVS_0001_1?wid=320&amp;op_usm=0.8",1)</f>
        <v/>
      </c>
      <c r="B2476" s="4" t="inlineStr">
        <is>
          <t>Adapted State Thermal Track Jacket</t>
        </is>
      </c>
      <c r="C2476" s="4" t="inlineStr">
        <is>
          <t>158026207</t>
        </is>
      </c>
      <c r="D2476" s="4" t="inlineStr">
        <is>
          <t>158026207-black</t>
        </is>
      </c>
      <c r="E2476" s="4" t="inlineStr">
        <is>
          <t>Adapted State Thermal Track Jacket DVGY 2</t>
        </is>
      </c>
      <c r="F2476" s="4" t="inlineStr">
        <is>
          <t>$148.00</t>
        </is>
      </c>
      <c r="G2476" s="4" t="inlineStr">
        <is>
          <t>$74.00</t>
        </is>
      </c>
      <c r="H2476" s="4" t="inlineStr">
        <is>
          <t>Black</t>
        </is>
      </c>
      <c r="I2476" s="4">
        <f>IMAGE("https://images.lululemon.com/is/image/lululemon/0001",1)</f>
        <v/>
      </c>
      <c r="J2476" s="4" t="inlineStr">
        <is>
          <t>4</t>
        </is>
      </c>
      <c r="K2476" s="4" t="inlineStr">
        <is>
          <t>124/1220</t>
        </is>
      </c>
      <c r="L2476" s="4" t="inlineStr">
        <is>
          <t>Yes</t>
        </is>
      </c>
      <c r="M2476" s="4" t="inlineStr">
        <is>
          <t>Think fast, stay warm. Made from technical thermal fabric, this version of our Adapted State jacket makes quick transitions cozier in cold weather.</t>
        </is>
      </c>
      <c r="N2476" s="4" t="inlineStr">
        <is>
          <t>Adapted-State-Thermal-Track-Jacket</t>
        </is>
      </c>
      <c r="O2476" s="4" t="inlineStr">
        <is>
          <t>Track Jackets, Athletic Jackets</t>
        </is>
      </c>
    </row>
    <row r="2477" ht="80" customHeight="1">
      <c r="A2477" s="7">
        <f>IMAGE("https://images.lululemon.com/is/image/lululemon/LW3JLVS_0001_1?wid=320&amp;op_usm=0.8",1)</f>
        <v/>
      </c>
      <c r="B2477" s="7" t="inlineStr">
        <is>
          <t>Adapted State Thermal Track Jacket</t>
        </is>
      </c>
      <c r="C2477" s="7" t="inlineStr">
        <is>
          <t>158026222</t>
        </is>
      </c>
      <c r="D2477" s="7" t="inlineStr">
        <is>
          <t>158026222-black</t>
        </is>
      </c>
      <c r="E2477" s="7" t="inlineStr">
        <is>
          <t>Adapted State Thermal Track Jacket DVGY 2</t>
        </is>
      </c>
      <c r="F2477" s="7" t="inlineStr">
        <is>
          <t>$148.00</t>
        </is>
      </c>
      <c r="G2477" s="7" t="inlineStr">
        <is>
          <t>$74.00</t>
        </is>
      </c>
      <c r="H2477" s="7" t="inlineStr">
        <is>
          <t>Black</t>
        </is>
      </c>
      <c r="I2477" s="7">
        <f>IMAGE("https://images.lululemon.com/is/image/lululemon/0001",1)</f>
        <v/>
      </c>
      <c r="J2477" s="7" t="inlineStr">
        <is>
          <t>6</t>
        </is>
      </c>
      <c r="K2477" s="7" t="inlineStr">
        <is>
          <t>155/1220</t>
        </is>
      </c>
      <c r="L2477" s="7" t="inlineStr">
        <is>
          <t>Yes</t>
        </is>
      </c>
      <c r="M2477" s="7" t="inlineStr">
        <is>
          <t>Think fast, stay warm. Made from technical thermal fabric, this version of our Adapted State jacket makes quick transitions cozier in cold weather.</t>
        </is>
      </c>
      <c r="N2477" s="7" t="inlineStr">
        <is>
          <t>Adapted-State-Thermal-Track-Jacket</t>
        </is>
      </c>
      <c r="O2477" s="7" t="inlineStr">
        <is>
          <t>Track Jackets, Athletic Jackets</t>
        </is>
      </c>
    </row>
    <row r="2478" ht="80" customHeight="1">
      <c r="A2478" s="4">
        <f>IMAGE("https://images.lululemon.com/is/image/lululemon/LW3JLVS_0001_1?wid=320&amp;op_usm=0.8",1)</f>
        <v/>
      </c>
      <c r="B2478" s="4" t="inlineStr">
        <is>
          <t>Adapted State Thermal Track Jacket</t>
        </is>
      </c>
      <c r="C2478" s="4" t="inlineStr">
        <is>
          <t>158026232</t>
        </is>
      </c>
      <c r="D2478" s="4" t="inlineStr">
        <is>
          <t>158026232-black</t>
        </is>
      </c>
      <c r="E2478" s="4" t="inlineStr">
        <is>
          <t>Adapted State Thermal Track Jacket DVGY 2</t>
        </is>
      </c>
      <c r="F2478" s="4" t="inlineStr">
        <is>
          <t>$148.00</t>
        </is>
      </c>
      <c r="G2478" s="4" t="inlineStr">
        <is>
          <t>$74.00</t>
        </is>
      </c>
      <c r="H2478" s="4" t="inlineStr">
        <is>
          <t>Black</t>
        </is>
      </c>
      <c r="I2478" s="4">
        <f>IMAGE("https://images.lululemon.com/is/image/lululemon/0001",1)</f>
        <v/>
      </c>
      <c r="J2478" s="4" t="inlineStr">
        <is>
          <t>8</t>
        </is>
      </c>
      <c r="K2478" s="4" t="inlineStr">
        <is>
          <t>143/1220</t>
        </is>
      </c>
      <c r="L2478" s="4" t="inlineStr">
        <is>
          <t>Yes</t>
        </is>
      </c>
      <c r="M2478" s="4" t="inlineStr">
        <is>
          <t>Think fast, stay warm. Made from technical thermal fabric, this version of our Adapted State jacket makes quick transitions cozier in cold weather.</t>
        </is>
      </c>
      <c r="N2478" s="4" t="inlineStr">
        <is>
          <t>Adapted-State-Thermal-Track-Jacket</t>
        </is>
      </c>
      <c r="O2478" s="4" t="inlineStr">
        <is>
          <t>Track Jackets, Athletic Jackets</t>
        </is>
      </c>
    </row>
    <row r="2479" ht="80" customHeight="1">
      <c r="A2479" s="7">
        <f>IMAGE("https://images.lululemon.com/is/image/lululemon/LW3JLVS_0001_1?wid=320&amp;op_usm=0.8",1)</f>
        <v/>
      </c>
      <c r="B2479" s="7" t="inlineStr">
        <is>
          <t>Adapted State Thermal Track Jacket</t>
        </is>
      </c>
      <c r="C2479" s="7" t="inlineStr">
        <is>
          <t>158026154</t>
        </is>
      </c>
      <c r="D2479" s="7" t="inlineStr">
        <is>
          <t>158026154-black</t>
        </is>
      </c>
      <c r="E2479" s="7" t="inlineStr">
        <is>
          <t>Adapted State Thermal Track Jacket DVGY 2</t>
        </is>
      </c>
      <c r="F2479" s="7" t="inlineStr">
        <is>
          <t>$148.00</t>
        </is>
      </c>
      <c r="G2479" s="7" t="inlineStr">
        <is>
          <t>$74.00</t>
        </is>
      </c>
      <c r="H2479" s="7" t="inlineStr">
        <is>
          <t>Black</t>
        </is>
      </c>
      <c r="I2479" s="7">
        <f>IMAGE("https://images.lululemon.com/is/image/lululemon/0001",1)</f>
        <v/>
      </c>
      <c r="J2479" s="7" t="inlineStr">
        <is>
          <t>10</t>
        </is>
      </c>
      <c r="K2479" s="7" t="inlineStr">
        <is>
          <t>94/1220</t>
        </is>
      </c>
      <c r="L2479" s="7" t="inlineStr">
        <is>
          <t>Yes</t>
        </is>
      </c>
      <c r="M2479" s="7" t="inlineStr">
        <is>
          <t>Think fast, stay warm. Made from technical thermal fabric, this version of our Adapted State jacket makes quick transitions cozier in cold weather.</t>
        </is>
      </c>
      <c r="N2479" s="7" t="inlineStr">
        <is>
          <t>Adapted-State-Thermal-Track-Jacket</t>
        </is>
      </c>
      <c r="O2479" s="7" t="inlineStr">
        <is>
          <t>Track Jackets, Athletic Jackets</t>
        </is>
      </c>
    </row>
    <row r="2480" ht="80" customHeight="1">
      <c r="A2480" s="6">
        <f>IMAGE("https://images.lululemon.com/is/image/lululemon/LW3JLVS_0001_1?wid=320&amp;op_usm=0.8",1)</f>
        <v/>
      </c>
      <c r="B2480" s="6" t="inlineStr">
        <is>
          <t>Adapted State Thermal Track Jacket</t>
        </is>
      </c>
      <c r="C2480" s="6" t="inlineStr">
        <is>
          <t>158026172</t>
        </is>
      </c>
      <c r="D2480" s="6" t="inlineStr">
        <is>
          <t>158026172-black</t>
        </is>
      </c>
      <c r="E2480" s="6" t="inlineStr">
        <is>
          <t>Adapted State Thermal Track Jacket DVGY 2</t>
        </is>
      </c>
      <c r="F2480" s="6" t="inlineStr">
        <is>
          <t>$148.00</t>
        </is>
      </c>
      <c r="G2480" s="6" t="inlineStr">
        <is>
          <t>$74.00</t>
        </is>
      </c>
      <c r="H2480" s="6" t="inlineStr">
        <is>
          <t>Black</t>
        </is>
      </c>
      <c r="I2480" s="6">
        <f>IMAGE("https://images.lululemon.com/is/image/lululemon/0001",1)</f>
        <v/>
      </c>
      <c r="J2480" s="6" t="inlineStr">
        <is>
          <t>12</t>
        </is>
      </c>
      <c r="K2480" s="6" t="inlineStr">
        <is>
          <t>48/1220</t>
        </is>
      </c>
      <c r="L2480" s="6" t="inlineStr">
        <is>
          <t>Yes</t>
        </is>
      </c>
      <c r="M2480" s="6" t="inlineStr">
        <is>
          <t>Think fast, stay warm. Made from technical thermal fabric, this version of our Adapted State jacket makes quick transitions cozier in cold weather.</t>
        </is>
      </c>
      <c r="N2480" s="6" t="inlineStr">
        <is>
          <t>Adapted-State-Thermal-Track-Jacket</t>
        </is>
      </c>
      <c r="O2480" s="6" t="inlineStr">
        <is>
          <t>Track Jackets, Athletic Jackets</t>
        </is>
      </c>
    </row>
    <row r="2481" ht="80" customHeight="1">
      <c r="A2481" s="7">
        <f>IMAGE("https://images.lululemon.com/is/image/lululemon/LW3JOXS_031382_1?wid=320&amp;op_usm=0.8",1)</f>
        <v/>
      </c>
      <c r="B2481" s="7" t="inlineStr">
        <is>
          <t>Daydrift Bomber Jacket</t>
        </is>
      </c>
      <c r="C2481" s="7" t="inlineStr">
        <is>
          <t>158096646</t>
        </is>
      </c>
      <c r="D2481" s="7" t="inlineStr">
        <is>
          <t>158096646-truenavy</t>
        </is>
      </c>
      <c r="E2481" s="7" t="inlineStr">
        <is>
          <t>Daydrift Bomber Jacket TRNV XS</t>
        </is>
      </c>
      <c r="F2481" s="7" t="inlineStr">
        <is>
          <t>$148.00</t>
        </is>
      </c>
      <c r="G2481" s="7" t="inlineStr">
        <is>
          <t>$74.00</t>
        </is>
      </c>
      <c r="H2481" s="7" t="inlineStr">
        <is>
          <t>True Navy</t>
        </is>
      </c>
      <c r="I2481" s="7">
        <f>IMAGE("https://images.lululemon.com/is/image/lululemon/31382",1)</f>
        <v/>
      </c>
      <c r="J2481" s="7" t="inlineStr">
        <is>
          <t>XS</t>
        </is>
      </c>
      <c r="K2481" s="7" t="inlineStr">
        <is>
          <t>153/440</t>
        </is>
      </c>
      <c r="L2481" s="7" t="inlineStr">
        <is>
          <t>Yes</t>
        </is>
      </c>
      <c r="M2481" s="7" t="inlineStr">
        <is>
          <t>Tailored look with a technical edge. This collared bomber jacket is cut from smooth, four-way stretch Luxtreme™ spacer fabric that feels sleek and cool to the touch.</t>
        </is>
      </c>
      <c r="N2481" s="7" t="inlineStr">
        <is>
          <t>Daydrift-Bomber-Jacket</t>
        </is>
      </c>
      <c r="O2481" s="7" t="inlineStr">
        <is>
          <t>Bomber Jackets</t>
        </is>
      </c>
    </row>
    <row r="2482" ht="80" customHeight="1">
      <c r="A2482" s="4">
        <f>IMAGE("https://images.lululemon.com/is/image/lululemon/LW3JOXS_031382_1?wid=320&amp;op_usm=0.8",1)</f>
        <v/>
      </c>
      <c r="B2482" s="4" t="inlineStr">
        <is>
          <t>Daydrift Bomber Jacket</t>
        </is>
      </c>
      <c r="C2482" s="4" t="inlineStr">
        <is>
          <t>158096639</t>
        </is>
      </c>
      <c r="D2482" s="4" t="inlineStr">
        <is>
          <t>158096639-truenavy</t>
        </is>
      </c>
      <c r="E2482" s="4" t="inlineStr">
        <is>
          <t>Daydrift Bomber Jacket TRNV XS</t>
        </is>
      </c>
      <c r="F2482" s="4" t="inlineStr">
        <is>
          <t>$148.00</t>
        </is>
      </c>
      <c r="G2482" s="4" t="inlineStr">
        <is>
          <t>$74.00</t>
        </is>
      </c>
      <c r="H2482" s="4" t="inlineStr">
        <is>
          <t>True Navy</t>
        </is>
      </c>
      <c r="I2482" s="4">
        <f>IMAGE("https://images.lululemon.com/is/image/lululemon/31382",1)</f>
        <v/>
      </c>
      <c r="J2482" s="4" t="inlineStr">
        <is>
          <t>S</t>
        </is>
      </c>
      <c r="K2482" s="4" t="inlineStr">
        <is>
          <t>127/440</t>
        </is>
      </c>
      <c r="L2482" s="4" t="inlineStr">
        <is>
          <t>Yes</t>
        </is>
      </c>
      <c r="M2482" s="4" t="inlineStr">
        <is>
          <t>Tailored look with a technical edge. This collared bomber jacket is cut from smooth, four-way stretch Luxtreme™ spacer fabric that feels sleek and cool to the touch.</t>
        </is>
      </c>
      <c r="N2482" s="4" t="inlineStr">
        <is>
          <t>Daydrift-Bomber-Jacket</t>
        </is>
      </c>
      <c r="O2482" s="4" t="inlineStr">
        <is>
          <t>Bomber Jackets</t>
        </is>
      </c>
    </row>
    <row r="2483" ht="80" customHeight="1">
      <c r="A2483" s="7">
        <f>IMAGE("https://images.lululemon.com/is/image/lululemon/LW3JOXS_031382_1?wid=320&amp;op_usm=0.8",1)</f>
        <v/>
      </c>
      <c r="B2483" s="7" t="inlineStr">
        <is>
          <t>Daydrift Bomber Jacket</t>
        </is>
      </c>
      <c r="C2483" s="7" t="inlineStr">
        <is>
          <t>158096634</t>
        </is>
      </c>
      <c r="D2483" s="7" t="inlineStr">
        <is>
          <t>158096634-truenavy</t>
        </is>
      </c>
      <c r="E2483" s="7" t="inlineStr">
        <is>
          <t>Daydrift Bomber Jacket TRNV XS</t>
        </is>
      </c>
      <c r="F2483" s="7" t="inlineStr">
        <is>
          <t>$148.00</t>
        </is>
      </c>
      <c r="G2483" s="7" t="inlineStr">
        <is>
          <t>$74.00</t>
        </is>
      </c>
      <c r="H2483" s="7" t="inlineStr">
        <is>
          <t>True Navy</t>
        </is>
      </c>
      <c r="I2483" s="7">
        <f>IMAGE("https://images.lululemon.com/is/image/lululemon/31382",1)</f>
        <v/>
      </c>
      <c r="J2483" s="7" t="inlineStr">
        <is>
          <t>M</t>
        </is>
      </c>
      <c r="K2483" s="7" t="inlineStr">
        <is>
          <t>84/440</t>
        </is>
      </c>
      <c r="L2483" s="7" t="inlineStr">
        <is>
          <t>Yes</t>
        </is>
      </c>
      <c r="M2483" s="7" t="inlineStr">
        <is>
          <t>Tailored look with a technical edge. This collared bomber jacket is cut from smooth, four-way stretch Luxtreme™ spacer fabric that feels sleek and cool to the touch.</t>
        </is>
      </c>
      <c r="N2483" s="7" t="inlineStr">
        <is>
          <t>Daydrift-Bomber-Jacket</t>
        </is>
      </c>
      <c r="O2483" s="7" t="inlineStr">
        <is>
          <t>Bomber Jackets</t>
        </is>
      </c>
    </row>
    <row r="2484" ht="80" customHeight="1">
      <c r="A2484" s="4">
        <f>IMAGE("https://images.lululemon.com/is/image/lululemon/LW3JOXS_031382_1?wid=320&amp;op_usm=0.8",1)</f>
        <v/>
      </c>
      <c r="B2484" s="4" t="inlineStr">
        <is>
          <t>Daydrift Bomber Jacket</t>
        </is>
      </c>
      <c r="C2484" s="4" t="inlineStr">
        <is>
          <t>158096629</t>
        </is>
      </c>
      <c r="D2484" s="4" t="inlineStr">
        <is>
          <t>158096629-truenavy</t>
        </is>
      </c>
      <c r="E2484" s="4" t="inlineStr">
        <is>
          <t>Daydrift Bomber Jacket TRNV XS</t>
        </is>
      </c>
      <c r="F2484" s="4" t="inlineStr">
        <is>
          <t>$148.00</t>
        </is>
      </c>
      <c r="G2484" s="4" t="inlineStr">
        <is>
          <t>$74.00</t>
        </is>
      </c>
      <c r="H2484" s="4" t="inlineStr">
        <is>
          <t>True Navy</t>
        </is>
      </c>
      <c r="I2484" s="4">
        <f>IMAGE("https://images.lululemon.com/is/image/lululemon/31382",1)</f>
        <v/>
      </c>
      <c r="J2484" s="4" t="inlineStr">
        <is>
          <t>L</t>
        </is>
      </c>
      <c r="K2484" s="4" t="inlineStr">
        <is>
          <t>45/440</t>
        </is>
      </c>
      <c r="L2484" s="4" t="inlineStr">
        <is>
          <t>Yes</t>
        </is>
      </c>
      <c r="M2484" s="4" t="inlineStr">
        <is>
          <t>Tailored look with a technical edge. This collared bomber jacket is cut from smooth, four-way stretch Luxtreme™ spacer fabric that feels sleek and cool to the touch.</t>
        </is>
      </c>
      <c r="N2484" s="4" t="inlineStr">
        <is>
          <t>Daydrift-Bomber-Jacket</t>
        </is>
      </c>
      <c r="O2484" s="4" t="inlineStr">
        <is>
          <t>Bomber Jackets</t>
        </is>
      </c>
    </row>
    <row r="2485" ht="80" customHeight="1">
      <c r="A2485" s="5">
        <f>IMAGE("https://images.lululemon.com/is/image/lululemon/LW3JOXS_031382_1?wid=320&amp;op_usm=0.8",1)</f>
        <v/>
      </c>
      <c r="B2485" s="5" t="inlineStr">
        <is>
          <t>Daydrift Bomber Jacket</t>
        </is>
      </c>
      <c r="C2485" s="5" t="inlineStr">
        <is>
          <t>158096642</t>
        </is>
      </c>
      <c r="D2485" s="5" t="inlineStr">
        <is>
          <t>158096642-truenavy</t>
        </is>
      </c>
      <c r="E2485" s="5" t="inlineStr">
        <is>
          <t>Daydrift Bomber Jacket TRNV XS</t>
        </is>
      </c>
      <c r="F2485" s="5" t="inlineStr">
        <is>
          <t>$148.00</t>
        </is>
      </c>
      <c r="G2485" s="5" t="inlineStr">
        <is>
          <t>$74.00</t>
        </is>
      </c>
      <c r="H2485" s="5" t="inlineStr">
        <is>
          <t>True Navy</t>
        </is>
      </c>
      <c r="I2485" s="5">
        <f>IMAGE("https://images.lululemon.com/is/image/lululemon/31382",1)</f>
        <v/>
      </c>
      <c r="J2485" s="5" t="inlineStr">
        <is>
          <t>XL</t>
        </is>
      </c>
      <c r="K2485" s="5" t="inlineStr">
        <is>
          <t>31/440</t>
        </is>
      </c>
      <c r="L2485" s="5" t="inlineStr">
        <is>
          <t>Yes</t>
        </is>
      </c>
      <c r="M2485" s="5" t="inlineStr">
        <is>
          <t>Tailored look with a technical edge. This collared bomber jacket is cut from smooth, four-way stretch Luxtreme™ spacer fabric that feels sleek and cool to the touch.</t>
        </is>
      </c>
      <c r="N2485" s="5" t="inlineStr">
        <is>
          <t>Daydrift-Bomber-Jacket</t>
        </is>
      </c>
      <c r="O2485" s="5" t="inlineStr">
        <is>
          <t>Bomber Jackets</t>
        </is>
      </c>
    </row>
    <row r="2486" ht="80" customHeight="1">
      <c r="A2486" s="4">
        <f>IMAGE("https://images.lululemon.com/is/image/lululemon/LW1FS6S_068578_1?wid=320&amp;op_usm=0.8",1)</f>
        <v/>
      </c>
      <c r="B2486" s="4" t="inlineStr">
        <is>
          <t>Quick-Dry Sleeveless Polo Shirt Straight Hem *Logo</t>
        </is>
      </c>
      <c r="C2486" s="4" t="inlineStr">
        <is>
          <t>157688343</t>
        </is>
      </c>
      <c r="D2486" s="4" t="inlineStr">
        <is>
          <t>157688343-white</t>
        </is>
      </c>
      <c r="E2486" s="4" t="inlineStr">
        <is>
          <t>Quick-Dry Sleeveless Polo *Straight Hem WHT 0</t>
        </is>
      </c>
      <c r="F2486" s="4" t="inlineStr">
        <is>
          <t>$68.00</t>
        </is>
      </c>
      <c r="G2486" s="4" t="inlineStr">
        <is>
          <t>$34.00</t>
        </is>
      </c>
      <c r="H2486" s="4" t="inlineStr">
        <is>
          <t>White</t>
        </is>
      </c>
      <c r="I2486" s="4">
        <f>IMAGE("https://images.lululemon.com/is/image/lululemon/0002",1)</f>
        <v/>
      </c>
      <c r="J2486" s="4" t="inlineStr">
        <is>
          <t>0</t>
        </is>
      </c>
      <c r="K2486" s="4" t="inlineStr">
        <is>
          <t>66/2456</t>
        </is>
      </c>
      <c r="L2486" s="4" t="inlineStr">
        <is>
          <t>Yes</t>
        </is>
      </c>
      <c r="M2486" s="4" t="inlineStr">
        <is>
          <t>Tennis serves or golf swings—whatever you're practicing, this lightweight polo shirt manages sweat so you can focus on your game.</t>
        </is>
      </c>
      <c r="N2486" s="4" t="inlineStr">
        <is>
          <t>Quick-Dry-Sleeveless-Polo-Shirt-Straight-Hem-Logo</t>
        </is>
      </c>
      <c r="O2486" s="4" t="inlineStr"/>
    </row>
    <row r="2487" ht="80" customHeight="1">
      <c r="A2487" s="7">
        <f>IMAGE("https://images.lululemon.com/is/image/lululemon/LW1FS6S_068578_1?wid=320&amp;op_usm=0.8",1)</f>
        <v/>
      </c>
      <c r="B2487" s="7" t="inlineStr">
        <is>
          <t>Quick-Dry Sleeveless Polo Shirt Straight Hem *Logo</t>
        </is>
      </c>
      <c r="C2487" s="7" t="inlineStr">
        <is>
          <t>157688355</t>
        </is>
      </c>
      <c r="D2487" s="7" t="inlineStr">
        <is>
          <t>157688355-white</t>
        </is>
      </c>
      <c r="E2487" s="7" t="inlineStr">
        <is>
          <t>Quick-Dry Sleeveless Polo *Straight Hem WHT 0</t>
        </is>
      </c>
      <c r="F2487" s="7" t="inlineStr">
        <is>
          <t>$68.00</t>
        </is>
      </c>
      <c r="G2487" s="7" t="inlineStr">
        <is>
          <t>$34.00</t>
        </is>
      </c>
      <c r="H2487" s="7" t="inlineStr">
        <is>
          <t>White</t>
        </is>
      </c>
      <c r="I2487" s="7">
        <f>IMAGE("https://images.lululemon.com/is/image/lululemon/0002",1)</f>
        <v/>
      </c>
      <c r="J2487" s="7" t="inlineStr">
        <is>
          <t>2</t>
        </is>
      </c>
      <c r="K2487" s="7" t="inlineStr">
        <is>
          <t>307/2456</t>
        </is>
      </c>
      <c r="L2487" s="7" t="inlineStr">
        <is>
          <t>Yes</t>
        </is>
      </c>
      <c r="M2487" s="7" t="inlineStr">
        <is>
          <t>Tennis serves or golf swings—whatever you're practicing, this lightweight polo shirt manages sweat so you can focus on your game.</t>
        </is>
      </c>
      <c r="N2487" s="7" t="inlineStr">
        <is>
          <t>Quick-Dry-Sleeveless-Polo-Shirt-Straight-Hem-Logo</t>
        </is>
      </c>
      <c r="O2487" s="7" t="inlineStr"/>
    </row>
    <row r="2488" ht="80" customHeight="1">
      <c r="A2488" s="4">
        <f>IMAGE("https://images.lululemon.com/is/image/lululemon/LW1FS6S_068578_1?wid=320&amp;op_usm=0.8",1)</f>
        <v/>
      </c>
      <c r="B2488" s="4" t="inlineStr">
        <is>
          <t>Quick-Dry Sleeveless Polo Shirt Straight Hem *Logo</t>
        </is>
      </c>
      <c r="C2488" s="4" t="inlineStr">
        <is>
          <t>157688359</t>
        </is>
      </c>
      <c r="D2488" s="4" t="inlineStr">
        <is>
          <t>157688359-white</t>
        </is>
      </c>
      <c r="E2488" s="4" t="inlineStr">
        <is>
          <t>Quick-Dry Sleeveless Polo *Straight Hem WHT 0</t>
        </is>
      </c>
      <c r="F2488" s="4" t="inlineStr">
        <is>
          <t>$68.00</t>
        </is>
      </c>
      <c r="G2488" s="4" t="inlineStr">
        <is>
          <t>$34.00</t>
        </is>
      </c>
      <c r="H2488" s="4" t="inlineStr">
        <is>
          <t>White</t>
        </is>
      </c>
      <c r="I2488" s="4">
        <f>IMAGE("https://images.lululemon.com/is/image/lululemon/0002",1)</f>
        <v/>
      </c>
      <c r="J2488" s="4" t="inlineStr">
        <is>
          <t>4</t>
        </is>
      </c>
      <c r="K2488" s="4" t="inlineStr">
        <is>
          <t>167/2456</t>
        </is>
      </c>
      <c r="L2488" s="4" t="inlineStr">
        <is>
          <t>Yes</t>
        </is>
      </c>
      <c r="M2488" s="4" t="inlineStr">
        <is>
          <t>Tennis serves or golf swings—whatever you're practicing, this lightweight polo shirt manages sweat so you can focus on your game.</t>
        </is>
      </c>
      <c r="N2488" s="4" t="inlineStr">
        <is>
          <t>Quick-Dry-Sleeveless-Polo-Shirt-Straight-Hem-Logo</t>
        </is>
      </c>
      <c r="O2488" s="4" t="inlineStr"/>
    </row>
    <row r="2489" ht="80" customHeight="1">
      <c r="A2489" s="7">
        <f>IMAGE("https://images.lululemon.com/is/image/lululemon/LW1FS6S_068578_1?wid=320&amp;op_usm=0.8",1)</f>
        <v/>
      </c>
      <c r="B2489" s="7" t="inlineStr">
        <is>
          <t>Quick-Dry Sleeveless Polo Shirt Straight Hem *Logo</t>
        </is>
      </c>
      <c r="C2489" s="7" t="inlineStr">
        <is>
          <t>157688362</t>
        </is>
      </c>
      <c r="D2489" s="7" t="inlineStr">
        <is>
          <t>157688362-white</t>
        </is>
      </c>
      <c r="E2489" s="7" t="inlineStr">
        <is>
          <t>Quick-Dry Sleeveless Polo *Straight Hem WHT 0</t>
        </is>
      </c>
      <c r="F2489" s="7" t="inlineStr">
        <is>
          <t>$68.00</t>
        </is>
      </c>
      <c r="G2489" s="7" t="inlineStr">
        <is>
          <t>$34.00</t>
        </is>
      </c>
      <c r="H2489" s="7" t="inlineStr">
        <is>
          <t>White</t>
        </is>
      </c>
      <c r="I2489" s="7">
        <f>IMAGE("https://images.lululemon.com/is/image/lululemon/0002",1)</f>
        <v/>
      </c>
      <c r="J2489" s="7" t="inlineStr">
        <is>
          <t>6</t>
        </is>
      </c>
      <c r="K2489" s="7" t="inlineStr">
        <is>
          <t>200/2456</t>
        </is>
      </c>
      <c r="L2489" s="7" t="inlineStr">
        <is>
          <t>Yes</t>
        </is>
      </c>
      <c r="M2489" s="7" t="inlineStr">
        <is>
          <t>Tennis serves or golf swings—whatever you're practicing, this lightweight polo shirt manages sweat so you can focus on your game.</t>
        </is>
      </c>
      <c r="N2489" s="7" t="inlineStr">
        <is>
          <t>Quick-Dry-Sleeveless-Polo-Shirt-Straight-Hem-Logo</t>
        </is>
      </c>
      <c r="O2489" s="7" t="inlineStr"/>
    </row>
    <row r="2490" ht="80" customHeight="1">
      <c r="A2490" s="4">
        <f>IMAGE("https://images.lululemon.com/is/image/lululemon/LW1FS6S_068578_1?wid=320&amp;op_usm=0.8",1)</f>
        <v/>
      </c>
      <c r="B2490" s="4" t="inlineStr">
        <is>
          <t>Quick-Dry Sleeveless Polo Shirt Straight Hem *Logo</t>
        </is>
      </c>
      <c r="C2490" s="4" t="inlineStr">
        <is>
          <t>157688365</t>
        </is>
      </c>
      <c r="D2490" s="4" t="inlineStr">
        <is>
          <t>157688365-white</t>
        </is>
      </c>
      <c r="E2490" s="4" t="inlineStr">
        <is>
          <t>Quick-Dry Sleeveless Polo *Straight Hem WHT 0</t>
        </is>
      </c>
      <c r="F2490" s="4" t="inlineStr">
        <is>
          <t>$68.00</t>
        </is>
      </c>
      <c r="G2490" s="4" t="inlineStr">
        <is>
          <t>$34.00</t>
        </is>
      </c>
      <c r="H2490" s="4" t="inlineStr">
        <is>
          <t>White</t>
        </is>
      </c>
      <c r="I2490" s="4">
        <f>IMAGE("https://images.lululemon.com/is/image/lululemon/0002",1)</f>
        <v/>
      </c>
      <c r="J2490" s="4" t="inlineStr">
        <is>
          <t>8</t>
        </is>
      </c>
      <c r="K2490" s="4" t="inlineStr">
        <is>
          <t>151/2456</t>
        </is>
      </c>
      <c r="L2490" s="4" t="inlineStr">
        <is>
          <t>Yes</t>
        </is>
      </c>
      <c r="M2490" s="4" t="inlineStr">
        <is>
          <t>Tennis serves or golf swings—whatever you're practicing, this lightweight polo shirt manages sweat so you can focus on your game.</t>
        </is>
      </c>
      <c r="N2490" s="4" t="inlineStr">
        <is>
          <t>Quick-Dry-Sleeveless-Polo-Shirt-Straight-Hem-Logo</t>
        </is>
      </c>
      <c r="O2490" s="4" t="inlineStr"/>
    </row>
    <row r="2491" ht="80" customHeight="1">
      <c r="A2491" s="7">
        <f>IMAGE("https://images.lululemon.com/is/image/lululemon/LW1FS6S_068578_1?wid=320&amp;op_usm=0.8",1)</f>
        <v/>
      </c>
      <c r="B2491" s="7" t="inlineStr">
        <is>
          <t>Quick-Dry Sleeveless Polo Shirt Straight Hem *Logo</t>
        </is>
      </c>
      <c r="C2491" s="7" t="inlineStr">
        <is>
          <t>157688347</t>
        </is>
      </c>
      <c r="D2491" s="7" t="inlineStr">
        <is>
          <t>157688347-white</t>
        </is>
      </c>
      <c r="E2491" s="7" t="inlineStr">
        <is>
          <t>Quick-Dry Sleeveless Polo *Straight Hem WHT 0</t>
        </is>
      </c>
      <c r="F2491" s="7" t="inlineStr">
        <is>
          <t>$68.00</t>
        </is>
      </c>
      <c r="G2491" s="7" t="inlineStr">
        <is>
          <t>$34.00</t>
        </is>
      </c>
      <c r="H2491" s="7" t="inlineStr">
        <is>
          <t>White</t>
        </is>
      </c>
      <c r="I2491" s="7">
        <f>IMAGE("https://images.lululemon.com/is/image/lululemon/0002",1)</f>
        <v/>
      </c>
      <c r="J2491" s="7" t="inlineStr">
        <is>
          <t>10</t>
        </is>
      </c>
      <c r="K2491" s="7" t="inlineStr">
        <is>
          <t>82/2456</t>
        </is>
      </c>
      <c r="L2491" s="7" t="inlineStr">
        <is>
          <t>Yes</t>
        </is>
      </c>
      <c r="M2491" s="7" t="inlineStr">
        <is>
          <t>Tennis serves or golf swings—whatever you're practicing, this lightweight polo shirt manages sweat so you can focus on your game.</t>
        </is>
      </c>
      <c r="N2491" s="7" t="inlineStr">
        <is>
          <t>Quick-Dry-Sleeveless-Polo-Shirt-Straight-Hem-Logo</t>
        </is>
      </c>
      <c r="O2491" s="7" t="inlineStr"/>
    </row>
    <row r="2492" ht="80" customHeight="1">
      <c r="A2492" s="4">
        <f>IMAGE("https://images.lululemon.com/is/image/lululemon/LW1FS6S_068578_1?wid=320&amp;op_usm=0.8",1)</f>
        <v/>
      </c>
      <c r="B2492" s="4" t="inlineStr">
        <is>
          <t>Quick-Dry Sleeveless Polo Shirt Straight Hem *Logo</t>
        </is>
      </c>
      <c r="C2492" s="4" t="inlineStr">
        <is>
          <t>157688349</t>
        </is>
      </c>
      <c r="D2492" s="4" t="inlineStr">
        <is>
          <t>157688349-white</t>
        </is>
      </c>
      <c r="E2492" s="4" t="inlineStr">
        <is>
          <t>Quick-Dry Sleeveless Polo *Straight Hem WHT 0</t>
        </is>
      </c>
      <c r="F2492" s="4" t="inlineStr">
        <is>
          <t>$68.00</t>
        </is>
      </c>
      <c r="G2492" s="4" t="inlineStr">
        <is>
          <t>$34.00</t>
        </is>
      </c>
      <c r="H2492" s="4" t="inlineStr">
        <is>
          <t>White</t>
        </is>
      </c>
      <c r="I2492" s="4">
        <f>IMAGE("https://images.lululemon.com/is/image/lululemon/0002",1)</f>
        <v/>
      </c>
      <c r="J2492" s="4" t="inlineStr">
        <is>
          <t>12</t>
        </is>
      </c>
      <c r="K2492" s="4" t="inlineStr">
        <is>
          <t>41/2456</t>
        </is>
      </c>
      <c r="L2492" s="4" t="inlineStr">
        <is>
          <t>Yes</t>
        </is>
      </c>
      <c r="M2492" s="4" t="inlineStr">
        <is>
          <t>Tennis serves or golf swings—whatever you're practicing, this lightweight polo shirt manages sweat so you can focus on your game.</t>
        </is>
      </c>
      <c r="N2492" s="4" t="inlineStr">
        <is>
          <t>Quick-Dry-Sleeveless-Polo-Shirt-Straight-Hem-Logo</t>
        </is>
      </c>
      <c r="O2492" s="4" t="inlineStr"/>
    </row>
    <row r="2493" ht="80" customHeight="1">
      <c r="A2493" s="7">
        <f>IMAGE("https://images.lululemon.com/is/image/lululemon/LW1FS6S_068578_1?wid=320&amp;op_usm=0.8",1)</f>
        <v/>
      </c>
      <c r="B2493" s="7" t="inlineStr">
        <is>
          <t>Quick-Dry Sleeveless Polo Shirt Straight Hem *Logo</t>
        </is>
      </c>
      <c r="C2493" s="7" t="inlineStr">
        <is>
          <t>158028583</t>
        </is>
      </c>
      <c r="D2493" s="7" t="inlineStr">
        <is>
          <t>158028583-ashenrose</t>
        </is>
      </c>
      <c r="E2493" s="7" t="inlineStr">
        <is>
          <t>Quick-Dry Sleeveless Polo *Straight Hem WHT 0</t>
        </is>
      </c>
      <c r="F2493" s="7" t="inlineStr">
        <is>
          <t>$68.00</t>
        </is>
      </c>
      <c r="G2493" s="7" t="inlineStr">
        <is>
          <t>$34.00</t>
        </is>
      </c>
      <c r="H2493" s="7" t="inlineStr">
        <is>
          <t>Ashen Rose</t>
        </is>
      </c>
      <c r="I2493" s="7">
        <f>IMAGE("https://images.lululemon.com/is/image/lululemon/45797",1)</f>
        <v/>
      </c>
      <c r="J2493" s="7" t="inlineStr">
        <is>
          <t>2</t>
        </is>
      </c>
      <c r="K2493" s="7" t="inlineStr">
        <is>
          <t>40/2456</t>
        </is>
      </c>
      <c r="L2493" s="7" t="inlineStr">
        <is>
          <t>Yes</t>
        </is>
      </c>
      <c r="M2493" s="7" t="inlineStr">
        <is>
          <t>Tennis serves or golf swings—whatever you're practicing, this lightweight polo shirt manages sweat so you can focus on your game.</t>
        </is>
      </c>
      <c r="N2493" s="7" t="inlineStr">
        <is>
          <t>Quick-Dry-Sleeveless-Polo-Shirt-Straight-Hem-Logo</t>
        </is>
      </c>
      <c r="O2493" s="7" t="inlineStr"/>
    </row>
    <row r="2494" ht="80" customHeight="1">
      <c r="A2494" s="4">
        <f>IMAGE("https://images.lululemon.com/is/image/lululemon/LW1FS6S_068578_1?wid=320&amp;op_usm=0.8",1)</f>
        <v/>
      </c>
      <c r="B2494" s="4" t="inlineStr">
        <is>
          <t>Quick-Dry Sleeveless Polo Shirt Straight Hem *Logo</t>
        </is>
      </c>
      <c r="C2494" s="4" t="inlineStr">
        <is>
          <t>158028600</t>
        </is>
      </c>
      <c r="D2494" s="4" t="inlineStr">
        <is>
          <t>158028600-ashenrose</t>
        </is>
      </c>
      <c r="E2494" s="4" t="inlineStr">
        <is>
          <t>Quick-Dry Sleeveless Polo *Straight Hem WHT 0</t>
        </is>
      </c>
      <c r="F2494" s="4" t="inlineStr">
        <is>
          <t>$68.00</t>
        </is>
      </c>
      <c r="G2494" s="4" t="inlineStr">
        <is>
          <t>$34.00</t>
        </is>
      </c>
      <c r="H2494" s="4" t="inlineStr">
        <is>
          <t>Ashen Rose</t>
        </is>
      </c>
      <c r="I2494" s="4">
        <f>IMAGE("https://images.lululemon.com/is/image/lululemon/45797",1)</f>
        <v/>
      </c>
      <c r="J2494" s="4" t="inlineStr">
        <is>
          <t>4</t>
        </is>
      </c>
      <c r="K2494" s="4" t="inlineStr">
        <is>
          <t>108/2456</t>
        </is>
      </c>
      <c r="L2494" s="4" t="inlineStr">
        <is>
          <t>Yes</t>
        </is>
      </c>
      <c r="M2494" s="4" t="inlineStr">
        <is>
          <t>Tennis serves or golf swings—whatever you're practicing, this lightweight polo shirt manages sweat so you can focus on your game.</t>
        </is>
      </c>
      <c r="N2494" s="4" t="inlineStr">
        <is>
          <t>Quick-Dry-Sleeveless-Polo-Shirt-Straight-Hem-Logo</t>
        </is>
      </c>
      <c r="O2494" s="4" t="inlineStr"/>
    </row>
    <row r="2495" ht="80" customHeight="1">
      <c r="A2495" s="7">
        <f>IMAGE("https://images.lululemon.com/is/image/lululemon/LW1FS6S_068578_1?wid=320&amp;op_usm=0.8",1)</f>
        <v/>
      </c>
      <c r="B2495" s="7" t="inlineStr">
        <is>
          <t>Quick-Dry Sleeveless Polo Shirt Straight Hem *Logo</t>
        </is>
      </c>
      <c r="C2495" s="7" t="inlineStr">
        <is>
          <t>158028616</t>
        </is>
      </c>
      <c r="D2495" s="7" t="inlineStr">
        <is>
          <t>158028616-ashenrose</t>
        </is>
      </c>
      <c r="E2495" s="7" t="inlineStr">
        <is>
          <t>Quick-Dry Sleeveless Polo *Straight Hem WHT 0</t>
        </is>
      </c>
      <c r="F2495" s="7" t="inlineStr">
        <is>
          <t>$68.00</t>
        </is>
      </c>
      <c r="G2495" s="7" t="inlineStr">
        <is>
          <t>$34.00</t>
        </is>
      </c>
      <c r="H2495" s="7" t="inlineStr">
        <is>
          <t>Ashen Rose</t>
        </is>
      </c>
      <c r="I2495" s="7">
        <f>IMAGE("https://images.lululemon.com/is/image/lululemon/45797",1)</f>
        <v/>
      </c>
      <c r="J2495" s="7" t="inlineStr">
        <is>
          <t>6</t>
        </is>
      </c>
      <c r="K2495" s="7" t="inlineStr">
        <is>
          <t>129/2456</t>
        </is>
      </c>
      <c r="L2495" s="7" t="inlineStr">
        <is>
          <t>Yes</t>
        </is>
      </c>
      <c r="M2495" s="7" t="inlineStr">
        <is>
          <t>Tennis serves or golf swings—whatever you're practicing, this lightweight polo shirt manages sweat so you can focus on your game.</t>
        </is>
      </c>
      <c r="N2495" s="7" t="inlineStr">
        <is>
          <t>Quick-Dry-Sleeveless-Polo-Shirt-Straight-Hem-Logo</t>
        </is>
      </c>
      <c r="O2495" s="7" t="inlineStr"/>
    </row>
    <row r="2496" ht="80" customHeight="1">
      <c r="A2496" s="4">
        <f>IMAGE("https://images.lululemon.com/is/image/lululemon/LW1FS6S_068578_1?wid=320&amp;op_usm=0.8",1)</f>
        <v/>
      </c>
      <c r="B2496" s="4" t="inlineStr">
        <is>
          <t>Quick-Dry Sleeveless Polo Shirt Straight Hem *Logo</t>
        </is>
      </c>
      <c r="C2496" s="4" t="inlineStr">
        <is>
          <t>158028629</t>
        </is>
      </c>
      <c r="D2496" s="4" t="inlineStr">
        <is>
          <t>158028629-ashenrose</t>
        </is>
      </c>
      <c r="E2496" s="4" t="inlineStr">
        <is>
          <t>Quick-Dry Sleeveless Polo *Straight Hem WHT 0</t>
        </is>
      </c>
      <c r="F2496" s="4" t="inlineStr">
        <is>
          <t>$68.00</t>
        </is>
      </c>
      <c r="G2496" s="4" t="inlineStr">
        <is>
          <t>$34.00</t>
        </is>
      </c>
      <c r="H2496" s="4" t="inlineStr">
        <is>
          <t>Ashen Rose</t>
        </is>
      </c>
      <c r="I2496" s="4">
        <f>IMAGE("https://images.lululemon.com/is/image/lululemon/45797",1)</f>
        <v/>
      </c>
      <c r="J2496" s="4" t="inlineStr">
        <is>
          <t>8</t>
        </is>
      </c>
      <c r="K2496" s="4" t="inlineStr">
        <is>
          <t>99/2456</t>
        </is>
      </c>
      <c r="L2496" s="4" t="inlineStr">
        <is>
          <t>Yes</t>
        </is>
      </c>
      <c r="M2496" s="4" t="inlineStr">
        <is>
          <t>Tennis serves or golf swings—whatever you're practicing, this lightweight polo shirt manages sweat so you can focus on your game.</t>
        </is>
      </c>
      <c r="N2496" s="4" t="inlineStr">
        <is>
          <t>Quick-Dry-Sleeveless-Polo-Shirt-Straight-Hem-Logo</t>
        </is>
      </c>
      <c r="O2496" s="4" t="inlineStr"/>
    </row>
    <row r="2497" ht="80" customHeight="1">
      <c r="A2497" s="7">
        <f>IMAGE("https://images.lululemon.com/is/image/lululemon/LW1FS6S_068578_1?wid=320&amp;op_usm=0.8",1)</f>
        <v/>
      </c>
      <c r="B2497" s="7" t="inlineStr">
        <is>
          <t>Quick-Dry Sleeveless Polo Shirt Straight Hem *Logo</t>
        </is>
      </c>
      <c r="C2497" s="7" t="inlineStr">
        <is>
          <t>158028556</t>
        </is>
      </c>
      <c r="D2497" s="7" t="inlineStr">
        <is>
          <t>158028556-ashenrose</t>
        </is>
      </c>
      <c r="E2497" s="7" t="inlineStr">
        <is>
          <t>Quick-Dry Sleeveless Polo *Straight Hem WHT 0</t>
        </is>
      </c>
      <c r="F2497" s="7" t="inlineStr">
        <is>
          <t>$68.00</t>
        </is>
      </c>
      <c r="G2497" s="7" t="inlineStr">
        <is>
          <t>$34.00</t>
        </is>
      </c>
      <c r="H2497" s="7" t="inlineStr">
        <is>
          <t>Ashen Rose</t>
        </is>
      </c>
      <c r="I2497" s="7">
        <f>IMAGE("https://images.lululemon.com/is/image/lululemon/45797",1)</f>
        <v/>
      </c>
      <c r="J2497" s="7" t="inlineStr">
        <is>
          <t>10</t>
        </is>
      </c>
      <c r="K2497" s="7" t="inlineStr">
        <is>
          <t>55/2456</t>
        </is>
      </c>
      <c r="L2497" s="7" t="inlineStr">
        <is>
          <t>Yes</t>
        </is>
      </c>
      <c r="M2497" s="7" t="inlineStr">
        <is>
          <t>Tennis serves or golf swings—whatever you're practicing, this lightweight polo shirt manages sweat so you can focus on your game.</t>
        </is>
      </c>
      <c r="N2497" s="7" t="inlineStr">
        <is>
          <t>Quick-Dry-Sleeveless-Polo-Shirt-Straight-Hem-Logo</t>
        </is>
      </c>
      <c r="O2497" s="7" t="inlineStr"/>
    </row>
    <row r="2498" ht="80" customHeight="1">
      <c r="A2498" s="4">
        <f>IMAGE("https://images.lululemon.com/is/image/lululemon/LW1FS6S_068578_1?wid=320&amp;op_usm=0.8",1)</f>
        <v/>
      </c>
      <c r="B2498" s="4" t="inlineStr">
        <is>
          <t>Quick-Dry Sleeveless Polo Shirt Straight Hem *Logo</t>
        </is>
      </c>
      <c r="C2498" s="4" t="inlineStr">
        <is>
          <t>158028569</t>
        </is>
      </c>
      <c r="D2498" s="4" t="inlineStr">
        <is>
          <t>158028569-ashenrose</t>
        </is>
      </c>
      <c r="E2498" s="4" t="inlineStr">
        <is>
          <t>Quick-Dry Sleeveless Polo *Straight Hem WHT 0</t>
        </is>
      </c>
      <c r="F2498" s="4" t="inlineStr">
        <is>
          <t>$68.00</t>
        </is>
      </c>
      <c r="G2498" s="4" t="inlineStr">
        <is>
          <t>$34.00</t>
        </is>
      </c>
      <c r="H2498" s="4" t="inlineStr">
        <is>
          <t>Ashen Rose</t>
        </is>
      </c>
      <c r="I2498" s="4">
        <f>IMAGE("https://images.lululemon.com/is/image/lululemon/45797",1)</f>
        <v/>
      </c>
      <c r="J2498" s="4" t="inlineStr">
        <is>
          <t>12</t>
        </is>
      </c>
      <c r="K2498" s="4" t="inlineStr">
        <is>
          <t>32/2456</t>
        </is>
      </c>
      <c r="L2498" s="4" t="inlineStr">
        <is>
          <t>Yes</t>
        </is>
      </c>
      <c r="M2498" s="4" t="inlineStr">
        <is>
          <t>Tennis serves or golf swings—whatever you're practicing, this lightweight polo shirt manages sweat so you can focus on your game.</t>
        </is>
      </c>
      <c r="N2498" s="4" t="inlineStr">
        <is>
          <t>Quick-Dry-Sleeveless-Polo-Shirt-Straight-Hem-Logo</t>
        </is>
      </c>
      <c r="O2498" s="4" t="inlineStr"/>
    </row>
    <row r="2499" ht="80" customHeight="1">
      <c r="A2499" s="7">
        <f>IMAGE("https://images.lululemon.com/is/image/lululemon/LW1FS6S_068578_1?wid=320&amp;op_usm=0.8",1)</f>
        <v/>
      </c>
      <c r="B2499" s="7" t="inlineStr">
        <is>
          <t>Quick-Dry Sleeveless Polo Shirt Straight Hem *Logo</t>
        </is>
      </c>
      <c r="C2499" s="7" t="inlineStr">
        <is>
          <t>158119335</t>
        </is>
      </c>
      <c r="D2499" s="7" t="inlineStr">
        <is>
          <t>158119335-truenavy</t>
        </is>
      </c>
      <c r="E2499" s="7" t="inlineStr">
        <is>
          <t>Quick-Dry Sleeveless Polo *Straight Hem WHT 0</t>
        </is>
      </c>
      <c r="F2499" s="7" t="inlineStr">
        <is>
          <t>$68.00</t>
        </is>
      </c>
      <c r="G2499" s="7" t="inlineStr">
        <is>
          <t>$34.00</t>
        </is>
      </c>
      <c r="H2499" s="7" t="inlineStr">
        <is>
          <t>True Navy</t>
        </is>
      </c>
      <c r="I2499" s="7">
        <f>IMAGE("https://images.lululemon.com/is/image/lululemon/31382",1)</f>
        <v/>
      </c>
      <c r="J2499" s="7" t="inlineStr">
        <is>
          <t>2</t>
        </is>
      </c>
      <c r="K2499" s="7" t="inlineStr">
        <is>
          <t>47/2456</t>
        </is>
      </c>
      <c r="L2499" s="7" t="inlineStr">
        <is>
          <t>Yes</t>
        </is>
      </c>
      <c r="M2499" s="7" t="inlineStr">
        <is>
          <t>Tennis serves or golf swings—whatever you're practicing, this lightweight polo shirt manages sweat so you can focus on your game.</t>
        </is>
      </c>
      <c r="N2499" s="7" t="inlineStr">
        <is>
          <t>Quick-Dry-Sleeveless-Polo-Shirt-Straight-Hem-Logo</t>
        </is>
      </c>
      <c r="O2499" s="7" t="inlineStr"/>
    </row>
    <row r="2500" ht="80" customHeight="1">
      <c r="A2500" s="4">
        <f>IMAGE("https://images.lululemon.com/is/image/lululemon/LW1FS6S_068578_1?wid=320&amp;op_usm=0.8",1)</f>
        <v/>
      </c>
      <c r="B2500" s="4" t="inlineStr">
        <is>
          <t>Quick-Dry Sleeveless Polo Shirt Straight Hem *Logo</t>
        </is>
      </c>
      <c r="C2500" s="4" t="inlineStr">
        <is>
          <t>158119338</t>
        </is>
      </c>
      <c r="D2500" s="4" t="inlineStr">
        <is>
          <t>158119338-truenavy</t>
        </is>
      </c>
      <c r="E2500" s="4" t="inlineStr">
        <is>
          <t>Quick-Dry Sleeveless Polo *Straight Hem WHT 0</t>
        </is>
      </c>
      <c r="F2500" s="4" t="inlineStr">
        <is>
          <t>$68.00</t>
        </is>
      </c>
      <c r="G2500" s="4" t="inlineStr">
        <is>
          <t>$34.00</t>
        </is>
      </c>
      <c r="H2500" s="4" t="inlineStr">
        <is>
          <t>True Navy</t>
        </is>
      </c>
      <c r="I2500" s="4">
        <f>IMAGE("https://images.lululemon.com/is/image/lululemon/31382",1)</f>
        <v/>
      </c>
      <c r="J2500" s="4" t="inlineStr">
        <is>
          <t>4</t>
        </is>
      </c>
      <c r="K2500" s="4" t="inlineStr">
        <is>
          <t>128/2456</t>
        </is>
      </c>
      <c r="L2500" s="4" t="inlineStr">
        <is>
          <t>Yes</t>
        </is>
      </c>
      <c r="M2500" s="4" t="inlineStr">
        <is>
          <t>Tennis serves or golf swings—whatever you're practicing, this lightweight polo shirt manages sweat so you can focus on your game.</t>
        </is>
      </c>
      <c r="N2500" s="4" t="inlineStr">
        <is>
          <t>Quick-Dry-Sleeveless-Polo-Shirt-Straight-Hem-Logo</t>
        </is>
      </c>
      <c r="O2500" s="4" t="inlineStr"/>
    </row>
    <row r="2501" ht="80" customHeight="1">
      <c r="A2501" s="7">
        <f>IMAGE("https://images.lululemon.com/is/image/lululemon/LW1FS6S_068578_1?wid=320&amp;op_usm=0.8",1)</f>
        <v/>
      </c>
      <c r="B2501" s="7" t="inlineStr">
        <is>
          <t>Quick-Dry Sleeveless Polo Shirt Straight Hem *Logo</t>
        </is>
      </c>
      <c r="C2501" s="7" t="inlineStr">
        <is>
          <t>158119343</t>
        </is>
      </c>
      <c r="D2501" s="7" t="inlineStr">
        <is>
          <t>158119343-truenavy</t>
        </is>
      </c>
      <c r="E2501" s="7" t="inlineStr">
        <is>
          <t>Quick-Dry Sleeveless Polo *Straight Hem WHT 0</t>
        </is>
      </c>
      <c r="F2501" s="7" t="inlineStr">
        <is>
          <t>$68.00</t>
        </is>
      </c>
      <c r="G2501" s="7" t="inlineStr">
        <is>
          <t>$34.00</t>
        </is>
      </c>
      <c r="H2501" s="7" t="inlineStr">
        <is>
          <t>True Navy</t>
        </is>
      </c>
      <c r="I2501" s="7">
        <f>IMAGE("https://images.lululemon.com/is/image/lululemon/31382",1)</f>
        <v/>
      </c>
      <c r="J2501" s="7" t="inlineStr">
        <is>
          <t>6</t>
        </is>
      </c>
      <c r="K2501" s="7" t="inlineStr">
        <is>
          <t>150/2456</t>
        </is>
      </c>
      <c r="L2501" s="7" t="inlineStr">
        <is>
          <t>Yes</t>
        </is>
      </c>
      <c r="M2501" s="7" t="inlineStr">
        <is>
          <t>Tennis serves or golf swings—whatever you're practicing, this lightweight polo shirt manages sweat so you can focus on your game.</t>
        </is>
      </c>
      <c r="N2501" s="7" t="inlineStr">
        <is>
          <t>Quick-Dry-Sleeveless-Polo-Shirt-Straight-Hem-Logo</t>
        </is>
      </c>
      <c r="O2501" s="7" t="inlineStr"/>
    </row>
    <row r="2502" ht="80" customHeight="1">
      <c r="A2502" s="4">
        <f>IMAGE("https://images.lululemon.com/is/image/lululemon/LW1FS6S_068578_1?wid=320&amp;op_usm=0.8",1)</f>
        <v/>
      </c>
      <c r="B2502" s="4" t="inlineStr">
        <is>
          <t>Quick-Dry Sleeveless Polo Shirt Straight Hem *Logo</t>
        </is>
      </c>
      <c r="C2502" s="4" t="inlineStr">
        <is>
          <t>158119348</t>
        </is>
      </c>
      <c r="D2502" s="4" t="inlineStr">
        <is>
          <t>158119348-truenavy</t>
        </is>
      </c>
      <c r="E2502" s="4" t="inlineStr">
        <is>
          <t>Quick-Dry Sleeveless Polo *Straight Hem WHT 0</t>
        </is>
      </c>
      <c r="F2502" s="4" t="inlineStr">
        <is>
          <t>$68.00</t>
        </is>
      </c>
      <c r="G2502" s="4" t="inlineStr">
        <is>
          <t>$34.00</t>
        </is>
      </c>
      <c r="H2502" s="4" t="inlineStr">
        <is>
          <t>True Navy</t>
        </is>
      </c>
      <c r="I2502" s="4">
        <f>IMAGE("https://images.lululemon.com/is/image/lululemon/31382",1)</f>
        <v/>
      </c>
      <c r="J2502" s="4" t="inlineStr">
        <is>
          <t>8</t>
        </is>
      </c>
      <c r="K2502" s="4" t="inlineStr">
        <is>
          <t>117/2456</t>
        </is>
      </c>
      <c r="L2502" s="4" t="inlineStr">
        <is>
          <t>Yes</t>
        </is>
      </c>
      <c r="M2502" s="4" t="inlineStr">
        <is>
          <t>Tennis serves or golf swings—whatever you're practicing, this lightweight polo shirt manages sweat so you can focus on your game.</t>
        </is>
      </c>
      <c r="N2502" s="4" t="inlineStr">
        <is>
          <t>Quick-Dry-Sleeveless-Polo-Shirt-Straight-Hem-Logo</t>
        </is>
      </c>
      <c r="O2502" s="4" t="inlineStr"/>
    </row>
    <row r="2503" ht="80" customHeight="1">
      <c r="A2503" s="7">
        <f>IMAGE("https://images.lululemon.com/is/image/lululemon/LW1FS6S_068578_1?wid=320&amp;op_usm=0.8",1)</f>
        <v/>
      </c>
      <c r="B2503" s="7" t="inlineStr">
        <is>
          <t>Quick-Dry Sleeveless Polo Shirt Straight Hem *Logo</t>
        </is>
      </c>
      <c r="C2503" s="7" t="inlineStr">
        <is>
          <t>158119321</t>
        </is>
      </c>
      <c r="D2503" s="7" t="inlineStr">
        <is>
          <t>158119321-truenavy</t>
        </is>
      </c>
      <c r="E2503" s="7" t="inlineStr">
        <is>
          <t>Quick-Dry Sleeveless Polo *Straight Hem WHT 0</t>
        </is>
      </c>
      <c r="F2503" s="7" t="inlineStr">
        <is>
          <t>$68.00</t>
        </is>
      </c>
      <c r="G2503" s="7" t="inlineStr">
        <is>
          <t>$34.00</t>
        </is>
      </c>
      <c r="H2503" s="7" t="inlineStr">
        <is>
          <t>True Navy</t>
        </is>
      </c>
      <c r="I2503" s="7">
        <f>IMAGE("https://images.lululemon.com/is/image/lululemon/31382",1)</f>
        <v/>
      </c>
      <c r="J2503" s="7" t="inlineStr">
        <is>
          <t>10</t>
        </is>
      </c>
      <c r="K2503" s="7" t="inlineStr">
        <is>
          <t>62/2456</t>
        </is>
      </c>
      <c r="L2503" s="7" t="inlineStr">
        <is>
          <t>Yes</t>
        </is>
      </c>
      <c r="M2503" s="7" t="inlineStr">
        <is>
          <t>Tennis serves or golf swings—whatever you're practicing, this lightweight polo shirt manages sweat so you can focus on your game.</t>
        </is>
      </c>
      <c r="N2503" s="7" t="inlineStr">
        <is>
          <t>Quick-Dry-Sleeveless-Polo-Shirt-Straight-Hem-Logo</t>
        </is>
      </c>
      <c r="O2503" s="7" t="inlineStr"/>
    </row>
    <row r="2504" ht="80" customHeight="1">
      <c r="A2504" s="4">
        <f>IMAGE("https://images.lululemon.com/is/image/lululemon/LW1FS6S_068578_1?wid=320&amp;op_usm=0.8",1)</f>
        <v/>
      </c>
      <c r="B2504" s="4" t="inlineStr">
        <is>
          <t>Quick-Dry Sleeveless Polo Shirt Straight Hem *Logo</t>
        </is>
      </c>
      <c r="C2504" s="4" t="inlineStr">
        <is>
          <t>158119326</t>
        </is>
      </c>
      <c r="D2504" s="4" t="inlineStr">
        <is>
          <t>158119326-truenavy</t>
        </is>
      </c>
      <c r="E2504" s="4" t="inlineStr">
        <is>
          <t>Quick-Dry Sleeveless Polo *Straight Hem WHT 0</t>
        </is>
      </c>
      <c r="F2504" s="4" t="inlineStr">
        <is>
          <t>$68.00</t>
        </is>
      </c>
      <c r="G2504" s="4" t="inlineStr">
        <is>
          <t>$34.00</t>
        </is>
      </c>
      <c r="H2504" s="4" t="inlineStr">
        <is>
          <t>True Navy</t>
        </is>
      </c>
      <c r="I2504" s="4">
        <f>IMAGE("https://images.lululemon.com/is/image/lululemon/31382",1)</f>
        <v/>
      </c>
      <c r="J2504" s="4" t="inlineStr">
        <is>
          <t>12</t>
        </is>
      </c>
      <c r="K2504" s="4" t="inlineStr">
        <is>
          <t>37/2456</t>
        </is>
      </c>
      <c r="L2504" s="4" t="inlineStr">
        <is>
          <t>Yes</t>
        </is>
      </c>
      <c r="M2504" s="4" t="inlineStr">
        <is>
          <t>Tennis serves or golf swings—whatever you're practicing, this lightweight polo shirt manages sweat so you can focus on your game.</t>
        </is>
      </c>
      <c r="N2504" s="4" t="inlineStr">
        <is>
          <t>Quick-Dry-Sleeveless-Polo-Shirt-Straight-Hem-Logo</t>
        </is>
      </c>
      <c r="O2504" s="4" t="inlineStr"/>
    </row>
    <row r="2505" ht="80" customHeight="1">
      <c r="A2505" s="7">
        <f>IMAGE("https://images.lululemon.com/is/image/lululemon/LW1FS6S_068578_1?wid=320&amp;op_usm=0.8",1)</f>
        <v/>
      </c>
      <c r="B2505" s="7" t="inlineStr">
        <is>
          <t>Quick-Dry Sleeveless Polo Shirt Straight Hem *Logo</t>
        </is>
      </c>
      <c r="C2505" s="7" t="inlineStr">
        <is>
          <t>157688383</t>
        </is>
      </c>
      <c r="D2505" s="7" t="inlineStr">
        <is>
          <t>157688383-clubblue</t>
        </is>
      </c>
      <c r="E2505" s="7" t="inlineStr">
        <is>
          <t>Quick-Dry Sleeveless Polo *Straight Hem WHT 0</t>
        </is>
      </c>
      <c r="F2505" s="7" t="inlineStr">
        <is>
          <t>$68.00</t>
        </is>
      </c>
      <c r="G2505" s="7" t="inlineStr">
        <is>
          <t>$34.00</t>
        </is>
      </c>
      <c r="H2505" s="7" t="inlineStr">
        <is>
          <t>Club Blue</t>
        </is>
      </c>
      <c r="I2505" s="7">
        <f>IMAGE("https://images.lululemon.com/is/image/lululemon/68578",1)</f>
        <v/>
      </c>
      <c r="J2505" s="7" t="inlineStr">
        <is>
          <t>4</t>
        </is>
      </c>
      <c r="K2505" s="7" t="inlineStr">
        <is>
          <t>126/2456</t>
        </is>
      </c>
      <c r="L2505" s="7" t="inlineStr">
        <is>
          <t>Yes</t>
        </is>
      </c>
      <c r="M2505" s="7" t="inlineStr">
        <is>
          <t>Tennis serves or golf swings—whatever you're practicing, this lightweight polo shirt manages sweat so you can focus on your game.</t>
        </is>
      </c>
      <c r="N2505" s="7" t="inlineStr">
        <is>
          <t>Quick-Dry-Sleeveless-Polo-Shirt-Straight-Hem-Logo</t>
        </is>
      </c>
      <c r="O2505" s="7" t="inlineStr"/>
    </row>
    <row r="2506" ht="80" customHeight="1">
      <c r="A2506" s="4">
        <f>IMAGE("https://images.lululemon.com/is/image/lululemon/LW1FS6S_068578_1?wid=320&amp;op_usm=0.8",1)</f>
        <v/>
      </c>
      <c r="B2506" s="4" t="inlineStr">
        <is>
          <t>Quick-Dry Sleeveless Polo Shirt Straight Hem *Logo</t>
        </is>
      </c>
      <c r="C2506" s="4" t="inlineStr">
        <is>
          <t>157688386</t>
        </is>
      </c>
      <c r="D2506" s="4" t="inlineStr">
        <is>
          <t>157688386-clubblue</t>
        </is>
      </c>
      <c r="E2506" s="4" t="inlineStr">
        <is>
          <t>Quick-Dry Sleeveless Polo *Straight Hem WHT 0</t>
        </is>
      </c>
      <c r="F2506" s="4" t="inlineStr">
        <is>
          <t>$68.00</t>
        </is>
      </c>
      <c r="G2506" s="4" t="inlineStr">
        <is>
          <t>$34.00</t>
        </is>
      </c>
      <c r="H2506" s="4" t="inlineStr">
        <is>
          <t>Club Blue</t>
        </is>
      </c>
      <c r="I2506" s="4">
        <f>IMAGE("https://images.lululemon.com/is/image/lululemon/68578",1)</f>
        <v/>
      </c>
      <c r="J2506" s="4" t="inlineStr">
        <is>
          <t>6</t>
        </is>
      </c>
      <c r="K2506" s="4" t="inlineStr">
        <is>
          <t>137/2456</t>
        </is>
      </c>
      <c r="L2506" s="4" t="inlineStr">
        <is>
          <t>Yes</t>
        </is>
      </c>
      <c r="M2506" s="4" t="inlineStr">
        <is>
          <t>Tennis serves or golf swings—whatever you're practicing, this lightweight polo shirt manages sweat so you can focus on your game.</t>
        </is>
      </c>
      <c r="N2506" s="4" t="inlineStr">
        <is>
          <t>Quick-Dry-Sleeveless-Polo-Shirt-Straight-Hem-Logo</t>
        </is>
      </c>
      <c r="O2506" s="4" t="inlineStr"/>
    </row>
    <row r="2507" ht="80" customHeight="1">
      <c r="A2507" s="7">
        <f>IMAGE("https://images.lululemon.com/is/image/lululemon/LW1FS6S_068578_1?wid=320&amp;op_usm=0.8",1)</f>
        <v/>
      </c>
      <c r="B2507" s="7" t="inlineStr">
        <is>
          <t>Quick-Dry Sleeveless Polo Shirt Straight Hem *Logo</t>
        </is>
      </c>
      <c r="C2507" s="7" t="inlineStr">
        <is>
          <t>157688389</t>
        </is>
      </c>
      <c r="D2507" s="7" t="inlineStr">
        <is>
          <t>157688389-clubblue</t>
        </is>
      </c>
      <c r="E2507" s="7" t="inlineStr">
        <is>
          <t>Quick-Dry Sleeveless Polo *Straight Hem WHT 0</t>
        </is>
      </c>
      <c r="F2507" s="7" t="inlineStr">
        <is>
          <t>$68.00</t>
        </is>
      </c>
      <c r="G2507" s="7" t="inlineStr">
        <is>
          <t>$34.00</t>
        </is>
      </c>
      <c r="H2507" s="7" t="inlineStr">
        <is>
          <t>Club Blue</t>
        </is>
      </c>
      <c r="I2507" s="7">
        <f>IMAGE("https://images.lululemon.com/is/image/lululemon/68578",1)</f>
        <v/>
      </c>
      <c r="J2507" s="7" t="inlineStr">
        <is>
          <t>8</t>
        </is>
      </c>
      <c r="K2507" s="7" t="inlineStr">
        <is>
          <t>95/2456</t>
        </is>
      </c>
      <c r="L2507" s="7" t="inlineStr">
        <is>
          <t>Yes</t>
        </is>
      </c>
      <c r="M2507" s="7" t="inlineStr">
        <is>
          <t>Tennis serves or golf swings—whatever you're practicing, this lightweight polo shirt manages sweat so you can focus on your game.</t>
        </is>
      </c>
      <c r="N2507" s="7" t="inlineStr">
        <is>
          <t>Quick-Dry-Sleeveless-Polo-Shirt-Straight-Hem-Logo</t>
        </is>
      </c>
      <c r="O2507" s="7" t="inlineStr"/>
    </row>
    <row r="2508" ht="80" customHeight="1">
      <c r="A2508" s="4">
        <f>IMAGE("https://images.lululemon.com/is/image/lululemon/LW1FS6S_068578_1?wid=320&amp;op_usm=0.8",1)</f>
        <v/>
      </c>
      <c r="B2508" s="4" t="inlineStr">
        <is>
          <t>Quick-Dry Sleeveless Polo Shirt Straight Hem *Logo</t>
        </is>
      </c>
      <c r="C2508" s="4" t="inlineStr">
        <is>
          <t>157688371</t>
        </is>
      </c>
      <c r="D2508" s="4" t="inlineStr">
        <is>
          <t>157688371-clubblue</t>
        </is>
      </c>
      <c r="E2508" s="4" t="inlineStr">
        <is>
          <t>Quick-Dry Sleeveless Polo *Straight Hem WHT 0</t>
        </is>
      </c>
      <c r="F2508" s="4" t="inlineStr">
        <is>
          <t>$68.00</t>
        </is>
      </c>
      <c r="G2508" s="4" t="inlineStr">
        <is>
          <t>$34.00</t>
        </is>
      </c>
      <c r="H2508" s="4" t="inlineStr">
        <is>
          <t>Club Blue</t>
        </is>
      </c>
      <c r="I2508" s="4">
        <f>IMAGE("https://images.lululemon.com/is/image/lululemon/68578",1)</f>
        <v/>
      </c>
      <c r="J2508" s="4" t="inlineStr">
        <is>
          <t>10</t>
        </is>
      </c>
      <c r="K2508" s="4" t="inlineStr">
        <is>
          <t>53/2456</t>
        </is>
      </c>
      <c r="L2508" s="4" t="inlineStr">
        <is>
          <t>Yes</t>
        </is>
      </c>
      <c r="M2508" s="4" t="inlineStr">
        <is>
          <t>Tennis serves or golf swings—whatever you're practicing, this lightweight polo shirt manages sweat so you can focus on your game.</t>
        </is>
      </c>
      <c r="N2508" s="4" t="inlineStr">
        <is>
          <t>Quick-Dry-Sleeveless-Polo-Shirt-Straight-Hem-Logo</t>
        </is>
      </c>
      <c r="O2508" s="4" t="inlineStr"/>
    </row>
    <row r="2509" ht="80" customHeight="1">
      <c r="A2509" s="5">
        <f>IMAGE("https://images.lululemon.com/is/image/lululemon/LW1FS6S_068578_1?wid=320&amp;op_usm=0.8",1)</f>
        <v/>
      </c>
      <c r="B2509" s="5" t="inlineStr">
        <is>
          <t>Quick-Dry Sleeveless Polo Shirt Straight Hem *Logo</t>
        </is>
      </c>
      <c r="C2509" s="5" t="inlineStr">
        <is>
          <t>157688374</t>
        </is>
      </c>
      <c r="D2509" s="5" t="inlineStr">
        <is>
          <t>157688374-clubblue</t>
        </is>
      </c>
      <c r="E2509" s="5" t="inlineStr">
        <is>
          <t>Quick-Dry Sleeveless Polo *Straight Hem WHT 0</t>
        </is>
      </c>
      <c r="F2509" s="5" t="inlineStr">
        <is>
          <t>$68.00</t>
        </is>
      </c>
      <c r="G2509" s="5" t="inlineStr">
        <is>
          <t>$34.00</t>
        </is>
      </c>
      <c r="H2509" s="5" t="inlineStr">
        <is>
          <t>Club Blue</t>
        </is>
      </c>
      <c r="I2509" s="5">
        <f>IMAGE("https://images.lululemon.com/is/image/lululemon/68578",1)</f>
        <v/>
      </c>
      <c r="J2509" s="5" t="inlineStr">
        <is>
          <t>12</t>
        </is>
      </c>
      <c r="K2509" s="5" t="inlineStr">
        <is>
          <t>27/2456</t>
        </is>
      </c>
      <c r="L2509" s="5" t="inlineStr">
        <is>
          <t>Yes</t>
        </is>
      </c>
      <c r="M2509" s="5" t="inlineStr">
        <is>
          <t>Tennis serves or golf swings—whatever you're practicing, this lightweight polo shirt manages sweat so you can focus on your game.</t>
        </is>
      </c>
      <c r="N2509" s="5" t="inlineStr">
        <is>
          <t>Quick-Dry-Sleeveless-Polo-Shirt-Straight-Hem-Logo</t>
        </is>
      </c>
      <c r="O2509" s="5" t="inlineStr"/>
    </row>
    <row r="2510" ht="80" customHeight="1">
      <c r="A2510" s="4">
        <f>IMAGE("https://images.lululemon.com/is/image/lululemon/LW2DUGS_0001_1?wid=320&amp;op_usm=0.8",1)</f>
        <v/>
      </c>
      <c r="B2510" s="4" t="inlineStr">
        <is>
          <t>lululemon Energy Bra Medium Support, B-D Cups *Evolve</t>
        </is>
      </c>
      <c r="C2510" s="4" t="inlineStr">
        <is>
          <t>155780728</t>
        </is>
      </c>
      <c r="D2510" s="4" t="inlineStr">
        <is>
          <t>155780728-black</t>
        </is>
      </c>
      <c r="E2510" s="4" t="inlineStr">
        <is>
          <t>lululemon Energy Bra *Evolve BLK XS</t>
        </is>
      </c>
      <c r="F2510" s="4" t="inlineStr">
        <is>
          <t>$58.00</t>
        </is>
      </c>
      <c r="G2510" s="4" t="inlineStr">
        <is>
          <t>$29.00</t>
        </is>
      </c>
      <c r="H2510" s="4" t="inlineStr">
        <is>
          <t>Black</t>
        </is>
      </c>
      <c r="I2510" s="4">
        <f>IMAGE("https://images.lululemon.com/is/image/lululemon/0001",1)</f>
        <v/>
      </c>
      <c r="J2510" s="4" t="inlineStr">
        <is>
          <t>XS</t>
        </is>
      </c>
      <c r="K2510" s="4" t="inlineStr">
        <is>
          <t>80/4561</t>
        </is>
      </c>
      <c r="L2510" s="4" t="inlineStr">
        <is>
          <t>Yes</t>
        </is>
      </c>
      <c r="M2510" s="4" t="inlineStr">
        <is>
          <t>Your built-in support system. This versatile sports bra has a strappy back design and a comfortably supportive fit for all the ways you love to move.</t>
        </is>
      </c>
      <c r="N2510" s="4" t="inlineStr">
        <is>
          <t>Energy-Bra-Medium-Support-B-D-Cups-Evolve</t>
        </is>
      </c>
      <c r="O2510" s="4" t="inlineStr">
        <is>
          <t>Strappy Bras, Longline Bras</t>
        </is>
      </c>
    </row>
    <row r="2511" ht="80" customHeight="1">
      <c r="A2511" s="7">
        <f>IMAGE("https://images.lululemon.com/is/image/lululemon/LW2DUGS_0001_1?wid=320&amp;op_usm=0.8",1)</f>
        <v/>
      </c>
      <c r="B2511" s="7" t="inlineStr">
        <is>
          <t>lululemon Energy Bra Medium Support, B-D Cups *Evolve</t>
        </is>
      </c>
      <c r="C2511" s="7" t="inlineStr">
        <is>
          <t>155780715</t>
        </is>
      </c>
      <c r="D2511" s="7" t="inlineStr">
        <is>
          <t>155780715-black</t>
        </is>
      </c>
      <c r="E2511" s="7" t="inlineStr">
        <is>
          <t>lululemon Energy Bra *Evolve BLK XS</t>
        </is>
      </c>
      <c r="F2511" s="7" t="inlineStr">
        <is>
          <t>$58.00</t>
        </is>
      </c>
      <c r="G2511" s="7" t="inlineStr">
        <is>
          <t>$29.00</t>
        </is>
      </c>
      <c r="H2511" s="7" t="inlineStr">
        <is>
          <t>Black</t>
        </is>
      </c>
      <c r="I2511" s="7">
        <f>IMAGE("https://images.lululemon.com/is/image/lululemon/0001",1)</f>
        <v/>
      </c>
      <c r="J2511" s="7" t="inlineStr">
        <is>
          <t>S</t>
        </is>
      </c>
      <c r="K2511" s="7" t="inlineStr">
        <is>
          <t>316/4561</t>
        </is>
      </c>
      <c r="L2511" s="7" t="inlineStr">
        <is>
          <t>Yes</t>
        </is>
      </c>
      <c r="M2511" s="7" t="inlineStr">
        <is>
          <t>Your built-in support system. This versatile sports bra has a strappy back design and a comfortably supportive fit for all the ways you love to move.</t>
        </is>
      </c>
      <c r="N2511" s="7" t="inlineStr">
        <is>
          <t>Energy-Bra-Medium-Support-B-D-Cups-Evolve</t>
        </is>
      </c>
      <c r="O2511" s="7" t="inlineStr">
        <is>
          <t>Strappy Bras, Longline Bras</t>
        </is>
      </c>
    </row>
    <row r="2512" ht="80" customHeight="1">
      <c r="A2512" s="4">
        <f>IMAGE("https://images.lululemon.com/is/image/lululemon/LW2DUGS_0001_1?wid=320&amp;op_usm=0.8",1)</f>
        <v/>
      </c>
      <c r="B2512" s="4" t="inlineStr">
        <is>
          <t>lululemon Energy Bra Medium Support, B-D Cups *Evolve</t>
        </is>
      </c>
      <c r="C2512" s="4" t="inlineStr">
        <is>
          <t>155780707</t>
        </is>
      </c>
      <c r="D2512" s="4" t="inlineStr">
        <is>
          <t>155780707-black</t>
        </is>
      </c>
      <c r="E2512" s="4" t="inlineStr">
        <is>
          <t>lululemon Energy Bra *Evolve BLK XS</t>
        </is>
      </c>
      <c r="F2512" s="4" t="inlineStr">
        <is>
          <t>$58.00</t>
        </is>
      </c>
      <c r="G2512" s="4" t="inlineStr">
        <is>
          <t>$29.00</t>
        </is>
      </c>
      <c r="H2512" s="4" t="inlineStr">
        <is>
          <t>Black</t>
        </is>
      </c>
      <c r="I2512" s="4">
        <f>IMAGE("https://images.lululemon.com/is/image/lululemon/0001",1)</f>
        <v/>
      </c>
      <c r="J2512" s="4" t="inlineStr">
        <is>
          <t>M</t>
        </is>
      </c>
      <c r="K2512" s="4" t="inlineStr">
        <is>
          <t>702/4561</t>
        </is>
      </c>
      <c r="L2512" s="4" t="inlineStr">
        <is>
          <t>Yes</t>
        </is>
      </c>
      <c r="M2512" s="4" t="inlineStr">
        <is>
          <t>Your built-in support system. This versatile sports bra has a strappy back design and a comfortably supportive fit for all the ways you love to move.</t>
        </is>
      </c>
      <c r="N2512" s="4" t="inlineStr">
        <is>
          <t>Energy-Bra-Medium-Support-B-D-Cups-Evolve</t>
        </is>
      </c>
      <c r="O2512" s="4" t="inlineStr">
        <is>
          <t>Strappy Bras, Longline Bras</t>
        </is>
      </c>
    </row>
    <row r="2513" ht="80" customHeight="1">
      <c r="A2513" s="7">
        <f>IMAGE("https://images.lululemon.com/is/image/lululemon/LW2DUGS_0001_1?wid=320&amp;op_usm=0.8",1)</f>
        <v/>
      </c>
      <c r="B2513" s="7" t="inlineStr">
        <is>
          <t>lululemon Energy Bra Medium Support, B-D Cups *Evolve</t>
        </is>
      </c>
      <c r="C2513" s="7" t="inlineStr">
        <is>
          <t>155780699</t>
        </is>
      </c>
      <c r="D2513" s="7" t="inlineStr">
        <is>
          <t>155780699-black</t>
        </is>
      </c>
      <c r="E2513" s="7" t="inlineStr">
        <is>
          <t>lululemon Energy Bra *Evolve BLK XS</t>
        </is>
      </c>
      <c r="F2513" s="7" t="inlineStr">
        <is>
          <t>$58.00</t>
        </is>
      </c>
      <c r="G2513" s="7" t="inlineStr">
        <is>
          <t>$29.00</t>
        </is>
      </c>
      <c r="H2513" s="7" t="inlineStr">
        <is>
          <t>Black</t>
        </is>
      </c>
      <c r="I2513" s="7">
        <f>IMAGE("https://images.lululemon.com/is/image/lululemon/0001",1)</f>
        <v/>
      </c>
      <c r="J2513" s="7" t="inlineStr">
        <is>
          <t>L</t>
        </is>
      </c>
      <c r="K2513" s="7" t="inlineStr">
        <is>
          <t>512/4561</t>
        </is>
      </c>
      <c r="L2513" s="7" t="inlineStr">
        <is>
          <t>Yes</t>
        </is>
      </c>
      <c r="M2513" s="7" t="inlineStr">
        <is>
          <t>Your built-in support system. This versatile sports bra has a strappy back design and a comfortably supportive fit for all the ways you love to move.</t>
        </is>
      </c>
      <c r="N2513" s="7" t="inlineStr">
        <is>
          <t>Energy-Bra-Medium-Support-B-D-Cups-Evolve</t>
        </is>
      </c>
      <c r="O2513" s="7" t="inlineStr">
        <is>
          <t>Strappy Bras, Longline Bras</t>
        </is>
      </c>
    </row>
    <row r="2514" ht="80" customHeight="1">
      <c r="A2514" s="4">
        <f>IMAGE("https://images.lululemon.com/is/image/lululemon/LW2DUGS_0001_1?wid=320&amp;op_usm=0.8",1)</f>
        <v/>
      </c>
      <c r="B2514" s="4" t="inlineStr">
        <is>
          <t>lululemon Energy Bra Medium Support, B-D Cups *Evolve</t>
        </is>
      </c>
      <c r="C2514" s="4" t="inlineStr">
        <is>
          <t>155780722</t>
        </is>
      </c>
      <c r="D2514" s="4" t="inlineStr">
        <is>
          <t>155780722-black</t>
        </is>
      </c>
      <c r="E2514" s="4" t="inlineStr">
        <is>
          <t>lululemon Energy Bra *Evolve BLK XS</t>
        </is>
      </c>
      <c r="F2514" s="4" t="inlineStr">
        <is>
          <t>$58.00</t>
        </is>
      </c>
      <c r="G2514" s="4" t="inlineStr">
        <is>
          <t>$29.00</t>
        </is>
      </c>
      <c r="H2514" s="4" t="inlineStr">
        <is>
          <t>Black</t>
        </is>
      </c>
      <c r="I2514" s="4">
        <f>IMAGE("https://images.lululemon.com/is/image/lululemon/0001",1)</f>
        <v/>
      </c>
      <c r="J2514" s="4" t="inlineStr">
        <is>
          <t>XL</t>
        </is>
      </c>
      <c r="K2514" s="4" t="inlineStr">
        <is>
          <t>340/4561</t>
        </is>
      </c>
      <c r="L2514" s="4" t="inlineStr">
        <is>
          <t>Yes</t>
        </is>
      </c>
      <c r="M2514" s="4" t="inlineStr">
        <is>
          <t>Your built-in support system. This versatile sports bra has a strappy back design and a comfortably supportive fit for all the ways you love to move.</t>
        </is>
      </c>
      <c r="N2514" s="4" t="inlineStr">
        <is>
          <t>Energy-Bra-Medium-Support-B-D-Cups-Evolve</t>
        </is>
      </c>
      <c r="O2514" s="4" t="inlineStr">
        <is>
          <t>Strappy Bras, Longline Bras</t>
        </is>
      </c>
    </row>
    <row r="2515" ht="80" customHeight="1">
      <c r="A2515" s="7">
        <f>IMAGE("https://images.lululemon.com/is/image/lululemon/LW2DUGS_0001_1?wid=320&amp;op_usm=0.8",1)</f>
        <v/>
      </c>
      <c r="B2515" s="7" t="inlineStr">
        <is>
          <t>lululemon Energy Bra Medium Support, B-D Cups *Evolve</t>
        </is>
      </c>
      <c r="C2515" s="7" t="inlineStr">
        <is>
          <t>155776852</t>
        </is>
      </c>
      <c r="D2515" s="7" t="inlineStr">
        <is>
          <t>155776852-white</t>
        </is>
      </c>
      <c r="E2515" s="7" t="inlineStr">
        <is>
          <t>lululemon Energy Bra *Evolve BLK XS</t>
        </is>
      </c>
      <c r="F2515" s="7" t="inlineStr">
        <is>
          <t>$58.00</t>
        </is>
      </c>
      <c r="G2515" s="7" t="inlineStr">
        <is>
          <t>$29.00</t>
        </is>
      </c>
      <c r="H2515" s="7" t="inlineStr">
        <is>
          <t>White</t>
        </is>
      </c>
      <c r="I2515" s="7">
        <f>IMAGE("https://images.lululemon.com/is/image/lululemon/0002",1)</f>
        <v/>
      </c>
      <c r="J2515" s="7" t="inlineStr">
        <is>
          <t>XS</t>
        </is>
      </c>
      <c r="K2515" s="7" t="inlineStr">
        <is>
          <t>17/4561</t>
        </is>
      </c>
      <c r="L2515" s="7" t="inlineStr">
        <is>
          <t>Yes</t>
        </is>
      </c>
      <c r="M2515" s="7" t="inlineStr">
        <is>
          <t>Your built-in support system. This versatile sports bra has a strappy back design and a comfortably supportive fit for all the ways you love to move.</t>
        </is>
      </c>
      <c r="N2515" s="7" t="inlineStr">
        <is>
          <t>Energy-Bra-Medium-Support-B-D-Cups-Evolve</t>
        </is>
      </c>
      <c r="O2515" s="7" t="inlineStr">
        <is>
          <t>Strappy Bras, Longline Bras</t>
        </is>
      </c>
    </row>
    <row r="2516" ht="80" customHeight="1">
      <c r="A2516" s="4">
        <f>IMAGE("https://images.lululemon.com/is/image/lululemon/LW2DUGS_0001_1?wid=320&amp;op_usm=0.8",1)</f>
        <v/>
      </c>
      <c r="B2516" s="4" t="inlineStr">
        <is>
          <t>lululemon Energy Bra Medium Support, B-D Cups *Evolve</t>
        </is>
      </c>
      <c r="C2516" s="4" t="inlineStr">
        <is>
          <t>155776835</t>
        </is>
      </c>
      <c r="D2516" s="4" t="inlineStr">
        <is>
          <t>155776835-white</t>
        </is>
      </c>
      <c r="E2516" s="4" t="inlineStr">
        <is>
          <t>lululemon Energy Bra *Evolve BLK XS</t>
        </is>
      </c>
      <c r="F2516" s="4" t="inlineStr">
        <is>
          <t>$58.00</t>
        </is>
      </c>
      <c r="G2516" s="4" t="inlineStr">
        <is>
          <t>$29.00</t>
        </is>
      </c>
      <c r="H2516" s="4" t="inlineStr">
        <is>
          <t>White</t>
        </is>
      </c>
      <c r="I2516" s="4">
        <f>IMAGE("https://images.lululemon.com/is/image/lululemon/0002",1)</f>
        <v/>
      </c>
      <c r="J2516" s="4" t="inlineStr">
        <is>
          <t>S</t>
        </is>
      </c>
      <c r="K2516" s="4" t="inlineStr">
        <is>
          <t>78/4561</t>
        </is>
      </c>
      <c r="L2516" s="4" t="inlineStr">
        <is>
          <t>Yes</t>
        </is>
      </c>
      <c r="M2516" s="4" t="inlineStr">
        <is>
          <t>Your built-in support system. This versatile sports bra has a strappy back design and a comfortably supportive fit for all the ways you love to move.</t>
        </is>
      </c>
      <c r="N2516" s="4" t="inlineStr">
        <is>
          <t>Energy-Bra-Medium-Support-B-D-Cups-Evolve</t>
        </is>
      </c>
      <c r="O2516" s="4" t="inlineStr">
        <is>
          <t>Strappy Bras, Longline Bras</t>
        </is>
      </c>
    </row>
    <row r="2517" ht="80" customHeight="1">
      <c r="A2517" s="7">
        <f>IMAGE("https://images.lululemon.com/is/image/lululemon/LW2DUGS_0001_1?wid=320&amp;op_usm=0.8",1)</f>
        <v/>
      </c>
      <c r="B2517" s="7" t="inlineStr">
        <is>
          <t>lululemon Energy Bra Medium Support, B-D Cups *Evolve</t>
        </is>
      </c>
      <c r="C2517" s="7" t="inlineStr">
        <is>
          <t>155776828</t>
        </is>
      </c>
      <c r="D2517" s="7" t="inlineStr">
        <is>
          <t>155776828-white</t>
        </is>
      </c>
      <c r="E2517" s="7" t="inlineStr">
        <is>
          <t>lululemon Energy Bra *Evolve BLK XS</t>
        </is>
      </c>
      <c r="F2517" s="7" t="inlineStr">
        <is>
          <t>$58.00</t>
        </is>
      </c>
      <c r="G2517" s="7" t="inlineStr">
        <is>
          <t>$29.00</t>
        </is>
      </c>
      <c r="H2517" s="7" t="inlineStr">
        <is>
          <t>White</t>
        </is>
      </c>
      <c r="I2517" s="7">
        <f>IMAGE("https://images.lululemon.com/is/image/lululemon/0002",1)</f>
        <v/>
      </c>
      <c r="J2517" s="7" t="inlineStr">
        <is>
          <t>M</t>
        </is>
      </c>
      <c r="K2517" s="7" t="inlineStr">
        <is>
          <t>357/4561</t>
        </is>
      </c>
      <c r="L2517" s="7" t="inlineStr">
        <is>
          <t>Yes</t>
        </is>
      </c>
      <c r="M2517" s="7" t="inlineStr">
        <is>
          <t>Your built-in support system. This versatile sports bra has a strappy back design and a comfortably supportive fit for all the ways you love to move.</t>
        </is>
      </c>
      <c r="N2517" s="7" t="inlineStr">
        <is>
          <t>Energy-Bra-Medium-Support-B-D-Cups-Evolve</t>
        </is>
      </c>
      <c r="O2517" s="7" t="inlineStr">
        <is>
          <t>Strappy Bras, Longline Bras</t>
        </is>
      </c>
    </row>
    <row r="2518" ht="80" customHeight="1">
      <c r="A2518" s="4">
        <f>IMAGE("https://images.lululemon.com/is/image/lululemon/LW2DUGS_0001_1?wid=320&amp;op_usm=0.8",1)</f>
        <v/>
      </c>
      <c r="B2518" s="4" t="inlineStr">
        <is>
          <t>lululemon Energy Bra Medium Support, B-D Cups *Evolve</t>
        </is>
      </c>
      <c r="C2518" s="4" t="inlineStr">
        <is>
          <t>155776820</t>
        </is>
      </c>
      <c r="D2518" s="4" t="inlineStr">
        <is>
          <t>155776820-white</t>
        </is>
      </c>
      <c r="E2518" s="4" t="inlineStr">
        <is>
          <t>lululemon Energy Bra *Evolve BLK XS</t>
        </is>
      </c>
      <c r="F2518" s="4" t="inlineStr">
        <is>
          <t>$58.00</t>
        </is>
      </c>
      <c r="G2518" s="4" t="inlineStr">
        <is>
          <t>$29.00</t>
        </is>
      </c>
      <c r="H2518" s="4" t="inlineStr">
        <is>
          <t>White</t>
        </is>
      </c>
      <c r="I2518" s="4">
        <f>IMAGE("https://images.lululemon.com/is/image/lululemon/0002",1)</f>
        <v/>
      </c>
      <c r="J2518" s="4" t="inlineStr">
        <is>
          <t>L</t>
        </is>
      </c>
      <c r="K2518" s="4" t="inlineStr">
        <is>
          <t>248/4561</t>
        </is>
      </c>
      <c r="L2518" s="4" t="inlineStr">
        <is>
          <t>Yes</t>
        </is>
      </c>
      <c r="M2518" s="4" t="inlineStr">
        <is>
          <t>Your built-in support system. This versatile sports bra has a strappy back design and a comfortably supportive fit for all the ways you love to move.</t>
        </is>
      </c>
      <c r="N2518" s="4" t="inlineStr">
        <is>
          <t>Energy-Bra-Medium-Support-B-D-Cups-Evolve</t>
        </is>
      </c>
      <c r="O2518" s="4" t="inlineStr">
        <is>
          <t>Strappy Bras, Longline Bras</t>
        </is>
      </c>
    </row>
    <row r="2519" ht="80" customHeight="1">
      <c r="A2519" s="7">
        <f>IMAGE("https://images.lululemon.com/is/image/lululemon/LW2DUGS_0001_1?wid=320&amp;op_usm=0.8",1)</f>
        <v/>
      </c>
      <c r="B2519" s="7" t="inlineStr">
        <is>
          <t>lululemon Energy Bra Medium Support, B-D Cups *Evolve</t>
        </is>
      </c>
      <c r="C2519" s="7" t="inlineStr">
        <is>
          <t>155776846</t>
        </is>
      </c>
      <c r="D2519" s="7" t="inlineStr">
        <is>
          <t>155776846-white</t>
        </is>
      </c>
      <c r="E2519" s="7" t="inlineStr">
        <is>
          <t>lululemon Energy Bra *Evolve BLK XS</t>
        </is>
      </c>
      <c r="F2519" s="7" t="inlineStr">
        <is>
          <t>$58.00</t>
        </is>
      </c>
      <c r="G2519" s="7" t="inlineStr">
        <is>
          <t>$29.00</t>
        </is>
      </c>
      <c r="H2519" s="7" t="inlineStr">
        <is>
          <t>White</t>
        </is>
      </c>
      <c r="I2519" s="7">
        <f>IMAGE("https://images.lululemon.com/is/image/lululemon/0002",1)</f>
        <v/>
      </c>
      <c r="J2519" s="7" t="inlineStr">
        <is>
          <t>XL</t>
        </is>
      </c>
      <c r="K2519" s="7" t="inlineStr">
        <is>
          <t>198/4561</t>
        </is>
      </c>
      <c r="L2519" s="7" t="inlineStr">
        <is>
          <t>Yes</t>
        </is>
      </c>
      <c r="M2519" s="7" t="inlineStr">
        <is>
          <t>Your built-in support system. This versatile sports bra has a strappy back design and a comfortably supportive fit for all the ways you love to move.</t>
        </is>
      </c>
      <c r="N2519" s="7" t="inlineStr">
        <is>
          <t>Energy-Bra-Medium-Support-B-D-Cups-Evolve</t>
        </is>
      </c>
      <c r="O2519" s="7" t="inlineStr">
        <is>
          <t>Strappy Bras, Longline Bras</t>
        </is>
      </c>
    </row>
    <row r="2520" ht="80" customHeight="1">
      <c r="A2520" s="4">
        <f>IMAGE("https://images.lululemon.com/is/image/lululemon/LW2DUGS_0001_1?wid=320&amp;op_usm=0.8",1)</f>
        <v/>
      </c>
      <c r="B2520" s="4" t="inlineStr">
        <is>
          <t>lululemon Energy Bra Medium Support, B-D Cups *Evolve</t>
        </is>
      </c>
      <c r="C2520" s="4" t="inlineStr">
        <is>
          <t>157680831</t>
        </is>
      </c>
      <c r="D2520" s="4" t="inlineStr">
        <is>
          <t>157680831-pinkfrosting</t>
        </is>
      </c>
      <c r="E2520" s="4" t="inlineStr">
        <is>
          <t>lululemon Energy Bra *Evolve BLK XS</t>
        </is>
      </c>
      <c r="F2520" s="4" t="inlineStr">
        <is>
          <t>$58.00</t>
        </is>
      </c>
      <c r="G2520" s="4" t="inlineStr">
        <is>
          <t>$29.00</t>
        </is>
      </c>
      <c r="H2520" s="4" t="inlineStr">
        <is>
          <t>Pink Frosting</t>
        </is>
      </c>
      <c r="I2520" s="4">
        <f>IMAGE("https://images.lululemon.com/is/image/lululemon/71152",1)</f>
        <v/>
      </c>
      <c r="J2520" s="4" t="inlineStr">
        <is>
          <t>XS</t>
        </is>
      </c>
      <c r="K2520" s="4" t="inlineStr">
        <is>
          <t>14/4561</t>
        </is>
      </c>
      <c r="L2520" s="4" t="inlineStr">
        <is>
          <t>Yes</t>
        </is>
      </c>
      <c r="M2520" s="4" t="inlineStr">
        <is>
          <t>Your built-in support system. This versatile sports bra has a strappy back design and a comfortably supportive fit for all the ways you love to move.</t>
        </is>
      </c>
      <c r="N2520" s="4" t="inlineStr">
        <is>
          <t>Energy-Bra-Medium-Support-B-D-Cups-Evolve</t>
        </is>
      </c>
      <c r="O2520" s="4" t="inlineStr">
        <is>
          <t>Strappy Bras, Longline Bras</t>
        </is>
      </c>
    </row>
    <row r="2521" ht="80" customHeight="1">
      <c r="A2521" s="7">
        <f>IMAGE("https://images.lululemon.com/is/image/lululemon/LW2DUGS_0001_1?wid=320&amp;op_usm=0.8",1)</f>
        <v/>
      </c>
      <c r="B2521" s="7" t="inlineStr">
        <is>
          <t>lululemon Energy Bra Medium Support, B-D Cups *Evolve</t>
        </is>
      </c>
      <c r="C2521" s="7" t="inlineStr">
        <is>
          <t>157680812</t>
        </is>
      </c>
      <c r="D2521" s="7" t="inlineStr">
        <is>
          <t>157680812-pinkfrosting</t>
        </is>
      </c>
      <c r="E2521" s="7" t="inlineStr">
        <is>
          <t>lululemon Energy Bra *Evolve BLK XS</t>
        </is>
      </c>
      <c r="F2521" s="7" t="inlineStr">
        <is>
          <t>$58.00</t>
        </is>
      </c>
      <c r="G2521" s="7" t="inlineStr">
        <is>
          <t>$29.00</t>
        </is>
      </c>
      <c r="H2521" s="7" t="inlineStr">
        <is>
          <t>Pink Frosting</t>
        </is>
      </c>
      <c r="I2521" s="7">
        <f>IMAGE("https://images.lululemon.com/is/image/lululemon/71152",1)</f>
        <v/>
      </c>
      <c r="J2521" s="7" t="inlineStr">
        <is>
          <t>S</t>
        </is>
      </c>
      <c r="K2521" s="7" t="inlineStr">
        <is>
          <t>82/4561</t>
        </is>
      </c>
      <c r="L2521" s="7" t="inlineStr">
        <is>
          <t>Yes</t>
        </is>
      </c>
      <c r="M2521" s="7" t="inlineStr">
        <is>
          <t>Your built-in support system. This versatile sports bra has a strappy back design and a comfortably supportive fit for all the ways you love to move.</t>
        </is>
      </c>
      <c r="N2521" s="7" t="inlineStr">
        <is>
          <t>Energy-Bra-Medium-Support-B-D-Cups-Evolve</t>
        </is>
      </c>
      <c r="O2521" s="7" t="inlineStr">
        <is>
          <t>Strappy Bras, Longline Bras</t>
        </is>
      </c>
    </row>
    <row r="2522" ht="80" customHeight="1">
      <c r="A2522" s="4">
        <f>IMAGE("https://images.lululemon.com/is/image/lululemon/LW2DUGS_0001_1?wid=320&amp;op_usm=0.8",1)</f>
        <v/>
      </c>
      <c r="B2522" s="4" t="inlineStr">
        <is>
          <t>lululemon Energy Bra Medium Support, B-D Cups *Evolve</t>
        </is>
      </c>
      <c r="C2522" s="4" t="inlineStr">
        <is>
          <t>157680806</t>
        </is>
      </c>
      <c r="D2522" s="4" t="inlineStr">
        <is>
          <t>157680806-pinkfrosting</t>
        </is>
      </c>
      <c r="E2522" s="4" t="inlineStr">
        <is>
          <t>lululemon Energy Bra *Evolve BLK XS</t>
        </is>
      </c>
      <c r="F2522" s="4" t="inlineStr">
        <is>
          <t>$58.00</t>
        </is>
      </c>
      <c r="G2522" s="4" t="inlineStr">
        <is>
          <t>$29.00</t>
        </is>
      </c>
      <c r="H2522" s="4" t="inlineStr">
        <is>
          <t>Pink Frosting</t>
        </is>
      </c>
      <c r="I2522" s="4">
        <f>IMAGE("https://images.lululemon.com/is/image/lululemon/71152",1)</f>
        <v/>
      </c>
      <c r="J2522" s="4" t="inlineStr">
        <is>
          <t>M</t>
        </is>
      </c>
      <c r="K2522" s="4" t="inlineStr">
        <is>
          <t>229/4561</t>
        </is>
      </c>
      <c r="L2522" s="4" t="inlineStr">
        <is>
          <t>Yes</t>
        </is>
      </c>
      <c r="M2522" s="4" t="inlineStr">
        <is>
          <t>Your built-in support system. This versatile sports bra has a strappy back design and a comfortably supportive fit for all the ways you love to move.</t>
        </is>
      </c>
      <c r="N2522" s="4" t="inlineStr">
        <is>
          <t>Energy-Bra-Medium-Support-B-D-Cups-Evolve</t>
        </is>
      </c>
      <c r="O2522" s="4" t="inlineStr">
        <is>
          <t>Strappy Bras, Longline Bras</t>
        </is>
      </c>
    </row>
    <row r="2523" ht="80" customHeight="1">
      <c r="A2523" s="7">
        <f>IMAGE("https://images.lululemon.com/is/image/lululemon/LW2DUGS_0001_1?wid=320&amp;op_usm=0.8",1)</f>
        <v/>
      </c>
      <c r="B2523" s="7" t="inlineStr">
        <is>
          <t>lululemon Energy Bra Medium Support, B-D Cups *Evolve</t>
        </is>
      </c>
      <c r="C2523" s="7" t="inlineStr">
        <is>
          <t>157680795</t>
        </is>
      </c>
      <c r="D2523" s="7" t="inlineStr">
        <is>
          <t>157680795-pinkfrosting</t>
        </is>
      </c>
      <c r="E2523" s="7" t="inlineStr">
        <is>
          <t>lululemon Energy Bra *Evolve BLK XS</t>
        </is>
      </c>
      <c r="F2523" s="7" t="inlineStr">
        <is>
          <t>$58.00</t>
        </is>
      </c>
      <c r="G2523" s="7" t="inlineStr">
        <is>
          <t>$29.00</t>
        </is>
      </c>
      <c r="H2523" s="7" t="inlineStr">
        <is>
          <t>Pink Frosting</t>
        </is>
      </c>
      <c r="I2523" s="7">
        <f>IMAGE("https://images.lululemon.com/is/image/lululemon/71152",1)</f>
        <v/>
      </c>
      <c r="J2523" s="7" t="inlineStr">
        <is>
          <t>L</t>
        </is>
      </c>
      <c r="K2523" s="7" t="inlineStr">
        <is>
          <t>223/4561</t>
        </is>
      </c>
      <c r="L2523" s="7" t="inlineStr">
        <is>
          <t>Yes</t>
        </is>
      </c>
      <c r="M2523" s="7" t="inlineStr">
        <is>
          <t>Your built-in support system. This versatile sports bra has a strappy back design and a comfortably supportive fit for all the ways you love to move.</t>
        </is>
      </c>
      <c r="N2523" s="7" t="inlineStr">
        <is>
          <t>Energy-Bra-Medium-Support-B-D-Cups-Evolve</t>
        </is>
      </c>
      <c r="O2523" s="7" t="inlineStr">
        <is>
          <t>Strappy Bras, Longline Bras</t>
        </is>
      </c>
    </row>
    <row r="2524" ht="80" customHeight="1">
      <c r="A2524" s="4">
        <f>IMAGE("https://images.lululemon.com/is/image/lululemon/LW2DUGS_0001_1?wid=320&amp;op_usm=0.8",1)</f>
        <v/>
      </c>
      <c r="B2524" s="4" t="inlineStr">
        <is>
          <t>lululemon Energy Bra Medium Support, B-D Cups *Evolve</t>
        </is>
      </c>
      <c r="C2524" s="4" t="inlineStr">
        <is>
          <t>157680822</t>
        </is>
      </c>
      <c r="D2524" s="4" t="inlineStr">
        <is>
          <t>157680822-pinkfrosting</t>
        </is>
      </c>
      <c r="E2524" s="4" t="inlineStr">
        <is>
          <t>lululemon Energy Bra *Evolve BLK XS</t>
        </is>
      </c>
      <c r="F2524" s="4" t="inlineStr">
        <is>
          <t>$58.00</t>
        </is>
      </c>
      <c r="G2524" s="4" t="inlineStr">
        <is>
          <t>$29.00</t>
        </is>
      </c>
      <c r="H2524" s="4" t="inlineStr">
        <is>
          <t>Pink Frosting</t>
        </is>
      </c>
      <c r="I2524" s="4">
        <f>IMAGE("https://images.lululemon.com/is/image/lululemon/71152",1)</f>
        <v/>
      </c>
      <c r="J2524" s="4" t="inlineStr">
        <is>
          <t>XL</t>
        </is>
      </c>
      <c r="K2524" s="4" t="inlineStr">
        <is>
          <t>194/4561</t>
        </is>
      </c>
      <c r="L2524" s="4" t="inlineStr">
        <is>
          <t>Yes</t>
        </is>
      </c>
      <c r="M2524" s="4" t="inlineStr">
        <is>
          <t>Your built-in support system. This versatile sports bra has a strappy back design and a comfortably supportive fit for all the ways you love to move.</t>
        </is>
      </c>
      <c r="N2524" s="4" t="inlineStr">
        <is>
          <t>Energy-Bra-Medium-Support-B-D-Cups-Evolve</t>
        </is>
      </c>
      <c r="O2524" s="4" t="inlineStr">
        <is>
          <t>Strappy Bras, Longline Bras</t>
        </is>
      </c>
    </row>
    <row r="2525" ht="80" customHeight="1">
      <c r="A2525" s="7">
        <f>IMAGE("https://images.lululemon.com/is/image/lululemon/LW2DUGS_0001_1?wid=320&amp;op_usm=0.8",1)</f>
        <v/>
      </c>
      <c r="B2525" s="7" t="inlineStr">
        <is>
          <t>lululemon Energy Bra Medium Support, B-D Cups *Evolve</t>
        </is>
      </c>
      <c r="C2525" s="7" t="inlineStr">
        <is>
          <t>158020212</t>
        </is>
      </c>
      <c r="D2525" s="7" t="inlineStr">
        <is>
          <t>158020212-blackplum</t>
        </is>
      </c>
      <c r="E2525" s="7" t="inlineStr">
        <is>
          <t>lululemon Energy Bra *Evolve BLK XS</t>
        </is>
      </c>
      <c r="F2525" s="7" t="inlineStr">
        <is>
          <t>$58.00</t>
        </is>
      </c>
      <c r="G2525" s="7" t="inlineStr">
        <is>
          <t>$29.00</t>
        </is>
      </c>
      <c r="H2525" s="7" t="inlineStr">
        <is>
          <t>Black Plum</t>
        </is>
      </c>
      <c r="I2525" s="7">
        <f>IMAGE("https://images.lululemon.com/is/image/lululemon/34697",1)</f>
        <v/>
      </c>
      <c r="J2525" s="7" t="inlineStr">
        <is>
          <t>XS</t>
        </is>
      </c>
      <c r="K2525" s="7" t="inlineStr">
        <is>
          <t>10/4561</t>
        </is>
      </c>
      <c r="L2525" s="7" t="inlineStr">
        <is>
          <t>Yes</t>
        </is>
      </c>
      <c r="M2525" s="7" t="inlineStr">
        <is>
          <t>Your built-in support system. This versatile sports bra has a strappy back design and a comfortably supportive fit for all the ways you love to move.</t>
        </is>
      </c>
      <c r="N2525" s="7" t="inlineStr">
        <is>
          <t>Energy-Bra-Medium-Support-B-D-Cups-Evolve</t>
        </is>
      </c>
      <c r="O2525" s="7" t="inlineStr">
        <is>
          <t>Strappy Bras, Longline Bras</t>
        </is>
      </c>
    </row>
    <row r="2526" ht="80" customHeight="1">
      <c r="A2526" s="4">
        <f>IMAGE("https://images.lululemon.com/is/image/lululemon/LW2DUGS_0001_1?wid=320&amp;op_usm=0.8",1)</f>
        <v/>
      </c>
      <c r="B2526" s="4" t="inlineStr">
        <is>
          <t>lululemon Energy Bra Medium Support, B-D Cups *Evolve</t>
        </is>
      </c>
      <c r="C2526" s="4" t="inlineStr">
        <is>
          <t>158020171</t>
        </is>
      </c>
      <c r="D2526" s="4" t="inlineStr">
        <is>
          <t>158020171-blackplum</t>
        </is>
      </c>
      <c r="E2526" s="4" t="inlineStr">
        <is>
          <t>lululemon Energy Bra *Evolve BLK XS</t>
        </is>
      </c>
      <c r="F2526" s="4" t="inlineStr">
        <is>
          <t>$58.00</t>
        </is>
      </c>
      <c r="G2526" s="4" t="inlineStr">
        <is>
          <t>$29.00</t>
        </is>
      </c>
      <c r="H2526" s="4" t="inlineStr">
        <is>
          <t>Black Plum</t>
        </is>
      </c>
      <c r="I2526" s="4">
        <f>IMAGE("https://images.lululemon.com/is/image/lululemon/34697",1)</f>
        <v/>
      </c>
      <c r="J2526" s="4" t="inlineStr">
        <is>
          <t>M</t>
        </is>
      </c>
      <c r="K2526" s="4" t="inlineStr">
        <is>
          <t>38/4561</t>
        </is>
      </c>
      <c r="L2526" s="4" t="inlineStr">
        <is>
          <t>Yes</t>
        </is>
      </c>
      <c r="M2526" s="4" t="inlineStr">
        <is>
          <t>Your built-in support system. This versatile sports bra has a strappy back design and a comfortably supportive fit for all the ways you love to move.</t>
        </is>
      </c>
      <c r="N2526" s="4" t="inlineStr">
        <is>
          <t>Energy-Bra-Medium-Support-B-D-Cups-Evolve</t>
        </is>
      </c>
      <c r="O2526" s="4" t="inlineStr">
        <is>
          <t>Strappy Bras, Longline Bras</t>
        </is>
      </c>
    </row>
    <row r="2527" ht="80" customHeight="1">
      <c r="A2527" s="7">
        <f>IMAGE("https://images.lululemon.com/is/image/lululemon/LW2DUGS_0001_1?wid=320&amp;op_usm=0.8",1)</f>
        <v/>
      </c>
      <c r="B2527" s="7" t="inlineStr">
        <is>
          <t>lululemon Energy Bra Medium Support, B-D Cups *Evolve</t>
        </is>
      </c>
      <c r="C2527" s="7" t="inlineStr">
        <is>
          <t>158020158</t>
        </is>
      </c>
      <c r="D2527" s="7" t="inlineStr">
        <is>
          <t>158020158-blackplum</t>
        </is>
      </c>
      <c r="E2527" s="7" t="inlineStr">
        <is>
          <t>lululemon Energy Bra *Evolve BLK XS</t>
        </is>
      </c>
      <c r="F2527" s="7" t="inlineStr">
        <is>
          <t>$58.00</t>
        </is>
      </c>
      <c r="G2527" s="7" t="inlineStr">
        <is>
          <t>$29.00</t>
        </is>
      </c>
      <c r="H2527" s="7" t="inlineStr">
        <is>
          <t>Black Plum</t>
        </is>
      </c>
      <c r="I2527" s="7">
        <f>IMAGE("https://images.lululemon.com/is/image/lululemon/34697",1)</f>
        <v/>
      </c>
      <c r="J2527" s="7" t="inlineStr">
        <is>
          <t>L</t>
        </is>
      </c>
      <c r="K2527" s="7" t="inlineStr">
        <is>
          <t>24/4561</t>
        </is>
      </c>
      <c r="L2527" s="7" t="inlineStr">
        <is>
          <t>Yes</t>
        </is>
      </c>
      <c r="M2527" s="7" t="inlineStr">
        <is>
          <t>Your built-in support system. This versatile sports bra has a strappy back design and a comfortably supportive fit for all the ways you love to move.</t>
        </is>
      </c>
      <c r="N2527" s="7" t="inlineStr">
        <is>
          <t>Energy-Bra-Medium-Support-B-D-Cups-Evolve</t>
        </is>
      </c>
      <c r="O2527" s="7" t="inlineStr">
        <is>
          <t>Strappy Bras, Longline Bras</t>
        </is>
      </c>
    </row>
    <row r="2528" ht="80" customHeight="1">
      <c r="A2528" s="4">
        <f>IMAGE("https://images.lululemon.com/is/image/lululemon/LW2DUGS_0001_1?wid=320&amp;op_usm=0.8",1)</f>
        <v/>
      </c>
      <c r="B2528" s="4" t="inlineStr">
        <is>
          <t>lululemon Energy Bra Medium Support, B-D Cups *Evolve</t>
        </is>
      </c>
      <c r="C2528" s="4" t="inlineStr">
        <is>
          <t>158020200</t>
        </is>
      </c>
      <c r="D2528" s="4" t="inlineStr">
        <is>
          <t>158020200-blackplum</t>
        </is>
      </c>
      <c r="E2528" s="4" t="inlineStr">
        <is>
          <t>lululemon Energy Bra *Evolve BLK XS</t>
        </is>
      </c>
      <c r="F2528" s="4" t="inlineStr">
        <is>
          <t>$58.00</t>
        </is>
      </c>
      <c r="G2528" s="4" t="inlineStr">
        <is>
          <t>$29.00</t>
        </is>
      </c>
      <c r="H2528" s="4" t="inlineStr">
        <is>
          <t>Black Plum</t>
        </is>
      </c>
      <c r="I2528" s="4">
        <f>IMAGE("https://images.lululemon.com/is/image/lululemon/34697",1)</f>
        <v/>
      </c>
      <c r="J2528" s="4" t="inlineStr">
        <is>
          <t>XL</t>
        </is>
      </c>
      <c r="K2528" s="4" t="inlineStr">
        <is>
          <t>50/4561</t>
        </is>
      </c>
      <c r="L2528" s="4" t="inlineStr">
        <is>
          <t>Yes</t>
        </is>
      </c>
      <c r="M2528" s="4" t="inlineStr">
        <is>
          <t>Your built-in support system. This versatile sports bra has a strappy back design and a comfortably supportive fit for all the ways you love to move.</t>
        </is>
      </c>
      <c r="N2528" s="4" t="inlineStr">
        <is>
          <t>Energy-Bra-Medium-Support-B-D-Cups-Evolve</t>
        </is>
      </c>
      <c r="O2528" s="4" t="inlineStr">
        <is>
          <t>Strappy Bras, Longline Bras</t>
        </is>
      </c>
    </row>
    <row r="2529" ht="80" customHeight="1">
      <c r="A2529" s="7">
        <f>IMAGE("https://images.lululemon.com/is/image/lululemon/LW2DUGS_0001_1?wid=320&amp;op_usm=0.8",1)</f>
        <v/>
      </c>
      <c r="B2529" s="7" t="inlineStr">
        <is>
          <t>lululemon Energy Bra Medium Support, B-D Cups *Evolve</t>
        </is>
      </c>
      <c r="C2529" s="7" t="inlineStr">
        <is>
          <t>158099744</t>
        </is>
      </c>
      <c r="D2529" s="7" t="inlineStr">
        <is>
          <t>158099744-atmosphericpurple</t>
        </is>
      </c>
      <c r="E2529" s="7" t="inlineStr">
        <is>
          <t>lululemon Energy Bra *Evolve BLK XS</t>
        </is>
      </c>
      <c r="F2529" s="7" t="inlineStr">
        <is>
          <t>$58.00</t>
        </is>
      </c>
      <c r="G2529" s="7" t="inlineStr">
        <is>
          <t>$29.00</t>
        </is>
      </c>
      <c r="H2529" s="7" t="inlineStr">
        <is>
          <t>Atmospheric Purple</t>
        </is>
      </c>
      <c r="I2529" s="7">
        <f>IMAGE("https://images.lululemon.com/is/image/lululemon/63787",1)</f>
        <v/>
      </c>
      <c r="J2529" s="7" t="inlineStr">
        <is>
          <t>XS</t>
        </is>
      </c>
      <c r="K2529" s="7" t="inlineStr">
        <is>
          <t>22/4561</t>
        </is>
      </c>
      <c r="L2529" s="7" t="inlineStr">
        <is>
          <t>Yes</t>
        </is>
      </c>
      <c r="M2529" s="7" t="inlineStr">
        <is>
          <t>Your built-in support system. This versatile sports bra has a strappy back design and a comfortably supportive fit for all the ways you love to move.</t>
        </is>
      </c>
      <c r="N2529" s="7" t="inlineStr">
        <is>
          <t>Energy-Bra-Medium-Support-B-D-Cups-Evolve</t>
        </is>
      </c>
      <c r="O2529" s="7" t="inlineStr">
        <is>
          <t>Strappy Bras, Longline Bras</t>
        </is>
      </c>
    </row>
    <row r="2530" ht="80" customHeight="1">
      <c r="A2530" s="4">
        <f>IMAGE("https://images.lululemon.com/is/image/lululemon/LW2DUGS_0001_1?wid=320&amp;op_usm=0.8",1)</f>
        <v/>
      </c>
      <c r="B2530" s="4" t="inlineStr">
        <is>
          <t>lululemon Energy Bra Medium Support, B-D Cups *Evolve</t>
        </is>
      </c>
      <c r="C2530" s="4" t="inlineStr">
        <is>
          <t>158099713</t>
        </is>
      </c>
      <c r="D2530" s="4" t="inlineStr">
        <is>
          <t>158099713-atmosphericpurple</t>
        </is>
      </c>
      <c r="E2530" s="4" t="inlineStr">
        <is>
          <t>lululemon Energy Bra *Evolve BLK XS</t>
        </is>
      </c>
      <c r="F2530" s="4" t="inlineStr">
        <is>
          <t>$58.00</t>
        </is>
      </c>
      <c r="G2530" s="4" t="inlineStr">
        <is>
          <t>$29.00</t>
        </is>
      </c>
      <c r="H2530" s="4" t="inlineStr">
        <is>
          <t>Atmospheric Purple</t>
        </is>
      </c>
      <c r="I2530" s="4">
        <f>IMAGE("https://images.lululemon.com/is/image/lululemon/63787",1)</f>
        <v/>
      </c>
      <c r="J2530" s="4" t="inlineStr">
        <is>
          <t>S</t>
        </is>
      </c>
      <c r="K2530" s="4" t="inlineStr">
        <is>
          <t>83/4561</t>
        </is>
      </c>
      <c r="L2530" s="4" t="inlineStr">
        <is>
          <t>Yes</t>
        </is>
      </c>
      <c r="M2530" s="4" t="inlineStr">
        <is>
          <t>Your built-in support system. This versatile sports bra has a strappy back design and a comfortably supportive fit for all the ways you love to move.</t>
        </is>
      </c>
      <c r="N2530" s="4" t="inlineStr">
        <is>
          <t>Energy-Bra-Medium-Support-B-D-Cups-Evolve</t>
        </is>
      </c>
      <c r="O2530" s="4" t="inlineStr">
        <is>
          <t>Strappy Bras, Longline Bras</t>
        </is>
      </c>
    </row>
    <row r="2531" ht="80" customHeight="1">
      <c r="A2531" s="7">
        <f>IMAGE("https://images.lululemon.com/is/image/lululemon/LW2DUGS_0001_1?wid=320&amp;op_usm=0.8",1)</f>
        <v/>
      </c>
      <c r="B2531" s="7" t="inlineStr">
        <is>
          <t>lululemon Energy Bra Medium Support, B-D Cups *Evolve</t>
        </is>
      </c>
      <c r="C2531" s="7" t="inlineStr">
        <is>
          <t>158099699</t>
        </is>
      </c>
      <c r="D2531" s="7" t="inlineStr">
        <is>
          <t>158099699-atmosphericpurple</t>
        </is>
      </c>
      <c r="E2531" s="7" t="inlineStr">
        <is>
          <t>lululemon Energy Bra *Evolve BLK XS</t>
        </is>
      </c>
      <c r="F2531" s="7" t="inlineStr">
        <is>
          <t>$58.00</t>
        </is>
      </c>
      <c r="G2531" s="7" t="inlineStr">
        <is>
          <t>$29.00</t>
        </is>
      </c>
      <c r="H2531" s="7" t="inlineStr">
        <is>
          <t>Atmospheric Purple</t>
        </is>
      </c>
      <c r="I2531" s="7">
        <f>IMAGE("https://images.lululemon.com/is/image/lululemon/63787",1)</f>
        <v/>
      </c>
      <c r="J2531" s="7" t="inlineStr">
        <is>
          <t>M</t>
        </is>
      </c>
      <c r="K2531" s="7" t="inlineStr">
        <is>
          <t>142/4561</t>
        </is>
      </c>
      <c r="L2531" s="7" t="inlineStr">
        <is>
          <t>Yes</t>
        </is>
      </c>
      <c r="M2531" s="7" t="inlineStr">
        <is>
          <t>Your built-in support system. This versatile sports bra has a strappy back design and a comfortably supportive fit for all the ways you love to move.</t>
        </is>
      </c>
      <c r="N2531" s="7" t="inlineStr">
        <is>
          <t>Energy-Bra-Medium-Support-B-D-Cups-Evolve</t>
        </is>
      </c>
      <c r="O2531" s="7" t="inlineStr">
        <is>
          <t>Strappy Bras, Longline Bras</t>
        </is>
      </c>
    </row>
    <row r="2532" ht="80" customHeight="1">
      <c r="A2532" s="4">
        <f>IMAGE("https://images.lululemon.com/is/image/lululemon/LW2DUGS_0001_1?wid=320&amp;op_usm=0.8",1)</f>
        <v/>
      </c>
      <c r="B2532" s="4" t="inlineStr">
        <is>
          <t>lululemon Energy Bra Medium Support, B-D Cups *Evolve</t>
        </is>
      </c>
      <c r="C2532" s="4" t="inlineStr">
        <is>
          <t>158099682</t>
        </is>
      </c>
      <c r="D2532" s="4" t="inlineStr">
        <is>
          <t>158099682-atmosphericpurple</t>
        </is>
      </c>
      <c r="E2532" s="4" t="inlineStr">
        <is>
          <t>lululemon Energy Bra *Evolve BLK XS</t>
        </is>
      </c>
      <c r="F2532" s="4" t="inlineStr">
        <is>
          <t>$58.00</t>
        </is>
      </c>
      <c r="G2532" s="4" t="inlineStr">
        <is>
          <t>$29.00</t>
        </is>
      </c>
      <c r="H2532" s="4" t="inlineStr">
        <is>
          <t>Atmospheric Purple</t>
        </is>
      </c>
      <c r="I2532" s="4">
        <f>IMAGE("https://images.lululemon.com/is/image/lululemon/63787",1)</f>
        <v/>
      </c>
      <c r="J2532" s="4" t="inlineStr">
        <is>
          <t>L</t>
        </is>
      </c>
      <c r="K2532" s="4" t="inlineStr">
        <is>
          <t>94/4561</t>
        </is>
      </c>
      <c r="L2532" s="4" t="inlineStr">
        <is>
          <t>Yes</t>
        </is>
      </c>
      <c r="M2532" s="4" t="inlineStr">
        <is>
          <t>Your built-in support system. This versatile sports bra has a strappy back design and a comfortably supportive fit for all the ways you love to move.</t>
        </is>
      </c>
      <c r="N2532" s="4" t="inlineStr">
        <is>
          <t>Energy-Bra-Medium-Support-B-D-Cups-Evolve</t>
        </is>
      </c>
      <c r="O2532" s="4" t="inlineStr">
        <is>
          <t>Strappy Bras, Longline Bras</t>
        </is>
      </c>
    </row>
    <row r="2533" ht="80" customHeight="1">
      <c r="A2533" s="7">
        <f>IMAGE("https://images.lululemon.com/is/image/lululemon/LW2DUGS_0001_1?wid=320&amp;op_usm=0.8",1)</f>
        <v/>
      </c>
      <c r="B2533" s="7" t="inlineStr">
        <is>
          <t>lululemon Energy Bra Medium Support, B-D Cups *Evolve</t>
        </is>
      </c>
      <c r="C2533" s="7" t="inlineStr">
        <is>
          <t>158099727</t>
        </is>
      </c>
      <c r="D2533" s="7" t="inlineStr">
        <is>
          <t>158099727-atmosphericpurple</t>
        </is>
      </c>
      <c r="E2533" s="7" t="inlineStr">
        <is>
          <t>lululemon Energy Bra *Evolve BLK XS</t>
        </is>
      </c>
      <c r="F2533" s="7" t="inlineStr">
        <is>
          <t>$58.00</t>
        </is>
      </c>
      <c r="G2533" s="7" t="inlineStr">
        <is>
          <t>$29.00</t>
        </is>
      </c>
      <c r="H2533" s="7" t="inlineStr">
        <is>
          <t>Atmospheric Purple</t>
        </is>
      </c>
      <c r="I2533" s="7">
        <f>IMAGE("https://images.lululemon.com/is/image/lululemon/63787",1)</f>
        <v/>
      </c>
      <c r="J2533" s="7" t="inlineStr">
        <is>
          <t>XL</t>
        </is>
      </c>
      <c r="K2533" s="7" t="inlineStr">
        <is>
          <t>59/4561</t>
        </is>
      </c>
      <c r="L2533" s="7" t="inlineStr">
        <is>
          <t>Yes</t>
        </is>
      </c>
      <c r="M2533" s="7" t="inlineStr">
        <is>
          <t>Your built-in support system. This versatile sports bra has a strappy back design and a comfortably supportive fit for all the ways you love to move.</t>
        </is>
      </c>
      <c r="N2533" s="7" t="inlineStr">
        <is>
          <t>Energy-Bra-Medium-Support-B-D-Cups-Evolve</t>
        </is>
      </c>
      <c r="O2533" s="7" t="inlineStr">
        <is>
          <t>Strappy Bras, Longline Bras</t>
        </is>
      </c>
    </row>
    <row r="2534" ht="80" customHeight="1">
      <c r="A2534" s="4">
        <f>IMAGE("https://images.lululemon.com/is/image/lululemon/LW2DUGS_0001_1?wid=320&amp;op_usm=0.8",1)</f>
        <v/>
      </c>
      <c r="B2534" s="4" t="inlineStr">
        <is>
          <t>lululemon Energy Bra Medium Support, B-D Cups *Evolve</t>
        </is>
      </c>
      <c r="C2534" s="4" t="inlineStr">
        <is>
          <t>157678129</t>
        </is>
      </c>
      <c r="D2534" s="4" t="inlineStr">
        <is>
          <t>157678129-palmdeco</t>
        </is>
      </c>
      <c r="E2534" s="4" t="inlineStr">
        <is>
          <t>lululemon Energy Bra *Evolve BLK XS</t>
        </is>
      </c>
      <c r="F2534" s="4" t="inlineStr">
        <is>
          <t>$58.00</t>
        </is>
      </c>
      <c r="G2534" s="4" t="inlineStr">
        <is>
          <t>$29.00</t>
        </is>
      </c>
      <c r="H2534" s="4" t="inlineStr">
        <is>
          <t>Palm Deco</t>
        </is>
      </c>
      <c r="I2534" s="4">
        <f>IMAGE("https://images.lululemon.com/is/image/lululemon/35487",1)</f>
        <v/>
      </c>
      <c r="J2534" s="4" t="inlineStr">
        <is>
          <t>S</t>
        </is>
      </c>
      <c r="K2534" s="4" t="inlineStr">
        <is>
          <t>29/4561</t>
        </is>
      </c>
      <c r="L2534" s="4" t="inlineStr">
        <is>
          <t>Yes</t>
        </is>
      </c>
      <c r="M2534" s="4" t="inlineStr">
        <is>
          <t>Your built-in support system. This versatile sports bra has a strappy back design and a comfortably supportive fit for all the ways you love to move.</t>
        </is>
      </c>
      <c r="N2534" s="4" t="inlineStr">
        <is>
          <t>Energy-Bra-Medium-Support-B-D-Cups-Evolve</t>
        </is>
      </c>
      <c r="O2534" s="4" t="inlineStr">
        <is>
          <t>Strappy Bras, Longline Bras</t>
        </is>
      </c>
    </row>
    <row r="2535" ht="80" customHeight="1">
      <c r="A2535" s="7">
        <f>IMAGE("https://images.lululemon.com/is/image/lululemon/LW2DUGS_0001_1?wid=320&amp;op_usm=0.8",1)</f>
        <v/>
      </c>
      <c r="B2535" s="7" t="inlineStr">
        <is>
          <t>lululemon Energy Bra Medium Support, B-D Cups *Evolve</t>
        </is>
      </c>
      <c r="C2535" s="7" t="inlineStr">
        <is>
          <t>157678106</t>
        </is>
      </c>
      <c r="D2535" s="7" t="inlineStr">
        <is>
          <t>157678106-palmdeco</t>
        </is>
      </c>
      <c r="E2535" s="7" t="inlineStr">
        <is>
          <t>lululemon Energy Bra *Evolve BLK XS</t>
        </is>
      </c>
      <c r="F2535" s="7" t="inlineStr">
        <is>
          <t>$58.00</t>
        </is>
      </c>
      <c r="G2535" s="7" t="inlineStr">
        <is>
          <t>$29.00</t>
        </is>
      </c>
      <c r="H2535" s="7" t="inlineStr">
        <is>
          <t>Palm Deco</t>
        </is>
      </c>
      <c r="I2535" s="7">
        <f>IMAGE("https://images.lululemon.com/is/image/lululemon/35487",1)</f>
        <v/>
      </c>
      <c r="J2535" s="7" t="inlineStr">
        <is>
          <t>M</t>
        </is>
      </c>
      <c r="K2535" s="7" t="inlineStr">
        <is>
          <t>131/4561</t>
        </is>
      </c>
      <c r="L2535" s="7" t="inlineStr">
        <is>
          <t>Yes</t>
        </is>
      </c>
      <c r="M2535" s="7" t="inlineStr">
        <is>
          <t>Your built-in support system. This versatile sports bra has a strappy back design and a comfortably supportive fit for all the ways you love to move.</t>
        </is>
      </c>
      <c r="N2535" s="7" t="inlineStr">
        <is>
          <t>Energy-Bra-Medium-Support-B-D-Cups-Evolve</t>
        </is>
      </c>
      <c r="O2535" s="7" t="inlineStr">
        <is>
          <t>Strappy Bras, Longline Bras</t>
        </is>
      </c>
    </row>
    <row r="2536" ht="80" customHeight="1">
      <c r="A2536" s="4">
        <f>IMAGE("https://images.lululemon.com/is/image/lululemon/LW2DUGS_0001_1?wid=320&amp;op_usm=0.8",1)</f>
        <v/>
      </c>
      <c r="B2536" s="4" t="inlineStr">
        <is>
          <t>lululemon Energy Bra Medium Support, B-D Cups *Evolve</t>
        </is>
      </c>
      <c r="C2536" s="4" t="inlineStr">
        <is>
          <t>157678088</t>
        </is>
      </c>
      <c r="D2536" s="4" t="inlineStr">
        <is>
          <t>157678088-palmdeco</t>
        </is>
      </c>
      <c r="E2536" s="4" t="inlineStr">
        <is>
          <t>lululemon Energy Bra *Evolve BLK XS</t>
        </is>
      </c>
      <c r="F2536" s="4" t="inlineStr">
        <is>
          <t>$58.00</t>
        </is>
      </c>
      <c r="G2536" s="4" t="inlineStr">
        <is>
          <t>$29.00</t>
        </is>
      </c>
      <c r="H2536" s="4" t="inlineStr">
        <is>
          <t>Palm Deco</t>
        </is>
      </c>
      <c r="I2536" s="4">
        <f>IMAGE("https://images.lululemon.com/is/image/lululemon/35487",1)</f>
        <v/>
      </c>
      <c r="J2536" s="4" t="inlineStr">
        <is>
          <t>L</t>
        </is>
      </c>
      <c r="K2536" s="4" t="inlineStr">
        <is>
          <t>170/4561</t>
        </is>
      </c>
      <c r="L2536" s="4" t="inlineStr">
        <is>
          <t>Yes</t>
        </is>
      </c>
      <c r="M2536" s="4" t="inlineStr">
        <is>
          <t>Your built-in support system. This versatile sports bra has a strappy back design and a comfortably supportive fit for all the ways you love to move.</t>
        </is>
      </c>
      <c r="N2536" s="4" t="inlineStr">
        <is>
          <t>Energy-Bra-Medium-Support-B-D-Cups-Evolve</t>
        </is>
      </c>
      <c r="O2536" s="4" t="inlineStr">
        <is>
          <t>Strappy Bras, Longline Bras</t>
        </is>
      </c>
    </row>
    <row r="2537" ht="80" customHeight="1">
      <c r="A2537" s="5">
        <f>IMAGE("https://images.lululemon.com/is/image/lululemon/LW2DUGS_0001_1?wid=320&amp;op_usm=0.8",1)</f>
        <v/>
      </c>
      <c r="B2537" s="5" t="inlineStr">
        <is>
          <t>lululemon Energy Bra Medium Support, B-D Cups *Evolve</t>
        </is>
      </c>
      <c r="C2537" s="5" t="inlineStr">
        <is>
          <t>157678151</t>
        </is>
      </c>
      <c r="D2537" s="5" t="inlineStr">
        <is>
          <t>157678151-palmdeco</t>
        </is>
      </c>
      <c r="E2537" s="5" t="inlineStr">
        <is>
          <t>lululemon Energy Bra *Evolve BLK XS</t>
        </is>
      </c>
      <c r="F2537" s="5" t="inlineStr">
        <is>
          <t>$58.00</t>
        </is>
      </c>
      <c r="G2537" s="5" t="inlineStr">
        <is>
          <t>$29.00</t>
        </is>
      </c>
      <c r="H2537" s="5" t="inlineStr">
        <is>
          <t>Palm Deco</t>
        </is>
      </c>
      <c r="I2537" s="5">
        <f>IMAGE("https://images.lululemon.com/is/image/lululemon/35487",1)</f>
        <v/>
      </c>
      <c r="J2537" s="5" t="inlineStr">
        <is>
          <t>XL</t>
        </is>
      </c>
      <c r="K2537" s="5" t="inlineStr">
        <is>
          <t>119/4561</t>
        </is>
      </c>
      <c r="L2537" s="5" t="inlineStr">
        <is>
          <t>Yes</t>
        </is>
      </c>
      <c r="M2537" s="5" t="inlineStr">
        <is>
          <t>Your built-in support system. This versatile sports bra has a strappy back design and a comfortably supportive fit for all the ways you love to move.</t>
        </is>
      </c>
      <c r="N2537" s="5" t="inlineStr">
        <is>
          <t>Energy-Bra-Medium-Support-B-D-Cups-Evolve</t>
        </is>
      </c>
      <c r="O2537" s="5" t="inlineStr">
        <is>
          <t>Strappy Bras, Longline Bras</t>
        </is>
      </c>
    </row>
    <row r="2538" ht="80" customHeight="1">
      <c r="A2538" s="4">
        <f>IMAGE("https://images.lululemon.com/is/image/lululemon/LW3KCQS_033454_1?wid=320&amp;op_usm=0.8",1)</f>
        <v/>
      </c>
      <c r="B2538" s="4" t="inlineStr">
        <is>
          <t>Women's Steady State Crew</t>
        </is>
      </c>
      <c r="C2538" s="4" t="inlineStr">
        <is>
          <t>158034631</t>
        </is>
      </c>
      <c r="D2538" s="4" t="inlineStr">
        <is>
          <t>158034631-black</t>
        </is>
      </c>
      <c r="E2538" s="4" t="inlineStr">
        <is>
          <t>W Steady State Oversized Crew BLK XXS</t>
        </is>
      </c>
      <c r="F2538" s="4" t="inlineStr">
        <is>
          <t>$118.00</t>
        </is>
      </c>
      <c r="G2538" s="4" t="inlineStr">
        <is>
          <t>$59.00</t>
        </is>
      </c>
      <c r="H2538" s="4" t="inlineStr">
        <is>
          <t>Black</t>
        </is>
      </c>
      <c r="I2538" s="4">
        <f>IMAGE("https://images.lululemon.com/is/image/lululemon/0001",1)</f>
        <v/>
      </c>
      <c r="J2538" s="4" t="inlineStr">
        <is>
          <t>XXS</t>
        </is>
      </c>
      <c r="K2538" s="4" t="inlineStr">
        <is>
          <t>1/1735</t>
        </is>
      </c>
      <c r="L2538" s="4" t="inlineStr">
        <is>
          <t>Yes</t>
        </is>
      </c>
      <c r="M2538" s="4" t="inlineStr">
        <is>
          <t>A reimagined classic. This fleece crewneck puts softness first, so you can bring comfort wherever you go.</t>
        </is>
      </c>
      <c r="N2538" s="4" t="inlineStr">
        <is>
          <t>Womens-Steady-State-Crew</t>
        </is>
      </c>
      <c r="O2538" s="4" t="inlineStr">
        <is>
          <t>Crewneck Sweatshirts</t>
        </is>
      </c>
    </row>
    <row r="2539" ht="80" customHeight="1">
      <c r="A2539" s="7">
        <f>IMAGE("https://images.lululemon.com/is/image/lululemon/LW3KCQS_033454_1?wid=320&amp;op_usm=0.8",1)</f>
        <v/>
      </c>
      <c r="B2539" s="7" t="inlineStr">
        <is>
          <t>Women's Steady State Crew</t>
        </is>
      </c>
      <c r="C2539" s="7" t="inlineStr">
        <is>
          <t>158034198</t>
        </is>
      </c>
      <c r="D2539" s="7" t="inlineStr">
        <is>
          <t>158034198-black</t>
        </is>
      </c>
      <c r="E2539" s="7" t="inlineStr">
        <is>
          <t>W Steady State Oversized Crew BLK XXS</t>
        </is>
      </c>
      <c r="F2539" s="7" t="inlineStr">
        <is>
          <t>$118.00</t>
        </is>
      </c>
      <c r="G2539" s="7" t="inlineStr">
        <is>
          <t>$59.00</t>
        </is>
      </c>
      <c r="H2539" s="7" t="inlineStr">
        <is>
          <t>Black</t>
        </is>
      </c>
      <c r="I2539" s="7">
        <f>IMAGE("https://images.lululemon.com/is/image/lululemon/0001",1)</f>
        <v/>
      </c>
      <c r="J2539" s="7" t="inlineStr">
        <is>
          <t>XS</t>
        </is>
      </c>
      <c r="K2539" s="7" t="inlineStr">
        <is>
          <t>190/1735</t>
        </is>
      </c>
      <c r="L2539" s="7" t="inlineStr">
        <is>
          <t>Yes</t>
        </is>
      </c>
      <c r="M2539" s="7" t="inlineStr">
        <is>
          <t>A reimagined classic. This fleece crewneck puts softness first, so you can bring comfort wherever you go.</t>
        </is>
      </c>
      <c r="N2539" s="7" t="inlineStr">
        <is>
          <t>Womens-Steady-State-Crew</t>
        </is>
      </c>
      <c r="O2539" s="7" t="inlineStr">
        <is>
          <t>Crewneck Sweatshirts</t>
        </is>
      </c>
    </row>
    <row r="2540" ht="80" customHeight="1">
      <c r="A2540" s="4">
        <f>IMAGE("https://images.lululemon.com/is/image/lululemon/LW3KCQS_033454_1?wid=320&amp;op_usm=0.8",1)</f>
        <v/>
      </c>
      <c r="B2540" s="4" t="inlineStr">
        <is>
          <t>Women's Steady State Crew</t>
        </is>
      </c>
      <c r="C2540" s="4" t="inlineStr">
        <is>
          <t>158034188</t>
        </is>
      </c>
      <c r="D2540" s="4" t="inlineStr">
        <is>
          <t>158034188-black</t>
        </is>
      </c>
      <c r="E2540" s="4" t="inlineStr">
        <is>
          <t>W Steady State Oversized Crew BLK XXS</t>
        </is>
      </c>
      <c r="F2540" s="4" t="inlineStr">
        <is>
          <t>$118.00</t>
        </is>
      </c>
      <c r="G2540" s="4" t="inlineStr">
        <is>
          <t>$59.00</t>
        </is>
      </c>
      <c r="H2540" s="4" t="inlineStr">
        <is>
          <t>Black</t>
        </is>
      </c>
      <c r="I2540" s="4">
        <f>IMAGE("https://images.lululemon.com/is/image/lululemon/0001",1)</f>
        <v/>
      </c>
      <c r="J2540" s="4" t="inlineStr">
        <is>
          <t>S</t>
        </is>
      </c>
      <c r="K2540" s="4" t="inlineStr">
        <is>
          <t>178/1735</t>
        </is>
      </c>
      <c r="L2540" s="4" t="inlineStr">
        <is>
          <t>Yes</t>
        </is>
      </c>
      <c r="M2540" s="4" t="inlineStr">
        <is>
          <t>A reimagined classic. This fleece crewneck puts softness first, so you can bring comfort wherever you go.</t>
        </is>
      </c>
      <c r="N2540" s="4" t="inlineStr">
        <is>
          <t>Womens-Steady-State-Crew</t>
        </is>
      </c>
      <c r="O2540" s="4" t="inlineStr">
        <is>
          <t>Crewneck Sweatshirts</t>
        </is>
      </c>
    </row>
    <row r="2541" ht="80" customHeight="1">
      <c r="A2541" s="7">
        <f>IMAGE("https://images.lululemon.com/is/image/lululemon/LW3KCQS_033454_1?wid=320&amp;op_usm=0.8",1)</f>
        <v/>
      </c>
      <c r="B2541" s="7" t="inlineStr">
        <is>
          <t>Women's Steady State Crew</t>
        </is>
      </c>
      <c r="C2541" s="7" t="inlineStr">
        <is>
          <t>158034182</t>
        </is>
      </c>
      <c r="D2541" s="7" t="inlineStr">
        <is>
          <t>158034182-black</t>
        </is>
      </c>
      <c r="E2541" s="7" t="inlineStr">
        <is>
          <t>W Steady State Oversized Crew BLK XXS</t>
        </is>
      </c>
      <c r="F2541" s="7" t="inlineStr">
        <is>
          <t>$118.00</t>
        </is>
      </c>
      <c r="G2541" s="7" t="inlineStr">
        <is>
          <t>$59.00</t>
        </is>
      </c>
      <c r="H2541" s="7" t="inlineStr">
        <is>
          <t>Black</t>
        </is>
      </c>
      <c r="I2541" s="7">
        <f>IMAGE("https://images.lululemon.com/is/image/lululemon/0001",1)</f>
        <v/>
      </c>
      <c r="J2541" s="7" t="inlineStr">
        <is>
          <t>M</t>
        </is>
      </c>
      <c r="K2541" s="7" t="inlineStr">
        <is>
          <t>130/1735</t>
        </is>
      </c>
      <c r="L2541" s="7" t="inlineStr">
        <is>
          <t>Yes</t>
        </is>
      </c>
      <c r="M2541" s="7" t="inlineStr">
        <is>
          <t>A reimagined classic. This fleece crewneck puts softness first, so you can bring comfort wherever you go.</t>
        </is>
      </c>
      <c r="N2541" s="7" t="inlineStr">
        <is>
          <t>Womens-Steady-State-Crew</t>
        </is>
      </c>
      <c r="O2541" s="7" t="inlineStr">
        <is>
          <t>Crewneck Sweatshirts</t>
        </is>
      </c>
    </row>
    <row r="2542" ht="80" customHeight="1">
      <c r="A2542" s="4">
        <f>IMAGE("https://images.lululemon.com/is/image/lululemon/LW3KCQS_033454_1?wid=320&amp;op_usm=0.8",1)</f>
        <v/>
      </c>
      <c r="B2542" s="4" t="inlineStr">
        <is>
          <t>Women's Steady State Crew</t>
        </is>
      </c>
      <c r="C2542" s="4" t="inlineStr">
        <is>
          <t>158034180</t>
        </is>
      </c>
      <c r="D2542" s="4" t="inlineStr">
        <is>
          <t>158034180-black</t>
        </is>
      </c>
      <c r="E2542" s="4" t="inlineStr">
        <is>
          <t>W Steady State Oversized Crew BLK XXS</t>
        </is>
      </c>
      <c r="F2542" s="4" t="inlineStr">
        <is>
          <t>$118.00</t>
        </is>
      </c>
      <c r="G2542" s="4" t="inlineStr">
        <is>
          <t>$59.00</t>
        </is>
      </c>
      <c r="H2542" s="4" t="inlineStr">
        <is>
          <t>Black</t>
        </is>
      </c>
      <c r="I2542" s="4">
        <f>IMAGE("https://images.lululemon.com/is/image/lululemon/0001",1)</f>
        <v/>
      </c>
      <c r="J2542" s="4" t="inlineStr">
        <is>
          <t>L</t>
        </is>
      </c>
      <c r="K2542" s="4" t="inlineStr">
        <is>
          <t>80/1735</t>
        </is>
      </c>
      <c r="L2542" s="4" t="inlineStr">
        <is>
          <t>Yes</t>
        </is>
      </c>
      <c r="M2542" s="4" t="inlineStr">
        <is>
          <t>A reimagined classic. This fleece crewneck puts softness first, so you can bring comfort wherever you go.</t>
        </is>
      </c>
      <c r="N2542" s="4" t="inlineStr">
        <is>
          <t>Womens-Steady-State-Crew</t>
        </is>
      </c>
      <c r="O2542" s="4" t="inlineStr">
        <is>
          <t>Crewneck Sweatshirts</t>
        </is>
      </c>
    </row>
    <row r="2543" ht="80" customHeight="1">
      <c r="A2543" s="7">
        <f>IMAGE("https://images.lululemon.com/is/image/lululemon/LW3KCQS_033454_1?wid=320&amp;op_usm=0.8",1)</f>
        <v/>
      </c>
      <c r="B2543" s="7" t="inlineStr">
        <is>
          <t>Women's Steady State Crew</t>
        </is>
      </c>
      <c r="C2543" s="7" t="inlineStr">
        <is>
          <t>158034192</t>
        </is>
      </c>
      <c r="D2543" s="7" t="inlineStr">
        <is>
          <t>158034192-black</t>
        </is>
      </c>
      <c r="E2543" s="7" t="inlineStr">
        <is>
          <t>W Steady State Oversized Crew BLK XXS</t>
        </is>
      </c>
      <c r="F2543" s="7" t="inlineStr">
        <is>
          <t>$118.00</t>
        </is>
      </c>
      <c r="G2543" s="7" t="inlineStr">
        <is>
          <t>$59.00</t>
        </is>
      </c>
      <c r="H2543" s="7" t="inlineStr">
        <is>
          <t>Black</t>
        </is>
      </c>
      <c r="I2543" s="7">
        <f>IMAGE("https://images.lululemon.com/is/image/lululemon/0001",1)</f>
        <v/>
      </c>
      <c r="J2543" s="7" t="inlineStr">
        <is>
          <t>XL</t>
        </is>
      </c>
      <c r="K2543" s="7" t="inlineStr">
        <is>
          <t>50/1735</t>
        </is>
      </c>
      <c r="L2543" s="7" t="inlineStr">
        <is>
          <t>Yes</t>
        </is>
      </c>
      <c r="M2543" s="7" t="inlineStr">
        <is>
          <t>A reimagined classic. This fleece crewneck puts softness first, so you can bring comfort wherever you go.</t>
        </is>
      </c>
      <c r="N2543" s="7" t="inlineStr">
        <is>
          <t>Womens-Steady-State-Crew</t>
        </is>
      </c>
      <c r="O2543" s="7" t="inlineStr">
        <is>
          <t>Crewneck Sweatshirts</t>
        </is>
      </c>
    </row>
    <row r="2544" ht="80" customHeight="1">
      <c r="A2544" s="4">
        <f>IMAGE("https://images.lululemon.com/is/image/lululemon/LW3KCQS_033454_1?wid=320&amp;op_usm=0.8",1)</f>
        <v/>
      </c>
      <c r="B2544" s="4" t="inlineStr">
        <is>
          <t>Women's Steady State Crew</t>
        </is>
      </c>
      <c r="C2544" s="4" t="inlineStr">
        <is>
          <t>158034700</t>
        </is>
      </c>
      <c r="D2544" s="4" t="inlineStr">
        <is>
          <t>158034700-lightivory</t>
        </is>
      </c>
      <c r="E2544" s="4" t="inlineStr">
        <is>
          <t>W Steady State Oversized Crew BLK XXS</t>
        </is>
      </c>
      <c r="F2544" s="4" t="inlineStr">
        <is>
          <t>$118.00</t>
        </is>
      </c>
      <c r="G2544" s="4" t="inlineStr">
        <is>
          <t>$59.00</t>
        </is>
      </c>
      <c r="H2544" s="4" t="inlineStr">
        <is>
          <t>Light Ivory</t>
        </is>
      </c>
      <c r="I2544" s="4">
        <f>IMAGE("https://images.lululemon.com/is/image/lululemon/33454",1)</f>
        <v/>
      </c>
      <c r="J2544" s="4" t="inlineStr">
        <is>
          <t>XS</t>
        </is>
      </c>
      <c r="K2544" s="4" t="inlineStr">
        <is>
          <t>223/1735</t>
        </is>
      </c>
      <c r="L2544" s="4" t="inlineStr">
        <is>
          <t>Yes</t>
        </is>
      </c>
      <c r="M2544" s="4" t="inlineStr">
        <is>
          <t>A reimagined classic. This fleece crewneck puts softness first, so you can bring comfort wherever you go.</t>
        </is>
      </c>
      <c r="N2544" s="4" t="inlineStr">
        <is>
          <t>Womens-Steady-State-Crew</t>
        </is>
      </c>
      <c r="O2544" s="4" t="inlineStr">
        <is>
          <t>Crewneck Sweatshirts</t>
        </is>
      </c>
    </row>
    <row r="2545" ht="80" customHeight="1">
      <c r="A2545" s="7">
        <f>IMAGE("https://images.lululemon.com/is/image/lululemon/LW3KCQS_033454_1?wid=320&amp;op_usm=0.8",1)</f>
        <v/>
      </c>
      <c r="B2545" s="7" t="inlineStr">
        <is>
          <t>Women's Steady State Crew</t>
        </is>
      </c>
      <c r="C2545" s="7" t="inlineStr">
        <is>
          <t>158034691</t>
        </is>
      </c>
      <c r="D2545" s="7" t="inlineStr">
        <is>
          <t>158034691-lightivory</t>
        </is>
      </c>
      <c r="E2545" s="7" t="inlineStr">
        <is>
          <t>W Steady State Oversized Crew BLK XXS</t>
        </is>
      </c>
      <c r="F2545" s="7" t="inlineStr">
        <is>
          <t>$118.00</t>
        </is>
      </c>
      <c r="G2545" s="7" t="inlineStr">
        <is>
          <t>$59.00</t>
        </is>
      </c>
      <c r="H2545" s="7" t="inlineStr">
        <is>
          <t>Light Ivory</t>
        </is>
      </c>
      <c r="I2545" s="7">
        <f>IMAGE("https://images.lululemon.com/is/image/lululemon/33454",1)</f>
        <v/>
      </c>
      <c r="J2545" s="7" t="inlineStr">
        <is>
          <t>S</t>
        </is>
      </c>
      <c r="K2545" s="7" t="inlineStr">
        <is>
          <t>194/1735</t>
        </is>
      </c>
      <c r="L2545" s="7" t="inlineStr">
        <is>
          <t>Yes</t>
        </is>
      </c>
      <c r="M2545" s="7" t="inlineStr">
        <is>
          <t>A reimagined classic. This fleece crewneck puts softness first, so you can bring comfort wherever you go.</t>
        </is>
      </c>
      <c r="N2545" s="7" t="inlineStr">
        <is>
          <t>Womens-Steady-State-Crew</t>
        </is>
      </c>
      <c r="O2545" s="7" t="inlineStr">
        <is>
          <t>Crewneck Sweatshirts</t>
        </is>
      </c>
    </row>
    <row r="2546" ht="80" customHeight="1">
      <c r="A2546" s="4">
        <f>IMAGE("https://images.lululemon.com/is/image/lululemon/LW3KCQS_033454_1?wid=320&amp;op_usm=0.8",1)</f>
        <v/>
      </c>
      <c r="B2546" s="4" t="inlineStr">
        <is>
          <t>Women's Steady State Crew</t>
        </is>
      </c>
      <c r="C2546" s="4" t="inlineStr">
        <is>
          <t>158034687</t>
        </is>
      </c>
      <c r="D2546" s="4" t="inlineStr">
        <is>
          <t>158034687-lightivory</t>
        </is>
      </c>
      <c r="E2546" s="4" t="inlineStr">
        <is>
          <t>W Steady State Oversized Crew BLK XXS</t>
        </is>
      </c>
      <c r="F2546" s="4" t="inlineStr">
        <is>
          <t>$118.00</t>
        </is>
      </c>
      <c r="G2546" s="4" t="inlineStr">
        <is>
          <t>$59.00</t>
        </is>
      </c>
      <c r="H2546" s="4" t="inlineStr">
        <is>
          <t>Light Ivory</t>
        </is>
      </c>
      <c r="I2546" s="4">
        <f>IMAGE("https://images.lululemon.com/is/image/lululemon/33454",1)</f>
        <v/>
      </c>
      <c r="J2546" s="4" t="inlineStr">
        <is>
          <t>M</t>
        </is>
      </c>
      <c r="K2546" s="4" t="inlineStr">
        <is>
          <t>119/1735</t>
        </is>
      </c>
      <c r="L2546" s="4" t="inlineStr">
        <is>
          <t>Yes</t>
        </is>
      </c>
      <c r="M2546" s="4" t="inlineStr">
        <is>
          <t>A reimagined classic. This fleece crewneck puts softness first, so you can bring comfort wherever you go.</t>
        </is>
      </c>
      <c r="N2546" s="4" t="inlineStr">
        <is>
          <t>Womens-Steady-State-Crew</t>
        </is>
      </c>
      <c r="O2546" s="4" t="inlineStr">
        <is>
          <t>Crewneck Sweatshirts</t>
        </is>
      </c>
    </row>
    <row r="2547" ht="80" customHeight="1">
      <c r="A2547" s="7">
        <f>IMAGE("https://images.lululemon.com/is/image/lululemon/LW3KCQS_033454_1?wid=320&amp;op_usm=0.8",1)</f>
        <v/>
      </c>
      <c r="B2547" s="7" t="inlineStr">
        <is>
          <t>Women's Steady State Crew</t>
        </is>
      </c>
      <c r="C2547" s="7" t="inlineStr">
        <is>
          <t>158034681</t>
        </is>
      </c>
      <c r="D2547" s="7" t="inlineStr">
        <is>
          <t>158034681-lightivory</t>
        </is>
      </c>
      <c r="E2547" s="7" t="inlineStr">
        <is>
          <t>W Steady State Oversized Crew BLK XXS</t>
        </is>
      </c>
      <c r="F2547" s="7" t="inlineStr">
        <is>
          <t>$118.00</t>
        </is>
      </c>
      <c r="G2547" s="7" t="inlineStr">
        <is>
          <t>$59.00</t>
        </is>
      </c>
      <c r="H2547" s="7" t="inlineStr">
        <is>
          <t>Light Ivory</t>
        </is>
      </c>
      <c r="I2547" s="7">
        <f>IMAGE("https://images.lululemon.com/is/image/lululemon/33454",1)</f>
        <v/>
      </c>
      <c r="J2547" s="7" t="inlineStr">
        <is>
          <t>L</t>
        </is>
      </c>
      <c r="K2547" s="7" t="inlineStr">
        <is>
          <t>74/1735</t>
        </is>
      </c>
      <c r="L2547" s="7" t="inlineStr">
        <is>
          <t>Yes</t>
        </is>
      </c>
      <c r="M2547" s="7" t="inlineStr">
        <is>
          <t>A reimagined classic. This fleece crewneck puts softness first, so you can bring comfort wherever you go.</t>
        </is>
      </c>
      <c r="N2547" s="7" t="inlineStr">
        <is>
          <t>Womens-Steady-State-Crew</t>
        </is>
      </c>
      <c r="O2547" s="7" t="inlineStr">
        <is>
          <t>Crewneck Sweatshirts</t>
        </is>
      </c>
    </row>
    <row r="2548" ht="80" customHeight="1">
      <c r="A2548" s="4">
        <f>IMAGE("https://images.lululemon.com/is/image/lululemon/LW3KCQS_033454_1?wid=320&amp;op_usm=0.8",1)</f>
        <v/>
      </c>
      <c r="B2548" s="4" t="inlineStr">
        <is>
          <t>Women's Steady State Crew</t>
        </is>
      </c>
      <c r="C2548" s="4" t="inlineStr">
        <is>
          <t>158034695</t>
        </is>
      </c>
      <c r="D2548" s="4" t="inlineStr">
        <is>
          <t>158034695-lightivory</t>
        </is>
      </c>
      <c r="E2548" s="4" t="inlineStr">
        <is>
          <t>W Steady State Oversized Crew BLK XXS</t>
        </is>
      </c>
      <c r="F2548" s="4" t="inlineStr">
        <is>
          <t>$118.00</t>
        </is>
      </c>
      <c r="G2548" s="4" t="inlineStr">
        <is>
          <t>$59.00</t>
        </is>
      </c>
      <c r="H2548" s="4" t="inlineStr">
        <is>
          <t>Light Ivory</t>
        </is>
      </c>
      <c r="I2548" s="4">
        <f>IMAGE("https://images.lululemon.com/is/image/lululemon/33454",1)</f>
        <v/>
      </c>
      <c r="J2548" s="4" t="inlineStr">
        <is>
          <t>XL</t>
        </is>
      </c>
      <c r="K2548" s="4" t="inlineStr">
        <is>
          <t>57/1735</t>
        </is>
      </c>
      <c r="L2548" s="4" t="inlineStr">
        <is>
          <t>Yes</t>
        </is>
      </c>
      <c r="M2548" s="4" t="inlineStr">
        <is>
          <t>A reimagined classic. This fleece crewneck puts softness first, so you can bring comfort wherever you go.</t>
        </is>
      </c>
      <c r="N2548" s="4" t="inlineStr">
        <is>
          <t>Womens-Steady-State-Crew</t>
        </is>
      </c>
      <c r="O2548" s="4" t="inlineStr">
        <is>
          <t>Crewneck Sweatshirts</t>
        </is>
      </c>
    </row>
    <row r="2549" ht="80" customHeight="1">
      <c r="A2549" s="7">
        <f>IMAGE("https://images.lululemon.com/is/image/lululemon/LW3KCQS_033454_1?wid=320&amp;op_usm=0.8",1)</f>
        <v/>
      </c>
      <c r="B2549" s="7" t="inlineStr">
        <is>
          <t>Women's Steady State Crew</t>
        </is>
      </c>
      <c r="C2549" s="7" t="inlineStr">
        <is>
          <t>158034575</t>
        </is>
      </c>
      <c r="D2549" s="7" t="inlineStr">
        <is>
          <t>158034575-grapemist</t>
        </is>
      </c>
      <c r="E2549" s="7" t="inlineStr">
        <is>
          <t>W Steady State Oversized Crew BLK XXS</t>
        </is>
      </c>
      <c r="F2549" s="7" t="inlineStr">
        <is>
          <t>$118.00</t>
        </is>
      </c>
      <c r="G2549" s="7" t="inlineStr">
        <is>
          <t>$59.00</t>
        </is>
      </c>
      <c r="H2549" s="7" t="inlineStr">
        <is>
          <t>Grape Mist</t>
        </is>
      </c>
      <c r="I2549" s="7">
        <f>IMAGE("https://images.lululemon.com/is/image/lululemon/0554",1)</f>
        <v/>
      </c>
      <c r="J2549" s="7" t="inlineStr">
        <is>
          <t>XS</t>
        </is>
      </c>
      <c r="K2549" s="7" t="inlineStr">
        <is>
          <t>149/1735</t>
        </is>
      </c>
      <c r="L2549" s="7" t="inlineStr">
        <is>
          <t>Yes</t>
        </is>
      </c>
      <c r="M2549" s="7" t="inlineStr">
        <is>
          <t>A reimagined classic. This fleece crewneck puts softness first, so you can bring comfort wherever you go.</t>
        </is>
      </c>
      <c r="N2549" s="7" t="inlineStr">
        <is>
          <t>Womens-Steady-State-Crew</t>
        </is>
      </c>
      <c r="O2549" s="7" t="inlineStr">
        <is>
          <t>Crewneck Sweatshirts</t>
        </is>
      </c>
    </row>
    <row r="2550" ht="80" customHeight="1">
      <c r="A2550" s="4">
        <f>IMAGE("https://images.lululemon.com/is/image/lululemon/LW3KCQS_033454_1?wid=320&amp;op_usm=0.8",1)</f>
        <v/>
      </c>
      <c r="B2550" s="4" t="inlineStr">
        <is>
          <t>Women's Steady State Crew</t>
        </is>
      </c>
      <c r="C2550" s="4" t="inlineStr">
        <is>
          <t>158034564</t>
        </is>
      </c>
      <c r="D2550" s="4" t="inlineStr">
        <is>
          <t>158034564-grapemist</t>
        </is>
      </c>
      <c r="E2550" s="4" t="inlineStr">
        <is>
          <t>W Steady State Oversized Crew BLK XXS</t>
        </is>
      </c>
      <c r="F2550" s="4" t="inlineStr">
        <is>
          <t>$118.00</t>
        </is>
      </c>
      <c r="G2550" s="4" t="inlineStr">
        <is>
          <t>$59.00</t>
        </is>
      </c>
      <c r="H2550" s="4" t="inlineStr">
        <is>
          <t>Grape Mist</t>
        </is>
      </c>
      <c r="I2550" s="4">
        <f>IMAGE("https://images.lululemon.com/is/image/lululemon/0554",1)</f>
        <v/>
      </c>
      <c r="J2550" s="4" t="inlineStr">
        <is>
          <t>S</t>
        </is>
      </c>
      <c r="K2550" s="4" t="inlineStr">
        <is>
          <t>127/1735</t>
        </is>
      </c>
      <c r="L2550" s="4" t="inlineStr">
        <is>
          <t>Yes</t>
        </is>
      </c>
      <c r="M2550" s="4" t="inlineStr">
        <is>
          <t>A reimagined classic. This fleece crewneck puts softness first, so you can bring comfort wherever you go.</t>
        </is>
      </c>
      <c r="N2550" s="4" t="inlineStr">
        <is>
          <t>Womens-Steady-State-Crew</t>
        </is>
      </c>
      <c r="O2550" s="4" t="inlineStr">
        <is>
          <t>Crewneck Sweatshirts</t>
        </is>
      </c>
    </row>
    <row r="2551" ht="80" customHeight="1">
      <c r="A2551" s="7">
        <f>IMAGE("https://images.lululemon.com/is/image/lululemon/LW3KCQS_033454_1?wid=320&amp;op_usm=0.8",1)</f>
        <v/>
      </c>
      <c r="B2551" s="7" t="inlineStr">
        <is>
          <t>Women's Steady State Crew</t>
        </is>
      </c>
      <c r="C2551" s="7" t="inlineStr">
        <is>
          <t>158034558</t>
        </is>
      </c>
      <c r="D2551" s="7" t="inlineStr">
        <is>
          <t>158034558-grapemist</t>
        </is>
      </c>
      <c r="E2551" s="7" t="inlineStr">
        <is>
          <t>W Steady State Oversized Crew BLK XXS</t>
        </is>
      </c>
      <c r="F2551" s="7" t="inlineStr">
        <is>
          <t>$118.00</t>
        </is>
      </c>
      <c r="G2551" s="7" t="inlineStr">
        <is>
          <t>$59.00</t>
        </is>
      </c>
      <c r="H2551" s="7" t="inlineStr">
        <is>
          <t>Grape Mist</t>
        </is>
      </c>
      <c r="I2551" s="7">
        <f>IMAGE("https://images.lululemon.com/is/image/lululemon/0554",1)</f>
        <v/>
      </c>
      <c r="J2551" s="7" t="inlineStr">
        <is>
          <t>M</t>
        </is>
      </c>
      <c r="K2551" s="7" t="inlineStr">
        <is>
          <t>79/1735</t>
        </is>
      </c>
      <c r="L2551" s="7" t="inlineStr">
        <is>
          <t>Yes</t>
        </is>
      </c>
      <c r="M2551" s="7" t="inlineStr">
        <is>
          <t>A reimagined classic. This fleece crewneck puts softness first, so you can bring comfort wherever you go.</t>
        </is>
      </c>
      <c r="N2551" s="7" t="inlineStr">
        <is>
          <t>Womens-Steady-State-Crew</t>
        </is>
      </c>
      <c r="O2551" s="7" t="inlineStr">
        <is>
          <t>Crewneck Sweatshirts</t>
        </is>
      </c>
    </row>
    <row r="2552" ht="80" customHeight="1">
      <c r="A2552" s="4">
        <f>IMAGE("https://images.lululemon.com/is/image/lululemon/LW3KCQS_033454_1?wid=320&amp;op_usm=0.8",1)</f>
        <v/>
      </c>
      <c r="B2552" s="4" t="inlineStr">
        <is>
          <t>Women's Steady State Crew</t>
        </is>
      </c>
      <c r="C2552" s="4" t="inlineStr">
        <is>
          <t>158034552</t>
        </is>
      </c>
      <c r="D2552" s="4" t="inlineStr">
        <is>
          <t>158034552-grapemist</t>
        </is>
      </c>
      <c r="E2552" s="4" t="inlineStr">
        <is>
          <t>W Steady State Oversized Crew BLK XXS</t>
        </is>
      </c>
      <c r="F2552" s="4" t="inlineStr">
        <is>
          <t>$118.00</t>
        </is>
      </c>
      <c r="G2552" s="4" t="inlineStr">
        <is>
          <t>$59.00</t>
        </is>
      </c>
      <c r="H2552" s="4" t="inlineStr">
        <is>
          <t>Grape Mist</t>
        </is>
      </c>
      <c r="I2552" s="4">
        <f>IMAGE("https://images.lululemon.com/is/image/lululemon/0554",1)</f>
        <v/>
      </c>
      <c r="J2552" s="4" t="inlineStr">
        <is>
          <t>L</t>
        </is>
      </c>
      <c r="K2552" s="4" t="inlineStr">
        <is>
          <t>48/1735</t>
        </is>
      </c>
      <c r="L2552" s="4" t="inlineStr">
        <is>
          <t>Yes</t>
        </is>
      </c>
      <c r="M2552" s="4" t="inlineStr">
        <is>
          <t>A reimagined classic. This fleece crewneck puts softness first, so you can bring comfort wherever you go.</t>
        </is>
      </c>
      <c r="N2552" s="4" t="inlineStr">
        <is>
          <t>Womens-Steady-State-Crew</t>
        </is>
      </c>
      <c r="O2552" s="4" t="inlineStr">
        <is>
          <t>Crewneck Sweatshirts</t>
        </is>
      </c>
    </row>
    <row r="2553" ht="80" customHeight="1">
      <c r="A2553" s="5">
        <f>IMAGE("https://images.lululemon.com/is/image/lululemon/LW3KCQS_033454_1?wid=320&amp;op_usm=0.8",1)</f>
        <v/>
      </c>
      <c r="B2553" s="5" t="inlineStr">
        <is>
          <t>Women's Steady State Crew</t>
        </is>
      </c>
      <c r="C2553" s="5" t="inlineStr">
        <is>
          <t>158034568</t>
        </is>
      </c>
      <c r="D2553" s="5" t="inlineStr">
        <is>
          <t>158034568-grapemist</t>
        </is>
      </c>
      <c r="E2553" s="5" t="inlineStr">
        <is>
          <t>W Steady State Oversized Crew BLK XXS</t>
        </is>
      </c>
      <c r="F2553" s="5" t="inlineStr">
        <is>
          <t>$118.00</t>
        </is>
      </c>
      <c r="G2553" s="5" t="inlineStr">
        <is>
          <t>$59.00</t>
        </is>
      </c>
      <c r="H2553" s="5" t="inlineStr">
        <is>
          <t>Grape Mist</t>
        </is>
      </c>
      <c r="I2553" s="5">
        <f>IMAGE("https://images.lululemon.com/is/image/lululemon/0554",1)</f>
        <v/>
      </c>
      <c r="J2553" s="5" t="inlineStr">
        <is>
          <t>XL</t>
        </is>
      </c>
      <c r="K2553" s="5" t="inlineStr">
        <is>
          <t>36/1735</t>
        </is>
      </c>
      <c r="L2553" s="5" t="inlineStr">
        <is>
          <t>Yes</t>
        </is>
      </c>
      <c r="M2553" s="5" t="inlineStr">
        <is>
          <t>A reimagined classic. This fleece crewneck puts softness first, so you can bring comfort wherever you go.</t>
        </is>
      </c>
      <c r="N2553" s="5" t="inlineStr">
        <is>
          <t>Womens-Steady-State-Crew</t>
        </is>
      </c>
      <c r="O2553" s="5" t="inlineStr">
        <is>
          <t>Crewneck Sweatshirts</t>
        </is>
      </c>
    </row>
    <row r="2554" ht="80" customHeight="1">
      <c r="A2554" s="6">
        <f>IMAGE("https://images.lululemon.com/is/image/lululemon/LU9CLXS_0001_1?wid=320&amp;op_usm=0.8",1)</f>
        <v/>
      </c>
      <c r="B2554" s="6" t="inlineStr">
        <is>
          <t>License to Train Wide Headband</t>
        </is>
      </c>
      <c r="C2554" s="6" t="inlineStr">
        <is>
          <t>153835510</t>
        </is>
      </c>
      <c r="D2554" s="6" t="inlineStr">
        <is>
          <t>153835510-black</t>
        </is>
      </c>
      <c r="E2554" s="6" t="inlineStr">
        <is>
          <t>License To Train Wide Headband BLK ONE SIZE</t>
        </is>
      </c>
      <c r="F2554" s="6" t="inlineStr">
        <is>
          <t>$18.00</t>
        </is>
      </c>
      <c r="G2554" s="6" t="inlineStr">
        <is>
          <t>$9.00</t>
        </is>
      </c>
      <c r="H2554" s="6" t="inlineStr">
        <is>
          <t>Black</t>
        </is>
      </c>
      <c r="I2554" s="6">
        <f>IMAGE("https://images.lululemon.com/is/image/lululemon/0001",1)</f>
        <v/>
      </c>
      <c r="J2554" s="6" t="inlineStr">
        <is>
          <t>O/S</t>
        </is>
      </c>
      <c r="K2554" s="6" t="inlineStr">
        <is>
          <t>409/409</t>
        </is>
      </c>
      <c r="L2554" s="6" t="inlineStr">
        <is>
          <t>Yes</t>
        </is>
      </c>
      <c r="M2554" s="6" t="inlineStr">
        <is>
          <t>High performance means no distractions. Keep your hair off your face, sweat out of your eyes, and the focus on your workout with this wide headband.</t>
        </is>
      </c>
      <c r="N2554" s="6" t="inlineStr">
        <is>
          <t>License-to-Train-Wide-Headband</t>
        </is>
      </c>
      <c r="O2554" s="6" t="inlineStr">
        <is>
          <t>Headbands</t>
        </is>
      </c>
    </row>
    <row r="2555" ht="80" customHeight="1">
      <c r="A2555" s="7">
        <f>IMAGE("https://images.lululemon.com/is/image/lululemon/LW3JA6S_0001_1?wid=320&amp;op_usm=0.8",1)</f>
        <v/>
      </c>
      <c r="B2555" s="7" t="inlineStr">
        <is>
          <t>Hold Tight Long-Sleeve Shirt</t>
        </is>
      </c>
      <c r="C2555" s="7" t="inlineStr">
        <is>
          <t>155700584</t>
        </is>
      </c>
      <c r="D2555" s="7" t="inlineStr">
        <is>
          <t>155700584-black</t>
        </is>
      </c>
      <c r="E2555" s="7" t="inlineStr">
        <is>
          <t>Hold Tight Long Sleeve BLK 2</t>
        </is>
      </c>
      <c r="F2555" s="7" t="inlineStr">
        <is>
          <t>$68.00</t>
        </is>
      </c>
      <c r="G2555" s="7" t="inlineStr">
        <is>
          <t>$34.00</t>
        </is>
      </c>
      <c r="H2555" s="7" t="inlineStr">
        <is>
          <t>Black</t>
        </is>
      </c>
      <c r="I2555" s="7">
        <f>IMAGE("https://images.lululemon.com/is/image/lululemon/0001",1)</f>
        <v/>
      </c>
      <c r="J2555" s="7" t="inlineStr">
        <is>
          <t>2</t>
        </is>
      </c>
      <c r="K2555" s="7" t="inlineStr">
        <is>
          <t>72/541</t>
        </is>
      </c>
      <c r="L2555" s="7" t="inlineStr">
        <is>
          <t>Yes</t>
        </is>
      </c>
      <c r="M2555" s="7" t="inlineStr">
        <is>
          <t>Super soft and loves to layer. This lightweight long sleeve delivers just-right stretch and a second-skin fit that wears well on its own or as a base.</t>
        </is>
      </c>
      <c r="N2555" s="7" t="inlineStr">
        <is>
          <t>Hold-Tight-Long-Sleeve</t>
        </is>
      </c>
      <c r="O2555" s="7" t="inlineStr"/>
    </row>
    <row r="2556" ht="80" customHeight="1">
      <c r="A2556" s="4">
        <f>IMAGE("https://images.lululemon.com/is/image/lululemon/LW3JA6S_0001_1?wid=320&amp;op_usm=0.8",1)</f>
        <v/>
      </c>
      <c r="B2556" s="4" t="inlineStr">
        <is>
          <t>Hold Tight Long-Sleeve Shirt</t>
        </is>
      </c>
      <c r="C2556" s="4" t="inlineStr">
        <is>
          <t>155700596</t>
        </is>
      </c>
      <c r="D2556" s="4" t="inlineStr">
        <is>
          <t>155700596-black</t>
        </is>
      </c>
      <c r="E2556" s="4" t="inlineStr">
        <is>
          <t>Hold Tight Long Sleeve BLK 2</t>
        </is>
      </c>
      <c r="F2556" s="4" t="inlineStr">
        <is>
          <t>$68.00</t>
        </is>
      </c>
      <c r="G2556" s="4" t="inlineStr">
        <is>
          <t>$34.00</t>
        </is>
      </c>
      <c r="H2556" s="4" t="inlineStr">
        <is>
          <t>Black</t>
        </is>
      </c>
      <c r="I2556" s="4">
        <f>IMAGE("https://images.lululemon.com/is/image/lululemon/0001",1)</f>
        <v/>
      </c>
      <c r="J2556" s="4" t="inlineStr">
        <is>
          <t>4</t>
        </is>
      </c>
      <c r="K2556" s="4" t="inlineStr">
        <is>
          <t>35/541</t>
        </is>
      </c>
      <c r="L2556" s="4" t="inlineStr">
        <is>
          <t>Yes</t>
        </is>
      </c>
      <c r="M2556" s="4" t="inlineStr">
        <is>
          <t>Super soft and loves to layer. This lightweight long sleeve delivers just-right stretch and a second-skin fit that wears well on its own or as a base.</t>
        </is>
      </c>
      <c r="N2556" s="4" t="inlineStr">
        <is>
          <t>Hold-Tight-Long-Sleeve</t>
        </is>
      </c>
      <c r="O2556" s="4" t="inlineStr"/>
    </row>
    <row r="2557" ht="80" customHeight="1">
      <c r="A2557" s="7">
        <f>IMAGE("https://images.lululemon.com/is/image/lululemon/LW3JA6S_0001_1?wid=320&amp;op_usm=0.8",1)</f>
        <v/>
      </c>
      <c r="B2557" s="7" t="inlineStr">
        <is>
          <t>Hold Tight Long-Sleeve Shirt</t>
        </is>
      </c>
      <c r="C2557" s="7" t="inlineStr">
        <is>
          <t>155700598</t>
        </is>
      </c>
      <c r="D2557" s="7" t="inlineStr">
        <is>
          <t>155700598-black</t>
        </is>
      </c>
      <c r="E2557" s="7" t="inlineStr">
        <is>
          <t>Hold Tight Long Sleeve BLK 2</t>
        </is>
      </c>
      <c r="F2557" s="7" t="inlineStr">
        <is>
          <t>$68.00</t>
        </is>
      </c>
      <c r="G2557" s="7" t="inlineStr">
        <is>
          <t>$34.00</t>
        </is>
      </c>
      <c r="H2557" s="7" t="inlineStr">
        <is>
          <t>Black</t>
        </is>
      </c>
      <c r="I2557" s="7">
        <f>IMAGE("https://images.lululemon.com/is/image/lululemon/0001",1)</f>
        <v/>
      </c>
      <c r="J2557" s="7" t="inlineStr">
        <is>
          <t>6</t>
        </is>
      </c>
      <c r="K2557" s="7" t="inlineStr">
        <is>
          <t>17/541</t>
        </is>
      </c>
      <c r="L2557" s="7" t="inlineStr">
        <is>
          <t>Yes</t>
        </is>
      </c>
      <c r="M2557" s="7" t="inlineStr">
        <is>
          <t>Super soft and loves to layer. This lightweight long sleeve delivers just-right stretch and a second-skin fit that wears well on its own or as a base.</t>
        </is>
      </c>
      <c r="N2557" s="7" t="inlineStr">
        <is>
          <t>Hold-Tight-Long-Sleeve</t>
        </is>
      </c>
      <c r="O2557" s="7" t="inlineStr"/>
    </row>
    <row r="2558" ht="80" customHeight="1">
      <c r="A2558" s="4">
        <f>IMAGE("https://images.lululemon.com/is/image/lululemon/LW3JA6S_0001_1?wid=320&amp;op_usm=0.8",1)</f>
        <v/>
      </c>
      <c r="B2558" s="4" t="inlineStr">
        <is>
          <t>Hold Tight Long-Sleeve Shirt</t>
        </is>
      </c>
      <c r="C2558" s="4" t="inlineStr">
        <is>
          <t>155700601</t>
        </is>
      </c>
      <c r="D2558" s="4" t="inlineStr">
        <is>
          <t>155700601-black</t>
        </is>
      </c>
      <c r="E2558" s="4" t="inlineStr">
        <is>
          <t>Hold Tight Long Sleeve BLK 2</t>
        </is>
      </c>
      <c r="F2558" s="4" t="inlineStr">
        <is>
          <t>$68.00</t>
        </is>
      </c>
      <c r="G2558" s="4" t="inlineStr">
        <is>
          <t>$34.00</t>
        </is>
      </c>
      <c r="H2558" s="4" t="inlineStr">
        <is>
          <t>Black</t>
        </is>
      </c>
      <c r="I2558" s="4">
        <f>IMAGE("https://images.lululemon.com/is/image/lululemon/0001",1)</f>
        <v/>
      </c>
      <c r="J2558" s="4" t="inlineStr">
        <is>
          <t>8</t>
        </is>
      </c>
      <c r="K2558" s="4" t="inlineStr">
        <is>
          <t>25/541</t>
        </is>
      </c>
      <c r="L2558" s="4" t="inlineStr">
        <is>
          <t>Yes</t>
        </is>
      </c>
      <c r="M2558" s="4" t="inlineStr">
        <is>
          <t>Super soft and loves to layer. This lightweight long sleeve delivers just-right stretch and a second-skin fit that wears well on its own or as a base.</t>
        </is>
      </c>
      <c r="N2558" s="4" t="inlineStr">
        <is>
          <t>Hold-Tight-Long-Sleeve</t>
        </is>
      </c>
      <c r="O2558" s="4" t="inlineStr"/>
    </row>
    <row r="2559" ht="80" customHeight="1">
      <c r="A2559" s="7">
        <f>IMAGE("https://images.lululemon.com/is/image/lululemon/LW3JA6S_0001_1?wid=320&amp;op_usm=0.8",1)</f>
        <v/>
      </c>
      <c r="B2559" s="7" t="inlineStr">
        <is>
          <t>Hold Tight Long-Sleeve Shirt</t>
        </is>
      </c>
      <c r="C2559" s="7" t="inlineStr">
        <is>
          <t>155700570</t>
        </is>
      </c>
      <c r="D2559" s="7" t="inlineStr">
        <is>
          <t>155700570-black</t>
        </is>
      </c>
      <c r="E2559" s="7" t="inlineStr">
        <is>
          <t>Hold Tight Long Sleeve BLK 2</t>
        </is>
      </c>
      <c r="F2559" s="7" t="inlineStr">
        <is>
          <t>$68.00</t>
        </is>
      </c>
      <c r="G2559" s="7" t="inlineStr">
        <is>
          <t>$34.00</t>
        </is>
      </c>
      <c r="H2559" s="7" t="inlineStr">
        <is>
          <t>Black</t>
        </is>
      </c>
      <c r="I2559" s="7">
        <f>IMAGE("https://images.lululemon.com/is/image/lululemon/0001",1)</f>
        <v/>
      </c>
      <c r="J2559" s="7" t="inlineStr">
        <is>
          <t>10</t>
        </is>
      </c>
      <c r="K2559" s="7" t="inlineStr">
        <is>
          <t>16/541</t>
        </is>
      </c>
      <c r="L2559" s="7" t="inlineStr">
        <is>
          <t>Yes</t>
        </is>
      </c>
      <c r="M2559" s="7" t="inlineStr">
        <is>
          <t>Super soft and loves to layer. This lightweight long sleeve delivers just-right stretch and a second-skin fit that wears well on its own or as a base.</t>
        </is>
      </c>
      <c r="N2559" s="7" t="inlineStr">
        <is>
          <t>Hold-Tight-Long-Sleeve</t>
        </is>
      </c>
      <c r="O2559" s="7" t="inlineStr"/>
    </row>
    <row r="2560" ht="80" customHeight="1">
      <c r="A2560" s="4">
        <f>IMAGE("https://images.lululemon.com/is/image/lululemon/LW3JA6S_0001_1?wid=320&amp;op_usm=0.8",1)</f>
        <v/>
      </c>
      <c r="B2560" s="4" t="inlineStr">
        <is>
          <t>Hold Tight Long-Sleeve Shirt</t>
        </is>
      </c>
      <c r="C2560" s="4" t="inlineStr">
        <is>
          <t>158018921</t>
        </is>
      </c>
      <c r="D2560" s="4" t="inlineStr">
        <is>
          <t>158018921-dovegrey</t>
        </is>
      </c>
      <c r="E2560" s="4" t="inlineStr">
        <is>
          <t>Hold Tight Long Sleeve BLK 2</t>
        </is>
      </c>
      <c r="F2560" s="4" t="inlineStr">
        <is>
          <t>$68.00</t>
        </is>
      </c>
      <c r="G2560" s="4" t="inlineStr">
        <is>
          <t>$34.00</t>
        </is>
      </c>
      <c r="H2560" s="4" t="inlineStr">
        <is>
          <t>Dove Grey</t>
        </is>
      </c>
      <c r="I2560" s="4">
        <f>IMAGE("https://images.lululemon.com/is/image/lululemon/36865",1)</f>
        <v/>
      </c>
      <c r="J2560" s="4" t="inlineStr">
        <is>
          <t>2</t>
        </is>
      </c>
      <c r="K2560" s="4" t="inlineStr">
        <is>
          <t>41/541</t>
        </is>
      </c>
      <c r="L2560" s="4" t="inlineStr">
        <is>
          <t>Yes</t>
        </is>
      </c>
      <c r="M2560" s="4" t="inlineStr">
        <is>
          <t>Super soft and loves to layer. This lightweight long sleeve delivers just-right stretch and a second-skin fit that wears well on its own or as a base.</t>
        </is>
      </c>
      <c r="N2560" s="4" t="inlineStr">
        <is>
          <t>Hold-Tight-Long-Sleeve</t>
        </is>
      </c>
      <c r="O2560" s="4" t="inlineStr"/>
    </row>
    <row r="2561" ht="80" customHeight="1">
      <c r="A2561" s="7">
        <f>IMAGE("https://images.lululemon.com/is/image/lululemon/LW3JA6S_0001_1?wid=320&amp;op_usm=0.8",1)</f>
        <v/>
      </c>
      <c r="B2561" s="7" t="inlineStr">
        <is>
          <t>Hold Tight Long-Sleeve Shirt</t>
        </is>
      </c>
      <c r="C2561" s="7" t="inlineStr">
        <is>
          <t>158018948</t>
        </is>
      </c>
      <c r="D2561" s="7" t="inlineStr">
        <is>
          <t>158018948-dovegrey</t>
        </is>
      </c>
      <c r="E2561" s="7" t="inlineStr">
        <is>
          <t>Hold Tight Long Sleeve BLK 2</t>
        </is>
      </c>
      <c r="F2561" s="7" t="inlineStr">
        <is>
          <t>$68.00</t>
        </is>
      </c>
      <c r="G2561" s="7" t="inlineStr">
        <is>
          <t>$34.00</t>
        </is>
      </c>
      <c r="H2561" s="7" t="inlineStr">
        <is>
          <t>Dove Grey</t>
        </is>
      </c>
      <c r="I2561" s="7">
        <f>IMAGE("https://images.lululemon.com/is/image/lululemon/36865",1)</f>
        <v/>
      </c>
      <c r="J2561" s="7" t="inlineStr">
        <is>
          <t>4</t>
        </is>
      </c>
      <c r="K2561" s="7" t="inlineStr">
        <is>
          <t>82/541</t>
        </is>
      </c>
      <c r="L2561" s="7" t="inlineStr">
        <is>
          <t>Yes</t>
        </is>
      </c>
      <c r="M2561" s="7" t="inlineStr">
        <is>
          <t>Super soft and loves to layer. This lightweight long sleeve delivers just-right stretch and a second-skin fit that wears well on its own or as a base.</t>
        </is>
      </c>
      <c r="N2561" s="7" t="inlineStr">
        <is>
          <t>Hold-Tight-Long-Sleeve</t>
        </is>
      </c>
      <c r="O2561" s="7" t="inlineStr"/>
    </row>
    <row r="2562" ht="80" customHeight="1">
      <c r="A2562" s="4">
        <f>IMAGE("https://images.lululemon.com/is/image/lululemon/LW3JA6S_0001_1?wid=320&amp;op_usm=0.8",1)</f>
        <v/>
      </c>
      <c r="B2562" s="4" t="inlineStr">
        <is>
          <t>Hold Tight Long-Sleeve Shirt</t>
        </is>
      </c>
      <c r="C2562" s="4" t="inlineStr">
        <is>
          <t>158018962</t>
        </is>
      </c>
      <c r="D2562" s="4" t="inlineStr">
        <is>
          <t>158018962-dovegrey</t>
        </is>
      </c>
      <c r="E2562" s="4" t="inlineStr">
        <is>
          <t>Hold Tight Long Sleeve BLK 2</t>
        </is>
      </c>
      <c r="F2562" s="4" t="inlineStr">
        <is>
          <t>$68.00</t>
        </is>
      </c>
      <c r="G2562" s="4" t="inlineStr">
        <is>
          <t>$34.00</t>
        </is>
      </c>
      <c r="H2562" s="4" t="inlineStr">
        <is>
          <t>Dove Grey</t>
        </is>
      </c>
      <c r="I2562" s="4">
        <f>IMAGE("https://images.lululemon.com/is/image/lululemon/36865",1)</f>
        <v/>
      </c>
      <c r="J2562" s="4" t="inlineStr">
        <is>
          <t>6</t>
        </is>
      </c>
      <c r="K2562" s="4" t="inlineStr">
        <is>
          <t>99/541</t>
        </is>
      </c>
      <c r="L2562" s="4" t="inlineStr">
        <is>
          <t>Yes</t>
        </is>
      </c>
      <c r="M2562" s="4" t="inlineStr">
        <is>
          <t>Super soft and loves to layer. This lightweight long sleeve delivers just-right stretch and a second-skin fit that wears well on its own or as a base.</t>
        </is>
      </c>
      <c r="N2562" s="4" t="inlineStr">
        <is>
          <t>Hold-Tight-Long-Sleeve</t>
        </is>
      </c>
      <c r="O2562" s="4" t="inlineStr"/>
    </row>
    <row r="2563" ht="80" customHeight="1">
      <c r="A2563" s="7">
        <f>IMAGE("https://images.lululemon.com/is/image/lululemon/LW3JA6S_0001_1?wid=320&amp;op_usm=0.8",1)</f>
        <v/>
      </c>
      <c r="B2563" s="7" t="inlineStr">
        <is>
          <t>Hold Tight Long-Sleeve Shirt</t>
        </is>
      </c>
      <c r="C2563" s="7" t="inlineStr">
        <is>
          <t>158018975</t>
        </is>
      </c>
      <c r="D2563" s="7" t="inlineStr">
        <is>
          <t>158018975-dovegrey</t>
        </is>
      </c>
      <c r="E2563" s="7" t="inlineStr">
        <is>
          <t>Hold Tight Long Sleeve BLK 2</t>
        </is>
      </c>
      <c r="F2563" s="7" t="inlineStr">
        <is>
          <t>$68.00</t>
        </is>
      </c>
      <c r="G2563" s="7" t="inlineStr">
        <is>
          <t>$34.00</t>
        </is>
      </c>
      <c r="H2563" s="7" t="inlineStr">
        <is>
          <t>Dove Grey</t>
        </is>
      </c>
      <c r="I2563" s="7">
        <f>IMAGE("https://images.lululemon.com/is/image/lululemon/36865",1)</f>
        <v/>
      </c>
      <c r="J2563" s="7" t="inlineStr">
        <is>
          <t>8</t>
        </is>
      </c>
      <c r="K2563" s="7" t="inlineStr">
        <is>
          <t>83/541</t>
        </is>
      </c>
      <c r="L2563" s="7" t="inlineStr">
        <is>
          <t>Yes</t>
        </is>
      </c>
      <c r="M2563" s="7" t="inlineStr">
        <is>
          <t>Super soft and loves to layer. This lightweight long sleeve delivers just-right stretch and a second-skin fit that wears well on its own or as a base.</t>
        </is>
      </c>
      <c r="N2563" s="7" t="inlineStr">
        <is>
          <t>Hold-Tight-Long-Sleeve</t>
        </is>
      </c>
      <c r="O2563" s="7" t="inlineStr"/>
    </row>
    <row r="2564" ht="80" customHeight="1">
      <c r="A2564" s="4">
        <f>IMAGE("https://images.lululemon.com/is/image/lululemon/LW3JA6S_0001_1?wid=320&amp;op_usm=0.8",1)</f>
        <v/>
      </c>
      <c r="B2564" s="4" t="inlineStr">
        <is>
          <t>Hold Tight Long-Sleeve Shirt</t>
        </is>
      </c>
      <c r="C2564" s="4" t="inlineStr">
        <is>
          <t>158018854</t>
        </is>
      </c>
      <c r="D2564" s="4" t="inlineStr">
        <is>
          <t>158018854-dovegrey</t>
        </is>
      </c>
      <c r="E2564" s="4" t="inlineStr">
        <is>
          <t>Hold Tight Long Sleeve BLK 2</t>
        </is>
      </c>
      <c r="F2564" s="4" t="inlineStr">
        <is>
          <t>$68.00</t>
        </is>
      </c>
      <c r="G2564" s="4" t="inlineStr">
        <is>
          <t>$34.00</t>
        </is>
      </c>
      <c r="H2564" s="4" t="inlineStr">
        <is>
          <t>Dove Grey</t>
        </is>
      </c>
      <c r="I2564" s="4">
        <f>IMAGE("https://images.lululemon.com/is/image/lululemon/36865",1)</f>
        <v/>
      </c>
      <c r="J2564" s="4" t="inlineStr">
        <is>
          <t>10</t>
        </is>
      </c>
      <c r="K2564" s="4" t="inlineStr">
        <is>
          <t>47/541</t>
        </is>
      </c>
      <c r="L2564" s="4" t="inlineStr">
        <is>
          <t>Yes</t>
        </is>
      </c>
      <c r="M2564" s="4" t="inlineStr">
        <is>
          <t>Super soft and loves to layer. This lightweight long sleeve delivers just-right stretch and a second-skin fit that wears well on its own or as a base.</t>
        </is>
      </c>
      <c r="N2564" s="4" t="inlineStr">
        <is>
          <t>Hold-Tight-Long-Sleeve</t>
        </is>
      </c>
      <c r="O2564" s="4" t="inlineStr"/>
    </row>
    <row r="2565" ht="80" customHeight="1">
      <c r="A2565" s="5">
        <f>IMAGE("https://images.lululemon.com/is/image/lululemon/LW3JA6S_0001_1?wid=320&amp;op_usm=0.8",1)</f>
        <v/>
      </c>
      <c r="B2565" s="5" t="inlineStr">
        <is>
          <t>Hold Tight Long-Sleeve Shirt</t>
        </is>
      </c>
      <c r="C2565" s="5" t="inlineStr">
        <is>
          <t>158018869</t>
        </is>
      </c>
      <c r="D2565" s="5" t="inlineStr">
        <is>
          <t>158018869-dovegrey</t>
        </is>
      </c>
      <c r="E2565" s="5" t="inlineStr">
        <is>
          <t>Hold Tight Long Sleeve BLK 2</t>
        </is>
      </c>
      <c r="F2565" s="5" t="inlineStr">
        <is>
          <t>$68.00</t>
        </is>
      </c>
      <c r="G2565" s="5" t="inlineStr">
        <is>
          <t>$34.00</t>
        </is>
      </c>
      <c r="H2565" s="5" t="inlineStr">
        <is>
          <t>Dove Grey</t>
        </is>
      </c>
      <c r="I2565" s="5">
        <f>IMAGE("https://images.lululemon.com/is/image/lululemon/36865",1)</f>
        <v/>
      </c>
      <c r="J2565" s="5" t="inlineStr">
        <is>
          <t>12</t>
        </is>
      </c>
      <c r="K2565" s="5" t="inlineStr">
        <is>
          <t>24/541</t>
        </is>
      </c>
      <c r="L2565" s="5" t="inlineStr">
        <is>
          <t>Yes</t>
        </is>
      </c>
      <c r="M2565" s="5" t="inlineStr">
        <is>
          <t>Super soft and loves to layer. This lightweight long sleeve delivers just-right stretch and a second-skin fit that wears well on its own or as a base.</t>
        </is>
      </c>
      <c r="N2565" s="5" t="inlineStr">
        <is>
          <t>Hold-Tight-Long-Sleeve</t>
        </is>
      </c>
      <c r="O2565" s="5" t="inlineStr"/>
    </row>
    <row r="2566" ht="80" customHeight="1">
      <c r="A2566" s="4">
        <f>IMAGE("https://images.lululemon.com/is/image/lululemon/LW5HKUS_0001_1?wid=320&amp;op_usm=0.8",1)</f>
        <v/>
      </c>
      <c r="B2566" s="4" t="inlineStr">
        <is>
          <t>Satin Shine Panelled High-Rise Tight 25" *Wordmark</t>
        </is>
      </c>
      <c r="C2566" s="4" t="inlineStr">
        <is>
          <t>158118996</t>
        </is>
      </c>
      <c r="D2566" s="4" t="inlineStr">
        <is>
          <t>158118996-black</t>
        </is>
      </c>
      <c r="E2566" s="4" t="inlineStr">
        <is>
          <t>Satin Shine Panelled Tight 25" *Wordmark BLK 2</t>
        </is>
      </c>
      <c r="F2566" s="4" t="inlineStr">
        <is>
          <t>$128.00</t>
        </is>
      </c>
      <c r="G2566" s="4" t="inlineStr">
        <is>
          <t>$64.00</t>
        </is>
      </c>
      <c r="H2566" s="4" t="inlineStr">
        <is>
          <t>Black</t>
        </is>
      </c>
      <c r="I2566" s="4">
        <f>IMAGE("https://images.lululemon.com/is/image/lululemon/0001",1)</f>
        <v/>
      </c>
      <c r="J2566" s="4" t="inlineStr">
        <is>
          <t>2</t>
        </is>
      </c>
      <c r="K2566" s="4" t="inlineStr">
        <is>
          <t>24/337</t>
        </is>
      </c>
      <c r="L2566" s="4" t="inlineStr">
        <is>
          <t>Yes</t>
        </is>
      </c>
      <c r="M2566" s="4" t="inlineStr">
        <is>
          <t>What fast looks like. This version of our slick Satin Shine tight has contrasting matte fabric panels.</t>
        </is>
      </c>
      <c r="N2566" s="4" t="inlineStr">
        <is>
          <t>Satin-Shine-Panelled-High-Rise-Tight-25-Wordmark</t>
        </is>
      </c>
      <c r="O2566" s="4" t="inlineStr">
        <is>
          <t>Athletic Pants</t>
        </is>
      </c>
    </row>
    <row r="2567" ht="80" customHeight="1">
      <c r="A2567" s="7">
        <f>IMAGE("https://images.lululemon.com/is/image/lululemon/LW5HKUS_0001_1?wid=320&amp;op_usm=0.8",1)</f>
        <v/>
      </c>
      <c r="B2567" s="7" t="inlineStr">
        <is>
          <t>Satin Shine Panelled High-Rise Tight 25" *Wordmark</t>
        </is>
      </c>
      <c r="C2567" s="7" t="inlineStr">
        <is>
          <t>158118999</t>
        </is>
      </c>
      <c r="D2567" s="7" t="inlineStr">
        <is>
          <t>158118999-black</t>
        </is>
      </c>
      <c r="E2567" s="7" t="inlineStr">
        <is>
          <t>Satin Shine Panelled Tight 25" *Wordmark BLK 2</t>
        </is>
      </c>
      <c r="F2567" s="7" t="inlineStr">
        <is>
          <t>$128.00</t>
        </is>
      </c>
      <c r="G2567" s="7" t="inlineStr">
        <is>
          <t>$64.00</t>
        </is>
      </c>
      <c r="H2567" s="7" t="inlineStr">
        <is>
          <t>Black</t>
        </is>
      </c>
      <c r="I2567" s="7">
        <f>IMAGE("https://images.lululemon.com/is/image/lululemon/0001",1)</f>
        <v/>
      </c>
      <c r="J2567" s="7" t="inlineStr">
        <is>
          <t>4</t>
        </is>
      </c>
      <c r="K2567" s="7" t="inlineStr">
        <is>
          <t>23/337</t>
        </is>
      </c>
      <c r="L2567" s="7" t="inlineStr">
        <is>
          <t>Yes</t>
        </is>
      </c>
      <c r="M2567" s="7" t="inlineStr">
        <is>
          <t>What fast looks like. This version of our slick Satin Shine tight has contrasting matte fabric panels.</t>
        </is>
      </c>
      <c r="N2567" s="7" t="inlineStr">
        <is>
          <t>Satin-Shine-Panelled-High-Rise-Tight-25-Wordmark</t>
        </is>
      </c>
      <c r="O2567" s="7" t="inlineStr">
        <is>
          <t>Athletic Pants</t>
        </is>
      </c>
    </row>
    <row r="2568" ht="80" customHeight="1">
      <c r="A2568" s="4">
        <f>IMAGE("https://images.lululemon.com/is/image/lululemon/LW5HKUS_0001_1?wid=320&amp;op_usm=0.8",1)</f>
        <v/>
      </c>
      <c r="B2568" s="4" t="inlineStr">
        <is>
          <t>Satin Shine Panelled High-Rise Tight 25" *Wordmark</t>
        </is>
      </c>
      <c r="C2568" s="4" t="inlineStr">
        <is>
          <t>158119004</t>
        </is>
      </c>
      <c r="D2568" s="4" t="inlineStr">
        <is>
          <t>158119004-black</t>
        </is>
      </c>
      <c r="E2568" s="4" t="inlineStr">
        <is>
          <t>Satin Shine Panelled Tight 25" *Wordmark BLK 2</t>
        </is>
      </c>
      <c r="F2568" s="4" t="inlineStr">
        <is>
          <t>$128.00</t>
        </is>
      </c>
      <c r="G2568" s="4" t="inlineStr">
        <is>
          <t>$64.00</t>
        </is>
      </c>
      <c r="H2568" s="4" t="inlineStr">
        <is>
          <t>Black</t>
        </is>
      </c>
      <c r="I2568" s="4">
        <f>IMAGE("https://images.lululemon.com/is/image/lululemon/0001",1)</f>
        <v/>
      </c>
      <c r="J2568" s="4" t="inlineStr">
        <is>
          <t>6</t>
        </is>
      </c>
      <c r="K2568" s="4" t="inlineStr">
        <is>
          <t>22/337</t>
        </is>
      </c>
      <c r="L2568" s="4" t="inlineStr">
        <is>
          <t>Yes</t>
        </is>
      </c>
      <c r="M2568" s="4" t="inlineStr">
        <is>
          <t>What fast looks like. This version of our slick Satin Shine tight has contrasting matte fabric panels.</t>
        </is>
      </c>
      <c r="N2568" s="4" t="inlineStr">
        <is>
          <t>Satin-Shine-Panelled-High-Rise-Tight-25-Wordmark</t>
        </is>
      </c>
      <c r="O2568" s="4" t="inlineStr">
        <is>
          <t>Athletic Pants</t>
        </is>
      </c>
    </row>
    <row r="2569" ht="80" customHeight="1">
      <c r="A2569" s="7">
        <f>IMAGE("https://images.lululemon.com/is/image/lululemon/LW5HKUS_0001_1?wid=320&amp;op_usm=0.8",1)</f>
        <v/>
      </c>
      <c r="B2569" s="7" t="inlineStr">
        <is>
          <t>Satin Shine Panelled High-Rise Tight 25" *Wordmark</t>
        </is>
      </c>
      <c r="C2569" s="7" t="inlineStr">
        <is>
          <t>158119008</t>
        </is>
      </c>
      <c r="D2569" s="7" t="inlineStr">
        <is>
          <t>158119008-black</t>
        </is>
      </c>
      <c r="E2569" s="7" t="inlineStr">
        <is>
          <t>Satin Shine Panelled Tight 25" *Wordmark BLK 2</t>
        </is>
      </c>
      <c r="F2569" s="7" t="inlineStr">
        <is>
          <t>$128.00</t>
        </is>
      </c>
      <c r="G2569" s="7" t="inlineStr">
        <is>
          <t>$64.00</t>
        </is>
      </c>
      <c r="H2569" s="7" t="inlineStr">
        <is>
          <t>Black</t>
        </is>
      </c>
      <c r="I2569" s="7">
        <f>IMAGE("https://images.lululemon.com/is/image/lululemon/0001",1)</f>
        <v/>
      </c>
      <c r="J2569" s="7" t="inlineStr">
        <is>
          <t>8</t>
        </is>
      </c>
      <c r="K2569" s="7" t="inlineStr">
        <is>
          <t>17/337</t>
        </is>
      </c>
      <c r="L2569" s="7" t="inlineStr">
        <is>
          <t>Yes</t>
        </is>
      </c>
      <c r="M2569" s="7" t="inlineStr">
        <is>
          <t>What fast looks like. This version of our slick Satin Shine tight has contrasting matte fabric panels.</t>
        </is>
      </c>
      <c r="N2569" s="7" t="inlineStr">
        <is>
          <t>Satin-Shine-Panelled-High-Rise-Tight-25-Wordmark</t>
        </is>
      </c>
      <c r="O2569" s="7" t="inlineStr">
        <is>
          <t>Athletic Pants</t>
        </is>
      </c>
    </row>
    <row r="2570" ht="80" customHeight="1">
      <c r="A2570" s="4">
        <f>IMAGE("https://images.lululemon.com/is/image/lululemon/LW5HKUS_0001_1?wid=320&amp;op_usm=0.8",1)</f>
        <v/>
      </c>
      <c r="B2570" s="4" t="inlineStr">
        <is>
          <t>Satin Shine Panelled High-Rise Tight 25" *Wordmark</t>
        </is>
      </c>
      <c r="C2570" s="4" t="inlineStr">
        <is>
          <t>158118981</t>
        </is>
      </c>
      <c r="D2570" s="4" t="inlineStr">
        <is>
          <t>158118981-black</t>
        </is>
      </c>
      <c r="E2570" s="4" t="inlineStr">
        <is>
          <t>Satin Shine Panelled Tight 25" *Wordmark BLK 2</t>
        </is>
      </c>
      <c r="F2570" s="4" t="inlineStr">
        <is>
          <t>$128.00</t>
        </is>
      </c>
      <c r="G2570" s="4" t="inlineStr">
        <is>
          <t>$64.00</t>
        </is>
      </c>
      <c r="H2570" s="4" t="inlineStr">
        <is>
          <t>Black</t>
        </is>
      </c>
      <c r="I2570" s="4">
        <f>IMAGE("https://images.lululemon.com/is/image/lululemon/0001",1)</f>
        <v/>
      </c>
      <c r="J2570" s="4" t="inlineStr">
        <is>
          <t>10</t>
        </is>
      </c>
      <c r="K2570" s="4" t="inlineStr">
        <is>
          <t>11/337</t>
        </is>
      </c>
      <c r="L2570" s="4" t="inlineStr">
        <is>
          <t>Yes</t>
        </is>
      </c>
      <c r="M2570" s="4" t="inlineStr">
        <is>
          <t>What fast looks like. This version of our slick Satin Shine tight has contrasting matte fabric panels.</t>
        </is>
      </c>
      <c r="N2570" s="4" t="inlineStr">
        <is>
          <t>Satin-Shine-Panelled-High-Rise-Tight-25-Wordmark</t>
        </is>
      </c>
      <c r="O2570" s="4" t="inlineStr">
        <is>
          <t>Athletic Pants</t>
        </is>
      </c>
    </row>
    <row r="2571" ht="80" customHeight="1">
      <c r="A2571" s="7">
        <f>IMAGE("https://images.lululemon.com/is/image/lululemon/LW5HKUS_0001_1?wid=320&amp;op_usm=0.8",1)</f>
        <v/>
      </c>
      <c r="B2571" s="7" t="inlineStr">
        <is>
          <t>Satin Shine Panelled High-Rise Tight 25" *Wordmark</t>
        </is>
      </c>
      <c r="C2571" s="7" t="inlineStr">
        <is>
          <t>158118987</t>
        </is>
      </c>
      <c r="D2571" s="7" t="inlineStr">
        <is>
          <t>158118987-black</t>
        </is>
      </c>
      <c r="E2571" s="7" t="inlineStr">
        <is>
          <t>Satin Shine Panelled Tight 25" *Wordmark BLK 2</t>
        </is>
      </c>
      <c r="F2571" s="7" t="inlineStr">
        <is>
          <t>$128.00</t>
        </is>
      </c>
      <c r="G2571" s="7" t="inlineStr">
        <is>
          <t>$64.00</t>
        </is>
      </c>
      <c r="H2571" s="7" t="inlineStr">
        <is>
          <t>Black</t>
        </is>
      </c>
      <c r="I2571" s="7">
        <f>IMAGE("https://images.lululemon.com/is/image/lululemon/0001",1)</f>
        <v/>
      </c>
      <c r="J2571" s="7" t="inlineStr">
        <is>
          <t>12</t>
        </is>
      </c>
      <c r="K2571" s="7" t="inlineStr">
        <is>
          <t>12/337</t>
        </is>
      </c>
      <c r="L2571" s="7" t="inlineStr">
        <is>
          <t>Yes</t>
        </is>
      </c>
      <c r="M2571" s="7" t="inlineStr">
        <is>
          <t>What fast looks like. This version of our slick Satin Shine tight has contrasting matte fabric panels.</t>
        </is>
      </c>
      <c r="N2571" s="7" t="inlineStr">
        <is>
          <t>Satin-Shine-Panelled-High-Rise-Tight-25-Wordmark</t>
        </is>
      </c>
      <c r="O2571" s="7" t="inlineStr">
        <is>
          <t>Athletic Pants</t>
        </is>
      </c>
    </row>
    <row r="2572" ht="80" customHeight="1">
      <c r="A2572" s="4">
        <f>IMAGE("https://images.lululemon.com/is/image/lululemon/LW5HKUS_0001_1?wid=320&amp;op_usm=0.8",1)</f>
        <v/>
      </c>
      <c r="B2572" s="4" t="inlineStr">
        <is>
          <t>Satin Shine Panelled High-Rise Tight 25" *Wordmark</t>
        </is>
      </c>
      <c r="C2572" s="4" t="inlineStr">
        <is>
          <t>158119069</t>
        </is>
      </c>
      <c r="D2572" s="4" t="inlineStr">
        <is>
          <t>158119069-coal</t>
        </is>
      </c>
      <c r="E2572" s="4" t="inlineStr">
        <is>
          <t>Satin Shine Panelled Tight 25" *Wordmark BLK 2</t>
        </is>
      </c>
      <c r="F2572" s="4" t="inlineStr">
        <is>
          <t>$128.00</t>
        </is>
      </c>
      <c r="G2572" s="4" t="inlineStr">
        <is>
          <t>$64.00</t>
        </is>
      </c>
      <c r="H2572" s="4" t="inlineStr">
        <is>
          <t>Coal</t>
        </is>
      </c>
      <c r="I2572" s="4">
        <f>IMAGE("https://images.lululemon.com/is/image/lululemon/3390",1)</f>
        <v/>
      </c>
      <c r="J2572" s="4" t="inlineStr">
        <is>
          <t>2</t>
        </is>
      </c>
      <c r="K2572" s="4" t="inlineStr">
        <is>
          <t>29/337</t>
        </is>
      </c>
      <c r="L2572" s="4" t="inlineStr">
        <is>
          <t>Yes</t>
        </is>
      </c>
      <c r="M2572" s="4" t="inlineStr">
        <is>
          <t>What fast looks like. This version of our slick Satin Shine tight has contrasting matte fabric panels.</t>
        </is>
      </c>
      <c r="N2572" s="4" t="inlineStr">
        <is>
          <t>Satin-Shine-Panelled-High-Rise-Tight-25-Wordmark</t>
        </is>
      </c>
      <c r="O2572" s="4" t="inlineStr">
        <is>
          <t>Athletic Pants</t>
        </is>
      </c>
    </row>
    <row r="2573" ht="80" customHeight="1">
      <c r="A2573" s="7">
        <f>IMAGE("https://images.lululemon.com/is/image/lululemon/LW5HKUS_0001_1?wid=320&amp;op_usm=0.8",1)</f>
        <v/>
      </c>
      <c r="B2573" s="7" t="inlineStr">
        <is>
          <t>Satin Shine Panelled High-Rise Tight 25" *Wordmark</t>
        </is>
      </c>
      <c r="C2573" s="7" t="inlineStr">
        <is>
          <t>158119076</t>
        </is>
      </c>
      <c r="D2573" s="7" t="inlineStr">
        <is>
          <t>158119076-coal</t>
        </is>
      </c>
      <c r="E2573" s="7" t="inlineStr">
        <is>
          <t>Satin Shine Panelled Tight 25" *Wordmark BLK 2</t>
        </is>
      </c>
      <c r="F2573" s="7" t="inlineStr">
        <is>
          <t>$128.00</t>
        </is>
      </c>
      <c r="G2573" s="7" t="inlineStr">
        <is>
          <t>$64.00</t>
        </is>
      </c>
      <c r="H2573" s="7" t="inlineStr">
        <is>
          <t>Coal</t>
        </is>
      </c>
      <c r="I2573" s="7">
        <f>IMAGE("https://images.lululemon.com/is/image/lululemon/3390",1)</f>
        <v/>
      </c>
      <c r="J2573" s="7" t="inlineStr">
        <is>
          <t>4</t>
        </is>
      </c>
      <c r="K2573" s="7" t="inlineStr">
        <is>
          <t>46/337</t>
        </is>
      </c>
      <c r="L2573" s="7" t="inlineStr">
        <is>
          <t>Yes</t>
        </is>
      </c>
      <c r="M2573" s="7" t="inlineStr">
        <is>
          <t>What fast looks like. This version of our slick Satin Shine tight has contrasting matte fabric panels.</t>
        </is>
      </c>
      <c r="N2573" s="7" t="inlineStr">
        <is>
          <t>Satin-Shine-Panelled-High-Rise-Tight-25-Wordmark</t>
        </is>
      </c>
      <c r="O2573" s="7" t="inlineStr">
        <is>
          <t>Athletic Pants</t>
        </is>
      </c>
    </row>
    <row r="2574" ht="80" customHeight="1">
      <c r="A2574" s="4">
        <f>IMAGE("https://images.lululemon.com/is/image/lululemon/LW5HKUS_0001_1?wid=320&amp;op_usm=0.8",1)</f>
        <v/>
      </c>
      <c r="B2574" s="4" t="inlineStr">
        <is>
          <t>Satin Shine Panelled High-Rise Tight 25" *Wordmark</t>
        </is>
      </c>
      <c r="C2574" s="4" t="inlineStr">
        <is>
          <t>158119080</t>
        </is>
      </c>
      <c r="D2574" s="4" t="inlineStr">
        <is>
          <t>158119080-coal</t>
        </is>
      </c>
      <c r="E2574" s="4" t="inlineStr">
        <is>
          <t>Satin Shine Panelled Tight 25" *Wordmark BLK 2</t>
        </is>
      </c>
      <c r="F2574" s="4" t="inlineStr">
        <is>
          <t>$128.00</t>
        </is>
      </c>
      <c r="G2574" s="4" t="inlineStr">
        <is>
          <t>$64.00</t>
        </is>
      </c>
      <c r="H2574" s="4" t="inlineStr">
        <is>
          <t>Coal</t>
        </is>
      </c>
      <c r="I2574" s="4">
        <f>IMAGE("https://images.lululemon.com/is/image/lululemon/3390",1)</f>
        <v/>
      </c>
      <c r="J2574" s="4" t="inlineStr">
        <is>
          <t>6</t>
        </is>
      </c>
      <c r="K2574" s="4" t="inlineStr">
        <is>
          <t>61/337</t>
        </is>
      </c>
      <c r="L2574" s="4" t="inlineStr">
        <is>
          <t>Yes</t>
        </is>
      </c>
      <c r="M2574" s="4" t="inlineStr">
        <is>
          <t>What fast looks like. This version of our slick Satin Shine tight has contrasting matte fabric panels.</t>
        </is>
      </c>
      <c r="N2574" s="4" t="inlineStr">
        <is>
          <t>Satin-Shine-Panelled-High-Rise-Tight-25-Wordmark</t>
        </is>
      </c>
      <c r="O2574" s="4" t="inlineStr">
        <is>
          <t>Athletic Pants</t>
        </is>
      </c>
    </row>
    <row r="2575" ht="80" customHeight="1">
      <c r="A2575" s="7">
        <f>IMAGE("https://images.lululemon.com/is/image/lululemon/LW5HKUS_0001_1?wid=320&amp;op_usm=0.8",1)</f>
        <v/>
      </c>
      <c r="B2575" s="7" t="inlineStr">
        <is>
          <t>Satin Shine Panelled High-Rise Tight 25" *Wordmark</t>
        </is>
      </c>
      <c r="C2575" s="7" t="inlineStr">
        <is>
          <t>158119086</t>
        </is>
      </c>
      <c r="D2575" s="7" t="inlineStr">
        <is>
          <t>158119086-coal</t>
        </is>
      </c>
      <c r="E2575" s="7" t="inlineStr">
        <is>
          <t>Satin Shine Panelled Tight 25" *Wordmark BLK 2</t>
        </is>
      </c>
      <c r="F2575" s="7" t="inlineStr">
        <is>
          <t>$128.00</t>
        </is>
      </c>
      <c r="G2575" s="7" t="inlineStr">
        <is>
          <t>$64.00</t>
        </is>
      </c>
      <c r="H2575" s="7" t="inlineStr">
        <is>
          <t>Coal</t>
        </is>
      </c>
      <c r="I2575" s="7">
        <f>IMAGE("https://images.lululemon.com/is/image/lululemon/3390",1)</f>
        <v/>
      </c>
      <c r="J2575" s="7" t="inlineStr">
        <is>
          <t>8</t>
        </is>
      </c>
      <c r="K2575" s="7" t="inlineStr">
        <is>
          <t>54/337</t>
        </is>
      </c>
      <c r="L2575" s="7" t="inlineStr">
        <is>
          <t>Yes</t>
        </is>
      </c>
      <c r="M2575" s="7" t="inlineStr">
        <is>
          <t>What fast looks like. This version of our slick Satin Shine tight has contrasting matte fabric panels.</t>
        </is>
      </c>
      <c r="N2575" s="7" t="inlineStr">
        <is>
          <t>Satin-Shine-Panelled-High-Rise-Tight-25-Wordmark</t>
        </is>
      </c>
      <c r="O2575" s="7" t="inlineStr">
        <is>
          <t>Athletic Pants</t>
        </is>
      </c>
    </row>
    <row r="2576" ht="80" customHeight="1">
      <c r="A2576" s="4">
        <f>IMAGE("https://images.lululemon.com/is/image/lululemon/LW5HKUS_0001_1?wid=320&amp;op_usm=0.8",1)</f>
        <v/>
      </c>
      <c r="B2576" s="4" t="inlineStr">
        <is>
          <t>Satin Shine Panelled High-Rise Tight 25" *Wordmark</t>
        </is>
      </c>
      <c r="C2576" s="4" t="inlineStr">
        <is>
          <t>158119054</t>
        </is>
      </c>
      <c r="D2576" s="4" t="inlineStr">
        <is>
          <t>158119054-coal</t>
        </is>
      </c>
      <c r="E2576" s="4" t="inlineStr">
        <is>
          <t>Satin Shine Panelled Tight 25" *Wordmark BLK 2</t>
        </is>
      </c>
      <c r="F2576" s="4" t="inlineStr">
        <is>
          <t>$128.00</t>
        </is>
      </c>
      <c r="G2576" s="4" t="inlineStr">
        <is>
          <t>$64.00</t>
        </is>
      </c>
      <c r="H2576" s="4" t="inlineStr">
        <is>
          <t>Coal</t>
        </is>
      </c>
      <c r="I2576" s="4">
        <f>IMAGE("https://images.lululemon.com/is/image/lululemon/3390",1)</f>
        <v/>
      </c>
      <c r="J2576" s="4" t="inlineStr">
        <is>
          <t>10</t>
        </is>
      </c>
      <c r="K2576" s="4" t="inlineStr">
        <is>
          <t>27/337</t>
        </is>
      </c>
      <c r="L2576" s="4" t="inlineStr">
        <is>
          <t>Yes</t>
        </is>
      </c>
      <c r="M2576" s="4" t="inlineStr">
        <is>
          <t>What fast looks like. This version of our slick Satin Shine tight has contrasting matte fabric panels.</t>
        </is>
      </c>
      <c r="N2576" s="4" t="inlineStr">
        <is>
          <t>Satin-Shine-Panelled-High-Rise-Tight-25-Wordmark</t>
        </is>
      </c>
      <c r="O2576" s="4" t="inlineStr">
        <is>
          <t>Athletic Pants</t>
        </is>
      </c>
    </row>
    <row r="2577" ht="80" customHeight="1">
      <c r="A2577" s="5">
        <f>IMAGE("https://images.lululemon.com/is/image/lululemon/LW5HKUS_0001_1?wid=320&amp;op_usm=0.8",1)</f>
        <v/>
      </c>
      <c r="B2577" s="5" t="inlineStr">
        <is>
          <t>Satin Shine Panelled High-Rise Tight 25" *Wordmark</t>
        </is>
      </c>
      <c r="C2577" s="5" t="inlineStr">
        <is>
          <t>158119058</t>
        </is>
      </c>
      <c r="D2577" s="5" t="inlineStr">
        <is>
          <t>158119058-coal</t>
        </is>
      </c>
      <c r="E2577" s="5" t="inlineStr">
        <is>
          <t>Satin Shine Panelled Tight 25" *Wordmark BLK 2</t>
        </is>
      </c>
      <c r="F2577" s="5" t="inlineStr">
        <is>
          <t>$128.00</t>
        </is>
      </c>
      <c r="G2577" s="5" t="inlineStr">
        <is>
          <t>$64.00</t>
        </is>
      </c>
      <c r="H2577" s="5" t="inlineStr">
        <is>
          <t>Coal</t>
        </is>
      </c>
      <c r="I2577" s="5">
        <f>IMAGE("https://images.lululemon.com/is/image/lululemon/3390",1)</f>
        <v/>
      </c>
      <c r="J2577" s="5" t="inlineStr">
        <is>
          <t>12</t>
        </is>
      </c>
      <c r="K2577" s="5" t="inlineStr">
        <is>
          <t>11/337</t>
        </is>
      </c>
      <c r="L2577" s="5" t="inlineStr">
        <is>
          <t>Yes</t>
        </is>
      </c>
      <c r="M2577" s="5" t="inlineStr">
        <is>
          <t>What fast looks like. This version of our slick Satin Shine tight has contrasting matte fabric panels.</t>
        </is>
      </c>
      <c r="N2577" s="5" t="inlineStr">
        <is>
          <t>Satin-Shine-Panelled-High-Rise-Tight-25-Wordmark</t>
        </is>
      </c>
      <c r="O2577" s="5" t="inlineStr">
        <is>
          <t>Athletic Pants</t>
        </is>
      </c>
    </row>
    <row r="2578" ht="80" customHeight="1">
      <c r="A2578" s="4">
        <f>IMAGE("https://images.lululemon.com/is/image/lululemon/LW3JCWS_069299_1?wid=320&amp;op_usm=0.8",1)</f>
        <v/>
      </c>
      <c r="B2578" s="4" t="inlineStr">
        <is>
          <t>Court Rival Velvet Terry Tennis Jacket</t>
        </is>
      </c>
      <c r="C2578" s="4" t="inlineStr">
        <is>
          <t>157707450</t>
        </is>
      </c>
      <c r="D2578" s="4" t="inlineStr">
        <is>
          <t>157707450-clubblue/clubblue</t>
        </is>
      </c>
      <c r="E2578" s="4" t="inlineStr">
        <is>
          <t>Court Rival Velvet Terry Tennis Jacket CLBL/CLBL M</t>
        </is>
      </c>
      <c r="F2578" s="4" t="inlineStr">
        <is>
          <t>$148.00</t>
        </is>
      </c>
      <c r="G2578" s="4" t="inlineStr">
        <is>
          <t>$74.00</t>
        </is>
      </c>
      <c r="H2578" s="4" t="inlineStr">
        <is>
          <t>Club Blue/Club Blue</t>
        </is>
      </c>
      <c r="I2578" s="4">
        <f>IMAGE("https://images.lululemon.com/is/image/lululemon/69299",1)</f>
        <v/>
      </c>
      <c r="J2578" s="4" t="inlineStr">
        <is>
          <t>M</t>
        </is>
      </c>
      <c r="K2578" s="4" t="inlineStr">
        <is>
          <t>1/109</t>
        </is>
      </c>
      <c r="L2578" s="4" t="inlineStr">
        <is>
          <t>Yes</t>
        </is>
      </c>
      <c r="M2578" s="4" t="inlineStr">
        <is>
          <t>Keep your warm-up look on (match) point in this vintage-inspired tennis jacket. Piping details land the look while lightweight, quick-drying fabric keeps you comfortable.</t>
        </is>
      </c>
      <c r="N2578" s="4" t="inlineStr">
        <is>
          <t>Court-Rival-Velvet-Terry-Tennis-Jacket</t>
        </is>
      </c>
      <c r="O2578" s="4" t="inlineStr">
        <is>
          <t>Athletic Jackets</t>
        </is>
      </c>
    </row>
    <row r="2579" ht="80" customHeight="1">
      <c r="A2579" s="7">
        <f>IMAGE("https://images.lululemon.com/is/image/lululemon/LW3JCWS_069299_1?wid=320&amp;op_usm=0.8",1)</f>
        <v/>
      </c>
      <c r="B2579" s="7" t="inlineStr">
        <is>
          <t>Court Rival Velvet Terry Tennis Jacket</t>
        </is>
      </c>
      <c r="C2579" s="7" t="inlineStr">
        <is>
          <t>157707442</t>
        </is>
      </c>
      <c r="D2579" s="7" t="inlineStr">
        <is>
          <t>157707442-clubblue/clubblue</t>
        </is>
      </c>
      <c r="E2579" s="7" t="inlineStr">
        <is>
          <t>Court Rival Velvet Terry Tennis Jacket CLBL/CLBL M</t>
        </is>
      </c>
      <c r="F2579" s="7" t="inlineStr">
        <is>
          <t>$148.00</t>
        </is>
      </c>
      <c r="G2579" s="7" t="inlineStr">
        <is>
          <t>$74.00</t>
        </is>
      </c>
      <c r="H2579" s="7" t="inlineStr">
        <is>
          <t>Club Blue/Club Blue</t>
        </is>
      </c>
      <c r="I2579" s="7">
        <f>IMAGE("https://images.lululemon.com/is/image/lululemon/69299",1)</f>
        <v/>
      </c>
      <c r="J2579" s="7" t="inlineStr">
        <is>
          <t>L</t>
        </is>
      </c>
      <c r="K2579" s="7" t="inlineStr">
        <is>
          <t>45/109</t>
        </is>
      </c>
      <c r="L2579" s="7" t="inlineStr">
        <is>
          <t>Yes</t>
        </is>
      </c>
      <c r="M2579" s="7" t="inlineStr">
        <is>
          <t>Keep your warm-up look on (match) point in this vintage-inspired tennis jacket. Piping details land the look while lightweight, quick-drying fabric keeps you comfortable.</t>
        </is>
      </c>
      <c r="N2579" s="7" t="inlineStr">
        <is>
          <t>Court-Rival-Velvet-Terry-Tennis-Jacket</t>
        </is>
      </c>
      <c r="O2579" s="7" t="inlineStr">
        <is>
          <t>Athletic Jackets</t>
        </is>
      </c>
    </row>
    <row r="2580" ht="80" customHeight="1">
      <c r="A2580" s="6">
        <f>IMAGE("https://images.lululemon.com/is/image/lululemon/LW3JCWS_069299_1?wid=320&amp;op_usm=0.8",1)</f>
        <v/>
      </c>
      <c r="B2580" s="6" t="inlineStr">
        <is>
          <t>Court Rival Velvet Terry Tennis Jacket</t>
        </is>
      </c>
      <c r="C2580" s="6" t="inlineStr">
        <is>
          <t>157707472</t>
        </is>
      </c>
      <c r="D2580" s="6" t="inlineStr">
        <is>
          <t>157707472-clubblue/clubblue</t>
        </is>
      </c>
      <c r="E2580" s="6" t="inlineStr">
        <is>
          <t>Court Rival Velvet Terry Tennis Jacket CLBL/CLBL M</t>
        </is>
      </c>
      <c r="F2580" s="6" t="inlineStr">
        <is>
          <t>$148.00</t>
        </is>
      </c>
      <c r="G2580" s="6" t="inlineStr">
        <is>
          <t>$74.00</t>
        </is>
      </c>
      <c r="H2580" s="6" t="inlineStr">
        <is>
          <t>Club Blue/Club Blue</t>
        </is>
      </c>
      <c r="I2580" s="6">
        <f>IMAGE("https://images.lululemon.com/is/image/lululemon/69299",1)</f>
        <v/>
      </c>
      <c r="J2580" s="6" t="inlineStr">
        <is>
          <t>XL</t>
        </is>
      </c>
      <c r="K2580" s="6" t="inlineStr">
        <is>
          <t>63/109</t>
        </is>
      </c>
      <c r="L2580" s="6" t="inlineStr">
        <is>
          <t>Yes</t>
        </is>
      </c>
      <c r="M2580" s="6" t="inlineStr">
        <is>
          <t>Keep your warm-up look on (match) point in this vintage-inspired tennis jacket. Piping details land the look while lightweight, quick-drying fabric keeps you comfortable.</t>
        </is>
      </c>
      <c r="N2580" s="6" t="inlineStr">
        <is>
          <t>Court-Rival-Velvet-Terry-Tennis-Jacket</t>
        </is>
      </c>
      <c r="O2580" s="6" t="inlineStr">
        <is>
          <t>Athletic Jackets</t>
        </is>
      </c>
    </row>
    <row r="2581" ht="80" customHeight="1">
      <c r="A2581" s="7">
        <f>IMAGE("https://images.lululemon.com/is/image/lululemon/LW3JK3S_012826_1?wid=320&amp;op_usm=0.8",1)</f>
        <v/>
      </c>
      <c r="B2581" s="7" t="inlineStr">
        <is>
          <t>Swiftly Open-Knit Golf Polo Shirt</t>
        </is>
      </c>
      <c r="C2581" s="7" t="inlineStr">
        <is>
          <t>155826631</t>
        </is>
      </c>
      <c r="D2581" s="7" t="inlineStr">
        <is>
          <t>155826631-white/white</t>
        </is>
      </c>
      <c r="E2581" s="7" t="inlineStr">
        <is>
          <t>Swiftly Open-Knit Golf Polo WHWH 2</t>
        </is>
      </c>
      <c r="F2581" s="7" t="inlineStr">
        <is>
          <t>$88.00</t>
        </is>
      </c>
      <c r="G2581" s="7" t="inlineStr">
        <is>
          <t>$44.00</t>
        </is>
      </c>
      <c r="H2581" s="7" t="inlineStr">
        <is>
          <t>White/White</t>
        </is>
      </c>
      <c r="I2581" s="7">
        <f>IMAGE("https://images.lululemon.com/is/image/lululemon/12826",1)</f>
        <v/>
      </c>
      <c r="J2581" s="7" t="inlineStr">
        <is>
          <t>2</t>
        </is>
      </c>
      <c r="K2581" s="7" t="inlineStr">
        <is>
          <t>35/407</t>
        </is>
      </c>
      <c r="L2581" s="7" t="inlineStr">
        <is>
          <t>Yes</t>
        </is>
      </c>
      <c r="M2581" s="7" t="inlineStr">
        <is>
          <t>Your golf game just got a  whole lot breezier. The  open-hole knit construction of  this Swiftly polo is  breathable and airy, so you  stay cool on the course.</t>
        </is>
      </c>
      <c r="N2581" s="7" t="inlineStr">
        <is>
          <t>Swiftly-Open-Knit-Golf-Polo-Shirt</t>
        </is>
      </c>
      <c r="O2581" s="7" t="inlineStr"/>
    </row>
    <row r="2582" ht="80" customHeight="1">
      <c r="A2582" s="4">
        <f>IMAGE("https://images.lululemon.com/is/image/lululemon/LW3JK3S_012826_1?wid=320&amp;op_usm=0.8",1)</f>
        <v/>
      </c>
      <c r="B2582" s="4" t="inlineStr">
        <is>
          <t>Swiftly Open-Knit Golf Polo Shirt</t>
        </is>
      </c>
      <c r="C2582" s="4" t="inlineStr">
        <is>
          <t>155826681</t>
        </is>
      </c>
      <c r="D2582" s="4" t="inlineStr">
        <is>
          <t>155826681-white/white</t>
        </is>
      </c>
      <c r="E2582" s="4" t="inlineStr">
        <is>
          <t>Swiftly Open-Knit Golf Polo WHWH 2</t>
        </is>
      </c>
      <c r="F2582" s="4" t="inlineStr">
        <is>
          <t>$88.00</t>
        </is>
      </c>
      <c r="G2582" s="4" t="inlineStr">
        <is>
          <t>$44.00</t>
        </is>
      </c>
      <c r="H2582" s="4" t="inlineStr">
        <is>
          <t>White/White</t>
        </is>
      </c>
      <c r="I2582" s="4">
        <f>IMAGE("https://images.lululemon.com/is/image/lululemon/12826",1)</f>
        <v/>
      </c>
      <c r="J2582" s="4" t="inlineStr">
        <is>
          <t>4</t>
        </is>
      </c>
      <c r="K2582" s="4" t="inlineStr">
        <is>
          <t>99/407</t>
        </is>
      </c>
      <c r="L2582" s="4" t="inlineStr">
        <is>
          <t>Yes</t>
        </is>
      </c>
      <c r="M2582" s="4" t="inlineStr">
        <is>
          <t>Your golf game just got a  whole lot breezier. The  open-hole knit construction of  this Swiftly polo is  breathable and airy, so you  stay cool on the course.</t>
        </is>
      </c>
      <c r="N2582" s="4" t="inlineStr">
        <is>
          <t>Swiftly-Open-Knit-Golf-Polo-Shirt</t>
        </is>
      </c>
      <c r="O2582" s="4" t="inlineStr"/>
    </row>
    <row r="2583" ht="80" customHeight="1">
      <c r="A2583" s="7">
        <f>IMAGE("https://images.lululemon.com/is/image/lululemon/LW3JK3S_012826_1?wid=320&amp;op_usm=0.8",1)</f>
        <v/>
      </c>
      <c r="B2583" s="7" t="inlineStr">
        <is>
          <t>Swiftly Open-Knit Golf Polo Shirt</t>
        </is>
      </c>
      <c r="C2583" s="7" t="inlineStr">
        <is>
          <t>155826691</t>
        </is>
      </c>
      <c r="D2583" s="7" t="inlineStr">
        <is>
          <t>155826691-white/white</t>
        </is>
      </c>
      <c r="E2583" s="7" t="inlineStr">
        <is>
          <t>Swiftly Open-Knit Golf Polo WHWH 2</t>
        </is>
      </c>
      <c r="F2583" s="7" t="inlineStr">
        <is>
          <t>$88.00</t>
        </is>
      </c>
      <c r="G2583" s="7" t="inlineStr">
        <is>
          <t>$44.00</t>
        </is>
      </c>
      <c r="H2583" s="7" t="inlineStr">
        <is>
          <t>White/White</t>
        </is>
      </c>
      <c r="I2583" s="7">
        <f>IMAGE("https://images.lululemon.com/is/image/lululemon/12826",1)</f>
        <v/>
      </c>
      <c r="J2583" s="7" t="inlineStr">
        <is>
          <t>6</t>
        </is>
      </c>
      <c r="K2583" s="7" t="inlineStr">
        <is>
          <t>78/407</t>
        </is>
      </c>
      <c r="L2583" s="7" t="inlineStr">
        <is>
          <t>Yes</t>
        </is>
      </c>
      <c r="M2583" s="7" t="inlineStr">
        <is>
          <t>Your golf game just got a  whole lot breezier. The  open-hole knit construction of  this Swiftly polo is  breathable and airy, so you  stay cool on the course.</t>
        </is>
      </c>
      <c r="N2583" s="7" t="inlineStr">
        <is>
          <t>Swiftly-Open-Knit-Golf-Polo-Shirt</t>
        </is>
      </c>
      <c r="O2583" s="7" t="inlineStr"/>
    </row>
    <row r="2584" ht="80" customHeight="1">
      <c r="A2584" s="4">
        <f>IMAGE("https://images.lululemon.com/is/image/lululemon/LW3JK3S_012826_1?wid=320&amp;op_usm=0.8",1)</f>
        <v/>
      </c>
      <c r="B2584" s="4" t="inlineStr">
        <is>
          <t>Swiftly Open-Knit Golf Polo Shirt</t>
        </is>
      </c>
      <c r="C2584" s="4" t="inlineStr">
        <is>
          <t>155826702</t>
        </is>
      </c>
      <c r="D2584" s="4" t="inlineStr">
        <is>
          <t>155826702-white/white</t>
        </is>
      </c>
      <c r="E2584" s="4" t="inlineStr">
        <is>
          <t>Swiftly Open-Knit Golf Polo WHWH 2</t>
        </is>
      </c>
      <c r="F2584" s="4" t="inlineStr">
        <is>
          <t>$88.00</t>
        </is>
      </c>
      <c r="G2584" s="4" t="inlineStr">
        <is>
          <t>$44.00</t>
        </is>
      </c>
      <c r="H2584" s="4" t="inlineStr">
        <is>
          <t>White/White</t>
        </is>
      </c>
      <c r="I2584" s="4">
        <f>IMAGE("https://images.lululemon.com/is/image/lululemon/12826",1)</f>
        <v/>
      </c>
      <c r="J2584" s="4" t="inlineStr">
        <is>
          <t>8</t>
        </is>
      </c>
      <c r="K2584" s="4" t="inlineStr">
        <is>
          <t>88/407</t>
        </is>
      </c>
      <c r="L2584" s="4" t="inlineStr">
        <is>
          <t>Yes</t>
        </is>
      </c>
      <c r="M2584" s="4" t="inlineStr">
        <is>
          <t>Your golf game just got a  whole lot breezier. The  open-hole knit construction of  this Swiftly polo is  breathable and airy, so you  stay cool on the course.</t>
        </is>
      </c>
      <c r="N2584" s="4" t="inlineStr">
        <is>
          <t>Swiftly-Open-Knit-Golf-Polo-Shirt</t>
        </is>
      </c>
      <c r="O2584" s="4" t="inlineStr"/>
    </row>
    <row r="2585" ht="80" customHeight="1">
      <c r="A2585" s="7">
        <f>IMAGE("https://images.lululemon.com/is/image/lululemon/LW3JK3S_012826_1?wid=320&amp;op_usm=0.8",1)</f>
        <v/>
      </c>
      <c r="B2585" s="7" t="inlineStr">
        <is>
          <t>Swiftly Open-Knit Golf Polo Shirt</t>
        </is>
      </c>
      <c r="C2585" s="7" t="inlineStr">
        <is>
          <t>155826586</t>
        </is>
      </c>
      <c r="D2585" s="7" t="inlineStr">
        <is>
          <t>155826586-white/white</t>
        </is>
      </c>
      <c r="E2585" s="7" t="inlineStr">
        <is>
          <t>Swiftly Open-Knit Golf Polo WHWH 2</t>
        </is>
      </c>
      <c r="F2585" s="7" t="inlineStr">
        <is>
          <t>$88.00</t>
        </is>
      </c>
      <c r="G2585" s="7" t="inlineStr">
        <is>
          <t>$44.00</t>
        </is>
      </c>
      <c r="H2585" s="7" t="inlineStr">
        <is>
          <t>White/White</t>
        </is>
      </c>
      <c r="I2585" s="7">
        <f>IMAGE("https://images.lululemon.com/is/image/lululemon/12826",1)</f>
        <v/>
      </c>
      <c r="J2585" s="7" t="inlineStr">
        <is>
          <t>10</t>
        </is>
      </c>
      <c r="K2585" s="7" t="inlineStr">
        <is>
          <t>71/407</t>
        </is>
      </c>
      <c r="L2585" s="7" t="inlineStr">
        <is>
          <t>Yes</t>
        </is>
      </c>
      <c r="M2585" s="7" t="inlineStr">
        <is>
          <t>Your golf game just got a  whole lot breezier. The  open-hole knit construction of  this Swiftly polo is  breathable and airy, so you  stay cool on the course.</t>
        </is>
      </c>
      <c r="N2585" s="7" t="inlineStr">
        <is>
          <t>Swiftly-Open-Knit-Golf-Polo-Shirt</t>
        </is>
      </c>
      <c r="O2585" s="7" t="inlineStr"/>
    </row>
    <row r="2586" ht="80" customHeight="1">
      <c r="A2586" s="6">
        <f>IMAGE("https://images.lululemon.com/is/image/lululemon/LW3JK3S_012826_1?wid=320&amp;op_usm=0.8",1)</f>
        <v/>
      </c>
      <c r="B2586" s="6" t="inlineStr">
        <is>
          <t>Swiftly Open-Knit Golf Polo Shirt</t>
        </is>
      </c>
      <c r="C2586" s="6" t="inlineStr">
        <is>
          <t>155826597</t>
        </is>
      </c>
      <c r="D2586" s="6" t="inlineStr">
        <is>
          <t>155826597-white/white</t>
        </is>
      </c>
      <c r="E2586" s="6" t="inlineStr">
        <is>
          <t>Swiftly Open-Knit Golf Polo WHWH 2</t>
        </is>
      </c>
      <c r="F2586" s="6" t="inlineStr">
        <is>
          <t>$88.00</t>
        </is>
      </c>
      <c r="G2586" s="6" t="inlineStr">
        <is>
          <t>$44.00</t>
        </is>
      </c>
      <c r="H2586" s="6" t="inlineStr">
        <is>
          <t>White/White</t>
        </is>
      </c>
      <c r="I2586" s="6">
        <f>IMAGE("https://images.lululemon.com/is/image/lululemon/12826",1)</f>
        <v/>
      </c>
      <c r="J2586" s="6" t="inlineStr">
        <is>
          <t>12</t>
        </is>
      </c>
      <c r="K2586" s="6" t="inlineStr">
        <is>
          <t>36/407</t>
        </is>
      </c>
      <c r="L2586" s="6" t="inlineStr">
        <is>
          <t>Yes</t>
        </is>
      </c>
      <c r="M2586" s="6" t="inlineStr">
        <is>
          <t>Your golf game just got a  whole lot breezier. The  open-hole knit construction of  this Swiftly polo is  breathable and airy, so you  stay cool on the course.</t>
        </is>
      </c>
      <c r="N2586" s="6" t="inlineStr">
        <is>
          <t>Swiftly-Open-Knit-Golf-Polo-Shirt</t>
        </is>
      </c>
      <c r="O2586" s="6" t="inlineStr"/>
    </row>
    <row r="2587" ht="80" customHeight="1">
      <c r="A2587" s="7">
        <f>IMAGE("https://images.lululemon.com/is/image/lululemon/LW3HYBS_0001_1?wid=320&amp;op_usm=0.8",1)</f>
        <v/>
      </c>
      <c r="B2587" s="7" t="inlineStr">
        <is>
          <t>It's Rulu Long-Sleeve Shirt *Updated</t>
        </is>
      </c>
      <c r="C2587" s="7" t="inlineStr">
        <is>
          <t>154826892</t>
        </is>
      </c>
      <c r="D2587" s="7" t="inlineStr">
        <is>
          <t>154826892-black</t>
        </is>
      </c>
      <c r="E2587" s="7" t="inlineStr">
        <is>
          <t>It's Rulu Long Sleeve BLK XXS</t>
        </is>
      </c>
      <c r="F2587" s="7" t="inlineStr">
        <is>
          <t>$88.00</t>
        </is>
      </c>
      <c r="G2587" s="7" t="inlineStr">
        <is>
          <t>$44.00</t>
        </is>
      </c>
      <c r="H2587" s="7" t="inlineStr">
        <is>
          <t>Black</t>
        </is>
      </c>
      <c r="I2587" s="7">
        <f>IMAGE("https://images.lululemon.com/is/image/lululemon/0001",1)</f>
        <v/>
      </c>
      <c r="J2587" s="7" t="inlineStr">
        <is>
          <t>XXS</t>
        </is>
      </c>
      <c r="K2587" s="7" t="inlineStr">
        <is>
          <t>5/507</t>
        </is>
      </c>
      <c r="L2587" s="7" t="inlineStr">
        <is>
          <t>Yes</t>
        </is>
      </c>
      <c r="M2587" s="7" t="inlineStr">
        <is>
          <t>Warm up to cold-weather workouts. This soft long sleeve wicks away sweat so you can stay comfortable when the temperature drops.</t>
        </is>
      </c>
      <c r="N2587" s="7" t="inlineStr">
        <is>
          <t>Its-Rulu-Long-Sleeve-Shirt-Updated</t>
        </is>
      </c>
      <c r="O2587" s="7" t="inlineStr">
        <is>
          <t>Base Layers</t>
        </is>
      </c>
    </row>
    <row r="2588" ht="80" customHeight="1">
      <c r="A2588" s="4">
        <f>IMAGE("https://images.lululemon.com/is/image/lululemon/LW3HYBS_0001_1?wid=320&amp;op_usm=0.8",1)</f>
        <v/>
      </c>
      <c r="B2588" s="4" t="inlineStr">
        <is>
          <t>It's Rulu Long-Sleeve Shirt *Updated</t>
        </is>
      </c>
      <c r="C2588" s="4" t="inlineStr">
        <is>
          <t>154826890</t>
        </is>
      </c>
      <c r="D2588" s="4" t="inlineStr">
        <is>
          <t>154826890-black</t>
        </is>
      </c>
      <c r="E2588" s="4" t="inlineStr">
        <is>
          <t>It's Rulu Long Sleeve BLK XXS</t>
        </is>
      </c>
      <c r="F2588" s="4" t="inlineStr">
        <is>
          <t>$88.00</t>
        </is>
      </c>
      <c r="G2588" s="4" t="inlineStr">
        <is>
          <t>$44.00</t>
        </is>
      </c>
      <c r="H2588" s="4" t="inlineStr">
        <is>
          <t>Black</t>
        </is>
      </c>
      <c r="I2588" s="4">
        <f>IMAGE("https://images.lululemon.com/is/image/lululemon/0001",1)</f>
        <v/>
      </c>
      <c r="J2588" s="4" t="inlineStr">
        <is>
          <t>XS</t>
        </is>
      </c>
      <c r="K2588" s="4" t="inlineStr">
        <is>
          <t>22/507</t>
        </is>
      </c>
      <c r="L2588" s="4" t="inlineStr">
        <is>
          <t>Yes</t>
        </is>
      </c>
      <c r="M2588" s="4" t="inlineStr">
        <is>
          <t>Warm up to cold-weather workouts. This soft long sleeve wicks away sweat so you can stay comfortable when the temperature drops.</t>
        </is>
      </c>
      <c r="N2588" s="4" t="inlineStr">
        <is>
          <t>Its-Rulu-Long-Sleeve-Shirt-Updated</t>
        </is>
      </c>
      <c r="O2588" s="4" t="inlineStr">
        <is>
          <t>Base Layers</t>
        </is>
      </c>
    </row>
    <row r="2589" ht="80" customHeight="1">
      <c r="A2589" s="7">
        <f>IMAGE("https://images.lululemon.com/is/image/lululemon/LW3HYBS_0001_1?wid=320&amp;op_usm=0.8",1)</f>
        <v/>
      </c>
      <c r="B2589" s="7" t="inlineStr">
        <is>
          <t>It's Rulu Long-Sleeve Shirt *Updated</t>
        </is>
      </c>
      <c r="C2589" s="7" t="inlineStr">
        <is>
          <t>154826886</t>
        </is>
      </c>
      <c r="D2589" s="7" t="inlineStr">
        <is>
          <t>154826886-black</t>
        </is>
      </c>
      <c r="E2589" s="7" t="inlineStr">
        <is>
          <t>It's Rulu Long Sleeve BLK XXS</t>
        </is>
      </c>
      <c r="F2589" s="7" t="inlineStr">
        <is>
          <t>$88.00</t>
        </is>
      </c>
      <c r="G2589" s="7" t="inlineStr">
        <is>
          <t>$44.00</t>
        </is>
      </c>
      <c r="H2589" s="7" t="inlineStr">
        <is>
          <t>Black</t>
        </is>
      </c>
      <c r="I2589" s="7">
        <f>IMAGE("https://images.lululemon.com/is/image/lululemon/0001",1)</f>
        <v/>
      </c>
      <c r="J2589" s="7" t="inlineStr">
        <is>
          <t>S</t>
        </is>
      </c>
      <c r="K2589" s="7" t="inlineStr">
        <is>
          <t>108/507</t>
        </is>
      </c>
      <c r="L2589" s="7" t="inlineStr">
        <is>
          <t>Yes</t>
        </is>
      </c>
      <c r="M2589" s="7" t="inlineStr">
        <is>
          <t>Warm up to cold-weather workouts. This soft long sleeve wicks away sweat so you can stay comfortable when the temperature drops.</t>
        </is>
      </c>
      <c r="N2589" s="7" t="inlineStr">
        <is>
          <t>Its-Rulu-Long-Sleeve-Shirt-Updated</t>
        </is>
      </c>
      <c r="O2589" s="7" t="inlineStr">
        <is>
          <t>Base Layers</t>
        </is>
      </c>
    </row>
    <row r="2590" ht="80" customHeight="1">
      <c r="A2590" s="4">
        <f>IMAGE("https://images.lululemon.com/is/image/lululemon/LW3HYBS_0001_1?wid=320&amp;op_usm=0.8",1)</f>
        <v/>
      </c>
      <c r="B2590" s="4" t="inlineStr">
        <is>
          <t>It's Rulu Long-Sleeve Shirt *Updated</t>
        </is>
      </c>
      <c r="C2590" s="4" t="inlineStr">
        <is>
          <t>154826885</t>
        </is>
      </c>
      <c r="D2590" s="4" t="inlineStr">
        <is>
          <t>154826885-black</t>
        </is>
      </c>
      <c r="E2590" s="4" t="inlineStr">
        <is>
          <t>It's Rulu Long Sleeve BLK XXS</t>
        </is>
      </c>
      <c r="F2590" s="4" t="inlineStr">
        <is>
          <t>$88.00</t>
        </is>
      </c>
      <c r="G2590" s="4" t="inlineStr">
        <is>
          <t>$44.00</t>
        </is>
      </c>
      <c r="H2590" s="4" t="inlineStr">
        <is>
          <t>Black</t>
        </is>
      </c>
      <c r="I2590" s="4">
        <f>IMAGE("https://images.lululemon.com/is/image/lululemon/0001",1)</f>
        <v/>
      </c>
      <c r="J2590" s="4" t="inlineStr">
        <is>
          <t>M</t>
        </is>
      </c>
      <c r="K2590" s="4" t="inlineStr">
        <is>
          <t>148/507</t>
        </is>
      </c>
      <c r="L2590" s="4" t="inlineStr">
        <is>
          <t>Yes</t>
        </is>
      </c>
      <c r="M2590" s="4" t="inlineStr">
        <is>
          <t>Warm up to cold-weather workouts. This soft long sleeve wicks away sweat so you can stay comfortable when the temperature drops.</t>
        </is>
      </c>
      <c r="N2590" s="4" t="inlineStr">
        <is>
          <t>Its-Rulu-Long-Sleeve-Shirt-Updated</t>
        </is>
      </c>
      <c r="O2590" s="4" t="inlineStr">
        <is>
          <t>Base Layers</t>
        </is>
      </c>
    </row>
    <row r="2591" ht="80" customHeight="1">
      <c r="A2591" s="7">
        <f>IMAGE("https://images.lululemon.com/is/image/lululemon/LW3HYBS_0001_1?wid=320&amp;op_usm=0.8",1)</f>
        <v/>
      </c>
      <c r="B2591" s="7" t="inlineStr">
        <is>
          <t>It's Rulu Long-Sleeve Shirt *Updated</t>
        </is>
      </c>
      <c r="C2591" s="7" t="inlineStr">
        <is>
          <t>154826882</t>
        </is>
      </c>
      <c r="D2591" s="7" t="inlineStr">
        <is>
          <t>154826882-black</t>
        </is>
      </c>
      <c r="E2591" s="7" t="inlineStr">
        <is>
          <t>It's Rulu Long Sleeve BLK XXS</t>
        </is>
      </c>
      <c r="F2591" s="7" t="inlineStr">
        <is>
          <t>$88.00</t>
        </is>
      </c>
      <c r="G2591" s="7" t="inlineStr">
        <is>
          <t>$44.00</t>
        </is>
      </c>
      <c r="H2591" s="7" t="inlineStr">
        <is>
          <t>Black</t>
        </is>
      </c>
      <c r="I2591" s="7">
        <f>IMAGE("https://images.lululemon.com/is/image/lululemon/0001",1)</f>
        <v/>
      </c>
      <c r="J2591" s="7" t="inlineStr">
        <is>
          <t>L</t>
        </is>
      </c>
      <c r="K2591" s="7" t="inlineStr">
        <is>
          <t>109/507</t>
        </is>
      </c>
      <c r="L2591" s="7" t="inlineStr">
        <is>
          <t>Yes</t>
        </is>
      </c>
      <c r="M2591" s="7" t="inlineStr">
        <is>
          <t>Warm up to cold-weather workouts. This soft long sleeve wicks away sweat so you can stay comfortable when the temperature drops.</t>
        </is>
      </c>
      <c r="N2591" s="7" t="inlineStr">
        <is>
          <t>Its-Rulu-Long-Sleeve-Shirt-Updated</t>
        </is>
      </c>
      <c r="O2591" s="7" t="inlineStr">
        <is>
          <t>Base Layers</t>
        </is>
      </c>
    </row>
    <row r="2592" ht="80" customHeight="1">
      <c r="A2592" s="6">
        <f>IMAGE("https://images.lululemon.com/is/image/lululemon/LW3HYBS_0001_1?wid=320&amp;op_usm=0.8",1)</f>
        <v/>
      </c>
      <c r="B2592" s="6" t="inlineStr">
        <is>
          <t>It's Rulu Long-Sleeve Shirt *Updated</t>
        </is>
      </c>
      <c r="C2592" s="6" t="inlineStr">
        <is>
          <t>154826888</t>
        </is>
      </c>
      <c r="D2592" s="6" t="inlineStr">
        <is>
          <t>154826888-black</t>
        </is>
      </c>
      <c r="E2592" s="6" t="inlineStr">
        <is>
          <t>It's Rulu Long Sleeve BLK XXS</t>
        </is>
      </c>
      <c r="F2592" s="6" t="inlineStr">
        <is>
          <t>$88.00</t>
        </is>
      </c>
      <c r="G2592" s="6" t="inlineStr">
        <is>
          <t>$44.00</t>
        </is>
      </c>
      <c r="H2592" s="6" t="inlineStr">
        <is>
          <t>Black</t>
        </is>
      </c>
      <c r="I2592" s="6">
        <f>IMAGE("https://images.lululemon.com/is/image/lululemon/0001",1)</f>
        <v/>
      </c>
      <c r="J2592" s="6" t="inlineStr">
        <is>
          <t>XL</t>
        </is>
      </c>
      <c r="K2592" s="6" t="inlineStr">
        <is>
          <t>115/507</t>
        </is>
      </c>
      <c r="L2592" s="6" t="inlineStr">
        <is>
          <t>Yes</t>
        </is>
      </c>
      <c r="M2592" s="6" t="inlineStr">
        <is>
          <t>Warm up to cold-weather workouts. This soft long sleeve wicks away sweat so you can stay comfortable when the temperature drops.</t>
        </is>
      </c>
      <c r="N2592" s="6" t="inlineStr">
        <is>
          <t>Its-Rulu-Long-Sleeve-Shirt-Updated</t>
        </is>
      </c>
      <c r="O2592" s="6" t="inlineStr">
        <is>
          <t>Base Layers</t>
        </is>
      </c>
    </row>
    <row r="2593" ht="80" customHeight="1">
      <c r="A2593" s="7">
        <f>IMAGE("https://images.lululemon.com/is/image/lululemon/LW3KCRS_0001_1?wid=320&amp;op_usm=0.8",1)</f>
        <v/>
      </c>
      <c r="B2593" s="7" t="inlineStr">
        <is>
          <t>Women's Steady State Oversized Hoodie</t>
        </is>
      </c>
      <c r="C2593" s="7" t="inlineStr">
        <is>
          <t>158034343</t>
        </is>
      </c>
      <c r="D2593" s="7" t="inlineStr">
        <is>
          <t>158034343-black</t>
        </is>
      </c>
      <c r="E2593" s="7" t="inlineStr">
        <is>
          <t>W Steady State Oversized Hoodie BLK XS</t>
        </is>
      </c>
      <c r="F2593" s="7" t="inlineStr">
        <is>
          <t>$128.00</t>
        </is>
      </c>
      <c r="G2593" s="7" t="inlineStr">
        <is>
          <t>$64.00</t>
        </is>
      </c>
      <c r="H2593" s="7" t="inlineStr">
        <is>
          <t>Black</t>
        </is>
      </c>
      <c r="I2593" s="7">
        <f>IMAGE("https://images.lululemon.com/is/image/lululemon/0001",1)</f>
        <v/>
      </c>
      <c r="J2593" s="7" t="inlineStr">
        <is>
          <t>XS</t>
        </is>
      </c>
      <c r="K2593" s="7" t="inlineStr">
        <is>
          <t>111/337</t>
        </is>
      </c>
      <c r="L2593" s="7" t="inlineStr">
        <is>
          <t>Yes</t>
        </is>
      </c>
      <c r="M2593" s="7" t="inlineStr">
        <is>
          <t>A reimagined classic. This fleece hoodie puts softness first, so you can bring comfort wherever you go.</t>
        </is>
      </c>
      <c r="N2593" s="7" t="inlineStr">
        <is>
          <t>Womens-Steady-State-Oversized-Hoodie</t>
        </is>
      </c>
      <c r="O2593" s="7" t="inlineStr">
        <is>
          <t>Hoodies</t>
        </is>
      </c>
    </row>
    <row r="2594" ht="80" customHeight="1">
      <c r="A2594" s="4">
        <f>IMAGE("https://images.lululemon.com/is/image/lululemon/LW3KCRS_0001_1?wid=320&amp;op_usm=0.8",1)</f>
        <v/>
      </c>
      <c r="B2594" s="4" t="inlineStr">
        <is>
          <t>Women's Steady State Oversized Hoodie</t>
        </is>
      </c>
      <c r="C2594" s="4" t="inlineStr">
        <is>
          <t>158034331</t>
        </is>
      </c>
      <c r="D2594" s="4" t="inlineStr">
        <is>
          <t>158034331-black</t>
        </is>
      </c>
      <c r="E2594" s="4" t="inlineStr">
        <is>
          <t>W Steady State Oversized Hoodie BLK XS</t>
        </is>
      </c>
      <c r="F2594" s="4" t="inlineStr">
        <is>
          <t>$128.00</t>
        </is>
      </c>
      <c r="G2594" s="4" t="inlineStr">
        <is>
          <t>$64.00</t>
        </is>
      </c>
      <c r="H2594" s="4" t="inlineStr">
        <is>
          <t>Black</t>
        </is>
      </c>
      <c r="I2594" s="4">
        <f>IMAGE("https://images.lululemon.com/is/image/lululemon/0001",1)</f>
        <v/>
      </c>
      <c r="J2594" s="4" t="inlineStr">
        <is>
          <t>S</t>
        </is>
      </c>
      <c r="K2594" s="4" t="inlineStr">
        <is>
          <t>98/337</t>
        </is>
      </c>
      <c r="L2594" s="4" t="inlineStr">
        <is>
          <t>Yes</t>
        </is>
      </c>
      <c r="M2594" s="4" t="inlineStr">
        <is>
          <t>A reimagined classic. This fleece hoodie puts softness first, so you can bring comfort wherever you go.</t>
        </is>
      </c>
      <c r="N2594" s="4" t="inlineStr">
        <is>
          <t>Womens-Steady-State-Oversized-Hoodie</t>
        </is>
      </c>
      <c r="O2594" s="4" t="inlineStr">
        <is>
          <t>Hoodies</t>
        </is>
      </c>
    </row>
    <row r="2595" ht="80" customHeight="1">
      <c r="A2595" s="7">
        <f>IMAGE("https://images.lululemon.com/is/image/lululemon/LW3KCRS_0001_1?wid=320&amp;op_usm=0.8",1)</f>
        <v/>
      </c>
      <c r="B2595" s="7" t="inlineStr">
        <is>
          <t>Women's Steady State Oversized Hoodie</t>
        </is>
      </c>
      <c r="C2595" s="7" t="inlineStr">
        <is>
          <t>158034324</t>
        </is>
      </c>
      <c r="D2595" s="7" t="inlineStr">
        <is>
          <t>158034324-black</t>
        </is>
      </c>
      <c r="E2595" s="7" t="inlineStr">
        <is>
          <t>W Steady State Oversized Hoodie BLK XS</t>
        </is>
      </c>
      <c r="F2595" s="7" t="inlineStr">
        <is>
          <t>$128.00</t>
        </is>
      </c>
      <c r="G2595" s="7" t="inlineStr">
        <is>
          <t>$64.00</t>
        </is>
      </c>
      <c r="H2595" s="7" t="inlineStr">
        <is>
          <t>Black</t>
        </is>
      </c>
      <c r="I2595" s="7">
        <f>IMAGE("https://images.lululemon.com/is/image/lululemon/0001",1)</f>
        <v/>
      </c>
      <c r="J2595" s="7" t="inlineStr">
        <is>
          <t>M</t>
        </is>
      </c>
      <c r="K2595" s="7" t="inlineStr">
        <is>
          <t>63/337</t>
        </is>
      </c>
      <c r="L2595" s="7" t="inlineStr">
        <is>
          <t>Yes</t>
        </is>
      </c>
      <c r="M2595" s="7" t="inlineStr">
        <is>
          <t>A reimagined classic. This fleece hoodie puts softness first, so you can bring comfort wherever you go.</t>
        </is>
      </c>
      <c r="N2595" s="7" t="inlineStr">
        <is>
          <t>Womens-Steady-State-Oversized-Hoodie</t>
        </is>
      </c>
      <c r="O2595" s="7" t="inlineStr">
        <is>
          <t>Hoodies</t>
        </is>
      </c>
    </row>
    <row r="2596" ht="80" customHeight="1">
      <c r="A2596" s="4">
        <f>IMAGE("https://images.lululemon.com/is/image/lululemon/LW3KCRS_0001_1?wid=320&amp;op_usm=0.8",1)</f>
        <v/>
      </c>
      <c r="B2596" s="4" t="inlineStr">
        <is>
          <t>Women's Steady State Oversized Hoodie</t>
        </is>
      </c>
      <c r="C2596" s="4" t="inlineStr">
        <is>
          <t>158034317</t>
        </is>
      </c>
      <c r="D2596" s="4" t="inlineStr">
        <is>
          <t>158034317-black</t>
        </is>
      </c>
      <c r="E2596" s="4" t="inlineStr">
        <is>
          <t>W Steady State Oversized Hoodie BLK XS</t>
        </is>
      </c>
      <c r="F2596" s="4" t="inlineStr">
        <is>
          <t>$128.00</t>
        </is>
      </c>
      <c r="G2596" s="4" t="inlineStr">
        <is>
          <t>$64.00</t>
        </is>
      </c>
      <c r="H2596" s="4" t="inlineStr">
        <is>
          <t>Black</t>
        </is>
      </c>
      <c r="I2596" s="4">
        <f>IMAGE("https://images.lululemon.com/is/image/lululemon/0001",1)</f>
        <v/>
      </c>
      <c r="J2596" s="4" t="inlineStr">
        <is>
          <t>L</t>
        </is>
      </c>
      <c r="K2596" s="4" t="inlineStr">
        <is>
          <t>37/337</t>
        </is>
      </c>
      <c r="L2596" s="4" t="inlineStr">
        <is>
          <t>Yes</t>
        </is>
      </c>
      <c r="M2596" s="4" t="inlineStr">
        <is>
          <t>A reimagined classic. This fleece hoodie puts softness first, so you can bring comfort wherever you go.</t>
        </is>
      </c>
      <c r="N2596" s="4" t="inlineStr">
        <is>
          <t>Womens-Steady-State-Oversized-Hoodie</t>
        </is>
      </c>
      <c r="O2596" s="4" t="inlineStr">
        <is>
          <t>Hoodies</t>
        </is>
      </c>
    </row>
    <row r="2597" ht="80" customHeight="1">
      <c r="A2597" s="5">
        <f>IMAGE("https://images.lululemon.com/is/image/lululemon/LW3KCRS_0001_1?wid=320&amp;op_usm=0.8",1)</f>
        <v/>
      </c>
      <c r="B2597" s="5" t="inlineStr">
        <is>
          <t>Women's Steady State Oversized Hoodie</t>
        </is>
      </c>
      <c r="C2597" s="5" t="inlineStr">
        <is>
          <t>158034336</t>
        </is>
      </c>
      <c r="D2597" s="5" t="inlineStr">
        <is>
          <t>158034336-black</t>
        </is>
      </c>
      <c r="E2597" s="5" t="inlineStr">
        <is>
          <t>W Steady State Oversized Hoodie BLK XS</t>
        </is>
      </c>
      <c r="F2597" s="5" t="inlineStr">
        <is>
          <t>$128.00</t>
        </is>
      </c>
      <c r="G2597" s="5" t="inlineStr">
        <is>
          <t>$64.00</t>
        </is>
      </c>
      <c r="H2597" s="5" t="inlineStr">
        <is>
          <t>Black</t>
        </is>
      </c>
      <c r="I2597" s="5">
        <f>IMAGE("https://images.lululemon.com/is/image/lululemon/0001",1)</f>
        <v/>
      </c>
      <c r="J2597" s="5" t="inlineStr">
        <is>
          <t>XL</t>
        </is>
      </c>
      <c r="K2597" s="5" t="inlineStr">
        <is>
          <t>28/337</t>
        </is>
      </c>
      <c r="L2597" s="5" t="inlineStr">
        <is>
          <t>Yes</t>
        </is>
      </c>
      <c r="M2597" s="5" t="inlineStr">
        <is>
          <t>A reimagined classic. This fleece hoodie puts softness first, so you can bring comfort wherever you go.</t>
        </is>
      </c>
      <c r="N2597" s="5" t="inlineStr">
        <is>
          <t>Womens-Steady-State-Oversized-Hoodie</t>
        </is>
      </c>
      <c r="O2597" s="5" t="inlineStr">
        <is>
          <t>Hoodies</t>
        </is>
      </c>
    </row>
    <row r="2598" ht="80" customHeight="1">
      <c r="A2598" s="4">
        <f>IMAGE("https://images.lululemon.com/is/image/lululemon/LW8ANVS_069299_1?wid=320&amp;op_usm=0.8",1)</f>
        <v/>
      </c>
      <c r="B2598" s="4" t="inlineStr">
        <is>
          <t>Textured Mesh High-Rise Tennis Skirt</t>
        </is>
      </c>
      <c r="C2598" s="4" t="inlineStr">
        <is>
          <t>157684338</t>
        </is>
      </c>
      <c r="D2598" s="4" t="inlineStr">
        <is>
          <t>157684338-clubblue/clubblue</t>
        </is>
      </c>
      <c r="E2598" s="4" t="inlineStr">
        <is>
          <t>Textured Mesh Tennis Skirt CLBL/CLBL XS</t>
        </is>
      </c>
      <c r="F2598" s="4" t="inlineStr">
        <is>
          <t>$88.00</t>
        </is>
      </c>
      <c r="G2598" s="4" t="inlineStr">
        <is>
          <t>$44.00</t>
        </is>
      </c>
      <c r="H2598" s="4" t="inlineStr">
        <is>
          <t>Club Blue/Club Blue</t>
        </is>
      </c>
      <c r="I2598" s="4">
        <f>IMAGE("https://images.lululemon.com/is/image/lululemon/69299",1)</f>
        <v/>
      </c>
      <c r="J2598" s="4" t="inlineStr">
        <is>
          <t>XS</t>
        </is>
      </c>
      <c r="K2598" s="4" t="inlineStr">
        <is>
          <t>12/137</t>
        </is>
      </c>
      <c r="L2598" s="4" t="inlineStr">
        <is>
          <t>Yes</t>
        </is>
      </c>
      <c r="M2598" s="4" t="inlineStr">
        <is>
          <t>Textural advantage. Cut from  diamond-patterned mesh fabric,  this high-rise tennis skirt  scores points on and off the  court.</t>
        </is>
      </c>
      <c r="N2598" s="4" t="inlineStr">
        <is>
          <t>Textured-Mesh-High-Rise-Tennis-Skirt</t>
        </is>
      </c>
      <c r="O2598" s="4" t="inlineStr">
        <is>
          <t>Athletic Skirts</t>
        </is>
      </c>
    </row>
    <row r="2599" ht="80" customHeight="1">
      <c r="A2599" s="7">
        <f>IMAGE("https://images.lululemon.com/is/image/lululemon/LW8ANVS_069299_1?wid=320&amp;op_usm=0.8",1)</f>
        <v/>
      </c>
      <c r="B2599" s="7" t="inlineStr">
        <is>
          <t>Textured Mesh High-Rise Tennis Skirt</t>
        </is>
      </c>
      <c r="C2599" s="7" t="inlineStr">
        <is>
          <t>157684311</t>
        </is>
      </c>
      <c r="D2599" s="7" t="inlineStr">
        <is>
          <t>157684311-clubblue/clubblue</t>
        </is>
      </c>
      <c r="E2599" s="7" t="inlineStr">
        <is>
          <t>Textured Mesh Tennis Skirt CLBL/CLBL XS</t>
        </is>
      </c>
      <c r="F2599" s="7" t="inlineStr">
        <is>
          <t>$88.00</t>
        </is>
      </c>
      <c r="G2599" s="7" t="inlineStr">
        <is>
          <t>$44.00</t>
        </is>
      </c>
      <c r="H2599" s="7" t="inlineStr">
        <is>
          <t>Club Blue/Club Blue</t>
        </is>
      </c>
      <c r="I2599" s="7">
        <f>IMAGE("https://images.lululemon.com/is/image/lululemon/69299",1)</f>
        <v/>
      </c>
      <c r="J2599" s="7" t="inlineStr">
        <is>
          <t>S</t>
        </is>
      </c>
      <c r="K2599" s="7" t="inlineStr">
        <is>
          <t>17/137</t>
        </is>
      </c>
      <c r="L2599" s="7" t="inlineStr">
        <is>
          <t>Yes</t>
        </is>
      </c>
      <c r="M2599" s="7" t="inlineStr">
        <is>
          <t>Textural advantage. Cut from  diamond-patterned mesh fabric,  this high-rise tennis skirt  scores points on and off the  court.</t>
        </is>
      </c>
      <c r="N2599" s="7" t="inlineStr">
        <is>
          <t>Textured-Mesh-High-Rise-Tennis-Skirt</t>
        </is>
      </c>
      <c r="O2599" s="7" t="inlineStr">
        <is>
          <t>Athletic Skirts</t>
        </is>
      </c>
    </row>
    <row r="2600" ht="80" customHeight="1">
      <c r="A2600" s="4">
        <f>IMAGE("https://images.lululemon.com/is/image/lululemon/LW8ANVS_069299_1?wid=320&amp;op_usm=0.8",1)</f>
        <v/>
      </c>
      <c r="B2600" s="4" t="inlineStr">
        <is>
          <t>Textured Mesh High-Rise Tennis Skirt</t>
        </is>
      </c>
      <c r="C2600" s="4" t="inlineStr">
        <is>
          <t>157684299</t>
        </is>
      </c>
      <c r="D2600" s="4" t="inlineStr">
        <is>
          <t>157684299-clubblue/clubblue</t>
        </is>
      </c>
      <c r="E2600" s="4" t="inlineStr">
        <is>
          <t>Textured Mesh Tennis Skirt CLBL/CLBL XS</t>
        </is>
      </c>
      <c r="F2600" s="4" t="inlineStr">
        <is>
          <t>$88.00</t>
        </is>
      </c>
      <c r="G2600" s="4" t="inlineStr">
        <is>
          <t>$44.00</t>
        </is>
      </c>
      <c r="H2600" s="4" t="inlineStr">
        <is>
          <t>Club Blue/Club Blue</t>
        </is>
      </c>
      <c r="I2600" s="4">
        <f>IMAGE("https://images.lululemon.com/is/image/lululemon/69299",1)</f>
        <v/>
      </c>
      <c r="J2600" s="4" t="inlineStr">
        <is>
          <t>M</t>
        </is>
      </c>
      <c r="K2600" s="4" t="inlineStr">
        <is>
          <t>27/137</t>
        </is>
      </c>
      <c r="L2600" s="4" t="inlineStr">
        <is>
          <t>Yes</t>
        </is>
      </c>
      <c r="M2600" s="4" t="inlineStr">
        <is>
          <t>Textural advantage. Cut from  diamond-patterned mesh fabric,  this high-rise tennis skirt  scores points on and off the  court.</t>
        </is>
      </c>
      <c r="N2600" s="4" t="inlineStr">
        <is>
          <t>Textured-Mesh-High-Rise-Tennis-Skirt</t>
        </is>
      </c>
      <c r="O2600" s="4" t="inlineStr">
        <is>
          <t>Athletic Skirts</t>
        </is>
      </c>
    </row>
    <row r="2601" ht="80" customHeight="1">
      <c r="A2601" s="7">
        <f>IMAGE("https://images.lululemon.com/is/image/lululemon/LW8ANVS_069299_1?wid=320&amp;op_usm=0.8",1)</f>
        <v/>
      </c>
      <c r="B2601" s="7" t="inlineStr">
        <is>
          <t>Textured Mesh High-Rise Tennis Skirt</t>
        </is>
      </c>
      <c r="C2601" s="7" t="inlineStr">
        <is>
          <t>157684287</t>
        </is>
      </c>
      <c r="D2601" s="7" t="inlineStr">
        <is>
          <t>157684287-clubblue/clubblue</t>
        </is>
      </c>
      <c r="E2601" s="7" t="inlineStr">
        <is>
          <t>Textured Mesh Tennis Skirt CLBL/CLBL XS</t>
        </is>
      </c>
      <c r="F2601" s="7" t="inlineStr">
        <is>
          <t>$88.00</t>
        </is>
      </c>
      <c r="G2601" s="7" t="inlineStr">
        <is>
          <t>$44.00</t>
        </is>
      </c>
      <c r="H2601" s="7" t="inlineStr">
        <is>
          <t>Club Blue/Club Blue</t>
        </is>
      </c>
      <c r="I2601" s="7">
        <f>IMAGE("https://images.lululemon.com/is/image/lululemon/69299",1)</f>
        <v/>
      </c>
      <c r="J2601" s="7" t="inlineStr">
        <is>
          <t>L</t>
        </is>
      </c>
      <c r="K2601" s="7" t="inlineStr">
        <is>
          <t>40/137</t>
        </is>
      </c>
      <c r="L2601" s="7" t="inlineStr">
        <is>
          <t>Yes</t>
        </is>
      </c>
      <c r="M2601" s="7" t="inlineStr">
        <is>
          <t>Textural advantage. Cut from  diamond-patterned mesh fabric,  this high-rise tennis skirt  scores points on and off the  court.</t>
        </is>
      </c>
      <c r="N2601" s="7" t="inlineStr">
        <is>
          <t>Textured-Mesh-High-Rise-Tennis-Skirt</t>
        </is>
      </c>
      <c r="O2601" s="7" t="inlineStr">
        <is>
          <t>Athletic Skirts</t>
        </is>
      </c>
    </row>
    <row r="2602" ht="80" customHeight="1">
      <c r="A2602" s="6">
        <f>IMAGE("https://images.lululemon.com/is/image/lululemon/LW8ANVS_069299_1?wid=320&amp;op_usm=0.8",1)</f>
        <v/>
      </c>
      <c r="B2602" s="6" t="inlineStr">
        <is>
          <t>Textured Mesh High-Rise Tennis Skirt</t>
        </is>
      </c>
      <c r="C2602" s="6" t="inlineStr">
        <is>
          <t>157684324</t>
        </is>
      </c>
      <c r="D2602" s="6" t="inlineStr">
        <is>
          <t>157684324-clubblue/clubblue</t>
        </is>
      </c>
      <c r="E2602" s="6" t="inlineStr">
        <is>
          <t>Textured Mesh Tennis Skirt CLBL/CLBL XS</t>
        </is>
      </c>
      <c r="F2602" s="6" t="inlineStr">
        <is>
          <t>$88.00</t>
        </is>
      </c>
      <c r="G2602" s="6" t="inlineStr">
        <is>
          <t>$44.00</t>
        </is>
      </c>
      <c r="H2602" s="6" t="inlineStr">
        <is>
          <t>Club Blue/Club Blue</t>
        </is>
      </c>
      <c r="I2602" s="6">
        <f>IMAGE("https://images.lululemon.com/is/image/lululemon/69299",1)</f>
        <v/>
      </c>
      <c r="J2602" s="6" t="inlineStr">
        <is>
          <t>XL</t>
        </is>
      </c>
      <c r="K2602" s="6" t="inlineStr">
        <is>
          <t>41/137</t>
        </is>
      </c>
      <c r="L2602" s="6" t="inlineStr">
        <is>
          <t>Yes</t>
        </is>
      </c>
      <c r="M2602" s="6" t="inlineStr">
        <is>
          <t>Textural advantage. Cut from  diamond-patterned mesh fabric,  this high-rise tennis skirt  scores points on and off the  court.</t>
        </is>
      </c>
      <c r="N2602" s="6" t="inlineStr">
        <is>
          <t>Textured-Mesh-High-Rise-Tennis-Skirt</t>
        </is>
      </c>
      <c r="O2602" s="6" t="inlineStr">
        <is>
          <t>Athletic Skirts</t>
        </is>
      </c>
    </row>
    <row r="2603" ht="80" customHeight="1">
      <c r="A2603" s="7">
        <f>IMAGE("https://images.lululemon.com/is/image/lululemon/LW8ALWS_0002_1?wid=320&amp;op_usm=0.8",1)</f>
        <v/>
      </c>
      <c r="B2603" s="7" t="inlineStr">
        <is>
          <t>lululemon Align™ High-Rise Skirt</t>
        </is>
      </c>
      <c r="C2603" s="7" t="inlineStr">
        <is>
          <t>153104641</t>
        </is>
      </c>
      <c r="D2603" s="7" t="inlineStr">
        <is>
          <t>153104641-black</t>
        </is>
      </c>
      <c r="E2603" s="7" t="inlineStr">
        <is>
          <t>lululemon Align™ High-Rise Skirt BLK 0</t>
        </is>
      </c>
      <c r="F2603" s="7" t="inlineStr">
        <is>
          <t>$78.00</t>
        </is>
      </c>
      <c r="G2603" s="7" t="inlineStr">
        <is>
          <t>$39.00</t>
        </is>
      </c>
      <c r="H2603" s="7" t="inlineStr">
        <is>
          <t>Black</t>
        </is>
      </c>
      <c r="I2603" s="7">
        <f>IMAGE("https://images.lululemon.com/is/image/lululemon/0001",1)</f>
        <v/>
      </c>
      <c r="J2603" s="7" t="inlineStr">
        <is>
          <t>0</t>
        </is>
      </c>
      <c r="K2603" s="7" t="inlineStr">
        <is>
          <t>1/4155</t>
        </is>
      </c>
      <c r="L2603" s="7" t="inlineStr">
        <is>
          <t>Yes</t>
        </is>
      </c>
      <c r="M2603" s="7" t="inlineStr">
        <is>
          <t>When feeling nothing is everything. Get the buttery-softness of lululemon Align™ in this skirt that has a built-in shorts liner.</t>
        </is>
      </c>
      <c r="N2603" s="7" t="inlineStr">
        <is>
          <t>lululemon-Align-High-Rise-Skirt</t>
        </is>
      </c>
      <c r="O2603" s="7" t="inlineStr">
        <is>
          <t>Skorts</t>
        </is>
      </c>
    </row>
    <row r="2604" ht="80" customHeight="1">
      <c r="A2604" s="4">
        <f>IMAGE("https://images.lululemon.com/is/image/lululemon/LW8ALWS_0002_1?wid=320&amp;op_usm=0.8",1)</f>
        <v/>
      </c>
      <c r="B2604" s="4" t="inlineStr">
        <is>
          <t>lululemon Align™ High-Rise Skirt</t>
        </is>
      </c>
      <c r="C2604" s="4" t="inlineStr">
        <is>
          <t>153104647</t>
        </is>
      </c>
      <c r="D2604" s="4" t="inlineStr">
        <is>
          <t>153104647-black</t>
        </is>
      </c>
      <c r="E2604" s="4" t="inlineStr">
        <is>
          <t>lululemon Align™ High-Rise Skirt BLK 0</t>
        </is>
      </c>
      <c r="F2604" s="4" t="inlineStr">
        <is>
          <t>$78.00</t>
        </is>
      </c>
      <c r="G2604" s="4" t="inlineStr">
        <is>
          <t>$39.00</t>
        </is>
      </c>
      <c r="H2604" s="4" t="inlineStr">
        <is>
          <t>Black</t>
        </is>
      </c>
      <c r="I2604" s="4">
        <f>IMAGE("https://images.lululemon.com/is/image/lululemon/0001",1)</f>
        <v/>
      </c>
      <c r="J2604" s="4" t="inlineStr">
        <is>
          <t>2</t>
        </is>
      </c>
      <c r="K2604" s="4" t="inlineStr">
        <is>
          <t>297/4155</t>
        </is>
      </c>
      <c r="L2604" s="4" t="inlineStr">
        <is>
          <t>Yes</t>
        </is>
      </c>
      <c r="M2604" s="4" t="inlineStr">
        <is>
          <t>When feeling nothing is everything. Get the buttery-softness of lululemon Align™ in this skirt that has a built-in shorts liner.</t>
        </is>
      </c>
      <c r="N2604" s="4" t="inlineStr">
        <is>
          <t>lululemon-Align-High-Rise-Skirt</t>
        </is>
      </c>
      <c r="O2604" s="4" t="inlineStr">
        <is>
          <t>Skorts</t>
        </is>
      </c>
    </row>
    <row r="2605" ht="80" customHeight="1">
      <c r="A2605" s="7">
        <f>IMAGE("https://images.lululemon.com/is/image/lululemon/LW8ALWS_0002_1?wid=320&amp;op_usm=0.8",1)</f>
        <v/>
      </c>
      <c r="B2605" s="7" t="inlineStr">
        <is>
          <t>lululemon Align™ High-Rise Skirt</t>
        </is>
      </c>
      <c r="C2605" s="7" t="inlineStr">
        <is>
          <t>153104652</t>
        </is>
      </c>
      <c r="D2605" s="7" t="inlineStr">
        <is>
          <t>153104652-black</t>
        </is>
      </c>
      <c r="E2605" s="7" t="inlineStr">
        <is>
          <t>lululemon Align™ High-Rise Skirt BLK 0</t>
        </is>
      </c>
      <c r="F2605" s="7" t="inlineStr">
        <is>
          <t>$78.00</t>
        </is>
      </c>
      <c r="G2605" s="7" t="inlineStr">
        <is>
          <t>$39.00</t>
        </is>
      </c>
      <c r="H2605" s="7" t="inlineStr">
        <is>
          <t>Black</t>
        </is>
      </c>
      <c r="I2605" s="7">
        <f>IMAGE("https://images.lululemon.com/is/image/lululemon/0001",1)</f>
        <v/>
      </c>
      <c r="J2605" s="7" t="inlineStr">
        <is>
          <t>4</t>
        </is>
      </c>
      <c r="K2605" s="7" t="inlineStr">
        <is>
          <t>418/4155</t>
        </is>
      </c>
      <c r="L2605" s="7" t="inlineStr">
        <is>
          <t>Yes</t>
        </is>
      </c>
      <c r="M2605" s="7" t="inlineStr">
        <is>
          <t>When feeling nothing is everything. Get the buttery-softness of lululemon Align™ in this skirt that has a built-in shorts liner.</t>
        </is>
      </c>
      <c r="N2605" s="7" t="inlineStr">
        <is>
          <t>lululemon-Align-High-Rise-Skirt</t>
        </is>
      </c>
      <c r="O2605" s="7" t="inlineStr">
        <is>
          <t>Skorts</t>
        </is>
      </c>
    </row>
    <row r="2606" ht="80" customHeight="1">
      <c r="A2606" s="4">
        <f>IMAGE("https://images.lululemon.com/is/image/lululemon/LW8ALWS_0002_1?wid=320&amp;op_usm=0.8",1)</f>
        <v/>
      </c>
      <c r="B2606" s="4" t="inlineStr">
        <is>
          <t>lululemon Align™ High-Rise Skirt</t>
        </is>
      </c>
      <c r="C2606" s="4" t="inlineStr">
        <is>
          <t>153104653</t>
        </is>
      </c>
      <c r="D2606" s="4" t="inlineStr">
        <is>
          <t>153104653-black</t>
        </is>
      </c>
      <c r="E2606" s="4" t="inlineStr">
        <is>
          <t>lululemon Align™ High-Rise Skirt BLK 0</t>
        </is>
      </c>
      <c r="F2606" s="4" t="inlineStr">
        <is>
          <t>$78.00</t>
        </is>
      </c>
      <c r="G2606" s="4" t="inlineStr">
        <is>
          <t>$39.00</t>
        </is>
      </c>
      <c r="H2606" s="4" t="inlineStr">
        <is>
          <t>Black</t>
        </is>
      </c>
      <c r="I2606" s="4">
        <f>IMAGE("https://images.lululemon.com/is/image/lululemon/0001",1)</f>
        <v/>
      </c>
      <c r="J2606" s="4" t="inlineStr">
        <is>
          <t>6</t>
        </is>
      </c>
      <c r="K2606" s="4" t="inlineStr">
        <is>
          <t>379/4155</t>
        </is>
      </c>
      <c r="L2606" s="4" t="inlineStr">
        <is>
          <t>Yes</t>
        </is>
      </c>
      <c r="M2606" s="4" t="inlineStr">
        <is>
          <t>When feeling nothing is everything. Get the buttery-softness of lululemon Align™ in this skirt that has a built-in shorts liner.</t>
        </is>
      </c>
      <c r="N2606" s="4" t="inlineStr">
        <is>
          <t>lululemon-Align-High-Rise-Skirt</t>
        </is>
      </c>
      <c r="O2606" s="4" t="inlineStr">
        <is>
          <t>Skorts</t>
        </is>
      </c>
    </row>
    <row r="2607" ht="80" customHeight="1">
      <c r="A2607" s="7">
        <f>IMAGE("https://images.lululemon.com/is/image/lululemon/LW8ALWS_0002_1?wid=320&amp;op_usm=0.8",1)</f>
        <v/>
      </c>
      <c r="B2607" s="7" t="inlineStr">
        <is>
          <t>lululemon Align™ High-Rise Skirt</t>
        </is>
      </c>
      <c r="C2607" s="7" t="inlineStr">
        <is>
          <t>153104654</t>
        </is>
      </c>
      <c r="D2607" s="7" t="inlineStr">
        <is>
          <t>153104654-black</t>
        </is>
      </c>
      <c r="E2607" s="7" t="inlineStr">
        <is>
          <t>lululemon Align™ High-Rise Skirt BLK 0</t>
        </is>
      </c>
      <c r="F2607" s="7" t="inlineStr">
        <is>
          <t>$78.00</t>
        </is>
      </c>
      <c r="G2607" s="7" t="inlineStr">
        <is>
          <t>$39.00</t>
        </is>
      </c>
      <c r="H2607" s="7" t="inlineStr">
        <is>
          <t>Black</t>
        </is>
      </c>
      <c r="I2607" s="7">
        <f>IMAGE("https://images.lululemon.com/is/image/lululemon/0001",1)</f>
        <v/>
      </c>
      <c r="J2607" s="7" t="inlineStr">
        <is>
          <t>8</t>
        </is>
      </c>
      <c r="K2607" s="7" t="inlineStr">
        <is>
          <t>319/4155</t>
        </is>
      </c>
      <c r="L2607" s="7" t="inlineStr">
        <is>
          <t>Yes</t>
        </is>
      </c>
      <c r="M2607" s="7" t="inlineStr">
        <is>
          <t>When feeling nothing is everything. Get the buttery-softness of lululemon Align™ in this skirt that has a built-in shorts liner.</t>
        </is>
      </c>
      <c r="N2607" s="7" t="inlineStr">
        <is>
          <t>lululemon-Align-High-Rise-Skirt</t>
        </is>
      </c>
      <c r="O2607" s="7" t="inlineStr">
        <is>
          <t>Skorts</t>
        </is>
      </c>
    </row>
    <row r="2608" ht="80" customHeight="1">
      <c r="A2608" s="4">
        <f>IMAGE("https://images.lululemon.com/is/image/lululemon/LW8ALWS_0002_1?wid=320&amp;op_usm=0.8",1)</f>
        <v/>
      </c>
      <c r="B2608" s="4" t="inlineStr">
        <is>
          <t>lululemon Align™ High-Rise Skirt</t>
        </is>
      </c>
      <c r="C2608" s="4" t="inlineStr">
        <is>
          <t>153104642</t>
        </is>
      </c>
      <c r="D2608" s="4" t="inlineStr">
        <is>
          <t>153104642-black</t>
        </is>
      </c>
      <c r="E2608" s="4" t="inlineStr">
        <is>
          <t>lululemon Align™ High-Rise Skirt BLK 0</t>
        </is>
      </c>
      <c r="F2608" s="4" t="inlineStr">
        <is>
          <t>$78.00</t>
        </is>
      </c>
      <c r="G2608" s="4" t="inlineStr">
        <is>
          <t>$39.00</t>
        </is>
      </c>
      <c r="H2608" s="4" t="inlineStr">
        <is>
          <t>Black</t>
        </is>
      </c>
      <c r="I2608" s="4">
        <f>IMAGE("https://images.lululemon.com/is/image/lululemon/0001",1)</f>
        <v/>
      </c>
      <c r="J2608" s="4" t="inlineStr">
        <is>
          <t>10</t>
        </is>
      </c>
      <c r="K2608" s="4" t="inlineStr">
        <is>
          <t>118/4155</t>
        </is>
      </c>
      <c r="L2608" s="4" t="inlineStr">
        <is>
          <t>Yes</t>
        </is>
      </c>
      <c r="M2608" s="4" t="inlineStr">
        <is>
          <t>When feeling nothing is everything. Get the buttery-softness of lululemon Align™ in this skirt that has a built-in shorts liner.</t>
        </is>
      </c>
      <c r="N2608" s="4" t="inlineStr">
        <is>
          <t>lululemon-Align-High-Rise-Skirt</t>
        </is>
      </c>
      <c r="O2608" s="4" t="inlineStr">
        <is>
          <t>Skorts</t>
        </is>
      </c>
    </row>
    <row r="2609" ht="80" customHeight="1">
      <c r="A2609" s="7">
        <f>IMAGE("https://images.lululemon.com/is/image/lululemon/LW8ALWS_0002_1?wid=320&amp;op_usm=0.8",1)</f>
        <v/>
      </c>
      <c r="B2609" s="7" t="inlineStr">
        <is>
          <t>lululemon Align™ High-Rise Skirt</t>
        </is>
      </c>
      <c r="C2609" s="7" t="inlineStr">
        <is>
          <t>153104643</t>
        </is>
      </c>
      <c r="D2609" s="7" t="inlineStr">
        <is>
          <t>153104643-black</t>
        </is>
      </c>
      <c r="E2609" s="7" t="inlineStr">
        <is>
          <t>lululemon Align™ High-Rise Skirt BLK 0</t>
        </is>
      </c>
      <c r="F2609" s="7" t="inlineStr">
        <is>
          <t>$78.00</t>
        </is>
      </c>
      <c r="G2609" s="7" t="inlineStr">
        <is>
          <t>$39.00</t>
        </is>
      </c>
      <c r="H2609" s="7" t="inlineStr">
        <is>
          <t>Black</t>
        </is>
      </c>
      <c r="I2609" s="7">
        <f>IMAGE("https://images.lululemon.com/is/image/lululemon/0001",1)</f>
        <v/>
      </c>
      <c r="J2609" s="7" t="inlineStr">
        <is>
          <t>12</t>
        </is>
      </c>
      <c r="K2609" s="7" t="inlineStr">
        <is>
          <t>63/4155</t>
        </is>
      </c>
      <c r="L2609" s="7" t="inlineStr">
        <is>
          <t>Yes</t>
        </is>
      </c>
      <c r="M2609" s="7" t="inlineStr">
        <is>
          <t>When feeling nothing is everything. Get the buttery-softness of lululemon Align™ in this skirt that has a built-in shorts liner.</t>
        </is>
      </c>
      <c r="N2609" s="7" t="inlineStr">
        <is>
          <t>lululemon-Align-High-Rise-Skirt</t>
        </is>
      </c>
      <c r="O2609" s="7" t="inlineStr">
        <is>
          <t>Skorts</t>
        </is>
      </c>
    </row>
    <row r="2610" ht="80" customHeight="1">
      <c r="A2610" s="4">
        <f>IMAGE("https://images.lululemon.com/is/image/lululemon/LW8ALWS_0002_1?wid=320&amp;op_usm=0.8",1)</f>
        <v/>
      </c>
      <c r="B2610" s="4" t="inlineStr">
        <is>
          <t>lululemon Align™ High-Rise Skirt</t>
        </is>
      </c>
      <c r="C2610" s="4" t="inlineStr">
        <is>
          <t>153104661</t>
        </is>
      </c>
      <c r="D2610" s="4" t="inlineStr">
        <is>
          <t>153104661-truenavy</t>
        </is>
      </c>
      <c r="E2610" s="4" t="inlineStr">
        <is>
          <t>lululemon Align™ High-Rise Skirt BLK 0</t>
        </is>
      </c>
      <c r="F2610" s="4" t="inlineStr">
        <is>
          <t>$78.00</t>
        </is>
      </c>
      <c r="G2610" s="4" t="inlineStr">
        <is>
          <t>$39.00</t>
        </is>
      </c>
      <c r="H2610" s="4" t="inlineStr">
        <is>
          <t>True Navy</t>
        </is>
      </c>
      <c r="I2610" s="4">
        <f>IMAGE("https://images.lululemon.com/is/image/lululemon/31382",1)</f>
        <v/>
      </c>
      <c r="J2610" s="4" t="inlineStr">
        <is>
          <t>2</t>
        </is>
      </c>
      <c r="K2610" s="4" t="inlineStr">
        <is>
          <t>508/4155</t>
        </is>
      </c>
      <c r="L2610" s="4" t="inlineStr">
        <is>
          <t>Yes</t>
        </is>
      </c>
      <c r="M2610" s="4" t="inlineStr">
        <is>
          <t>When feeling nothing is everything. Get the buttery-softness of lululemon Align™ in this skirt that has a built-in shorts liner.</t>
        </is>
      </c>
      <c r="N2610" s="4" t="inlineStr">
        <is>
          <t>lululemon-Align-High-Rise-Skirt</t>
        </is>
      </c>
      <c r="O2610" s="4" t="inlineStr">
        <is>
          <t>Skorts</t>
        </is>
      </c>
    </row>
    <row r="2611" ht="80" customHeight="1">
      <c r="A2611" s="7">
        <f>IMAGE("https://images.lululemon.com/is/image/lululemon/LW8ALWS_0002_1?wid=320&amp;op_usm=0.8",1)</f>
        <v/>
      </c>
      <c r="B2611" s="7" t="inlineStr">
        <is>
          <t>lululemon Align™ High-Rise Skirt</t>
        </is>
      </c>
      <c r="C2611" s="7" t="inlineStr">
        <is>
          <t>153104666</t>
        </is>
      </c>
      <c r="D2611" s="7" t="inlineStr">
        <is>
          <t>153104666-truenavy</t>
        </is>
      </c>
      <c r="E2611" s="7" t="inlineStr">
        <is>
          <t>lululemon Align™ High-Rise Skirt BLK 0</t>
        </is>
      </c>
      <c r="F2611" s="7" t="inlineStr">
        <is>
          <t>$78.00</t>
        </is>
      </c>
      <c r="G2611" s="7" t="inlineStr">
        <is>
          <t>$39.00</t>
        </is>
      </c>
      <c r="H2611" s="7" t="inlineStr">
        <is>
          <t>True Navy</t>
        </is>
      </c>
      <c r="I2611" s="7">
        <f>IMAGE("https://images.lululemon.com/is/image/lululemon/31382",1)</f>
        <v/>
      </c>
      <c r="J2611" s="7" t="inlineStr">
        <is>
          <t>4</t>
        </is>
      </c>
      <c r="K2611" s="7" t="inlineStr">
        <is>
          <t>461/4155</t>
        </is>
      </c>
      <c r="L2611" s="7" t="inlineStr">
        <is>
          <t>Yes</t>
        </is>
      </c>
      <c r="M2611" s="7" t="inlineStr">
        <is>
          <t>When feeling nothing is everything. Get the buttery-softness of lululemon Align™ in this skirt that has a built-in shorts liner.</t>
        </is>
      </c>
      <c r="N2611" s="7" t="inlineStr">
        <is>
          <t>lululemon-Align-High-Rise-Skirt</t>
        </is>
      </c>
      <c r="O2611" s="7" t="inlineStr">
        <is>
          <t>Skorts</t>
        </is>
      </c>
    </row>
    <row r="2612" ht="80" customHeight="1">
      <c r="A2612" s="4">
        <f>IMAGE("https://images.lululemon.com/is/image/lululemon/LW8ALWS_0002_1?wid=320&amp;op_usm=0.8",1)</f>
        <v/>
      </c>
      <c r="B2612" s="4" t="inlineStr">
        <is>
          <t>lululemon Align™ High-Rise Skirt</t>
        </is>
      </c>
      <c r="C2612" s="4" t="inlineStr">
        <is>
          <t>153104667</t>
        </is>
      </c>
      <c r="D2612" s="4" t="inlineStr">
        <is>
          <t>153104667-truenavy</t>
        </is>
      </c>
      <c r="E2612" s="4" t="inlineStr">
        <is>
          <t>lululemon Align™ High-Rise Skirt BLK 0</t>
        </is>
      </c>
      <c r="F2612" s="4" t="inlineStr">
        <is>
          <t>$78.00</t>
        </is>
      </c>
      <c r="G2612" s="4" t="inlineStr">
        <is>
          <t>$39.00</t>
        </is>
      </c>
      <c r="H2612" s="4" t="inlineStr">
        <is>
          <t>True Navy</t>
        </is>
      </c>
      <c r="I2612" s="4">
        <f>IMAGE("https://images.lululemon.com/is/image/lululemon/31382",1)</f>
        <v/>
      </c>
      <c r="J2612" s="4" t="inlineStr">
        <is>
          <t>6</t>
        </is>
      </c>
      <c r="K2612" s="4" t="inlineStr">
        <is>
          <t>457/4155</t>
        </is>
      </c>
      <c r="L2612" s="4" t="inlineStr">
        <is>
          <t>Yes</t>
        </is>
      </c>
      <c r="M2612" s="4" t="inlineStr">
        <is>
          <t>When feeling nothing is everything. Get the buttery-softness of lululemon Align™ in this skirt that has a built-in shorts liner.</t>
        </is>
      </c>
      <c r="N2612" s="4" t="inlineStr">
        <is>
          <t>lululemon-Align-High-Rise-Skirt</t>
        </is>
      </c>
      <c r="O2612" s="4" t="inlineStr">
        <is>
          <t>Skorts</t>
        </is>
      </c>
    </row>
    <row r="2613" ht="80" customHeight="1">
      <c r="A2613" s="7">
        <f>IMAGE("https://images.lululemon.com/is/image/lululemon/LW8ALWS_0002_1?wid=320&amp;op_usm=0.8",1)</f>
        <v/>
      </c>
      <c r="B2613" s="7" t="inlineStr">
        <is>
          <t>lululemon Align™ High-Rise Skirt</t>
        </is>
      </c>
      <c r="C2613" s="7" t="inlineStr">
        <is>
          <t>153104668</t>
        </is>
      </c>
      <c r="D2613" s="7" t="inlineStr">
        <is>
          <t>153104668-truenavy</t>
        </is>
      </c>
      <c r="E2613" s="7" t="inlineStr">
        <is>
          <t>lululemon Align™ High-Rise Skirt BLK 0</t>
        </is>
      </c>
      <c r="F2613" s="7" t="inlineStr">
        <is>
          <t>$78.00</t>
        </is>
      </c>
      <c r="G2613" s="7" t="inlineStr">
        <is>
          <t>$39.00</t>
        </is>
      </c>
      <c r="H2613" s="7" t="inlineStr">
        <is>
          <t>True Navy</t>
        </is>
      </c>
      <c r="I2613" s="7">
        <f>IMAGE("https://images.lululemon.com/is/image/lululemon/31382",1)</f>
        <v/>
      </c>
      <c r="J2613" s="7" t="inlineStr">
        <is>
          <t>8</t>
        </is>
      </c>
      <c r="K2613" s="7" t="inlineStr">
        <is>
          <t>65/4155</t>
        </is>
      </c>
      <c r="L2613" s="7" t="inlineStr">
        <is>
          <t>Yes</t>
        </is>
      </c>
      <c r="M2613" s="7" t="inlineStr">
        <is>
          <t>When feeling nothing is everything. Get the buttery-softness of lululemon Align™ in this skirt that has a built-in shorts liner.</t>
        </is>
      </c>
      <c r="N2613" s="7" t="inlineStr">
        <is>
          <t>lululemon-Align-High-Rise-Skirt</t>
        </is>
      </c>
      <c r="O2613" s="7" t="inlineStr">
        <is>
          <t>Skorts</t>
        </is>
      </c>
    </row>
    <row r="2614" ht="80" customHeight="1">
      <c r="A2614" s="4">
        <f>IMAGE("https://images.lululemon.com/is/image/lululemon/LW8ALWS_0002_1?wid=320&amp;op_usm=0.8",1)</f>
        <v/>
      </c>
      <c r="B2614" s="4" t="inlineStr">
        <is>
          <t>lululemon Align™ High-Rise Skirt</t>
        </is>
      </c>
      <c r="C2614" s="4" t="inlineStr">
        <is>
          <t>153104656</t>
        </is>
      </c>
      <c r="D2614" s="4" t="inlineStr">
        <is>
          <t>153104656-truenavy</t>
        </is>
      </c>
      <c r="E2614" s="4" t="inlineStr">
        <is>
          <t>lululemon Align™ High-Rise Skirt BLK 0</t>
        </is>
      </c>
      <c r="F2614" s="4" t="inlineStr">
        <is>
          <t>$78.00</t>
        </is>
      </c>
      <c r="G2614" s="4" t="inlineStr">
        <is>
          <t>$39.00</t>
        </is>
      </c>
      <c r="H2614" s="4" t="inlineStr">
        <is>
          <t>True Navy</t>
        </is>
      </c>
      <c r="I2614" s="4">
        <f>IMAGE("https://images.lululemon.com/is/image/lululemon/31382",1)</f>
        <v/>
      </c>
      <c r="J2614" s="4" t="inlineStr">
        <is>
          <t>10</t>
        </is>
      </c>
      <c r="K2614" s="4" t="inlineStr">
        <is>
          <t>132/4155</t>
        </is>
      </c>
      <c r="L2614" s="4" t="inlineStr">
        <is>
          <t>Yes</t>
        </is>
      </c>
      <c r="M2614" s="4" t="inlineStr">
        <is>
          <t>When feeling nothing is everything. Get the buttery-softness of lululemon Align™ in this skirt that has a built-in shorts liner.</t>
        </is>
      </c>
      <c r="N2614" s="4" t="inlineStr">
        <is>
          <t>lululemon-Align-High-Rise-Skirt</t>
        </is>
      </c>
      <c r="O2614" s="4" t="inlineStr">
        <is>
          <t>Skorts</t>
        </is>
      </c>
    </row>
    <row r="2615" ht="80" customHeight="1">
      <c r="A2615" s="7">
        <f>IMAGE("https://images.lululemon.com/is/image/lululemon/LW8ALWS_0002_1?wid=320&amp;op_usm=0.8",1)</f>
        <v/>
      </c>
      <c r="B2615" s="7" t="inlineStr">
        <is>
          <t>lululemon Align™ High-Rise Skirt</t>
        </is>
      </c>
      <c r="C2615" s="7" t="inlineStr">
        <is>
          <t>153104657</t>
        </is>
      </c>
      <c r="D2615" s="7" t="inlineStr">
        <is>
          <t>153104657-truenavy</t>
        </is>
      </c>
      <c r="E2615" s="7" t="inlineStr">
        <is>
          <t>lululemon Align™ High-Rise Skirt BLK 0</t>
        </is>
      </c>
      <c r="F2615" s="7" t="inlineStr">
        <is>
          <t>$78.00</t>
        </is>
      </c>
      <c r="G2615" s="7" t="inlineStr">
        <is>
          <t>$39.00</t>
        </is>
      </c>
      <c r="H2615" s="7" t="inlineStr">
        <is>
          <t>True Navy</t>
        </is>
      </c>
      <c r="I2615" s="7">
        <f>IMAGE("https://images.lululemon.com/is/image/lululemon/31382",1)</f>
        <v/>
      </c>
      <c r="J2615" s="7" t="inlineStr">
        <is>
          <t>12</t>
        </is>
      </c>
      <c r="K2615" s="7" t="inlineStr">
        <is>
          <t>143/4155</t>
        </is>
      </c>
      <c r="L2615" s="7" t="inlineStr">
        <is>
          <t>Yes</t>
        </is>
      </c>
      <c r="M2615" s="7" t="inlineStr">
        <is>
          <t>When feeling nothing is everything. Get the buttery-softness of lululemon Align™ in this skirt that has a built-in shorts liner.</t>
        </is>
      </c>
      <c r="N2615" s="7" t="inlineStr">
        <is>
          <t>lululemon-Align-High-Rise-Skirt</t>
        </is>
      </c>
      <c r="O2615" s="7" t="inlineStr">
        <is>
          <t>Skorts</t>
        </is>
      </c>
    </row>
    <row r="2616" ht="80" customHeight="1">
      <c r="A2616" s="4">
        <f>IMAGE("https://images.lululemon.com/is/image/lululemon/LW8ALWS_0002_1?wid=320&amp;op_usm=0.8",1)</f>
        <v/>
      </c>
      <c r="B2616" s="4" t="inlineStr">
        <is>
          <t>lululemon Align™ High-Rise Skirt</t>
        </is>
      </c>
      <c r="C2616" s="4" t="inlineStr">
        <is>
          <t>153104658</t>
        </is>
      </c>
      <c r="D2616" s="4" t="inlineStr">
        <is>
          <t>153104658-truenavy</t>
        </is>
      </c>
      <c r="E2616" s="4" t="inlineStr">
        <is>
          <t>lululemon Align™ High-Rise Skirt BLK 0</t>
        </is>
      </c>
      <c r="F2616" s="4" t="inlineStr">
        <is>
          <t>$78.00</t>
        </is>
      </c>
      <c r="G2616" s="4" t="inlineStr">
        <is>
          <t>$39.00</t>
        </is>
      </c>
      <c r="H2616" s="4" t="inlineStr">
        <is>
          <t>True Navy</t>
        </is>
      </c>
      <c r="I2616" s="4">
        <f>IMAGE("https://images.lululemon.com/is/image/lululemon/31382",1)</f>
        <v/>
      </c>
      <c r="J2616" s="4" t="inlineStr">
        <is>
          <t>14</t>
        </is>
      </c>
      <c r="K2616" s="4" t="inlineStr">
        <is>
          <t>8/4155</t>
        </is>
      </c>
      <c r="L2616" s="4" t="inlineStr">
        <is>
          <t>Yes</t>
        </is>
      </c>
      <c r="M2616" s="4" t="inlineStr">
        <is>
          <t>When feeling nothing is everything. Get the buttery-softness of lululemon Align™ in this skirt that has a built-in shorts liner.</t>
        </is>
      </c>
      <c r="N2616" s="4" t="inlineStr">
        <is>
          <t>lululemon-Align-High-Rise-Skirt</t>
        </is>
      </c>
      <c r="O2616" s="4" t="inlineStr">
        <is>
          <t>Skorts</t>
        </is>
      </c>
    </row>
    <row r="2617" ht="80" customHeight="1">
      <c r="A2617" s="7">
        <f>IMAGE("https://images.lululemon.com/is/image/lululemon/LW8ALWS_0002_1?wid=320&amp;op_usm=0.8",1)</f>
        <v/>
      </c>
      <c r="B2617" s="7" t="inlineStr">
        <is>
          <t>lululemon Align™ High-Rise Skirt</t>
        </is>
      </c>
      <c r="C2617" s="7" t="inlineStr">
        <is>
          <t>152950183</t>
        </is>
      </c>
      <c r="D2617" s="7" t="inlineStr">
        <is>
          <t>152950183-white</t>
        </is>
      </c>
      <c r="E2617" s="7" t="inlineStr">
        <is>
          <t>lululemon Align™ High-Rise Skirt BLK 0</t>
        </is>
      </c>
      <c r="F2617" s="7" t="inlineStr">
        <is>
          <t>$78.00</t>
        </is>
      </c>
      <c r="G2617" s="7" t="inlineStr">
        <is>
          <t>$39.00</t>
        </is>
      </c>
      <c r="H2617" s="7" t="inlineStr">
        <is>
          <t>White</t>
        </is>
      </c>
      <c r="I2617" s="7">
        <f>IMAGE("https://images.lululemon.com/is/image/lululemon/0002",1)</f>
        <v/>
      </c>
      <c r="J2617" s="7" t="inlineStr">
        <is>
          <t>2</t>
        </is>
      </c>
      <c r="K2617" s="7" t="inlineStr">
        <is>
          <t>53/4155</t>
        </is>
      </c>
      <c r="L2617" s="7" t="inlineStr">
        <is>
          <t>Yes</t>
        </is>
      </c>
      <c r="M2617" s="7" t="inlineStr">
        <is>
          <t>When feeling nothing is everything. Get the buttery-softness of lululemon Align™ in this skirt that has a built-in shorts liner.</t>
        </is>
      </c>
      <c r="N2617" s="7" t="inlineStr">
        <is>
          <t>lululemon-Align-High-Rise-Skirt</t>
        </is>
      </c>
      <c r="O2617" s="7" t="inlineStr">
        <is>
          <t>Skorts</t>
        </is>
      </c>
    </row>
    <row r="2618" ht="80" customHeight="1">
      <c r="A2618" s="4">
        <f>IMAGE("https://images.lululemon.com/is/image/lululemon/LW8ALWS_0002_1?wid=320&amp;op_usm=0.8",1)</f>
        <v/>
      </c>
      <c r="B2618" s="4" t="inlineStr">
        <is>
          <t>lululemon Align™ High-Rise Skirt</t>
        </is>
      </c>
      <c r="C2618" s="4" t="inlineStr">
        <is>
          <t>152950188</t>
        </is>
      </c>
      <c r="D2618" s="4" t="inlineStr">
        <is>
          <t>152950188-white</t>
        </is>
      </c>
      <c r="E2618" s="4" t="inlineStr">
        <is>
          <t>lululemon Align™ High-Rise Skirt BLK 0</t>
        </is>
      </c>
      <c r="F2618" s="4" t="inlineStr">
        <is>
          <t>$78.00</t>
        </is>
      </c>
      <c r="G2618" s="4" t="inlineStr">
        <is>
          <t>$39.00</t>
        </is>
      </c>
      <c r="H2618" s="4" t="inlineStr">
        <is>
          <t>White</t>
        </is>
      </c>
      <c r="I2618" s="4">
        <f>IMAGE("https://images.lululemon.com/is/image/lululemon/0002",1)</f>
        <v/>
      </c>
      <c r="J2618" s="4" t="inlineStr">
        <is>
          <t>4</t>
        </is>
      </c>
      <c r="K2618" s="4" t="inlineStr">
        <is>
          <t>15/4155</t>
        </is>
      </c>
      <c r="L2618" s="4" t="inlineStr">
        <is>
          <t>Yes</t>
        </is>
      </c>
      <c r="M2618" s="4" t="inlineStr">
        <is>
          <t>When feeling nothing is everything. Get the buttery-softness of lululemon Align™ in this skirt that has a built-in shorts liner.</t>
        </is>
      </c>
      <c r="N2618" s="4" t="inlineStr">
        <is>
          <t>lululemon-Align-High-Rise-Skirt</t>
        </is>
      </c>
      <c r="O2618" s="4" t="inlineStr">
        <is>
          <t>Skorts</t>
        </is>
      </c>
    </row>
    <row r="2619" ht="80" customHeight="1">
      <c r="A2619" s="7">
        <f>IMAGE("https://images.lululemon.com/is/image/lululemon/LW8ALWS_0002_1?wid=320&amp;op_usm=0.8",1)</f>
        <v/>
      </c>
      <c r="B2619" s="7" t="inlineStr">
        <is>
          <t>lululemon Align™ High-Rise Skirt</t>
        </is>
      </c>
      <c r="C2619" s="7" t="inlineStr">
        <is>
          <t>152950189</t>
        </is>
      </c>
      <c r="D2619" s="7" t="inlineStr">
        <is>
          <t>152950189-white</t>
        </is>
      </c>
      <c r="E2619" s="7" t="inlineStr">
        <is>
          <t>lululemon Align™ High-Rise Skirt BLK 0</t>
        </is>
      </c>
      <c r="F2619" s="7" t="inlineStr">
        <is>
          <t>$78.00</t>
        </is>
      </c>
      <c r="G2619" s="7" t="inlineStr">
        <is>
          <t>$39.00</t>
        </is>
      </c>
      <c r="H2619" s="7" t="inlineStr">
        <is>
          <t>White</t>
        </is>
      </c>
      <c r="I2619" s="7">
        <f>IMAGE("https://images.lululemon.com/is/image/lululemon/0002",1)</f>
        <v/>
      </c>
      <c r="J2619" s="7" t="inlineStr">
        <is>
          <t>6</t>
        </is>
      </c>
      <c r="K2619" s="7" t="inlineStr">
        <is>
          <t>70/4155</t>
        </is>
      </c>
      <c r="L2619" s="7" t="inlineStr">
        <is>
          <t>Yes</t>
        </is>
      </c>
      <c r="M2619" s="7" t="inlineStr">
        <is>
          <t>When feeling nothing is everything. Get the buttery-softness of lululemon Align™ in this skirt that has a built-in shorts liner.</t>
        </is>
      </c>
      <c r="N2619" s="7" t="inlineStr">
        <is>
          <t>lululemon-Align-High-Rise-Skirt</t>
        </is>
      </c>
      <c r="O2619" s="7" t="inlineStr">
        <is>
          <t>Skorts</t>
        </is>
      </c>
    </row>
    <row r="2620" ht="80" customHeight="1">
      <c r="A2620" s="4">
        <f>IMAGE("https://images.lululemon.com/is/image/lululemon/LW8ALWS_0002_1?wid=320&amp;op_usm=0.8",1)</f>
        <v/>
      </c>
      <c r="B2620" s="4" t="inlineStr">
        <is>
          <t>lululemon Align™ High-Rise Skirt</t>
        </is>
      </c>
      <c r="C2620" s="4" t="inlineStr">
        <is>
          <t>152950190</t>
        </is>
      </c>
      <c r="D2620" s="4" t="inlineStr">
        <is>
          <t>152950190-white</t>
        </is>
      </c>
      <c r="E2620" s="4" t="inlineStr">
        <is>
          <t>lululemon Align™ High-Rise Skirt BLK 0</t>
        </is>
      </c>
      <c r="F2620" s="4" t="inlineStr">
        <is>
          <t>$78.00</t>
        </is>
      </c>
      <c r="G2620" s="4" t="inlineStr">
        <is>
          <t>$39.00</t>
        </is>
      </c>
      <c r="H2620" s="4" t="inlineStr">
        <is>
          <t>White</t>
        </is>
      </c>
      <c r="I2620" s="4">
        <f>IMAGE("https://images.lululemon.com/is/image/lululemon/0002",1)</f>
        <v/>
      </c>
      <c r="J2620" s="4" t="inlineStr">
        <is>
          <t>8</t>
        </is>
      </c>
      <c r="K2620" s="4" t="inlineStr">
        <is>
          <t>73/4155</t>
        </is>
      </c>
      <c r="L2620" s="4" t="inlineStr">
        <is>
          <t>Yes</t>
        </is>
      </c>
      <c r="M2620" s="4" t="inlineStr">
        <is>
          <t>When feeling nothing is everything. Get the buttery-softness of lululemon Align™ in this skirt that has a built-in shorts liner.</t>
        </is>
      </c>
      <c r="N2620" s="4" t="inlineStr">
        <is>
          <t>lululemon-Align-High-Rise-Skirt</t>
        </is>
      </c>
      <c r="O2620" s="4" t="inlineStr">
        <is>
          <t>Skorts</t>
        </is>
      </c>
    </row>
    <row r="2621" ht="80" customHeight="1">
      <c r="A2621" s="7">
        <f>IMAGE("https://images.lululemon.com/is/image/lululemon/LW8ALWS_0002_1?wid=320&amp;op_usm=0.8",1)</f>
        <v/>
      </c>
      <c r="B2621" s="7" t="inlineStr">
        <is>
          <t>lululemon Align™ High-Rise Skirt</t>
        </is>
      </c>
      <c r="C2621" s="7" t="inlineStr">
        <is>
          <t>152950178</t>
        </is>
      </c>
      <c r="D2621" s="7" t="inlineStr">
        <is>
          <t>152950178-white</t>
        </is>
      </c>
      <c r="E2621" s="7" t="inlineStr">
        <is>
          <t>lululemon Align™ High-Rise Skirt BLK 0</t>
        </is>
      </c>
      <c r="F2621" s="7" t="inlineStr">
        <is>
          <t>$78.00</t>
        </is>
      </c>
      <c r="G2621" s="7" t="inlineStr">
        <is>
          <t>$39.00</t>
        </is>
      </c>
      <c r="H2621" s="7" t="inlineStr">
        <is>
          <t>White</t>
        </is>
      </c>
      <c r="I2621" s="7">
        <f>IMAGE("https://images.lululemon.com/is/image/lululemon/0002",1)</f>
        <v/>
      </c>
      <c r="J2621" s="7" t="inlineStr">
        <is>
          <t>10</t>
        </is>
      </c>
      <c r="K2621" s="7" t="inlineStr">
        <is>
          <t>71/4155</t>
        </is>
      </c>
      <c r="L2621" s="7" t="inlineStr">
        <is>
          <t>Yes</t>
        </is>
      </c>
      <c r="M2621" s="7" t="inlineStr">
        <is>
          <t>When feeling nothing is everything. Get the buttery-softness of lululemon Align™ in this skirt that has a built-in shorts liner.</t>
        </is>
      </c>
      <c r="N2621" s="7" t="inlineStr">
        <is>
          <t>lululemon-Align-High-Rise-Skirt</t>
        </is>
      </c>
      <c r="O2621" s="7" t="inlineStr">
        <is>
          <t>Skorts</t>
        </is>
      </c>
    </row>
    <row r="2622" ht="80" customHeight="1">
      <c r="A2622" s="4">
        <f>IMAGE("https://images.lululemon.com/is/image/lululemon/LW8ALWS_0002_1?wid=320&amp;op_usm=0.8",1)</f>
        <v/>
      </c>
      <c r="B2622" s="4" t="inlineStr">
        <is>
          <t>lululemon Align™ High-Rise Skirt</t>
        </is>
      </c>
      <c r="C2622" s="4" t="inlineStr">
        <is>
          <t>152950179</t>
        </is>
      </c>
      <c r="D2622" s="4" t="inlineStr">
        <is>
          <t>152950179-white</t>
        </is>
      </c>
      <c r="E2622" s="4" t="inlineStr">
        <is>
          <t>lululemon Align™ High-Rise Skirt BLK 0</t>
        </is>
      </c>
      <c r="F2622" s="4" t="inlineStr">
        <is>
          <t>$78.00</t>
        </is>
      </c>
      <c r="G2622" s="4" t="inlineStr">
        <is>
          <t>$39.00</t>
        </is>
      </c>
      <c r="H2622" s="4" t="inlineStr">
        <is>
          <t>White</t>
        </is>
      </c>
      <c r="I2622" s="4">
        <f>IMAGE("https://images.lululemon.com/is/image/lululemon/0002",1)</f>
        <v/>
      </c>
      <c r="J2622" s="4" t="inlineStr">
        <is>
          <t>12</t>
        </is>
      </c>
      <c r="K2622" s="4" t="inlineStr">
        <is>
          <t>120/4155</t>
        </is>
      </c>
      <c r="L2622" s="4" t="inlineStr">
        <is>
          <t>Yes</t>
        </is>
      </c>
      <c r="M2622" s="4" t="inlineStr">
        <is>
          <t>When feeling nothing is everything. Get the buttery-softness of lululemon Align™ in this skirt that has a built-in shorts liner.</t>
        </is>
      </c>
      <c r="N2622" s="4" t="inlineStr">
        <is>
          <t>lululemon-Align-High-Rise-Skirt</t>
        </is>
      </c>
      <c r="O2622" s="4" t="inlineStr">
        <is>
          <t>Skorts</t>
        </is>
      </c>
    </row>
    <row r="2623" ht="80" customHeight="1">
      <c r="A2623" s="7">
        <f>IMAGE("https://images.lululemon.com/is/image/lululemon/LW8ALWS_0002_1?wid=320&amp;op_usm=0.8",1)</f>
        <v/>
      </c>
      <c r="B2623" s="7" t="inlineStr">
        <is>
          <t>lululemon Align™ High-Rise Skirt</t>
        </is>
      </c>
      <c r="C2623" s="7" t="inlineStr">
        <is>
          <t>152950180</t>
        </is>
      </c>
      <c r="D2623" s="7" t="inlineStr">
        <is>
          <t>152950180-white</t>
        </is>
      </c>
      <c r="E2623" s="7" t="inlineStr">
        <is>
          <t>lululemon Align™ High-Rise Skirt BLK 0</t>
        </is>
      </c>
      <c r="F2623" s="7" t="inlineStr">
        <is>
          <t>$78.00</t>
        </is>
      </c>
      <c r="G2623" s="7" t="inlineStr">
        <is>
          <t>$39.00</t>
        </is>
      </c>
      <c r="H2623" s="7" t="inlineStr">
        <is>
          <t>White</t>
        </is>
      </c>
      <c r="I2623" s="7">
        <f>IMAGE("https://images.lululemon.com/is/image/lululemon/0002",1)</f>
        <v/>
      </c>
      <c r="J2623" s="7" t="inlineStr">
        <is>
          <t>14</t>
        </is>
      </c>
      <c r="K2623" s="7" t="inlineStr">
        <is>
          <t>62/4155</t>
        </is>
      </c>
      <c r="L2623" s="7" t="inlineStr">
        <is>
          <t>Yes</t>
        </is>
      </c>
      <c r="M2623" s="7" t="inlineStr">
        <is>
          <t>When feeling nothing is everything. Get the buttery-softness of lululemon Align™ in this skirt that has a built-in shorts liner.</t>
        </is>
      </c>
      <c r="N2623" s="7" t="inlineStr">
        <is>
          <t>lululemon-Align-High-Rise-Skirt</t>
        </is>
      </c>
      <c r="O2623" s="7" t="inlineStr">
        <is>
          <t>Skorts</t>
        </is>
      </c>
    </row>
    <row r="2624" ht="80" customHeight="1">
      <c r="A2624" s="4">
        <f>IMAGE("https://images.lululemon.com/is/image/lululemon/LW8ALWS_0002_1?wid=320&amp;op_usm=0.8",1)</f>
        <v/>
      </c>
      <c r="B2624" s="4" t="inlineStr">
        <is>
          <t>lululemon Align™ High-Rise Skirt</t>
        </is>
      </c>
      <c r="C2624" s="4" t="inlineStr">
        <is>
          <t>157683671</t>
        </is>
      </c>
      <c r="D2624" s="4" t="inlineStr">
        <is>
          <t>157683671-pinkfrosting</t>
        </is>
      </c>
      <c r="E2624" s="4" t="inlineStr">
        <is>
          <t>lululemon Align™ High-Rise Skirt BLK 0</t>
        </is>
      </c>
      <c r="F2624" s="4" t="inlineStr">
        <is>
          <t>$78.00</t>
        </is>
      </c>
      <c r="G2624" s="4" t="inlineStr">
        <is>
          <t>$39.00</t>
        </is>
      </c>
      <c r="H2624" s="4" t="inlineStr">
        <is>
          <t>Pink Frosting</t>
        </is>
      </c>
      <c r="I2624" s="4">
        <f>IMAGE("https://images.lululemon.com/is/image/lululemon/71152",1)</f>
        <v/>
      </c>
      <c r="J2624" s="4" t="inlineStr">
        <is>
          <t>2</t>
        </is>
      </c>
      <c r="K2624" s="4" t="inlineStr">
        <is>
          <t>12/4155</t>
        </is>
      </c>
      <c r="L2624" s="4" t="inlineStr">
        <is>
          <t>Yes</t>
        </is>
      </c>
      <c r="M2624" s="4" t="inlineStr">
        <is>
          <t>When feeling nothing is everything. Get the buttery-softness of lululemon Align™ in this skirt that has a built-in shorts liner.</t>
        </is>
      </c>
      <c r="N2624" s="4" t="inlineStr">
        <is>
          <t>lululemon-Align-High-Rise-Skirt</t>
        </is>
      </c>
      <c r="O2624" s="4" t="inlineStr">
        <is>
          <t>Skorts</t>
        </is>
      </c>
    </row>
    <row r="2625" ht="80" customHeight="1">
      <c r="A2625" s="7">
        <f>IMAGE("https://images.lululemon.com/is/image/lululemon/LW8ALWS_0002_1?wid=320&amp;op_usm=0.8",1)</f>
        <v/>
      </c>
      <c r="B2625" s="7" t="inlineStr">
        <is>
          <t>lululemon Align™ High-Rise Skirt</t>
        </is>
      </c>
      <c r="C2625" s="7" t="inlineStr">
        <is>
          <t>157683679</t>
        </is>
      </c>
      <c r="D2625" s="7" t="inlineStr">
        <is>
          <t>157683679-pinkfrosting</t>
        </is>
      </c>
      <c r="E2625" s="7" t="inlineStr">
        <is>
          <t>lululemon Align™ High-Rise Skirt BLK 0</t>
        </is>
      </c>
      <c r="F2625" s="7" t="inlineStr">
        <is>
          <t>$78.00</t>
        </is>
      </c>
      <c r="G2625" s="7" t="inlineStr">
        <is>
          <t>$39.00</t>
        </is>
      </c>
      <c r="H2625" s="7" t="inlineStr">
        <is>
          <t>Pink Frosting</t>
        </is>
      </c>
      <c r="I2625" s="7">
        <f>IMAGE("https://images.lululemon.com/is/image/lululemon/71152",1)</f>
        <v/>
      </c>
      <c r="J2625" s="7" t="inlineStr">
        <is>
          <t>4</t>
        </is>
      </c>
      <c r="K2625" s="7" t="inlineStr">
        <is>
          <t>10/4155</t>
        </is>
      </c>
      <c r="L2625" s="7" t="inlineStr">
        <is>
          <t>Yes</t>
        </is>
      </c>
      <c r="M2625" s="7" t="inlineStr">
        <is>
          <t>When feeling nothing is everything. Get the buttery-softness of lululemon Align™ in this skirt that has a built-in shorts liner.</t>
        </is>
      </c>
      <c r="N2625" s="7" t="inlineStr">
        <is>
          <t>lululemon-Align-High-Rise-Skirt</t>
        </is>
      </c>
      <c r="O2625" s="7" t="inlineStr">
        <is>
          <t>Skorts</t>
        </is>
      </c>
    </row>
    <row r="2626" ht="80" customHeight="1">
      <c r="A2626" s="4">
        <f>IMAGE("https://images.lululemon.com/is/image/lululemon/LW8ALWS_0002_1?wid=320&amp;op_usm=0.8",1)</f>
        <v/>
      </c>
      <c r="B2626" s="4" t="inlineStr">
        <is>
          <t>lululemon Align™ High-Rise Skirt</t>
        </is>
      </c>
      <c r="C2626" s="4" t="inlineStr">
        <is>
          <t>157683690</t>
        </is>
      </c>
      <c r="D2626" s="4" t="inlineStr">
        <is>
          <t>157683690-pinkfrosting</t>
        </is>
      </c>
      <c r="E2626" s="4" t="inlineStr">
        <is>
          <t>lululemon Align™ High-Rise Skirt BLK 0</t>
        </is>
      </c>
      <c r="F2626" s="4" t="inlineStr">
        <is>
          <t>$78.00</t>
        </is>
      </c>
      <c r="G2626" s="4" t="inlineStr">
        <is>
          <t>$39.00</t>
        </is>
      </c>
      <c r="H2626" s="4" t="inlineStr">
        <is>
          <t>Pink Frosting</t>
        </is>
      </c>
      <c r="I2626" s="4">
        <f>IMAGE("https://images.lululemon.com/is/image/lululemon/71152",1)</f>
        <v/>
      </c>
      <c r="J2626" s="4" t="inlineStr">
        <is>
          <t>6</t>
        </is>
      </c>
      <c r="K2626" s="4" t="inlineStr">
        <is>
          <t>14/4155</t>
        </is>
      </c>
      <c r="L2626" s="4" t="inlineStr">
        <is>
          <t>Yes</t>
        </is>
      </c>
      <c r="M2626" s="4" t="inlineStr">
        <is>
          <t>When feeling nothing is everything. Get the buttery-softness of lululemon Align™ in this skirt that has a built-in shorts liner.</t>
        </is>
      </c>
      <c r="N2626" s="4" t="inlineStr">
        <is>
          <t>lululemon-Align-High-Rise-Skirt</t>
        </is>
      </c>
      <c r="O2626" s="4" t="inlineStr">
        <is>
          <t>Skorts</t>
        </is>
      </c>
    </row>
    <row r="2627" ht="80" customHeight="1">
      <c r="A2627" s="7">
        <f>IMAGE("https://images.lululemon.com/is/image/lululemon/LW8ALWS_0002_1?wid=320&amp;op_usm=0.8",1)</f>
        <v/>
      </c>
      <c r="B2627" s="7" t="inlineStr">
        <is>
          <t>lululemon Align™ High-Rise Skirt</t>
        </is>
      </c>
      <c r="C2627" s="7" t="inlineStr">
        <is>
          <t>157683698</t>
        </is>
      </c>
      <c r="D2627" s="7" t="inlineStr">
        <is>
          <t>157683698-pinkfrosting</t>
        </is>
      </c>
      <c r="E2627" s="7" t="inlineStr">
        <is>
          <t>lululemon Align™ High-Rise Skirt BLK 0</t>
        </is>
      </c>
      <c r="F2627" s="7" t="inlineStr">
        <is>
          <t>$78.00</t>
        </is>
      </c>
      <c r="G2627" s="7" t="inlineStr">
        <is>
          <t>$39.00</t>
        </is>
      </c>
      <c r="H2627" s="7" t="inlineStr">
        <is>
          <t>Pink Frosting</t>
        </is>
      </c>
      <c r="I2627" s="7">
        <f>IMAGE("https://images.lululemon.com/is/image/lululemon/71152",1)</f>
        <v/>
      </c>
      <c r="J2627" s="7" t="inlineStr">
        <is>
          <t>8</t>
        </is>
      </c>
      <c r="K2627" s="7" t="inlineStr">
        <is>
          <t>8/4155</t>
        </is>
      </c>
      <c r="L2627" s="7" t="inlineStr">
        <is>
          <t>Yes</t>
        </is>
      </c>
      <c r="M2627" s="7" t="inlineStr">
        <is>
          <t>When feeling nothing is everything. Get the buttery-softness of lululemon Align™ in this skirt that has a built-in shorts liner.</t>
        </is>
      </c>
      <c r="N2627" s="7" t="inlineStr">
        <is>
          <t>lululemon-Align-High-Rise-Skirt</t>
        </is>
      </c>
      <c r="O2627" s="7" t="inlineStr">
        <is>
          <t>Skorts</t>
        </is>
      </c>
    </row>
    <row r="2628" ht="80" customHeight="1">
      <c r="A2628" s="4">
        <f>IMAGE("https://images.lululemon.com/is/image/lululemon/LW8ALWS_0002_1?wid=320&amp;op_usm=0.8",1)</f>
        <v/>
      </c>
      <c r="B2628" s="4" t="inlineStr">
        <is>
          <t>lululemon Align™ High-Rise Skirt</t>
        </is>
      </c>
      <c r="C2628" s="4" t="inlineStr">
        <is>
          <t>157683654</t>
        </is>
      </c>
      <c r="D2628" s="4" t="inlineStr">
        <is>
          <t>157683654-pinkfrosting</t>
        </is>
      </c>
      <c r="E2628" s="4" t="inlineStr">
        <is>
          <t>lululemon Align™ High-Rise Skirt BLK 0</t>
        </is>
      </c>
      <c r="F2628" s="4" t="inlineStr">
        <is>
          <t>$78.00</t>
        </is>
      </c>
      <c r="G2628" s="4" t="inlineStr">
        <is>
          <t>$39.00</t>
        </is>
      </c>
      <c r="H2628" s="4" t="inlineStr">
        <is>
          <t>Pink Frosting</t>
        </is>
      </c>
      <c r="I2628" s="4">
        <f>IMAGE("https://images.lululemon.com/is/image/lululemon/71152",1)</f>
        <v/>
      </c>
      <c r="J2628" s="4" t="inlineStr">
        <is>
          <t>10</t>
        </is>
      </c>
      <c r="K2628" s="4" t="inlineStr">
        <is>
          <t>1/4155</t>
        </is>
      </c>
      <c r="L2628" s="4" t="inlineStr">
        <is>
          <t>Yes</t>
        </is>
      </c>
      <c r="M2628" s="4" t="inlineStr">
        <is>
          <t>When feeling nothing is everything. Get the buttery-softness of lululemon Align™ in this skirt that has a built-in shorts liner.</t>
        </is>
      </c>
      <c r="N2628" s="4" t="inlineStr">
        <is>
          <t>lululemon-Align-High-Rise-Skirt</t>
        </is>
      </c>
      <c r="O2628" s="4" t="inlineStr">
        <is>
          <t>Skorts</t>
        </is>
      </c>
    </row>
    <row r="2629" ht="80" customHeight="1">
      <c r="A2629" s="7">
        <f>IMAGE("https://images.lululemon.com/is/image/lululemon/LW8ALWS_0002_1?wid=320&amp;op_usm=0.8",1)</f>
        <v/>
      </c>
      <c r="B2629" s="7" t="inlineStr">
        <is>
          <t>lululemon Align™ High-Rise Skirt</t>
        </is>
      </c>
      <c r="C2629" s="7" t="inlineStr">
        <is>
          <t>157683663</t>
        </is>
      </c>
      <c r="D2629" s="7" t="inlineStr">
        <is>
          <t>157683663-pinkfrosting</t>
        </is>
      </c>
      <c r="E2629" s="7" t="inlineStr">
        <is>
          <t>lululemon Align™ High-Rise Skirt BLK 0</t>
        </is>
      </c>
      <c r="F2629" s="7" t="inlineStr">
        <is>
          <t>$78.00</t>
        </is>
      </c>
      <c r="G2629" s="7" t="inlineStr">
        <is>
          <t>$39.00</t>
        </is>
      </c>
      <c r="H2629" s="7" t="inlineStr">
        <is>
          <t>Pink Frosting</t>
        </is>
      </c>
      <c r="I2629" s="7">
        <f>IMAGE("https://images.lululemon.com/is/image/lululemon/71152",1)</f>
        <v/>
      </c>
      <c r="J2629" s="7" t="inlineStr">
        <is>
          <t>12</t>
        </is>
      </c>
      <c r="K2629" s="7" t="inlineStr">
        <is>
          <t>3/4155</t>
        </is>
      </c>
      <c r="L2629" s="7" t="inlineStr">
        <is>
          <t>Yes</t>
        </is>
      </c>
      <c r="M2629" s="7" t="inlineStr">
        <is>
          <t>When feeling nothing is everything. Get the buttery-softness of lululemon Align™ in this skirt that has a built-in shorts liner.</t>
        </is>
      </c>
      <c r="N2629" s="7" t="inlineStr">
        <is>
          <t>lululemon-Align-High-Rise-Skirt</t>
        </is>
      </c>
      <c r="O2629" s="7" t="inlineStr">
        <is>
          <t>Skorts</t>
        </is>
      </c>
    </row>
    <row r="2630" ht="80" customHeight="1">
      <c r="A2630" s="4">
        <f>IMAGE("https://images.lululemon.com/is/image/lululemon/LW8ALWS_0002_1?wid=320&amp;op_usm=0.8",1)</f>
        <v/>
      </c>
      <c r="B2630" s="4" t="inlineStr">
        <is>
          <t>lululemon Align™ High-Rise Skirt</t>
        </is>
      </c>
      <c r="C2630" s="4" t="inlineStr">
        <is>
          <t>158023239</t>
        </is>
      </c>
      <c r="D2630" s="4" t="inlineStr">
        <is>
          <t>158023239-berryrumble</t>
        </is>
      </c>
      <c r="E2630" s="4" t="inlineStr">
        <is>
          <t>lululemon Align™ High-Rise Skirt BLK 0</t>
        </is>
      </c>
      <c r="F2630" s="4" t="inlineStr">
        <is>
          <t>$78.00</t>
        </is>
      </c>
      <c r="G2630" s="4" t="inlineStr">
        <is>
          <t>$39.00</t>
        </is>
      </c>
      <c r="H2630" s="4" t="inlineStr">
        <is>
          <t>Berry Rumble</t>
        </is>
      </c>
      <c r="I2630" s="4">
        <f>IMAGE("https://images.lululemon.com/is/image/lululemon/21363",1)</f>
        <v/>
      </c>
      <c r="J2630" s="4" t="inlineStr">
        <is>
          <t>2</t>
        </is>
      </c>
      <c r="K2630" s="4" t="inlineStr">
        <is>
          <t>10/4155</t>
        </is>
      </c>
      <c r="L2630" s="4" t="inlineStr">
        <is>
          <t>Yes</t>
        </is>
      </c>
      <c r="M2630" s="4" t="inlineStr">
        <is>
          <t>When feeling nothing is everything. Get the buttery-softness of lululemon Align™ in this skirt that has a built-in shorts liner.</t>
        </is>
      </c>
      <c r="N2630" s="4" t="inlineStr">
        <is>
          <t>lululemon-Align-High-Rise-Skirt</t>
        </is>
      </c>
      <c r="O2630" s="4" t="inlineStr">
        <is>
          <t>Skorts</t>
        </is>
      </c>
    </row>
    <row r="2631" ht="80" customHeight="1">
      <c r="A2631" s="7">
        <f>IMAGE("https://images.lululemon.com/is/image/lululemon/LW8ALWS_0002_1?wid=320&amp;op_usm=0.8",1)</f>
        <v/>
      </c>
      <c r="B2631" s="7" t="inlineStr">
        <is>
          <t>lululemon Align™ High-Rise Skirt</t>
        </is>
      </c>
      <c r="C2631" s="7" t="inlineStr">
        <is>
          <t>158023264</t>
        </is>
      </c>
      <c r="D2631" s="7" t="inlineStr">
        <is>
          <t>158023264-berryrumble</t>
        </is>
      </c>
      <c r="E2631" s="7" t="inlineStr">
        <is>
          <t>lululemon Align™ High-Rise Skirt BLK 0</t>
        </is>
      </c>
      <c r="F2631" s="7" t="inlineStr">
        <is>
          <t>$78.00</t>
        </is>
      </c>
      <c r="G2631" s="7" t="inlineStr">
        <is>
          <t>$39.00</t>
        </is>
      </c>
      <c r="H2631" s="7" t="inlineStr">
        <is>
          <t>Berry Rumble</t>
        </is>
      </c>
      <c r="I2631" s="7">
        <f>IMAGE("https://images.lululemon.com/is/image/lululemon/21363",1)</f>
        <v/>
      </c>
      <c r="J2631" s="7" t="inlineStr">
        <is>
          <t>4</t>
        </is>
      </c>
      <c r="K2631" s="7" t="inlineStr">
        <is>
          <t>15/4155</t>
        </is>
      </c>
      <c r="L2631" s="7" t="inlineStr">
        <is>
          <t>Yes</t>
        </is>
      </c>
      <c r="M2631" s="7" t="inlineStr">
        <is>
          <t>When feeling nothing is everything. Get the buttery-softness of lululemon Align™ in this skirt that has a built-in shorts liner.</t>
        </is>
      </c>
      <c r="N2631" s="7" t="inlineStr">
        <is>
          <t>lululemon-Align-High-Rise-Skirt</t>
        </is>
      </c>
      <c r="O2631" s="7" t="inlineStr">
        <is>
          <t>Skorts</t>
        </is>
      </c>
    </row>
    <row r="2632" ht="80" customHeight="1">
      <c r="A2632" s="4">
        <f>IMAGE("https://images.lululemon.com/is/image/lululemon/LW8ALWS_0002_1?wid=320&amp;op_usm=0.8",1)</f>
        <v/>
      </c>
      <c r="B2632" s="4" t="inlineStr">
        <is>
          <t>lululemon Align™ High-Rise Skirt</t>
        </is>
      </c>
      <c r="C2632" s="4" t="inlineStr">
        <is>
          <t>158023281</t>
        </is>
      </c>
      <c r="D2632" s="4" t="inlineStr">
        <is>
          <t>158023281-berryrumble</t>
        </is>
      </c>
      <c r="E2632" s="4" t="inlineStr">
        <is>
          <t>lululemon Align™ High-Rise Skirt BLK 0</t>
        </is>
      </c>
      <c r="F2632" s="4" t="inlineStr">
        <is>
          <t>$78.00</t>
        </is>
      </c>
      <c r="G2632" s="4" t="inlineStr">
        <is>
          <t>$39.00</t>
        </is>
      </c>
      <c r="H2632" s="4" t="inlineStr">
        <is>
          <t>Berry Rumble</t>
        </is>
      </c>
      <c r="I2632" s="4">
        <f>IMAGE("https://images.lululemon.com/is/image/lululemon/21363",1)</f>
        <v/>
      </c>
      <c r="J2632" s="4" t="inlineStr">
        <is>
          <t>6</t>
        </is>
      </c>
      <c r="K2632" s="4" t="inlineStr">
        <is>
          <t>12/4155</t>
        </is>
      </c>
      <c r="L2632" s="4" t="inlineStr">
        <is>
          <t>Yes</t>
        </is>
      </c>
      <c r="M2632" s="4" t="inlineStr">
        <is>
          <t>When feeling nothing is everything. Get the buttery-softness of lululemon Align™ in this skirt that has a built-in shorts liner.</t>
        </is>
      </c>
      <c r="N2632" s="4" t="inlineStr">
        <is>
          <t>lululemon-Align-High-Rise-Skirt</t>
        </is>
      </c>
      <c r="O2632" s="4" t="inlineStr">
        <is>
          <t>Skorts</t>
        </is>
      </c>
    </row>
    <row r="2633" ht="80" customHeight="1">
      <c r="A2633" s="7">
        <f>IMAGE("https://images.lululemon.com/is/image/lululemon/LW8ALWS_0002_1?wid=320&amp;op_usm=0.8",1)</f>
        <v/>
      </c>
      <c r="B2633" s="7" t="inlineStr">
        <is>
          <t>lululemon Align™ High-Rise Skirt</t>
        </is>
      </c>
      <c r="C2633" s="7" t="inlineStr">
        <is>
          <t>158023301</t>
        </is>
      </c>
      <c r="D2633" s="7" t="inlineStr">
        <is>
          <t>158023301-berryrumble</t>
        </is>
      </c>
      <c r="E2633" s="7" t="inlineStr">
        <is>
          <t>lululemon Align™ High-Rise Skirt BLK 0</t>
        </is>
      </c>
      <c r="F2633" s="7" t="inlineStr">
        <is>
          <t>$78.00</t>
        </is>
      </c>
      <c r="G2633" s="7" t="inlineStr">
        <is>
          <t>$39.00</t>
        </is>
      </c>
      <c r="H2633" s="7" t="inlineStr">
        <is>
          <t>Berry Rumble</t>
        </is>
      </c>
      <c r="I2633" s="7">
        <f>IMAGE("https://images.lululemon.com/is/image/lululemon/21363",1)</f>
        <v/>
      </c>
      <c r="J2633" s="7" t="inlineStr">
        <is>
          <t>8</t>
        </is>
      </c>
      <c r="K2633" s="7" t="inlineStr">
        <is>
          <t>7/4155</t>
        </is>
      </c>
      <c r="L2633" s="7" t="inlineStr">
        <is>
          <t>Yes</t>
        </is>
      </c>
      <c r="M2633" s="7" t="inlineStr">
        <is>
          <t>When feeling nothing is everything. Get the buttery-softness of lululemon Align™ in this skirt that has a built-in shorts liner.</t>
        </is>
      </c>
      <c r="N2633" s="7" t="inlineStr">
        <is>
          <t>lululemon-Align-High-Rise-Skirt</t>
        </is>
      </c>
      <c r="O2633" s="7" t="inlineStr">
        <is>
          <t>Skorts</t>
        </is>
      </c>
    </row>
    <row r="2634" ht="80" customHeight="1">
      <c r="A2634" s="4">
        <f>IMAGE("https://images.lululemon.com/is/image/lululemon/LW8ALWS_0002_1?wid=320&amp;op_usm=0.8",1)</f>
        <v/>
      </c>
      <c r="B2634" s="4" t="inlineStr">
        <is>
          <t>lululemon Align™ High-Rise Skirt</t>
        </is>
      </c>
      <c r="C2634" s="4" t="inlineStr">
        <is>
          <t>158023172</t>
        </is>
      </c>
      <c r="D2634" s="4" t="inlineStr">
        <is>
          <t>158023172-berryrumble</t>
        </is>
      </c>
      <c r="E2634" s="4" t="inlineStr">
        <is>
          <t>lululemon Align™ High-Rise Skirt BLK 0</t>
        </is>
      </c>
      <c r="F2634" s="4" t="inlineStr">
        <is>
          <t>$78.00</t>
        </is>
      </c>
      <c r="G2634" s="4" t="inlineStr">
        <is>
          <t>$39.00</t>
        </is>
      </c>
      <c r="H2634" s="4" t="inlineStr">
        <is>
          <t>Berry Rumble</t>
        </is>
      </c>
      <c r="I2634" s="4">
        <f>IMAGE("https://images.lululemon.com/is/image/lululemon/21363",1)</f>
        <v/>
      </c>
      <c r="J2634" s="4" t="inlineStr">
        <is>
          <t>10</t>
        </is>
      </c>
      <c r="K2634" s="4" t="inlineStr">
        <is>
          <t>5/4155</t>
        </is>
      </c>
      <c r="L2634" s="4" t="inlineStr">
        <is>
          <t>Yes</t>
        </is>
      </c>
      <c r="M2634" s="4" t="inlineStr">
        <is>
          <t>When feeling nothing is everything. Get the buttery-softness of lululemon Align™ in this skirt that has a built-in shorts liner.</t>
        </is>
      </c>
      <c r="N2634" s="4" t="inlineStr">
        <is>
          <t>lululemon-Align-High-Rise-Skirt</t>
        </is>
      </c>
      <c r="O2634" s="4" t="inlineStr">
        <is>
          <t>Skorts</t>
        </is>
      </c>
    </row>
    <row r="2635" ht="80" customHeight="1">
      <c r="A2635" s="7">
        <f>IMAGE("https://images.lululemon.com/is/image/lululemon/LW8ALWS_0002_1?wid=320&amp;op_usm=0.8",1)</f>
        <v/>
      </c>
      <c r="B2635" s="7" t="inlineStr">
        <is>
          <t>lululemon Align™ High-Rise Skirt</t>
        </is>
      </c>
      <c r="C2635" s="7" t="inlineStr">
        <is>
          <t>158023197</t>
        </is>
      </c>
      <c r="D2635" s="7" t="inlineStr">
        <is>
          <t>158023197-berryrumble</t>
        </is>
      </c>
      <c r="E2635" s="7" t="inlineStr">
        <is>
          <t>lululemon Align™ High-Rise Skirt BLK 0</t>
        </is>
      </c>
      <c r="F2635" s="7" t="inlineStr">
        <is>
          <t>$78.00</t>
        </is>
      </c>
      <c r="G2635" s="7" t="inlineStr">
        <is>
          <t>$39.00</t>
        </is>
      </c>
      <c r="H2635" s="7" t="inlineStr">
        <is>
          <t>Berry Rumble</t>
        </is>
      </c>
      <c r="I2635" s="7">
        <f>IMAGE("https://images.lululemon.com/is/image/lululemon/21363",1)</f>
        <v/>
      </c>
      <c r="J2635" s="7" t="inlineStr">
        <is>
          <t>12</t>
        </is>
      </c>
      <c r="K2635" s="7" t="inlineStr">
        <is>
          <t>1/4155</t>
        </is>
      </c>
      <c r="L2635" s="7" t="inlineStr">
        <is>
          <t>Yes</t>
        </is>
      </c>
      <c r="M2635" s="7" t="inlineStr">
        <is>
          <t>When feeling nothing is everything. Get the buttery-softness of lululemon Align™ in this skirt that has a built-in shorts liner.</t>
        </is>
      </c>
      <c r="N2635" s="7" t="inlineStr">
        <is>
          <t>lululemon-Align-High-Rise-Skirt</t>
        </is>
      </c>
      <c r="O2635" s="7" t="inlineStr">
        <is>
          <t>Skorts</t>
        </is>
      </c>
    </row>
    <row r="2636" ht="80" customHeight="1">
      <c r="A2636" s="4">
        <f>IMAGE("https://images.lululemon.com/is/image/lululemon/LW8ALWS_0002_1?wid=320&amp;op_usm=0.8",1)</f>
        <v/>
      </c>
      <c r="B2636" s="4" t="inlineStr">
        <is>
          <t>lululemon Align™ High-Rise Skirt</t>
        </is>
      </c>
      <c r="C2636" s="4" t="inlineStr">
        <is>
          <t>158193624</t>
        </is>
      </c>
      <c r="D2636" s="4" t="inlineStr">
        <is>
          <t>158193624-grapemist</t>
        </is>
      </c>
      <c r="E2636" s="4" t="inlineStr">
        <is>
          <t>lululemon Align™ High-Rise Skirt BLK 0</t>
        </is>
      </c>
      <c r="F2636" s="4" t="inlineStr">
        <is>
          <t>$78.00</t>
        </is>
      </c>
      <c r="G2636" s="4" t="inlineStr">
        <is>
          <t>$39.00</t>
        </is>
      </c>
      <c r="H2636" s="4" t="inlineStr">
        <is>
          <t>Grape Mist</t>
        </is>
      </c>
      <c r="I2636" s="4">
        <f>IMAGE("https://images.lululemon.com/is/image/lululemon/0554",1)</f>
        <v/>
      </c>
      <c r="J2636" s="4" t="inlineStr">
        <is>
          <t>2</t>
        </is>
      </c>
      <c r="K2636" s="4" t="inlineStr">
        <is>
          <t>33/4155</t>
        </is>
      </c>
      <c r="L2636" s="4" t="inlineStr">
        <is>
          <t>Yes</t>
        </is>
      </c>
      <c r="M2636" s="4" t="inlineStr">
        <is>
          <t>When feeling nothing is everything. Get the buttery-softness of lululemon Align™ in this skirt that has a built-in shorts liner.</t>
        </is>
      </c>
      <c r="N2636" s="4" t="inlineStr">
        <is>
          <t>lululemon-Align-High-Rise-Skirt</t>
        </is>
      </c>
      <c r="O2636" s="4" t="inlineStr">
        <is>
          <t>Skorts</t>
        </is>
      </c>
    </row>
    <row r="2637" ht="80" customHeight="1">
      <c r="A2637" s="7">
        <f>IMAGE("https://images.lululemon.com/is/image/lululemon/LW8ALWS_0002_1?wid=320&amp;op_usm=0.8",1)</f>
        <v/>
      </c>
      <c r="B2637" s="7" t="inlineStr">
        <is>
          <t>lululemon Align™ High-Rise Skirt</t>
        </is>
      </c>
      <c r="C2637" s="7" t="inlineStr">
        <is>
          <t>158193625</t>
        </is>
      </c>
      <c r="D2637" s="7" t="inlineStr">
        <is>
          <t>158193625-grapemist</t>
        </is>
      </c>
      <c r="E2637" s="7" t="inlineStr">
        <is>
          <t>lululemon Align™ High-Rise Skirt BLK 0</t>
        </is>
      </c>
      <c r="F2637" s="7" t="inlineStr">
        <is>
          <t>$78.00</t>
        </is>
      </c>
      <c r="G2637" s="7" t="inlineStr">
        <is>
          <t>$39.00</t>
        </is>
      </c>
      <c r="H2637" s="7" t="inlineStr">
        <is>
          <t>Grape Mist</t>
        </is>
      </c>
      <c r="I2637" s="7">
        <f>IMAGE("https://images.lululemon.com/is/image/lululemon/0554",1)</f>
        <v/>
      </c>
      <c r="J2637" s="7" t="inlineStr">
        <is>
          <t>4</t>
        </is>
      </c>
      <c r="K2637" s="7" t="inlineStr">
        <is>
          <t>56/4155</t>
        </is>
      </c>
      <c r="L2637" s="7" t="inlineStr">
        <is>
          <t>Yes</t>
        </is>
      </c>
      <c r="M2637" s="7" t="inlineStr">
        <is>
          <t>When feeling nothing is everything. Get the buttery-softness of lululemon Align™ in this skirt that has a built-in shorts liner.</t>
        </is>
      </c>
      <c r="N2637" s="7" t="inlineStr">
        <is>
          <t>lululemon-Align-High-Rise-Skirt</t>
        </is>
      </c>
      <c r="O2637" s="7" t="inlineStr">
        <is>
          <t>Skorts</t>
        </is>
      </c>
    </row>
    <row r="2638" ht="80" customHeight="1">
      <c r="A2638" s="4">
        <f>IMAGE("https://images.lululemon.com/is/image/lululemon/LW8ALWS_0002_1?wid=320&amp;op_usm=0.8",1)</f>
        <v/>
      </c>
      <c r="B2638" s="4" t="inlineStr">
        <is>
          <t>lululemon Align™ High-Rise Skirt</t>
        </is>
      </c>
      <c r="C2638" s="4" t="inlineStr">
        <is>
          <t>158193626</t>
        </is>
      </c>
      <c r="D2638" s="4" t="inlineStr">
        <is>
          <t>158193626-grapemist</t>
        </is>
      </c>
      <c r="E2638" s="4" t="inlineStr">
        <is>
          <t>lululemon Align™ High-Rise Skirt BLK 0</t>
        </is>
      </c>
      <c r="F2638" s="4" t="inlineStr">
        <is>
          <t>$78.00</t>
        </is>
      </c>
      <c r="G2638" s="4" t="inlineStr">
        <is>
          <t>$39.00</t>
        </is>
      </c>
      <c r="H2638" s="4" t="inlineStr">
        <is>
          <t>Grape Mist</t>
        </is>
      </c>
      <c r="I2638" s="4">
        <f>IMAGE("https://images.lululemon.com/is/image/lululemon/0554",1)</f>
        <v/>
      </c>
      <c r="J2638" s="4" t="inlineStr">
        <is>
          <t>6</t>
        </is>
      </c>
      <c r="K2638" s="4" t="inlineStr">
        <is>
          <t>59/4155</t>
        </is>
      </c>
      <c r="L2638" s="4" t="inlineStr">
        <is>
          <t>Yes</t>
        </is>
      </c>
      <c r="M2638" s="4" t="inlineStr">
        <is>
          <t>When feeling nothing is everything. Get the buttery-softness of lululemon Align™ in this skirt that has a built-in shorts liner.</t>
        </is>
      </c>
      <c r="N2638" s="4" t="inlineStr">
        <is>
          <t>lululemon-Align-High-Rise-Skirt</t>
        </is>
      </c>
      <c r="O2638" s="4" t="inlineStr">
        <is>
          <t>Skorts</t>
        </is>
      </c>
    </row>
    <row r="2639" ht="80" customHeight="1">
      <c r="A2639" s="7">
        <f>IMAGE("https://images.lululemon.com/is/image/lululemon/LW8ALWS_0002_1?wid=320&amp;op_usm=0.8",1)</f>
        <v/>
      </c>
      <c r="B2639" s="7" t="inlineStr">
        <is>
          <t>lululemon Align™ High-Rise Skirt</t>
        </is>
      </c>
      <c r="C2639" s="7" t="inlineStr">
        <is>
          <t>158193627</t>
        </is>
      </c>
      <c r="D2639" s="7" t="inlineStr">
        <is>
          <t>158193627-grapemist</t>
        </is>
      </c>
      <c r="E2639" s="7" t="inlineStr">
        <is>
          <t>lululemon Align™ High-Rise Skirt BLK 0</t>
        </is>
      </c>
      <c r="F2639" s="7" t="inlineStr">
        <is>
          <t>$78.00</t>
        </is>
      </c>
      <c r="G2639" s="7" t="inlineStr">
        <is>
          <t>$39.00</t>
        </is>
      </c>
      <c r="H2639" s="7" t="inlineStr">
        <is>
          <t>Grape Mist</t>
        </is>
      </c>
      <c r="I2639" s="7">
        <f>IMAGE("https://images.lululemon.com/is/image/lululemon/0554",1)</f>
        <v/>
      </c>
      <c r="J2639" s="7" t="inlineStr">
        <is>
          <t>8</t>
        </is>
      </c>
      <c r="K2639" s="7" t="inlineStr">
        <is>
          <t>43/4155</t>
        </is>
      </c>
      <c r="L2639" s="7" t="inlineStr">
        <is>
          <t>Yes</t>
        </is>
      </c>
      <c r="M2639" s="7" t="inlineStr">
        <is>
          <t>When feeling nothing is everything. Get the buttery-softness of lululemon Align™ in this skirt that has a built-in shorts liner.</t>
        </is>
      </c>
      <c r="N2639" s="7" t="inlineStr">
        <is>
          <t>lululemon-Align-High-Rise-Skirt</t>
        </is>
      </c>
      <c r="O2639" s="7" t="inlineStr">
        <is>
          <t>Skorts</t>
        </is>
      </c>
    </row>
    <row r="2640" ht="80" customHeight="1">
      <c r="A2640" s="4">
        <f>IMAGE("https://images.lululemon.com/is/image/lululemon/LW8ALWS_0002_1?wid=320&amp;op_usm=0.8",1)</f>
        <v/>
      </c>
      <c r="B2640" s="4" t="inlineStr">
        <is>
          <t>lululemon Align™ High-Rise Skirt</t>
        </is>
      </c>
      <c r="C2640" s="4" t="inlineStr">
        <is>
          <t>158193622</t>
        </is>
      </c>
      <c r="D2640" s="4" t="inlineStr">
        <is>
          <t>158193622-grapemist</t>
        </is>
      </c>
      <c r="E2640" s="4" t="inlineStr">
        <is>
          <t>lululemon Align™ High-Rise Skirt BLK 0</t>
        </is>
      </c>
      <c r="F2640" s="4" t="inlineStr">
        <is>
          <t>$78.00</t>
        </is>
      </c>
      <c r="G2640" s="4" t="inlineStr">
        <is>
          <t>$39.00</t>
        </is>
      </c>
      <c r="H2640" s="4" t="inlineStr">
        <is>
          <t>Grape Mist</t>
        </is>
      </c>
      <c r="I2640" s="4">
        <f>IMAGE("https://images.lululemon.com/is/image/lululemon/0554",1)</f>
        <v/>
      </c>
      <c r="J2640" s="4" t="inlineStr">
        <is>
          <t>10</t>
        </is>
      </c>
      <c r="K2640" s="4" t="inlineStr">
        <is>
          <t>22/4155</t>
        </is>
      </c>
      <c r="L2640" s="4" t="inlineStr">
        <is>
          <t>Yes</t>
        </is>
      </c>
      <c r="M2640" s="4" t="inlineStr">
        <is>
          <t>When feeling nothing is everything. Get the buttery-softness of lululemon Align™ in this skirt that has a built-in shorts liner.</t>
        </is>
      </c>
      <c r="N2640" s="4" t="inlineStr">
        <is>
          <t>lululemon-Align-High-Rise-Skirt</t>
        </is>
      </c>
      <c r="O2640" s="4" t="inlineStr">
        <is>
          <t>Skorts</t>
        </is>
      </c>
    </row>
    <row r="2641" ht="80" customHeight="1">
      <c r="A2641" s="5">
        <f>IMAGE("https://images.lululemon.com/is/image/lululemon/LW8ALWS_0002_1?wid=320&amp;op_usm=0.8",1)</f>
        <v/>
      </c>
      <c r="B2641" s="5" t="inlineStr">
        <is>
          <t>lululemon Align™ High-Rise Skirt</t>
        </is>
      </c>
      <c r="C2641" s="5" t="inlineStr">
        <is>
          <t>158193623</t>
        </is>
      </c>
      <c r="D2641" s="5" t="inlineStr">
        <is>
          <t>158193623-grapemist</t>
        </is>
      </c>
      <c r="E2641" s="5" t="inlineStr">
        <is>
          <t>lululemon Align™ High-Rise Skirt BLK 0</t>
        </is>
      </c>
      <c r="F2641" s="5" t="inlineStr">
        <is>
          <t>$78.00</t>
        </is>
      </c>
      <c r="G2641" s="5" t="inlineStr">
        <is>
          <t>$39.00</t>
        </is>
      </c>
      <c r="H2641" s="5" t="inlineStr">
        <is>
          <t>Grape Mist</t>
        </is>
      </c>
      <c r="I2641" s="5">
        <f>IMAGE("https://images.lululemon.com/is/image/lululemon/0554",1)</f>
        <v/>
      </c>
      <c r="J2641" s="5" t="inlineStr">
        <is>
          <t>12</t>
        </is>
      </c>
      <c r="K2641" s="5" t="inlineStr">
        <is>
          <t>11/4155</t>
        </is>
      </c>
      <c r="L2641" s="5" t="inlineStr">
        <is>
          <t>Yes</t>
        </is>
      </c>
      <c r="M2641" s="5" t="inlineStr">
        <is>
          <t>When feeling nothing is everything. Get the buttery-softness of lululemon Align™ in this skirt that has a built-in shorts liner.</t>
        </is>
      </c>
      <c r="N2641" s="5" t="inlineStr">
        <is>
          <t>lululemon-Align-High-Rise-Skirt</t>
        </is>
      </c>
      <c r="O2641" s="5" t="inlineStr">
        <is>
          <t>Skorts</t>
        </is>
      </c>
    </row>
    <row r="2642" ht="80" customHeight="1">
      <c r="A2642" s="4">
        <f>IMAGE("https://images.lululemon.com/is/image/lululemon/LW3JR1S_068839_1?wid=320&amp;op_usm=0.8",1)</f>
        <v/>
      </c>
      <c r="B2642" s="4" t="inlineStr">
        <is>
          <t>Cotton Terry Tennis Half Zip</t>
        </is>
      </c>
      <c r="C2642" s="4" t="inlineStr">
        <is>
          <t>156626070</t>
        </is>
      </c>
      <c r="D2642" s="4" t="inlineStr">
        <is>
          <t>156626070-white</t>
        </is>
      </c>
      <c r="E2642" s="4" t="inlineStr">
        <is>
          <t>Cotton Terry Tennis Half Zip WHT XXS</t>
        </is>
      </c>
      <c r="F2642" s="4" t="inlineStr">
        <is>
          <t>$118.00</t>
        </is>
      </c>
      <c r="G2642" s="4" t="inlineStr">
        <is>
          <t>$59.00</t>
        </is>
      </c>
      <c r="H2642" s="4" t="inlineStr">
        <is>
          <t>White</t>
        </is>
      </c>
      <c r="I2642" s="4">
        <f>IMAGE("https://images.lululemon.com/is/image/lululemon/0002",1)</f>
        <v/>
      </c>
      <c r="J2642" s="4" t="inlineStr">
        <is>
          <t>XXS</t>
        </is>
      </c>
      <c r="K2642" s="4" t="inlineStr">
        <is>
          <t>1/615</t>
        </is>
      </c>
      <c r="L2642" s="4" t="inlineStr">
        <is>
          <t>Yes</t>
        </is>
      </c>
      <c r="M2642" s="4" t="inlineStr">
        <is>
          <t>Racket optional. Made from cotton terry fabric, this cropped tennis half zip feels soft and cozy whether you're hitting balls or taking a rest day.</t>
        </is>
      </c>
      <c r="N2642" s="4" t="inlineStr">
        <is>
          <t>Cotton-Terry-Tennis-Half-Zip</t>
        </is>
      </c>
      <c r="O2642" s="4" t="inlineStr">
        <is>
          <t>Half Zip Sweatshirts, Quarter Zip Sweatshirts</t>
        </is>
      </c>
    </row>
    <row r="2643" ht="80" customHeight="1">
      <c r="A2643" s="7">
        <f>IMAGE("https://images.lululemon.com/is/image/lululemon/LW3JR1S_068839_1?wid=320&amp;op_usm=0.8",1)</f>
        <v/>
      </c>
      <c r="B2643" s="7" t="inlineStr">
        <is>
          <t>Cotton Terry Tennis Half Zip</t>
        </is>
      </c>
      <c r="C2643" s="7" t="inlineStr">
        <is>
          <t>156626067</t>
        </is>
      </c>
      <c r="D2643" s="7" t="inlineStr">
        <is>
          <t>156626067-white</t>
        </is>
      </c>
      <c r="E2643" s="7" t="inlineStr">
        <is>
          <t>Cotton Terry Tennis Half Zip WHT XXS</t>
        </is>
      </c>
      <c r="F2643" s="7" t="inlineStr">
        <is>
          <t>$118.00</t>
        </is>
      </c>
      <c r="G2643" s="7" t="inlineStr">
        <is>
          <t>$59.00</t>
        </is>
      </c>
      <c r="H2643" s="7" t="inlineStr">
        <is>
          <t>White</t>
        </is>
      </c>
      <c r="I2643" s="7">
        <f>IMAGE("https://images.lululemon.com/is/image/lululemon/0002",1)</f>
        <v/>
      </c>
      <c r="J2643" s="7" t="inlineStr">
        <is>
          <t>XS</t>
        </is>
      </c>
      <c r="K2643" s="7" t="inlineStr">
        <is>
          <t>27/615</t>
        </is>
      </c>
      <c r="L2643" s="7" t="inlineStr">
        <is>
          <t>Yes</t>
        </is>
      </c>
      <c r="M2643" s="7" t="inlineStr">
        <is>
          <t>Racket optional. Made from cotton terry fabric, this cropped tennis half zip feels soft and cozy whether you're hitting balls or taking a rest day.</t>
        </is>
      </c>
      <c r="N2643" s="7" t="inlineStr">
        <is>
          <t>Cotton-Terry-Tennis-Half-Zip</t>
        </is>
      </c>
      <c r="O2643" s="7" t="inlineStr">
        <is>
          <t>Half Zip Sweatshirts, Quarter Zip Sweatshirts</t>
        </is>
      </c>
    </row>
    <row r="2644" ht="80" customHeight="1">
      <c r="A2644" s="4">
        <f>IMAGE("https://images.lululemon.com/is/image/lululemon/LW3JR1S_068839_1?wid=320&amp;op_usm=0.8",1)</f>
        <v/>
      </c>
      <c r="B2644" s="4" t="inlineStr">
        <is>
          <t>Cotton Terry Tennis Half Zip</t>
        </is>
      </c>
      <c r="C2644" s="4" t="inlineStr">
        <is>
          <t>156626062</t>
        </is>
      </c>
      <c r="D2644" s="4" t="inlineStr">
        <is>
          <t>156626062-white</t>
        </is>
      </c>
      <c r="E2644" s="4" t="inlineStr">
        <is>
          <t>Cotton Terry Tennis Half Zip WHT XXS</t>
        </is>
      </c>
      <c r="F2644" s="4" t="inlineStr">
        <is>
          <t>$118.00</t>
        </is>
      </c>
      <c r="G2644" s="4" t="inlineStr">
        <is>
          <t>$59.00</t>
        </is>
      </c>
      <c r="H2644" s="4" t="inlineStr">
        <is>
          <t>White</t>
        </is>
      </c>
      <c r="I2644" s="4">
        <f>IMAGE("https://images.lululemon.com/is/image/lululemon/0002",1)</f>
        <v/>
      </c>
      <c r="J2644" s="4" t="inlineStr">
        <is>
          <t>S</t>
        </is>
      </c>
      <c r="K2644" s="4" t="inlineStr">
        <is>
          <t>62/615</t>
        </is>
      </c>
      <c r="L2644" s="4" t="inlineStr">
        <is>
          <t>Yes</t>
        </is>
      </c>
      <c r="M2644" s="4" t="inlineStr">
        <is>
          <t>Racket optional. Made from cotton terry fabric, this cropped tennis half zip feels soft and cozy whether you're hitting balls or taking a rest day.</t>
        </is>
      </c>
      <c r="N2644" s="4" t="inlineStr">
        <is>
          <t>Cotton-Terry-Tennis-Half-Zip</t>
        </is>
      </c>
      <c r="O2644" s="4" t="inlineStr">
        <is>
          <t>Half Zip Sweatshirts, Quarter Zip Sweatshirts</t>
        </is>
      </c>
    </row>
    <row r="2645" ht="80" customHeight="1">
      <c r="A2645" s="7">
        <f>IMAGE("https://images.lululemon.com/is/image/lululemon/LW3JR1S_068839_1?wid=320&amp;op_usm=0.8",1)</f>
        <v/>
      </c>
      <c r="B2645" s="7" t="inlineStr">
        <is>
          <t>Cotton Terry Tennis Half Zip</t>
        </is>
      </c>
      <c r="C2645" s="7" t="inlineStr">
        <is>
          <t>156626060</t>
        </is>
      </c>
      <c r="D2645" s="7" t="inlineStr">
        <is>
          <t>156626060-white</t>
        </is>
      </c>
      <c r="E2645" s="7" t="inlineStr">
        <is>
          <t>Cotton Terry Tennis Half Zip WHT XXS</t>
        </is>
      </c>
      <c r="F2645" s="7" t="inlineStr">
        <is>
          <t>$118.00</t>
        </is>
      </c>
      <c r="G2645" s="7" t="inlineStr">
        <is>
          <t>$59.00</t>
        </is>
      </c>
      <c r="H2645" s="7" t="inlineStr">
        <is>
          <t>White</t>
        </is>
      </c>
      <c r="I2645" s="7">
        <f>IMAGE("https://images.lululemon.com/is/image/lululemon/0002",1)</f>
        <v/>
      </c>
      <c r="J2645" s="7" t="inlineStr">
        <is>
          <t>M</t>
        </is>
      </c>
      <c r="K2645" s="7" t="inlineStr">
        <is>
          <t>65/615</t>
        </is>
      </c>
      <c r="L2645" s="7" t="inlineStr">
        <is>
          <t>Yes</t>
        </is>
      </c>
      <c r="M2645" s="7" t="inlineStr">
        <is>
          <t>Racket optional. Made from cotton terry fabric, this cropped tennis half zip feels soft and cozy whether you're hitting balls or taking a rest day.</t>
        </is>
      </c>
      <c r="N2645" s="7" t="inlineStr">
        <is>
          <t>Cotton-Terry-Tennis-Half-Zip</t>
        </is>
      </c>
      <c r="O2645" s="7" t="inlineStr">
        <is>
          <t>Half Zip Sweatshirts, Quarter Zip Sweatshirts</t>
        </is>
      </c>
    </row>
    <row r="2646" ht="80" customHeight="1">
      <c r="A2646" s="4">
        <f>IMAGE("https://images.lululemon.com/is/image/lululemon/LW3JR1S_068839_1?wid=320&amp;op_usm=0.8",1)</f>
        <v/>
      </c>
      <c r="B2646" s="4" t="inlineStr">
        <is>
          <t>Cotton Terry Tennis Half Zip</t>
        </is>
      </c>
      <c r="C2646" s="4" t="inlineStr">
        <is>
          <t>156626057</t>
        </is>
      </c>
      <c r="D2646" s="4" t="inlineStr">
        <is>
          <t>156626057-white</t>
        </is>
      </c>
      <c r="E2646" s="4" t="inlineStr">
        <is>
          <t>Cotton Terry Tennis Half Zip WHT XXS</t>
        </is>
      </c>
      <c r="F2646" s="4" t="inlineStr">
        <is>
          <t>$118.00</t>
        </is>
      </c>
      <c r="G2646" s="4" t="inlineStr">
        <is>
          <t>$59.00</t>
        </is>
      </c>
      <c r="H2646" s="4" t="inlineStr">
        <is>
          <t>White</t>
        </is>
      </c>
      <c r="I2646" s="4">
        <f>IMAGE("https://images.lululemon.com/is/image/lululemon/0002",1)</f>
        <v/>
      </c>
      <c r="J2646" s="4" t="inlineStr">
        <is>
          <t>L</t>
        </is>
      </c>
      <c r="K2646" s="4" t="inlineStr">
        <is>
          <t>95/615</t>
        </is>
      </c>
      <c r="L2646" s="4" t="inlineStr">
        <is>
          <t>Yes</t>
        </is>
      </c>
      <c r="M2646" s="4" t="inlineStr">
        <is>
          <t>Racket optional. Made from cotton terry fabric, this cropped tennis half zip feels soft and cozy whether you're hitting balls or taking a rest day.</t>
        </is>
      </c>
      <c r="N2646" s="4" t="inlineStr">
        <is>
          <t>Cotton-Terry-Tennis-Half-Zip</t>
        </is>
      </c>
      <c r="O2646" s="4" t="inlineStr">
        <is>
          <t>Half Zip Sweatshirts, Quarter Zip Sweatshirts</t>
        </is>
      </c>
    </row>
    <row r="2647" ht="80" customHeight="1">
      <c r="A2647" s="7">
        <f>IMAGE("https://images.lululemon.com/is/image/lululemon/LW3JR1S_068839_1?wid=320&amp;op_usm=0.8",1)</f>
        <v/>
      </c>
      <c r="B2647" s="7" t="inlineStr">
        <is>
          <t>Cotton Terry Tennis Half Zip</t>
        </is>
      </c>
      <c r="C2647" s="7" t="inlineStr">
        <is>
          <t>156626065</t>
        </is>
      </c>
      <c r="D2647" s="7" t="inlineStr">
        <is>
          <t>156626065-white</t>
        </is>
      </c>
      <c r="E2647" s="7" t="inlineStr">
        <is>
          <t>Cotton Terry Tennis Half Zip WHT XXS</t>
        </is>
      </c>
      <c r="F2647" s="7" t="inlineStr">
        <is>
          <t>$118.00</t>
        </is>
      </c>
      <c r="G2647" s="7" t="inlineStr">
        <is>
          <t>$59.00</t>
        </is>
      </c>
      <c r="H2647" s="7" t="inlineStr">
        <is>
          <t>White</t>
        </is>
      </c>
      <c r="I2647" s="7">
        <f>IMAGE("https://images.lululemon.com/is/image/lululemon/0002",1)</f>
        <v/>
      </c>
      <c r="J2647" s="7" t="inlineStr">
        <is>
          <t>XL</t>
        </is>
      </c>
      <c r="K2647" s="7" t="inlineStr">
        <is>
          <t>74/615</t>
        </is>
      </c>
      <c r="L2647" s="7" t="inlineStr">
        <is>
          <t>Yes</t>
        </is>
      </c>
      <c r="M2647" s="7" t="inlineStr">
        <is>
          <t>Racket optional. Made from cotton terry fabric, this cropped tennis half zip feels soft and cozy whether you're hitting balls or taking a rest day.</t>
        </is>
      </c>
      <c r="N2647" s="7" t="inlineStr">
        <is>
          <t>Cotton-Terry-Tennis-Half-Zip</t>
        </is>
      </c>
      <c r="O2647" s="7" t="inlineStr">
        <is>
          <t>Half Zip Sweatshirts, Quarter Zip Sweatshirts</t>
        </is>
      </c>
    </row>
    <row r="2648" ht="80" customHeight="1">
      <c r="A2648" s="4">
        <f>IMAGE("https://images.lululemon.com/is/image/lululemon/LW3JR1S_068839_1?wid=320&amp;op_usm=0.8",1)</f>
        <v/>
      </c>
      <c r="B2648" s="4" t="inlineStr">
        <is>
          <t>Cotton Terry Tennis Half Zip</t>
        </is>
      </c>
      <c r="C2648" s="4" t="inlineStr">
        <is>
          <t>156626106</t>
        </is>
      </c>
      <c r="D2648" s="4" t="inlineStr">
        <is>
          <t>156626106-starchblue</t>
        </is>
      </c>
      <c r="E2648" s="4" t="inlineStr">
        <is>
          <t>Cotton Terry Tennis Half Zip WHT XXS</t>
        </is>
      </c>
      <c r="F2648" s="4" t="inlineStr">
        <is>
          <t>$118.00</t>
        </is>
      </c>
      <c r="G2648" s="4" t="inlineStr">
        <is>
          <t>$59.00</t>
        </is>
      </c>
      <c r="H2648" s="4" t="inlineStr">
        <is>
          <t>Starch Blue</t>
        </is>
      </c>
      <c r="I2648" s="4">
        <f>IMAGE("https://images.lululemon.com/is/image/lululemon/68839",1)</f>
        <v/>
      </c>
      <c r="J2648" s="4" t="inlineStr">
        <is>
          <t>XXS</t>
        </is>
      </c>
      <c r="K2648" s="4" t="inlineStr">
        <is>
          <t>1/615</t>
        </is>
      </c>
      <c r="L2648" s="4" t="inlineStr">
        <is>
          <t>Yes</t>
        </is>
      </c>
      <c r="M2648" s="4" t="inlineStr">
        <is>
          <t>Racket optional. Made from cotton terry fabric, this cropped tennis half zip feels soft and cozy whether you're hitting balls or taking a rest day.</t>
        </is>
      </c>
      <c r="N2648" s="4" t="inlineStr">
        <is>
          <t>Cotton-Terry-Tennis-Half-Zip</t>
        </is>
      </c>
      <c r="O2648" s="4" t="inlineStr">
        <is>
          <t>Half Zip Sweatshirts, Quarter Zip Sweatshirts</t>
        </is>
      </c>
    </row>
    <row r="2649" ht="80" customHeight="1">
      <c r="A2649" s="7">
        <f>IMAGE("https://images.lululemon.com/is/image/lululemon/LW3JR1S_068839_1?wid=320&amp;op_usm=0.8",1)</f>
        <v/>
      </c>
      <c r="B2649" s="7" t="inlineStr">
        <is>
          <t>Cotton Terry Tennis Half Zip</t>
        </is>
      </c>
      <c r="C2649" s="7" t="inlineStr">
        <is>
          <t>156626105</t>
        </is>
      </c>
      <c r="D2649" s="7" t="inlineStr">
        <is>
          <t>156626105-starchblue</t>
        </is>
      </c>
      <c r="E2649" s="7" t="inlineStr">
        <is>
          <t>Cotton Terry Tennis Half Zip WHT XXS</t>
        </is>
      </c>
      <c r="F2649" s="7" t="inlineStr">
        <is>
          <t>$118.00</t>
        </is>
      </c>
      <c r="G2649" s="7" t="inlineStr">
        <is>
          <t>$59.00</t>
        </is>
      </c>
      <c r="H2649" s="7" t="inlineStr">
        <is>
          <t>Starch Blue</t>
        </is>
      </c>
      <c r="I2649" s="7">
        <f>IMAGE("https://images.lululemon.com/is/image/lululemon/68839",1)</f>
        <v/>
      </c>
      <c r="J2649" s="7" t="inlineStr">
        <is>
          <t>XS</t>
        </is>
      </c>
      <c r="K2649" s="7" t="inlineStr">
        <is>
          <t>11/615</t>
        </is>
      </c>
      <c r="L2649" s="7" t="inlineStr">
        <is>
          <t>Yes</t>
        </is>
      </c>
      <c r="M2649" s="7" t="inlineStr">
        <is>
          <t>Racket optional. Made from cotton terry fabric, this cropped tennis half zip feels soft and cozy whether you're hitting balls or taking a rest day.</t>
        </is>
      </c>
      <c r="N2649" s="7" t="inlineStr">
        <is>
          <t>Cotton-Terry-Tennis-Half-Zip</t>
        </is>
      </c>
      <c r="O2649" s="7" t="inlineStr">
        <is>
          <t>Half Zip Sweatshirts, Quarter Zip Sweatshirts</t>
        </is>
      </c>
    </row>
    <row r="2650" ht="80" customHeight="1">
      <c r="A2650" s="4">
        <f>IMAGE("https://images.lululemon.com/is/image/lululemon/LW3JR1S_068839_1?wid=320&amp;op_usm=0.8",1)</f>
        <v/>
      </c>
      <c r="B2650" s="4" t="inlineStr">
        <is>
          <t>Cotton Terry Tennis Half Zip</t>
        </is>
      </c>
      <c r="C2650" s="4" t="inlineStr">
        <is>
          <t>156626102</t>
        </is>
      </c>
      <c r="D2650" s="4" t="inlineStr">
        <is>
          <t>156626102-starchblue</t>
        </is>
      </c>
      <c r="E2650" s="4" t="inlineStr">
        <is>
          <t>Cotton Terry Tennis Half Zip WHT XXS</t>
        </is>
      </c>
      <c r="F2650" s="4" t="inlineStr">
        <is>
          <t>$118.00</t>
        </is>
      </c>
      <c r="G2650" s="4" t="inlineStr">
        <is>
          <t>$59.00</t>
        </is>
      </c>
      <c r="H2650" s="4" t="inlineStr">
        <is>
          <t>Starch Blue</t>
        </is>
      </c>
      <c r="I2650" s="4">
        <f>IMAGE("https://images.lululemon.com/is/image/lululemon/68839",1)</f>
        <v/>
      </c>
      <c r="J2650" s="4" t="inlineStr">
        <is>
          <t>S</t>
        </is>
      </c>
      <c r="K2650" s="4" t="inlineStr">
        <is>
          <t>33/615</t>
        </is>
      </c>
      <c r="L2650" s="4" t="inlineStr">
        <is>
          <t>Yes</t>
        </is>
      </c>
      <c r="M2650" s="4" t="inlineStr">
        <is>
          <t>Racket optional. Made from cotton terry fabric, this cropped tennis half zip feels soft and cozy whether you're hitting balls or taking a rest day.</t>
        </is>
      </c>
      <c r="N2650" s="4" t="inlineStr">
        <is>
          <t>Cotton-Terry-Tennis-Half-Zip</t>
        </is>
      </c>
      <c r="O2650" s="4" t="inlineStr">
        <is>
          <t>Half Zip Sweatshirts, Quarter Zip Sweatshirts</t>
        </is>
      </c>
    </row>
    <row r="2651" ht="80" customHeight="1">
      <c r="A2651" s="7">
        <f>IMAGE("https://images.lululemon.com/is/image/lululemon/LW3JR1S_068839_1?wid=320&amp;op_usm=0.8",1)</f>
        <v/>
      </c>
      <c r="B2651" s="7" t="inlineStr">
        <is>
          <t>Cotton Terry Tennis Half Zip</t>
        </is>
      </c>
      <c r="C2651" s="7" t="inlineStr">
        <is>
          <t>156626100</t>
        </is>
      </c>
      <c r="D2651" s="7" t="inlineStr">
        <is>
          <t>156626100-starchblue</t>
        </is>
      </c>
      <c r="E2651" s="7" t="inlineStr">
        <is>
          <t>Cotton Terry Tennis Half Zip WHT XXS</t>
        </is>
      </c>
      <c r="F2651" s="7" t="inlineStr">
        <is>
          <t>$118.00</t>
        </is>
      </c>
      <c r="G2651" s="7" t="inlineStr">
        <is>
          <t>$59.00</t>
        </is>
      </c>
      <c r="H2651" s="7" t="inlineStr">
        <is>
          <t>Starch Blue</t>
        </is>
      </c>
      <c r="I2651" s="7">
        <f>IMAGE("https://images.lululemon.com/is/image/lululemon/68839",1)</f>
        <v/>
      </c>
      <c r="J2651" s="7" t="inlineStr">
        <is>
          <t>M</t>
        </is>
      </c>
      <c r="K2651" s="7" t="inlineStr">
        <is>
          <t>38/615</t>
        </is>
      </c>
      <c r="L2651" s="7" t="inlineStr">
        <is>
          <t>Yes</t>
        </is>
      </c>
      <c r="M2651" s="7" t="inlineStr">
        <is>
          <t>Racket optional. Made from cotton terry fabric, this cropped tennis half zip feels soft and cozy whether you're hitting balls or taking a rest day.</t>
        </is>
      </c>
      <c r="N2651" s="7" t="inlineStr">
        <is>
          <t>Cotton-Terry-Tennis-Half-Zip</t>
        </is>
      </c>
      <c r="O2651" s="7" t="inlineStr">
        <is>
          <t>Half Zip Sweatshirts, Quarter Zip Sweatshirts</t>
        </is>
      </c>
    </row>
    <row r="2652" ht="80" customHeight="1">
      <c r="A2652" s="4">
        <f>IMAGE("https://images.lululemon.com/is/image/lululemon/LW3JR1S_068839_1?wid=320&amp;op_usm=0.8",1)</f>
        <v/>
      </c>
      <c r="B2652" s="4" t="inlineStr">
        <is>
          <t>Cotton Terry Tennis Half Zip</t>
        </is>
      </c>
      <c r="C2652" s="4" t="inlineStr">
        <is>
          <t>156626099</t>
        </is>
      </c>
      <c r="D2652" s="4" t="inlineStr">
        <is>
          <t>156626099-starchblue</t>
        </is>
      </c>
      <c r="E2652" s="4" t="inlineStr">
        <is>
          <t>Cotton Terry Tennis Half Zip WHT XXS</t>
        </is>
      </c>
      <c r="F2652" s="4" t="inlineStr">
        <is>
          <t>$118.00</t>
        </is>
      </c>
      <c r="G2652" s="4" t="inlineStr">
        <is>
          <t>$59.00</t>
        </is>
      </c>
      <c r="H2652" s="4" t="inlineStr">
        <is>
          <t>Starch Blue</t>
        </is>
      </c>
      <c r="I2652" s="4">
        <f>IMAGE("https://images.lululemon.com/is/image/lululemon/68839",1)</f>
        <v/>
      </c>
      <c r="J2652" s="4" t="inlineStr">
        <is>
          <t>L</t>
        </is>
      </c>
      <c r="K2652" s="4" t="inlineStr">
        <is>
          <t>41/615</t>
        </is>
      </c>
      <c r="L2652" s="4" t="inlineStr">
        <is>
          <t>Yes</t>
        </is>
      </c>
      <c r="M2652" s="4" t="inlineStr">
        <is>
          <t>Racket optional. Made from cotton terry fabric, this cropped tennis half zip feels soft and cozy whether you're hitting balls or taking a rest day.</t>
        </is>
      </c>
      <c r="N2652" s="4" t="inlineStr">
        <is>
          <t>Cotton-Terry-Tennis-Half-Zip</t>
        </is>
      </c>
      <c r="O2652" s="4" t="inlineStr">
        <is>
          <t>Half Zip Sweatshirts, Quarter Zip Sweatshirts</t>
        </is>
      </c>
    </row>
    <row r="2653" ht="80" customHeight="1">
      <c r="A2653" s="7">
        <f>IMAGE("https://images.lululemon.com/is/image/lululemon/LW3JR1S_068839_1?wid=320&amp;op_usm=0.8",1)</f>
        <v/>
      </c>
      <c r="B2653" s="7" t="inlineStr">
        <is>
          <t>Cotton Terry Tennis Half Zip</t>
        </is>
      </c>
      <c r="C2653" s="7" t="inlineStr">
        <is>
          <t>156626103</t>
        </is>
      </c>
      <c r="D2653" s="7" t="inlineStr">
        <is>
          <t>156626103-starchblue</t>
        </is>
      </c>
      <c r="E2653" s="7" t="inlineStr">
        <is>
          <t>Cotton Terry Tennis Half Zip WHT XXS</t>
        </is>
      </c>
      <c r="F2653" s="7" t="inlineStr">
        <is>
          <t>$118.00</t>
        </is>
      </c>
      <c r="G2653" s="7" t="inlineStr">
        <is>
          <t>$59.00</t>
        </is>
      </c>
      <c r="H2653" s="7" t="inlineStr">
        <is>
          <t>Starch Blue</t>
        </is>
      </c>
      <c r="I2653" s="7">
        <f>IMAGE("https://images.lululemon.com/is/image/lululemon/68839",1)</f>
        <v/>
      </c>
      <c r="J2653" s="7" t="inlineStr">
        <is>
          <t>XL</t>
        </is>
      </c>
      <c r="K2653" s="7" t="inlineStr">
        <is>
          <t>67/615</t>
        </is>
      </c>
      <c r="L2653" s="7" t="inlineStr">
        <is>
          <t>Yes</t>
        </is>
      </c>
      <c r="M2653" s="7" t="inlineStr">
        <is>
          <t>Racket optional. Made from cotton terry fabric, this cropped tennis half zip feels soft and cozy whether you're hitting balls or taking a rest day.</t>
        </is>
      </c>
      <c r="N2653" s="7" t="inlineStr">
        <is>
          <t>Cotton-Terry-Tennis-Half-Zip</t>
        </is>
      </c>
      <c r="O2653" s="7" t="inlineStr">
        <is>
          <t>Half Zip Sweatshirts, Quarter Zip Sweatshirts</t>
        </is>
      </c>
    </row>
    <row r="2654" ht="80" customHeight="1">
      <c r="A2654" s="4">
        <f>IMAGE("https://images.lululemon.com/is/image/lululemon/LW3JR1S_068839_1?wid=320&amp;op_usm=0.8",1)</f>
        <v/>
      </c>
      <c r="B2654" s="4" t="inlineStr">
        <is>
          <t>Cotton Terry Tennis Half Zip</t>
        </is>
      </c>
      <c r="C2654" s="4" t="inlineStr">
        <is>
          <t>156626026</t>
        </is>
      </c>
      <c r="D2654" s="4" t="inlineStr">
        <is>
          <t>156626026-black</t>
        </is>
      </c>
      <c r="E2654" s="4" t="inlineStr">
        <is>
          <t>Cotton Terry Tennis Half Zip WHT XXS</t>
        </is>
      </c>
      <c r="F2654" s="4" t="inlineStr">
        <is>
          <t>$118.00</t>
        </is>
      </c>
      <c r="G2654" s="4" t="inlineStr">
        <is>
          <t>$59.00</t>
        </is>
      </c>
      <c r="H2654" s="4" t="inlineStr">
        <is>
          <t>Black</t>
        </is>
      </c>
      <c r="I2654" s="4">
        <f>IMAGE("https://images.lululemon.com/is/image/lululemon/0001",1)</f>
        <v/>
      </c>
      <c r="J2654" s="4" t="inlineStr">
        <is>
          <t>XS</t>
        </is>
      </c>
      <c r="K2654" s="4" t="inlineStr">
        <is>
          <t>2/615</t>
        </is>
      </c>
      <c r="L2654" s="4" t="inlineStr">
        <is>
          <t>Yes</t>
        </is>
      </c>
      <c r="M2654" s="4" t="inlineStr">
        <is>
          <t>Racket optional. Made from cotton terry fabric, this cropped tennis half zip feels soft and cozy whether you're hitting balls or taking a rest day.</t>
        </is>
      </c>
      <c r="N2654" s="4" t="inlineStr">
        <is>
          <t>Cotton-Terry-Tennis-Half-Zip</t>
        </is>
      </c>
      <c r="O2654" s="4" t="inlineStr">
        <is>
          <t>Half Zip Sweatshirts, Quarter Zip Sweatshirts</t>
        </is>
      </c>
    </row>
    <row r="2655" ht="80" customHeight="1">
      <c r="A2655" s="7">
        <f>IMAGE("https://images.lululemon.com/is/image/lululemon/LW3JR1S_068839_1?wid=320&amp;op_usm=0.8",1)</f>
        <v/>
      </c>
      <c r="B2655" s="7" t="inlineStr">
        <is>
          <t>Cotton Terry Tennis Half Zip</t>
        </is>
      </c>
      <c r="C2655" s="7" t="inlineStr">
        <is>
          <t>156626012</t>
        </is>
      </c>
      <c r="D2655" s="7" t="inlineStr">
        <is>
          <t>156626012-black</t>
        </is>
      </c>
      <c r="E2655" s="7" t="inlineStr">
        <is>
          <t>Cotton Terry Tennis Half Zip WHT XXS</t>
        </is>
      </c>
      <c r="F2655" s="7" t="inlineStr">
        <is>
          <t>$118.00</t>
        </is>
      </c>
      <c r="G2655" s="7" t="inlineStr">
        <is>
          <t>$59.00</t>
        </is>
      </c>
      <c r="H2655" s="7" t="inlineStr">
        <is>
          <t>Black</t>
        </is>
      </c>
      <c r="I2655" s="7">
        <f>IMAGE("https://images.lululemon.com/is/image/lululemon/0001",1)</f>
        <v/>
      </c>
      <c r="J2655" s="7" t="inlineStr">
        <is>
          <t>L</t>
        </is>
      </c>
      <c r="K2655" s="7" t="inlineStr">
        <is>
          <t>48/615</t>
        </is>
      </c>
      <c r="L2655" s="7" t="inlineStr">
        <is>
          <t>Yes</t>
        </is>
      </c>
      <c r="M2655" s="7" t="inlineStr">
        <is>
          <t>Racket optional. Made from cotton terry fabric, this cropped tennis half zip feels soft and cozy whether you're hitting balls or taking a rest day.</t>
        </is>
      </c>
      <c r="N2655" s="7" t="inlineStr">
        <is>
          <t>Cotton-Terry-Tennis-Half-Zip</t>
        </is>
      </c>
      <c r="O2655" s="7" t="inlineStr">
        <is>
          <t>Half Zip Sweatshirts, Quarter Zip Sweatshirts</t>
        </is>
      </c>
    </row>
    <row r="2656" ht="80" customHeight="1">
      <c r="A2656" s="6">
        <f>IMAGE("https://images.lululemon.com/is/image/lululemon/LW3JR1S_068839_1?wid=320&amp;op_usm=0.8",1)</f>
        <v/>
      </c>
      <c r="B2656" s="6" t="inlineStr">
        <is>
          <t>Cotton Terry Tennis Half Zip</t>
        </is>
      </c>
      <c r="C2656" s="6" t="inlineStr">
        <is>
          <t>156626024</t>
        </is>
      </c>
      <c r="D2656" s="6" t="inlineStr">
        <is>
          <t>156626024-black</t>
        </is>
      </c>
      <c r="E2656" s="6" t="inlineStr">
        <is>
          <t>Cotton Terry Tennis Half Zip WHT XXS</t>
        </is>
      </c>
      <c r="F2656" s="6" t="inlineStr">
        <is>
          <t>$118.00</t>
        </is>
      </c>
      <c r="G2656" s="6" t="inlineStr">
        <is>
          <t>$59.00</t>
        </is>
      </c>
      <c r="H2656" s="6" t="inlineStr">
        <is>
          <t>Black</t>
        </is>
      </c>
      <c r="I2656" s="6">
        <f>IMAGE("https://images.lululemon.com/is/image/lululemon/0001",1)</f>
        <v/>
      </c>
      <c r="J2656" s="6" t="inlineStr">
        <is>
          <t>XL</t>
        </is>
      </c>
      <c r="K2656" s="6" t="inlineStr">
        <is>
          <t>50/615</t>
        </is>
      </c>
      <c r="L2656" s="6" t="inlineStr">
        <is>
          <t>Yes</t>
        </is>
      </c>
      <c r="M2656" s="6" t="inlineStr">
        <is>
          <t>Racket optional. Made from cotton terry fabric, this cropped tennis half zip feels soft and cozy whether you're hitting balls or taking a rest day.</t>
        </is>
      </c>
      <c r="N2656" s="6" t="inlineStr">
        <is>
          <t>Cotton-Terry-Tennis-Half-Zip</t>
        </is>
      </c>
      <c r="O2656" s="6" t="inlineStr">
        <is>
          <t>Half Zip Sweatshirts, Quarter Zip Sweatshirts</t>
        </is>
      </c>
    </row>
    <row r="2657" ht="80" customHeight="1">
      <c r="A2657" s="7">
        <f>IMAGE("https://images.lululemon.com/is/image/lululemon/LW3JFKS_0001_1?wid=320&amp;op_usm=0.8",1)</f>
        <v/>
      </c>
      <c r="B2657" s="7" t="inlineStr">
        <is>
          <t>Softstreme Crewneck Oversized Pullover</t>
        </is>
      </c>
      <c r="C2657" s="7" t="inlineStr">
        <is>
          <t>155853101</t>
        </is>
      </c>
      <c r="D2657" s="7" t="inlineStr">
        <is>
          <t>155853101-black</t>
        </is>
      </c>
      <c r="E2657" s="7" t="inlineStr">
        <is>
          <t>Softstreme™ Oversized Crewneck Pullover BLK XS</t>
        </is>
      </c>
      <c r="F2657" s="7" t="inlineStr">
        <is>
          <t>$128.00</t>
        </is>
      </c>
      <c r="G2657" s="7" t="inlineStr">
        <is>
          <t>$64.00</t>
        </is>
      </c>
      <c r="H2657" s="7" t="inlineStr">
        <is>
          <t>Black</t>
        </is>
      </c>
      <c r="I2657" s="7">
        <f>IMAGE("https://images.lululemon.com/is/image/lululemon/0001",1)</f>
        <v/>
      </c>
      <c r="J2657" s="7" t="inlineStr">
        <is>
          <t>XS</t>
        </is>
      </c>
      <c r="K2657" s="7" t="inlineStr">
        <is>
          <t>97/4350</t>
        </is>
      </c>
      <c r="L2657" s="7" t="inlineStr">
        <is>
          <t>Yes</t>
        </is>
      </c>
      <c r="M2657" s="7" t="inlineStr">
        <is>
          <t>Feel it to believe it. This drapey, oversized pullover is peach-fuzz soft on the outside with a cool, smooth feel next to skin.</t>
        </is>
      </c>
      <c r="N2657" s="7" t="inlineStr">
        <is>
          <t>Softstreme-Crewneck-Oversized-Pullover</t>
        </is>
      </c>
      <c r="O2657" s="7" t="inlineStr">
        <is>
          <t>Crewneck Sweatshirts</t>
        </is>
      </c>
    </row>
    <row r="2658" ht="80" customHeight="1">
      <c r="A2658" s="4">
        <f>IMAGE("https://images.lululemon.com/is/image/lululemon/LW3JFKS_0001_1?wid=320&amp;op_usm=0.8",1)</f>
        <v/>
      </c>
      <c r="B2658" s="4" t="inlineStr">
        <is>
          <t>Softstreme Crewneck Oversized Pullover</t>
        </is>
      </c>
      <c r="C2658" s="4" t="inlineStr">
        <is>
          <t>155853081</t>
        </is>
      </c>
      <c r="D2658" s="4" t="inlineStr">
        <is>
          <t>155853081-black</t>
        </is>
      </c>
      <c r="E2658" s="4" t="inlineStr">
        <is>
          <t>Softstreme™ Oversized Crewneck Pullover BLK XS</t>
        </is>
      </c>
      <c r="F2658" s="4" t="inlineStr">
        <is>
          <t>$128.00</t>
        </is>
      </c>
      <c r="G2658" s="4" t="inlineStr">
        <is>
          <t>$64.00</t>
        </is>
      </c>
      <c r="H2658" s="4" t="inlineStr">
        <is>
          <t>Black</t>
        </is>
      </c>
      <c r="I2658" s="4">
        <f>IMAGE("https://images.lululemon.com/is/image/lululemon/0001",1)</f>
        <v/>
      </c>
      <c r="J2658" s="4" t="inlineStr">
        <is>
          <t>S</t>
        </is>
      </c>
      <c r="K2658" s="4" t="inlineStr">
        <is>
          <t>427/4350</t>
        </is>
      </c>
      <c r="L2658" s="4" t="inlineStr">
        <is>
          <t>Yes</t>
        </is>
      </c>
      <c r="M2658" s="4" t="inlineStr">
        <is>
          <t>Feel it to believe it. This drapey, oversized pullover is peach-fuzz soft on the outside with a cool, smooth feel next to skin.</t>
        </is>
      </c>
      <c r="N2658" s="4" t="inlineStr">
        <is>
          <t>Softstreme-Crewneck-Oversized-Pullover</t>
        </is>
      </c>
      <c r="O2658" s="4" t="inlineStr">
        <is>
          <t>Crewneck Sweatshirts</t>
        </is>
      </c>
    </row>
    <row r="2659" ht="80" customHeight="1">
      <c r="A2659" s="7">
        <f>IMAGE("https://images.lululemon.com/is/image/lululemon/LW3JFKS_0001_1?wid=320&amp;op_usm=0.8",1)</f>
        <v/>
      </c>
      <c r="B2659" s="7" t="inlineStr">
        <is>
          <t>Softstreme Crewneck Oversized Pullover</t>
        </is>
      </c>
      <c r="C2659" s="7" t="inlineStr">
        <is>
          <t>155853069</t>
        </is>
      </c>
      <c r="D2659" s="7" t="inlineStr">
        <is>
          <t>155853069-black</t>
        </is>
      </c>
      <c r="E2659" s="7" t="inlineStr">
        <is>
          <t>Softstreme™ Oversized Crewneck Pullover BLK XS</t>
        </is>
      </c>
      <c r="F2659" s="7" t="inlineStr">
        <is>
          <t>$128.00</t>
        </is>
      </c>
      <c r="G2659" s="7" t="inlineStr">
        <is>
          <t>$64.00</t>
        </is>
      </c>
      <c r="H2659" s="7" t="inlineStr">
        <is>
          <t>Black</t>
        </is>
      </c>
      <c r="I2659" s="7">
        <f>IMAGE("https://images.lululemon.com/is/image/lululemon/0001",1)</f>
        <v/>
      </c>
      <c r="J2659" s="7" t="inlineStr">
        <is>
          <t>M</t>
        </is>
      </c>
      <c r="K2659" s="7" t="inlineStr">
        <is>
          <t>596/4350</t>
        </is>
      </c>
      <c r="L2659" s="7" t="inlineStr">
        <is>
          <t>Yes</t>
        </is>
      </c>
      <c r="M2659" s="7" t="inlineStr">
        <is>
          <t>Feel it to believe it. This drapey, oversized pullover is peach-fuzz soft on the outside with a cool, smooth feel next to skin.</t>
        </is>
      </c>
      <c r="N2659" s="7" t="inlineStr">
        <is>
          <t>Softstreme-Crewneck-Oversized-Pullover</t>
        </is>
      </c>
      <c r="O2659" s="7" t="inlineStr">
        <is>
          <t>Crewneck Sweatshirts</t>
        </is>
      </c>
    </row>
    <row r="2660" ht="80" customHeight="1">
      <c r="A2660" s="4">
        <f>IMAGE("https://images.lululemon.com/is/image/lululemon/LW3JFKS_0001_1?wid=320&amp;op_usm=0.8",1)</f>
        <v/>
      </c>
      <c r="B2660" s="4" t="inlineStr">
        <is>
          <t>Softstreme Crewneck Oversized Pullover</t>
        </is>
      </c>
      <c r="C2660" s="4" t="inlineStr">
        <is>
          <t>155853055</t>
        </is>
      </c>
      <c r="D2660" s="4" t="inlineStr">
        <is>
          <t>155853055-black</t>
        </is>
      </c>
      <c r="E2660" s="4" t="inlineStr">
        <is>
          <t>Softstreme™ Oversized Crewneck Pullover BLK XS</t>
        </is>
      </c>
      <c r="F2660" s="4" t="inlineStr">
        <is>
          <t>$128.00</t>
        </is>
      </c>
      <c r="G2660" s="4" t="inlineStr">
        <is>
          <t>$64.00</t>
        </is>
      </c>
      <c r="H2660" s="4" t="inlineStr">
        <is>
          <t>Black</t>
        </is>
      </c>
      <c r="I2660" s="4">
        <f>IMAGE("https://images.lululemon.com/is/image/lululemon/0001",1)</f>
        <v/>
      </c>
      <c r="J2660" s="4" t="inlineStr">
        <is>
          <t>L</t>
        </is>
      </c>
      <c r="K2660" s="4" t="inlineStr">
        <is>
          <t>602/4350</t>
        </is>
      </c>
      <c r="L2660" s="4" t="inlineStr">
        <is>
          <t>Yes</t>
        </is>
      </c>
      <c r="M2660" s="4" t="inlineStr">
        <is>
          <t>Feel it to believe it. This drapey, oversized pullover is peach-fuzz soft on the outside with a cool, smooth feel next to skin.</t>
        </is>
      </c>
      <c r="N2660" s="4" t="inlineStr">
        <is>
          <t>Softstreme-Crewneck-Oversized-Pullover</t>
        </is>
      </c>
      <c r="O2660" s="4" t="inlineStr">
        <is>
          <t>Crewneck Sweatshirts</t>
        </is>
      </c>
    </row>
    <row r="2661" ht="80" customHeight="1">
      <c r="A2661" s="7">
        <f>IMAGE("https://images.lululemon.com/is/image/lululemon/LW3JFKS_0001_1?wid=320&amp;op_usm=0.8",1)</f>
        <v/>
      </c>
      <c r="B2661" s="7" t="inlineStr">
        <is>
          <t>Softstreme Crewneck Oversized Pullover</t>
        </is>
      </c>
      <c r="C2661" s="7" t="inlineStr">
        <is>
          <t>155853093</t>
        </is>
      </c>
      <c r="D2661" s="7" t="inlineStr">
        <is>
          <t>155853093-black</t>
        </is>
      </c>
      <c r="E2661" s="7" t="inlineStr">
        <is>
          <t>Softstreme™ Oversized Crewneck Pullover BLK XS</t>
        </is>
      </c>
      <c r="F2661" s="7" t="inlineStr">
        <is>
          <t>$128.00</t>
        </is>
      </c>
      <c r="G2661" s="7" t="inlineStr">
        <is>
          <t>$64.00</t>
        </is>
      </c>
      <c r="H2661" s="7" t="inlineStr">
        <is>
          <t>Black</t>
        </is>
      </c>
      <c r="I2661" s="7">
        <f>IMAGE("https://images.lululemon.com/is/image/lululemon/0001",1)</f>
        <v/>
      </c>
      <c r="J2661" s="7" t="inlineStr">
        <is>
          <t>XL</t>
        </is>
      </c>
      <c r="K2661" s="7" t="inlineStr">
        <is>
          <t>512/4350</t>
        </is>
      </c>
      <c r="L2661" s="7" t="inlineStr">
        <is>
          <t>Yes</t>
        </is>
      </c>
      <c r="M2661" s="7" t="inlineStr">
        <is>
          <t>Feel it to believe it. This drapey, oversized pullover is peach-fuzz soft on the outside with a cool, smooth feel next to skin.</t>
        </is>
      </c>
      <c r="N2661" s="7" t="inlineStr">
        <is>
          <t>Softstreme-Crewneck-Oversized-Pullover</t>
        </is>
      </c>
      <c r="O2661" s="7" t="inlineStr">
        <is>
          <t>Crewneck Sweatshirts</t>
        </is>
      </c>
    </row>
    <row r="2662" ht="80" customHeight="1">
      <c r="A2662" s="4">
        <f>IMAGE("https://images.lululemon.com/is/image/lululemon/LW3JFKS_0001_1?wid=320&amp;op_usm=0.8",1)</f>
        <v/>
      </c>
      <c r="B2662" s="4" t="inlineStr">
        <is>
          <t>Softstreme Crewneck Oversized Pullover</t>
        </is>
      </c>
      <c r="C2662" s="4" t="inlineStr">
        <is>
          <t>156481046</t>
        </is>
      </c>
      <c r="D2662" s="4" t="inlineStr">
        <is>
          <t>156481046-foggreen</t>
        </is>
      </c>
      <c r="E2662" s="4" t="inlineStr">
        <is>
          <t>Softstreme™ Oversized Crewneck Pullover BLK XS</t>
        </is>
      </c>
      <c r="F2662" s="4" t="inlineStr">
        <is>
          <t>$128.00</t>
        </is>
      </c>
      <c r="G2662" s="4" t="inlineStr">
        <is>
          <t>$64.00</t>
        </is>
      </c>
      <c r="H2662" s="4" t="inlineStr">
        <is>
          <t>Fog Green</t>
        </is>
      </c>
      <c r="I2662" s="4">
        <f>IMAGE("https://images.lululemon.com/is/image/lululemon/70144",1)</f>
        <v/>
      </c>
      <c r="J2662" s="4" t="inlineStr">
        <is>
          <t>XS</t>
        </is>
      </c>
      <c r="K2662" s="4" t="inlineStr">
        <is>
          <t>199/4350</t>
        </is>
      </c>
      <c r="L2662" s="4" t="inlineStr">
        <is>
          <t>Yes</t>
        </is>
      </c>
      <c r="M2662" s="4" t="inlineStr">
        <is>
          <t>Feel it to believe it. This drapey, oversized pullover is peach-fuzz soft on the outside with a cool, smooth feel next to skin.</t>
        </is>
      </c>
      <c r="N2662" s="4" t="inlineStr">
        <is>
          <t>Softstreme-Crewneck-Oversized-Pullover</t>
        </is>
      </c>
      <c r="O2662" s="4" t="inlineStr">
        <is>
          <t>Crewneck Sweatshirts</t>
        </is>
      </c>
    </row>
    <row r="2663" ht="80" customHeight="1">
      <c r="A2663" s="7">
        <f>IMAGE("https://images.lululemon.com/is/image/lululemon/LW3JFKS_0001_1?wid=320&amp;op_usm=0.8",1)</f>
        <v/>
      </c>
      <c r="B2663" s="7" t="inlineStr">
        <is>
          <t>Softstreme Crewneck Oversized Pullover</t>
        </is>
      </c>
      <c r="C2663" s="7" t="inlineStr">
        <is>
          <t>156481036</t>
        </is>
      </c>
      <c r="D2663" s="7" t="inlineStr">
        <is>
          <t>156481036-foggreen</t>
        </is>
      </c>
      <c r="E2663" s="7" t="inlineStr">
        <is>
          <t>Softstreme™ Oversized Crewneck Pullover BLK XS</t>
        </is>
      </c>
      <c r="F2663" s="7" t="inlineStr">
        <is>
          <t>$128.00</t>
        </is>
      </c>
      <c r="G2663" s="7" t="inlineStr">
        <is>
          <t>$64.00</t>
        </is>
      </c>
      <c r="H2663" s="7" t="inlineStr">
        <is>
          <t>Fog Green</t>
        </is>
      </c>
      <c r="I2663" s="7">
        <f>IMAGE("https://images.lululemon.com/is/image/lululemon/70144",1)</f>
        <v/>
      </c>
      <c r="J2663" s="7" t="inlineStr">
        <is>
          <t>S</t>
        </is>
      </c>
      <c r="K2663" s="7" t="inlineStr">
        <is>
          <t>163/4350</t>
        </is>
      </c>
      <c r="L2663" s="7" t="inlineStr">
        <is>
          <t>Yes</t>
        </is>
      </c>
      <c r="M2663" s="7" t="inlineStr">
        <is>
          <t>Feel it to believe it. This drapey, oversized pullover is peach-fuzz soft on the outside with a cool, smooth feel next to skin.</t>
        </is>
      </c>
      <c r="N2663" s="7" t="inlineStr">
        <is>
          <t>Softstreme-Crewneck-Oversized-Pullover</t>
        </is>
      </c>
      <c r="O2663" s="7" t="inlineStr">
        <is>
          <t>Crewneck Sweatshirts</t>
        </is>
      </c>
    </row>
    <row r="2664" ht="80" customHeight="1">
      <c r="A2664" s="4">
        <f>IMAGE("https://images.lululemon.com/is/image/lululemon/LW3JFKS_0001_1?wid=320&amp;op_usm=0.8",1)</f>
        <v/>
      </c>
      <c r="B2664" s="4" t="inlineStr">
        <is>
          <t>Softstreme Crewneck Oversized Pullover</t>
        </is>
      </c>
      <c r="C2664" s="4" t="inlineStr">
        <is>
          <t>156481030</t>
        </is>
      </c>
      <c r="D2664" s="4" t="inlineStr">
        <is>
          <t>156481030-foggreen</t>
        </is>
      </c>
      <c r="E2664" s="4" t="inlineStr">
        <is>
          <t>Softstreme™ Oversized Crewneck Pullover BLK XS</t>
        </is>
      </c>
      <c r="F2664" s="4" t="inlineStr">
        <is>
          <t>$128.00</t>
        </is>
      </c>
      <c r="G2664" s="4" t="inlineStr">
        <is>
          <t>$64.00</t>
        </is>
      </c>
      <c r="H2664" s="4" t="inlineStr">
        <is>
          <t>Fog Green</t>
        </is>
      </c>
      <c r="I2664" s="4">
        <f>IMAGE("https://images.lululemon.com/is/image/lululemon/70144",1)</f>
        <v/>
      </c>
      <c r="J2664" s="4" t="inlineStr">
        <is>
          <t>M</t>
        </is>
      </c>
      <c r="K2664" s="4" t="inlineStr">
        <is>
          <t>103/4350</t>
        </is>
      </c>
      <c r="L2664" s="4" t="inlineStr">
        <is>
          <t>Yes</t>
        </is>
      </c>
      <c r="M2664" s="4" t="inlineStr">
        <is>
          <t>Feel it to believe it. This drapey, oversized pullover is peach-fuzz soft on the outside with a cool, smooth feel next to skin.</t>
        </is>
      </c>
      <c r="N2664" s="4" t="inlineStr">
        <is>
          <t>Softstreme-Crewneck-Oversized-Pullover</t>
        </is>
      </c>
      <c r="O2664" s="4" t="inlineStr">
        <is>
          <t>Crewneck Sweatshirts</t>
        </is>
      </c>
    </row>
    <row r="2665" ht="80" customHeight="1">
      <c r="A2665" s="7">
        <f>IMAGE("https://images.lululemon.com/is/image/lululemon/LW3JFKS_0001_1?wid=320&amp;op_usm=0.8",1)</f>
        <v/>
      </c>
      <c r="B2665" s="7" t="inlineStr">
        <is>
          <t>Softstreme Crewneck Oversized Pullover</t>
        </is>
      </c>
      <c r="C2665" s="7" t="inlineStr">
        <is>
          <t>156481025</t>
        </is>
      </c>
      <c r="D2665" s="7" t="inlineStr">
        <is>
          <t>156481025-foggreen</t>
        </is>
      </c>
      <c r="E2665" s="7" t="inlineStr">
        <is>
          <t>Softstreme™ Oversized Crewneck Pullover BLK XS</t>
        </is>
      </c>
      <c r="F2665" s="7" t="inlineStr">
        <is>
          <t>$128.00</t>
        </is>
      </c>
      <c r="G2665" s="7" t="inlineStr">
        <is>
          <t>$64.00</t>
        </is>
      </c>
      <c r="H2665" s="7" t="inlineStr">
        <is>
          <t>Fog Green</t>
        </is>
      </c>
      <c r="I2665" s="7">
        <f>IMAGE("https://images.lululemon.com/is/image/lululemon/70144",1)</f>
        <v/>
      </c>
      <c r="J2665" s="7" t="inlineStr">
        <is>
          <t>L</t>
        </is>
      </c>
      <c r="K2665" s="7" t="inlineStr">
        <is>
          <t>87/4350</t>
        </is>
      </c>
      <c r="L2665" s="7" t="inlineStr">
        <is>
          <t>Yes</t>
        </is>
      </c>
      <c r="M2665" s="7" t="inlineStr">
        <is>
          <t>Feel it to believe it. This drapey, oversized pullover is peach-fuzz soft on the outside with a cool, smooth feel next to skin.</t>
        </is>
      </c>
      <c r="N2665" s="7" t="inlineStr">
        <is>
          <t>Softstreme-Crewneck-Oversized-Pullover</t>
        </is>
      </c>
      <c r="O2665" s="7" t="inlineStr">
        <is>
          <t>Crewneck Sweatshirts</t>
        </is>
      </c>
    </row>
    <row r="2666" ht="80" customHeight="1">
      <c r="A2666" s="4">
        <f>IMAGE("https://images.lululemon.com/is/image/lululemon/LW3JFKS_0001_1?wid=320&amp;op_usm=0.8",1)</f>
        <v/>
      </c>
      <c r="B2666" s="4" t="inlineStr">
        <is>
          <t>Softstreme Crewneck Oversized Pullover</t>
        </is>
      </c>
      <c r="C2666" s="4" t="inlineStr">
        <is>
          <t>156481040</t>
        </is>
      </c>
      <c r="D2666" s="4" t="inlineStr">
        <is>
          <t>156481040-foggreen</t>
        </is>
      </c>
      <c r="E2666" s="4" t="inlineStr">
        <is>
          <t>Softstreme™ Oversized Crewneck Pullover BLK XS</t>
        </is>
      </c>
      <c r="F2666" s="4" t="inlineStr">
        <is>
          <t>$128.00</t>
        </is>
      </c>
      <c r="G2666" s="4" t="inlineStr">
        <is>
          <t>$64.00</t>
        </is>
      </c>
      <c r="H2666" s="4" t="inlineStr">
        <is>
          <t>Fog Green</t>
        </is>
      </c>
      <c r="I2666" s="4">
        <f>IMAGE("https://images.lululemon.com/is/image/lululemon/70144",1)</f>
        <v/>
      </c>
      <c r="J2666" s="4" t="inlineStr">
        <is>
          <t>XL</t>
        </is>
      </c>
      <c r="K2666" s="4" t="inlineStr">
        <is>
          <t>62/4350</t>
        </is>
      </c>
      <c r="L2666" s="4" t="inlineStr">
        <is>
          <t>Yes</t>
        </is>
      </c>
      <c r="M2666" s="4" t="inlineStr">
        <is>
          <t>Feel it to believe it. This drapey, oversized pullover is peach-fuzz soft on the outside with a cool, smooth feel next to skin.</t>
        </is>
      </c>
      <c r="N2666" s="4" t="inlineStr">
        <is>
          <t>Softstreme-Crewneck-Oversized-Pullover</t>
        </is>
      </c>
      <c r="O2666" s="4" t="inlineStr">
        <is>
          <t>Crewneck Sweatshirts</t>
        </is>
      </c>
    </row>
    <row r="2667" ht="80" customHeight="1">
      <c r="A2667" s="7">
        <f>IMAGE("https://images.lululemon.com/is/image/lululemon/LW3JFKS_0001_1?wid=320&amp;op_usm=0.8",1)</f>
        <v/>
      </c>
      <c r="B2667" s="7" t="inlineStr">
        <is>
          <t>Softstreme Crewneck Oversized Pullover</t>
        </is>
      </c>
      <c r="C2667" s="7" t="inlineStr">
        <is>
          <t>157707646</t>
        </is>
      </c>
      <c r="D2667" s="7" t="inlineStr">
        <is>
          <t>157707646-palmdeco</t>
        </is>
      </c>
      <c r="E2667" s="7" t="inlineStr">
        <is>
          <t>Softstreme™ Oversized Crewneck Pullover BLK XS</t>
        </is>
      </c>
      <c r="F2667" s="7" t="inlineStr">
        <is>
          <t>$128.00</t>
        </is>
      </c>
      <c r="G2667" s="7" t="inlineStr">
        <is>
          <t>$64.00</t>
        </is>
      </c>
      <c r="H2667" s="7" t="inlineStr">
        <is>
          <t>Palm Deco</t>
        </is>
      </c>
      <c r="I2667" s="7">
        <f>IMAGE("https://images.lululemon.com/is/image/lululemon/35487",1)</f>
        <v/>
      </c>
      <c r="J2667" s="7" t="inlineStr">
        <is>
          <t>XS</t>
        </is>
      </c>
      <c r="K2667" s="7" t="inlineStr">
        <is>
          <t>15/4350</t>
        </is>
      </c>
      <c r="L2667" s="7" t="inlineStr">
        <is>
          <t>Yes</t>
        </is>
      </c>
      <c r="M2667" s="7" t="inlineStr">
        <is>
          <t>Feel it to believe it. This drapey, oversized pullover is peach-fuzz soft on the outside with a cool, smooth feel next to skin.</t>
        </is>
      </c>
      <c r="N2667" s="7" t="inlineStr">
        <is>
          <t>Softstreme-Crewneck-Oversized-Pullover</t>
        </is>
      </c>
      <c r="O2667" s="7" t="inlineStr">
        <is>
          <t>Crewneck Sweatshirts</t>
        </is>
      </c>
    </row>
    <row r="2668" ht="80" customHeight="1">
      <c r="A2668" s="4">
        <f>IMAGE("https://images.lululemon.com/is/image/lululemon/LW3JFKS_0001_1?wid=320&amp;op_usm=0.8",1)</f>
        <v/>
      </c>
      <c r="B2668" s="4" t="inlineStr">
        <is>
          <t>Softstreme Crewneck Oversized Pullover</t>
        </is>
      </c>
      <c r="C2668" s="4" t="inlineStr">
        <is>
          <t>157707617</t>
        </is>
      </c>
      <c r="D2668" s="4" t="inlineStr">
        <is>
          <t>157707617-palmdeco</t>
        </is>
      </c>
      <c r="E2668" s="4" t="inlineStr">
        <is>
          <t>Softstreme™ Oversized Crewneck Pullover BLK XS</t>
        </is>
      </c>
      <c r="F2668" s="4" t="inlineStr">
        <is>
          <t>$128.00</t>
        </is>
      </c>
      <c r="G2668" s="4" t="inlineStr">
        <is>
          <t>$64.00</t>
        </is>
      </c>
      <c r="H2668" s="4" t="inlineStr">
        <is>
          <t>Palm Deco</t>
        </is>
      </c>
      <c r="I2668" s="4">
        <f>IMAGE("https://images.lululemon.com/is/image/lululemon/35487",1)</f>
        <v/>
      </c>
      <c r="J2668" s="4" t="inlineStr">
        <is>
          <t>S</t>
        </is>
      </c>
      <c r="K2668" s="4" t="inlineStr">
        <is>
          <t>117/4350</t>
        </is>
      </c>
      <c r="L2668" s="4" t="inlineStr">
        <is>
          <t>Yes</t>
        </is>
      </c>
      <c r="M2668" s="4" t="inlineStr">
        <is>
          <t>Feel it to believe it. This drapey, oversized pullover is peach-fuzz soft on the outside with a cool, smooth feel next to skin.</t>
        </is>
      </c>
      <c r="N2668" s="4" t="inlineStr">
        <is>
          <t>Softstreme-Crewneck-Oversized-Pullover</t>
        </is>
      </c>
      <c r="O2668" s="4" t="inlineStr">
        <is>
          <t>Crewneck Sweatshirts</t>
        </is>
      </c>
    </row>
    <row r="2669" ht="80" customHeight="1">
      <c r="A2669" s="7">
        <f>IMAGE("https://images.lululemon.com/is/image/lululemon/LW3JFKS_0001_1?wid=320&amp;op_usm=0.8",1)</f>
        <v/>
      </c>
      <c r="B2669" s="7" t="inlineStr">
        <is>
          <t>Softstreme Crewneck Oversized Pullover</t>
        </is>
      </c>
      <c r="C2669" s="7" t="inlineStr">
        <is>
          <t>157707601</t>
        </is>
      </c>
      <c r="D2669" s="7" t="inlineStr">
        <is>
          <t>157707601-palmdeco</t>
        </is>
      </c>
      <c r="E2669" s="7" t="inlineStr">
        <is>
          <t>Softstreme™ Oversized Crewneck Pullover BLK XS</t>
        </is>
      </c>
      <c r="F2669" s="7" t="inlineStr">
        <is>
          <t>$128.00</t>
        </is>
      </c>
      <c r="G2669" s="7" t="inlineStr">
        <is>
          <t>$64.00</t>
        </is>
      </c>
      <c r="H2669" s="7" t="inlineStr">
        <is>
          <t>Palm Deco</t>
        </is>
      </c>
      <c r="I2669" s="7">
        <f>IMAGE("https://images.lululemon.com/is/image/lululemon/35487",1)</f>
        <v/>
      </c>
      <c r="J2669" s="7" t="inlineStr">
        <is>
          <t>M</t>
        </is>
      </c>
      <c r="K2669" s="7" t="inlineStr">
        <is>
          <t>151/4350</t>
        </is>
      </c>
      <c r="L2669" s="7" t="inlineStr">
        <is>
          <t>Yes</t>
        </is>
      </c>
      <c r="M2669" s="7" t="inlineStr">
        <is>
          <t>Feel it to believe it. This drapey, oversized pullover is peach-fuzz soft on the outside with a cool, smooth feel next to skin.</t>
        </is>
      </c>
      <c r="N2669" s="7" t="inlineStr">
        <is>
          <t>Softstreme-Crewneck-Oversized-Pullover</t>
        </is>
      </c>
      <c r="O2669" s="7" t="inlineStr">
        <is>
          <t>Crewneck Sweatshirts</t>
        </is>
      </c>
    </row>
    <row r="2670" ht="80" customHeight="1">
      <c r="A2670" s="4">
        <f>IMAGE("https://images.lululemon.com/is/image/lululemon/LW3JFKS_0001_1?wid=320&amp;op_usm=0.8",1)</f>
        <v/>
      </c>
      <c r="B2670" s="4" t="inlineStr">
        <is>
          <t>Softstreme Crewneck Oversized Pullover</t>
        </is>
      </c>
      <c r="C2670" s="4" t="inlineStr">
        <is>
          <t>157707584</t>
        </is>
      </c>
      <c r="D2670" s="4" t="inlineStr">
        <is>
          <t>157707584-palmdeco</t>
        </is>
      </c>
      <c r="E2670" s="4" t="inlineStr">
        <is>
          <t>Softstreme™ Oversized Crewneck Pullover BLK XS</t>
        </is>
      </c>
      <c r="F2670" s="4" t="inlineStr">
        <is>
          <t>$128.00</t>
        </is>
      </c>
      <c r="G2670" s="4" t="inlineStr">
        <is>
          <t>$64.00</t>
        </is>
      </c>
      <c r="H2670" s="4" t="inlineStr">
        <is>
          <t>Palm Deco</t>
        </is>
      </c>
      <c r="I2670" s="4">
        <f>IMAGE("https://images.lululemon.com/is/image/lululemon/35487",1)</f>
        <v/>
      </c>
      <c r="J2670" s="4" t="inlineStr">
        <is>
          <t>L</t>
        </is>
      </c>
      <c r="K2670" s="4" t="inlineStr">
        <is>
          <t>179/4350</t>
        </is>
      </c>
      <c r="L2670" s="4" t="inlineStr">
        <is>
          <t>Yes</t>
        </is>
      </c>
      <c r="M2670" s="4" t="inlineStr">
        <is>
          <t>Feel it to believe it. This drapey, oversized pullover is peach-fuzz soft on the outside with a cool, smooth feel next to skin.</t>
        </is>
      </c>
      <c r="N2670" s="4" t="inlineStr">
        <is>
          <t>Softstreme-Crewneck-Oversized-Pullover</t>
        </is>
      </c>
      <c r="O2670" s="4" t="inlineStr">
        <is>
          <t>Crewneck Sweatshirts</t>
        </is>
      </c>
    </row>
    <row r="2671" ht="80" customHeight="1">
      <c r="A2671" s="7">
        <f>IMAGE("https://images.lululemon.com/is/image/lululemon/LW3JFKS_0001_1?wid=320&amp;op_usm=0.8",1)</f>
        <v/>
      </c>
      <c r="B2671" s="7" t="inlineStr">
        <is>
          <t>Softstreme Crewneck Oversized Pullover</t>
        </is>
      </c>
      <c r="C2671" s="7" t="inlineStr">
        <is>
          <t>157707635</t>
        </is>
      </c>
      <c r="D2671" s="7" t="inlineStr">
        <is>
          <t>157707635-palmdeco</t>
        </is>
      </c>
      <c r="E2671" s="7" t="inlineStr">
        <is>
          <t>Softstreme™ Oversized Crewneck Pullover BLK XS</t>
        </is>
      </c>
      <c r="F2671" s="7" t="inlineStr">
        <is>
          <t>$128.00</t>
        </is>
      </c>
      <c r="G2671" s="7" t="inlineStr">
        <is>
          <t>$64.00</t>
        </is>
      </c>
      <c r="H2671" s="7" t="inlineStr">
        <is>
          <t>Palm Deco</t>
        </is>
      </c>
      <c r="I2671" s="7">
        <f>IMAGE("https://images.lululemon.com/is/image/lululemon/35487",1)</f>
        <v/>
      </c>
      <c r="J2671" s="7" t="inlineStr">
        <is>
          <t>XL</t>
        </is>
      </c>
      <c r="K2671" s="7" t="inlineStr">
        <is>
          <t>169/4350</t>
        </is>
      </c>
      <c r="L2671" s="7" t="inlineStr">
        <is>
          <t>Yes</t>
        </is>
      </c>
      <c r="M2671" s="7" t="inlineStr">
        <is>
          <t>Feel it to believe it. This drapey, oversized pullover is peach-fuzz soft on the outside with a cool, smooth feel next to skin.</t>
        </is>
      </c>
      <c r="N2671" s="7" t="inlineStr">
        <is>
          <t>Softstreme-Crewneck-Oversized-Pullover</t>
        </is>
      </c>
      <c r="O2671" s="7" t="inlineStr">
        <is>
          <t>Crewneck Sweatshirts</t>
        </is>
      </c>
    </row>
    <row r="2672" ht="80" customHeight="1">
      <c r="A2672" s="4">
        <f>IMAGE("https://images.lululemon.com/is/image/lululemon/LW3JFKS_0001_1?wid=320&amp;op_usm=0.8",1)</f>
        <v/>
      </c>
      <c r="B2672" s="4" t="inlineStr">
        <is>
          <t>Softstreme Crewneck Oversized Pullover</t>
        </is>
      </c>
      <c r="C2672" s="4" t="inlineStr">
        <is>
          <t>158023367</t>
        </is>
      </c>
      <c r="D2672" s="4" t="inlineStr">
        <is>
          <t>158023367-grapemist</t>
        </is>
      </c>
      <c r="E2672" s="4" t="inlineStr">
        <is>
          <t>Softstreme™ Oversized Crewneck Pullover BLK XS</t>
        </is>
      </c>
      <c r="F2672" s="4" t="inlineStr">
        <is>
          <t>$128.00</t>
        </is>
      </c>
      <c r="G2672" s="4" t="inlineStr">
        <is>
          <t>$64.00</t>
        </is>
      </c>
      <c r="H2672" s="4" t="inlineStr">
        <is>
          <t>Grape Mist</t>
        </is>
      </c>
      <c r="I2672" s="4">
        <f>IMAGE("https://images.lululemon.com/is/image/lululemon/0554",1)</f>
        <v/>
      </c>
      <c r="J2672" s="4" t="inlineStr">
        <is>
          <t>XS</t>
        </is>
      </c>
      <c r="K2672" s="4" t="inlineStr">
        <is>
          <t>176/4350</t>
        </is>
      </c>
      <c r="L2672" s="4" t="inlineStr">
        <is>
          <t>Yes</t>
        </is>
      </c>
      <c r="M2672" s="4" t="inlineStr">
        <is>
          <t>Feel it to believe it. This drapey, oversized pullover is peach-fuzz soft on the outside with a cool, smooth feel next to skin.</t>
        </is>
      </c>
      <c r="N2672" s="4" t="inlineStr">
        <is>
          <t>Softstreme-Crewneck-Oversized-Pullover</t>
        </is>
      </c>
      <c r="O2672" s="4" t="inlineStr">
        <is>
          <t>Crewneck Sweatshirts</t>
        </is>
      </c>
    </row>
    <row r="2673" ht="80" customHeight="1">
      <c r="A2673" s="7">
        <f>IMAGE("https://images.lululemon.com/is/image/lululemon/LW3JFKS_0001_1?wid=320&amp;op_usm=0.8",1)</f>
        <v/>
      </c>
      <c r="B2673" s="7" t="inlineStr">
        <is>
          <t>Softstreme Crewneck Oversized Pullover</t>
        </is>
      </c>
      <c r="C2673" s="7" t="inlineStr">
        <is>
          <t>158023337</t>
        </is>
      </c>
      <c r="D2673" s="7" t="inlineStr">
        <is>
          <t>158023337-grapemist</t>
        </is>
      </c>
      <c r="E2673" s="7" t="inlineStr">
        <is>
          <t>Softstreme™ Oversized Crewneck Pullover BLK XS</t>
        </is>
      </c>
      <c r="F2673" s="7" t="inlineStr">
        <is>
          <t>$128.00</t>
        </is>
      </c>
      <c r="G2673" s="7" t="inlineStr">
        <is>
          <t>$64.00</t>
        </is>
      </c>
      <c r="H2673" s="7" t="inlineStr">
        <is>
          <t>Grape Mist</t>
        </is>
      </c>
      <c r="I2673" s="7">
        <f>IMAGE("https://images.lululemon.com/is/image/lululemon/0554",1)</f>
        <v/>
      </c>
      <c r="J2673" s="7" t="inlineStr">
        <is>
          <t>S</t>
        </is>
      </c>
      <c r="K2673" s="7" t="inlineStr">
        <is>
          <t>87/4350</t>
        </is>
      </c>
      <c r="L2673" s="7" t="inlineStr">
        <is>
          <t>Yes</t>
        </is>
      </c>
      <c r="M2673" s="7" t="inlineStr">
        <is>
          <t>Feel it to believe it. This drapey, oversized pullover is peach-fuzz soft on the outside with a cool, smooth feel next to skin.</t>
        </is>
      </c>
      <c r="N2673" s="7" t="inlineStr">
        <is>
          <t>Softstreme-Crewneck-Oversized-Pullover</t>
        </is>
      </c>
      <c r="O2673" s="7" t="inlineStr">
        <is>
          <t>Crewneck Sweatshirts</t>
        </is>
      </c>
    </row>
    <row r="2674" ht="80" customHeight="1">
      <c r="A2674" s="4">
        <f>IMAGE("https://images.lululemon.com/is/image/lululemon/LW3JFKS_0001_1?wid=320&amp;op_usm=0.8",1)</f>
        <v/>
      </c>
      <c r="B2674" s="4" t="inlineStr">
        <is>
          <t>Softstreme Crewneck Oversized Pullover</t>
        </is>
      </c>
      <c r="C2674" s="4" t="inlineStr">
        <is>
          <t>158023325</t>
        </is>
      </c>
      <c r="D2674" s="4" t="inlineStr">
        <is>
          <t>158023325-grapemist</t>
        </is>
      </c>
      <c r="E2674" s="4" t="inlineStr">
        <is>
          <t>Softstreme™ Oversized Crewneck Pullover BLK XS</t>
        </is>
      </c>
      <c r="F2674" s="4" t="inlineStr">
        <is>
          <t>$128.00</t>
        </is>
      </c>
      <c r="G2674" s="4" t="inlineStr">
        <is>
          <t>$64.00</t>
        </is>
      </c>
      <c r="H2674" s="4" t="inlineStr">
        <is>
          <t>Grape Mist</t>
        </is>
      </c>
      <c r="I2674" s="4">
        <f>IMAGE("https://images.lululemon.com/is/image/lululemon/0554",1)</f>
        <v/>
      </c>
      <c r="J2674" s="4" t="inlineStr">
        <is>
          <t>M</t>
        </is>
      </c>
      <c r="K2674" s="4" t="inlineStr">
        <is>
          <t>17/4350</t>
        </is>
      </c>
      <c r="L2674" s="4" t="inlineStr">
        <is>
          <t>Yes</t>
        </is>
      </c>
      <c r="M2674" s="4" t="inlineStr">
        <is>
          <t>Feel it to believe it. This drapey, oversized pullover is peach-fuzz soft on the outside with a cool, smooth feel next to skin.</t>
        </is>
      </c>
      <c r="N2674" s="4" t="inlineStr">
        <is>
          <t>Softstreme-Crewneck-Oversized-Pullover</t>
        </is>
      </c>
      <c r="O2674" s="4" t="inlineStr">
        <is>
          <t>Crewneck Sweatshirts</t>
        </is>
      </c>
    </row>
    <row r="2675" ht="80" customHeight="1">
      <c r="A2675" s="7">
        <f>IMAGE("https://images.lululemon.com/is/image/lululemon/LW3JFKS_0001_1?wid=320&amp;op_usm=0.8",1)</f>
        <v/>
      </c>
      <c r="B2675" s="7" t="inlineStr">
        <is>
          <t>Softstreme Crewneck Oversized Pullover</t>
        </is>
      </c>
      <c r="C2675" s="7" t="inlineStr">
        <is>
          <t>158023311</t>
        </is>
      </c>
      <c r="D2675" s="7" t="inlineStr">
        <is>
          <t>158023311-grapemist</t>
        </is>
      </c>
      <c r="E2675" s="7" t="inlineStr">
        <is>
          <t>Softstreme™ Oversized Crewneck Pullover BLK XS</t>
        </is>
      </c>
      <c r="F2675" s="7" t="inlineStr">
        <is>
          <t>$128.00</t>
        </is>
      </c>
      <c r="G2675" s="7" t="inlineStr">
        <is>
          <t>$64.00</t>
        </is>
      </c>
      <c r="H2675" s="7" t="inlineStr">
        <is>
          <t>Grape Mist</t>
        </is>
      </c>
      <c r="I2675" s="7">
        <f>IMAGE("https://images.lululemon.com/is/image/lululemon/0554",1)</f>
        <v/>
      </c>
      <c r="J2675" s="7" t="inlineStr">
        <is>
          <t>L</t>
        </is>
      </c>
      <c r="K2675" s="7" t="inlineStr">
        <is>
          <t>8/4350</t>
        </is>
      </c>
      <c r="L2675" s="7" t="inlineStr">
        <is>
          <t>Yes</t>
        </is>
      </c>
      <c r="M2675" s="7" t="inlineStr">
        <is>
          <t>Feel it to believe it. This drapey, oversized pullover is peach-fuzz soft on the outside with a cool, smooth feel next to skin.</t>
        </is>
      </c>
      <c r="N2675" s="7" t="inlineStr">
        <is>
          <t>Softstreme-Crewneck-Oversized-Pullover</t>
        </is>
      </c>
      <c r="O2675" s="7" t="inlineStr">
        <is>
          <t>Crewneck Sweatshirts</t>
        </is>
      </c>
    </row>
    <row r="2676" ht="80" customHeight="1">
      <c r="A2676" s="4">
        <f>IMAGE("https://images.lululemon.com/is/image/lululemon/LW3JFKS_0001_1?wid=320&amp;op_usm=0.8",1)</f>
        <v/>
      </c>
      <c r="B2676" s="4" t="inlineStr">
        <is>
          <t>Softstreme Crewneck Oversized Pullover</t>
        </is>
      </c>
      <c r="C2676" s="4" t="inlineStr">
        <is>
          <t>158023353</t>
        </is>
      </c>
      <c r="D2676" s="4" t="inlineStr">
        <is>
          <t>158023353-grapemist</t>
        </is>
      </c>
      <c r="E2676" s="4" t="inlineStr">
        <is>
          <t>Softstreme™ Oversized Crewneck Pullover BLK XS</t>
        </is>
      </c>
      <c r="F2676" s="4" t="inlineStr">
        <is>
          <t>$128.00</t>
        </is>
      </c>
      <c r="G2676" s="4" t="inlineStr">
        <is>
          <t>$64.00</t>
        </is>
      </c>
      <c r="H2676" s="4" t="inlineStr">
        <is>
          <t>Grape Mist</t>
        </is>
      </c>
      <c r="I2676" s="4">
        <f>IMAGE("https://images.lululemon.com/is/image/lululemon/0554",1)</f>
        <v/>
      </c>
      <c r="J2676" s="4" t="inlineStr">
        <is>
          <t>XL</t>
        </is>
      </c>
      <c r="K2676" s="4" t="inlineStr">
        <is>
          <t>21/4350</t>
        </is>
      </c>
      <c r="L2676" s="4" t="inlineStr">
        <is>
          <t>Yes</t>
        </is>
      </c>
      <c r="M2676" s="4" t="inlineStr">
        <is>
          <t>Feel it to believe it. This drapey, oversized pullover is peach-fuzz soft on the outside with a cool, smooth feel next to skin.</t>
        </is>
      </c>
      <c r="N2676" s="4" t="inlineStr">
        <is>
          <t>Softstreme-Crewneck-Oversized-Pullover</t>
        </is>
      </c>
      <c r="O2676" s="4" t="inlineStr">
        <is>
          <t>Crewneck Sweatshirts</t>
        </is>
      </c>
    </row>
    <row r="2677" ht="80" customHeight="1">
      <c r="A2677" s="7">
        <f>IMAGE("https://images.lululemon.com/is/image/lululemon/LW3JFKS_0001_1?wid=320&amp;op_usm=0.8",1)</f>
        <v/>
      </c>
      <c r="B2677" s="7" t="inlineStr">
        <is>
          <t>Softstreme Crewneck Oversized Pullover</t>
        </is>
      </c>
      <c r="C2677" s="7" t="inlineStr">
        <is>
          <t>158023284</t>
        </is>
      </c>
      <c r="D2677" s="7" t="inlineStr">
        <is>
          <t>158023284-dovegrey</t>
        </is>
      </c>
      <c r="E2677" s="7" t="inlineStr">
        <is>
          <t>Softstreme™ Oversized Crewneck Pullover BLK XS</t>
        </is>
      </c>
      <c r="F2677" s="7" t="inlineStr">
        <is>
          <t>$128.00</t>
        </is>
      </c>
      <c r="G2677" s="7" t="inlineStr">
        <is>
          <t>$64.00</t>
        </is>
      </c>
      <c r="H2677" s="7" t="inlineStr">
        <is>
          <t>Dove Grey</t>
        </is>
      </c>
      <c r="I2677" s="7">
        <f>IMAGE("https://images.lululemon.com/is/image/lululemon/36865",1)</f>
        <v/>
      </c>
      <c r="J2677" s="7" t="inlineStr">
        <is>
          <t>XS</t>
        </is>
      </c>
      <c r="K2677" s="7" t="inlineStr">
        <is>
          <t>233/4350</t>
        </is>
      </c>
      <c r="L2677" s="7" t="inlineStr">
        <is>
          <t>Yes</t>
        </is>
      </c>
      <c r="M2677" s="7" t="inlineStr">
        <is>
          <t>Feel it to believe it. This drapey, oversized pullover is peach-fuzz soft on the outside with a cool, smooth feel next to skin.</t>
        </is>
      </c>
      <c r="N2677" s="7" t="inlineStr">
        <is>
          <t>Softstreme-Crewneck-Oversized-Pullover</t>
        </is>
      </c>
      <c r="O2677" s="7" t="inlineStr">
        <is>
          <t>Crewneck Sweatshirts</t>
        </is>
      </c>
    </row>
    <row r="2678" ht="80" customHeight="1">
      <c r="A2678" s="4">
        <f>IMAGE("https://images.lululemon.com/is/image/lululemon/LW3JFKS_0001_1?wid=320&amp;op_usm=0.8",1)</f>
        <v/>
      </c>
      <c r="B2678" s="4" t="inlineStr">
        <is>
          <t>Softstreme Crewneck Oversized Pullover</t>
        </is>
      </c>
      <c r="C2678" s="4" t="inlineStr">
        <is>
          <t>158023256</t>
        </is>
      </c>
      <c r="D2678" s="4" t="inlineStr">
        <is>
          <t>158023256-dovegrey</t>
        </is>
      </c>
      <c r="E2678" s="4" t="inlineStr">
        <is>
          <t>Softstreme™ Oversized Crewneck Pullover BLK XS</t>
        </is>
      </c>
      <c r="F2678" s="4" t="inlineStr">
        <is>
          <t>$128.00</t>
        </is>
      </c>
      <c r="G2678" s="4" t="inlineStr">
        <is>
          <t>$64.00</t>
        </is>
      </c>
      <c r="H2678" s="4" t="inlineStr">
        <is>
          <t>Dove Grey</t>
        </is>
      </c>
      <c r="I2678" s="4">
        <f>IMAGE("https://images.lululemon.com/is/image/lululemon/36865",1)</f>
        <v/>
      </c>
      <c r="J2678" s="4" t="inlineStr">
        <is>
          <t>S</t>
        </is>
      </c>
      <c r="K2678" s="4" t="inlineStr">
        <is>
          <t>170/4350</t>
        </is>
      </c>
      <c r="L2678" s="4" t="inlineStr">
        <is>
          <t>Yes</t>
        </is>
      </c>
      <c r="M2678" s="4" t="inlineStr">
        <is>
          <t>Feel it to believe it. This drapey, oversized pullover is peach-fuzz soft on the outside with a cool, smooth feel next to skin.</t>
        </is>
      </c>
      <c r="N2678" s="4" t="inlineStr">
        <is>
          <t>Softstreme-Crewneck-Oversized-Pullover</t>
        </is>
      </c>
      <c r="O2678" s="4" t="inlineStr">
        <is>
          <t>Crewneck Sweatshirts</t>
        </is>
      </c>
    </row>
    <row r="2679" ht="80" customHeight="1">
      <c r="A2679" s="7">
        <f>IMAGE("https://images.lululemon.com/is/image/lululemon/LW3JFKS_0001_1?wid=320&amp;op_usm=0.8",1)</f>
        <v/>
      </c>
      <c r="B2679" s="7" t="inlineStr">
        <is>
          <t>Softstreme Crewneck Oversized Pullover</t>
        </is>
      </c>
      <c r="C2679" s="7" t="inlineStr">
        <is>
          <t>158023241</t>
        </is>
      </c>
      <c r="D2679" s="7" t="inlineStr">
        <is>
          <t>158023241-dovegrey</t>
        </is>
      </c>
      <c r="E2679" s="7" t="inlineStr">
        <is>
          <t>Softstreme™ Oversized Crewneck Pullover BLK XS</t>
        </is>
      </c>
      <c r="F2679" s="7" t="inlineStr">
        <is>
          <t>$128.00</t>
        </is>
      </c>
      <c r="G2679" s="7" t="inlineStr">
        <is>
          <t>$64.00</t>
        </is>
      </c>
      <c r="H2679" s="7" t="inlineStr">
        <is>
          <t>Dove Grey</t>
        </is>
      </c>
      <c r="I2679" s="7">
        <f>IMAGE("https://images.lululemon.com/is/image/lululemon/36865",1)</f>
        <v/>
      </c>
      <c r="J2679" s="7" t="inlineStr">
        <is>
          <t>M</t>
        </is>
      </c>
      <c r="K2679" s="7" t="inlineStr">
        <is>
          <t>78/4350</t>
        </is>
      </c>
      <c r="L2679" s="7" t="inlineStr">
        <is>
          <t>Yes</t>
        </is>
      </c>
      <c r="M2679" s="7" t="inlineStr">
        <is>
          <t>Feel it to believe it. This drapey, oversized pullover is peach-fuzz soft on the outside with a cool, smooth feel next to skin.</t>
        </is>
      </c>
      <c r="N2679" s="7" t="inlineStr">
        <is>
          <t>Softstreme-Crewneck-Oversized-Pullover</t>
        </is>
      </c>
      <c r="O2679" s="7" t="inlineStr">
        <is>
          <t>Crewneck Sweatshirts</t>
        </is>
      </c>
    </row>
    <row r="2680" ht="80" customHeight="1">
      <c r="A2680" s="4">
        <f>IMAGE("https://images.lululemon.com/is/image/lululemon/LW3JFKS_0001_1?wid=320&amp;op_usm=0.8",1)</f>
        <v/>
      </c>
      <c r="B2680" s="4" t="inlineStr">
        <is>
          <t>Softstreme Crewneck Oversized Pullover</t>
        </is>
      </c>
      <c r="C2680" s="4" t="inlineStr">
        <is>
          <t>158023226</t>
        </is>
      </c>
      <c r="D2680" s="4" t="inlineStr">
        <is>
          <t>158023226-dovegrey</t>
        </is>
      </c>
      <c r="E2680" s="4" t="inlineStr">
        <is>
          <t>Softstreme™ Oversized Crewneck Pullover BLK XS</t>
        </is>
      </c>
      <c r="F2680" s="4" t="inlineStr">
        <is>
          <t>$128.00</t>
        </is>
      </c>
      <c r="G2680" s="4" t="inlineStr">
        <is>
          <t>$64.00</t>
        </is>
      </c>
      <c r="H2680" s="4" t="inlineStr">
        <is>
          <t>Dove Grey</t>
        </is>
      </c>
      <c r="I2680" s="4">
        <f>IMAGE("https://images.lululemon.com/is/image/lululemon/36865",1)</f>
        <v/>
      </c>
      <c r="J2680" s="4" t="inlineStr">
        <is>
          <t>L</t>
        </is>
      </c>
      <c r="K2680" s="4" t="inlineStr">
        <is>
          <t>31/4350</t>
        </is>
      </c>
      <c r="L2680" s="4" t="inlineStr">
        <is>
          <t>Yes</t>
        </is>
      </c>
      <c r="M2680" s="4" t="inlineStr">
        <is>
          <t>Feel it to believe it. This drapey, oversized pullover is peach-fuzz soft on the outside with a cool, smooth feel next to skin.</t>
        </is>
      </c>
      <c r="N2680" s="4" t="inlineStr">
        <is>
          <t>Softstreme-Crewneck-Oversized-Pullover</t>
        </is>
      </c>
      <c r="O2680" s="4" t="inlineStr">
        <is>
          <t>Crewneck Sweatshirts</t>
        </is>
      </c>
    </row>
    <row r="2681" ht="80" customHeight="1">
      <c r="A2681" s="5">
        <f>IMAGE("https://images.lululemon.com/is/image/lululemon/LW3JFKS_0001_1?wid=320&amp;op_usm=0.8",1)</f>
        <v/>
      </c>
      <c r="B2681" s="5" t="inlineStr">
        <is>
          <t>Softstreme Crewneck Oversized Pullover</t>
        </is>
      </c>
      <c r="C2681" s="5" t="inlineStr">
        <is>
          <t>158023269</t>
        </is>
      </c>
      <c r="D2681" s="5" t="inlineStr">
        <is>
          <t>158023269-dovegrey</t>
        </is>
      </c>
      <c r="E2681" s="5" t="inlineStr">
        <is>
          <t>Softstreme™ Oversized Crewneck Pullover BLK XS</t>
        </is>
      </c>
      <c r="F2681" s="5" t="inlineStr">
        <is>
          <t>$128.00</t>
        </is>
      </c>
      <c r="G2681" s="5" t="inlineStr">
        <is>
          <t>$64.00</t>
        </is>
      </c>
      <c r="H2681" s="5" t="inlineStr">
        <is>
          <t>Dove Grey</t>
        </is>
      </c>
      <c r="I2681" s="5">
        <f>IMAGE("https://images.lululemon.com/is/image/lululemon/36865",1)</f>
        <v/>
      </c>
      <c r="J2681" s="5" t="inlineStr">
        <is>
          <t>XL</t>
        </is>
      </c>
      <c r="K2681" s="5" t="inlineStr">
        <is>
          <t>50/4350</t>
        </is>
      </c>
      <c r="L2681" s="5" t="inlineStr">
        <is>
          <t>Yes</t>
        </is>
      </c>
      <c r="M2681" s="5" t="inlineStr">
        <is>
          <t>Feel it to believe it. This drapey, oversized pullover is peach-fuzz soft on the outside with a cool, smooth feel next to skin.</t>
        </is>
      </c>
      <c r="N2681" s="5" t="inlineStr">
        <is>
          <t>Softstreme-Crewneck-Oversized-Pullover</t>
        </is>
      </c>
      <c r="O2681" s="5" t="inlineStr">
        <is>
          <t>Crewneck Sweatshirts</t>
        </is>
      </c>
    </row>
    <row r="2682" ht="80" customHeight="1">
      <c r="A2682" s="4">
        <f>IMAGE("https://images.lululemon.com/is/image/lululemon/LW9EPBS_0002_1?wid=320&amp;op_usm=0.8",1)</f>
        <v/>
      </c>
      <c r="B2682" s="4" t="inlineStr">
        <is>
          <t>Women's MacroPillow Crew Running Socks *Medium Cushioning</t>
        </is>
      </c>
      <c r="C2682" s="4" t="inlineStr">
        <is>
          <t>147004130</t>
        </is>
      </c>
      <c r="D2682" s="4" t="inlineStr">
        <is>
          <t>147004130-white</t>
        </is>
      </c>
      <c r="E2682" s="4" t="inlineStr">
        <is>
          <t>MacroPillow™ Crew Socks WHT S</t>
        </is>
      </c>
      <c r="F2682" s="4" t="inlineStr">
        <is>
          <t>$24.00</t>
        </is>
      </c>
      <c r="G2682" s="4" t="inlineStr">
        <is>
          <t>$12.00</t>
        </is>
      </c>
      <c r="H2682" s="4" t="inlineStr">
        <is>
          <t>White</t>
        </is>
      </c>
      <c r="I2682" s="4">
        <f>IMAGE("https://images.lululemon.com/is/image/lululemon/0002",1)</f>
        <v/>
      </c>
      <c r="J2682" s="4" t="inlineStr">
        <is>
          <t>S</t>
        </is>
      </c>
      <c r="K2682" s="4" t="inlineStr">
        <is>
          <t>44/138</t>
        </is>
      </c>
      <c r="L2682" s="4" t="inlineStr">
        <is>
          <t>Yes</t>
        </is>
      </c>
      <c r="M2682" s="4" t="inlineStr">
        <is>
          <t>We mapped the movement and impact of a runner's foot to create these socks that cushion, hug, and breathe in all the right places.</t>
        </is>
      </c>
      <c r="N2682" s="4" t="inlineStr">
        <is>
          <t>MacroPillow-Crew-Sock-W</t>
        </is>
      </c>
      <c r="O2682" s="4" t="inlineStr">
        <is>
          <t>Crew Socks</t>
        </is>
      </c>
    </row>
    <row r="2683" ht="80" customHeight="1">
      <c r="A2683" s="7">
        <f>IMAGE("https://images.lululemon.com/is/image/lululemon/LW9EPBS_0002_1?wid=320&amp;op_usm=0.8",1)</f>
        <v/>
      </c>
      <c r="B2683" s="7" t="inlineStr">
        <is>
          <t>Women's MacroPillow Crew Running Socks *Medium Cushioning</t>
        </is>
      </c>
      <c r="C2683" s="7" t="inlineStr">
        <is>
          <t>147004123</t>
        </is>
      </c>
      <c r="D2683" s="7" t="inlineStr">
        <is>
          <t>147004123-white</t>
        </is>
      </c>
      <c r="E2683" s="7" t="inlineStr">
        <is>
          <t>MacroPillow™ Crew Socks WHT S</t>
        </is>
      </c>
      <c r="F2683" s="7" t="inlineStr">
        <is>
          <t>$24.00</t>
        </is>
      </c>
      <c r="G2683" s="7" t="inlineStr">
        <is>
          <t>$12.00</t>
        </is>
      </c>
      <c r="H2683" s="7" t="inlineStr">
        <is>
          <t>White</t>
        </is>
      </c>
      <c r="I2683" s="7">
        <f>IMAGE("https://images.lululemon.com/is/image/lululemon/0002",1)</f>
        <v/>
      </c>
      <c r="J2683" s="7" t="inlineStr">
        <is>
          <t>M</t>
        </is>
      </c>
      <c r="K2683" s="7" t="inlineStr">
        <is>
          <t>51/138</t>
        </is>
      </c>
      <c r="L2683" s="7" t="inlineStr">
        <is>
          <t>Yes</t>
        </is>
      </c>
      <c r="M2683" s="7" t="inlineStr">
        <is>
          <t>We mapped the movement and impact of a runner's foot to create these socks that cushion, hug, and breathe in all the right places.</t>
        </is>
      </c>
      <c r="N2683" s="7" t="inlineStr">
        <is>
          <t>MacroPillow-Crew-Sock-W</t>
        </is>
      </c>
      <c r="O2683" s="7" t="inlineStr">
        <is>
          <t>Crew Socks</t>
        </is>
      </c>
    </row>
    <row r="2684" ht="80" customHeight="1">
      <c r="A2684" s="6">
        <f>IMAGE("https://images.lululemon.com/is/image/lululemon/LW9EPBS_0002_1?wid=320&amp;op_usm=0.8",1)</f>
        <v/>
      </c>
      <c r="B2684" s="6" t="inlineStr">
        <is>
          <t>Women's MacroPillow Crew Running Socks *Medium Cushioning</t>
        </is>
      </c>
      <c r="C2684" s="6" t="inlineStr">
        <is>
          <t>147004116</t>
        </is>
      </c>
      <c r="D2684" s="6" t="inlineStr">
        <is>
          <t>147004116-white</t>
        </is>
      </c>
      <c r="E2684" s="6" t="inlineStr">
        <is>
          <t>MacroPillow™ Crew Socks WHT S</t>
        </is>
      </c>
      <c r="F2684" s="6" t="inlineStr">
        <is>
          <t>$24.00</t>
        </is>
      </c>
      <c r="G2684" s="6" t="inlineStr">
        <is>
          <t>$12.00</t>
        </is>
      </c>
      <c r="H2684" s="6" t="inlineStr">
        <is>
          <t>White</t>
        </is>
      </c>
      <c r="I2684" s="6">
        <f>IMAGE("https://images.lululemon.com/is/image/lululemon/0002",1)</f>
        <v/>
      </c>
      <c r="J2684" s="6" t="inlineStr">
        <is>
          <t>L</t>
        </is>
      </c>
      <c r="K2684" s="6" t="inlineStr">
        <is>
          <t>43/138</t>
        </is>
      </c>
      <c r="L2684" s="6" t="inlineStr">
        <is>
          <t>Yes</t>
        </is>
      </c>
      <c r="M2684" s="6" t="inlineStr">
        <is>
          <t>We mapped the movement and impact of a runner's foot to create these socks that cushion, hug, and breathe in all the right places.</t>
        </is>
      </c>
      <c r="N2684" s="6" t="inlineStr">
        <is>
          <t>MacroPillow-Crew-Sock-W</t>
        </is>
      </c>
      <c r="O2684" s="6" t="inlineStr">
        <is>
          <t>Crew Socks</t>
        </is>
      </c>
    </row>
    <row r="2685" ht="80" customHeight="1">
      <c r="A2685" s="7">
        <f>IMAGE("https://images.lululemon.com/is/image/lululemon/LW2EKSS_031382_1?wid=320&amp;op_usm=0.8",1)</f>
        <v/>
      </c>
      <c r="B2685" s="7" t="inlineStr">
        <is>
          <t>Wunder Train Mesh-Back Bra *Medium Support, B/C Cup</t>
        </is>
      </c>
      <c r="C2685" s="7" t="inlineStr">
        <is>
          <t>158019887</t>
        </is>
      </c>
      <c r="D2685" s="7" t="inlineStr">
        <is>
          <t>158019887-truenavy</t>
        </is>
      </c>
      <c r="E2685" s="7" t="inlineStr">
        <is>
          <t>Wunder Train Mesh-Back Bra TRNV 2</t>
        </is>
      </c>
      <c r="F2685" s="7" t="inlineStr">
        <is>
          <t>$58.00</t>
        </is>
      </c>
      <c r="G2685" s="7" t="inlineStr">
        <is>
          <t>$29.00</t>
        </is>
      </c>
      <c r="H2685" s="7" t="inlineStr">
        <is>
          <t>True Navy</t>
        </is>
      </c>
      <c r="I2685" s="7">
        <f>IMAGE("https://images.lululemon.com/is/image/lululemon/31382",1)</f>
        <v/>
      </c>
      <c r="J2685" s="7" t="inlineStr">
        <is>
          <t>2</t>
        </is>
      </c>
      <c r="K2685" s="7" t="inlineStr">
        <is>
          <t>11/153</t>
        </is>
      </c>
      <c r="L2685" s="7" t="inlineStr">
        <is>
          <t>Yes</t>
        </is>
      </c>
      <c r="M2685" s="7" t="inlineStr">
        <is>
          <t>Train hard, not hot. This sports bra gives you the perfect combination of support and ventilation with highly breathable Everlux™ fabric and a mesh racerback design.</t>
        </is>
      </c>
      <c r="N2685" s="7" t="inlineStr">
        <is>
          <t>Wunder-Train-Mesh-Back-Bra-Medium-Support-BC-Cup</t>
        </is>
      </c>
      <c r="O2685" s="7" t="inlineStr">
        <is>
          <t>Longline Bras</t>
        </is>
      </c>
    </row>
    <row r="2686" ht="80" customHeight="1">
      <c r="A2686" s="4">
        <f>IMAGE("https://images.lululemon.com/is/image/lululemon/LW2EKSS_031382_1?wid=320&amp;op_usm=0.8",1)</f>
        <v/>
      </c>
      <c r="B2686" s="4" t="inlineStr">
        <is>
          <t>Wunder Train Mesh-Back Bra *Medium Support, B/C Cup</t>
        </is>
      </c>
      <c r="C2686" s="4" t="inlineStr">
        <is>
          <t>158019890</t>
        </is>
      </c>
      <c r="D2686" s="4" t="inlineStr">
        <is>
          <t>158019890-truenavy</t>
        </is>
      </c>
      <c r="E2686" s="4" t="inlineStr">
        <is>
          <t>Wunder Train Mesh-Back Bra TRNV 2</t>
        </is>
      </c>
      <c r="F2686" s="4" t="inlineStr">
        <is>
          <t>$58.00</t>
        </is>
      </c>
      <c r="G2686" s="4" t="inlineStr">
        <is>
          <t>$29.00</t>
        </is>
      </c>
      <c r="H2686" s="4" t="inlineStr">
        <is>
          <t>True Navy</t>
        </is>
      </c>
      <c r="I2686" s="4">
        <f>IMAGE("https://images.lululemon.com/is/image/lululemon/31382",1)</f>
        <v/>
      </c>
      <c r="J2686" s="4" t="inlineStr">
        <is>
          <t>4</t>
        </is>
      </c>
      <c r="K2686" s="4" t="inlineStr">
        <is>
          <t>28/153</t>
        </is>
      </c>
      <c r="L2686" s="4" t="inlineStr">
        <is>
          <t>Yes</t>
        </is>
      </c>
      <c r="M2686" s="4" t="inlineStr">
        <is>
          <t>Train hard, not hot. This sports bra gives you the perfect combination of support and ventilation with highly breathable Everlux™ fabric and a mesh racerback design.</t>
        </is>
      </c>
      <c r="N2686" s="4" t="inlineStr">
        <is>
          <t>Wunder-Train-Mesh-Back-Bra-Medium-Support-BC-Cup</t>
        </is>
      </c>
      <c r="O2686" s="4" t="inlineStr">
        <is>
          <t>Longline Bras</t>
        </is>
      </c>
    </row>
    <row r="2687" ht="80" customHeight="1">
      <c r="A2687" s="7">
        <f>IMAGE("https://images.lululemon.com/is/image/lululemon/LW2EKSS_031382_1?wid=320&amp;op_usm=0.8",1)</f>
        <v/>
      </c>
      <c r="B2687" s="7" t="inlineStr">
        <is>
          <t>Wunder Train Mesh-Back Bra *Medium Support, B/C Cup</t>
        </is>
      </c>
      <c r="C2687" s="7" t="inlineStr">
        <is>
          <t>158019896</t>
        </is>
      </c>
      <c r="D2687" s="7" t="inlineStr">
        <is>
          <t>158019896-truenavy</t>
        </is>
      </c>
      <c r="E2687" s="7" t="inlineStr">
        <is>
          <t>Wunder Train Mesh-Back Bra TRNV 2</t>
        </is>
      </c>
      <c r="F2687" s="7" t="inlineStr">
        <is>
          <t>$58.00</t>
        </is>
      </c>
      <c r="G2687" s="7" t="inlineStr">
        <is>
          <t>$29.00</t>
        </is>
      </c>
      <c r="H2687" s="7" t="inlineStr">
        <is>
          <t>True Navy</t>
        </is>
      </c>
      <c r="I2687" s="7">
        <f>IMAGE("https://images.lululemon.com/is/image/lululemon/31382",1)</f>
        <v/>
      </c>
      <c r="J2687" s="7" t="inlineStr">
        <is>
          <t>6</t>
        </is>
      </c>
      <c r="K2687" s="7" t="inlineStr">
        <is>
          <t>41/153</t>
        </is>
      </c>
      <c r="L2687" s="7" t="inlineStr">
        <is>
          <t>Yes</t>
        </is>
      </c>
      <c r="M2687" s="7" t="inlineStr">
        <is>
          <t>Train hard, not hot. This sports bra gives you the perfect combination of support and ventilation with highly breathable Everlux™ fabric and a mesh racerback design.</t>
        </is>
      </c>
      <c r="N2687" s="7" t="inlineStr">
        <is>
          <t>Wunder-Train-Mesh-Back-Bra-Medium-Support-BC-Cup</t>
        </is>
      </c>
      <c r="O2687" s="7" t="inlineStr">
        <is>
          <t>Longline Bras</t>
        </is>
      </c>
    </row>
    <row r="2688" ht="80" customHeight="1">
      <c r="A2688" s="4">
        <f>IMAGE("https://images.lululemon.com/is/image/lululemon/LW2EKSS_031382_1?wid=320&amp;op_usm=0.8",1)</f>
        <v/>
      </c>
      <c r="B2688" s="4" t="inlineStr">
        <is>
          <t>Wunder Train Mesh-Back Bra *Medium Support, B/C Cup</t>
        </is>
      </c>
      <c r="C2688" s="4" t="inlineStr">
        <is>
          <t>158019900</t>
        </is>
      </c>
      <c r="D2688" s="4" t="inlineStr">
        <is>
          <t>158019900-truenavy</t>
        </is>
      </c>
      <c r="E2688" s="4" t="inlineStr">
        <is>
          <t>Wunder Train Mesh-Back Bra TRNV 2</t>
        </is>
      </c>
      <c r="F2688" s="4" t="inlineStr">
        <is>
          <t>$58.00</t>
        </is>
      </c>
      <c r="G2688" s="4" t="inlineStr">
        <is>
          <t>$29.00</t>
        </is>
      </c>
      <c r="H2688" s="4" t="inlineStr">
        <is>
          <t>True Navy</t>
        </is>
      </c>
      <c r="I2688" s="4">
        <f>IMAGE("https://images.lululemon.com/is/image/lululemon/31382",1)</f>
        <v/>
      </c>
      <c r="J2688" s="4" t="inlineStr">
        <is>
          <t>8</t>
        </is>
      </c>
      <c r="K2688" s="4" t="inlineStr">
        <is>
          <t>38/153</t>
        </is>
      </c>
      <c r="L2688" s="4" t="inlineStr">
        <is>
          <t>Yes</t>
        </is>
      </c>
      <c r="M2688" s="4" t="inlineStr">
        <is>
          <t>Train hard, not hot. This sports bra gives you the perfect combination of support and ventilation with highly breathable Everlux™ fabric and a mesh racerback design.</t>
        </is>
      </c>
      <c r="N2688" s="4" t="inlineStr">
        <is>
          <t>Wunder-Train-Mesh-Back-Bra-Medium-Support-BC-Cup</t>
        </is>
      </c>
      <c r="O2688" s="4" t="inlineStr">
        <is>
          <t>Longline Bras</t>
        </is>
      </c>
    </row>
    <row r="2689" ht="80" customHeight="1">
      <c r="A2689" s="7">
        <f>IMAGE("https://images.lululemon.com/is/image/lululemon/LW2EKSS_031382_1?wid=320&amp;op_usm=0.8",1)</f>
        <v/>
      </c>
      <c r="B2689" s="7" t="inlineStr">
        <is>
          <t>Wunder Train Mesh-Back Bra *Medium Support, B/C Cup</t>
        </is>
      </c>
      <c r="C2689" s="7" t="inlineStr">
        <is>
          <t>158019869</t>
        </is>
      </c>
      <c r="D2689" s="7" t="inlineStr">
        <is>
          <t>158019869-truenavy</t>
        </is>
      </c>
      <c r="E2689" s="7" t="inlineStr">
        <is>
          <t>Wunder Train Mesh-Back Bra TRNV 2</t>
        </is>
      </c>
      <c r="F2689" s="7" t="inlineStr">
        <is>
          <t>$58.00</t>
        </is>
      </c>
      <c r="G2689" s="7" t="inlineStr">
        <is>
          <t>$29.00</t>
        </is>
      </c>
      <c r="H2689" s="7" t="inlineStr">
        <is>
          <t>True Navy</t>
        </is>
      </c>
      <c r="I2689" s="7">
        <f>IMAGE("https://images.lululemon.com/is/image/lululemon/31382",1)</f>
        <v/>
      </c>
      <c r="J2689" s="7" t="inlineStr">
        <is>
          <t>10</t>
        </is>
      </c>
      <c r="K2689" s="7" t="inlineStr">
        <is>
          <t>24/153</t>
        </is>
      </c>
      <c r="L2689" s="7" t="inlineStr">
        <is>
          <t>Yes</t>
        </is>
      </c>
      <c r="M2689" s="7" t="inlineStr">
        <is>
          <t>Train hard, not hot. This sports bra gives you the perfect combination of support and ventilation with highly breathable Everlux™ fabric and a mesh racerback design.</t>
        </is>
      </c>
      <c r="N2689" s="7" t="inlineStr">
        <is>
          <t>Wunder-Train-Mesh-Back-Bra-Medium-Support-BC-Cup</t>
        </is>
      </c>
      <c r="O2689" s="7" t="inlineStr">
        <is>
          <t>Longline Bras</t>
        </is>
      </c>
    </row>
    <row r="2690" ht="80" customHeight="1">
      <c r="A2690" s="6">
        <f>IMAGE("https://images.lululemon.com/is/image/lululemon/LW2EKSS_031382_1?wid=320&amp;op_usm=0.8",1)</f>
        <v/>
      </c>
      <c r="B2690" s="6" t="inlineStr">
        <is>
          <t>Wunder Train Mesh-Back Bra *Medium Support, B/C Cup</t>
        </is>
      </c>
      <c r="C2690" s="6" t="inlineStr">
        <is>
          <t>158019877</t>
        </is>
      </c>
      <c r="D2690" s="6" t="inlineStr">
        <is>
          <t>158019877-truenavy</t>
        </is>
      </c>
      <c r="E2690" s="6" t="inlineStr">
        <is>
          <t>Wunder Train Mesh-Back Bra TRNV 2</t>
        </is>
      </c>
      <c r="F2690" s="6" t="inlineStr">
        <is>
          <t>$58.00</t>
        </is>
      </c>
      <c r="G2690" s="6" t="inlineStr">
        <is>
          <t>$29.00</t>
        </is>
      </c>
      <c r="H2690" s="6" t="inlineStr">
        <is>
          <t>True Navy</t>
        </is>
      </c>
      <c r="I2690" s="6">
        <f>IMAGE("https://images.lululemon.com/is/image/lululemon/31382",1)</f>
        <v/>
      </c>
      <c r="J2690" s="6" t="inlineStr">
        <is>
          <t>12</t>
        </is>
      </c>
      <c r="K2690" s="6" t="inlineStr">
        <is>
          <t>11/153</t>
        </is>
      </c>
      <c r="L2690" s="6" t="inlineStr">
        <is>
          <t>Yes</t>
        </is>
      </c>
      <c r="M2690" s="6" t="inlineStr">
        <is>
          <t>Train hard, not hot. This sports bra gives you the perfect combination of support and ventilation with highly breathable Everlux™ fabric and a mesh racerback design.</t>
        </is>
      </c>
      <c r="N2690" s="6" t="inlineStr">
        <is>
          <t>Wunder-Train-Mesh-Back-Bra-Medium-Support-BC-Cup</t>
        </is>
      </c>
      <c r="O2690" s="6" t="inlineStr">
        <is>
          <t>Longline Bras</t>
        </is>
      </c>
    </row>
    <row r="2691" ht="80" customHeight="1">
      <c r="A2691" s="7">
        <f>IMAGE("https://images.lululemon.com/is/image/lululemon/LW8AOIS_031382_1?wid=320&amp;op_usm=0.8",1)</f>
        <v/>
      </c>
      <c r="B2691" s="7" t="inlineStr">
        <is>
          <t>Stretch Twill Front Pleat Golf Skirt</t>
        </is>
      </c>
      <c r="C2691" s="7" t="inlineStr">
        <is>
          <t>155703009</t>
        </is>
      </c>
      <c r="D2691" s="7" t="inlineStr">
        <is>
          <t>155703009-truenavy</t>
        </is>
      </c>
      <c r="E2691" s="7" t="inlineStr">
        <is>
          <t>Stretch Twill Front Pleat Golf Skirt TRNV 24</t>
        </is>
      </c>
      <c r="F2691" s="7" t="inlineStr">
        <is>
          <t>$98.00</t>
        </is>
      </c>
      <c r="G2691" s="7" t="inlineStr">
        <is>
          <t>$49.00</t>
        </is>
      </c>
      <c r="H2691" s="7" t="inlineStr">
        <is>
          <t>True Navy</t>
        </is>
      </c>
      <c r="I2691" s="7">
        <f>IMAGE("https://images.lululemon.com/is/image/lululemon/31382",1)</f>
        <v/>
      </c>
      <c r="J2691" s="7" t="inlineStr">
        <is>
          <t>24</t>
        </is>
      </c>
      <c r="K2691" s="7" t="inlineStr">
        <is>
          <t>1/1346</t>
        </is>
      </c>
      <c r="L2691" s="7" t="inlineStr">
        <is>
          <t>Yes</t>
        </is>
      </c>
      <c r="M2691" s="7" t="inlineStr">
        <is>
          <t>Stay cool on the course—this stretchy golf skirt has a sweat-wicking liner for coverage whether you're stretching or crouching down to get your ball.</t>
        </is>
      </c>
      <c r="N2691" s="7" t="inlineStr">
        <is>
          <t>Stretch-Twill-Front-Pleat-Golf-Skirt</t>
        </is>
      </c>
      <c r="O2691" s="7" t="inlineStr">
        <is>
          <t>Athletic Skirts, Skorts</t>
        </is>
      </c>
    </row>
    <row r="2692" ht="80" customHeight="1">
      <c r="A2692" s="4">
        <f>IMAGE("https://images.lululemon.com/is/image/lululemon/LW8AOIS_031382_1?wid=320&amp;op_usm=0.8",1)</f>
        <v/>
      </c>
      <c r="B2692" s="4" t="inlineStr">
        <is>
          <t>Stretch Twill Front Pleat Golf Skirt</t>
        </is>
      </c>
      <c r="C2692" s="4" t="inlineStr">
        <is>
          <t>155703020</t>
        </is>
      </c>
      <c r="D2692" s="4" t="inlineStr">
        <is>
          <t>155703020-truenavy</t>
        </is>
      </c>
      <c r="E2692" s="4" t="inlineStr">
        <is>
          <t>Stretch Twill Front Pleat Golf Skirt TRNV 24</t>
        </is>
      </c>
      <c r="F2692" s="4" t="inlineStr">
        <is>
          <t>$98.00</t>
        </is>
      </c>
      <c r="G2692" s="4" t="inlineStr">
        <is>
          <t>$49.00</t>
        </is>
      </c>
      <c r="H2692" s="4" t="inlineStr">
        <is>
          <t>True Navy</t>
        </is>
      </c>
      <c r="I2692" s="4">
        <f>IMAGE("https://images.lululemon.com/is/image/lululemon/31382",1)</f>
        <v/>
      </c>
      <c r="J2692" s="4" t="inlineStr">
        <is>
          <t>25</t>
        </is>
      </c>
      <c r="K2692" s="4" t="inlineStr">
        <is>
          <t>67/1346</t>
        </is>
      </c>
      <c r="L2692" s="4" t="inlineStr">
        <is>
          <t>Yes</t>
        </is>
      </c>
      <c r="M2692" s="4" t="inlineStr">
        <is>
          <t>Stay cool on the course—this stretchy golf skirt has a sweat-wicking liner for coverage whether you're stretching or crouching down to get your ball.</t>
        </is>
      </c>
      <c r="N2692" s="4" t="inlineStr">
        <is>
          <t>Stretch-Twill-Front-Pleat-Golf-Skirt</t>
        </is>
      </c>
      <c r="O2692" s="4" t="inlineStr">
        <is>
          <t>Athletic Skirts, Skorts</t>
        </is>
      </c>
    </row>
    <row r="2693" ht="80" customHeight="1">
      <c r="A2693" s="7">
        <f>IMAGE("https://images.lululemon.com/is/image/lululemon/LW8AOIS_031382_1?wid=320&amp;op_usm=0.8",1)</f>
        <v/>
      </c>
      <c r="B2693" s="7" t="inlineStr">
        <is>
          <t>Stretch Twill Front Pleat Golf Skirt</t>
        </is>
      </c>
      <c r="C2693" s="7" t="inlineStr">
        <is>
          <t>155703025</t>
        </is>
      </c>
      <c r="D2693" s="7" t="inlineStr">
        <is>
          <t>155703025-truenavy</t>
        </is>
      </c>
      <c r="E2693" s="7" t="inlineStr">
        <is>
          <t>Stretch Twill Front Pleat Golf Skirt TRNV 24</t>
        </is>
      </c>
      <c r="F2693" s="7" t="inlineStr">
        <is>
          <t>$98.00</t>
        </is>
      </c>
      <c r="G2693" s="7" t="inlineStr">
        <is>
          <t>$49.00</t>
        </is>
      </c>
      <c r="H2693" s="7" t="inlineStr">
        <is>
          <t>True Navy</t>
        </is>
      </c>
      <c r="I2693" s="7">
        <f>IMAGE("https://images.lululemon.com/is/image/lululemon/31382",1)</f>
        <v/>
      </c>
      <c r="J2693" s="7" t="inlineStr">
        <is>
          <t>26</t>
        </is>
      </c>
      <c r="K2693" s="7" t="inlineStr">
        <is>
          <t>71/1346</t>
        </is>
      </c>
      <c r="L2693" s="7" t="inlineStr">
        <is>
          <t>Yes</t>
        </is>
      </c>
      <c r="M2693" s="7" t="inlineStr">
        <is>
          <t>Stay cool on the course—this stretchy golf skirt has a sweat-wicking liner for coverage whether you're stretching or crouching down to get your ball.</t>
        </is>
      </c>
      <c r="N2693" s="7" t="inlineStr">
        <is>
          <t>Stretch-Twill-Front-Pleat-Golf-Skirt</t>
        </is>
      </c>
      <c r="O2693" s="7" t="inlineStr">
        <is>
          <t>Athletic Skirts, Skorts</t>
        </is>
      </c>
    </row>
    <row r="2694" ht="80" customHeight="1">
      <c r="A2694" s="4">
        <f>IMAGE("https://images.lululemon.com/is/image/lululemon/LW8AOIS_031382_1?wid=320&amp;op_usm=0.8",1)</f>
        <v/>
      </c>
      <c r="B2694" s="4" t="inlineStr">
        <is>
          <t>Stretch Twill Front Pleat Golf Skirt</t>
        </is>
      </c>
      <c r="C2694" s="4" t="inlineStr">
        <is>
          <t>155703037</t>
        </is>
      </c>
      <c r="D2694" s="4" t="inlineStr">
        <is>
          <t>155703037-truenavy</t>
        </is>
      </c>
      <c r="E2694" s="4" t="inlineStr">
        <is>
          <t>Stretch Twill Front Pleat Golf Skirt TRNV 24</t>
        </is>
      </c>
      <c r="F2694" s="4" t="inlineStr">
        <is>
          <t>$98.00</t>
        </is>
      </c>
      <c r="G2694" s="4" t="inlineStr">
        <is>
          <t>$49.00</t>
        </is>
      </c>
      <c r="H2694" s="4" t="inlineStr">
        <is>
          <t>True Navy</t>
        </is>
      </c>
      <c r="I2694" s="4">
        <f>IMAGE("https://images.lululemon.com/is/image/lululemon/31382",1)</f>
        <v/>
      </c>
      <c r="J2694" s="4" t="inlineStr">
        <is>
          <t>27</t>
        </is>
      </c>
      <c r="K2694" s="4" t="inlineStr">
        <is>
          <t>73/1346</t>
        </is>
      </c>
      <c r="L2694" s="4" t="inlineStr">
        <is>
          <t>Yes</t>
        </is>
      </c>
      <c r="M2694" s="4" t="inlineStr">
        <is>
          <t>Stay cool on the course—this stretchy golf skirt has a sweat-wicking liner for coverage whether you're stretching or crouching down to get your ball.</t>
        </is>
      </c>
      <c r="N2694" s="4" t="inlineStr">
        <is>
          <t>Stretch-Twill-Front-Pleat-Golf-Skirt</t>
        </is>
      </c>
      <c r="O2694" s="4" t="inlineStr">
        <is>
          <t>Athletic Skirts, Skorts</t>
        </is>
      </c>
    </row>
    <row r="2695" ht="80" customHeight="1">
      <c r="A2695" s="7">
        <f>IMAGE("https://images.lululemon.com/is/image/lululemon/LW8AOIS_031382_1?wid=320&amp;op_usm=0.8",1)</f>
        <v/>
      </c>
      <c r="B2695" s="7" t="inlineStr">
        <is>
          <t>Stretch Twill Front Pleat Golf Skirt</t>
        </is>
      </c>
      <c r="C2695" s="7" t="inlineStr">
        <is>
          <t>155703042</t>
        </is>
      </c>
      <c r="D2695" s="7" t="inlineStr">
        <is>
          <t>155703042-truenavy</t>
        </is>
      </c>
      <c r="E2695" s="7" t="inlineStr">
        <is>
          <t>Stretch Twill Front Pleat Golf Skirt TRNV 24</t>
        </is>
      </c>
      <c r="F2695" s="7" t="inlineStr">
        <is>
          <t>$98.00</t>
        </is>
      </c>
      <c r="G2695" s="7" t="inlineStr">
        <is>
          <t>$49.00</t>
        </is>
      </c>
      <c r="H2695" s="7" t="inlineStr">
        <is>
          <t>True Navy</t>
        </is>
      </c>
      <c r="I2695" s="7">
        <f>IMAGE("https://images.lululemon.com/is/image/lululemon/31382",1)</f>
        <v/>
      </c>
      <c r="J2695" s="7" t="inlineStr">
        <is>
          <t>28</t>
        </is>
      </c>
      <c r="K2695" s="7" t="inlineStr">
        <is>
          <t>33/1346</t>
        </is>
      </c>
      <c r="L2695" s="7" t="inlineStr">
        <is>
          <t>Yes</t>
        </is>
      </c>
      <c r="M2695" s="7" t="inlineStr">
        <is>
          <t>Stay cool on the course—this stretchy golf skirt has a sweat-wicking liner for coverage whether you're stretching or crouching down to get your ball.</t>
        </is>
      </c>
      <c r="N2695" s="7" t="inlineStr">
        <is>
          <t>Stretch-Twill-Front-Pleat-Golf-Skirt</t>
        </is>
      </c>
      <c r="O2695" s="7" t="inlineStr">
        <is>
          <t>Athletic Skirts, Skorts</t>
        </is>
      </c>
    </row>
    <row r="2696" ht="80" customHeight="1">
      <c r="A2696" s="4">
        <f>IMAGE("https://images.lululemon.com/is/image/lululemon/LW8AOIS_031382_1?wid=320&amp;op_usm=0.8",1)</f>
        <v/>
      </c>
      <c r="B2696" s="4" t="inlineStr">
        <is>
          <t>Stretch Twill Front Pleat Golf Skirt</t>
        </is>
      </c>
      <c r="C2696" s="4" t="inlineStr">
        <is>
          <t>155703047</t>
        </is>
      </c>
      <c r="D2696" s="4" t="inlineStr">
        <is>
          <t>155703047-truenavy</t>
        </is>
      </c>
      <c r="E2696" s="4" t="inlineStr">
        <is>
          <t>Stretch Twill Front Pleat Golf Skirt TRNV 24</t>
        </is>
      </c>
      <c r="F2696" s="4" t="inlineStr">
        <is>
          <t>$98.00</t>
        </is>
      </c>
      <c r="G2696" s="4" t="inlineStr">
        <is>
          <t>$49.00</t>
        </is>
      </c>
      <c r="H2696" s="4" t="inlineStr">
        <is>
          <t>True Navy</t>
        </is>
      </c>
      <c r="I2696" s="4">
        <f>IMAGE("https://images.lululemon.com/is/image/lululemon/31382",1)</f>
        <v/>
      </c>
      <c r="J2696" s="4" t="inlineStr">
        <is>
          <t>29</t>
        </is>
      </c>
      <c r="K2696" s="4" t="inlineStr">
        <is>
          <t>53/1346</t>
        </is>
      </c>
      <c r="L2696" s="4" t="inlineStr">
        <is>
          <t>Yes</t>
        </is>
      </c>
      <c r="M2696" s="4" t="inlineStr">
        <is>
          <t>Stay cool on the course—this stretchy golf skirt has a sweat-wicking liner for coverage whether you're stretching or crouching down to get your ball.</t>
        </is>
      </c>
      <c r="N2696" s="4" t="inlineStr">
        <is>
          <t>Stretch-Twill-Front-Pleat-Golf-Skirt</t>
        </is>
      </c>
      <c r="O2696" s="4" t="inlineStr">
        <is>
          <t>Athletic Skirts, Skorts</t>
        </is>
      </c>
    </row>
    <row r="2697" ht="80" customHeight="1">
      <c r="A2697" s="7">
        <f>IMAGE("https://images.lululemon.com/is/image/lululemon/LW8AOIS_031382_1?wid=320&amp;op_usm=0.8",1)</f>
        <v/>
      </c>
      <c r="B2697" s="7" t="inlineStr">
        <is>
          <t>Stretch Twill Front Pleat Golf Skirt</t>
        </is>
      </c>
      <c r="C2697" s="7" t="inlineStr">
        <is>
          <t>155703053</t>
        </is>
      </c>
      <c r="D2697" s="7" t="inlineStr">
        <is>
          <t>155703053-truenavy</t>
        </is>
      </c>
      <c r="E2697" s="7" t="inlineStr">
        <is>
          <t>Stretch Twill Front Pleat Golf Skirt TRNV 24</t>
        </is>
      </c>
      <c r="F2697" s="7" t="inlineStr">
        <is>
          <t>$98.00</t>
        </is>
      </c>
      <c r="G2697" s="7" t="inlineStr">
        <is>
          <t>$49.00</t>
        </is>
      </c>
      <c r="H2697" s="7" t="inlineStr">
        <is>
          <t>True Navy</t>
        </is>
      </c>
      <c r="I2697" s="7">
        <f>IMAGE("https://images.lululemon.com/is/image/lululemon/31382",1)</f>
        <v/>
      </c>
      <c r="J2697" s="7" t="inlineStr">
        <is>
          <t>30</t>
        </is>
      </c>
      <c r="K2697" s="7" t="inlineStr">
        <is>
          <t>32/1346</t>
        </is>
      </c>
      <c r="L2697" s="7" t="inlineStr">
        <is>
          <t>Yes</t>
        </is>
      </c>
      <c r="M2697" s="7" t="inlineStr">
        <is>
          <t>Stay cool on the course—this stretchy golf skirt has a sweat-wicking liner for coverage whether you're stretching or crouching down to get your ball.</t>
        </is>
      </c>
      <c r="N2697" s="7" t="inlineStr">
        <is>
          <t>Stretch-Twill-Front-Pleat-Golf-Skirt</t>
        </is>
      </c>
      <c r="O2697" s="7" t="inlineStr">
        <is>
          <t>Athletic Skirts, Skorts</t>
        </is>
      </c>
    </row>
    <row r="2698" ht="80" customHeight="1">
      <c r="A2698" s="4">
        <f>IMAGE("https://images.lululemon.com/is/image/lululemon/LW8AOIS_031382_1?wid=320&amp;op_usm=0.8",1)</f>
        <v/>
      </c>
      <c r="B2698" s="4" t="inlineStr">
        <is>
          <t>Stretch Twill Front Pleat Golf Skirt</t>
        </is>
      </c>
      <c r="C2698" s="4" t="inlineStr">
        <is>
          <t>155703059</t>
        </is>
      </c>
      <c r="D2698" s="4" t="inlineStr">
        <is>
          <t>155703059-truenavy</t>
        </is>
      </c>
      <c r="E2698" s="4" t="inlineStr">
        <is>
          <t>Stretch Twill Front Pleat Golf Skirt TRNV 24</t>
        </is>
      </c>
      <c r="F2698" s="4" t="inlineStr">
        <is>
          <t>$98.00</t>
        </is>
      </c>
      <c r="G2698" s="4" t="inlineStr">
        <is>
          <t>$49.00</t>
        </is>
      </c>
      <c r="H2698" s="4" t="inlineStr">
        <is>
          <t>True Navy</t>
        </is>
      </c>
      <c r="I2698" s="4">
        <f>IMAGE("https://images.lululemon.com/is/image/lululemon/31382",1)</f>
        <v/>
      </c>
      <c r="J2698" s="4" t="inlineStr">
        <is>
          <t>31</t>
        </is>
      </c>
      <c r="K2698" s="4" t="inlineStr">
        <is>
          <t>26/1346</t>
        </is>
      </c>
      <c r="L2698" s="4" t="inlineStr">
        <is>
          <t>Yes</t>
        </is>
      </c>
      <c r="M2698" s="4" t="inlineStr">
        <is>
          <t>Stay cool on the course—this stretchy golf skirt has a sweat-wicking liner for coverage whether you're stretching or crouching down to get your ball.</t>
        </is>
      </c>
      <c r="N2698" s="4" t="inlineStr">
        <is>
          <t>Stretch-Twill-Front-Pleat-Golf-Skirt</t>
        </is>
      </c>
      <c r="O2698" s="4" t="inlineStr">
        <is>
          <t>Athletic Skirts, Skorts</t>
        </is>
      </c>
    </row>
    <row r="2699" ht="80" customHeight="1">
      <c r="A2699" s="7">
        <f>IMAGE("https://images.lululemon.com/is/image/lululemon/LW8AOIS_031382_1?wid=320&amp;op_usm=0.8",1)</f>
        <v/>
      </c>
      <c r="B2699" s="7" t="inlineStr">
        <is>
          <t>Stretch Twill Front Pleat Golf Skirt</t>
        </is>
      </c>
      <c r="C2699" s="7" t="inlineStr">
        <is>
          <t>155703065</t>
        </is>
      </c>
      <c r="D2699" s="7" t="inlineStr">
        <is>
          <t>155703065-truenavy</t>
        </is>
      </c>
      <c r="E2699" s="7" t="inlineStr">
        <is>
          <t>Stretch Twill Front Pleat Golf Skirt TRNV 24</t>
        </is>
      </c>
      <c r="F2699" s="7" t="inlineStr">
        <is>
          <t>$98.00</t>
        </is>
      </c>
      <c r="G2699" s="7" t="inlineStr">
        <is>
          <t>$49.00</t>
        </is>
      </c>
      <c r="H2699" s="7" t="inlineStr">
        <is>
          <t>True Navy</t>
        </is>
      </c>
      <c r="I2699" s="7">
        <f>IMAGE("https://images.lululemon.com/is/image/lululemon/31382",1)</f>
        <v/>
      </c>
      <c r="J2699" s="7" t="inlineStr">
        <is>
          <t>32</t>
        </is>
      </c>
      <c r="K2699" s="7" t="inlineStr">
        <is>
          <t>44/1346</t>
        </is>
      </c>
      <c r="L2699" s="7" t="inlineStr">
        <is>
          <t>Yes</t>
        </is>
      </c>
      <c r="M2699" s="7" t="inlineStr">
        <is>
          <t>Stay cool on the course—this stretchy golf skirt has a sweat-wicking liner for coverage whether you're stretching or crouching down to get your ball.</t>
        </is>
      </c>
      <c r="N2699" s="7" t="inlineStr">
        <is>
          <t>Stretch-Twill-Front-Pleat-Golf-Skirt</t>
        </is>
      </c>
      <c r="O2699" s="7" t="inlineStr">
        <is>
          <t>Athletic Skirts, Skorts</t>
        </is>
      </c>
    </row>
    <row r="2700" ht="80" customHeight="1">
      <c r="A2700" s="4">
        <f>IMAGE("https://images.lululemon.com/is/image/lululemon/LW8AOIS_031382_1?wid=320&amp;op_usm=0.8",1)</f>
        <v/>
      </c>
      <c r="B2700" s="4" t="inlineStr">
        <is>
          <t>Stretch Twill Front Pleat Golf Skirt</t>
        </is>
      </c>
      <c r="C2700" s="4" t="inlineStr">
        <is>
          <t>155703070</t>
        </is>
      </c>
      <c r="D2700" s="4" t="inlineStr">
        <is>
          <t>155703070-truenavy</t>
        </is>
      </c>
      <c r="E2700" s="4" t="inlineStr">
        <is>
          <t>Stretch Twill Front Pleat Golf Skirt TRNV 24</t>
        </is>
      </c>
      <c r="F2700" s="4" t="inlineStr">
        <is>
          <t>$98.00</t>
        </is>
      </c>
      <c r="G2700" s="4" t="inlineStr">
        <is>
          <t>$49.00</t>
        </is>
      </c>
      <c r="H2700" s="4" t="inlineStr">
        <is>
          <t>True Navy</t>
        </is>
      </c>
      <c r="I2700" s="4">
        <f>IMAGE("https://images.lululemon.com/is/image/lululemon/31382",1)</f>
        <v/>
      </c>
      <c r="J2700" s="4" t="inlineStr">
        <is>
          <t>33</t>
        </is>
      </c>
      <c r="K2700" s="4" t="inlineStr">
        <is>
          <t>12/1346</t>
        </is>
      </c>
      <c r="L2700" s="4" t="inlineStr">
        <is>
          <t>Yes</t>
        </is>
      </c>
      <c r="M2700" s="4" t="inlineStr">
        <is>
          <t>Stay cool on the course—this stretchy golf skirt has a sweat-wicking liner for coverage whether you're stretching or crouching down to get your ball.</t>
        </is>
      </c>
      <c r="N2700" s="4" t="inlineStr">
        <is>
          <t>Stretch-Twill-Front-Pleat-Golf-Skirt</t>
        </is>
      </c>
      <c r="O2700" s="4" t="inlineStr">
        <is>
          <t>Athletic Skirts, Skorts</t>
        </is>
      </c>
    </row>
    <row r="2701" ht="80" customHeight="1">
      <c r="A2701" s="7">
        <f>IMAGE("https://images.lululemon.com/is/image/lululemon/LW8AOIS_031382_1?wid=320&amp;op_usm=0.8",1)</f>
        <v/>
      </c>
      <c r="B2701" s="7" t="inlineStr">
        <is>
          <t>Stretch Twill Front Pleat Golf Skirt</t>
        </is>
      </c>
      <c r="C2701" s="7" t="inlineStr">
        <is>
          <t>157675878</t>
        </is>
      </c>
      <c r="D2701" s="7" t="inlineStr">
        <is>
          <t>157675878-black</t>
        </is>
      </c>
      <c r="E2701" s="7" t="inlineStr">
        <is>
          <t>Stretch Twill Front Pleat Golf Skirt TRNV 24</t>
        </is>
      </c>
      <c r="F2701" s="7" t="inlineStr">
        <is>
          <t>$98.00</t>
        </is>
      </c>
      <c r="G2701" s="7" t="inlineStr">
        <is>
          <t>$49.00</t>
        </is>
      </c>
      <c r="H2701" s="7" t="inlineStr">
        <is>
          <t>Black</t>
        </is>
      </c>
      <c r="I2701" s="7">
        <f>IMAGE("https://images.lululemon.com/is/image/lululemon/0001",1)</f>
        <v/>
      </c>
      <c r="J2701" s="7" t="inlineStr">
        <is>
          <t>24</t>
        </is>
      </c>
      <c r="K2701" s="7" t="inlineStr">
        <is>
          <t>11/1346</t>
        </is>
      </c>
      <c r="L2701" s="7" t="inlineStr">
        <is>
          <t>Yes</t>
        </is>
      </c>
      <c r="M2701" s="7" t="inlineStr">
        <is>
          <t>Stay cool on the course—this stretchy golf skirt has a sweat-wicking liner for coverage whether you're stretching or crouching down to get your ball.</t>
        </is>
      </c>
      <c r="N2701" s="7" t="inlineStr">
        <is>
          <t>Stretch-Twill-Front-Pleat-Golf-Skirt</t>
        </is>
      </c>
      <c r="O2701" s="7" t="inlineStr">
        <is>
          <t>Athletic Skirts, Skorts</t>
        </is>
      </c>
    </row>
    <row r="2702" ht="80" customHeight="1">
      <c r="A2702" s="4">
        <f>IMAGE("https://images.lululemon.com/is/image/lululemon/LW8AOIS_031382_1?wid=320&amp;op_usm=0.8",1)</f>
        <v/>
      </c>
      <c r="B2702" s="4" t="inlineStr">
        <is>
          <t>Stretch Twill Front Pleat Golf Skirt</t>
        </is>
      </c>
      <c r="C2702" s="4" t="inlineStr">
        <is>
          <t>157675879</t>
        </is>
      </c>
      <c r="D2702" s="4" t="inlineStr">
        <is>
          <t>157675879-black</t>
        </is>
      </c>
      <c r="E2702" s="4" t="inlineStr">
        <is>
          <t>Stretch Twill Front Pleat Golf Skirt TRNV 24</t>
        </is>
      </c>
      <c r="F2702" s="4" t="inlineStr">
        <is>
          <t>$98.00</t>
        </is>
      </c>
      <c r="G2702" s="4" t="inlineStr">
        <is>
          <t>$49.00</t>
        </is>
      </c>
      <c r="H2702" s="4" t="inlineStr">
        <is>
          <t>Black</t>
        </is>
      </c>
      <c r="I2702" s="4">
        <f>IMAGE("https://images.lululemon.com/is/image/lululemon/0001",1)</f>
        <v/>
      </c>
      <c r="J2702" s="4" t="inlineStr">
        <is>
          <t>25</t>
        </is>
      </c>
      <c r="K2702" s="4" t="inlineStr">
        <is>
          <t>68/1346</t>
        </is>
      </c>
      <c r="L2702" s="4" t="inlineStr">
        <is>
          <t>Yes</t>
        </is>
      </c>
      <c r="M2702" s="4" t="inlineStr">
        <is>
          <t>Stay cool on the course—this stretchy golf skirt has a sweat-wicking liner for coverage whether you're stretching or crouching down to get your ball.</t>
        </is>
      </c>
      <c r="N2702" s="4" t="inlineStr">
        <is>
          <t>Stretch-Twill-Front-Pleat-Golf-Skirt</t>
        </is>
      </c>
      <c r="O2702" s="4" t="inlineStr">
        <is>
          <t>Athletic Skirts, Skorts</t>
        </is>
      </c>
    </row>
    <row r="2703" ht="80" customHeight="1">
      <c r="A2703" s="7">
        <f>IMAGE("https://images.lululemon.com/is/image/lululemon/LW8AOIS_031382_1?wid=320&amp;op_usm=0.8",1)</f>
        <v/>
      </c>
      <c r="B2703" s="7" t="inlineStr">
        <is>
          <t>Stretch Twill Front Pleat Golf Skirt</t>
        </is>
      </c>
      <c r="C2703" s="7" t="inlineStr">
        <is>
          <t>157675880</t>
        </is>
      </c>
      <c r="D2703" s="7" t="inlineStr">
        <is>
          <t>157675880-black</t>
        </is>
      </c>
      <c r="E2703" s="7" t="inlineStr">
        <is>
          <t>Stretch Twill Front Pleat Golf Skirt TRNV 24</t>
        </is>
      </c>
      <c r="F2703" s="7" t="inlineStr">
        <is>
          <t>$98.00</t>
        </is>
      </c>
      <c r="G2703" s="7" t="inlineStr">
        <is>
          <t>$49.00</t>
        </is>
      </c>
      <c r="H2703" s="7" t="inlineStr">
        <is>
          <t>Black</t>
        </is>
      </c>
      <c r="I2703" s="7">
        <f>IMAGE("https://images.lululemon.com/is/image/lululemon/0001",1)</f>
        <v/>
      </c>
      <c r="J2703" s="7" t="inlineStr">
        <is>
          <t>26</t>
        </is>
      </c>
      <c r="K2703" s="7" t="inlineStr">
        <is>
          <t>91/1346</t>
        </is>
      </c>
      <c r="L2703" s="7" t="inlineStr">
        <is>
          <t>Yes</t>
        </is>
      </c>
      <c r="M2703" s="7" t="inlineStr">
        <is>
          <t>Stay cool on the course—this stretchy golf skirt has a sweat-wicking liner for coverage whether you're stretching or crouching down to get your ball.</t>
        </is>
      </c>
      <c r="N2703" s="7" t="inlineStr">
        <is>
          <t>Stretch-Twill-Front-Pleat-Golf-Skirt</t>
        </is>
      </c>
      <c r="O2703" s="7" t="inlineStr">
        <is>
          <t>Athletic Skirts, Skorts</t>
        </is>
      </c>
    </row>
    <row r="2704" ht="80" customHeight="1">
      <c r="A2704" s="4">
        <f>IMAGE("https://images.lululemon.com/is/image/lululemon/LW8AOIS_031382_1?wid=320&amp;op_usm=0.8",1)</f>
        <v/>
      </c>
      <c r="B2704" s="4" t="inlineStr">
        <is>
          <t>Stretch Twill Front Pleat Golf Skirt</t>
        </is>
      </c>
      <c r="C2704" s="4" t="inlineStr">
        <is>
          <t>157675881</t>
        </is>
      </c>
      <c r="D2704" s="4" t="inlineStr">
        <is>
          <t>157675881-black</t>
        </is>
      </c>
      <c r="E2704" s="4" t="inlineStr">
        <is>
          <t>Stretch Twill Front Pleat Golf Skirt TRNV 24</t>
        </is>
      </c>
      <c r="F2704" s="4" t="inlineStr">
        <is>
          <t>$98.00</t>
        </is>
      </c>
      <c r="G2704" s="4" t="inlineStr">
        <is>
          <t>$49.00</t>
        </is>
      </c>
      <c r="H2704" s="4" t="inlineStr">
        <is>
          <t>Black</t>
        </is>
      </c>
      <c r="I2704" s="4">
        <f>IMAGE("https://images.lululemon.com/is/image/lululemon/0001",1)</f>
        <v/>
      </c>
      <c r="J2704" s="4" t="inlineStr">
        <is>
          <t>27</t>
        </is>
      </c>
      <c r="K2704" s="4" t="inlineStr">
        <is>
          <t>96/1346</t>
        </is>
      </c>
      <c r="L2704" s="4" t="inlineStr">
        <is>
          <t>Yes</t>
        </is>
      </c>
      <c r="M2704" s="4" t="inlineStr">
        <is>
          <t>Stay cool on the course—this stretchy golf skirt has a sweat-wicking liner for coverage whether you're stretching or crouching down to get your ball.</t>
        </is>
      </c>
      <c r="N2704" s="4" t="inlineStr">
        <is>
          <t>Stretch-Twill-Front-Pleat-Golf-Skirt</t>
        </is>
      </c>
      <c r="O2704" s="4" t="inlineStr">
        <is>
          <t>Athletic Skirts, Skorts</t>
        </is>
      </c>
    </row>
    <row r="2705" ht="80" customHeight="1">
      <c r="A2705" s="7">
        <f>IMAGE("https://images.lululemon.com/is/image/lululemon/LW8AOIS_031382_1?wid=320&amp;op_usm=0.8",1)</f>
        <v/>
      </c>
      <c r="B2705" s="7" t="inlineStr">
        <is>
          <t>Stretch Twill Front Pleat Golf Skirt</t>
        </is>
      </c>
      <c r="C2705" s="7" t="inlineStr">
        <is>
          <t>157675882</t>
        </is>
      </c>
      <c r="D2705" s="7" t="inlineStr">
        <is>
          <t>157675882-black</t>
        </is>
      </c>
      <c r="E2705" s="7" t="inlineStr">
        <is>
          <t>Stretch Twill Front Pleat Golf Skirt TRNV 24</t>
        </is>
      </c>
      <c r="F2705" s="7" t="inlineStr">
        <is>
          <t>$98.00</t>
        </is>
      </c>
      <c r="G2705" s="7" t="inlineStr">
        <is>
          <t>$49.00</t>
        </is>
      </c>
      <c r="H2705" s="7" t="inlineStr">
        <is>
          <t>Black</t>
        </is>
      </c>
      <c r="I2705" s="7">
        <f>IMAGE("https://images.lululemon.com/is/image/lululemon/0001",1)</f>
        <v/>
      </c>
      <c r="J2705" s="7" t="inlineStr">
        <is>
          <t>28</t>
        </is>
      </c>
      <c r="K2705" s="7" t="inlineStr">
        <is>
          <t>80/1346</t>
        </is>
      </c>
      <c r="L2705" s="7" t="inlineStr">
        <is>
          <t>Yes</t>
        </is>
      </c>
      <c r="M2705" s="7" t="inlineStr">
        <is>
          <t>Stay cool on the course—this stretchy golf skirt has a sweat-wicking liner for coverage whether you're stretching or crouching down to get your ball.</t>
        </is>
      </c>
      <c r="N2705" s="7" t="inlineStr">
        <is>
          <t>Stretch-Twill-Front-Pleat-Golf-Skirt</t>
        </is>
      </c>
      <c r="O2705" s="7" t="inlineStr">
        <is>
          <t>Athletic Skirts, Skorts</t>
        </is>
      </c>
    </row>
    <row r="2706" ht="80" customHeight="1">
      <c r="A2706" s="4">
        <f>IMAGE("https://images.lululemon.com/is/image/lululemon/LW8AOIS_031382_1?wid=320&amp;op_usm=0.8",1)</f>
        <v/>
      </c>
      <c r="B2706" s="4" t="inlineStr">
        <is>
          <t>Stretch Twill Front Pleat Golf Skirt</t>
        </is>
      </c>
      <c r="C2706" s="4" t="inlineStr">
        <is>
          <t>157675883</t>
        </is>
      </c>
      <c r="D2706" s="4" t="inlineStr">
        <is>
          <t>157675883-black</t>
        </is>
      </c>
      <c r="E2706" s="4" t="inlineStr">
        <is>
          <t>Stretch Twill Front Pleat Golf Skirt TRNV 24</t>
        </is>
      </c>
      <c r="F2706" s="4" t="inlineStr">
        <is>
          <t>$98.00</t>
        </is>
      </c>
      <c r="G2706" s="4" t="inlineStr">
        <is>
          <t>$49.00</t>
        </is>
      </c>
      <c r="H2706" s="4" t="inlineStr">
        <is>
          <t>Black</t>
        </is>
      </c>
      <c r="I2706" s="4">
        <f>IMAGE("https://images.lululemon.com/is/image/lululemon/0001",1)</f>
        <v/>
      </c>
      <c r="J2706" s="4" t="inlineStr">
        <is>
          <t>29</t>
        </is>
      </c>
      <c r="K2706" s="4" t="inlineStr">
        <is>
          <t>87/1346</t>
        </is>
      </c>
      <c r="L2706" s="4" t="inlineStr">
        <is>
          <t>Yes</t>
        </is>
      </c>
      <c r="M2706" s="4" t="inlineStr">
        <is>
          <t>Stay cool on the course—this stretchy golf skirt has a sweat-wicking liner for coverage whether you're stretching or crouching down to get your ball.</t>
        </is>
      </c>
      <c r="N2706" s="4" t="inlineStr">
        <is>
          <t>Stretch-Twill-Front-Pleat-Golf-Skirt</t>
        </is>
      </c>
      <c r="O2706" s="4" t="inlineStr">
        <is>
          <t>Athletic Skirts, Skorts</t>
        </is>
      </c>
    </row>
    <row r="2707" ht="80" customHeight="1">
      <c r="A2707" s="7">
        <f>IMAGE("https://images.lululemon.com/is/image/lululemon/LW8AOIS_031382_1?wid=320&amp;op_usm=0.8",1)</f>
        <v/>
      </c>
      <c r="B2707" s="7" t="inlineStr">
        <is>
          <t>Stretch Twill Front Pleat Golf Skirt</t>
        </is>
      </c>
      <c r="C2707" s="7" t="inlineStr">
        <is>
          <t>157675884</t>
        </is>
      </c>
      <c r="D2707" s="7" t="inlineStr">
        <is>
          <t>157675884-black</t>
        </is>
      </c>
      <c r="E2707" s="7" t="inlineStr">
        <is>
          <t>Stretch Twill Front Pleat Golf Skirt TRNV 24</t>
        </is>
      </c>
      <c r="F2707" s="7" t="inlineStr">
        <is>
          <t>$98.00</t>
        </is>
      </c>
      <c r="G2707" s="7" t="inlineStr">
        <is>
          <t>$49.00</t>
        </is>
      </c>
      <c r="H2707" s="7" t="inlineStr">
        <is>
          <t>Black</t>
        </is>
      </c>
      <c r="I2707" s="7">
        <f>IMAGE("https://images.lululemon.com/is/image/lululemon/0001",1)</f>
        <v/>
      </c>
      <c r="J2707" s="7" t="inlineStr">
        <is>
          <t>30</t>
        </is>
      </c>
      <c r="K2707" s="7" t="inlineStr">
        <is>
          <t>54/1346</t>
        </is>
      </c>
      <c r="L2707" s="7" t="inlineStr">
        <is>
          <t>Yes</t>
        </is>
      </c>
      <c r="M2707" s="7" t="inlineStr">
        <is>
          <t>Stay cool on the course—this stretchy golf skirt has a sweat-wicking liner for coverage whether you're stretching or crouching down to get your ball.</t>
        </is>
      </c>
      <c r="N2707" s="7" t="inlineStr">
        <is>
          <t>Stretch-Twill-Front-Pleat-Golf-Skirt</t>
        </is>
      </c>
      <c r="O2707" s="7" t="inlineStr">
        <is>
          <t>Athletic Skirts, Skorts</t>
        </is>
      </c>
    </row>
    <row r="2708" ht="80" customHeight="1">
      <c r="A2708" s="4">
        <f>IMAGE("https://images.lululemon.com/is/image/lululemon/LW8AOIS_031382_1?wid=320&amp;op_usm=0.8",1)</f>
        <v/>
      </c>
      <c r="B2708" s="4" t="inlineStr">
        <is>
          <t>Stretch Twill Front Pleat Golf Skirt</t>
        </is>
      </c>
      <c r="C2708" s="4" t="inlineStr">
        <is>
          <t>157675885</t>
        </is>
      </c>
      <c r="D2708" s="4" t="inlineStr">
        <is>
          <t>157675885-black</t>
        </is>
      </c>
      <c r="E2708" s="4" t="inlineStr">
        <is>
          <t>Stretch Twill Front Pleat Golf Skirt TRNV 24</t>
        </is>
      </c>
      <c r="F2708" s="4" t="inlineStr">
        <is>
          <t>$98.00</t>
        </is>
      </c>
      <c r="G2708" s="4" t="inlineStr">
        <is>
          <t>$49.00</t>
        </is>
      </c>
      <c r="H2708" s="4" t="inlineStr">
        <is>
          <t>Black</t>
        </is>
      </c>
      <c r="I2708" s="4">
        <f>IMAGE("https://images.lululemon.com/is/image/lululemon/0001",1)</f>
        <v/>
      </c>
      <c r="J2708" s="4" t="inlineStr">
        <is>
          <t>31</t>
        </is>
      </c>
      <c r="K2708" s="4" t="inlineStr">
        <is>
          <t>32/1346</t>
        </is>
      </c>
      <c r="L2708" s="4" t="inlineStr">
        <is>
          <t>Yes</t>
        </is>
      </c>
      <c r="M2708" s="4" t="inlineStr">
        <is>
          <t>Stay cool on the course—this stretchy golf skirt has a sweat-wicking liner for coverage whether you're stretching or crouching down to get your ball.</t>
        </is>
      </c>
      <c r="N2708" s="4" t="inlineStr">
        <is>
          <t>Stretch-Twill-Front-Pleat-Golf-Skirt</t>
        </is>
      </c>
      <c r="O2708" s="4" t="inlineStr">
        <is>
          <t>Athletic Skirts, Skorts</t>
        </is>
      </c>
    </row>
    <row r="2709" ht="80" customHeight="1">
      <c r="A2709" s="7">
        <f>IMAGE("https://images.lululemon.com/is/image/lululemon/LW8AOIS_031382_1?wid=320&amp;op_usm=0.8",1)</f>
        <v/>
      </c>
      <c r="B2709" s="7" t="inlineStr">
        <is>
          <t>Stretch Twill Front Pleat Golf Skirt</t>
        </is>
      </c>
      <c r="C2709" s="7" t="inlineStr">
        <is>
          <t>157675886</t>
        </is>
      </c>
      <c r="D2709" s="7" t="inlineStr">
        <is>
          <t>157675886-black</t>
        </is>
      </c>
      <c r="E2709" s="7" t="inlineStr">
        <is>
          <t>Stretch Twill Front Pleat Golf Skirt TRNV 24</t>
        </is>
      </c>
      <c r="F2709" s="7" t="inlineStr">
        <is>
          <t>$98.00</t>
        </is>
      </c>
      <c r="G2709" s="7" t="inlineStr">
        <is>
          <t>$49.00</t>
        </is>
      </c>
      <c r="H2709" s="7" t="inlineStr">
        <is>
          <t>Black</t>
        </is>
      </c>
      <c r="I2709" s="7">
        <f>IMAGE("https://images.lululemon.com/is/image/lululemon/0001",1)</f>
        <v/>
      </c>
      <c r="J2709" s="7" t="inlineStr">
        <is>
          <t>32</t>
        </is>
      </c>
      <c r="K2709" s="7" t="inlineStr">
        <is>
          <t>43/1346</t>
        </is>
      </c>
      <c r="L2709" s="7" t="inlineStr">
        <is>
          <t>Yes</t>
        </is>
      </c>
      <c r="M2709" s="7" t="inlineStr">
        <is>
          <t>Stay cool on the course—this stretchy golf skirt has a sweat-wicking liner for coverage whether you're stretching or crouching down to get your ball.</t>
        </is>
      </c>
      <c r="N2709" s="7" t="inlineStr">
        <is>
          <t>Stretch-Twill-Front-Pleat-Golf-Skirt</t>
        </is>
      </c>
      <c r="O2709" s="7" t="inlineStr">
        <is>
          <t>Athletic Skirts, Skorts</t>
        </is>
      </c>
    </row>
    <row r="2710" ht="80" customHeight="1">
      <c r="A2710" s="4">
        <f>IMAGE("https://images.lululemon.com/is/image/lululemon/LW8AOIS_031382_1?wid=320&amp;op_usm=0.8",1)</f>
        <v/>
      </c>
      <c r="B2710" s="4" t="inlineStr">
        <is>
          <t>Stretch Twill Front Pleat Golf Skirt</t>
        </is>
      </c>
      <c r="C2710" s="4" t="inlineStr">
        <is>
          <t>157716497</t>
        </is>
      </c>
      <c r="D2710" s="4" t="inlineStr">
        <is>
          <t>157716497-black</t>
        </is>
      </c>
      <c r="E2710" s="4" t="inlineStr">
        <is>
          <t>Stretch Twill Front Pleat Golf Skirt TRNV 24</t>
        </is>
      </c>
      <c r="F2710" s="4" t="inlineStr">
        <is>
          <t>$98.00</t>
        </is>
      </c>
      <c r="G2710" s="4" t="inlineStr">
        <is>
          <t>$49.00</t>
        </is>
      </c>
      <c r="H2710" s="4" t="inlineStr">
        <is>
          <t>Black</t>
        </is>
      </c>
      <c r="I2710" s="4">
        <f>IMAGE("https://images.lululemon.com/is/image/lululemon/0001",1)</f>
        <v/>
      </c>
      <c r="J2710" s="4" t="inlineStr">
        <is>
          <t>33</t>
        </is>
      </c>
      <c r="K2710" s="4" t="inlineStr">
        <is>
          <t>13/1346</t>
        </is>
      </c>
      <c r="L2710" s="4" t="inlineStr">
        <is>
          <t>Yes</t>
        </is>
      </c>
      <c r="M2710" s="4" t="inlineStr">
        <is>
          <t>Stay cool on the course—this stretchy golf skirt has a sweat-wicking liner for coverage whether you're stretching or crouching down to get your ball.</t>
        </is>
      </c>
      <c r="N2710" s="4" t="inlineStr">
        <is>
          <t>Stretch-Twill-Front-Pleat-Golf-Skirt</t>
        </is>
      </c>
      <c r="O2710" s="4" t="inlineStr">
        <is>
          <t>Athletic Skirts, Skorts</t>
        </is>
      </c>
    </row>
    <row r="2711" ht="80" customHeight="1">
      <c r="A2711" s="7">
        <f>IMAGE("https://images.lululemon.com/is/image/lululemon/LW8AOIS_031382_1?wid=320&amp;op_usm=0.8",1)</f>
        <v/>
      </c>
      <c r="B2711" s="7" t="inlineStr">
        <is>
          <t>Stretch Twill Front Pleat Golf Skirt</t>
        </is>
      </c>
      <c r="C2711" s="7" t="inlineStr">
        <is>
          <t>158026947</t>
        </is>
      </c>
      <c r="D2711" s="7" t="inlineStr">
        <is>
          <t>158026947-clubblue</t>
        </is>
      </c>
      <c r="E2711" s="7" t="inlineStr">
        <is>
          <t>Stretch Twill Front Pleat Golf Skirt TRNV 24</t>
        </is>
      </c>
      <c r="F2711" s="7" t="inlineStr">
        <is>
          <t>$98.00</t>
        </is>
      </c>
      <c r="G2711" s="7" t="inlineStr">
        <is>
          <t>$49.00</t>
        </is>
      </c>
      <c r="H2711" s="7" t="inlineStr">
        <is>
          <t>Club Blue</t>
        </is>
      </c>
      <c r="I2711" s="7">
        <f>IMAGE("https://images.lululemon.com/is/image/lululemon/68578",1)</f>
        <v/>
      </c>
      <c r="J2711" s="7" t="inlineStr">
        <is>
          <t>24</t>
        </is>
      </c>
      <c r="K2711" s="7" t="inlineStr">
        <is>
          <t>2/1346</t>
        </is>
      </c>
      <c r="L2711" s="7" t="inlineStr">
        <is>
          <t>Yes</t>
        </is>
      </c>
      <c r="M2711" s="7" t="inlineStr">
        <is>
          <t>Stay cool on the course—this stretchy golf skirt has a sweat-wicking liner for coverage whether you're stretching or crouching down to get your ball.</t>
        </is>
      </c>
      <c r="N2711" s="7" t="inlineStr">
        <is>
          <t>Stretch-Twill-Front-Pleat-Golf-Skirt</t>
        </is>
      </c>
      <c r="O2711" s="7" t="inlineStr">
        <is>
          <t>Athletic Skirts, Skorts</t>
        </is>
      </c>
    </row>
    <row r="2712" ht="80" customHeight="1">
      <c r="A2712" s="4">
        <f>IMAGE("https://images.lululemon.com/is/image/lululemon/LW8AOIS_031382_1?wid=320&amp;op_usm=0.8",1)</f>
        <v/>
      </c>
      <c r="B2712" s="4" t="inlineStr">
        <is>
          <t>Stretch Twill Front Pleat Golf Skirt</t>
        </is>
      </c>
      <c r="C2712" s="4" t="inlineStr">
        <is>
          <t>158026970</t>
        </is>
      </c>
      <c r="D2712" s="4" t="inlineStr">
        <is>
          <t>158026970-clubblue</t>
        </is>
      </c>
      <c r="E2712" s="4" t="inlineStr">
        <is>
          <t>Stretch Twill Front Pleat Golf Skirt TRNV 24</t>
        </is>
      </c>
      <c r="F2712" s="4" t="inlineStr">
        <is>
          <t>$98.00</t>
        </is>
      </c>
      <c r="G2712" s="4" t="inlineStr">
        <is>
          <t>$49.00</t>
        </is>
      </c>
      <c r="H2712" s="4" t="inlineStr">
        <is>
          <t>Club Blue</t>
        </is>
      </c>
      <c r="I2712" s="4">
        <f>IMAGE("https://images.lululemon.com/is/image/lululemon/68578",1)</f>
        <v/>
      </c>
      <c r="J2712" s="4" t="inlineStr">
        <is>
          <t>25</t>
        </is>
      </c>
      <c r="K2712" s="4" t="inlineStr">
        <is>
          <t>15/1346</t>
        </is>
      </c>
      <c r="L2712" s="4" t="inlineStr">
        <is>
          <t>Yes</t>
        </is>
      </c>
      <c r="M2712" s="4" t="inlineStr">
        <is>
          <t>Stay cool on the course—this stretchy golf skirt has a sweat-wicking liner for coverage whether you're stretching or crouching down to get your ball.</t>
        </is>
      </c>
      <c r="N2712" s="4" t="inlineStr">
        <is>
          <t>Stretch-Twill-Front-Pleat-Golf-Skirt</t>
        </is>
      </c>
      <c r="O2712" s="4" t="inlineStr">
        <is>
          <t>Athletic Skirts, Skorts</t>
        </is>
      </c>
    </row>
    <row r="2713" ht="80" customHeight="1">
      <c r="A2713" s="7">
        <f>IMAGE("https://images.lululemon.com/is/image/lululemon/LW8AOIS_031382_1?wid=320&amp;op_usm=0.8",1)</f>
        <v/>
      </c>
      <c r="B2713" s="7" t="inlineStr">
        <is>
          <t>Stretch Twill Front Pleat Golf Skirt</t>
        </is>
      </c>
      <c r="C2713" s="7" t="inlineStr">
        <is>
          <t>158026994</t>
        </is>
      </c>
      <c r="D2713" s="7" t="inlineStr">
        <is>
          <t>158026994-clubblue</t>
        </is>
      </c>
      <c r="E2713" s="7" t="inlineStr">
        <is>
          <t>Stretch Twill Front Pleat Golf Skirt TRNV 24</t>
        </is>
      </c>
      <c r="F2713" s="7" t="inlineStr">
        <is>
          <t>$98.00</t>
        </is>
      </c>
      <c r="G2713" s="7" t="inlineStr">
        <is>
          <t>$49.00</t>
        </is>
      </c>
      <c r="H2713" s="7" t="inlineStr">
        <is>
          <t>Club Blue</t>
        </is>
      </c>
      <c r="I2713" s="7">
        <f>IMAGE("https://images.lululemon.com/is/image/lululemon/68578",1)</f>
        <v/>
      </c>
      <c r="J2713" s="7" t="inlineStr">
        <is>
          <t>26</t>
        </is>
      </c>
      <c r="K2713" s="7" t="inlineStr">
        <is>
          <t>22/1346</t>
        </is>
      </c>
      <c r="L2713" s="7" t="inlineStr">
        <is>
          <t>Yes</t>
        </is>
      </c>
      <c r="M2713" s="7" t="inlineStr">
        <is>
          <t>Stay cool on the course—this stretchy golf skirt has a sweat-wicking liner for coverage whether you're stretching or crouching down to get your ball.</t>
        </is>
      </c>
      <c r="N2713" s="7" t="inlineStr">
        <is>
          <t>Stretch-Twill-Front-Pleat-Golf-Skirt</t>
        </is>
      </c>
      <c r="O2713" s="7" t="inlineStr">
        <is>
          <t>Athletic Skirts, Skorts</t>
        </is>
      </c>
    </row>
    <row r="2714" ht="80" customHeight="1">
      <c r="A2714" s="4">
        <f>IMAGE("https://images.lululemon.com/is/image/lululemon/LW8AOIS_031382_1?wid=320&amp;op_usm=0.8",1)</f>
        <v/>
      </c>
      <c r="B2714" s="4" t="inlineStr">
        <is>
          <t>Stretch Twill Front Pleat Golf Skirt</t>
        </is>
      </c>
      <c r="C2714" s="4" t="inlineStr">
        <is>
          <t>158027015</t>
        </is>
      </c>
      <c r="D2714" s="4" t="inlineStr">
        <is>
          <t>158027015-clubblue</t>
        </is>
      </c>
      <c r="E2714" s="4" t="inlineStr">
        <is>
          <t>Stretch Twill Front Pleat Golf Skirt TRNV 24</t>
        </is>
      </c>
      <c r="F2714" s="4" t="inlineStr">
        <is>
          <t>$98.00</t>
        </is>
      </c>
      <c r="G2714" s="4" t="inlineStr">
        <is>
          <t>$49.00</t>
        </is>
      </c>
      <c r="H2714" s="4" t="inlineStr">
        <is>
          <t>Club Blue</t>
        </is>
      </c>
      <c r="I2714" s="4">
        <f>IMAGE("https://images.lululemon.com/is/image/lululemon/68578",1)</f>
        <v/>
      </c>
      <c r="J2714" s="4" t="inlineStr">
        <is>
          <t>27</t>
        </is>
      </c>
      <c r="K2714" s="4" t="inlineStr">
        <is>
          <t>23/1346</t>
        </is>
      </c>
      <c r="L2714" s="4" t="inlineStr">
        <is>
          <t>Yes</t>
        </is>
      </c>
      <c r="M2714" s="4" t="inlineStr">
        <is>
          <t>Stay cool on the course—this stretchy golf skirt has a sweat-wicking liner for coverage whether you're stretching or crouching down to get your ball.</t>
        </is>
      </c>
      <c r="N2714" s="4" t="inlineStr">
        <is>
          <t>Stretch-Twill-Front-Pleat-Golf-Skirt</t>
        </is>
      </c>
      <c r="O2714" s="4" t="inlineStr">
        <is>
          <t>Athletic Skirts, Skorts</t>
        </is>
      </c>
    </row>
    <row r="2715" ht="80" customHeight="1">
      <c r="A2715" s="7">
        <f>IMAGE("https://images.lululemon.com/is/image/lululemon/LW8AOIS_031382_1?wid=320&amp;op_usm=0.8",1)</f>
        <v/>
      </c>
      <c r="B2715" s="7" t="inlineStr">
        <is>
          <t>Stretch Twill Front Pleat Golf Skirt</t>
        </is>
      </c>
      <c r="C2715" s="7" t="inlineStr">
        <is>
          <t>158027036</t>
        </is>
      </c>
      <c r="D2715" s="7" t="inlineStr">
        <is>
          <t>158027036-clubblue</t>
        </is>
      </c>
      <c r="E2715" s="7" t="inlineStr">
        <is>
          <t>Stretch Twill Front Pleat Golf Skirt TRNV 24</t>
        </is>
      </c>
      <c r="F2715" s="7" t="inlineStr">
        <is>
          <t>$98.00</t>
        </is>
      </c>
      <c r="G2715" s="7" t="inlineStr">
        <is>
          <t>$49.00</t>
        </is>
      </c>
      <c r="H2715" s="7" t="inlineStr">
        <is>
          <t>Club Blue</t>
        </is>
      </c>
      <c r="I2715" s="7">
        <f>IMAGE("https://images.lululemon.com/is/image/lululemon/68578",1)</f>
        <v/>
      </c>
      <c r="J2715" s="7" t="inlineStr">
        <is>
          <t>28</t>
        </is>
      </c>
      <c r="K2715" s="7" t="inlineStr">
        <is>
          <t>20/1346</t>
        </is>
      </c>
      <c r="L2715" s="7" t="inlineStr">
        <is>
          <t>Yes</t>
        </is>
      </c>
      <c r="M2715" s="7" t="inlineStr">
        <is>
          <t>Stay cool on the course—this stretchy golf skirt has a sweat-wicking liner for coverage whether you're stretching or crouching down to get your ball.</t>
        </is>
      </c>
      <c r="N2715" s="7" t="inlineStr">
        <is>
          <t>Stretch-Twill-Front-Pleat-Golf-Skirt</t>
        </is>
      </c>
      <c r="O2715" s="7" t="inlineStr">
        <is>
          <t>Athletic Skirts, Skorts</t>
        </is>
      </c>
    </row>
    <row r="2716" ht="80" customHeight="1">
      <c r="A2716" s="4">
        <f>IMAGE("https://images.lululemon.com/is/image/lululemon/LW8AOIS_031382_1?wid=320&amp;op_usm=0.8",1)</f>
        <v/>
      </c>
      <c r="B2716" s="4" t="inlineStr">
        <is>
          <t>Stretch Twill Front Pleat Golf Skirt</t>
        </is>
      </c>
      <c r="C2716" s="4" t="inlineStr">
        <is>
          <t>158027056</t>
        </is>
      </c>
      <c r="D2716" s="4" t="inlineStr">
        <is>
          <t>158027056-clubblue</t>
        </is>
      </c>
      <c r="E2716" s="4" t="inlineStr">
        <is>
          <t>Stretch Twill Front Pleat Golf Skirt TRNV 24</t>
        </is>
      </c>
      <c r="F2716" s="4" t="inlineStr">
        <is>
          <t>$98.00</t>
        </is>
      </c>
      <c r="G2716" s="4" t="inlineStr">
        <is>
          <t>$49.00</t>
        </is>
      </c>
      <c r="H2716" s="4" t="inlineStr">
        <is>
          <t>Club Blue</t>
        </is>
      </c>
      <c r="I2716" s="4">
        <f>IMAGE("https://images.lululemon.com/is/image/lululemon/68578",1)</f>
        <v/>
      </c>
      <c r="J2716" s="4" t="inlineStr">
        <is>
          <t>29</t>
        </is>
      </c>
      <c r="K2716" s="4" t="inlineStr">
        <is>
          <t>22/1346</t>
        </is>
      </c>
      <c r="L2716" s="4" t="inlineStr">
        <is>
          <t>Yes</t>
        </is>
      </c>
      <c r="M2716" s="4" t="inlineStr">
        <is>
          <t>Stay cool on the course—this stretchy golf skirt has a sweat-wicking liner for coverage whether you're stretching or crouching down to get your ball.</t>
        </is>
      </c>
      <c r="N2716" s="4" t="inlineStr">
        <is>
          <t>Stretch-Twill-Front-Pleat-Golf-Skirt</t>
        </is>
      </c>
      <c r="O2716" s="4" t="inlineStr">
        <is>
          <t>Athletic Skirts, Skorts</t>
        </is>
      </c>
    </row>
    <row r="2717" ht="80" customHeight="1">
      <c r="A2717" s="7">
        <f>IMAGE("https://images.lululemon.com/is/image/lululemon/LW8AOIS_031382_1?wid=320&amp;op_usm=0.8",1)</f>
        <v/>
      </c>
      <c r="B2717" s="7" t="inlineStr">
        <is>
          <t>Stretch Twill Front Pleat Golf Skirt</t>
        </is>
      </c>
      <c r="C2717" s="7" t="inlineStr">
        <is>
          <t>158027076</t>
        </is>
      </c>
      <c r="D2717" s="7" t="inlineStr">
        <is>
          <t>158027076-clubblue</t>
        </is>
      </c>
      <c r="E2717" s="7" t="inlineStr">
        <is>
          <t>Stretch Twill Front Pleat Golf Skirt TRNV 24</t>
        </is>
      </c>
      <c r="F2717" s="7" t="inlineStr">
        <is>
          <t>$98.00</t>
        </is>
      </c>
      <c r="G2717" s="7" t="inlineStr">
        <is>
          <t>$49.00</t>
        </is>
      </c>
      <c r="H2717" s="7" t="inlineStr">
        <is>
          <t>Club Blue</t>
        </is>
      </c>
      <c r="I2717" s="7">
        <f>IMAGE("https://images.lululemon.com/is/image/lululemon/68578",1)</f>
        <v/>
      </c>
      <c r="J2717" s="7" t="inlineStr">
        <is>
          <t>30</t>
        </is>
      </c>
      <c r="K2717" s="7" t="inlineStr">
        <is>
          <t>15/1346</t>
        </is>
      </c>
      <c r="L2717" s="7" t="inlineStr">
        <is>
          <t>Yes</t>
        </is>
      </c>
      <c r="M2717" s="7" t="inlineStr">
        <is>
          <t>Stay cool on the course—this stretchy golf skirt has a sweat-wicking liner for coverage whether you're stretching or crouching down to get your ball.</t>
        </is>
      </c>
      <c r="N2717" s="7" t="inlineStr">
        <is>
          <t>Stretch-Twill-Front-Pleat-Golf-Skirt</t>
        </is>
      </c>
      <c r="O2717" s="7" t="inlineStr">
        <is>
          <t>Athletic Skirts, Skorts</t>
        </is>
      </c>
    </row>
    <row r="2718" ht="80" customHeight="1">
      <c r="A2718" s="4">
        <f>IMAGE("https://images.lululemon.com/is/image/lululemon/LW8AOIS_031382_1?wid=320&amp;op_usm=0.8",1)</f>
        <v/>
      </c>
      <c r="B2718" s="4" t="inlineStr">
        <is>
          <t>Stretch Twill Front Pleat Golf Skirt</t>
        </is>
      </c>
      <c r="C2718" s="4" t="inlineStr">
        <is>
          <t>158027099</t>
        </is>
      </c>
      <c r="D2718" s="4" t="inlineStr">
        <is>
          <t>158027099-clubblue</t>
        </is>
      </c>
      <c r="E2718" s="4" t="inlineStr">
        <is>
          <t>Stretch Twill Front Pleat Golf Skirt TRNV 24</t>
        </is>
      </c>
      <c r="F2718" s="4" t="inlineStr">
        <is>
          <t>$98.00</t>
        </is>
      </c>
      <c r="G2718" s="4" t="inlineStr">
        <is>
          <t>$49.00</t>
        </is>
      </c>
      <c r="H2718" s="4" t="inlineStr">
        <is>
          <t>Club Blue</t>
        </is>
      </c>
      <c r="I2718" s="4">
        <f>IMAGE("https://images.lululemon.com/is/image/lululemon/68578",1)</f>
        <v/>
      </c>
      <c r="J2718" s="4" t="inlineStr">
        <is>
          <t>31</t>
        </is>
      </c>
      <c r="K2718" s="4" t="inlineStr">
        <is>
          <t>9/1346</t>
        </is>
      </c>
      <c r="L2718" s="4" t="inlineStr">
        <is>
          <t>Yes</t>
        </is>
      </c>
      <c r="M2718" s="4" t="inlineStr">
        <is>
          <t>Stay cool on the course—this stretchy golf skirt has a sweat-wicking liner for coverage whether you're stretching or crouching down to get your ball.</t>
        </is>
      </c>
      <c r="N2718" s="4" t="inlineStr">
        <is>
          <t>Stretch-Twill-Front-Pleat-Golf-Skirt</t>
        </is>
      </c>
      <c r="O2718" s="4" t="inlineStr">
        <is>
          <t>Athletic Skirts, Skorts</t>
        </is>
      </c>
    </row>
    <row r="2719" ht="80" customHeight="1">
      <c r="A2719" s="7">
        <f>IMAGE("https://images.lululemon.com/is/image/lululemon/LW8AOIS_031382_1?wid=320&amp;op_usm=0.8",1)</f>
        <v/>
      </c>
      <c r="B2719" s="7" t="inlineStr">
        <is>
          <t>Stretch Twill Front Pleat Golf Skirt</t>
        </is>
      </c>
      <c r="C2719" s="7" t="inlineStr">
        <is>
          <t>158027124</t>
        </is>
      </c>
      <c r="D2719" s="7" t="inlineStr">
        <is>
          <t>158027124-clubblue</t>
        </is>
      </c>
      <c r="E2719" s="7" t="inlineStr">
        <is>
          <t>Stretch Twill Front Pleat Golf Skirt TRNV 24</t>
        </is>
      </c>
      <c r="F2719" s="7" t="inlineStr">
        <is>
          <t>$98.00</t>
        </is>
      </c>
      <c r="G2719" s="7" t="inlineStr">
        <is>
          <t>$49.00</t>
        </is>
      </c>
      <c r="H2719" s="7" t="inlineStr">
        <is>
          <t>Club Blue</t>
        </is>
      </c>
      <c r="I2719" s="7">
        <f>IMAGE("https://images.lululemon.com/is/image/lululemon/68578",1)</f>
        <v/>
      </c>
      <c r="J2719" s="7" t="inlineStr">
        <is>
          <t>32</t>
        </is>
      </c>
      <c r="K2719" s="7" t="inlineStr">
        <is>
          <t>11/1346</t>
        </is>
      </c>
      <c r="L2719" s="7" t="inlineStr">
        <is>
          <t>Yes</t>
        </is>
      </c>
      <c r="M2719" s="7" t="inlineStr">
        <is>
          <t>Stay cool on the course—this stretchy golf skirt has a sweat-wicking liner for coverage whether you're stretching or crouching down to get your ball.</t>
        </is>
      </c>
      <c r="N2719" s="7" t="inlineStr">
        <is>
          <t>Stretch-Twill-Front-Pleat-Golf-Skirt</t>
        </is>
      </c>
      <c r="O2719" s="7" t="inlineStr">
        <is>
          <t>Athletic Skirts, Skorts</t>
        </is>
      </c>
    </row>
    <row r="2720" ht="80" customHeight="1">
      <c r="A2720" s="4">
        <f>IMAGE("https://images.lululemon.com/is/image/lululemon/LW8AOIS_031382_1?wid=320&amp;op_usm=0.8",1)</f>
        <v/>
      </c>
      <c r="B2720" s="4" t="inlineStr">
        <is>
          <t>Stretch Twill Front Pleat Golf Skirt</t>
        </is>
      </c>
      <c r="C2720" s="4" t="inlineStr">
        <is>
          <t>158027149</t>
        </is>
      </c>
      <c r="D2720" s="4" t="inlineStr">
        <is>
          <t>158027149-clubblue</t>
        </is>
      </c>
      <c r="E2720" s="4" t="inlineStr">
        <is>
          <t>Stretch Twill Front Pleat Golf Skirt TRNV 24</t>
        </is>
      </c>
      <c r="F2720" s="4" t="inlineStr">
        <is>
          <t>$98.00</t>
        </is>
      </c>
      <c r="G2720" s="4" t="inlineStr">
        <is>
          <t>$49.00</t>
        </is>
      </c>
      <c r="H2720" s="4" t="inlineStr">
        <is>
          <t>Club Blue</t>
        </is>
      </c>
      <c r="I2720" s="4">
        <f>IMAGE("https://images.lululemon.com/is/image/lululemon/68578",1)</f>
        <v/>
      </c>
      <c r="J2720" s="4" t="inlineStr">
        <is>
          <t>33</t>
        </is>
      </c>
      <c r="K2720" s="4" t="inlineStr">
        <is>
          <t>3/1346</t>
        </is>
      </c>
      <c r="L2720" s="4" t="inlineStr">
        <is>
          <t>Yes</t>
        </is>
      </c>
      <c r="M2720" s="4" t="inlineStr">
        <is>
          <t>Stay cool on the course—this stretchy golf skirt has a sweat-wicking liner for coverage whether you're stretching or crouching down to get your ball.</t>
        </is>
      </c>
      <c r="N2720" s="4" t="inlineStr">
        <is>
          <t>Stretch-Twill-Front-Pleat-Golf-Skirt</t>
        </is>
      </c>
      <c r="O2720" s="4" t="inlineStr">
        <is>
          <t>Athletic Skirts, Skorts</t>
        </is>
      </c>
    </row>
    <row r="2721" ht="80" customHeight="1">
      <c r="A2721" s="7">
        <f>IMAGE("https://images.lululemon.com/is/image/lululemon/LW8AOIS_031382_1?wid=320&amp;op_usm=0.8",1)</f>
        <v/>
      </c>
      <c r="B2721" s="7" t="inlineStr">
        <is>
          <t>Stretch Twill Front Pleat Golf Skirt</t>
        </is>
      </c>
      <c r="C2721" s="7" t="inlineStr">
        <is>
          <t>158026644</t>
        </is>
      </c>
      <c r="D2721" s="7" t="inlineStr">
        <is>
          <t>158026644-ashenrose</t>
        </is>
      </c>
      <c r="E2721" s="7" t="inlineStr">
        <is>
          <t>Stretch Twill Front Pleat Golf Skirt TRNV 24</t>
        </is>
      </c>
      <c r="F2721" s="7" t="inlineStr">
        <is>
          <t>$98.00</t>
        </is>
      </c>
      <c r="G2721" s="7" t="inlineStr">
        <is>
          <t>$49.00</t>
        </is>
      </c>
      <c r="H2721" s="7" t="inlineStr">
        <is>
          <t>Ashen Rose</t>
        </is>
      </c>
      <c r="I2721" s="7">
        <f>IMAGE("https://images.lululemon.com/is/image/lululemon/45797",1)</f>
        <v/>
      </c>
      <c r="J2721" s="7" t="inlineStr">
        <is>
          <t>24</t>
        </is>
      </c>
      <c r="K2721" s="7" t="inlineStr">
        <is>
          <t>13/1346</t>
        </is>
      </c>
      <c r="L2721" s="7" t="inlineStr">
        <is>
          <t>Yes</t>
        </is>
      </c>
      <c r="M2721" s="7" t="inlineStr">
        <is>
          <t>Stay cool on the course—this stretchy golf skirt has a sweat-wicking liner for coverage whether you're stretching or crouching down to get your ball.</t>
        </is>
      </c>
      <c r="N2721" s="7" t="inlineStr">
        <is>
          <t>Stretch-Twill-Front-Pleat-Golf-Skirt</t>
        </is>
      </c>
      <c r="O2721" s="7" t="inlineStr">
        <is>
          <t>Athletic Skirts, Skorts</t>
        </is>
      </c>
    </row>
    <row r="2722" ht="80" customHeight="1">
      <c r="A2722" s="4">
        <f>IMAGE("https://images.lululemon.com/is/image/lululemon/LW8AOIS_031382_1?wid=320&amp;op_usm=0.8",1)</f>
        <v/>
      </c>
      <c r="B2722" s="4" t="inlineStr">
        <is>
          <t>Stretch Twill Front Pleat Golf Skirt</t>
        </is>
      </c>
      <c r="C2722" s="4" t="inlineStr">
        <is>
          <t>158026673</t>
        </is>
      </c>
      <c r="D2722" s="4" t="inlineStr">
        <is>
          <t>158026673-ashenrose</t>
        </is>
      </c>
      <c r="E2722" s="4" t="inlineStr">
        <is>
          <t>Stretch Twill Front Pleat Golf Skirt TRNV 24</t>
        </is>
      </c>
      <c r="F2722" s="4" t="inlineStr">
        <is>
          <t>$98.00</t>
        </is>
      </c>
      <c r="G2722" s="4" t="inlineStr">
        <is>
          <t>$49.00</t>
        </is>
      </c>
      <c r="H2722" s="4" t="inlineStr">
        <is>
          <t>Ashen Rose</t>
        </is>
      </c>
      <c r="I2722" s="4">
        <f>IMAGE("https://images.lululemon.com/is/image/lululemon/45797",1)</f>
        <v/>
      </c>
      <c r="J2722" s="4" t="inlineStr">
        <is>
          <t>25</t>
        </is>
      </c>
      <c r="K2722" s="4" t="inlineStr">
        <is>
          <t>18/1346</t>
        </is>
      </c>
      <c r="L2722" s="4" t="inlineStr">
        <is>
          <t>Yes</t>
        </is>
      </c>
      <c r="M2722" s="4" t="inlineStr">
        <is>
          <t>Stay cool on the course—this stretchy golf skirt has a sweat-wicking liner for coverage whether you're stretching or crouching down to get your ball.</t>
        </is>
      </c>
      <c r="N2722" s="4" t="inlineStr">
        <is>
          <t>Stretch-Twill-Front-Pleat-Golf-Skirt</t>
        </is>
      </c>
      <c r="O2722" s="4" t="inlineStr">
        <is>
          <t>Athletic Skirts, Skorts</t>
        </is>
      </c>
    </row>
    <row r="2723" ht="80" customHeight="1">
      <c r="A2723" s="7">
        <f>IMAGE("https://images.lululemon.com/is/image/lululemon/LW8AOIS_031382_1?wid=320&amp;op_usm=0.8",1)</f>
        <v/>
      </c>
      <c r="B2723" s="7" t="inlineStr">
        <is>
          <t>Stretch Twill Front Pleat Golf Skirt</t>
        </is>
      </c>
      <c r="C2723" s="7" t="inlineStr">
        <is>
          <t>158026700</t>
        </is>
      </c>
      <c r="D2723" s="7" t="inlineStr">
        <is>
          <t>158026700-ashenrose</t>
        </is>
      </c>
      <c r="E2723" s="7" t="inlineStr">
        <is>
          <t>Stretch Twill Front Pleat Golf Skirt TRNV 24</t>
        </is>
      </c>
      <c r="F2723" s="7" t="inlineStr">
        <is>
          <t>$98.00</t>
        </is>
      </c>
      <c r="G2723" s="7" t="inlineStr">
        <is>
          <t>$49.00</t>
        </is>
      </c>
      <c r="H2723" s="7" t="inlineStr">
        <is>
          <t>Ashen Rose</t>
        </is>
      </c>
      <c r="I2723" s="7">
        <f>IMAGE("https://images.lululemon.com/is/image/lululemon/45797",1)</f>
        <v/>
      </c>
      <c r="J2723" s="7" t="inlineStr">
        <is>
          <t>26</t>
        </is>
      </c>
      <c r="K2723" s="7" t="inlineStr">
        <is>
          <t>38/1346</t>
        </is>
      </c>
      <c r="L2723" s="7" t="inlineStr">
        <is>
          <t>Yes</t>
        </is>
      </c>
      <c r="M2723" s="7" t="inlineStr">
        <is>
          <t>Stay cool on the course—this stretchy golf skirt has a sweat-wicking liner for coverage whether you're stretching or crouching down to get your ball.</t>
        </is>
      </c>
      <c r="N2723" s="7" t="inlineStr">
        <is>
          <t>Stretch-Twill-Front-Pleat-Golf-Skirt</t>
        </is>
      </c>
      <c r="O2723" s="7" t="inlineStr">
        <is>
          <t>Athletic Skirts, Skorts</t>
        </is>
      </c>
    </row>
    <row r="2724" ht="80" customHeight="1">
      <c r="A2724" s="4">
        <f>IMAGE("https://images.lululemon.com/is/image/lululemon/LW8AOIS_031382_1?wid=320&amp;op_usm=0.8",1)</f>
        <v/>
      </c>
      <c r="B2724" s="4" t="inlineStr">
        <is>
          <t>Stretch Twill Front Pleat Golf Skirt</t>
        </is>
      </c>
      <c r="C2724" s="4" t="inlineStr">
        <is>
          <t>158026726</t>
        </is>
      </c>
      <c r="D2724" s="4" t="inlineStr">
        <is>
          <t>158026726-ashenrose</t>
        </is>
      </c>
      <c r="E2724" s="4" t="inlineStr">
        <is>
          <t>Stretch Twill Front Pleat Golf Skirt TRNV 24</t>
        </is>
      </c>
      <c r="F2724" s="4" t="inlineStr">
        <is>
          <t>$98.00</t>
        </is>
      </c>
      <c r="G2724" s="4" t="inlineStr">
        <is>
          <t>$49.00</t>
        </is>
      </c>
      <c r="H2724" s="4" t="inlineStr">
        <is>
          <t>Ashen Rose</t>
        </is>
      </c>
      <c r="I2724" s="4">
        <f>IMAGE("https://images.lululemon.com/is/image/lululemon/45797",1)</f>
        <v/>
      </c>
      <c r="J2724" s="4" t="inlineStr">
        <is>
          <t>27</t>
        </is>
      </c>
      <c r="K2724" s="4" t="inlineStr">
        <is>
          <t>27/1346</t>
        </is>
      </c>
      <c r="L2724" s="4" t="inlineStr">
        <is>
          <t>Yes</t>
        </is>
      </c>
      <c r="M2724" s="4" t="inlineStr">
        <is>
          <t>Stay cool on the course—this stretchy golf skirt has a sweat-wicking liner for coverage whether you're stretching or crouching down to get your ball.</t>
        </is>
      </c>
      <c r="N2724" s="4" t="inlineStr">
        <is>
          <t>Stretch-Twill-Front-Pleat-Golf-Skirt</t>
        </is>
      </c>
      <c r="O2724" s="4" t="inlineStr">
        <is>
          <t>Athletic Skirts, Skorts</t>
        </is>
      </c>
    </row>
    <row r="2725" ht="80" customHeight="1">
      <c r="A2725" s="7">
        <f>IMAGE("https://images.lululemon.com/is/image/lululemon/LW8AOIS_031382_1?wid=320&amp;op_usm=0.8",1)</f>
        <v/>
      </c>
      <c r="B2725" s="7" t="inlineStr">
        <is>
          <t>Stretch Twill Front Pleat Golf Skirt</t>
        </is>
      </c>
      <c r="C2725" s="7" t="inlineStr">
        <is>
          <t>158026754</t>
        </is>
      </c>
      <c r="D2725" s="7" t="inlineStr">
        <is>
          <t>158026754-ashenrose</t>
        </is>
      </c>
      <c r="E2725" s="7" t="inlineStr">
        <is>
          <t>Stretch Twill Front Pleat Golf Skirt TRNV 24</t>
        </is>
      </c>
      <c r="F2725" s="7" t="inlineStr">
        <is>
          <t>$98.00</t>
        </is>
      </c>
      <c r="G2725" s="7" t="inlineStr">
        <is>
          <t>$49.00</t>
        </is>
      </c>
      <c r="H2725" s="7" t="inlineStr">
        <is>
          <t>Ashen Rose</t>
        </is>
      </c>
      <c r="I2725" s="7">
        <f>IMAGE("https://images.lululemon.com/is/image/lululemon/45797",1)</f>
        <v/>
      </c>
      <c r="J2725" s="7" t="inlineStr">
        <is>
          <t>28</t>
        </is>
      </c>
      <c r="K2725" s="7" t="inlineStr">
        <is>
          <t>27/1346</t>
        </is>
      </c>
      <c r="L2725" s="7" t="inlineStr">
        <is>
          <t>Yes</t>
        </is>
      </c>
      <c r="M2725" s="7" t="inlineStr">
        <is>
          <t>Stay cool on the course—this stretchy golf skirt has a sweat-wicking liner for coverage whether you're stretching or crouching down to get your ball.</t>
        </is>
      </c>
      <c r="N2725" s="7" t="inlineStr">
        <is>
          <t>Stretch-Twill-Front-Pleat-Golf-Skirt</t>
        </is>
      </c>
      <c r="O2725" s="7" t="inlineStr">
        <is>
          <t>Athletic Skirts, Skorts</t>
        </is>
      </c>
    </row>
    <row r="2726" ht="80" customHeight="1">
      <c r="A2726" s="4">
        <f>IMAGE("https://images.lululemon.com/is/image/lululemon/LW8AOIS_031382_1?wid=320&amp;op_usm=0.8",1)</f>
        <v/>
      </c>
      <c r="B2726" s="4" t="inlineStr">
        <is>
          <t>Stretch Twill Front Pleat Golf Skirt</t>
        </is>
      </c>
      <c r="C2726" s="4" t="inlineStr">
        <is>
          <t>158026778</t>
        </is>
      </c>
      <c r="D2726" s="4" t="inlineStr">
        <is>
          <t>158026778-ashenrose</t>
        </is>
      </c>
      <c r="E2726" s="4" t="inlineStr">
        <is>
          <t>Stretch Twill Front Pleat Golf Skirt TRNV 24</t>
        </is>
      </c>
      <c r="F2726" s="4" t="inlineStr">
        <is>
          <t>$98.00</t>
        </is>
      </c>
      <c r="G2726" s="4" t="inlineStr">
        <is>
          <t>$49.00</t>
        </is>
      </c>
      <c r="H2726" s="4" t="inlineStr">
        <is>
          <t>Ashen Rose</t>
        </is>
      </c>
      <c r="I2726" s="4">
        <f>IMAGE("https://images.lululemon.com/is/image/lululemon/45797",1)</f>
        <v/>
      </c>
      <c r="J2726" s="4" t="inlineStr">
        <is>
          <t>29</t>
        </is>
      </c>
      <c r="K2726" s="4" t="inlineStr">
        <is>
          <t>34/1346</t>
        </is>
      </c>
      <c r="L2726" s="4" t="inlineStr">
        <is>
          <t>Yes</t>
        </is>
      </c>
      <c r="M2726" s="4" t="inlineStr">
        <is>
          <t>Stay cool on the course—this stretchy golf skirt has a sweat-wicking liner for coverage whether you're stretching or crouching down to get your ball.</t>
        </is>
      </c>
      <c r="N2726" s="4" t="inlineStr">
        <is>
          <t>Stretch-Twill-Front-Pleat-Golf-Skirt</t>
        </is>
      </c>
      <c r="O2726" s="4" t="inlineStr">
        <is>
          <t>Athletic Skirts, Skorts</t>
        </is>
      </c>
    </row>
    <row r="2727" ht="80" customHeight="1">
      <c r="A2727" s="7">
        <f>IMAGE("https://images.lululemon.com/is/image/lululemon/LW8AOIS_031382_1?wid=320&amp;op_usm=0.8",1)</f>
        <v/>
      </c>
      <c r="B2727" s="7" t="inlineStr">
        <is>
          <t>Stretch Twill Front Pleat Golf Skirt</t>
        </is>
      </c>
      <c r="C2727" s="7" t="inlineStr">
        <is>
          <t>158026803</t>
        </is>
      </c>
      <c r="D2727" s="7" t="inlineStr">
        <is>
          <t>158026803-ashenrose</t>
        </is>
      </c>
      <c r="E2727" s="7" t="inlineStr">
        <is>
          <t>Stretch Twill Front Pleat Golf Skirt TRNV 24</t>
        </is>
      </c>
      <c r="F2727" s="7" t="inlineStr">
        <is>
          <t>$98.00</t>
        </is>
      </c>
      <c r="G2727" s="7" t="inlineStr">
        <is>
          <t>$49.00</t>
        </is>
      </c>
      <c r="H2727" s="7" t="inlineStr">
        <is>
          <t>Ashen Rose</t>
        </is>
      </c>
      <c r="I2727" s="7">
        <f>IMAGE("https://images.lululemon.com/is/image/lululemon/45797",1)</f>
        <v/>
      </c>
      <c r="J2727" s="7" t="inlineStr">
        <is>
          <t>30</t>
        </is>
      </c>
      <c r="K2727" s="7" t="inlineStr">
        <is>
          <t>15/1346</t>
        </is>
      </c>
      <c r="L2727" s="7" t="inlineStr">
        <is>
          <t>Yes</t>
        </is>
      </c>
      <c r="M2727" s="7" t="inlineStr">
        <is>
          <t>Stay cool on the course—this stretchy golf skirt has a sweat-wicking liner for coverage whether you're stretching or crouching down to get your ball.</t>
        </is>
      </c>
      <c r="N2727" s="7" t="inlineStr">
        <is>
          <t>Stretch-Twill-Front-Pleat-Golf-Skirt</t>
        </is>
      </c>
      <c r="O2727" s="7" t="inlineStr">
        <is>
          <t>Athletic Skirts, Skorts</t>
        </is>
      </c>
    </row>
    <row r="2728" ht="80" customHeight="1">
      <c r="A2728" s="4">
        <f>IMAGE("https://images.lululemon.com/is/image/lululemon/LW8AOIS_031382_1?wid=320&amp;op_usm=0.8",1)</f>
        <v/>
      </c>
      <c r="B2728" s="4" t="inlineStr">
        <is>
          <t>Stretch Twill Front Pleat Golf Skirt</t>
        </is>
      </c>
      <c r="C2728" s="4" t="inlineStr">
        <is>
          <t>158026830</t>
        </is>
      </c>
      <c r="D2728" s="4" t="inlineStr">
        <is>
          <t>158026830-ashenrose</t>
        </is>
      </c>
      <c r="E2728" s="4" t="inlineStr">
        <is>
          <t>Stretch Twill Front Pleat Golf Skirt TRNV 24</t>
        </is>
      </c>
      <c r="F2728" s="4" t="inlineStr">
        <is>
          <t>$98.00</t>
        </is>
      </c>
      <c r="G2728" s="4" t="inlineStr">
        <is>
          <t>$49.00</t>
        </is>
      </c>
      <c r="H2728" s="4" t="inlineStr">
        <is>
          <t>Ashen Rose</t>
        </is>
      </c>
      <c r="I2728" s="4">
        <f>IMAGE("https://images.lululemon.com/is/image/lululemon/45797",1)</f>
        <v/>
      </c>
      <c r="J2728" s="4" t="inlineStr">
        <is>
          <t>31</t>
        </is>
      </c>
      <c r="K2728" s="4" t="inlineStr">
        <is>
          <t>30/1346</t>
        </is>
      </c>
      <c r="L2728" s="4" t="inlineStr">
        <is>
          <t>Yes</t>
        </is>
      </c>
      <c r="M2728" s="4" t="inlineStr">
        <is>
          <t>Stay cool on the course—this stretchy golf skirt has a sweat-wicking liner for coverage whether you're stretching or crouching down to get your ball.</t>
        </is>
      </c>
      <c r="N2728" s="4" t="inlineStr">
        <is>
          <t>Stretch-Twill-Front-Pleat-Golf-Skirt</t>
        </is>
      </c>
      <c r="O2728" s="4" t="inlineStr">
        <is>
          <t>Athletic Skirts, Skorts</t>
        </is>
      </c>
    </row>
    <row r="2729" ht="80" customHeight="1">
      <c r="A2729" s="7">
        <f>IMAGE("https://images.lululemon.com/is/image/lululemon/LW8AOIS_031382_1?wid=320&amp;op_usm=0.8",1)</f>
        <v/>
      </c>
      <c r="B2729" s="7" t="inlineStr">
        <is>
          <t>Stretch Twill Front Pleat Golf Skirt</t>
        </is>
      </c>
      <c r="C2729" s="7" t="inlineStr">
        <is>
          <t>158026854</t>
        </is>
      </c>
      <c r="D2729" s="7" t="inlineStr">
        <is>
          <t>158026854-ashenrose</t>
        </is>
      </c>
      <c r="E2729" s="7" t="inlineStr">
        <is>
          <t>Stretch Twill Front Pleat Golf Skirt TRNV 24</t>
        </is>
      </c>
      <c r="F2729" s="7" t="inlineStr">
        <is>
          <t>$98.00</t>
        </is>
      </c>
      <c r="G2729" s="7" t="inlineStr">
        <is>
          <t>$49.00</t>
        </is>
      </c>
      <c r="H2729" s="7" t="inlineStr">
        <is>
          <t>Ashen Rose</t>
        </is>
      </c>
      <c r="I2729" s="7">
        <f>IMAGE("https://images.lululemon.com/is/image/lululemon/45797",1)</f>
        <v/>
      </c>
      <c r="J2729" s="7" t="inlineStr">
        <is>
          <t>32</t>
        </is>
      </c>
      <c r="K2729" s="7" t="inlineStr">
        <is>
          <t>12/1346</t>
        </is>
      </c>
      <c r="L2729" s="7" t="inlineStr">
        <is>
          <t>Yes</t>
        </is>
      </c>
      <c r="M2729" s="7" t="inlineStr">
        <is>
          <t>Stay cool on the course—this stretchy golf skirt has a sweat-wicking liner for coverage whether you're stretching or crouching down to get your ball.</t>
        </is>
      </c>
      <c r="N2729" s="7" t="inlineStr">
        <is>
          <t>Stretch-Twill-Front-Pleat-Golf-Skirt</t>
        </is>
      </c>
      <c r="O2729" s="7" t="inlineStr">
        <is>
          <t>Athletic Skirts, Skorts</t>
        </is>
      </c>
    </row>
    <row r="2730" ht="80" customHeight="1">
      <c r="A2730" s="6">
        <f>IMAGE("https://images.lululemon.com/is/image/lululemon/LW8AOIS_031382_1?wid=320&amp;op_usm=0.8",1)</f>
        <v/>
      </c>
      <c r="B2730" s="6" t="inlineStr">
        <is>
          <t>Stretch Twill Front Pleat Golf Skirt</t>
        </is>
      </c>
      <c r="C2730" s="6" t="inlineStr">
        <is>
          <t>158026879</t>
        </is>
      </c>
      <c r="D2730" s="6" t="inlineStr">
        <is>
          <t>158026879-ashenrose</t>
        </is>
      </c>
      <c r="E2730" s="6" t="inlineStr">
        <is>
          <t>Stretch Twill Front Pleat Golf Skirt TRNV 24</t>
        </is>
      </c>
      <c r="F2730" s="6" t="inlineStr">
        <is>
          <t>$98.00</t>
        </is>
      </c>
      <c r="G2730" s="6" t="inlineStr">
        <is>
          <t>$49.00</t>
        </is>
      </c>
      <c r="H2730" s="6" t="inlineStr">
        <is>
          <t>Ashen Rose</t>
        </is>
      </c>
      <c r="I2730" s="6">
        <f>IMAGE("https://images.lululemon.com/is/image/lululemon/45797",1)</f>
        <v/>
      </c>
      <c r="J2730" s="6" t="inlineStr">
        <is>
          <t>33</t>
        </is>
      </c>
      <c r="K2730" s="6" t="inlineStr">
        <is>
          <t>3/1346</t>
        </is>
      </c>
      <c r="L2730" s="6" t="inlineStr">
        <is>
          <t>Yes</t>
        </is>
      </c>
      <c r="M2730" s="6" t="inlineStr">
        <is>
          <t>Stay cool on the course—this stretchy golf skirt has a sweat-wicking liner for coverage whether you're stretching or crouching down to get your ball.</t>
        </is>
      </c>
      <c r="N2730" s="6" t="inlineStr">
        <is>
          <t>Stretch-Twill-Front-Pleat-Golf-Skirt</t>
        </is>
      </c>
      <c r="O2730" s="6" t="inlineStr">
        <is>
          <t>Athletic Skirts, Skorts</t>
        </is>
      </c>
    </row>
    <row r="2731" ht="80" customHeight="1">
      <c r="A2731" s="7">
        <f>IMAGE("https://images.lululemon.com/is/image/lululemon/LW1FQSS_0001_1?wid=320&amp;op_usm=0.8",1)</f>
        <v/>
      </c>
      <c r="B2731" s="7" t="inlineStr">
        <is>
          <t>Satin Shine Tank Top Medium Support, B/C Cup *Wordmark</t>
        </is>
      </c>
      <c r="C2731" s="7" t="inlineStr">
        <is>
          <t>158023205</t>
        </is>
      </c>
      <c r="D2731" s="7" t="inlineStr">
        <is>
          <t>158023205-black</t>
        </is>
      </c>
      <c r="E2731" s="7" t="inlineStr">
        <is>
          <t>Satin Shine Tank *Wordmark BLK 2</t>
        </is>
      </c>
      <c r="F2731" s="7" t="inlineStr">
        <is>
          <t>$78.00</t>
        </is>
      </c>
      <c r="G2731" s="7" t="inlineStr">
        <is>
          <t>$39.00</t>
        </is>
      </c>
      <c r="H2731" s="7" t="inlineStr">
        <is>
          <t>Black</t>
        </is>
      </c>
      <c r="I2731" s="7">
        <f>IMAGE("https://images.lululemon.com/is/image/lululemon/0001",1)</f>
        <v/>
      </c>
      <c r="J2731" s="7" t="inlineStr">
        <is>
          <t>2</t>
        </is>
      </c>
      <c r="K2731" s="7" t="inlineStr">
        <is>
          <t>26/421</t>
        </is>
      </c>
      <c r="L2731" s="7" t="inlineStr">
        <is>
          <t>Yes</t>
        </is>
      </c>
      <c r="M2731" s="7" t="inlineStr">
        <is>
          <t>What fast looks like. Quick-drying, technical fabric gives this tank a satiny sheen while a shelf-bra and racerback streamline the look.</t>
        </is>
      </c>
      <c r="N2731" s="7" t="inlineStr">
        <is>
          <t>Satin-Shine-Tank-Top-Medium-Support-BC-Wordmark</t>
        </is>
      </c>
      <c r="O2731" s="7" t="inlineStr"/>
    </row>
    <row r="2732" ht="80" customHeight="1">
      <c r="A2732" s="4">
        <f>IMAGE("https://images.lululemon.com/is/image/lululemon/LW1FQSS_0001_1?wid=320&amp;op_usm=0.8",1)</f>
        <v/>
      </c>
      <c r="B2732" s="4" t="inlineStr">
        <is>
          <t>Satin Shine Tank Top Medium Support, B/C Cup *Wordmark</t>
        </is>
      </c>
      <c r="C2732" s="4" t="inlineStr">
        <is>
          <t>158023215</t>
        </is>
      </c>
      <c r="D2732" s="4" t="inlineStr">
        <is>
          <t>158023215-black</t>
        </is>
      </c>
      <c r="E2732" s="4" t="inlineStr">
        <is>
          <t>Satin Shine Tank *Wordmark BLK 2</t>
        </is>
      </c>
      <c r="F2732" s="4" t="inlineStr">
        <is>
          <t>$78.00</t>
        </is>
      </c>
      <c r="G2732" s="4" t="inlineStr">
        <is>
          <t>$39.00</t>
        </is>
      </c>
      <c r="H2732" s="4" t="inlineStr">
        <is>
          <t>Black</t>
        </is>
      </c>
      <c r="I2732" s="4">
        <f>IMAGE("https://images.lululemon.com/is/image/lululemon/0001",1)</f>
        <v/>
      </c>
      <c r="J2732" s="4" t="inlineStr">
        <is>
          <t>4</t>
        </is>
      </c>
      <c r="K2732" s="4" t="inlineStr">
        <is>
          <t>37/421</t>
        </is>
      </c>
      <c r="L2732" s="4" t="inlineStr">
        <is>
          <t>Yes</t>
        </is>
      </c>
      <c r="M2732" s="4" t="inlineStr">
        <is>
          <t>What fast looks like. Quick-drying, technical fabric gives this tank a satiny sheen while a shelf-bra and racerback streamline the look.</t>
        </is>
      </c>
      <c r="N2732" s="4" t="inlineStr">
        <is>
          <t>Satin-Shine-Tank-Top-Medium-Support-BC-Wordmark</t>
        </is>
      </c>
      <c r="O2732" s="4" t="inlineStr"/>
    </row>
    <row r="2733" ht="80" customHeight="1">
      <c r="A2733" s="7">
        <f>IMAGE("https://images.lululemon.com/is/image/lululemon/LW1FQSS_0001_1?wid=320&amp;op_usm=0.8",1)</f>
        <v/>
      </c>
      <c r="B2733" s="7" t="inlineStr">
        <is>
          <t>Satin Shine Tank Top Medium Support, B/C Cup *Wordmark</t>
        </is>
      </c>
      <c r="C2733" s="7" t="inlineStr">
        <is>
          <t>158023228</t>
        </is>
      </c>
      <c r="D2733" s="7" t="inlineStr">
        <is>
          <t>158023228-black</t>
        </is>
      </c>
      <c r="E2733" s="7" t="inlineStr">
        <is>
          <t>Satin Shine Tank *Wordmark BLK 2</t>
        </is>
      </c>
      <c r="F2733" s="7" t="inlineStr">
        <is>
          <t>$78.00</t>
        </is>
      </c>
      <c r="G2733" s="7" t="inlineStr">
        <is>
          <t>$39.00</t>
        </is>
      </c>
      <c r="H2733" s="7" t="inlineStr">
        <is>
          <t>Black</t>
        </is>
      </c>
      <c r="I2733" s="7">
        <f>IMAGE("https://images.lululemon.com/is/image/lululemon/0001",1)</f>
        <v/>
      </c>
      <c r="J2733" s="7" t="inlineStr">
        <is>
          <t>6</t>
        </is>
      </c>
      <c r="K2733" s="7" t="inlineStr">
        <is>
          <t>43/421</t>
        </is>
      </c>
      <c r="L2733" s="7" t="inlineStr">
        <is>
          <t>Yes</t>
        </is>
      </c>
      <c r="M2733" s="7" t="inlineStr">
        <is>
          <t>What fast looks like. Quick-drying, technical fabric gives this tank a satiny sheen while a shelf-bra and racerback streamline the look.</t>
        </is>
      </c>
      <c r="N2733" s="7" t="inlineStr">
        <is>
          <t>Satin-Shine-Tank-Top-Medium-Support-BC-Wordmark</t>
        </is>
      </c>
      <c r="O2733" s="7" t="inlineStr"/>
    </row>
    <row r="2734" ht="80" customHeight="1">
      <c r="A2734" s="4">
        <f>IMAGE("https://images.lululemon.com/is/image/lululemon/LW1FQSS_0001_1?wid=320&amp;op_usm=0.8",1)</f>
        <v/>
      </c>
      <c r="B2734" s="4" t="inlineStr">
        <is>
          <t>Satin Shine Tank Top Medium Support, B/C Cup *Wordmark</t>
        </is>
      </c>
      <c r="C2734" s="4" t="inlineStr">
        <is>
          <t>158023236</t>
        </is>
      </c>
      <c r="D2734" s="4" t="inlineStr">
        <is>
          <t>158023236-black</t>
        </is>
      </c>
      <c r="E2734" s="4" t="inlineStr">
        <is>
          <t>Satin Shine Tank *Wordmark BLK 2</t>
        </is>
      </c>
      <c r="F2734" s="4" t="inlineStr">
        <is>
          <t>$78.00</t>
        </is>
      </c>
      <c r="G2734" s="4" t="inlineStr">
        <is>
          <t>$39.00</t>
        </is>
      </c>
      <c r="H2734" s="4" t="inlineStr">
        <is>
          <t>Black</t>
        </is>
      </c>
      <c r="I2734" s="4">
        <f>IMAGE("https://images.lululemon.com/is/image/lululemon/0001",1)</f>
        <v/>
      </c>
      <c r="J2734" s="4" t="inlineStr">
        <is>
          <t>8</t>
        </is>
      </c>
      <c r="K2734" s="4" t="inlineStr">
        <is>
          <t>30/421</t>
        </is>
      </c>
      <c r="L2734" s="4" t="inlineStr">
        <is>
          <t>Yes</t>
        </is>
      </c>
      <c r="M2734" s="4" t="inlineStr">
        <is>
          <t>What fast looks like. Quick-drying, technical fabric gives this tank a satiny sheen while a shelf-bra and racerback streamline the look.</t>
        </is>
      </c>
      <c r="N2734" s="4" t="inlineStr">
        <is>
          <t>Satin-Shine-Tank-Top-Medium-Support-BC-Wordmark</t>
        </is>
      </c>
      <c r="O2734" s="4" t="inlineStr"/>
    </row>
    <row r="2735" ht="80" customHeight="1">
      <c r="A2735" s="7">
        <f>IMAGE("https://images.lululemon.com/is/image/lululemon/LW1FQSS_0001_1?wid=320&amp;op_usm=0.8",1)</f>
        <v/>
      </c>
      <c r="B2735" s="7" t="inlineStr">
        <is>
          <t>Satin Shine Tank Top Medium Support, B/C Cup *Wordmark</t>
        </is>
      </c>
      <c r="C2735" s="7" t="inlineStr">
        <is>
          <t>158023178</t>
        </is>
      </c>
      <c r="D2735" s="7" t="inlineStr">
        <is>
          <t>158023178-black</t>
        </is>
      </c>
      <c r="E2735" s="7" t="inlineStr">
        <is>
          <t>Satin Shine Tank *Wordmark BLK 2</t>
        </is>
      </c>
      <c r="F2735" s="7" t="inlineStr">
        <is>
          <t>$78.00</t>
        </is>
      </c>
      <c r="G2735" s="7" t="inlineStr">
        <is>
          <t>$39.00</t>
        </is>
      </c>
      <c r="H2735" s="7" t="inlineStr">
        <is>
          <t>Black</t>
        </is>
      </c>
      <c r="I2735" s="7">
        <f>IMAGE("https://images.lululemon.com/is/image/lululemon/0001",1)</f>
        <v/>
      </c>
      <c r="J2735" s="7" t="inlineStr">
        <is>
          <t>10</t>
        </is>
      </c>
      <c r="K2735" s="7" t="inlineStr">
        <is>
          <t>15/421</t>
        </is>
      </c>
      <c r="L2735" s="7" t="inlineStr">
        <is>
          <t>Yes</t>
        </is>
      </c>
      <c r="M2735" s="7" t="inlineStr">
        <is>
          <t>What fast looks like. Quick-drying, technical fabric gives this tank a satiny sheen while a shelf-bra and racerback streamline the look.</t>
        </is>
      </c>
      <c r="N2735" s="7" t="inlineStr">
        <is>
          <t>Satin-Shine-Tank-Top-Medium-Support-BC-Wordmark</t>
        </is>
      </c>
      <c r="O2735" s="7" t="inlineStr"/>
    </row>
    <row r="2736" ht="80" customHeight="1">
      <c r="A2736" s="4">
        <f>IMAGE("https://images.lululemon.com/is/image/lululemon/LW1FQSS_0001_1?wid=320&amp;op_usm=0.8",1)</f>
        <v/>
      </c>
      <c r="B2736" s="4" t="inlineStr">
        <is>
          <t>Satin Shine Tank Top Medium Support, B/C Cup *Wordmark</t>
        </is>
      </c>
      <c r="C2736" s="4" t="inlineStr">
        <is>
          <t>158023187</t>
        </is>
      </c>
      <c r="D2736" s="4" t="inlineStr">
        <is>
          <t>158023187-black</t>
        </is>
      </c>
      <c r="E2736" s="4" t="inlineStr">
        <is>
          <t>Satin Shine Tank *Wordmark BLK 2</t>
        </is>
      </c>
      <c r="F2736" s="4" t="inlineStr">
        <is>
          <t>$78.00</t>
        </is>
      </c>
      <c r="G2736" s="4" t="inlineStr">
        <is>
          <t>$39.00</t>
        </is>
      </c>
      <c r="H2736" s="4" t="inlineStr">
        <is>
          <t>Black</t>
        </is>
      </c>
      <c r="I2736" s="4">
        <f>IMAGE("https://images.lululemon.com/is/image/lululemon/0001",1)</f>
        <v/>
      </c>
      <c r="J2736" s="4" t="inlineStr">
        <is>
          <t>12</t>
        </is>
      </c>
      <c r="K2736" s="4" t="inlineStr">
        <is>
          <t>16/421</t>
        </is>
      </c>
      <c r="L2736" s="4" t="inlineStr">
        <is>
          <t>Yes</t>
        </is>
      </c>
      <c r="M2736" s="4" t="inlineStr">
        <is>
          <t>What fast looks like. Quick-drying, technical fabric gives this tank a satiny sheen while a shelf-bra and racerback streamline the look.</t>
        </is>
      </c>
      <c r="N2736" s="4" t="inlineStr">
        <is>
          <t>Satin-Shine-Tank-Top-Medium-Support-BC-Wordmark</t>
        </is>
      </c>
      <c r="O2736" s="4" t="inlineStr"/>
    </row>
    <row r="2737" ht="80" customHeight="1">
      <c r="A2737" s="7">
        <f>IMAGE("https://images.lululemon.com/is/image/lululemon/LW1FQSS_0001_1?wid=320&amp;op_usm=0.8",1)</f>
        <v/>
      </c>
      <c r="B2737" s="7" t="inlineStr">
        <is>
          <t>Satin Shine Tank Top Medium Support, B/C Cup *Wordmark</t>
        </is>
      </c>
      <c r="C2737" s="7" t="inlineStr">
        <is>
          <t>158023343</t>
        </is>
      </c>
      <c r="D2737" s="7" t="inlineStr">
        <is>
          <t>158023343-coal</t>
        </is>
      </c>
      <c r="E2737" s="7" t="inlineStr">
        <is>
          <t>Satin Shine Tank *Wordmark BLK 2</t>
        </is>
      </c>
      <c r="F2737" s="7" t="inlineStr">
        <is>
          <t>$78.00</t>
        </is>
      </c>
      <c r="G2737" s="7" t="inlineStr">
        <is>
          <t>$39.00</t>
        </is>
      </c>
      <c r="H2737" s="7" t="inlineStr">
        <is>
          <t>Coal</t>
        </is>
      </c>
      <c r="I2737" s="7">
        <f>IMAGE("https://images.lululemon.com/is/image/lululemon/3390",1)</f>
        <v/>
      </c>
      <c r="J2737" s="7" t="inlineStr">
        <is>
          <t>2</t>
        </is>
      </c>
      <c r="K2737" s="7" t="inlineStr">
        <is>
          <t>29/421</t>
        </is>
      </c>
      <c r="L2737" s="7" t="inlineStr">
        <is>
          <t>Yes</t>
        </is>
      </c>
      <c r="M2737" s="7" t="inlineStr">
        <is>
          <t>What fast looks like. Quick-drying, technical fabric gives this tank a satiny sheen while a shelf-bra and racerback streamline the look.</t>
        </is>
      </c>
      <c r="N2737" s="7" t="inlineStr">
        <is>
          <t>Satin-Shine-Tank-Top-Medium-Support-BC-Wordmark</t>
        </is>
      </c>
      <c r="O2737" s="7" t="inlineStr"/>
    </row>
    <row r="2738" ht="80" customHeight="1">
      <c r="A2738" s="4">
        <f>IMAGE("https://images.lululemon.com/is/image/lululemon/LW1FQSS_0001_1?wid=320&amp;op_usm=0.8",1)</f>
        <v/>
      </c>
      <c r="B2738" s="4" t="inlineStr">
        <is>
          <t>Satin Shine Tank Top Medium Support, B/C Cup *Wordmark</t>
        </is>
      </c>
      <c r="C2738" s="4" t="inlineStr">
        <is>
          <t>158023351</t>
        </is>
      </c>
      <c r="D2738" s="4" t="inlineStr">
        <is>
          <t>158023351-coal</t>
        </is>
      </c>
      <c r="E2738" s="4" t="inlineStr">
        <is>
          <t>Satin Shine Tank *Wordmark BLK 2</t>
        </is>
      </c>
      <c r="F2738" s="4" t="inlineStr">
        <is>
          <t>$78.00</t>
        </is>
      </c>
      <c r="G2738" s="4" t="inlineStr">
        <is>
          <t>$39.00</t>
        </is>
      </c>
      <c r="H2738" s="4" t="inlineStr">
        <is>
          <t>Coal</t>
        </is>
      </c>
      <c r="I2738" s="4">
        <f>IMAGE("https://images.lululemon.com/is/image/lululemon/3390",1)</f>
        <v/>
      </c>
      <c r="J2738" s="4" t="inlineStr">
        <is>
          <t>4</t>
        </is>
      </c>
      <c r="K2738" s="4" t="inlineStr">
        <is>
          <t>54/421</t>
        </is>
      </c>
      <c r="L2738" s="4" t="inlineStr">
        <is>
          <t>Yes</t>
        </is>
      </c>
      <c r="M2738" s="4" t="inlineStr">
        <is>
          <t>What fast looks like. Quick-drying, technical fabric gives this tank a satiny sheen while a shelf-bra and racerback streamline the look.</t>
        </is>
      </c>
      <c r="N2738" s="4" t="inlineStr">
        <is>
          <t>Satin-Shine-Tank-Top-Medium-Support-BC-Wordmark</t>
        </is>
      </c>
      <c r="O2738" s="4" t="inlineStr"/>
    </row>
    <row r="2739" ht="80" customHeight="1">
      <c r="A2739" s="7">
        <f>IMAGE("https://images.lululemon.com/is/image/lululemon/LW1FQSS_0001_1?wid=320&amp;op_usm=0.8",1)</f>
        <v/>
      </c>
      <c r="B2739" s="7" t="inlineStr">
        <is>
          <t>Satin Shine Tank Top Medium Support, B/C Cup *Wordmark</t>
        </is>
      </c>
      <c r="C2739" s="7" t="inlineStr">
        <is>
          <t>158023361</t>
        </is>
      </c>
      <c r="D2739" s="7" t="inlineStr">
        <is>
          <t>158023361-coal</t>
        </is>
      </c>
      <c r="E2739" s="7" t="inlineStr">
        <is>
          <t>Satin Shine Tank *Wordmark BLK 2</t>
        </is>
      </c>
      <c r="F2739" s="7" t="inlineStr">
        <is>
          <t>$78.00</t>
        </is>
      </c>
      <c r="G2739" s="7" t="inlineStr">
        <is>
          <t>$39.00</t>
        </is>
      </c>
      <c r="H2739" s="7" t="inlineStr">
        <is>
          <t>Coal</t>
        </is>
      </c>
      <c r="I2739" s="7">
        <f>IMAGE("https://images.lululemon.com/is/image/lululemon/3390",1)</f>
        <v/>
      </c>
      <c r="J2739" s="7" t="inlineStr">
        <is>
          <t>6</t>
        </is>
      </c>
      <c r="K2739" s="7" t="inlineStr">
        <is>
          <t>68/421</t>
        </is>
      </c>
      <c r="L2739" s="7" t="inlineStr">
        <is>
          <t>Yes</t>
        </is>
      </c>
      <c r="M2739" s="7" t="inlineStr">
        <is>
          <t>What fast looks like. Quick-drying, technical fabric gives this tank a satiny sheen while a shelf-bra and racerback streamline the look.</t>
        </is>
      </c>
      <c r="N2739" s="7" t="inlineStr">
        <is>
          <t>Satin-Shine-Tank-Top-Medium-Support-BC-Wordmark</t>
        </is>
      </c>
      <c r="O2739" s="7" t="inlineStr"/>
    </row>
    <row r="2740" ht="80" customHeight="1">
      <c r="A2740" s="4">
        <f>IMAGE("https://images.lululemon.com/is/image/lululemon/LW1FQSS_0001_1?wid=320&amp;op_usm=0.8",1)</f>
        <v/>
      </c>
      <c r="B2740" s="4" t="inlineStr">
        <is>
          <t>Satin Shine Tank Top Medium Support, B/C Cup *Wordmark</t>
        </is>
      </c>
      <c r="C2740" s="4" t="inlineStr">
        <is>
          <t>158023371</t>
        </is>
      </c>
      <c r="D2740" s="4" t="inlineStr">
        <is>
          <t>158023371-coal</t>
        </is>
      </c>
      <c r="E2740" s="4" t="inlineStr">
        <is>
          <t>Satin Shine Tank *Wordmark BLK 2</t>
        </is>
      </c>
      <c r="F2740" s="4" t="inlineStr">
        <is>
          <t>$78.00</t>
        </is>
      </c>
      <c r="G2740" s="4" t="inlineStr">
        <is>
          <t>$39.00</t>
        </is>
      </c>
      <c r="H2740" s="4" t="inlineStr">
        <is>
          <t>Coal</t>
        </is>
      </c>
      <c r="I2740" s="4">
        <f>IMAGE("https://images.lululemon.com/is/image/lululemon/3390",1)</f>
        <v/>
      </c>
      <c r="J2740" s="4" t="inlineStr">
        <is>
          <t>8</t>
        </is>
      </c>
      <c r="K2740" s="4" t="inlineStr">
        <is>
          <t>56/421</t>
        </is>
      </c>
      <c r="L2740" s="4" t="inlineStr">
        <is>
          <t>Yes</t>
        </is>
      </c>
      <c r="M2740" s="4" t="inlineStr">
        <is>
          <t>What fast looks like. Quick-drying, technical fabric gives this tank a satiny sheen while a shelf-bra and racerback streamline the look.</t>
        </is>
      </c>
      <c r="N2740" s="4" t="inlineStr">
        <is>
          <t>Satin-Shine-Tank-Top-Medium-Support-BC-Wordmark</t>
        </is>
      </c>
      <c r="O2740" s="4" t="inlineStr"/>
    </row>
    <row r="2741" ht="80" customHeight="1">
      <c r="A2741" s="7">
        <f>IMAGE("https://images.lululemon.com/is/image/lululemon/LW1FQSS_0001_1?wid=320&amp;op_usm=0.8",1)</f>
        <v/>
      </c>
      <c r="B2741" s="7" t="inlineStr">
        <is>
          <t>Satin Shine Tank Top Medium Support, B/C Cup *Wordmark</t>
        </is>
      </c>
      <c r="C2741" s="7" t="inlineStr">
        <is>
          <t>158023323</t>
        </is>
      </c>
      <c r="D2741" s="7" t="inlineStr">
        <is>
          <t>158023323-coal</t>
        </is>
      </c>
      <c r="E2741" s="7" t="inlineStr">
        <is>
          <t>Satin Shine Tank *Wordmark BLK 2</t>
        </is>
      </c>
      <c r="F2741" s="7" t="inlineStr">
        <is>
          <t>$78.00</t>
        </is>
      </c>
      <c r="G2741" s="7" t="inlineStr">
        <is>
          <t>$39.00</t>
        </is>
      </c>
      <c r="H2741" s="7" t="inlineStr">
        <is>
          <t>Coal</t>
        </is>
      </c>
      <c r="I2741" s="7">
        <f>IMAGE("https://images.lululemon.com/is/image/lululemon/3390",1)</f>
        <v/>
      </c>
      <c r="J2741" s="7" t="inlineStr">
        <is>
          <t>10</t>
        </is>
      </c>
      <c r="K2741" s="7" t="inlineStr">
        <is>
          <t>28/421</t>
        </is>
      </c>
      <c r="L2741" s="7" t="inlineStr">
        <is>
          <t>Yes</t>
        </is>
      </c>
      <c r="M2741" s="7" t="inlineStr">
        <is>
          <t>What fast looks like. Quick-drying, technical fabric gives this tank a satiny sheen while a shelf-bra and racerback streamline the look.</t>
        </is>
      </c>
      <c r="N2741" s="7" t="inlineStr">
        <is>
          <t>Satin-Shine-Tank-Top-Medium-Support-BC-Wordmark</t>
        </is>
      </c>
      <c r="O2741" s="7" t="inlineStr"/>
    </row>
    <row r="2742" ht="80" customHeight="1">
      <c r="A2742" s="6">
        <f>IMAGE("https://images.lululemon.com/is/image/lululemon/LW1FQSS_0001_1?wid=320&amp;op_usm=0.8",1)</f>
        <v/>
      </c>
      <c r="B2742" s="6" t="inlineStr">
        <is>
          <t>Satin Shine Tank Top Medium Support, B/C Cup *Wordmark</t>
        </is>
      </c>
      <c r="C2742" s="6" t="inlineStr">
        <is>
          <t>158023333</t>
        </is>
      </c>
      <c r="D2742" s="6" t="inlineStr">
        <is>
          <t>158023333-coal</t>
        </is>
      </c>
      <c r="E2742" s="6" t="inlineStr">
        <is>
          <t>Satin Shine Tank *Wordmark BLK 2</t>
        </is>
      </c>
      <c r="F2742" s="6" t="inlineStr">
        <is>
          <t>$78.00</t>
        </is>
      </c>
      <c r="G2742" s="6" t="inlineStr">
        <is>
          <t>$39.00</t>
        </is>
      </c>
      <c r="H2742" s="6" t="inlineStr">
        <is>
          <t>Coal</t>
        </is>
      </c>
      <c r="I2742" s="6">
        <f>IMAGE("https://images.lululemon.com/is/image/lululemon/3390",1)</f>
        <v/>
      </c>
      <c r="J2742" s="6" t="inlineStr">
        <is>
          <t>12</t>
        </is>
      </c>
      <c r="K2742" s="6" t="inlineStr">
        <is>
          <t>19/421</t>
        </is>
      </c>
      <c r="L2742" s="6" t="inlineStr">
        <is>
          <t>Yes</t>
        </is>
      </c>
      <c r="M2742" s="6" t="inlineStr">
        <is>
          <t>What fast looks like. Quick-drying, technical fabric gives this tank a satiny sheen while a shelf-bra and racerback streamline the look.</t>
        </is>
      </c>
      <c r="N2742" s="6" t="inlineStr">
        <is>
          <t>Satin-Shine-Tank-Top-Medium-Support-BC-Wordmark</t>
        </is>
      </c>
      <c r="O2742" s="6" t="inlineStr"/>
    </row>
    <row r="2743" ht="80" customHeight="1">
      <c r="A2743" s="7">
        <f>IMAGE("https://images.lululemon.com/is/image/lululemon/LW3HL7S_0002_1?wid=320&amp;op_usm=0.8",1)</f>
        <v/>
      </c>
      <c r="B2743" s="7" t="inlineStr">
        <is>
          <t>Quick-Dry Short-Sleeve Polo Shirt *Straight Hem</t>
        </is>
      </c>
      <c r="C2743" s="7" t="inlineStr">
        <is>
          <t>155827588</t>
        </is>
      </c>
      <c r="D2743" s="7" t="inlineStr">
        <is>
          <t>155827588-herbal</t>
        </is>
      </c>
      <c r="E2743" s="7" t="inlineStr">
        <is>
          <t>Quick-Dry Short Sleeve Polo*Straight Hem HRBA 2</t>
        </is>
      </c>
      <c r="F2743" s="7" t="inlineStr">
        <is>
          <t>$78.00</t>
        </is>
      </c>
      <c r="G2743" s="7" t="inlineStr">
        <is>
          <t>$39.00</t>
        </is>
      </c>
      <c r="H2743" s="7" t="inlineStr">
        <is>
          <t>Herbal</t>
        </is>
      </c>
      <c r="I2743" s="7">
        <f>IMAGE("https://images.lululemon.com/is/image/lululemon/62187",1)</f>
        <v/>
      </c>
      <c r="J2743" s="7" t="inlineStr">
        <is>
          <t>2</t>
        </is>
      </c>
      <c r="K2743" s="7" t="inlineStr">
        <is>
          <t>5/2926</t>
        </is>
      </c>
      <c r="L2743" s="7" t="inlineStr">
        <is>
          <t>Yes</t>
        </is>
      </c>
      <c r="M2743" s="7" t="inlineStr">
        <is>
          <t>Tennis serves or golf swings—whatever you're practicing, this lightweight polo shirt manages sweat so you can focus on your game.</t>
        </is>
      </c>
      <c r="N2743" s="7" t="inlineStr">
        <is>
          <t>Quick-Dry-Short-Sleeve-Polo-Shirt-Straight-Hem</t>
        </is>
      </c>
      <c r="O2743" s="7" t="inlineStr"/>
    </row>
    <row r="2744" ht="80" customHeight="1">
      <c r="A2744" s="4">
        <f>IMAGE("https://images.lululemon.com/is/image/lululemon/LW3HL7S_0002_1?wid=320&amp;op_usm=0.8",1)</f>
        <v/>
      </c>
      <c r="B2744" s="4" t="inlineStr">
        <is>
          <t>Quick-Dry Short-Sleeve Polo Shirt *Straight Hem</t>
        </is>
      </c>
      <c r="C2744" s="4" t="inlineStr">
        <is>
          <t>155827662</t>
        </is>
      </c>
      <c r="D2744" s="4" t="inlineStr">
        <is>
          <t>155827662-herbal</t>
        </is>
      </c>
      <c r="E2744" s="4" t="inlineStr">
        <is>
          <t>Quick-Dry Short Sleeve Polo*Straight Hem HRBA 2</t>
        </is>
      </c>
      <c r="F2744" s="4" t="inlineStr">
        <is>
          <t>$78.00</t>
        </is>
      </c>
      <c r="G2744" s="4" t="inlineStr">
        <is>
          <t>$39.00</t>
        </is>
      </c>
      <c r="H2744" s="4" t="inlineStr">
        <is>
          <t>Herbal</t>
        </is>
      </c>
      <c r="I2744" s="4">
        <f>IMAGE("https://images.lululemon.com/is/image/lululemon/62187",1)</f>
        <v/>
      </c>
      <c r="J2744" s="4" t="inlineStr">
        <is>
          <t>4</t>
        </is>
      </c>
      <c r="K2744" s="4" t="inlineStr">
        <is>
          <t>36/2926</t>
        </is>
      </c>
      <c r="L2744" s="4" t="inlineStr">
        <is>
          <t>Yes</t>
        </is>
      </c>
      <c r="M2744" s="4" t="inlineStr">
        <is>
          <t>Tennis serves or golf swings—whatever you're practicing, this lightweight polo shirt manages sweat so you can focus on your game.</t>
        </is>
      </c>
      <c r="N2744" s="4" t="inlineStr">
        <is>
          <t>Quick-Dry-Short-Sleeve-Polo-Shirt-Straight-Hem</t>
        </is>
      </c>
      <c r="O2744" s="4" t="inlineStr"/>
    </row>
    <row r="2745" ht="80" customHeight="1">
      <c r="A2745" s="7">
        <f>IMAGE("https://images.lululemon.com/is/image/lululemon/LW3HL7S_0002_1?wid=320&amp;op_usm=0.8",1)</f>
        <v/>
      </c>
      <c r="B2745" s="7" t="inlineStr">
        <is>
          <t>Quick-Dry Short-Sleeve Polo Shirt *Straight Hem</t>
        </is>
      </c>
      <c r="C2745" s="7" t="inlineStr">
        <is>
          <t>155827677</t>
        </is>
      </c>
      <c r="D2745" s="7" t="inlineStr">
        <is>
          <t>155827677-herbal</t>
        </is>
      </c>
      <c r="E2745" s="7" t="inlineStr">
        <is>
          <t>Quick-Dry Short Sleeve Polo*Straight Hem HRBA 2</t>
        </is>
      </c>
      <c r="F2745" s="7" t="inlineStr">
        <is>
          <t>$78.00</t>
        </is>
      </c>
      <c r="G2745" s="7" t="inlineStr">
        <is>
          <t>$39.00</t>
        </is>
      </c>
      <c r="H2745" s="7" t="inlineStr">
        <is>
          <t>Herbal</t>
        </is>
      </c>
      <c r="I2745" s="7">
        <f>IMAGE("https://images.lululemon.com/is/image/lululemon/62187",1)</f>
        <v/>
      </c>
      <c r="J2745" s="7" t="inlineStr">
        <is>
          <t>6</t>
        </is>
      </c>
      <c r="K2745" s="7" t="inlineStr">
        <is>
          <t>25/2926</t>
        </is>
      </c>
      <c r="L2745" s="7" t="inlineStr">
        <is>
          <t>Yes</t>
        </is>
      </c>
      <c r="M2745" s="7" t="inlineStr">
        <is>
          <t>Tennis serves or golf swings—whatever you're practicing, this lightweight polo shirt manages sweat so you can focus on your game.</t>
        </is>
      </c>
      <c r="N2745" s="7" t="inlineStr">
        <is>
          <t>Quick-Dry-Short-Sleeve-Polo-Shirt-Straight-Hem</t>
        </is>
      </c>
      <c r="O2745" s="7" t="inlineStr"/>
    </row>
    <row r="2746" ht="80" customHeight="1">
      <c r="A2746" s="4">
        <f>IMAGE("https://images.lululemon.com/is/image/lululemon/LW3HL7S_0002_1?wid=320&amp;op_usm=0.8",1)</f>
        <v/>
      </c>
      <c r="B2746" s="4" t="inlineStr">
        <is>
          <t>Quick-Dry Short-Sleeve Polo Shirt *Straight Hem</t>
        </is>
      </c>
      <c r="C2746" s="4" t="inlineStr">
        <is>
          <t>155827693</t>
        </is>
      </c>
      <c r="D2746" s="4" t="inlineStr">
        <is>
          <t>155827693-herbal</t>
        </is>
      </c>
      <c r="E2746" s="4" t="inlineStr">
        <is>
          <t>Quick-Dry Short Sleeve Polo*Straight Hem HRBA 2</t>
        </is>
      </c>
      <c r="F2746" s="4" t="inlineStr">
        <is>
          <t>$78.00</t>
        </is>
      </c>
      <c r="G2746" s="4" t="inlineStr">
        <is>
          <t>$39.00</t>
        </is>
      </c>
      <c r="H2746" s="4" t="inlineStr">
        <is>
          <t>Herbal</t>
        </is>
      </c>
      <c r="I2746" s="4">
        <f>IMAGE("https://images.lululemon.com/is/image/lululemon/62187",1)</f>
        <v/>
      </c>
      <c r="J2746" s="4" t="inlineStr">
        <is>
          <t>8</t>
        </is>
      </c>
      <c r="K2746" s="4" t="inlineStr">
        <is>
          <t>28/2926</t>
        </is>
      </c>
      <c r="L2746" s="4" t="inlineStr">
        <is>
          <t>Yes</t>
        </is>
      </c>
      <c r="M2746" s="4" t="inlineStr">
        <is>
          <t>Tennis serves or golf swings—whatever you're practicing, this lightweight polo shirt manages sweat so you can focus on your game.</t>
        </is>
      </c>
      <c r="N2746" s="4" t="inlineStr">
        <is>
          <t>Quick-Dry-Short-Sleeve-Polo-Shirt-Straight-Hem</t>
        </is>
      </c>
      <c r="O2746" s="4" t="inlineStr"/>
    </row>
    <row r="2747" ht="80" customHeight="1">
      <c r="A2747" s="7">
        <f>IMAGE("https://images.lululemon.com/is/image/lululemon/LW3HL7S_0002_1?wid=320&amp;op_usm=0.8",1)</f>
        <v/>
      </c>
      <c r="B2747" s="7" t="inlineStr">
        <is>
          <t>Quick-Dry Short-Sleeve Polo Shirt *Straight Hem</t>
        </is>
      </c>
      <c r="C2747" s="7" t="inlineStr">
        <is>
          <t>155827492</t>
        </is>
      </c>
      <c r="D2747" s="7" t="inlineStr">
        <is>
          <t>155827492-herbal</t>
        </is>
      </c>
      <c r="E2747" s="7" t="inlineStr">
        <is>
          <t>Quick-Dry Short Sleeve Polo*Straight Hem HRBA 2</t>
        </is>
      </c>
      <c r="F2747" s="7" t="inlineStr">
        <is>
          <t>$78.00</t>
        </is>
      </c>
      <c r="G2747" s="7" t="inlineStr">
        <is>
          <t>$39.00</t>
        </is>
      </c>
      <c r="H2747" s="7" t="inlineStr">
        <is>
          <t>Herbal</t>
        </is>
      </c>
      <c r="I2747" s="7">
        <f>IMAGE("https://images.lululemon.com/is/image/lululemon/62187",1)</f>
        <v/>
      </c>
      <c r="J2747" s="7" t="inlineStr">
        <is>
          <t>10</t>
        </is>
      </c>
      <c r="K2747" s="7" t="inlineStr">
        <is>
          <t>19/2926</t>
        </is>
      </c>
      <c r="L2747" s="7" t="inlineStr">
        <is>
          <t>Yes</t>
        </is>
      </c>
      <c r="M2747" s="7" t="inlineStr">
        <is>
          <t>Tennis serves or golf swings—whatever you're practicing, this lightweight polo shirt manages sweat so you can focus on your game.</t>
        </is>
      </c>
      <c r="N2747" s="7" t="inlineStr">
        <is>
          <t>Quick-Dry-Short-Sleeve-Polo-Shirt-Straight-Hem</t>
        </is>
      </c>
      <c r="O2747" s="7" t="inlineStr"/>
    </row>
    <row r="2748" ht="80" customHeight="1">
      <c r="A2748" s="4">
        <f>IMAGE("https://images.lululemon.com/is/image/lululemon/LW3HL7S_0002_1?wid=320&amp;op_usm=0.8",1)</f>
        <v/>
      </c>
      <c r="B2748" s="4" t="inlineStr">
        <is>
          <t>Quick-Dry Short-Sleeve Polo Shirt *Straight Hem</t>
        </is>
      </c>
      <c r="C2748" s="4" t="inlineStr">
        <is>
          <t>155827514</t>
        </is>
      </c>
      <c r="D2748" s="4" t="inlineStr">
        <is>
          <t>155827514-herbal</t>
        </is>
      </c>
      <c r="E2748" s="4" t="inlineStr">
        <is>
          <t>Quick-Dry Short Sleeve Polo*Straight Hem HRBA 2</t>
        </is>
      </c>
      <c r="F2748" s="4" t="inlineStr">
        <is>
          <t>$78.00</t>
        </is>
      </c>
      <c r="G2748" s="4" t="inlineStr">
        <is>
          <t>$39.00</t>
        </is>
      </c>
      <c r="H2748" s="4" t="inlineStr">
        <is>
          <t>Herbal</t>
        </is>
      </c>
      <c r="I2748" s="4">
        <f>IMAGE("https://images.lululemon.com/is/image/lululemon/62187",1)</f>
        <v/>
      </c>
      <c r="J2748" s="4" t="inlineStr">
        <is>
          <t>12</t>
        </is>
      </c>
      <c r="K2748" s="4" t="inlineStr">
        <is>
          <t>7/2926</t>
        </is>
      </c>
      <c r="L2748" s="4" t="inlineStr">
        <is>
          <t>Yes</t>
        </is>
      </c>
      <c r="M2748" s="4" t="inlineStr">
        <is>
          <t>Tennis serves or golf swings—whatever you're practicing, this lightweight polo shirt manages sweat so you can focus on your game.</t>
        </is>
      </c>
      <c r="N2748" s="4" t="inlineStr">
        <is>
          <t>Quick-Dry-Short-Sleeve-Polo-Shirt-Straight-Hem</t>
        </is>
      </c>
      <c r="O2748" s="4" t="inlineStr"/>
    </row>
    <row r="2749" ht="80" customHeight="1">
      <c r="A2749" s="7">
        <f>IMAGE("https://images.lululemon.com/is/image/lululemon/LW3HL7S_0002_1?wid=320&amp;op_usm=0.8",1)</f>
        <v/>
      </c>
      <c r="B2749" s="7" t="inlineStr">
        <is>
          <t>Quick-Dry Short-Sleeve Polo Shirt *Straight Hem</t>
        </is>
      </c>
      <c r="C2749" s="7" t="inlineStr">
        <is>
          <t>151655653</t>
        </is>
      </c>
      <c r="D2749" s="7" t="inlineStr">
        <is>
          <t>151655653-black</t>
        </is>
      </c>
      <c r="E2749" s="7" t="inlineStr">
        <is>
          <t>Quick-Dry Short Sleeve Polo*Straight Hem HRBA 2</t>
        </is>
      </c>
      <c r="F2749" s="7" t="inlineStr">
        <is>
          <t>$78.00</t>
        </is>
      </c>
      <c r="G2749" s="7" t="inlineStr">
        <is>
          <t>$39.00</t>
        </is>
      </c>
      <c r="H2749" s="7" t="inlineStr">
        <is>
          <t>Black</t>
        </is>
      </c>
      <c r="I2749" s="7">
        <f>IMAGE("https://images.lululemon.com/is/image/lululemon/0001",1)</f>
        <v/>
      </c>
      <c r="J2749" s="7" t="inlineStr">
        <is>
          <t>2</t>
        </is>
      </c>
      <c r="K2749" s="7" t="inlineStr">
        <is>
          <t>112/2926</t>
        </is>
      </c>
      <c r="L2749" s="7" t="inlineStr">
        <is>
          <t>Yes</t>
        </is>
      </c>
      <c r="M2749" s="7" t="inlineStr">
        <is>
          <t>Tennis serves or golf swings—whatever you're practicing, this lightweight polo shirt manages sweat so you can focus on your game.</t>
        </is>
      </c>
      <c r="N2749" s="7" t="inlineStr">
        <is>
          <t>Quick-Dry-Short-Sleeve-Polo-Shirt-Straight-Hem</t>
        </is>
      </c>
      <c r="O2749" s="7" t="inlineStr"/>
    </row>
    <row r="2750" ht="80" customHeight="1">
      <c r="A2750" s="4">
        <f>IMAGE("https://images.lululemon.com/is/image/lululemon/LW3HL7S_0002_1?wid=320&amp;op_usm=0.8",1)</f>
        <v/>
      </c>
      <c r="B2750" s="4" t="inlineStr">
        <is>
          <t>Quick-Dry Short-Sleeve Polo Shirt *Straight Hem</t>
        </is>
      </c>
      <c r="C2750" s="4" t="inlineStr">
        <is>
          <t>151655670</t>
        </is>
      </c>
      <c r="D2750" s="4" t="inlineStr">
        <is>
          <t>151655670-black</t>
        </is>
      </c>
      <c r="E2750" s="4" t="inlineStr">
        <is>
          <t>Quick-Dry Short Sleeve Polo*Straight Hem HRBA 2</t>
        </is>
      </c>
      <c r="F2750" s="4" t="inlineStr">
        <is>
          <t>$78.00</t>
        </is>
      </c>
      <c r="G2750" s="4" t="inlineStr">
        <is>
          <t>$39.00</t>
        </is>
      </c>
      <c r="H2750" s="4" t="inlineStr">
        <is>
          <t>Black</t>
        </is>
      </c>
      <c r="I2750" s="4">
        <f>IMAGE("https://images.lululemon.com/is/image/lululemon/0001",1)</f>
        <v/>
      </c>
      <c r="J2750" s="4" t="inlineStr">
        <is>
          <t>4</t>
        </is>
      </c>
      <c r="K2750" s="4" t="inlineStr">
        <is>
          <t>240/2926</t>
        </is>
      </c>
      <c r="L2750" s="4" t="inlineStr">
        <is>
          <t>Yes</t>
        </is>
      </c>
      <c r="M2750" s="4" t="inlineStr">
        <is>
          <t>Tennis serves or golf swings—whatever you're practicing, this lightweight polo shirt manages sweat so you can focus on your game.</t>
        </is>
      </c>
      <c r="N2750" s="4" t="inlineStr">
        <is>
          <t>Quick-Dry-Short-Sleeve-Polo-Shirt-Straight-Hem</t>
        </is>
      </c>
      <c r="O2750" s="4" t="inlineStr"/>
    </row>
    <row r="2751" ht="80" customHeight="1">
      <c r="A2751" s="7">
        <f>IMAGE("https://images.lululemon.com/is/image/lululemon/LW3HL7S_0002_1?wid=320&amp;op_usm=0.8",1)</f>
        <v/>
      </c>
      <c r="B2751" s="7" t="inlineStr">
        <is>
          <t>Quick-Dry Short-Sleeve Polo Shirt *Straight Hem</t>
        </is>
      </c>
      <c r="C2751" s="7" t="inlineStr">
        <is>
          <t>151655673</t>
        </is>
      </c>
      <c r="D2751" s="7" t="inlineStr">
        <is>
          <t>151655673-black</t>
        </is>
      </c>
      <c r="E2751" s="7" t="inlineStr">
        <is>
          <t>Quick-Dry Short Sleeve Polo*Straight Hem HRBA 2</t>
        </is>
      </c>
      <c r="F2751" s="7" t="inlineStr">
        <is>
          <t>$78.00</t>
        </is>
      </c>
      <c r="G2751" s="7" t="inlineStr">
        <is>
          <t>$39.00</t>
        </is>
      </c>
      <c r="H2751" s="7" t="inlineStr">
        <is>
          <t>Black</t>
        </is>
      </c>
      <c r="I2751" s="7">
        <f>IMAGE("https://images.lululemon.com/is/image/lululemon/0001",1)</f>
        <v/>
      </c>
      <c r="J2751" s="7" t="inlineStr">
        <is>
          <t>6</t>
        </is>
      </c>
      <c r="K2751" s="7" t="inlineStr">
        <is>
          <t>277/2926</t>
        </is>
      </c>
      <c r="L2751" s="7" t="inlineStr">
        <is>
          <t>Yes</t>
        </is>
      </c>
      <c r="M2751" s="7" t="inlineStr">
        <is>
          <t>Tennis serves or golf swings—whatever you're practicing, this lightweight polo shirt manages sweat so you can focus on your game.</t>
        </is>
      </c>
      <c r="N2751" s="7" t="inlineStr">
        <is>
          <t>Quick-Dry-Short-Sleeve-Polo-Shirt-Straight-Hem</t>
        </is>
      </c>
      <c r="O2751" s="7" t="inlineStr"/>
    </row>
    <row r="2752" ht="80" customHeight="1">
      <c r="A2752" s="4">
        <f>IMAGE("https://images.lululemon.com/is/image/lululemon/LW3HL7S_0002_1?wid=320&amp;op_usm=0.8",1)</f>
        <v/>
      </c>
      <c r="B2752" s="4" t="inlineStr">
        <is>
          <t>Quick-Dry Short-Sleeve Polo Shirt *Straight Hem</t>
        </is>
      </c>
      <c r="C2752" s="4" t="inlineStr">
        <is>
          <t>157687218</t>
        </is>
      </c>
      <c r="D2752" s="4" t="inlineStr">
        <is>
          <t>157687218-black</t>
        </is>
      </c>
      <c r="E2752" s="4" t="inlineStr">
        <is>
          <t>Quick-Dry Short Sleeve Polo*Straight Hem HRBA 2</t>
        </is>
      </c>
      <c r="F2752" s="4" t="inlineStr">
        <is>
          <t>$78.00</t>
        </is>
      </c>
      <c r="G2752" s="4" t="inlineStr">
        <is>
          <t>$39.00</t>
        </is>
      </c>
      <c r="H2752" s="4" t="inlineStr">
        <is>
          <t>Black</t>
        </is>
      </c>
      <c r="I2752" s="4">
        <f>IMAGE("https://images.lululemon.com/is/image/lululemon/0001",1)</f>
        <v/>
      </c>
      <c r="J2752" s="4" t="inlineStr">
        <is>
          <t>8</t>
        </is>
      </c>
      <c r="K2752" s="4" t="inlineStr">
        <is>
          <t>77/2926</t>
        </is>
      </c>
      <c r="L2752" s="4" t="inlineStr">
        <is>
          <t>Yes</t>
        </is>
      </c>
      <c r="M2752" s="4" t="inlineStr">
        <is>
          <t>Tennis serves or golf swings—whatever you're practicing, this lightweight polo shirt manages sweat so you can focus on your game.</t>
        </is>
      </c>
      <c r="N2752" s="4" t="inlineStr">
        <is>
          <t>Quick-Dry-Short-Sleeve-Polo-Shirt-Straight-Hem</t>
        </is>
      </c>
      <c r="O2752" s="4" t="inlineStr"/>
    </row>
    <row r="2753" ht="80" customHeight="1">
      <c r="A2753" s="7">
        <f>IMAGE("https://images.lululemon.com/is/image/lululemon/LW3HL7S_0002_1?wid=320&amp;op_usm=0.8",1)</f>
        <v/>
      </c>
      <c r="B2753" s="7" t="inlineStr">
        <is>
          <t>Quick-Dry Short-Sleeve Polo Shirt *Straight Hem</t>
        </is>
      </c>
      <c r="C2753" s="7" t="inlineStr">
        <is>
          <t>157687182</t>
        </is>
      </c>
      <c r="D2753" s="7" t="inlineStr">
        <is>
          <t>157687182-black</t>
        </is>
      </c>
      <c r="E2753" s="7" t="inlineStr">
        <is>
          <t>Quick-Dry Short Sleeve Polo*Straight Hem HRBA 2</t>
        </is>
      </c>
      <c r="F2753" s="7" t="inlineStr">
        <is>
          <t>$78.00</t>
        </is>
      </c>
      <c r="G2753" s="7" t="inlineStr">
        <is>
          <t>$39.00</t>
        </is>
      </c>
      <c r="H2753" s="7" t="inlineStr">
        <is>
          <t>Black</t>
        </is>
      </c>
      <c r="I2753" s="7">
        <f>IMAGE("https://images.lululemon.com/is/image/lululemon/0001",1)</f>
        <v/>
      </c>
      <c r="J2753" s="7" t="inlineStr">
        <is>
          <t>10</t>
        </is>
      </c>
      <c r="K2753" s="7" t="inlineStr">
        <is>
          <t>48/2926</t>
        </is>
      </c>
      <c r="L2753" s="7" t="inlineStr">
        <is>
          <t>Yes</t>
        </is>
      </c>
      <c r="M2753" s="7" t="inlineStr">
        <is>
          <t>Tennis serves or golf swings—whatever you're practicing, this lightweight polo shirt manages sweat so you can focus on your game.</t>
        </is>
      </c>
      <c r="N2753" s="7" t="inlineStr">
        <is>
          <t>Quick-Dry-Short-Sleeve-Polo-Shirt-Straight-Hem</t>
        </is>
      </c>
      <c r="O2753" s="7" t="inlineStr"/>
    </row>
    <row r="2754" ht="80" customHeight="1">
      <c r="A2754" s="4">
        <f>IMAGE("https://images.lululemon.com/is/image/lululemon/LW3HL7S_0002_1?wid=320&amp;op_usm=0.8",1)</f>
        <v/>
      </c>
      <c r="B2754" s="4" t="inlineStr">
        <is>
          <t>Quick-Dry Short-Sleeve Polo Shirt *Straight Hem</t>
        </is>
      </c>
      <c r="C2754" s="4" t="inlineStr">
        <is>
          <t>157687190</t>
        </is>
      </c>
      <c r="D2754" s="4" t="inlineStr">
        <is>
          <t>157687190-black</t>
        </is>
      </c>
      <c r="E2754" s="4" t="inlineStr">
        <is>
          <t>Quick-Dry Short Sleeve Polo*Straight Hem HRBA 2</t>
        </is>
      </c>
      <c r="F2754" s="4" t="inlineStr">
        <is>
          <t>$78.00</t>
        </is>
      </c>
      <c r="G2754" s="4" t="inlineStr">
        <is>
          <t>$39.00</t>
        </is>
      </c>
      <c r="H2754" s="4" t="inlineStr">
        <is>
          <t>Black</t>
        </is>
      </c>
      <c r="I2754" s="4">
        <f>IMAGE("https://images.lululemon.com/is/image/lululemon/0001",1)</f>
        <v/>
      </c>
      <c r="J2754" s="4" t="inlineStr">
        <is>
          <t>12</t>
        </is>
      </c>
      <c r="K2754" s="4" t="inlineStr">
        <is>
          <t>26/2926</t>
        </is>
      </c>
      <c r="L2754" s="4" t="inlineStr">
        <is>
          <t>Yes</t>
        </is>
      </c>
      <c r="M2754" s="4" t="inlineStr">
        <is>
          <t>Tennis serves or golf swings—whatever you're practicing, this lightweight polo shirt manages sweat so you can focus on your game.</t>
        </is>
      </c>
      <c r="N2754" s="4" t="inlineStr">
        <is>
          <t>Quick-Dry-Short-Sleeve-Polo-Shirt-Straight-Hem</t>
        </is>
      </c>
      <c r="O2754" s="4" t="inlineStr"/>
    </row>
    <row r="2755" ht="80" customHeight="1">
      <c r="A2755" s="7">
        <f>IMAGE("https://images.lululemon.com/is/image/lululemon/LW3HL7S_0002_1?wid=320&amp;op_usm=0.8",1)</f>
        <v/>
      </c>
      <c r="B2755" s="7" t="inlineStr">
        <is>
          <t>Quick-Dry Short-Sleeve Polo Shirt *Straight Hem</t>
        </is>
      </c>
      <c r="C2755" s="7" t="inlineStr">
        <is>
          <t>157687195</t>
        </is>
      </c>
      <c r="D2755" s="7" t="inlineStr">
        <is>
          <t>157687195-black</t>
        </is>
      </c>
      <c r="E2755" s="7" t="inlineStr">
        <is>
          <t>Quick-Dry Short Sleeve Polo*Straight Hem HRBA 2</t>
        </is>
      </c>
      <c r="F2755" s="7" t="inlineStr">
        <is>
          <t>$78.00</t>
        </is>
      </c>
      <c r="G2755" s="7" t="inlineStr">
        <is>
          <t>$39.00</t>
        </is>
      </c>
      <c r="H2755" s="7" t="inlineStr">
        <is>
          <t>Black</t>
        </is>
      </c>
      <c r="I2755" s="7">
        <f>IMAGE("https://images.lululemon.com/is/image/lululemon/0001",1)</f>
        <v/>
      </c>
      <c r="J2755" s="7" t="inlineStr">
        <is>
          <t>14</t>
        </is>
      </c>
      <c r="K2755" s="7" t="inlineStr">
        <is>
          <t>4/2926</t>
        </is>
      </c>
      <c r="L2755" s="7" t="inlineStr">
        <is>
          <t>Yes</t>
        </is>
      </c>
      <c r="M2755" s="7" t="inlineStr">
        <is>
          <t>Tennis serves or golf swings—whatever you're practicing, this lightweight polo shirt manages sweat so you can focus on your game.</t>
        </is>
      </c>
      <c r="N2755" s="7" t="inlineStr">
        <is>
          <t>Quick-Dry-Short-Sleeve-Polo-Shirt-Straight-Hem</t>
        </is>
      </c>
      <c r="O2755" s="7" t="inlineStr"/>
    </row>
    <row r="2756" ht="80" customHeight="1">
      <c r="A2756" s="4">
        <f>IMAGE("https://images.lululemon.com/is/image/lululemon/LW3HL7S_0002_1?wid=320&amp;op_usm=0.8",1)</f>
        <v/>
      </c>
      <c r="B2756" s="4" t="inlineStr">
        <is>
          <t>Quick-Dry Short-Sleeve Polo Shirt *Straight Hem</t>
        </is>
      </c>
      <c r="C2756" s="4" t="inlineStr">
        <is>
          <t>157687245</t>
        </is>
      </c>
      <c r="D2756" s="4" t="inlineStr">
        <is>
          <t>157687245-white</t>
        </is>
      </c>
      <c r="E2756" s="4" t="inlineStr">
        <is>
          <t>Quick-Dry Short Sleeve Polo*Straight Hem HRBA 2</t>
        </is>
      </c>
      <c r="F2756" s="4" t="inlineStr">
        <is>
          <t>$78.00</t>
        </is>
      </c>
      <c r="G2756" s="4" t="inlineStr">
        <is>
          <t>$39.00</t>
        </is>
      </c>
      <c r="H2756" s="4" t="inlineStr">
        <is>
          <t>White</t>
        </is>
      </c>
      <c r="I2756" s="4">
        <f>IMAGE("https://images.lululemon.com/is/image/lululemon/0002",1)</f>
        <v/>
      </c>
      <c r="J2756" s="4" t="inlineStr">
        <is>
          <t>2</t>
        </is>
      </c>
      <c r="K2756" s="4" t="inlineStr">
        <is>
          <t>150/2926</t>
        </is>
      </c>
      <c r="L2756" s="4" t="inlineStr">
        <is>
          <t>Yes</t>
        </is>
      </c>
      <c r="M2756" s="4" t="inlineStr">
        <is>
          <t>Tennis serves or golf swings—whatever you're practicing, this lightweight polo shirt manages sweat so you can focus on your game.</t>
        </is>
      </c>
      <c r="N2756" s="4" t="inlineStr">
        <is>
          <t>Quick-Dry-Short-Sleeve-Polo-Shirt-Straight-Hem</t>
        </is>
      </c>
      <c r="O2756" s="4" t="inlineStr"/>
    </row>
    <row r="2757" ht="80" customHeight="1">
      <c r="A2757" s="7">
        <f>IMAGE("https://images.lululemon.com/is/image/lululemon/LW3HL7S_0002_1?wid=320&amp;op_usm=0.8",1)</f>
        <v/>
      </c>
      <c r="B2757" s="7" t="inlineStr">
        <is>
          <t>Quick-Dry Short-Sleeve Polo Shirt *Straight Hem</t>
        </is>
      </c>
      <c r="C2757" s="7" t="inlineStr">
        <is>
          <t>157687249</t>
        </is>
      </c>
      <c r="D2757" s="7" t="inlineStr">
        <is>
          <t>157687249-white</t>
        </is>
      </c>
      <c r="E2757" s="7" t="inlineStr">
        <is>
          <t>Quick-Dry Short Sleeve Polo*Straight Hem HRBA 2</t>
        </is>
      </c>
      <c r="F2757" s="7" t="inlineStr">
        <is>
          <t>$78.00</t>
        </is>
      </c>
      <c r="G2757" s="7" t="inlineStr">
        <is>
          <t>$39.00</t>
        </is>
      </c>
      <c r="H2757" s="7" t="inlineStr">
        <is>
          <t>White</t>
        </is>
      </c>
      <c r="I2757" s="7">
        <f>IMAGE("https://images.lululemon.com/is/image/lululemon/0002",1)</f>
        <v/>
      </c>
      <c r="J2757" s="7" t="inlineStr">
        <is>
          <t>4</t>
        </is>
      </c>
      <c r="K2757" s="7" t="inlineStr">
        <is>
          <t>389/2926</t>
        </is>
      </c>
      <c r="L2757" s="7" t="inlineStr">
        <is>
          <t>Yes</t>
        </is>
      </c>
      <c r="M2757" s="7" t="inlineStr">
        <is>
          <t>Tennis serves or golf swings—whatever you're practicing, this lightweight polo shirt manages sweat so you can focus on your game.</t>
        </is>
      </c>
      <c r="N2757" s="7" t="inlineStr">
        <is>
          <t>Quick-Dry-Short-Sleeve-Polo-Shirt-Straight-Hem</t>
        </is>
      </c>
      <c r="O2757" s="7" t="inlineStr"/>
    </row>
    <row r="2758" ht="80" customHeight="1">
      <c r="A2758" s="4">
        <f>IMAGE("https://images.lululemon.com/is/image/lululemon/LW3HL7S_0002_1?wid=320&amp;op_usm=0.8",1)</f>
        <v/>
      </c>
      <c r="B2758" s="4" t="inlineStr">
        <is>
          <t>Quick-Dry Short-Sleeve Polo Shirt *Straight Hem</t>
        </is>
      </c>
      <c r="C2758" s="4" t="inlineStr">
        <is>
          <t>157687254</t>
        </is>
      </c>
      <c r="D2758" s="4" t="inlineStr">
        <is>
          <t>157687254-white</t>
        </is>
      </c>
      <c r="E2758" s="4" t="inlineStr">
        <is>
          <t>Quick-Dry Short Sleeve Polo*Straight Hem HRBA 2</t>
        </is>
      </c>
      <c r="F2758" s="4" t="inlineStr">
        <is>
          <t>$78.00</t>
        </is>
      </c>
      <c r="G2758" s="4" t="inlineStr">
        <is>
          <t>$39.00</t>
        </is>
      </c>
      <c r="H2758" s="4" t="inlineStr">
        <is>
          <t>White</t>
        </is>
      </c>
      <c r="I2758" s="4">
        <f>IMAGE("https://images.lululemon.com/is/image/lululemon/0002",1)</f>
        <v/>
      </c>
      <c r="J2758" s="4" t="inlineStr">
        <is>
          <t>6</t>
        </is>
      </c>
      <c r="K2758" s="4" t="inlineStr">
        <is>
          <t>381/2926</t>
        </is>
      </c>
      <c r="L2758" s="4" t="inlineStr">
        <is>
          <t>Yes</t>
        </is>
      </c>
      <c r="M2758" s="4" t="inlineStr">
        <is>
          <t>Tennis serves or golf swings—whatever you're practicing, this lightweight polo shirt manages sweat so you can focus on your game.</t>
        </is>
      </c>
      <c r="N2758" s="4" t="inlineStr">
        <is>
          <t>Quick-Dry-Short-Sleeve-Polo-Shirt-Straight-Hem</t>
        </is>
      </c>
      <c r="O2758" s="4" t="inlineStr"/>
    </row>
    <row r="2759" ht="80" customHeight="1">
      <c r="A2759" s="7">
        <f>IMAGE("https://images.lululemon.com/is/image/lululemon/LW3HL7S_0002_1?wid=320&amp;op_usm=0.8",1)</f>
        <v/>
      </c>
      <c r="B2759" s="7" t="inlineStr">
        <is>
          <t>Quick-Dry Short-Sleeve Polo Shirt *Straight Hem</t>
        </is>
      </c>
      <c r="C2759" s="7" t="inlineStr">
        <is>
          <t>157687260</t>
        </is>
      </c>
      <c r="D2759" s="7" t="inlineStr">
        <is>
          <t>157687260-white</t>
        </is>
      </c>
      <c r="E2759" s="7" t="inlineStr">
        <is>
          <t>Quick-Dry Short Sleeve Polo*Straight Hem HRBA 2</t>
        </is>
      </c>
      <c r="F2759" s="7" t="inlineStr">
        <is>
          <t>$78.00</t>
        </is>
      </c>
      <c r="G2759" s="7" t="inlineStr">
        <is>
          <t>$39.00</t>
        </is>
      </c>
      <c r="H2759" s="7" t="inlineStr">
        <is>
          <t>White</t>
        </is>
      </c>
      <c r="I2759" s="7">
        <f>IMAGE("https://images.lululemon.com/is/image/lululemon/0002",1)</f>
        <v/>
      </c>
      <c r="J2759" s="7" t="inlineStr">
        <is>
          <t>8</t>
        </is>
      </c>
      <c r="K2759" s="7" t="inlineStr">
        <is>
          <t>319/2926</t>
        </is>
      </c>
      <c r="L2759" s="7" t="inlineStr">
        <is>
          <t>Yes</t>
        </is>
      </c>
      <c r="M2759" s="7" t="inlineStr">
        <is>
          <t>Tennis serves or golf swings—whatever you're practicing, this lightweight polo shirt manages sweat so you can focus on your game.</t>
        </is>
      </c>
      <c r="N2759" s="7" t="inlineStr">
        <is>
          <t>Quick-Dry-Short-Sleeve-Polo-Shirt-Straight-Hem</t>
        </is>
      </c>
      <c r="O2759" s="7" t="inlineStr"/>
    </row>
    <row r="2760" ht="80" customHeight="1">
      <c r="A2760" s="4">
        <f>IMAGE("https://images.lululemon.com/is/image/lululemon/LW3HL7S_0002_1?wid=320&amp;op_usm=0.8",1)</f>
        <v/>
      </c>
      <c r="B2760" s="4" t="inlineStr">
        <is>
          <t>Quick-Dry Short-Sleeve Polo Shirt *Straight Hem</t>
        </is>
      </c>
      <c r="C2760" s="4" t="inlineStr">
        <is>
          <t>157687226</t>
        </is>
      </c>
      <c r="D2760" s="4" t="inlineStr">
        <is>
          <t>157687226-white</t>
        </is>
      </c>
      <c r="E2760" s="4" t="inlineStr">
        <is>
          <t>Quick-Dry Short Sleeve Polo*Straight Hem HRBA 2</t>
        </is>
      </c>
      <c r="F2760" s="4" t="inlineStr">
        <is>
          <t>$78.00</t>
        </is>
      </c>
      <c r="G2760" s="4" t="inlineStr">
        <is>
          <t>$39.00</t>
        </is>
      </c>
      <c r="H2760" s="4" t="inlineStr">
        <is>
          <t>White</t>
        </is>
      </c>
      <c r="I2760" s="4">
        <f>IMAGE("https://images.lululemon.com/is/image/lululemon/0002",1)</f>
        <v/>
      </c>
      <c r="J2760" s="4" t="inlineStr">
        <is>
          <t>10</t>
        </is>
      </c>
      <c r="K2760" s="4" t="inlineStr">
        <is>
          <t>219/2926</t>
        </is>
      </c>
      <c r="L2760" s="4" t="inlineStr">
        <is>
          <t>Yes</t>
        </is>
      </c>
      <c r="M2760" s="4" t="inlineStr">
        <is>
          <t>Tennis serves or golf swings—whatever you're practicing, this lightweight polo shirt manages sweat so you can focus on your game.</t>
        </is>
      </c>
      <c r="N2760" s="4" t="inlineStr">
        <is>
          <t>Quick-Dry-Short-Sleeve-Polo-Shirt-Straight-Hem</t>
        </is>
      </c>
      <c r="O2760" s="4" t="inlineStr"/>
    </row>
    <row r="2761" ht="80" customHeight="1">
      <c r="A2761" s="7">
        <f>IMAGE("https://images.lululemon.com/is/image/lululemon/LW3HL7S_0002_1?wid=320&amp;op_usm=0.8",1)</f>
        <v/>
      </c>
      <c r="B2761" s="7" t="inlineStr">
        <is>
          <t>Quick-Dry Short-Sleeve Polo Shirt *Straight Hem</t>
        </is>
      </c>
      <c r="C2761" s="7" t="inlineStr">
        <is>
          <t>157687234</t>
        </is>
      </c>
      <c r="D2761" s="7" t="inlineStr">
        <is>
          <t>157687234-white</t>
        </is>
      </c>
      <c r="E2761" s="7" t="inlineStr">
        <is>
          <t>Quick-Dry Short Sleeve Polo*Straight Hem HRBA 2</t>
        </is>
      </c>
      <c r="F2761" s="7" t="inlineStr">
        <is>
          <t>$78.00</t>
        </is>
      </c>
      <c r="G2761" s="7" t="inlineStr">
        <is>
          <t>$39.00</t>
        </is>
      </c>
      <c r="H2761" s="7" t="inlineStr">
        <is>
          <t>White</t>
        </is>
      </c>
      <c r="I2761" s="7">
        <f>IMAGE("https://images.lululemon.com/is/image/lululemon/0002",1)</f>
        <v/>
      </c>
      <c r="J2761" s="7" t="inlineStr">
        <is>
          <t>12</t>
        </is>
      </c>
      <c r="K2761" s="7" t="inlineStr">
        <is>
          <t>34/2926</t>
        </is>
      </c>
      <c r="L2761" s="7" t="inlineStr">
        <is>
          <t>Yes</t>
        </is>
      </c>
      <c r="M2761" s="7" t="inlineStr">
        <is>
          <t>Tennis serves or golf swings—whatever you're practicing, this lightweight polo shirt manages sweat so you can focus on your game.</t>
        </is>
      </c>
      <c r="N2761" s="7" t="inlineStr">
        <is>
          <t>Quick-Dry-Short-Sleeve-Polo-Shirt-Straight-Hem</t>
        </is>
      </c>
      <c r="O2761" s="7" t="inlineStr"/>
    </row>
    <row r="2762" ht="80" customHeight="1">
      <c r="A2762" s="4">
        <f>IMAGE("https://images.lululemon.com/is/image/lululemon/LW3HL7S_0002_1?wid=320&amp;op_usm=0.8",1)</f>
        <v/>
      </c>
      <c r="B2762" s="4" t="inlineStr">
        <is>
          <t>Quick-Dry Short-Sleeve Polo Shirt *Straight Hem</t>
        </is>
      </c>
      <c r="C2762" s="4" t="inlineStr">
        <is>
          <t>156491783</t>
        </is>
      </c>
      <c r="D2762" s="4" t="inlineStr">
        <is>
          <t>156491783-diamondspotwhitestarchblue</t>
        </is>
      </c>
      <c r="E2762" s="4" t="inlineStr">
        <is>
          <t>Quick-Dry Short Sleeve Polo*Straight Hem HRBA 2</t>
        </is>
      </c>
      <c r="F2762" s="4" t="inlineStr">
        <is>
          <t>$78.00</t>
        </is>
      </c>
      <c r="G2762" s="4" t="inlineStr">
        <is>
          <t>$39.00</t>
        </is>
      </c>
      <c r="H2762" s="4" t="inlineStr">
        <is>
          <t>Diamond Spot White Starch Blue</t>
        </is>
      </c>
      <c r="I2762" s="4">
        <f>IMAGE("https://images.lululemon.com/is/image/lululemon/70774",1)</f>
        <v/>
      </c>
      <c r="J2762" s="4" t="inlineStr">
        <is>
          <t>2</t>
        </is>
      </c>
      <c r="K2762" s="4" t="inlineStr">
        <is>
          <t>54/2926</t>
        </is>
      </c>
      <c r="L2762" s="4" t="inlineStr">
        <is>
          <t>Yes</t>
        </is>
      </c>
      <c r="M2762" s="4" t="inlineStr">
        <is>
          <t>Tennis serves or golf swings—whatever you're practicing, this lightweight polo shirt manages sweat so you can focus on your game.</t>
        </is>
      </c>
      <c r="N2762" s="4" t="inlineStr">
        <is>
          <t>Quick-Dry-Short-Sleeve-Polo-Shirt-Straight-Hem</t>
        </is>
      </c>
      <c r="O2762" s="4" t="inlineStr"/>
    </row>
    <row r="2763" ht="80" customHeight="1">
      <c r="A2763" s="7">
        <f>IMAGE("https://images.lululemon.com/is/image/lululemon/LW3HL7S_0002_1?wid=320&amp;op_usm=0.8",1)</f>
        <v/>
      </c>
      <c r="B2763" s="7" t="inlineStr">
        <is>
          <t>Quick-Dry Short-Sleeve Polo Shirt *Straight Hem</t>
        </is>
      </c>
      <c r="C2763" s="7" t="inlineStr">
        <is>
          <t>156491833</t>
        </is>
      </c>
      <c r="D2763" s="7" t="inlineStr">
        <is>
          <t>156491833-diamondspotwhitestarchblue</t>
        </is>
      </c>
      <c r="E2763" s="7" t="inlineStr">
        <is>
          <t>Quick-Dry Short Sleeve Polo*Straight Hem HRBA 2</t>
        </is>
      </c>
      <c r="F2763" s="7" t="inlineStr">
        <is>
          <t>$78.00</t>
        </is>
      </c>
      <c r="G2763" s="7" t="inlineStr">
        <is>
          <t>$39.00</t>
        </is>
      </c>
      <c r="H2763" s="7" t="inlineStr">
        <is>
          <t>Diamond Spot White Starch Blue</t>
        </is>
      </c>
      <c r="I2763" s="7">
        <f>IMAGE("https://images.lululemon.com/is/image/lululemon/70774",1)</f>
        <v/>
      </c>
      <c r="J2763" s="7" t="inlineStr">
        <is>
          <t>4</t>
        </is>
      </c>
      <c r="K2763" s="7" t="inlineStr">
        <is>
          <t>69/2926</t>
        </is>
      </c>
      <c r="L2763" s="7" t="inlineStr">
        <is>
          <t>Yes</t>
        </is>
      </c>
      <c r="M2763" s="7" t="inlineStr">
        <is>
          <t>Tennis serves or golf swings—whatever you're practicing, this lightweight polo shirt manages sweat so you can focus on your game.</t>
        </is>
      </c>
      <c r="N2763" s="7" t="inlineStr">
        <is>
          <t>Quick-Dry-Short-Sleeve-Polo-Shirt-Straight-Hem</t>
        </is>
      </c>
      <c r="O2763" s="7" t="inlineStr"/>
    </row>
    <row r="2764" ht="80" customHeight="1">
      <c r="A2764" s="4">
        <f>IMAGE("https://images.lululemon.com/is/image/lululemon/LW3HL7S_0002_1?wid=320&amp;op_usm=0.8",1)</f>
        <v/>
      </c>
      <c r="B2764" s="4" t="inlineStr">
        <is>
          <t>Quick-Dry Short-Sleeve Polo Shirt *Straight Hem</t>
        </is>
      </c>
      <c r="C2764" s="4" t="inlineStr">
        <is>
          <t>156491840</t>
        </is>
      </c>
      <c r="D2764" s="4" t="inlineStr">
        <is>
          <t>156491840-diamondspotwhitestarchblue</t>
        </is>
      </c>
      <c r="E2764" s="4" t="inlineStr">
        <is>
          <t>Quick-Dry Short Sleeve Polo*Straight Hem HRBA 2</t>
        </is>
      </c>
      <c r="F2764" s="4" t="inlineStr">
        <is>
          <t>$78.00</t>
        </is>
      </c>
      <c r="G2764" s="4" t="inlineStr">
        <is>
          <t>$39.00</t>
        </is>
      </c>
      <c r="H2764" s="4" t="inlineStr">
        <is>
          <t>Diamond Spot White Starch Blue</t>
        </is>
      </c>
      <c r="I2764" s="4">
        <f>IMAGE("https://images.lululemon.com/is/image/lululemon/70774",1)</f>
        <v/>
      </c>
      <c r="J2764" s="4" t="inlineStr">
        <is>
          <t>6</t>
        </is>
      </c>
      <c r="K2764" s="4" t="inlineStr">
        <is>
          <t>74/2926</t>
        </is>
      </c>
      <c r="L2764" s="4" t="inlineStr">
        <is>
          <t>Yes</t>
        </is>
      </c>
      <c r="M2764" s="4" t="inlineStr">
        <is>
          <t>Tennis serves or golf swings—whatever you're practicing, this lightweight polo shirt manages sweat so you can focus on your game.</t>
        </is>
      </c>
      <c r="N2764" s="4" t="inlineStr">
        <is>
          <t>Quick-Dry-Short-Sleeve-Polo-Shirt-Straight-Hem</t>
        </is>
      </c>
      <c r="O2764" s="4" t="inlineStr"/>
    </row>
    <row r="2765" ht="80" customHeight="1">
      <c r="A2765" s="7">
        <f>IMAGE("https://images.lululemon.com/is/image/lululemon/LW3HL7S_0002_1?wid=320&amp;op_usm=0.8",1)</f>
        <v/>
      </c>
      <c r="B2765" s="7" t="inlineStr">
        <is>
          <t>Quick-Dry Short-Sleeve Polo Shirt *Straight Hem</t>
        </is>
      </c>
      <c r="C2765" s="7" t="inlineStr">
        <is>
          <t>156491853</t>
        </is>
      </c>
      <c r="D2765" s="7" t="inlineStr">
        <is>
          <t>156491853-diamondspotwhitestarchblue</t>
        </is>
      </c>
      <c r="E2765" s="7" t="inlineStr">
        <is>
          <t>Quick-Dry Short Sleeve Polo*Straight Hem HRBA 2</t>
        </is>
      </c>
      <c r="F2765" s="7" t="inlineStr">
        <is>
          <t>$78.00</t>
        </is>
      </c>
      <c r="G2765" s="7" t="inlineStr">
        <is>
          <t>$39.00</t>
        </is>
      </c>
      <c r="H2765" s="7" t="inlineStr">
        <is>
          <t>Diamond Spot White Starch Blue</t>
        </is>
      </c>
      <c r="I2765" s="7">
        <f>IMAGE("https://images.lululemon.com/is/image/lululemon/70774",1)</f>
        <v/>
      </c>
      <c r="J2765" s="7" t="inlineStr">
        <is>
          <t>8</t>
        </is>
      </c>
      <c r="K2765" s="7" t="inlineStr">
        <is>
          <t>57/2926</t>
        </is>
      </c>
      <c r="L2765" s="7" t="inlineStr">
        <is>
          <t>Yes</t>
        </is>
      </c>
      <c r="M2765" s="7" t="inlineStr">
        <is>
          <t>Tennis serves or golf swings—whatever you're practicing, this lightweight polo shirt manages sweat so you can focus on your game.</t>
        </is>
      </c>
      <c r="N2765" s="7" t="inlineStr">
        <is>
          <t>Quick-Dry-Short-Sleeve-Polo-Shirt-Straight-Hem</t>
        </is>
      </c>
      <c r="O2765" s="7" t="inlineStr"/>
    </row>
    <row r="2766" ht="80" customHeight="1">
      <c r="A2766" s="4">
        <f>IMAGE("https://images.lululemon.com/is/image/lululemon/LW3HL7S_0002_1?wid=320&amp;op_usm=0.8",1)</f>
        <v/>
      </c>
      <c r="B2766" s="4" t="inlineStr">
        <is>
          <t>Quick-Dry Short-Sleeve Polo Shirt *Straight Hem</t>
        </is>
      </c>
      <c r="C2766" s="4" t="inlineStr">
        <is>
          <t>156491739</t>
        </is>
      </c>
      <c r="D2766" s="4" t="inlineStr">
        <is>
          <t>156491739-diamondspotwhitestarchblue</t>
        </is>
      </c>
      <c r="E2766" s="4" t="inlineStr">
        <is>
          <t>Quick-Dry Short Sleeve Polo*Straight Hem HRBA 2</t>
        </is>
      </c>
      <c r="F2766" s="4" t="inlineStr">
        <is>
          <t>$78.00</t>
        </is>
      </c>
      <c r="G2766" s="4" t="inlineStr">
        <is>
          <t>$39.00</t>
        </is>
      </c>
      <c r="H2766" s="4" t="inlineStr">
        <is>
          <t>Diamond Spot White Starch Blue</t>
        </is>
      </c>
      <c r="I2766" s="4">
        <f>IMAGE("https://images.lululemon.com/is/image/lululemon/70774",1)</f>
        <v/>
      </c>
      <c r="J2766" s="4" t="inlineStr">
        <is>
          <t>10</t>
        </is>
      </c>
      <c r="K2766" s="4" t="inlineStr">
        <is>
          <t>3/2926</t>
        </is>
      </c>
      <c r="L2766" s="4" t="inlineStr">
        <is>
          <t>Yes</t>
        </is>
      </c>
      <c r="M2766" s="4" t="inlineStr">
        <is>
          <t>Tennis serves or golf swings—whatever you're practicing, this lightweight polo shirt manages sweat so you can focus on your game.</t>
        </is>
      </c>
      <c r="N2766" s="4" t="inlineStr">
        <is>
          <t>Quick-Dry-Short-Sleeve-Polo-Shirt-Straight-Hem</t>
        </is>
      </c>
      <c r="O2766" s="4" t="inlineStr"/>
    </row>
    <row r="2767" ht="80" customHeight="1">
      <c r="A2767" s="7">
        <f>IMAGE("https://images.lululemon.com/is/image/lululemon/LW3HL7S_0002_1?wid=320&amp;op_usm=0.8",1)</f>
        <v/>
      </c>
      <c r="B2767" s="7" t="inlineStr">
        <is>
          <t>Quick-Dry Short-Sleeve Polo Shirt *Straight Hem</t>
        </is>
      </c>
      <c r="C2767" s="7" t="inlineStr">
        <is>
          <t>157687380</t>
        </is>
      </c>
      <c r="D2767" s="7" t="inlineStr">
        <is>
          <t>157687380-clubblue</t>
        </is>
      </c>
      <c r="E2767" s="7" t="inlineStr">
        <is>
          <t>Quick-Dry Short Sleeve Polo*Straight Hem HRBA 2</t>
        </is>
      </c>
      <c r="F2767" s="7" t="inlineStr">
        <is>
          <t>$78.00</t>
        </is>
      </c>
      <c r="G2767" s="7" t="inlineStr">
        <is>
          <t>$39.00</t>
        </is>
      </c>
      <c r="H2767" s="7" t="inlineStr">
        <is>
          <t>Club Blue</t>
        </is>
      </c>
      <c r="I2767" s="7">
        <f>IMAGE("https://images.lululemon.com/is/image/lululemon/68578",1)</f>
        <v/>
      </c>
      <c r="J2767" s="7" t="inlineStr">
        <is>
          <t>2</t>
        </is>
      </c>
      <c r="K2767" s="7" t="inlineStr">
        <is>
          <t>19/2926</t>
        </is>
      </c>
      <c r="L2767" s="7" t="inlineStr">
        <is>
          <t>Yes</t>
        </is>
      </c>
      <c r="M2767" s="7" t="inlineStr">
        <is>
          <t>Tennis serves or golf swings—whatever you're practicing, this lightweight polo shirt manages sweat so you can focus on your game.</t>
        </is>
      </c>
      <c r="N2767" s="7" t="inlineStr">
        <is>
          <t>Quick-Dry-Short-Sleeve-Polo-Shirt-Straight-Hem</t>
        </is>
      </c>
      <c r="O2767" s="7" t="inlineStr"/>
    </row>
    <row r="2768" ht="80" customHeight="1">
      <c r="A2768" s="4">
        <f>IMAGE("https://images.lululemon.com/is/image/lululemon/LW3HL7S_0002_1?wid=320&amp;op_usm=0.8",1)</f>
        <v/>
      </c>
      <c r="B2768" s="4" t="inlineStr">
        <is>
          <t>Quick-Dry Short-Sleeve Polo Shirt *Straight Hem</t>
        </is>
      </c>
      <c r="C2768" s="4" t="inlineStr">
        <is>
          <t>157687385</t>
        </is>
      </c>
      <c r="D2768" s="4" t="inlineStr">
        <is>
          <t>157687385-clubblue</t>
        </is>
      </c>
      <c r="E2768" s="4" t="inlineStr">
        <is>
          <t>Quick-Dry Short Sleeve Polo*Straight Hem HRBA 2</t>
        </is>
      </c>
      <c r="F2768" s="4" t="inlineStr">
        <is>
          <t>$78.00</t>
        </is>
      </c>
      <c r="G2768" s="4" t="inlineStr">
        <is>
          <t>$39.00</t>
        </is>
      </c>
      <c r="H2768" s="4" t="inlineStr">
        <is>
          <t>Club Blue</t>
        </is>
      </c>
      <c r="I2768" s="4">
        <f>IMAGE("https://images.lululemon.com/is/image/lululemon/68578",1)</f>
        <v/>
      </c>
      <c r="J2768" s="4" t="inlineStr">
        <is>
          <t>4</t>
        </is>
      </c>
      <c r="K2768" s="4" t="inlineStr">
        <is>
          <t>59/2926</t>
        </is>
      </c>
      <c r="L2768" s="4" t="inlineStr">
        <is>
          <t>Yes</t>
        </is>
      </c>
      <c r="M2768" s="4" t="inlineStr">
        <is>
          <t>Tennis serves or golf swings—whatever you're practicing, this lightweight polo shirt manages sweat so you can focus on your game.</t>
        </is>
      </c>
      <c r="N2768" s="4" t="inlineStr">
        <is>
          <t>Quick-Dry-Short-Sleeve-Polo-Shirt-Straight-Hem</t>
        </is>
      </c>
      <c r="O2768" s="4" t="inlineStr"/>
    </row>
    <row r="2769" ht="80" customHeight="1">
      <c r="A2769" s="7">
        <f>IMAGE("https://images.lululemon.com/is/image/lululemon/LW3HL7S_0002_1?wid=320&amp;op_usm=0.8",1)</f>
        <v/>
      </c>
      <c r="B2769" s="7" t="inlineStr">
        <is>
          <t>Quick-Dry Short-Sleeve Polo Shirt *Straight Hem</t>
        </is>
      </c>
      <c r="C2769" s="7" t="inlineStr">
        <is>
          <t>157687392</t>
        </is>
      </c>
      <c r="D2769" s="7" t="inlineStr">
        <is>
          <t>157687392-clubblue</t>
        </is>
      </c>
      <c r="E2769" s="7" t="inlineStr">
        <is>
          <t>Quick-Dry Short Sleeve Polo*Straight Hem HRBA 2</t>
        </is>
      </c>
      <c r="F2769" s="7" t="inlineStr">
        <is>
          <t>$78.00</t>
        </is>
      </c>
      <c r="G2769" s="7" t="inlineStr">
        <is>
          <t>$39.00</t>
        </is>
      </c>
      <c r="H2769" s="7" t="inlineStr">
        <is>
          <t>Club Blue</t>
        </is>
      </c>
      <c r="I2769" s="7">
        <f>IMAGE("https://images.lululemon.com/is/image/lululemon/68578",1)</f>
        <v/>
      </c>
      <c r="J2769" s="7" t="inlineStr">
        <is>
          <t>6</t>
        </is>
      </c>
      <c r="K2769" s="7" t="inlineStr">
        <is>
          <t>69/2926</t>
        </is>
      </c>
      <c r="L2769" s="7" t="inlineStr">
        <is>
          <t>Yes</t>
        </is>
      </c>
      <c r="M2769" s="7" t="inlineStr">
        <is>
          <t>Tennis serves or golf swings—whatever you're practicing, this lightweight polo shirt manages sweat so you can focus on your game.</t>
        </is>
      </c>
      <c r="N2769" s="7" t="inlineStr">
        <is>
          <t>Quick-Dry-Short-Sleeve-Polo-Shirt-Straight-Hem</t>
        </is>
      </c>
      <c r="O2769" s="7" t="inlineStr"/>
    </row>
    <row r="2770" ht="80" customHeight="1">
      <c r="A2770" s="4">
        <f>IMAGE("https://images.lululemon.com/is/image/lululemon/LW3HL7S_0002_1?wid=320&amp;op_usm=0.8",1)</f>
        <v/>
      </c>
      <c r="B2770" s="4" t="inlineStr">
        <is>
          <t>Quick-Dry Short-Sleeve Polo Shirt *Straight Hem</t>
        </is>
      </c>
      <c r="C2770" s="4" t="inlineStr">
        <is>
          <t>157687397</t>
        </is>
      </c>
      <c r="D2770" s="4" t="inlineStr">
        <is>
          <t>157687397-clubblue</t>
        </is>
      </c>
      <c r="E2770" s="4" t="inlineStr">
        <is>
          <t>Quick-Dry Short Sleeve Polo*Straight Hem HRBA 2</t>
        </is>
      </c>
      <c r="F2770" s="4" t="inlineStr">
        <is>
          <t>$78.00</t>
        </is>
      </c>
      <c r="G2770" s="4" t="inlineStr">
        <is>
          <t>$39.00</t>
        </is>
      </c>
      <c r="H2770" s="4" t="inlineStr">
        <is>
          <t>Club Blue</t>
        </is>
      </c>
      <c r="I2770" s="4">
        <f>IMAGE("https://images.lululemon.com/is/image/lululemon/68578",1)</f>
        <v/>
      </c>
      <c r="J2770" s="4" t="inlineStr">
        <is>
          <t>8</t>
        </is>
      </c>
      <c r="K2770" s="4" t="inlineStr">
        <is>
          <t>60/2926</t>
        </is>
      </c>
      <c r="L2770" s="4" t="inlineStr">
        <is>
          <t>Yes</t>
        </is>
      </c>
      <c r="M2770" s="4" t="inlineStr">
        <is>
          <t>Tennis serves or golf swings—whatever you're practicing, this lightweight polo shirt manages sweat so you can focus on your game.</t>
        </is>
      </c>
      <c r="N2770" s="4" t="inlineStr">
        <is>
          <t>Quick-Dry-Short-Sleeve-Polo-Shirt-Straight-Hem</t>
        </is>
      </c>
      <c r="O2770" s="4" t="inlineStr"/>
    </row>
    <row r="2771" ht="80" customHeight="1">
      <c r="A2771" s="7">
        <f>IMAGE("https://images.lululemon.com/is/image/lululemon/LW3HL7S_0002_1?wid=320&amp;op_usm=0.8",1)</f>
        <v/>
      </c>
      <c r="B2771" s="7" t="inlineStr">
        <is>
          <t>Quick-Dry Short-Sleeve Polo Shirt *Straight Hem</t>
        </is>
      </c>
      <c r="C2771" s="7" t="inlineStr">
        <is>
          <t>157687364</t>
        </is>
      </c>
      <c r="D2771" s="7" t="inlineStr">
        <is>
          <t>157687364-clubblue</t>
        </is>
      </c>
      <c r="E2771" s="7" t="inlineStr">
        <is>
          <t>Quick-Dry Short Sleeve Polo*Straight Hem HRBA 2</t>
        </is>
      </c>
      <c r="F2771" s="7" t="inlineStr">
        <is>
          <t>$78.00</t>
        </is>
      </c>
      <c r="G2771" s="7" t="inlineStr">
        <is>
          <t>$39.00</t>
        </is>
      </c>
      <c r="H2771" s="7" t="inlineStr">
        <is>
          <t>Club Blue</t>
        </is>
      </c>
      <c r="I2771" s="7">
        <f>IMAGE("https://images.lululemon.com/is/image/lululemon/68578",1)</f>
        <v/>
      </c>
      <c r="J2771" s="7" t="inlineStr">
        <is>
          <t>10</t>
        </is>
      </c>
      <c r="K2771" s="7" t="inlineStr">
        <is>
          <t>43/2926</t>
        </is>
      </c>
      <c r="L2771" s="7" t="inlineStr">
        <is>
          <t>Yes</t>
        </is>
      </c>
      <c r="M2771" s="7" t="inlineStr">
        <is>
          <t>Tennis serves or golf swings—whatever you're practicing, this lightweight polo shirt manages sweat so you can focus on your game.</t>
        </is>
      </c>
      <c r="N2771" s="7" t="inlineStr">
        <is>
          <t>Quick-Dry-Short-Sleeve-Polo-Shirt-Straight-Hem</t>
        </is>
      </c>
      <c r="O2771" s="7" t="inlineStr"/>
    </row>
    <row r="2772" ht="80" customHeight="1">
      <c r="A2772" s="6">
        <f>IMAGE("https://images.lululemon.com/is/image/lululemon/LW3HL7S_0002_1?wid=320&amp;op_usm=0.8",1)</f>
        <v/>
      </c>
      <c r="B2772" s="6" t="inlineStr">
        <is>
          <t>Quick-Dry Short-Sleeve Polo Shirt *Straight Hem</t>
        </is>
      </c>
      <c r="C2772" s="6" t="inlineStr">
        <is>
          <t>157687370</t>
        </is>
      </c>
      <c r="D2772" s="6" t="inlineStr">
        <is>
          <t>157687370-clubblue</t>
        </is>
      </c>
      <c r="E2772" s="6" t="inlineStr">
        <is>
          <t>Quick-Dry Short Sleeve Polo*Straight Hem HRBA 2</t>
        </is>
      </c>
      <c r="F2772" s="6" t="inlineStr">
        <is>
          <t>$78.00</t>
        </is>
      </c>
      <c r="G2772" s="6" t="inlineStr">
        <is>
          <t>$39.00</t>
        </is>
      </c>
      <c r="H2772" s="6" t="inlineStr">
        <is>
          <t>Club Blue</t>
        </is>
      </c>
      <c r="I2772" s="6">
        <f>IMAGE("https://images.lululemon.com/is/image/lululemon/68578",1)</f>
        <v/>
      </c>
      <c r="J2772" s="6" t="inlineStr">
        <is>
          <t>12</t>
        </is>
      </c>
      <c r="K2772" s="6" t="inlineStr">
        <is>
          <t>23/2926</t>
        </is>
      </c>
      <c r="L2772" s="6" t="inlineStr">
        <is>
          <t>Yes</t>
        </is>
      </c>
      <c r="M2772" s="6" t="inlineStr">
        <is>
          <t>Tennis serves or golf swings—whatever you're practicing, this lightweight polo shirt manages sweat so you can focus on your game.</t>
        </is>
      </c>
      <c r="N2772" s="6" t="inlineStr">
        <is>
          <t>Quick-Dry-Short-Sleeve-Polo-Shirt-Straight-Hem</t>
        </is>
      </c>
      <c r="O2772" s="6" t="inlineStr"/>
    </row>
    <row r="2773" ht="80" customHeight="1">
      <c r="A2773" s="7">
        <f>IMAGE("https://images.lululemon.com/is/image/lululemon/LW3JP9S_020392_1?wid=320&amp;op_usm=0.8",1)</f>
        <v/>
      </c>
      <c r="B2773" s="7" t="inlineStr">
        <is>
          <t>Softstreme Pique Oversized Long-Sleeve Polo Shirt</t>
        </is>
      </c>
      <c r="C2773" s="7" t="inlineStr">
        <is>
          <t>157705750</t>
        </is>
      </c>
      <c r="D2773" s="7" t="inlineStr">
        <is>
          <t>157705750-minkberry</t>
        </is>
      </c>
      <c r="E2773" s="7" t="inlineStr">
        <is>
          <t>Softstreme Pique Oversized LS Polo MINK S</t>
        </is>
      </c>
      <c r="F2773" s="7" t="inlineStr">
        <is>
          <t>$138.00</t>
        </is>
      </c>
      <c r="G2773" s="7" t="inlineStr">
        <is>
          <t>$69.00</t>
        </is>
      </c>
      <c r="H2773" s="7" t="inlineStr">
        <is>
          <t>Mink Berry</t>
        </is>
      </c>
      <c r="I2773" s="7">
        <f>IMAGE("https://images.lululemon.com/is/image/lululemon/20392",1)</f>
        <v/>
      </c>
      <c r="J2773" s="7" t="inlineStr">
        <is>
          <t>S</t>
        </is>
      </c>
      <c r="K2773" s="7" t="inlineStr">
        <is>
          <t>35/199</t>
        </is>
      </c>
      <c r="L2773" s="7" t="inlineStr">
        <is>
          <t>Yes</t>
        </is>
      </c>
      <c r="M2773" s="7" t="inlineStr">
        <is>
          <t>Relax for real. Cut from a textured version of our drapey Softstreme™ fabric, this oversized long-sleeve polo takes rest days seriously.</t>
        </is>
      </c>
      <c r="N2773" s="7" t="inlineStr">
        <is>
          <t>Softstreme-Pique-Oversized-Long-Sleeve-Polo-Shirt</t>
        </is>
      </c>
      <c r="O2773" s="7" t="inlineStr"/>
    </row>
    <row r="2774" ht="80" customHeight="1">
      <c r="A2774" s="4">
        <f>IMAGE("https://images.lululemon.com/is/image/lululemon/LW3JP9S_020392_1?wid=320&amp;op_usm=0.8",1)</f>
        <v/>
      </c>
      <c r="B2774" s="4" t="inlineStr">
        <is>
          <t>Softstreme Pique Oversized Long-Sleeve Polo Shirt</t>
        </is>
      </c>
      <c r="C2774" s="4" t="inlineStr">
        <is>
          <t>157705736</t>
        </is>
      </c>
      <c r="D2774" s="4" t="inlineStr">
        <is>
          <t>157705736-minkberry</t>
        </is>
      </c>
      <c r="E2774" s="4" t="inlineStr">
        <is>
          <t>Softstreme Pique Oversized LS Polo MINK S</t>
        </is>
      </c>
      <c r="F2774" s="4" t="inlineStr">
        <is>
          <t>$138.00</t>
        </is>
      </c>
      <c r="G2774" s="4" t="inlineStr">
        <is>
          <t>$69.00</t>
        </is>
      </c>
      <c r="H2774" s="4" t="inlineStr">
        <is>
          <t>Mink Berry</t>
        </is>
      </c>
      <c r="I2774" s="4">
        <f>IMAGE("https://images.lululemon.com/is/image/lululemon/20392",1)</f>
        <v/>
      </c>
      <c r="J2774" s="4" t="inlineStr">
        <is>
          <t>M</t>
        </is>
      </c>
      <c r="K2774" s="4" t="inlineStr">
        <is>
          <t>73/199</t>
        </is>
      </c>
      <c r="L2774" s="4" t="inlineStr">
        <is>
          <t>Yes</t>
        </is>
      </c>
      <c r="M2774" s="4" t="inlineStr">
        <is>
          <t>Relax for real. Cut from a textured version of our drapey Softstreme™ fabric, this oversized long-sleeve polo takes rest days seriously.</t>
        </is>
      </c>
      <c r="N2774" s="4" t="inlineStr">
        <is>
          <t>Softstreme-Pique-Oversized-Long-Sleeve-Polo-Shirt</t>
        </is>
      </c>
      <c r="O2774" s="4" t="inlineStr"/>
    </row>
    <row r="2775" ht="80" customHeight="1">
      <c r="A2775" s="7">
        <f>IMAGE("https://images.lululemon.com/is/image/lululemon/LW3JP9S_020392_1?wid=320&amp;op_usm=0.8",1)</f>
        <v/>
      </c>
      <c r="B2775" s="7" t="inlineStr">
        <is>
          <t>Softstreme Pique Oversized Long-Sleeve Polo Shirt</t>
        </is>
      </c>
      <c r="C2775" s="7" t="inlineStr">
        <is>
          <t>157705725</t>
        </is>
      </c>
      <c r="D2775" s="7" t="inlineStr">
        <is>
          <t>157705725-minkberry</t>
        </is>
      </c>
      <c r="E2775" s="7" t="inlineStr">
        <is>
          <t>Softstreme Pique Oversized LS Polo MINK S</t>
        </is>
      </c>
      <c r="F2775" s="7" t="inlineStr">
        <is>
          <t>$138.00</t>
        </is>
      </c>
      <c r="G2775" s="7" t="inlineStr">
        <is>
          <t>$69.00</t>
        </is>
      </c>
      <c r="H2775" s="7" t="inlineStr">
        <is>
          <t>Mink Berry</t>
        </is>
      </c>
      <c r="I2775" s="7">
        <f>IMAGE("https://images.lululemon.com/is/image/lululemon/20392",1)</f>
        <v/>
      </c>
      <c r="J2775" s="7" t="inlineStr">
        <is>
          <t>L</t>
        </is>
      </c>
      <c r="K2775" s="7" t="inlineStr">
        <is>
          <t>15/199</t>
        </is>
      </c>
      <c r="L2775" s="7" t="inlineStr">
        <is>
          <t>Yes</t>
        </is>
      </c>
      <c r="M2775" s="7" t="inlineStr">
        <is>
          <t>Relax for real. Cut from a textured version of our drapey Softstreme™ fabric, this oversized long-sleeve polo takes rest days seriously.</t>
        </is>
      </c>
      <c r="N2775" s="7" t="inlineStr">
        <is>
          <t>Softstreme-Pique-Oversized-Long-Sleeve-Polo-Shirt</t>
        </is>
      </c>
      <c r="O2775" s="7" t="inlineStr"/>
    </row>
    <row r="2776" ht="80" customHeight="1">
      <c r="A2776" s="6">
        <f>IMAGE("https://images.lululemon.com/is/image/lululemon/LW3JP9S_020392_1?wid=320&amp;op_usm=0.8",1)</f>
        <v/>
      </c>
      <c r="B2776" s="6" t="inlineStr">
        <is>
          <t>Softstreme Pique Oversized Long-Sleeve Polo Shirt</t>
        </is>
      </c>
      <c r="C2776" s="6" t="inlineStr">
        <is>
          <t>157705761</t>
        </is>
      </c>
      <c r="D2776" s="6" t="inlineStr">
        <is>
          <t>157705761-minkberry</t>
        </is>
      </c>
      <c r="E2776" s="6" t="inlineStr">
        <is>
          <t>Softstreme Pique Oversized LS Polo MINK S</t>
        </is>
      </c>
      <c r="F2776" s="6" t="inlineStr">
        <is>
          <t>$138.00</t>
        </is>
      </c>
      <c r="G2776" s="6" t="inlineStr">
        <is>
          <t>$69.00</t>
        </is>
      </c>
      <c r="H2776" s="6" t="inlineStr">
        <is>
          <t>Mink Berry</t>
        </is>
      </c>
      <c r="I2776" s="6">
        <f>IMAGE("https://images.lululemon.com/is/image/lululemon/20392",1)</f>
        <v/>
      </c>
      <c r="J2776" s="6" t="inlineStr">
        <is>
          <t>XL</t>
        </is>
      </c>
      <c r="K2776" s="6" t="inlineStr">
        <is>
          <t>76/199</t>
        </is>
      </c>
      <c r="L2776" s="6" t="inlineStr">
        <is>
          <t>Yes</t>
        </is>
      </c>
      <c r="M2776" s="6" t="inlineStr">
        <is>
          <t>Relax for real. Cut from a textured version of our drapey Softstreme™ fabric, this oversized long-sleeve polo takes rest days seriously.</t>
        </is>
      </c>
      <c r="N2776" s="6" t="inlineStr">
        <is>
          <t>Softstreme-Pique-Oversized-Long-Sleeve-Polo-Shirt</t>
        </is>
      </c>
      <c r="O2776" s="6" t="inlineStr"/>
    </row>
    <row r="2777" ht="80" customHeight="1">
      <c r="A2777" s="7">
        <f>IMAGE("https://images.lululemon.com/is/image/lululemon/LW6CLQS_031382_1?wid=320&amp;op_usm=0.8",1)</f>
        <v/>
      </c>
      <c r="B2777" s="7" t="inlineStr">
        <is>
          <t>Fast and Free High-Rise Crop 23" *5 Pocket</t>
        </is>
      </c>
      <c r="C2777" s="7" t="inlineStr">
        <is>
          <t>146055380</t>
        </is>
      </c>
      <c r="D2777" s="7" t="inlineStr">
        <is>
          <t>146055380-truenavy</t>
        </is>
      </c>
      <c r="E2777" s="7" t="inlineStr">
        <is>
          <t>Fast and Free HR Crop 23" *Pockets TRNV 2</t>
        </is>
      </c>
      <c r="F2777" s="7" t="inlineStr">
        <is>
          <t>$128.00</t>
        </is>
      </c>
      <c r="G2777" s="7" t="inlineStr">
        <is>
          <t>$64.00</t>
        </is>
      </c>
      <c r="H2777" s="7" t="inlineStr">
        <is>
          <t>True Navy</t>
        </is>
      </c>
      <c r="I2777" s="7">
        <f>IMAGE("https://images.lululemon.com/is/image/lululemon/31382",1)</f>
        <v/>
      </c>
      <c r="J2777" s="7" t="inlineStr">
        <is>
          <t>2</t>
        </is>
      </c>
      <c r="K2777" s="7" t="inlineStr">
        <is>
          <t>9/45</t>
        </is>
      </c>
      <c r="L2777" s="7" t="inlineStr">
        <is>
          <t>Yes</t>
        </is>
      </c>
      <c r="M2777" s="7" t="inlineStr">
        <is>
          <t>Set your run free. This five-pocket version of our Fast and Free crop has seam-free inner thighs and a streamlined waistband to maximize that smooth, weightless feeling.</t>
        </is>
      </c>
      <c r="N2777" s="7" t="inlineStr">
        <is>
          <t>Nulux-5-Pocket-HR-Running-Crop-23-Ref</t>
        </is>
      </c>
      <c r="O2777" s="7" t="inlineStr"/>
    </row>
    <row r="2778" ht="80" customHeight="1">
      <c r="A2778" s="4">
        <f>IMAGE("https://images.lululemon.com/is/image/lululemon/LW6CLQS_031382_1?wid=320&amp;op_usm=0.8",1)</f>
        <v/>
      </c>
      <c r="B2778" s="4" t="inlineStr">
        <is>
          <t>Fast and Free High-Rise Crop 23" *5 Pocket</t>
        </is>
      </c>
      <c r="C2778" s="4" t="inlineStr">
        <is>
          <t>146055439</t>
        </is>
      </c>
      <c r="D2778" s="4" t="inlineStr">
        <is>
          <t>146055439-truenavy</t>
        </is>
      </c>
      <c r="E2778" s="4" t="inlineStr">
        <is>
          <t>Fast and Free HR Crop 23" *Pockets TRNV 2</t>
        </is>
      </c>
      <c r="F2778" s="4" t="inlineStr">
        <is>
          <t>$128.00</t>
        </is>
      </c>
      <c r="G2778" s="4" t="inlineStr">
        <is>
          <t>$64.00</t>
        </is>
      </c>
      <c r="H2778" s="4" t="inlineStr">
        <is>
          <t>True Navy</t>
        </is>
      </c>
      <c r="I2778" s="4">
        <f>IMAGE("https://images.lululemon.com/is/image/lululemon/31382",1)</f>
        <v/>
      </c>
      <c r="J2778" s="4" t="inlineStr">
        <is>
          <t>4</t>
        </is>
      </c>
      <c r="K2778" s="4" t="inlineStr">
        <is>
          <t>12/45</t>
        </is>
      </c>
      <c r="L2778" s="4" t="inlineStr">
        <is>
          <t>Yes</t>
        </is>
      </c>
      <c r="M2778" s="4" t="inlineStr">
        <is>
          <t>Set your run free. This five-pocket version of our Fast and Free crop has seam-free inner thighs and a streamlined waistband to maximize that smooth, weightless feeling.</t>
        </is>
      </c>
      <c r="N2778" s="4" t="inlineStr">
        <is>
          <t>Nulux-5-Pocket-HR-Running-Crop-23-Ref</t>
        </is>
      </c>
      <c r="O2778" s="4" t="inlineStr"/>
    </row>
    <row r="2779" ht="80" customHeight="1">
      <c r="A2779" s="7">
        <f>IMAGE("https://images.lululemon.com/is/image/lululemon/LW6CLQS_031382_1?wid=320&amp;op_usm=0.8",1)</f>
        <v/>
      </c>
      <c r="B2779" s="7" t="inlineStr">
        <is>
          <t>Fast and Free High-Rise Crop 23" *5 Pocket</t>
        </is>
      </c>
      <c r="C2779" s="7" t="inlineStr">
        <is>
          <t>146055461</t>
        </is>
      </c>
      <c r="D2779" s="7" t="inlineStr">
        <is>
          <t>146055461-truenavy</t>
        </is>
      </c>
      <c r="E2779" s="7" t="inlineStr">
        <is>
          <t>Fast and Free HR Crop 23" *Pockets TRNV 2</t>
        </is>
      </c>
      <c r="F2779" s="7" t="inlineStr">
        <is>
          <t>$128.00</t>
        </is>
      </c>
      <c r="G2779" s="7" t="inlineStr">
        <is>
          <t>$64.00</t>
        </is>
      </c>
      <c r="H2779" s="7" t="inlineStr">
        <is>
          <t>True Navy</t>
        </is>
      </c>
      <c r="I2779" s="7">
        <f>IMAGE("https://images.lululemon.com/is/image/lululemon/31382",1)</f>
        <v/>
      </c>
      <c r="J2779" s="7" t="inlineStr">
        <is>
          <t>8</t>
        </is>
      </c>
      <c r="K2779" s="7" t="inlineStr">
        <is>
          <t>13/45</t>
        </is>
      </c>
      <c r="L2779" s="7" t="inlineStr">
        <is>
          <t>Yes</t>
        </is>
      </c>
      <c r="M2779" s="7" t="inlineStr">
        <is>
          <t>Set your run free. This five-pocket version of our Fast and Free crop has seam-free inner thighs and a streamlined waistband to maximize that smooth, weightless feeling.</t>
        </is>
      </c>
      <c r="N2779" s="7" t="inlineStr">
        <is>
          <t>Nulux-5-Pocket-HR-Running-Crop-23-Ref</t>
        </is>
      </c>
      <c r="O2779" s="7" t="inlineStr"/>
    </row>
    <row r="2780" ht="80" customHeight="1">
      <c r="A2780" s="4">
        <f>IMAGE("https://images.lululemon.com/is/image/lululemon/LW6CLQS_031382_1?wid=320&amp;op_usm=0.8",1)</f>
        <v/>
      </c>
      <c r="B2780" s="4" t="inlineStr">
        <is>
          <t>Fast and Free High-Rise Crop 23" *5 Pocket</t>
        </is>
      </c>
      <c r="C2780" s="4" t="inlineStr">
        <is>
          <t>146055314</t>
        </is>
      </c>
      <c r="D2780" s="4" t="inlineStr">
        <is>
          <t>146055314-truenavy</t>
        </is>
      </c>
      <c r="E2780" s="4" t="inlineStr">
        <is>
          <t>Fast and Free HR Crop 23" *Pockets TRNV 2</t>
        </is>
      </c>
      <c r="F2780" s="4" t="inlineStr">
        <is>
          <t>$128.00</t>
        </is>
      </c>
      <c r="G2780" s="4" t="inlineStr">
        <is>
          <t>$64.00</t>
        </is>
      </c>
      <c r="H2780" s="4" t="inlineStr">
        <is>
          <t>True Navy</t>
        </is>
      </c>
      <c r="I2780" s="4">
        <f>IMAGE("https://images.lululemon.com/is/image/lululemon/31382",1)</f>
        <v/>
      </c>
      <c r="J2780" s="4" t="inlineStr">
        <is>
          <t>10</t>
        </is>
      </c>
      <c r="K2780" s="4" t="inlineStr">
        <is>
          <t>5/45</t>
        </is>
      </c>
      <c r="L2780" s="4" t="inlineStr">
        <is>
          <t>Yes</t>
        </is>
      </c>
      <c r="M2780" s="4" t="inlineStr">
        <is>
          <t>Set your run free. This five-pocket version of our Fast and Free crop has seam-free inner thighs and a streamlined waistband to maximize that smooth, weightless feeling.</t>
        </is>
      </c>
      <c r="N2780" s="4" t="inlineStr">
        <is>
          <t>Nulux-5-Pocket-HR-Running-Crop-23-Ref</t>
        </is>
      </c>
      <c r="O2780" s="4" t="inlineStr"/>
    </row>
    <row r="2781" ht="80" customHeight="1">
      <c r="A2781" s="5">
        <f>IMAGE("https://images.lululemon.com/is/image/lululemon/LW6CLQS_031382_1?wid=320&amp;op_usm=0.8",1)</f>
        <v/>
      </c>
      <c r="B2781" s="5" t="inlineStr">
        <is>
          <t>Fast and Free High-Rise Crop 23" *5 Pocket</t>
        </is>
      </c>
      <c r="C2781" s="5" t="inlineStr">
        <is>
          <t>146055327</t>
        </is>
      </c>
      <c r="D2781" s="5" t="inlineStr">
        <is>
          <t>146055327-truenavy</t>
        </is>
      </c>
      <c r="E2781" s="5" t="inlineStr">
        <is>
          <t>Fast and Free HR Crop 23" *Pockets TRNV 2</t>
        </is>
      </c>
      <c r="F2781" s="5" t="inlineStr">
        <is>
          <t>$128.00</t>
        </is>
      </c>
      <c r="G2781" s="5" t="inlineStr">
        <is>
          <t>$64.00</t>
        </is>
      </c>
      <c r="H2781" s="5" t="inlineStr">
        <is>
          <t>True Navy</t>
        </is>
      </c>
      <c r="I2781" s="5">
        <f>IMAGE("https://images.lululemon.com/is/image/lululemon/31382",1)</f>
        <v/>
      </c>
      <c r="J2781" s="5" t="inlineStr">
        <is>
          <t>12</t>
        </is>
      </c>
      <c r="K2781" s="5" t="inlineStr">
        <is>
          <t>6/45</t>
        </is>
      </c>
      <c r="L2781" s="5" t="inlineStr">
        <is>
          <t>Yes</t>
        </is>
      </c>
      <c r="M2781" s="5" t="inlineStr">
        <is>
          <t>Set your run free. This five-pocket version of our Fast and Free crop has seam-free inner thighs and a streamlined waistband to maximize that smooth, weightless feeling.</t>
        </is>
      </c>
      <c r="N2781" s="5" t="inlineStr">
        <is>
          <t>Nulux-5-Pocket-HR-Running-Crop-23-Ref</t>
        </is>
      </c>
      <c r="O2781" s="5" t="inlineStr"/>
    </row>
    <row r="2782" ht="80" customHeight="1">
      <c r="A2782" s="4">
        <f>IMAGE("https://images.lululemon.com/is/image/lululemon/LW3IHGS_033454_1?wid=320&amp;op_usm=0.8",1)</f>
        <v/>
      </c>
      <c r="B2782" s="4" t="inlineStr">
        <is>
          <t>It's Rulu Fleece Half Zip</t>
        </is>
      </c>
      <c r="C2782" s="4" t="inlineStr">
        <is>
          <t>158028893</t>
        </is>
      </c>
      <c r="D2782" s="4" t="inlineStr">
        <is>
          <t>158028893-lightivory</t>
        </is>
      </c>
      <c r="E2782" s="4" t="inlineStr">
        <is>
          <t>It's Rulu Fleece Half Zip LTIV 2</t>
        </is>
      </c>
      <c r="F2782" s="4" t="inlineStr">
        <is>
          <t>$118.00</t>
        </is>
      </c>
      <c r="G2782" s="4" t="inlineStr">
        <is>
          <t>$59.00</t>
        </is>
      </c>
      <c r="H2782" s="4" t="inlineStr">
        <is>
          <t>Light Ivory</t>
        </is>
      </c>
      <c r="I2782" s="4">
        <f>IMAGE("https://images.lululemon.com/is/image/lululemon/33454",1)</f>
        <v/>
      </c>
      <c r="J2782" s="4" t="inlineStr">
        <is>
          <t>2</t>
        </is>
      </c>
      <c r="K2782" s="4" t="inlineStr">
        <is>
          <t>36/247</t>
        </is>
      </c>
      <c r="L2782" s="4" t="inlineStr">
        <is>
          <t>Yes</t>
        </is>
      </c>
      <c r="M2782" s="4" t="inlineStr">
        <is>
          <t>Restore your body and mind in this cozy half-zip pullover. Soft, stretchy fabric lets you warm up, cool down, or simply relax in comfort.</t>
        </is>
      </c>
      <c r="N2782" s="4" t="inlineStr">
        <is>
          <t>Rulu-Fleece-Half-Zip</t>
        </is>
      </c>
      <c r="O2782" s="4" t="inlineStr">
        <is>
          <t>Half Zip Sweatshirts, Quarter Zip Sweatshirts</t>
        </is>
      </c>
    </row>
    <row r="2783" ht="80" customHeight="1">
      <c r="A2783" s="7">
        <f>IMAGE("https://images.lululemon.com/is/image/lululemon/LW3IHGS_033454_1?wid=320&amp;op_usm=0.8",1)</f>
        <v/>
      </c>
      <c r="B2783" s="7" t="inlineStr">
        <is>
          <t>It's Rulu Fleece Half Zip</t>
        </is>
      </c>
      <c r="C2783" s="7" t="inlineStr">
        <is>
          <t>158028904</t>
        </is>
      </c>
      <c r="D2783" s="7" t="inlineStr">
        <is>
          <t>158028904-lightivory</t>
        </is>
      </c>
      <c r="E2783" s="7" t="inlineStr">
        <is>
          <t>It's Rulu Fleece Half Zip LTIV 2</t>
        </is>
      </c>
      <c r="F2783" s="7" t="inlineStr">
        <is>
          <t>$118.00</t>
        </is>
      </c>
      <c r="G2783" s="7" t="inlineStr">
        <is>
          <t>$59.00</t>
        </is>
      </c>
      <c r="H2783" s="7" t="inlineStr">
        <is>
          <t>Light Ivory</t>
        </is>
      </c>
      <c r="I2783" s="7">
        <f>IMAGE("https://images.lululemon.com/is/image/lululemon/33454",1)</f>
        <v/>
      </c>
      <c r="J2783" s="7" t="inlineStr">
        <is>
          <t>4</t>
        </is>
      </c>
      <c r="K2783" s="7" t="inlineStr">
        <is>
          <t>48/247</t>
        </is>
      </c>
      <c r="L2783" s="7" t="inlineStr">
        <is>
          <t>Yes</t>
        </is>
      </c>
      <c r="M2783" s="7" t="inlineStr">
        <is>
          <t>Restore your body and mind in this cozy half-zip pullover. Soft, stretchy fabric lets you warm up, cool down, or simply relax in comfort.</t>
        </is>
      </c>
      <c r="N2783" s="7" t="inlineStr">
        <is>
          <t>Rulu-Fleece-Half-Zip</t>
        </is>
      </c>
      <c r="O2783" s="7" t="inlineStr">
        <is>
          <t>Half Zip Sweatshirts, Quarter Zip Sweatshirts</t>
        </is>
      </c>
    </row>
    <row r="2784" ht="80" customHeight="1">
      <c r="A2784" s="4">
        <f>IMAGE("https://images.lululemon.com/is/image/lululemon/LW3IHGS_033454_1?wid=320&amp;op_usm=0.8",1)</f>
        <v/>
      </c>
      <c r="B2784" s="4" t="inlineStr">
        <is>
          <t>It's Rulu Fleece Half Zip</t>
        </is>
      </c>
      <c r="C2784" s="4" t="inlineStr">
        <is>
          <t>158028914</t>
        </is>
      </c>
      <c r="D2784" s="4" t="inlineStr">
        <is>
          <t>158028914-lightivory</t>
        </is>
      </c>
      <c r="E2784" s="4" t="inlineStr">
        <is>
          <t>It's Rulu Fleece Half Zip LTIV 2</t>
        </is>
      </c>
      <c r="F2784" s="4" t="inlineStr">
        <is>
          <t>$118.00</t>
        </is>
      </c>
      <c r="G2784" s="4" t="inlineStr">
        <is>
          <t>$59.00</t>
        </is>
      </c>
      <c r="H2784" s="4" t="inlineStr">
        <is>
          <t>Light Ivory</t>
        </is>
      </c>
      <c r="I2784" s="4">
        <f>IMAGE("https://images.lululemon.com/is/image/lululemon/33454",1)</f>
        <v/>
      </c>
      <c r="J2784" s="4" t="inlineStr">
        <is>
          <t>6</t>
        </is>
      </c>
      <c r="K2784" s="4" t="inlineStr">
        <is>
          <t>58/247</t>
        </is>
      </c>
      <c r="L2784" s="4" t="inlineStr">
        <is>
          <t>Yes</t>
        </is>
      </c>
      <c r="M2784" s="4" t="inlineStr">
        <is>
          <t>Restore your body and mind in this cozy half-zip pullover. Soft, stretchy fabric lets you warm up, cool down, or simply relax in comfort.</t>
        </is>
      </c>
      <c r="N2784" s="4" t="inlineStr">
        <is>
          <t>Rulu-Fleece-Half-Zip</t>
        </is>
      </c>
      <c r="O2784" s="4" t="inlineStr">
        <is>
          <t>Half Zip Sweatshirts, Quarter Zip Sweatshirts</t>
        </is>
      </c>
    </row>
    <row r="2785" ht="80" customHeight="1">
      <c r="A2785" s="7">
        <f>IMAGE("https://images.lululemon.com/is/image/lululemon/LW3IHGS_033454_1?wid=320&amp;op_usm=0.8",1)</f>
        <v/>
      </c>
      <c r="B2785" s="7" t="inlineStr">
        <is>
          <t>It's Rulu Fleece Half Zip</t>
        </is>
      </c>
      <c r="C2785" s="7" t="inlineStr">
        <is>
          <t>158028922</t>
        </is>
      </c>
      <c r="D2785" s="7" t="inlineStr">
        <is>
          <t>158028922-lightivory</t>
        </is>
      </c>
      <c r="E2785" s="7" t="inlineStr">
        <is>
          <t>It's Rulu Fleece Half Zip LTIV 2</t>
        </is>
      </c>
      <c r="F2785" s="7" t="inlineStr">
        <is>
          <t>$118.00</t>
        </is>
      </c>
      <c r="G2785" s="7" t="inlineStr">
        <is>
          <t>$59.00</t>
        </is>
      </c>
      <c r="H2785" s="7" t="inlineStr">
        <is>
          <t>Light Ivory</t>
        </is>
      </c>
      <c r="I2785" s="7">
        <f>IMAGE("https://images.lululemon.com/is/image/lululemon/33454",1)</f>
        <v/>
      </c>
      <c r="J2785" s="7" t="inlineStr">
        <is>
          <t>8</t>
        </is>
      </c>
      <c r="K2785" s="7" t="inlineStr">
        <is>
          <t>51/247</t>
        </is>
      </c>
      <c r="L2785" s="7" t="inlineStr">
        <is>
          <t>Yes</t>
        </is>
      </c>
      <c r="M2785" s="7" t="inlineStr">
        <is>
          <t>Restore your body and mind in this cozy half-zip pullover. Soft, stretchy fabric lets you warm up, cool down, or simply relax in comfort.</t>
        </is>
      </c>
      <c r="N2785" s="7" t="inlineStr">
        <is>
          <t>Rulu-Fleece-Half-Zip</t>
        </is>
      </c>
      <c r="O2785" s="7" t="inlineStr">
        <is>
          <t>Half Zip Sweatshirts, Quarter Zip Sweatshirts</t>
        </is>
      </c>
    </row>
    <row r="2786" ht="80" customHeight="1">
      <c r="A2786" s="4">
        <f>IMAGE("https://images.lululemon.com/is/image/lululemon/LW3IHGS_033454_1?wid=320&amp;op_usm=0.8",1)</f>
        <v/>
      </c>
      <c r="B2786" s="4" t="inlineStr">
        <is>
          <t>It's Rulu Fleece Half Zip</t>
        </is>
      </c>
      <c r="C2786" s="4" t="inlineStr">
        <is>
          <t>158028871</t>
        </is>
      </c>
      <c r="D2786" s="4" t="inlineStr">
        <is>
          <t>158028871-lightivory</t>
        </is>
      </c>
      <c r="E2786" s="4" t="inlineStr">
        <is>
          <t>It's Rulu Fleece Half Zip LTIV 2</t>
        </is>
      </c>
      <c r="F2786" s="4" t="inlineStr">
        <is>
          <t>$118.00</t>
        </is>
      </c>
      <c r="G2786" s="4" t="inlineStr">
        <is>
          <t>$59.00</t>
        </is>
      </c>
      <c r="H2786" s="4" t="inlineStr">
        <is>
          <t>Light Ivory</t>
        </is>
      </c>
      <c r="I2786" s="4">
        <f>IMAGE("https://images.lululemon.com/is/image/lululemon/33454",1)</f>
        <v/>
      </c>
      <c r="J2786" s="4" t="inlineStr">
        <is>
          <t>10</t>
        </is>
      </c>
      <c r="K2786" s="4" t="inlineStr">
        <is>
          <t>35/247</t>
        </is>
      </c>
      <c r="L2786" s="4" t="inlineStr">
        <is>
          <t>Yes</t>
        </is>
      </c>
      <c r="M2786" s="4" t="inlineStr">
        <is>
          <t>Restore your body and mind in this cozy half-zip pullover. Soft, stretchy fabric lets you warm up, cool down, or simply relax in comfort.</t>
        </is>
      </c>
      <c r="N2786" s="4" t="inlineStr">
        <is>
          <t>Rulu-Fleece-Half-Zip</t>
        </is>
      </c>
      <c r="O2786" s="4" t="inlineStr">
        <is>
          <t>Half Zip Sweatshirts, Quarter Zip Sweatshirts</t>
        </is>
      </c>
    </row>
    <row r="2787" ht="80" customHeight="1">
      <c r="A2787" s="5">
        <f>IMAGE("https://images.lululemon.com/is/image/lululemon/LW3IHGS_033454_1?wid=320&amp;op_usm=0.8",1)</f>
        <v/>
      </c>
      <c r="B2787" s="5" t="inlineStr">
        <is>
          <t>It's Rulu Fleece Half Zip</t>
        </is>
      </c>
      <c r="C2787" s="5" t="inlineStr">
        <is>
          <t>158028882</t>
        </is>
      </c>
      <c r="D2787" s="5" t="inlineStr">
        <is>
          <t>158028882-lightivory</t>
        </is>
      </c>
      <c r="E2787" s="5" t="inlineStr">
        <is>
          <t>It's Rulu Fleece Half Zip LTIV 2</t>
        </is>
      </c>
      <c r="F2787" s="5" t="inlineStr">
        <is>
          <t>$118.00</t>
        </is>
      </c>
      <c r="G2787" s="5" t="inlineStr">
        <is>
          <t>$59.00</t>
        </is>
      </c>
      <c r="H2787" s="5" t="inlineStr">
        <is>
          <t>Light Ivory</t>
        </is>
      </c>
      <c r="I2787" s="5">
        <f>IMAGE("https://images.lululemon.com/is/image/lululemon/33454",1)</f>
        <v/>
      </c>
      <c r="J2787" s="5" t="inlineStr">
        <is>
          <t>12</t>
        </is>
      </c>
      <c r="K2787" s="5" t="inlineStr">
        <is>
          <t>19/247</t>
        </is>
      </c>
      <c r="L2787" s="5" t="inlineStr">
        <is>
          <t>Yes</t>
        </is>
      </c>
      <c r="M2787" s="5" t="inlineStr">
        <is>
          <t>Restore your body and mind in this cozy half-zip pullover. Soft, stretchy fabric lets you warm up, cool down, or simply relax in comfort.</t>
        </is>
      </c>
      <c r="N2787" s="5" t="inlineStr">
        <is>
          <t>Rulu-Fleece-Half-Zip</t>
        </is>
      </c>
      <c r="O2787" s="5" t="inlineStr">
        <is>
          <t>Half Zip Sweatshirts, Quarter Zip Sweatshirts</t>
        </is>
      </c>
    </row>
    <row r="2788" ht="80" customHeight="1">
      <c r="A2788" s="4">
        <f>IMAGE("https://images.lululemon.com/is/image/lululemon/LW3JPMS_072747_1?wid=320&amp;op_usm=0.8",1)</f>
        <v/>
      </c>
      <c r="B2788" s="4" t="inlineStr">
        <is>
          <t>Define Cropped Jacket *Herringbone</t>
        </is>
      </c>
      <c r="C2788" s="4" t="inlineStr">
        <is>
          <t>158027968</t>
        </is>
      </c>
      <c r="D2788" s="4" t="inlineStr">
        <is>
          <t>158027968-heatheredherringboneheatheredblackdovegrey</t>
        </is>
      </c>
      <c r="E2788" s="4" t="inlineStr">
        <is>
          <t>Define Cropped Jacket *Herringbone HHBD 2</t>
        </is>
      </c>
      <c r="F2788" s="4" t="inlineStr">
        <is>
          <t>$138.00</t>
        </is>
      </c>
      <c r="G2788" s="4" t="inlineStr">
        <is>
          <t>$69.00</t>
        </is>
      </c>
      <c r="H2788" s="4" t="inlineStr">
        <is>
          <t>Heathered Herringbone Heathered Black Dove Grey</t>
        </is>
      </c>
      <c r="I2788" s="4">
        <f>IMAGE("https://images.lululemon.com/is/image/lululemon/72746",1)</f>
        <v/>
      </c>
      <c r="J2788" s="4" t="inlineStr">
        <is>
          <t>2</t>
        </is>
      </c>
      <c r="K2788" s="4" t="inlineStr">
        <is>
          <t>52/2512</t>
        </is>
      </c>
      <c r="L2788" s="4" t="inlineStr">
        <is>
          <t>Yes</t>
        </is>
      </c>
      <c r="M2788" s="4" t="inlineStr">
        <is>
          <t>Whether you're up for adventure or ready for downtime, this herringbone version of our Define Cropped Jacket has a feel-good fit that can do it all.</t>
        </is>
      </c>
      <c r="N2788" s="4" t="inlineStr">
        <is>
          <t>Define-Cropped-Jacket-Herringbone</t>
        </is>
      </c>
      <c r="O2788" s="4" t="inlineStr">
        <is>
          <t>Zip Up Sweatshirts</t>
        </is>
      </c>
    </row>
    <row r="2789" ht="80" customHeight="1">
      <c r="A2789" s="7">
        <f>IMAGE("https://images.lululemon.com/is/image/lululemon/LW3JPMS_072747_1?wid=320&amp;op_usm=0.8",1)</f>
        <v/>
      </c>
      <c r="B2789" s="7" t="inlineStr">
        <is>
          <t>Define Cropped Jacket *Herringbone</t>
        </is>
      </c>
      <c r="C2789" s="7" t="inlineStr">
        <is>
          <t>158027977</t>
        </is>
      </c>
      <c r="D2789" s="7" t="inlineStr">
        <is>
          <t>158027977-heatheredherringboneheatheredblackdovegrey</t>
        </is>
      </c>
      <c r="E2789" s="7" t="inlineStr">
        <is>
          <t>Define Cropped Jacket *Herringbone HHBD 2</t>
        </is>
      </c>
      <c r="F2789" s="7" t="inlineStr">
        <is>
          <t>$138.00</t>
        </is>
      </c>
      <c r="G2789" s="7" t="inlineStr">
        <is>
          <t>$69.00</t>
        </is>
      </c>
      <c r="H2789" s="7" t="inlineStr">
        <is>
          <t>Heathered Herringbone Heathered Black Dove Grey</t>
        </is>
      </c>
      <c r="I2789" s="7">
        <f>IMAGE("https://images.lululemon.com/is/image/lululemon/72746",1)</f>
        <v/>
      </c>
      <c r="J2789" s="7" t="inlineStr">
        <is>
          <t>4</t>
        </is>
      </c>
      <c r="K2789" s="7" t="inlineStr">
        <is>
          <t>130/2512</t>
        </is>
      </c>
      <c r="L2789" s="7" t="inlineStr">
        <is>
          <t>Yes</t>
        </is>
      </c>
      <c r="M2789" s="7" t="inlineStr">
        <is>
          <t>Whether you're up for adventure or ready for downtime, this herringbone version of our Define Cropped Jacket has a feel-good fit that can do it all.</t>
        </is>
      </c>
      <c r="N2789" s="7" t="inlineStr">
        <is>
          <t>Define-Cropped-Jacket-Herringbone</t>
        </is>
      </c>
      <c r="O2789" s="7" t="inlineStr">
        <is>
          <t>Zip Up Sweatshirts</t>
        </is>
      </c>
    </row>
    <row r="2790" ht="80" customHeight="1">
      <c r="A2790" s="4">
        <f>IMAGE("https://images.lululemon.com/is/image/lululemon/LW3JPMS_072747_1?wid=320&amp;op_usm=0.8",1)</f>
        <v/>
      </c>
      <c r="B2790" s="4" t="inlineStr">
        <is>
          <t>Define Cropped Jacket *Herringbone</t>
        </is>
      </c>
      <c r="C2790" s="4" t="inlineStr">
        <is>
          <t>158027987</t>
        </is>
      </c>
      <c r="D2790" s="4" t="inlineStr">
        <is>
          <t>158027987-heatheredherringboneheatheredblackdovegrey</t>
        </is>
      </c>
      <c r="E2790" s="4" t="inlineStr">
        <is>
          <t>Define Cropped Jacket *Herringbone HHBD 2</t>
        </is>
      </c>
      <c r="F2790" s="4" t="inlineStr">
        <is>
          <t>$138.00</t>
        </is>
      </c>
      <c r="G2790" s="4" t="inlineStr">
        <is>
          <t>$69.00</t>
        </is>
      </c>
      <c r="H2790" s="4" t="inlineStr">
        <is>
          <t>Heathered Herringbone Heathered Black Dove Grey</t>
        </is>
      </c>
      <c r="I2790" s="4">
        <f>IMAGE("https://images.lululemon.com/is/image/lululemon/72746",1)</f>
        <v/>
      </c>
      <c r="J2790" s="4" t="inlineStr">
        <is>
          <t>6</t>
        </is>
      </c>
      <c r="K2790" s="4" t="inlineStr">
        <is>
          <t>200/2512</t>
        </is>
      </c>
      <c r="L2790" s="4" t="inlineStr">
        <is>
          <t>Yes</t>
        </is>
      </c>
      <c r="M2790" s="4" t="inlineStr">
        <is>
          <t>Whether you're up for adventure or ready for downtime, this herringbone version of our Define Cropped Jacket has a feel-good fit that can do it all.</t>
        </is>
      </c>
      <c r="N2790" s="4" t="inlineStr">
        <is>
          <t>Define-Cropped-Jacket-Herringbone</t>
        </is>
      </c>
      <c r="O2790" s="4" t="inlineStr">
        <is>
          <t>Zip Up Sweatshirts</t>
        </is>
      </c>
    </row>
    <row r="2791" ht="80" customHeight="1">
      <c r="A2791" s="7">
        <f>IMAGE("https://images.lululemon.com/is/image/lululemon/LW3JPMS_072747_1?wid=320&amp;op_usm=0.8",1)</f>
        <v/>
      </c>
      <c r="B2791" s="7" t="inlineStr">
        <is>
          <t>Define Cropped Jacket *Herringbone</t>
        </is>
      </c>
      <c r="C2791" s="7" t="inlineStr">
        <is>
          <t>158027992</t>
        </is>
      </c>
      <c r="D2791" s="7" t="inlineStr">
        <is>
          <t>158027992-heatheredherringboneheatheredblackdovegrey</t>
        </is>
      </c>
      <c r="E2791" s="7" t="inlineStr">
        <is>
          <t>Define Cropped Jacket *Herringbone HHBD 2</t>
        </is>
      </c>
      <c r="F2791" s="7" t="inlineStr">
        <is>
          <t>$138.00</t>
        </is>
      </c>
      <c r="G2791" s="7" t="inlineStr">
        <is>
          <t>$69.00</t>
        </is>
      </c>
      <c r="H2791" s="7" t="inlineStr">
        <is>
          <t>Heathered Herringbone Heathered Black Dove Grey</t>
        </is>
      </c>
      <c r="I2791" s="7">
        <f>IMAGE("https://images.lululemon.com/is/image/lululemon/72746",1)</f>
        <v/>
      </c>
      <c r="J2791" s="7" t="inlineStr">
        <is>
          <t>8</t>
        </is>
      </c>
      <c r="K2791" s="7" t="inlineStr">
        <is>
          <t>197/2512</t>
        </is>
      </c>
      <c r="L2791" s="7" t="inlineStr">
        <is>
          <t>Yes</t>
        </is>
      </c>
      <c r="M2791" s="7" t="inlineStr">
        <is>
          <t>Whether you're up for adventure or ready for downtime, this herringbone version of our Define Cropped Jacket has a feel-good fit that can do it all.</t>
        </is>
      </c>
      <c r="N2791" s="7" t="inlineStr">
        <is>
          <t>Define-Cropped-Jacket-Herringbone</t>
        </is>
      </c>
      <c r="O2791" s="7" t="inlineStr">
        <is>
          <t>Zip Up Sweatshirts</t>
        </is>
      </c>
    </row>
    <row r="2792" ht="80" customHeight="1">
      <c r="A2792" s="4">
        <f>IMAGE("https://images.lululemon.com/is/image/lululemon/LW3JPMS_072747_1?wid=320&amp;op_usm=0.8",1)</f>
        <v/>
      </c>
      <c r="B2792" s="4" t="inlineStr">
        <is>
          <t>Define Cropped Jacket *Herringbone</t>
        </is>
      </c>
      <c r="C2792" s="4" t="inlineStr">
        <is>
          <t>158027948</t>
        </is>
      </c>
      <c r="D2792" s="4" t="inlineStr">
        <is>
          <t>158027948-heatheredherringboneheatheredblackdovegrey</t>
        </is>
      </c>
      <c r="E2792" s="4" t="inlineStr">
        <is>
          <t>Define Cropped Jacket *Herringbone HHBD 2</t>
        </is>
      </c>
      <c r="F2792" s="4" t="inlineStr">
        <is>
          <t>$138.00</t>
        </is>
      </c>
      <c r="G2792" s="4" t="inlineStr">
        <is>
          <t>$69.00</t>
        </is>
      </c>
      <c r="H2792" s="4" t="inlineStr">
        <is>
          <t>Heathered Herringbone Heathered Black Dove Grey</t>
        </is>
      </c>
      <c r="I2792" s="4">
        <f>IMAGE("https://images.lululemon.com/is/image/lululemon/72746",1)</f>
        <v/>
      </c>
      <c r="J2792" s="4" t="inlineStr">
        <is>
          <t>10</t>
        </is>
      </c>
      <c r="K2792" s="4" t="inlineStr">
        <is>
          <t>128/2512</t>
        </is>
      </c>
      <c r="L2792" s="4" t="inlineStr">
        <is>
          <t>Yes</t>
        </is>
      </c>
      <c r="M2792" s="4" t="inlineStr">
        <is>
          <t>Whether you're up for adventure or ready for downtime, this herringbone version of our Define Cropped Jacket has a feel-good fit that can do it all.</t>
        </is>
      </c>
      <c r="N2792" s="4" t="inlineStr">
        <is>
          <t>Define-Cropped-Jacket-Herringbone</t>
        </is>
      </c>
      <c r="O2792" s="4" t="inlineStr">
        <is>
          <t>Zip Up Sweatshirts</t>
        </is>
      </c>
    </row>
    <row r="2793" ht="80" customHeight="1">
      <c r="A2793" s="7">
        <f>IMAGE("https://images.lululemon.com/is/image/lululemon/LW3JPMS_072747_1?wid=320&amp;op_usm=0.8",1)</f>
        <v/>
      </c>
      <c r="B2793" s="7" t="inlineStr">
        <is>
          <t>Define Cropped Jacket *Herringbone</t>
        </is>
      </c>
      <c r="C2793" s="7" t="inlineStr">
        <is>
          <t>158027962</t>
        </is>
      </c>
      <c r="D2793" s="7" t="inlineStr">
        <is>
          <t>158027962-heatheredherringboneheatheredblackdovegrey</t>
        </is>
      </c>
      <c r="E2793" s="7" t="inlineStr">
        <is>
          <t>Define Cropped Jacket *Herringbone HHBD 2</t>
        </is>
      </c>
      <c r="F2793" s="7" t="inlineStr">
        <is>
          <t>$138.00</t>
        </is>
      </c>
      <c r="G2793" s="7" t="inlineStr">
        <is>
          <t>$69.00</t>
        </is>
      </c>
      <c r="H2793" s="7" t="inlineStr">
        <is>
          <t>Heathered Herringbone Heathered Black Dove Grey</t>
        </is>
      </c>
      <c r="I2793" s="7">
        <f>IMAGE("https://images.lululemon.com/is/image/lululemon/72746",1)</f>
        <v/>
      </c>
      <c r="J2793" s="7" t="inlineStr">
        <is>
          <t>12</t>
        </is>
      </c>
      <c r="K2793" s="7" t="inlineStr">
        <is>
          <t>68/2512</t>
        </is>
      </c>
      <c r="L2793" s="7" t="inlineStr">
        <is>
          <t>Yes</t>
        </is>
      </c>
      <c r="M2793" s="7" t="inlineStr">
        <is>
          <t>Whether you're up for adventure or ready for downtime, this herringbone version of our Define Cropped Jacket has a feel-good fit that can do it all.</t>
        </is>
      </c>
      <c r="N2793" s="7" t="inlineStr">
        <is>
          <t>Define-Cropped-Jacket-Herringbone</t>
        </is>
      </c>
      <c r="O2793" s="7" t="inlineStr">
        <is>
          <t>Zip Up Sweatshirts</t>
        </is>
      </c>
    </row>
    <row r="2794" ht="80" customHeight="1">
      <c r="A2794" s="4">
        <f>IMAGE("https://images.lululemon.com/is/image/lululemon/LW3JPMS_072747_1?wid=320&amp;op_usm=0.8",1)</f>
        <v/>
      </c>
      <c r="B2794" s="4" t="inlineStr">
        <is>
          <t>Define Cropped Jacket *Herringbone</t>
        </is>
      </c>
      <c r="C2794" s="4" t="inlineStr">
        <is>
          <t>158030388</t>
        </is>
      </c>
      <c r="D2794" s="4" t="inlineStr">
        <is>
          <t>158030388-heatheredherringboneheatheredblackdovegrey</t>
        </is>
      </c>
      <c r="E2794" s="4" t="inlineStr">
        <is>
          <t>Define Cropped Jacket *Herringbone HHBD 2</t>
        </is>
      </c>
      <c r="F2794" s="4" t="inlineStr">
        <is>
          <t>$138.00</t>
        </is>
      </c>
      <c r="G2794" s="4" t="inlineStr">
        <is>
          <t>$69.00</t>
        </is>
      </c>
      <c r="H2794" s="4" t="inlineStr">
        <is>
          <t>Heathered Herringbone Heathered Black Dove Grey</t>
        </is>
      </c>
      <c r="I2794" s="4">
        <f>IMAGE("https://images.lululemon.com/is/image/lululemon/72746",1)</f>
        <v/>
      </c>
      <c r="J2794" s="4" t="inlineStr">
        <is>
          <t>14</t>
        </is>
      </c>
      <c r="K2794" s="4" t="inlineStr">
        <is>
          <t>2/2512</t>
        </is>
      </c>
      <c r="L2794" s="4" t="inlineStr">
        <is>
          <t>Yes</t>
        </is>
      </c>
      <c r="M2794" s="4" t="inlineStr">
        <is>
          <t>Whether you're up for adventure or ready for downtime, this herringbone version of our Define Cropped Jacket has a feel-good fit that can do it all.</t>
        </is>
      </c>
      <c r="N2794" s="4" t="inlineStr">
        <is>
          <t>Define-Cropped-Jacket-Herringbone</t>
        </is>
      </c>
      <c r="O2794" s="4" t="inlineStr">
        <is>
          <t>Zip Up Sweatshirts</t>
        </is>
      </c>
    </row>
    <row r="2795" ht="80" customHeight="1">
      <c r="A2795" s="7">
        <f>IMAGE("https://images.lululemon.com/is/image/lululemon/LW3JPMS_072747_1?wid=320&amp;op_usm=0.8",1)</f>
        <v/>
      </c>
      <c r="B2795" s="7" t="inlineStr">
        <is>
          <t>Define Cropped Jacket *Herringbone</t>
        </is>
      </c>
      <c r="C2795" s="7" t="inlineStr">
        <is>
          <t>158028024</t>
        </is>
      </c>
      <c r="D2795" s="7" t="inlineStr">
        <is>
          <t>158028024-heatheredherringboneheathereddeepcoalblack</t>
        </is>
      </c>
      <c r="E2795" s="7" t="inlineStr">
        <is>
          <t>Define Cropped Jacket *Herringbone HHBD 2</t>
        </is>
      </c>
      <c r="F2795" s="7" t="inlineStr">
        <is>
          <t>$138.00</t>
        </is>
      </c>
      <c r="G2795" s="7" t="inlineStr">
        <is>
          <t>$69.00</t>
        </is>
      </c>
      <c r="H2795" s="7" t="inlineStr">
        <is>
          <t>Heathered Herringbone Heathered Deep Coal Black</t>
        </is>
      </c>
      <c r="I2795" s="7">
        <f>IMAGE("https://images.lululemon.com/is/image/lululemon/72747",1)</f>
        <v/>
      </c>
      <c r="J2795" s="7" t="inlineStr">
        <is>
          <t>2</t>
        </is>
      </c>
      <c r="K2795" s="7" t="inlineStr">
        <is>
          <t>157/2512</t>
        </is>
      </c>
      <c r="L2795" s="7" t="inlineStr">
        <is>
          <t>Yes</t>
        </is>
      </c>
      <c r="M2795" s="7" t="inlineStr">
        <is>
          <t>Whether you're up for adventure or ready for downtime, this herringbone version of our Define Cropped Jacket has a feel-good fit that can do it all.</t>
        </is>
      </c>
      <c r="N2795" s="7" t="inlineStr">
        <is>
          <t>Define-Cropped-Jacket-Herringbone</t>
        </is>
      </c>
      <c r="O2795" s="7" t="inlineStr">
        <is>
          <t>Zip Up Sweatshirts</t>
        </is>
      </c>
    </row>
    <row r="2796" ht="80" customHeight="1">
      <c r="A2796" s="4">
        <f>IMAGE("https://images.lululemon.com/is/image/lululemon/LW3JPMS_072747_1?wid=320&amp;op_usm=0.8",1)</f>
        <v/>
      </c>
      <c r="B2796" s="4" t="inlineStr">
        <is>
          <t>Define Cropped Jacket *Herringbone</t>
        </is>
      </c>
      <c r="C2796" s="4" t="inlineStr">
        <is>
          <t>158028031</t>
        </is>
      </c>
      <c r="D2796" s="4" t="inlineStr">
        <is>
          <t>158028031-heatheredherringboneheathereddeepcoalblack</t>
        </is>
      </c>
      <c r="E2796" s="4" t="inlineStr">
        <is>
          <t>Define Cropped Jacket *Herringbone HHBD 2</t>
        </is>
      </c>
      <c r="F2796" s="4" t="inlineStr">
        <is>
          <t>$138.00</t>
        </is>
      </c>
      <c r="G2796" s="4" t="inlineStr">
        <is>
          <t>$69.00</t>
        </is>
      </c>
      <c r="H2796" s="4" t="inlineStr">
        <is>
          <t>Heathered Herringbone Heathered Deep Coal Black</t>
        </is>
      </c>
      <c r="I2796" s="4">
        <f>IMAGE("https://images.lululemon.com/is/image/lululemon/72747",1)</f>
        <v/>
      </c>
      <c r="J2796" s="4" t="inlineStr">
        <is>
          <t>4</t>
        </is>
      </c>
      <c r="K2796" s="4" t="inlineStr">
        <is>
          <t>346/2512</t>
        </is>
      </c>
      <c r="L2796" s="4" t="inlineStr">
        <is>
          <t>Yes</t>
        </is>
      </c>
      <c r="M2796" s="4" t="inlineStr">
        <is>
          <t>Whether you're up for adventure or ready for downtime, this herringbone version of our Define Cropped Jacket has a feel-good fit that can do it all.</t>
        </is>
      </c>
      <c r="N2796" s="4" t="inlineStr">
        <is>
          <t>Define-Cropped-Jacket-Herringbone</t>
        </is>
      </c>
      <c r="O2796" s="4" t="inlineStr">
        <is>
          <t>Zip Up Sweatshirts</t>
        </is>
      </c>
    </row>
    <row r="2797" ht="80" customHeight="1">
      <c r="A2797" s="7">
        <f>IMAGE("https://images.lululemon.com/is/image/lululemon/LW3JPMS_072747_1?wid=320&amp;op_usm=0.8",1)</f>
        <v/>
      </c>
      <c r="B2797" s="7" t="inlineStr">
        <is>
          <t>Define Cropped Jacket *Herringbone</t>
        </is>
      </c>
      <c r="C2797" s="7" t="inlineStr">
        <is>
          <t>158028038</t>
        </is>
      </c>
      <c r="D2797" s="7" t="inlineStr">
        <is>
          <t>158028038-heatheredherringboneheathereddeepcoalblack</t>
        </is>
      </c>
      <c r="E2797" s="7" t="inlineStr">
        <is>
          <t>Define Cropped Jacket *Herringbone HHBD 2</t>
        </is>
      </c>
      <c r="F2797" s="7" t="inlineStr">
        <is>
          <t>$138.00</t>
        </is>
      </c>
      <c r="G2797" s="7" t="inlineStr">
        <is>
          <t>$69.00</t>
        </is>
      </c>
      <c r="H2797" s="7" t="inlineStr">
        <is>
          <t>Heathered Herringbone Heathered Deep Coal Black</t>
        </is>
      </c>
      <c r="I2797" s="7">
        <f>IMAGE("https://images.lululemon.com/is/image/lululemon/72747",1)</f>
        <v/>
      </c>
      <c r="J2797" s="7" t="inlineStr">
        <is>
          <t>6</t>
        </is>
      </c>
      <c r="K2797" s="7" t="inlineStr">
        <is>
          <t>442/2512</t>
        </is>
      </c>
      <c r="L2797" s="7" t="inlineStr">
        <is>
          <t>Yes</t>
        </is>
      </c>
      <c r="M2797" s="7" t="inlineStr">
        <is>
          <t>Whether you're up for adventure or ready for downtime, this herringbone version of our Define Cropped Jacket has a feel-good fit that can do it all.</t>
        </is>
      </c>
      <c r="N2797" s="7" t="inlineStr">
        <is>
          <t>Define-Cropped-Jacket-Herringbone</t>
        </is>
      </c>
      <c r="O2797" s="7" t="inlineStr">
        <is>
          <t>Zip Up Sweatshirts</t>
        </is>
      </c>
    </row>
    <row r="2798" ht="80" customHeight="1">
      <c r="A2798" s="4">
        <f>IMAGE("https://images.lululemon.com/is/image/lululemon/LW3JPMS_072747_1?wid=320&amp;op_usm=0.8",1)</f>
        <v/>
      </c>
      <c r="B2798" s="4" t="inlineStr">
        <is>
          <t>Define Cropped Jacket *Herringbone</t>
        </is>
      </c>
      <c r="C2798" s="4" t="inlineStr">
        <is>
          <t>158028051</t>
        </is>
      </c>
      <c r="D2798" s="4" t="inlineStr">
        <is>
          <t>158028051-heatheredherringboneheathereddeepcoalblack</t>
        </is>
      </c>
      <c r="E2798" s="4" t="inlineStr">
        <is>
          <t>Define Cropped Jacket *Herringbone HHBD 2</t>
        </is>
      </c>
      <c r="F2798" s="4" t="inlineStr">
        <is>
          <t>$138.00</t>
        </is>
      </c>
      <c r="G2798" s="4" t="inlineStr">
        <is>
          <t>$69.00</t>
        </is>
      </c>
      <c r="H2798" s="4" t="inlineStr">
        <is>
          <t>Heathered Herringbone Heathered Deep Coal Black</t>
        </is>
      </c>
      <c r="I2798" s="4">
        <f>IMAGE("https://images.lululemon.com/is/image/lululemon/72747",1)</f>
        <v/>
      </c>
      <c r="J2798" s="4" t="inlineStr">
        <is>
          <t>8</t>
        </is>
      </c>
      <c r="K2798" s="4" t="inlineStr">
        <is>
          <t>367/2512</t>
        </is>
      </c>
      <c r="L2798" s="4" t="inlineStr">
        <is>
          <t>Yes</t>
        </is>
      </c>
      <c r="M2798" s="4" t="inlineStr">
        <is>
          <t>Whether you're up for adventure or ready for downtime, this herringbone version of our Define Cropped Jacket has a feel-good fit that can do it all.</t>
        </is>
      </c>
      <c r="N2798" s="4" t="inlineStr">
        <is>
          <t>Define-Cropped-Jacket-Herringbone</t>
        </is>
      </c>
      <c r="O2798" s="4" t="inlineStr">
        <is>
          <t>Zip Up Sweatshirts</t>
        </is>
      </c>
    </row>
    <row r="2799" ht="80" customHeight="1">
      <c r="A2799" s="7">
        <f>IMAGE("https://images.lululemon.com/is/image/lululemon/LW3JPMS_072747_1?wid=320&amp;op_usm=0.8",1)</f>
        <v/>
      </c>
      <c r="B2799" s="7" t="inlineStr">
        <is>
          <t>Define Cropped Jacket *Herringbone</t>
        </is>
      </c>
      <c r="C2799" s="7" t="inlineStr">
        <is>
          <t>158028006</t>
        </is>
      </c>
      <c r="D2799" s="7" t="inlineStr">
        <is>
          <t>158028006-heatheredherringboneheathereddeepcoalblack</t>
        </is>
      </c>
      <c r="E2799" s="7" t="inlineStr">
        <is>
          <t>Define Cropped Jacket *Herringbone HHBD 2</t>
        </is>
      </c>
      <c r="F2799" s="7" t="inlineStr">
        <is>
          <t>$138.00</t>
        </is>
      </c>
      <c r="G2799" s="7" t="inlineStr">
        <is>
          <t>$69.00</t>
        </is>
      </c>
      <c r="H2799" s="7" t="inlineStr">
        <is>
          <t>Heathered Herringbone Heathered Deep Coal Black</t>
        </is>
      </c>
      <c r="I2799" s="7">
        <f>IMAGE("https://images.lululemon.com/is/image/lululemon/72747",1)</f>
        <v/>
      </c>
      <c r="J2799" s="7" t="inlineStr">
        <is>
          <t>10</t>
        </is>
      </c>
      <c r="K2799" s="7" t="inlineStr">
        <is>
          <t>279/2512</t>
        </is>
      </c>
      <c r="L2799" s="7" t="inlineStr">
        <is>
          <t>Yes</t>
        </is>
      </c>
      <c r="M2799" s="7" t="inlineStr">
        <is>
          <t>Whether you're up for adventure or ready for downtime, this herringbone version of our Define Cropped Jacket has a feel-good fit that can do it all.</t>
        </is>
      </c>
      <c r="N2799" s="7" t="inlineStr">
        <is>
          <t>Define-Cropped-Jacket-Herringbone</t>
        </is>
      </c>
      <c r="O2799" s="7" t="inlineStr">
        <is>
          <t>Zip Up Sweatshirts</t>
        </is>
      </c>
    </row>
    <row r="2800" ht="80" customHeight="1">
      <c r="A2800" s="6">
        <f>IMAGE("https://images.lululemon.com/is/image/lululemon/LW3JPMS_072747_1?wid=320&amp;op_usm=0.8",1)</f>
        <v/>
      </c>
      <c r="B2800" s="6" t="inlineStr">
        <is>
          <t>Define Cropped Jacket *Herringbone</t>
        </is>
      </c>
      <c r="C2800" s="6" t="inlineStr">
        <is>
          <t>158028011</t>
        </is>
      </c>
      <c r="D2800" s="6" t="inlineStr">
        <is>
          <t>158028011-heatheredherringboneheathereddeepcoalblack</t>
        </is>
      </c>
      <c r="E2800" s="6" t="inlineStr">
        <is>
          <t>Define Cropped Jacket *Herringbone HHBD 2</t>
        </is>
      </c>
      <c r="F2800" s="6" t="inlineStr">
        <is>
          <t>$138.00</t>
        </is>
      </c>
      <c r="G2800" s="6" t="inlineStr">
        <is>
          <t>$69.00</t>
        </is>
      </c>
      <c r="H2800" s="6" t="inlineStr">
        <is>
          <t>Heathered Herringbone Heathered Deep Coal Black</t>
        </is>
      </c>
      <c r="I2800" s="6">
        <f>IMAGE("https://images.lululemon.com/is/image/lululemon/72747",1)</f>
        <v/>
      </c>
      <c r="J2800" s="6" t="inlineStr">
        <is>
          <t>12</t>
        </is>
      </c>
      <c r="K2800" s="6" t="inlineStr">
        <is>
          <t>144/2512</t>
        </is>
      </c>
      <c r="L2800" s="6" t="inlineStr">
        <is>
          <t>Yes</t>
        </is>
      </c>
      <c r="M2800" s="6" t="inlineStr">
        <is>
          <t>Whether you're up for adventure or ready for downtime, this herringbone version of our Define Cropped Jacket has a feel-good fit that can do it all.</t>
        </is>
      </c>
      <c r="N2800" s="6" t="inlineStr">
        <is>
          <t>Define-Cropped-Jacket-Herringbone</t>
        </is>
      </c>
      <c r="O2800" s="6" t="inlineStr">
        <is>
          <t>Zip Up Sweatshirts</t>
        </is>
      </c>
    </row>
    <row r="2801" ht="80" customHeight="1">
      <c r="A2801" s="7">
        <f>IMAGE("https://images.lululemon.com/is/image/lululemon/LU9DO6S_0002_1?wid=320&amp;op_usm=0.8",1)</f>
        <v/>
      </c>
      <c r="B2801" s="7" t="inlineStr">
        <is>
          <t>Unisex Daily Essential Quarter Socks</t>
        </is>
      </c>
      <c r="C2801" s="7" t="inlineStr">
        <is>
          <t>157768510</t>
        </is>
      </c>
      <c r="D2801" s="7" t="inlineStr">
        <is>
          <t>157768510-white</t>
        </is>
      </c>
      <c r="E2801" s="7" t="inlineStr">
        <is>
          <t>Daily Essential Socks WHT S</t>
        </is>
      </c>
      <c r="F2801" s="7" t="inlineStr">
        <is>
          <t>$14.00</t>
        </is>
      </c>
      <c r="G2801" s="7" t="inlineStr">
        <is>
          <t>$7.00</t>
        </is>
      </c>
      <c r="H2801" s="7" t="inlineStr">
        <is>
          <t>White</t>
        </is>
      </c>
      <c r="I2801" s="7">
        <f>IMAGE("https://images.lululemon.com/is/image/lululemon/0002",1)</f>
        <v/>
      </c>
      <c r="J2801" s="7" t="inlineStr">
        <is>
          <t>S</t>
        </is>
      </c>
      <c r="K2801" s="7" t="inlineStr">
        <is>
          <t>70/416</t>
        </is>
      </c>
      <c r="L2801" s="7" t="inlineStr">
        <is>
          <t>Yes</t>
        </is>
      </c>
      <c r="M2801" s="7" t="inlineStr">
        <is>
          <t>Top drawer comfort. These soft cotton socks combine integrated arch support and plush cushioning.</t>
        </is>
      </c>
      <c r="N2801" s="7" t="inlineStr">
        <is>
          <t>Unisex-Daily-Essential-Quarter-Socks</t>
        </is>
      </c>
      <c r="O2801" s="7" t="inlineStr">
        <is>
          <t>Quarter Socks</t>
        </is>
      </c>
    </row>
    <row r="2802" ht="80" customHeight="1">
      <c r="A2802" s="4">
        <f>IMAGE("https://images.lululemon.com/is/image/lululemon/LU9DO6S_0002_1?wid=320&amp;op_usm=0.8",1)</f>
        <v/>
      </c>
      <c r="B2802" s="4" t="inlineStr">
        <is>
          <t>Unisex Daily Essential Quarter Socks</t>
        </is>
      </c>
      <c r="C2802" s="4" t="inlineStr">
        <is>
          <t>157768508</t>
        </is>
      </c>
      <c r="D2802" s="4" t="inlineStr">
        <is>
          <t>157768508-white</t>
        </is>
      </c>
      <c r="E2802" s="4" t="inlineStr">
        <is>
          <t>Daily Essential Socks WHT S</t>
        </is>
      </c>
      <c r="F2802" s="4" t="inlineStr">
        <is>
          <t>$14.00</t>
        </is>
      </c>
      <c r="G2802" s="4" t="inlineStr">
        <is>
          <t>$7.00</t>
        </is>
      </c>
      <c r="H2802" s="4" t="inlineStr">
        <is>
          <t>White</t>
        </is>
      </c>
      <c r="I2802" s="4">
        <f>IMAGE("https://images.lululemon.com/is/image/lululemon/0002",1)</f>
        <v/>
      </c>
      <c r="J2802" s="4" t="inlineStr">
        <is>
          <t>M</t>
        </is>
      </c>
      <c r="K2802" s="4" t="inlineStr">
        <is>
          <t>149/416</t>
        </is>
      </c>
      <c r="L2802" s="4" t="inlineStr">
        <is>
          <t>Yes</t>
        </is>
      </c>
      <c r="M2802" s="4" t="inlineStr">
        <is>
          <t>Top drawer comfort. These soft cotton socks combine integrated arch support and plush cushioning.</t>
        </is>
      </c>
      <c r="N2802" s="4" t="inlineStr">
        <is>
          <t>Unisex-Daily-Essential-Quarter-Socks</t>
        </is>
      </c>
      <c r="O2802" s="4" t="inlineStr">
        <is>
          <t>Quarter Socks</t>
        </is>
      </c>
    </row>
    <row r="2803" ht="80" customHeight="1">
      <c r="A2803" s="7">
        <f>IMAGE("https://images.lululemon.com/is/image/lululemon/LU9DO6S_0002_1?wid=320&amp;op_usm=0.8",1)</f>
        <v/>
      </c>
      <c r="B2803" s="7" t="inlineStr">
        <is>
          <t>Unisex Daily Essential Quarter Socks</t>
        </is>
      </c>
      <c r="C2803" s="7" t="inlineStr">
        <is>
          <t>157768500</t>
        </is>
      </c>
      <c r="D2803" s="7" t="inlineStr">
        <is>
          <t>157768500-white</t>
        </is>
      </c>
      <c r="E2803" s="7" t="inlineStr">
        <is>
          <t>Daily Essential Socks WHT S</t>
        </is>
      </c>
      <c r="F2803" s="7" t="inlineStr">
        <is>
          <t>$14.00</t>
        </is>
      </c>
      <c r="G2803" s="7" t="inlineStr">
        <is>
          <t>$7.00</t>
        </is>
      </c>
      <c r="H2803" s="7" t="inlineStr">
        <is>
          <t>White</t>
        </is>
      </c>
      <c r="I2803" s="7">
        <f>IMAGE("https://images.lululemon.com/is/image/lululemon/0002",1)</f>
        <v/>
      </c>
      <c r="J2803" s="7" t="inlineStr">
        <is>
          <t>L</t>
        </is>
      </c>
      <c r="K2803" s="7" t="inlineStr">
        <is>
          <t>139/416</t>
        </is>
      </c>
      <c r="L2803" s="7" t="inlineStr">
        <is>
          <t>Yes</t>
        </is>
      </c>
      <c r="M2803" s="7" t="inlineStr">
        <is>
          <t>Top drawer comfort. These soft cotton socks combine integrated arch support and plush cushioning.</t>
        </is>
      </c>
      <c r="N2803" s="7" t="inlineStr">
        <is>
          <t>Unisex-Daily-Essential-Quarter-Socks</t>
        </is>
      </c>
      <c r="O2803" s="7" t="inlineStr">
        <is>
          <t>Quarter Socks</t>
        </is>
      </c>
    </row>
    <row r="2804" ht="80" customHeight="1">
      <c r="A2804" s="4">
        <f>IMAGE("https://images.lululemon.com/is/image/lululemon/LU9DO6S_0002_1?wid=320&amp;op_usm=0.8",1)</f>
        <v/>
      </c>
      <c r="B2804" s="4" t="inlineStr">
        <is>
          <t>Unisex Daily Essential Quarter Socks</t>
        </is>
      </c>
      <c r="C2804" s="4" t="inlineStr">
        <is>
          <t>157768516</t>
        </is>
      </c>
      <c r="D2804" s="4" t="inlineStr">
        <is>
          <t>157768516-white</t>
        </is>
      </c>
      <c r="E2804" s="4" t="inlineStr">
        <is>
          <t>Daily Essential Socks WHT S</t>
        </is>
      </c>
      <c r="F2804" s="4" t="inlineStr">
        <is>
          <t>$14.00</t>
        </is>
      </c>
      <c r="G2804" s="4" t="inlineStr">
        <is>
          <t>$7.00</t>
        </is>
      </c>
      <c r="H2804" s="4" t="inlineStr">
        <is>
          <t>White</t>
        </is>
      </c>
      <c r="I2804" s="4">
        <f>IMAGE("https://images.lululemon.com/is/image/lululemon/0002",1)</f>
        <v/>
      </c>
      <c r="J2804" s="4" t="inlineStr">
        <is>
          <t>XL</t>
        </is>
      </c>
      <c r="K2804" s="4" t="inlineStr">
        <is>
          <t>41/416</t>
        </is>
      </c>
      <c r="L2804" s="4" t="inlineStr">
        <is>
          <t>Yes</t>
        </is>
      </c>
      <c r="M2804" s="4" t="inlineStr">
        <is>
          <t>Top drawer comfort. These soft cotton socks combine integrated arch support and plush cushioning.</t>
        </is>
      </c>
      <c r="N2804" s="4" t="inlineStr">
        <is>
          <t>Unisex-Daily-Essential-Quarter-Socks</t>
        </is>
      </c>
      <c r="O2804" s="4" t="inlineStr">
        <is>
          <t>Quarter Socks</t>
        </is>
      </c>
    </row>
    <row r="2805" ht="80" customHeight="1">
      <c r="A2805" s="5">
        <f>IMAGE("https://images.lululemon.com/is/image/lululemon/LU9DO6S_0002_1?wid=320&amp;op_usm=0.8",1)</f>
        <v/>
      </c>
      <c r="B2805" s="5" t="inlineStr">
        <is>
          <t>Unisex Daily Essential Quarter Socks</t>
        </is>
      </c>
      <c r="C2805" s="5" t="inlineStr">
        <is>
          <t>157768482</t>
        </is>
      </c>
      <c r="D2805" s="5" t="inlineStr">
        <is>
          <t>157768482-black</t>
        </is>
      </c>
      <c r="E2805" s="5" t="inlineStr">
        <is>
          <t>Daily Essential Socks WHT S</t>
        </is>
      </c>
      <c r="F2805" s="5" t="inlineStr">
        <is>
          <t>$14.00</t>
        </is>
      </c>
      <c r="G2805" s="5" t="inlineStr">
        <is>
          <t>$7.00</t>
        </is>
      </c>
      <c r="H2805" s="5" t="inlineStr">
        <is>
          <t>Black</t>
        </is>
      </c>
      <c r="I2805" s="5">
        <f>IMAGE("https://images.lululemon.com/is/image/lululemon/0001",1)</f>
        <v/>
      </c>
      <c r="J2805" s="5" t="inlineStr">
        <is>
          <t>L</t>
        </is>
      </c>
      <c r="K2805" s="5" t="inlineStr">
        <is>
          <t>17/416</t>
        </is>
      </c>
      <c r="L2805" s="5" t="inlineStr">
        <is>
          <t>Yes</t>
        </is>
      </c>
      <c r="M2805" s="5" t="inlineStr">
        <is>
          <t>Top drawer comfort. These soft cotton socks combine integrated arch support and plush cushioning.</t>
        </is>
      </c>
      <c r="N2805" s="5" t="inlineStr">
        <is>
          <t>Unisex-Daily-Essential-Quarter-Socks</t>
        </is>
      </c>
      <c r="O2805" s="5" t="inlineStr">
        <is>
          <t>Quarter Socks</t>
        </is>
      </c>
    </row>
    <row r="2806" ht="80" customHeight="1">
      <c r="A2806" s="4">
        <f>IMAGE("https://images.lululemon.com/is/image/lululemon/LW2BYCS_0001_1?wid=320&amp;op_usm=0.8",1)</f>
        <v/>
      </c>
      <c r="B2806" s="4" t="inlineStr">
        <is>
          <t>Like a Cloud Bra *Light Support, B/C Cup</t>
        </is>
      </c>
      <c r="C2806" s="4" t="inlineStr">
        <is>
          <t>122500039</t>
        </is>
      </c>
      <c r="D2806" s="4" t="inlineStr">
        <is>
          <t>122500039-black</t>
        </is>
      </c>
      <c r="E2806" s="4" t="inlineStr">
        <is>
          <t>Like a Cloud Bra B/C BLK 2</t>
        </is>
      </c>
      <c r="F2806" s="4" t="inlineStr">
        <is>
          <t>$58.00</t>
        </is>
      </c>
      <c r="G2806" s="4" t="inlineStr">
        <is>
          <t>$29.00</t>
        </is>
      </c>
      <c r="H2806" s="4" t="inlineStr">
        <is>
          <t>Black</t>
        </is>
      </c>
      <c r="I2806" s="4">
        <f>IMAGE("https://images.lululemon.com/is/image/lululemon/0001",1)</f>
        <v/>
      </c>
      <c r="J2806" s="4" t="inlineStr">
        <is>
          <t>2</t>
        </is>
      </c>
      <c r="K2806" s="4" t="inlineStr">
        <is>
          <t>49/2605</t>
        </is>
      </c>
      <c r="L2806" s="4" t="inlineStr">
        <is>
          <t>Yes</t>
        </is>
      </c>
      <c r="M2806" s="4" t="inlineStr">
        <is>
          <t>Cushiony, pillowy, marshmallow-y. However we say it, it doesn't quite capture just how soft this yoga bra is.</t>
        </is>
      </c>
      <c r="N2806" s="4" t="inlineStr">
        <is>
          <t>Like-a-Cloud-Bra</t>
        </is>
      </c>
      <c r="O2806" s="4" t="inlineStr">
        <is>
          <t>Strappy Bras, Bralettes</t>
        </is>
      </c>
    </row>
    <row r="2807" ht="80" customHeight="1">
      <c r="A2807" s="7">
        <f>IMAGE("https://images.lululemon.com/is/image/lululemon/LW2BYCS_0001_1?wid=320&amp;op_usm=0.8",1)</f>
        <v/>
      </c>
      <c r="B2807" s="7" t="inlineStr">
        <is>
          <t>Like a Cloud Bra *Light Support, B/C Cup</t>
        </is>
      </c>
      <c r="C2807" s="7" t="inlineStr">
        <is>
          <t>122500040</t>
        </is>
      </c>
      <c r="D2807" s="7" t="inlineStr">
        <is>
          <t>122500040-black</t>
        </is>
      </c>
      <c r="E2807" s="7" t="inlineStr">
        <is>
          <t>Like a Cloud Bra B/C BLK 2</t>
        </is>
      </c>
      <c r="F2807" s="7" t="inlineStr">
        <is>
          <t>$58.00</t>
        </is>
      </c>
      <c r="G2807" s="7" t="inlineStr">
        <is>
          <t>$29.00</t>
        </is>
      </c>
      <c r="H2807" s="7" t="inlineStr">
        <is>
          <t>Black</t>
        </is>
      </c>
      <c r="I2807" s="7">
        <f>IMAGE("https://images.lululemon.com/is/image/lululemon/0001",1)</f>
        <v/>
      </c>
      <c r="J2807" s="7" t="inlineStr">
        <is>
          <t>4</t>
        </is>
      </c>
      <c r="K2807" s="7" t="inlineStr">
        <is>
          <t>340/2605</t>
        </is>
      </c>
      <c r="L2807" s="7" t="inlineStr">
        <is>
          <t>Yes</t>
        </is>
      </c>
      <c r="M2807" s="7" t="inlineStr">
        <is>
          <t>Cushiony, pillowy, marshmallow-y. However we say it, it doesn't quite capture just how soft this yoga bra is.</t>
        </is>
      </c>
      <c r="N2807" s="7" t="inlineStr">
        <is>
          <t>Like-a-Cloud-Bra</t>
        </is>
      </c>
      <c r="O2807" s="7" t="inlineStr">
        <is>
          <t>Strappy Bras, Bralettes</t>
        </is>
      </c>
    </row>
    <row r="2808" ht="80" customHeight="1">
      <c r="A2808" s="4">
        <f>IMAGE("https://images.lululemon.com/is/image/lululemon/LW2BYCS_0001_1?wid=320&amp;op_usm=0.8",1)</f>
        <v/>
      </c>
      <c r="B2808" s="4" t="inlineStr">
        <is>
          <t>Like a Cloud Bra *Light Support, B/C Cup</t>
        </is>
      </c>
      <c r="C2808" s="4" t="inlineStr">
        <is>
          <t>122500041</t>
        </is>
      </c>
      <c r="D2808" s="4" t="inlineStr">
        <is>
          <t>122500041-black</t>
        </is>
      </c>
      <c r="E2808" s="4" t="inlineStr">
        <is>
          <t>Like a Cloud Bra B/C BLK 2</t>
        </is>
      </c>
      <c r="F2808" s="4" t="inlineStr">
        <is>
          <t>$58.00</t>
        </is>
      </c>
      <c r="G2808" s="4" t="inlineStr">
        <is>
          <t>$29.00</t>
        </is>
      </c>
      <c r="H2808" s="4" t="inlineStr">
        <is>
          <t>Black</t>
        </is>
      </c>
      <c r="I2808" s="4">
        <f>IMAGE("https://images.lululemon.com/is/image/lululemon/0001",1)</f>
        <v/>
      </c>
      <c r="J2808" s="4" t="inlineStr">
        <is>
          <t>6</t>
        </is>
      </c>
      <c r="K2808" s="4" t="inlineStr">
        <is>
          <t>689/2605</t>
        </is>
      </c>
      <c r="L2808" s="4" t="inlineStr">
        <is>
          <t>Yes</t>
        </is>
      </c>
      <c r="M2808" s="4" t="inlineStr">
        <is>
          <t>Cushiony, pillowy, marshmallow-y. However we say it, it doesn't quite capture just how soft this yoga bra is.</t>
        </is>
      </c>
      <c r="N2808" s="4" t="inlineStr">
        <is>
          <t>Like-a-Cloud-Bra</t>
        </is>
      </c>
      <c r="O2808" s="4" t="inlineStr">
        <is>
          <t>Strappy Bras, Bralettes</t>
        </is>
      </c>
    </row>
    <row r="2809" ht="80" customHeight="1">
      <c r="A2809" s="7">
        <f>IMAGE("https://images.lululemon.com/is/image/lululemon/LW2BYCS_0001_1?wid=320&amp;op_usm=0.8",1)</f>
        <v/>
      </c>
      <c r="B2809" s="7" t="inlineStr">
        <is>
          <t>Like a Cloud Bra *Light Support, B/C Cup</t>
        </is>
      </c>
      <c r="C2809" s="7" t="inlineStr">
        <is>
          <t>122500042</t>
        </is>
      </c>
      <c r="D2809" s="7" t="inlineStr">
        <is>
          <t>122500042-black</t>
        </is>
      </c>
      <c r="E2809" s="7" t="inlineStr">
        <is>
          <t>Like a Cloud Bra B/C BLK 2</t>
        </is>
      </c>
      <c r="F2809" s="7" t="inlineStr">
        <is>
          <t>$58.00</t>
        </is>
      </c>
      <c r="G2809" s="7" t="inlineStr">
        <is>
          <t>$29.00</t>
        </is>
      </c>
      <c r="H2809" s="7" t="inlineStr">
        <is>
          <t>Black</t>
        </is>
      </c>
      <c r="I2809" s="7">
        <f>IMAGE("https://images.lululemon.com/is/image/lululemon/0001",1)</f>
        <v/>
      </c>
      <c r="J2809" s="7" t="inlineStr">
        <is>
          <t>8</t>
        </is>
      </c>
      <c r="K2809" s="7" t="inlineStr">
        <is>
          <t>694/2605</t>
        </is>
      </c>
      <c r="L2809" s="7" t="inlineStr">
        <is>
          <t>Yes</t>
        </is>
      </c>
      <c r="M2809" s="7" t="inlineStr">
        <is>
          <t>Cushiony, pillowy, marshmallow-y. However we say it, it doesn't quite capture just how soft this yoga bra is.</t>
        </is>
      </c>
      <c r="N2809" s="7" t="inlineStr">
        <is>
          <t>Like-a-Cloud-Bra</t>
        </is>
      </c>
      <c r="O2809" s="7" t="inlineStr">
        <is>
          <t>Strappy Bras, Bralettes</t>
        </is>
      </c>
    </row>
    <row r="2810" ht="80" customHeight="1">
      <c r="A2810" s="4">
        <f>IMAGE("https://images.lululemon.com/is/image/lululemon/LW2BYCS_0001_1?wid=320&amp;op_usm=0.8",1)</f>
        <v/>
      </c>
      <c r="B2810" s="4" t="inlineStr">
        <is>
          <t>Like a Cloud Bra *Light Support, B/C Cup</t>
        </is>
      </c>
      <c r="C2810" s="4" t="inlineStr">
        <is>
          <t>122500036</t>
        </is>
      </c>
      <c r="D2810" s="4" t="inlineStr">
        <is>
          <t>122500036-black</t>
        </is>
      </c>
      <c r="E2810" s="4" t="inlineStr">
        <is>
          <t>Like a Cloud Bra B/C BLK 2</t>
        </is>
      </c>
      <c r="F2810" s="4" t="inlineStr">
        <is>
          <t>$58.00</t>
        </is>
      </c>
      <c r="G2810" s="4" t="inlineStr">
        <is>
          <t>$29.00</t>
        </is>
      </c>
      <c r="H2810" s="4" t="inlineStr">
        <is>
          <t>Black</t>
        </is>
      </c>
      <c r="I2810" s="4">
        <f>IMAGE("https://images.lululemon.com/is/image/lululemon/0001",1)</f>
        <v/>
      </c>
      <c r="J2810" s="4" t="inlineStr">
        <is>
          <t>10</t>
        </is>
      </c>
      <c r="K2810" s="4" t="inlineStr">
        <is>
          <t>281/2605</t>
        </is>
      </c>
      <c r="L2810" s="4" t="inlineStr">
        <is>
          <t>Yes</t>
        </is>
      </c>
      <c r="M2810" s="4" t="inlineStr">
        <is>
          <t>Cushiony, pillowy, marshmallow-y. However we say it, it doesn't quite capture just how soft this yoga bra is.</t>
        </is>
      </c>
      <c r="N2810" s="4" t="inlineStr">
        <is>
          <t>Like-a-Cloud-Bra</t>
        </is>
      </c>
      <c r="O2810" s="4" t="inlineStr">
        <is>
          <t>Strappy Bras, Bralettes</t>
        </is>
      </c>
    </row>
    <row r="2811" ht="80" customHeight="1">
      <c r="A2811" s="7">
        <f>IMAGE("https://images.lululemon.com/is/image/lululemon/LW2BYCS_0001_1?wid=320&amp;op_usm=0.8",1)</f>
        <v/>
      </c>
      <c r="B2811" s="7" t="inlineStr">
        <is>
          <t>Like a Cloud Bra *Light Support, B/C Cup</t>
        </is>
      </c>
      <c r="C2811" s="7" t="inlineStr">
        <is>
          <t>122500037</t>
        </is>
      </c>
      <c r="D2811" s="7" t="inlineStr">
        <is>
          <t>122500037-black</t>
        </is>
      </c>
      <c r="E2811" s="7" t="inlineStr">
        <is>
          <t>Like a Cloud Bra B/C BLK 2</t>
        </is>
      </c>
      <c r="F2811" s="7" t="inlineStr">
        <is>
          <t>$58.00</t>
        </is>
      </c>
      <c r="G2811" s="7" t="inlineStr">
        <is>
          <t>$29.00</t>
        </is>
      </c>
      <c r="H2811" s="7" t="inlineStr">
        <is>
          <t>Black</t>
        </is>
      </c>
      <c r="I2811" s="7">
        <f>IMAGE("https://images.lululemon.com/is/image/lululemon/0001",1)</f>
        <v/>
      </c>
      <c r="J2811" s="7" t="inlineStr">
        <is>
          <t>12</t>
        </is>
      </c>
      <c r="K2811" s="7" t="inlineStr">
        <is>
          <t>99/2605</t>
        </is>
      </c>
      <c r="L2811" s="7" t="inlineStr">
        <is>
          <t>Yes</t>
        </is>
      </c>
      <c r="M2811" s="7" t="inlineStr">
        <is>
          <t>Cushiony, pillowy, marshmallow-y. However we say it, it doesn't quite capture just how soft this yoga bra is.</t>
        </is>
      </c>
      <c r="N2811" s="7" t="inlineStr">
        <is>
          <t>Like-a-Cloud-Bra</t>
        </is>
      </c>
      <c r="O2811" s="7" t="inlineStr">
        <is>
          <t>Strappy Bras, Bralettes</t>
        </is>
      </c>
    </row>
    <row r="2812" ht="80" customHeight="1">
      <c r="A2812" s="4">
        <f>IMAGE("https://images.lululemon.com/is/image/lululemon/LW2BYCS_0001_1?wid=320&amp;op_usm=0.8",1)</f>
        <v/>
      </c>
      <c r="B2812" s="4" t="inlineStr">
        <is>
          <t>Like a Cloud Bra *Light Support, B/C Cup</t>
        </is>
      </c>
      <c r="C2812" s="4" t="inlineStr">
        <is>
          <t>140575051</t>
        </is>
      </c>
      <c r="D2812" s="4" t="inlineStr">
        <is>
          <t>140575051-white</t>
        </is>
      </c>
      <c r="E2812" s="4" t="inlineStr">
        <is>
          <t>Like a Cloud Bra B/C BLK 2</t>
        </is>
      </c>
      <c r="F2812" s="4" t="inlineStr">
        <is>
          <t>$58.00</t>
        </is>
      </c>
      <c r="G2812" s="4" t="inlineStr">
        <is>
          <t>$29.00</t>
        </is>
      </c>
      <c r="H2812" s="4" t="inlineStr">
        <is>
          <t>White</t>
        </is>
      </c>
      <c r="I2812" s="4">
        <f>IMAGE("https://images.lululemon.com/is/image/lululemon/0002",1)</f>
        <v/>
      </c>
      <c r="J2812" s="4" t="inlineStr">
        <is>
          <t>2</t>
        </is>
      </c>
      <c r="K2812" s="4" t="inlineStr">
        <is>
          <t>16/2605</t>
        </is>
      </c>
      <c r="L2812" s="4" t="inlineStr">
        <is>
          <t>Yes</t>
        </is>
      </c>
      <c r="M2812" s="4" t="inlineStr">
        <is>
          <t>Cushiony, pillowy, marshmallow-y. However we say it, it doesn't quite capture just how soft this yoga bra is.</t>
        </is>
      </c>
      <c r="N2812" s="4" t="inlineStr">
        <is>
          <t>Like-a-Cloud-Bra</t>
        </is>
      </c>
      <c r="O2812" s="4" t="inlineStr">
        <is>
          <t>Strappy Bras, Bralettes</t>
        </is>
      </c>
    </row>
    <row r="2813" ht="80" customHeight="1">
      <c r="A2813" s="7">
        <f>IMAGE("https://images.lululemon.com/is/image/lululemon/LW2BYCS_0001_1?wid=320&amp;op_usm=0.8",1)</f>
        <v/>
      </c>
      <c r="B2813" s="7" t="inlineStr">
        <is>
          <t>Like a Cloud Bra *Light Support, B/C Cup</t>
        </is>
      </c>
      <c r="C2813" s="7" t="inlineStr">
        <is>
          <t>140575052</t>
        </is>
      </c>
      <c r="D2813" s="7" t="inlineStr">
        <is>
          <t>140575052-white</t>
        </is>
      </c>
      <c r="E2813" s="7" t="inlineStr">
        <is>
          <t>Like a Cloud Bra B/C BLK 2</t>
        </is>
      </c>
      <c r="F2813" s="7" t="inlineStr">
        <is>
          <t>$58.00</t>
        </is>
      </c>
      <c r="G2813" s="7" t="inlineStr">
        <is>
          <t>$29.00</t>
        </is>
      </c>
      <c r="H2813" s="7" t="inlineStr">
        <is>
          <t>White</t>
        </is>
      </c>
      <c r="I2813" s="7">
        <f>IMAGE("https://images.lululemon.com/is/image/lululemon/0002",1)</f>
        <v/>
      </c>
      <c r="J2813" s="7" t="inlineStr">
        <is>
          <t>4</t>
        </is>
      </c>
      <c r="K2813" s="7" t="inlineStr">
        <is>
          <t>30/2605</t>
        </is>
      </c>
      <c r="L2813" s="7" t="inlineStr">
        <is>
          <t>Yes</t>
        </is>
      </c>
      <c r="M2813" s="7" t="inlineStr">
        <is>
          <t>Cushiony, pillowy, marshmallow-y. However we say it, it doesn't quite capture just how soft this yoga bra is.</t>
        </is>
      </c>
      <c r="N2813" s="7" t="inlineStr">
        <is>
          <t>Like-a-Cloud-Bra</t>
        </is>
      </c>
      <c r="O2813" s="7" t="inlineStr">
        <is>
          <t>Strappy Bras, Bralettes</t>
        </is>
      </c>
    </row>
    <row r="2814" ht="80" customHeight="1">
      <c r="A2814" s="4">
        <f>IMAGE("https://images.lululemon.com/is/image/lululemon/LW2BYCS_0001_1?wid=320&amp;op_usm=0.8",1)</f>
        <v/>
      </c>
      <c r="B2814" s="4" t="inlineStr">
        <is>
          <t>Like a Cloud Bra *Light Support, B/C Cup</t>
        </is>
      </c>
      <c r="C2814" s="4" t="inlineStr">
        <is>
          <t>140575053</t>
        </is>
      </c>
      <c r="D2814" s="4" t="inlineStr">
        <is>
          <t>140575053-white</t>
        </is>
      </c>
      <c r="E2814" s="4" t="inlineStr">
        <is>
          <t>Like a Cloud Bra B/C BLK 2</t>
        </is>
      </c>
      <c r="F2814" s="4" t="inlineStr">
        <is>
          <t>$58.00</t>
        </is>
      </c>
      <c r="G2814" s="4" t="inlineStr">
        <is>
          <t>$29.00</t>
        </is>
      </c>
      <c r="H2814" s="4" t="inlineStr">
        <is>
          <t>White</t>
        </is>
      </c>
      <c r="I2814" s="4">
        <f>IMAGE("https://images.lululemon.com/is/image/lululemon/0002",1)</f>
        <v/>
      </c>
      <c r="J2814" s="4" t="inlineStr">
        <is>
          <t>6</t>
        </is>
      </c>
      <c r="K2814" s="4" t="inlineStr">
        <is>
          <t>45/2605</t>
        </is>
      </c>
      <c r="L2814" s="4" t="inlineStr">
        <is>
          <t>Yes</t>
        </is>
      </c>
      <c r="M2814" s="4" t="inlineStr">
        <is>
          <t>Cushiony, pillowy, marshmallow-y. However we say it, it doesn't quite capture just how soft this yoga bra is.</t>
        </is>
      </c>
      <c r="N2814" s="4" t="inlineStr">
        <is>
          <t>Like-a-Cloud-Bra</t>
        </is>
      </c>
      <c r="O2814" s="4" t="inlineStr">
        <is>
          <t>Strappy Bras, Bralettes</t>
        </is>
      </c>
    </row>
    <row r="2815" ht="80" customHeight="1">
      <c r="A2815" s="7">
        <f>IMAGE("https://images.lululemon.com/is/image/lululemon/LW2BYCS_0001_1?wid=320&amp;op_usm=0.8",1)</f>
        <v/>
      </c>
      <c r="B2815" s="7" t="inlineStr">
        <is>
          <t>Like a Cloud Bra *Light Support, B/C Cup</t>
        </is>
      </c>
      <c r="C2815" s="7" t="inlineStr">
        <is>
          <t>140575054</t>
        </is>
      </c>
      <c r="D2815" s="7" t="inlineStr">
        <is>
          <t>140575054-white</t>
        </is>
      </c>
      <c r="E2815" s="7" t="inlineStr">
        <is>
          <t>Like a Cloud Bra B/C BLK 2</t>
        </is>
      </c>
      <c r="F2815" s="7" t="inlineStr">
        <is>
          <t>$58.00</t>
        </is>
      </c>
      <c r="G2815" s="7" t="inlineStr">
        <is>
          <t>$29.00</t>
        </is>
      </c>
      <c r="H2815" s="7" t="inlineStr">
        <is>
          <t>White</t>
        </is>
      </c>
      <c r="I2815" s="7">
        <f>IMAGE("https://images.lululemon.com/is/image/lululemon/0002",1)</f>
        <v/>
      </c>
      <c r="J2815" s="7" t="inlineStr">
        <is>
          <t>8</t>
        </is>
      </c>
      <c r="K2815" s="7" t="inlineStr">
        <is>
          <t>39/2605</t>
        </is>
      </c>
      <c r="L2815" s="7" t="inlineStr">
        <is>
          <t>Yes</t>
        </is>
      </c>
      <c r="M2815" s="7" t="inlineStr">
        <is>
          <t>Cushiony, pillowy, marshmallow-y. However we say it, it doesn't quite capture just how soft this yoga bra is.</t>
        </is>
      </c>
      <c r="N2815" s="7" t="inlineStr">
        <is>
          <t>Like-a-Cloud-Bra</t>
        </is>
      </c>
      <c r="O2815" s="7" t="inlineStr">
        <is>
          <t>Strappy Bras, Bralettes</t>
        </is>
      </c>
    </row>
    <row r="2816" ht="80" customHeight="1">
      <c r="A2816" s="4">
        <f>IMAGE("https://images.lululemon.com/is/image/lululemon/LW2BYCS_0001_1?wid=320&amp;op_usm=0.8",1)</f>
        <v/>
      </c>
      <c r="B2816" s="4" t="inlineStr">
        <is>
          <t>Like a Cloud Bra *Light Support, B/C Cup</t>
        </is>
      </c>
      <c r="C2816" s="4" t="inlineStr">
        <is>
          <t>140575048</t>
        </is>
      </c>
      <c r="D2816" s="4" t="inlineStr">
        <is>
          <t>140575048-white</t>
        </is>
      </c>
      <c r="E2816" s="4" t="inlineStr">
        <is>
          <t>Like a Cloud Bra B/C BLK 2</t>
        </is>
      </c>
      <c r="F2816" s="4" t="inlineStr">
        <is>
          <t>$58.00</t>
        </is>
      </c>
      <c r="G2816" s="4" t="inlineStr">
        <is>
          <t>$29.00</t>
        </is>
      </c>
      <c r="H2816" s="4" t="inlineStr">
        <is>
          <t>White</t>
        </is>
      </c>
      <c r="I2816" s="4">
        <f>IMAGE("https://images.lululemon.com/is/image/lululemon/0002",1)</f>
        <v/>
      </c>
      <c r="J2816" s="4" t="inlineStr">
        <is>
          <t>10</t>
        </is>
      </c>
      <c r="K2816" s="4" t="inlineStr">
        <is>
          <t>22/2605</t>
        </is>
      </c>
      <c r="L2816" s="4" t="inlineStr">
        <is>
          <t>Yes</t>
        </is>
      </c>
      <c r="M2816" s="4" t="inlineStr">
        <is>
          <t>Cushiony, pillowy, marshmallow-y. However we say it, it doesn't quite capture just how soft this yoga bra is.</t>
        </is>
      </c>
      <c r="N2816" s="4" t="inlineStr">
        <is>
          <t>Like-a-Cloud-Bra</t>
        </is>
      </c>
      <c r="O2816" s="4" t="inlineStr">
        <is>
          <t>Strappy Bras, Bralettes</t>
        </is>
      </c>
    </row>
    <row r="2817" ht="80" customHeight="1">
      <c r="A2817" s="7">
        <f>IMAGE("https://images.lululemon.com/is/image/lululemon/LW2BYCS_0001_1?wid=320&amp;op_usm=0.8",1)</f>
        <v/>
      </c>
      <c r="B2817" s="7" t="inlineStr">
        <is>
          <t>Like a Cloud Bra *Light Support, B/C Cup</t>
        </is>
      </c>
      <c r="C2817" s="7" t="inlineStr">
        <is>
          <t>140575049</t>
        </is>
      </c>
      <c r="D2817" s="7" t="inlineStr">
        <is>
          <t>140575049-white</t>
        </is>
      </c>
      <c r="E2817" s="7" t="inlineStr">
        <is>
          <t>Like a Cloud Bra B/C BLK 2</t>
        </is>
      </c>
      <c r="F2817" s="7" t="inlineStr">
        <is>
          <t>$58.00</t>
        </is>
      </c>
      <c r="G2817" s="7" t="inlineStr">
        <is>
          <t>$29.00</t>
        </is>
      </c>
      <c r="H2817" s="7" t="inlineStr">
        <is>
          <t>White</t>
        </is>
      </c>
      <c r="I2817" s="7">
        <f>IMAGE("https://images.lululemon.com/is/image/lululemon/0002",1)</f>
        <v/>
      </c>
      <c r="J2817" s="7" t="inlineStr">
        <is>
          <t>12</t>
        </is>
      </c>
      <c r="K2817" s="7" t="inlineStr">
        <is>
          <t>22/2605</t>
        </is>
      </c>
      <c r="L2817" s="7" t="inlineStr">
        <is>
          <t>Yes</t>
        </is>
      </c>
      <c r="M2817" s="7" t="inlineStr">
        <is>
          <t>Cushiony, pillowy, marshmallow-y. However we say it, it doesn't quite capture just how soft this yoga bra is.</t>
        </is>
      </c>
      <c r="N2817" s="7" t="inlineStr">
        <is>
          <t>Like-a-Cloud-Bra</t>
        </is>
      </c>
      <c r="O2817" s="7" t="inlineStr">
        <is>
          <t>Strappy Bras, Bralettes</t>
        </is>
      </c>
    </row>
    <row r="2818" ht="80" customHeight="1">
      <c r="A2818" s="4">
        <f>IMAGE("https://images.lululemon.com/is/image/lululemon/LW2BYCS_0001_1?wid=320&amp;op_usm=0.8",1)</f>
        <v/>
      </c>
      <c r="B2818" s="4" t="inlineStr">
        <is>
          <t>Like a Cloud Bra *Light Support, B/C Cup</t>
        </is>
      </c>
      <c r="C2818" s="4" t="inlineStr">
        <is>
          <t>157700916</t>
        </is>
      </c>
      <c r="D2818" s="4" t="inlineStr">
        <is>
          <t>157700916-sereneblue</t>
        </is>
      </c>
      <c r="E2818" s="4" t="inlineStr">
        <is>
          <t>Like a Cloud Bra B/C BLK 2</t>
        </is>
      </c>
      <c r="F2818" s="4" t="inlineStr">
        <is>
          <t>$58.00</t>
        </is>
      </c>
      <c r="G2818" s="4" t="inlineStr">
        <is>
          <t>$29.00</t>
        </is>
      </c>
      <c r="H2818" s="4" t="inlineStr">
        <is>
          <t>Serene Blue</t>
        </is>
      </c>
      <c r="I2818" s="4">
        <f>IMAGE("https://images.lululemon.com/is/image/lululemon/32507",1)</f>
        <v/>
      </c>
      <c r="J2818" s="4" t="inlineStr">
        <is>
          <t>2</t>
        </is>
      </c>
      <c r="K2818" s="4" t="inlineStr">
        <is>
          <t>1/2605</t>
        </is>
      </c>
      <c r="L2818" s="4" t="inlineStr">
        <is>
          <t>Yes</t>
        </is>
      </c>
      <c r="M2818" s="4" t="inlineStr">
        <is>
          <t>Cushiony, pillowy, marshmallow-y. However we say it, it doesn't quite capture just how soft this yoga bra is.</t>
        </is>
      </c>
      <c r="N2818" s="4" t="inlineStr">
        <is>
          <t>Like-a-Cloud-Bra</t>
        </is>
      </c>
      <c r="O2818" s="4" t="inlineStr">
        <is>
          <t>Strappy Bras, Bralettes</t>
        </is>
      </c>
    </row>
    <row r="2819" ht="80" customHeight="1">
      <c r="A2819" s="7">
        <f>IMAGE("https://images.lululemon.com/is/image/lululemon/LW2BYCS_0001_1?wid=320&amp;op_usm=0.8",1)</f>
        <v/>
      </c>
      <c r="B2819" s="7" t="inlineStr">
        <is>
          <t>Like a Cloud Bra *Light Support, B/C Cup</t>
        </is>
      </c>
      <c r="C2819" s="7" t="inlineStr">
        <is>
          <t>157700918</t>
        </is>
      </c>
      <c r="D2819" s="7" t="inlineStr">
        <is>
          <t>157700918-sereneblue</t>
        </is>
      </c>
      <c r="E2819" s="7" t="inlineStr">
        <is>
          <t>Like a Cloud Bra B/C BLK 2</t>
        </is>
      </c>
      <c r="F2819" s="7" t="inlineStr">
        <is>
          <t>$58.00</t>
        </is>
      </c>
      <c r="G2819" s="7" t="inlineStr">
        <is>
          <t>$29.00</t>
        </is>
      </c>
      <c r="H2819" s="7" t="inlineStr">
        <is>
          <t>Serene Blue</t>
        </is>
      </c>
      <c r="I2819" s="7">
        <f>IMAGE("https://images.lululemon.com/is/image/lululemon/32507",1)</f>
        <v/>
      </c>
      <c r="J2819" s="7" t="inlineStr">
        <is>
          <t>6</t>
        </is>
      </c>
      <c r="K2819" s="7" t="inlineStr">
        <is>
          <t>17/2605</t>
        </is>
      </c>
      <c r="L2819" s="7" t="inlineStr">
        <is>
          <t>Yes</t>
        </is>
      </c>
      <c r="M2819" s="7" t="inlineStr">
        <is>
          <t>Cushiony, pillowy, marshmallow-y. However we say it, it doesn't quite capture just how soft this yoga bra is.</t>
        </is>
      </c>
      <c r="N2819" s="7" t="inlineStr">
        <is>
          <t>Like-a-Cloud-Bra</t>
        </is>
      </c>
      <c r="O2819" s="7" t="inlineStr">
        <is>
          <t>Strappy Bras, Bralettes</t>
        </is>
      </c>
    </row>
    <row r="2820" ht="80" customHeight="1">
      <c r="A2820" s="4">
        <f>IMAGE("https://images.lululemon.com/is/image/lululemon/LW2BYCS_0001_1?wid=320&amp;op_usm=0.8",1)</f>
        <v/>
      </c>
      <c r="B2820" s="4" t="inlineStr">
        <is>
          <t>Like a Cloud Bra *Light Support, B/C Cup</t>
        </is>
      </c>
      <c r="C2820" s="4" t="inlineStr">
        <is>
          <t>157700919</t>
        </is>
      </c>
      <c r="D2820" s="4" t="inlineStr">
        <is>
          <t>157700919-sereneblue</t>
        </is>
      </c>
      <c r="E2820" s="4" t="inlineStr">
        <is>
          <t>Like a Cloud Bra B/C BLK 2</t>
        </is>
      </c>
      <c r="F2820" s="4" t="inlineStr">
        <is>
          <t>$58.00</t>
        </is>
      </c>
      <c r="G2820" s="4" t="inlineStr">
        <is>
          <t>$29.00</t>
        </is>
      </c>
      <c r="H2820" s="4" t="inlineStr">
        <is>
          <t>Serene Blue</t>
        </is>
      </c>
      <c r="I2820" s="4">
        <f>IMAGE("https://images.lululemon.com/is/image/lululemon/32507",1)</f>
        <v/>
      </c>
      <c r="J2820" s="4" t="inlineStr">
        <is>
          <t>8</t>
        </is>
      </c>
      <c r="K2820" s="4" t="inlineStr">
        <is>
          <t>5/2605</t>
        </is>
      </c>
      <c r="L2820" s="4" t="inlineStr">
        <is>
          <t>Yes</t>
        </is>
      </c>
      <c r="M2820" s="4" t="inlineStr">
        <is>
          <t>Cushiony, pillowy, marshmallow-y. However we say it, it doesn't quite capture just how soft this yoga bra is.</t>
        </is>
      </c>
      <c r="N2820" s="4" t="inlineStr">
        <is>
          <t>Like-a-Cloud-Bra</t>
        </is>
      </c>
      <c r="O2820" s="4" t="inlineStr">
        <is>
          <t>Strappy Bras, Bralettes</t>
        </is>
      </c>
    </row>
    <row r="2821" ht="80" customHeight="1">
      <c r="A2821" s="7">
        <f>IMAGE("https://images.lululemon.com/is/image/lululemon/LW2BYCS_0001_1?wid=320&amp;op_usm=0.8",1)</f>
        <v/>
      </c>
      <c r="B2821" s="7" t="inlineStr">
        <is>
          <t>Like a Cloud Bra *Light Support, B/C Cup</t>
        </is>
      </c>
      <c r="C2821" s="7" t="inlineStr">
        <is>
          <t>157700914</t>
        </is>
      </c>
      <c r="D2821" s="7" t="inlineStr">
        <is>
          <t>157700914-sereneblue</t>
        </is>
      </c>
      <c r="E2821" s="7" t="inlineStr">
        <is>
          <t>Like a Cloud Bra B/C BLK 2</t>
        </is>
      </c>
      <c r="F2821" s="7" t="inlineStr">
        <is>
          <t>$58.00</t>
        </is>
      </c>
      <c r="G2821" s="7" t="inlineStr">
        <is>
          <t>$29.00</t>
        </is>
      </c>
      <c r="H2821" s="7" t="inlineStr">
        <is>
          <t>Serene Blue</t>
        </is>
      </c>
      <c r="I2821" s="7">
        <f>IMAGE("https://images.lululemon.com/is/image/lululemon/32507",1)</f>
        <v/>
      </c>
      <c r="J2821" s="7" t="inlineStr">
        <is>
          <t>10</t>
        </is>
      </c>
      <c r="K2821" s="7" t="inlineStr">
        <is>
          <t>11/2605</t>
        </is>
      </c>
      <c r="L2821" s="7" t="inlineStr">
        <is>
          <t>Yes</t>
        </is>
      </c>
      <c r="M2821" s="7" t="inlineStr">
        <is>
          <t>Cushiony, pillowy, marshmallow-y. However we say it, it doesn't quite capture just how soft this yoga bra is.</t>
        </is>
      </c>
      <c r="N2821" s="7" t="inlineStr">
        <is>
          <t>Like-a-Cloud-Bra</t>
        </is>
      </c>
      <c r="O2821" s="7" t="inlineStr">
        <is>
          <t>Strappy Bras, Bralettes</t>
        </is>
      </c>
    </row>
    <row r="2822" ht="80" customHeight="1">
      <c r="A2822" s="4">
        <f>IMAGE("https://images.lululemon.com/is/image/lululemon/LW2BYCS_0001_1?wid=320&amp;op_usm=0.8",1)</f>
        <v/>
      </c>
      <c r="B2822" s="4" t="inlineStr">
        <is>
          <t>Like a Cloud Bra *Light Support, B/C Cup</t>
        </is>
      </c>
      <c r="C2822" s="4" t="inlineStr">
        <is>
          <t>157700915</t>
        </is>
      </c>
      <c r="D2822" s="4" t="inlineStr">
        <is>
          <t>157700915-sereneblue</t>
        </is>
      </c>
      <c r="E2822" s="4" t="inlineStr">
        <is>
          <t>Like a Cloud Bra B/C BLK 2</t>
        </is>
      </c>
      <c r="F2822" s="4" t="inlineStr">
        <is>
          <t>$58.00</t>
        </is>
      </c>
      <c r="G2822" s="4" t="inlineStr">
        <is>
          <t>$29.00</t>
        </is>
      </c>
      <c r="H2822" s="4" t="inlineStr">
        <is>
          <t>Serene Blue</t>
        </is>
      </c>
      <c r="I2822" s="4">
        <f>IMAGE("https://images.lululemon.com/is/image/lululemon/32507",1)</f>
        <v/>
      </c>
      <c r="J2822" s="4" t="inlineStr">
        <is>
          <t>12</t>
        </is>
      </c>
      <c r="K2822" s="4" t="inlineStr">
        <is>
          <t>4/2605</t>
        </is>
      </c>
      <c r="L2822" s="4" t="inlineStr">
        <is>
          <t>Yes</t>
        </is>
      </c>
      <c r="M2822" s="4" t="inlineStr">
        <is>
          <t>Cushiony, pillowy, marshmallow-y. However we say it, it doesn't quite capture just how soft this yoga bra is.</t>
        </is>
      </c>
      <c r="N2822" s="4" t="inlineStr">
        <is>
          <t>Like-a-Cloud-Bra</t>
        </is>
      </c>
      <c r="O2822" s="4" t="inlineStr">
        <is>
          <t>Strappy Bras, Bralettes</t>
        </is>
      </c>
    </row>
    <row r="2823" ht="80" customHeight="1">
      <c r="A2823" s="7">
        <f>IMAGE("https://images.lululemon.com/is/image/lululemon/LW2BYCS_0001_1?wid=320&amp;op_usm=0.8",1)</f>
        <v/>
      </c>
      <c r="B2823" s="7" t="inlineStr">
        <is>
          <t>Like a Cloud Bra *Light Support, B/C Cup</t>
        </is>
      </c>
      <c r="C2823" s="7" t="inlineStr">
        <is>
          <t>157677030</t>
        </is>
      </c>
      <c r="D2823" s="7" t="inlineStr">
        <is>
          <t>157677030-blissfulpink</t>
        </is>
      </c>
      <c r="E2823" s="7" t="inlineStr">
        <is>
          <t>Like a Cloud Bra B/C BLK 2</t>
        </is>
      </c>
      <c r="F2823" s="7" t="inlineStr">
        <is>
          <t>$58.00</t>
        </is>
      </c>
      <c r="G2823" s="7" t="inlineStr">
        <is>
          <t>$29.00</t>
        </is>
      </c>
      <c r="H2823" s="7" t="inlineStr">
        <is>
          <t>Blissful Pink</t>
        </is>
      </c>
      <c r="I2823" s="7">
        <f>IMAGE("https://images.lululemon.com/is/image/lululemon/35486",1)</f>
        <v/>
      </c>
      <c r="J2823" s="7" t="inlineStr">
        <is>
          <t>2</t>
        </is>
      </c>
      <c r="K2823" s="7" t="inlineStr">
        <is>
          <t>7/2605</t>
        </is>
      </c>
      <c r="L2823" s="7" t="inlineStr">
        <is>
          <t>Yes</t>
        </is>
      </c>
      <c r="M2823" s="7" t="inlineStr">
        <is>
          <t>Cushiony, pillowy, marshmallow-y. However we say it, it doesn't quite capture just how soft this yoga bra is.</t>
        </is>
      </c>
      <c r="N2823" s="7" t="inlineStr">
        <is>
          <t>Like-a-Cloud-Bra</t>
        </is>
      </c>
      <c r="O2823" s="7" t="inlineStr">
        <is>
          <t>Strappy Bras, Bralettes</t>
        </is>
      </c>
    </row>
    <row r="2824" ht="80" customHeight="1">
      <c r="A2824" s="4">
        <f>IMAGE("https://images.lululemon.com/is/image/lululemon/LW2BYCS_0001_1?wid=320&amp;op_usm=0.8",1)</f>
        <v/>
      </c>
      <c r="B2824" s="4" t="inlineStr">
        <is>
          <t>Like a Cloud Bra *Light Support, B/C Cup</t>
        </is>
      </c>
      <c r="C2824" s="4" t="inlineStr">
        <is>
          <t>157677039</t>
        </is>
      </c>
      <c r="D2824" s="4" t="inlineStr">
        <is>
          <t>157677039-blissfulpink</t>
        </is>
      </c>
      <c r="E2824" s="4" t="inlineStr">
        <is>
          <t>Like a Cloud Bra B/C BLK 2</t>
        </is>
      </c>
      <c r="F2824" s="4" t="inlineStr">
        <is>
          <t>$58.00</t>
        </is>
      </c>
      <c r="G2824" s="4" t="inlineStr">
        <is>
          <t>$29.00</t>
        </is>
      </c>
      <c r="H2824" s="4" t="inlineStr">
        <is>
          <t>Blissful Pink</t>
        </is>
      </c>
      <c r="I2824" s="4">
        <f>IMAGE("https://images.lululemon.com/is/image/lululemon/35486",1)</f>
        <v/>
      </c>
      <c r="J2824" s="4" t="inlineStr">
        <is>
          <t>4</t>
        </is>
      </c>
      <c r="K2824" s="4" t="inlineStr">
        <is>
          <t>26/2605</t>
        </is>
      </c>
      <c r="L2824" s="4" t="inlineStr">
        <is>
          <t>Yes</t>
        </is>
      </c>
      <c r="M2824" s="4" t="inlineStr">
        <is>
          <t>Cushiony, pillowy, marshmallow-y. However we say it, it doesn't quite capture just how soft this yoga bra is.</t>
        </is>
      </c>
      <c r="N2824" s="4" t="inlineStr">
        <is>
          <t>Like-a-Cloud-Bra</t>
        </is>
      </c>
      <c r="O2824" s="4" t="inlineStr">
        <is>
          <t>Strappy Bras, Bralettes</t>
        </is>
      </c>
    </row>
    <row r="2825" ht="80" customHeight="1">
      <c r="A2825" s="7">
        <f>IMAGE("https://images.lululemon.com/is/image/lululemon/LW2BYCS_0001_1?wid=320&amp;op_usm=0.8",1)</f>
        <v/>
      </c>
      <c r="B2825" s="7" t="inlineStr">
        <is>
          <t>Like a Cloud Bra *Light Support, B/C Cup</t>
        </is>
      </c>
      <c r="C2825" s="7" t="inlineStr">
        <is>
          <t>157677049</t>
        </is>
      </c>
      <c r="D2825" s="7" t="inlineStr">
        <is>
          <t>157677049-blissfulpink</t>
        </is>
      </c>
      <c r="E2825" s="7" t="inlineStr">
        <is>
          <t>Like a Cloud Bra B/C BLK 2</t>
        </is>
      </c>
      <c r="F2825" s="7" t="inlineStr">
        <is>
          <t>$58.00</t>
        </is>
      </c>
      <c r="G2825" s="7" t="inlineStr">
        <is>
          <t>$29.00</t>
        </is>
      </c>
      <c r="H2825" s="7" t="inlineStr">
        <is>
          <t>Blissful Pink</t>
        </is>
      </c>
      <c r="I2825" s="7">
        <f>IMAGE("https://images.lululemon.com/is/image/lululemon/35486",1)</f>
        <v/>
      </c>
      <c r="J2825" s="7" t="inlineStr">
        <is>
          <t>6</t>
        </is>
      </c>
      <c r="K2825" s="7" t="inlineStr">
        <is>
          <t>44/2605</t>
        </is>
      </c>
      <c r="L2825" s="7" t="inlineStr">
        <is>
          <t>Yes</t>
        </is>
      </c>
      <c r="M2825" s="7" t="inlineStr">
        <is>
          <t>Cushiony, pillowy, marshmallow-y. However we say it, it doesn't quite capture just how soft this yoga bra is.</t>
        </is>
      </c>
      <c r="N2825" s="7" t="inlineStr">
        <is>
          <t>Like-a-Cloud-Bra</t>
        </is>
      </c>
      <c r="O2825" s="7" t="inlineStr">
        <is>
          <t>Strappy Bras, Bralettes</t>
        </is>
      </c>
    </row>
    <row r="2826" ht="80" customHeight="1">
      <c r="A2826" s="4">
        <f>IMAGE("https://images.lululemon.com/is/image/lululemon/LW2BYCS_0001_1?wid=320&amp;op_usm=0.8",1)</f>
        <v/>
      </c>
      <c r="B2826" s="4" t="inlineStr">
        <is>
          <t>Like a Cloud Bra *Light Support, B/C Cup</t>
        </is>
      </c>
      <c r="C2826" s="4" t="inlineStr">
        <is>
          <t>157677059</t>
        </is>
      </c>
      <c r="D2826" s="4" t="inlineStr">
        <is>
          <t>157677059-blissfulpink</t>
        </is>
      </c>
      <c r="E2826" s="4" t="inlineStr">
        <is>
          <t>Like a Cloud Bra B/C BLK 2</t>
        </is>
      </c>
      <c r="F2826" s="4" t="inlineStr">
        <is>
          <t>$58.00</t>
        </is>
      </c>
      <c r="G2826" s="4" t="inlineStr">
        <is>
          <t>$29.00</t>
        </is>
      </c>
      <c r="H2826" s="4" t="inlineStr">
        <is>
          <t>Blissful Pink</t>
        </is>
      </c>
      <c r="I2826" s="4">
        <f>IMAGE("https://images.lululemon.com/is/image/lululemon/35486",1)</f>
        <v/>
      </c>
      <c r="J2826" s="4" t="inlineStr">
        <is>
          <t>8</t>
        </is>
      </c>
      <c r="K2826" s="4" t="inlineStr">
        <is>
          <t>61/2605</t>
        </is>
      </c>
      <c r="L2826" s="4" t="inlineStr">
        <is>
          <t>Yes</t>
        </is>
      </c>
      <c r="M2826" s="4" t="inlineStr">
        <is>
          <t>Cushiony, pillowy, marshmallow-y. However we say it, it doesn't quite capture just how soft this yoga bra is.</t>
        </is>
      </c>
      <c r="N2826" s="4" t="inlineStr">
        <is>
          <t>Like-a-Cloud-Bra</t>
        </is>
      </c>
      <c r="O2826" s="4" t="inlineStr">
        <is>
          <t>Strappy Bras, Bralettes</t>
        </is>
      </c>
    </row>
    <row r="2827" ht="80" customHeight="1">
      <c r="A2827" s="7">
        <f>IMAGE("https://images.lululemon.com/is/image/lululemon/LW2BYCS_0001_1?wid=320&amp;op_usm=0.8",1)</f>
        <v/>
      </c>
      <c r="B2827" s="7" t="inlineStr">
        <is>
          <t>Like a Cloud Bra *Light Support, B/C Cup</t>
        </is>
      </c>
      <c r="C2827" s="7" t="inlineStr">
        <is>
          <t>157677006</t>
        </is>
      </c>
      <c r="D2827" s="7" t="inlineStr">
        <is>
          <t>157677006-blissfulpink</t>
        </is>
      </c>
      <c r="E2827" s="7" t="inlineStr">
        <is>
          <t>Like a Cloud Bra B/C BLK 2</t>
        </is>
      </c>
      <c r="F2827" s="7" t="inlineStr">
        <is>
          <t>$58.00</t>
        </is>
      </c>
      <c r="G2827" s="7" t="inlineStr">
        <is>
          <t>$29.00</t>
        </is>
      </c>
      <c r="H2827" s="7" t="inlineStr">
        <is>
          <t>Blissful Pink</t>
        </is>
      </c>
      <c r="I2827" s="7">
        <f>IMAGE("https://images.lululemon.com/is/image/lululemon/35486",1)</f>
        <v/>
      </c>
      <c r="J2827" s="7" t="inlineStr">
        <is>
          <t>10</t>
        </is>
      </c>
      <c r="K2827" s="7" t="inlineStr">
        <is>
          <t>45/2605</t>
        </is>
      </c>
      <c r="L2827" s="7" t="inlineStr">
        <is>
          <t>Yes</t>
        </is>
      </c>
      <c r="M2827" s="7" t="inlineStr">
        <is>
          <t>Cushiony, pillowy, marshmallow-y. However we say it, it doesn't quite capture just how soft this yoga bra is.</t>
        </is>
      </c>
      <c r="N2827" s="7" t="inlineStr">
        <is>
          <t>Like-a-Cloud-Bra</t>
        </is>
      </c>
      <c r="O2827" s="7" t="inlineStr">
        <is>
          <t>Strappy Bras, Bralettes</t>
        </is>
      </c>
    </row>
    <row r="2828" ht="80" customHeight="1">
      <c r="A2828" s="4">
        <f>IMAGE("https://images.lululemon.com/is/image/lululemon/LW2BYCS_0001_1?wid=320&amp;op_usm=0.8",1)</f>
        <v/>
      </c>
      <c r="B2828" s="4" t="inlineStr">
        <is>
          <t>Like a Cloud Bra *Light Support, B/C Cup</t>
        </is>
      </c>
      <c r="C2828" s="4" t="inlineStr">
        <is>
          <t>157677018</t>
        </is>
      </c>
      <c r="D2828" s="4" t="inlineStr">
        <is>
          <t>157677018-blissfulpink</t>
        </is>
      </c>
      <c r="E2828" s="4" t="inlineStr">
        <is>
          <t>Like a Cloud Bra B/C BLK 2</t>
        </is>
      </c>
      <c r="F2828" s="4" t="inlineStr">
        <is>
          <t>$58.00</t>
        </is>
      </c>
      <c r="G2828" s="4" t="inlineStr">
        <is>
          <t>$29.00</t>
        </is>
      </c>
      <c r="H2828" s="4" t="inlineStr">
        <is>
          <t>Blissful Pink</t>
        </is>
      </c>
      <c r="I2828" s="4">
        <f>IMAGE("https://images.lululemon.com/is/image/lululemon/35486",1)</f>
        <v/>
      </c>
      <c r="J2828" s="4" t="inlineStr">
        <is>
          <t>12</t>
        </is>
      </c>
      <c r="K2828" s="4" t="inlineStr">
        <is>
          <t>15/2605</t>
        </is>
      </c>
      <c r="L2828" s="4" t="inlineStr">
        <is>
          <t>Yes</t>
        </is>
      </c>
      <c r="M2828" s="4" t="inlineStr">
        <is>
          <t>Cushiony, pillowy, marshmallow-y. However we say it, it doesn't quite capture just how soft this yoga bra is.</t>
        </is>
      </c>
      <c r="N2828" s="4" t="inlineStr">
        <is>
          <t>Like-a-Cloud-Bra</t>
        </is>
      </c>
      <c r="O2828" s="4" t="inlineStr">
        <is>
          <t>Strappy Bras, Bralettes</t>
        </is>
      </c>
    </row>
    <row r="2829" ht="80" customHeight="1">
      <c r="A2829" s="7">
        <f>IMAGE("https://images.lululemon.com/is/image/lululemon/LW2BYCS_0001_1?wid=320&amp;op_usm=0.8",1)</f>
        <v/>
      </c>
      <c r="B2829" s="7" t="inlineStr">
        <is>
          <t>Like a Cloud Bra *Light Support, B/C Cup</t>
        </is>
      </c>
      <c r="C2829" s="7" t="inlineStr">
        <is>
          <t>156500836</t>
        </is>
      </c>
      <c r="D2829" s="7" t="inlineStr">
        <is>
          <t>156500836-pinkorganza</t>
        </is>
      </c>
      <c r="E2829" s="7" t="inlineStr">
        <is>
          <t>Like a Cloud Bra B/C BLK 2</t>
        </is>
      </c>
      <c r="F2829" s="7" t="inlineStr">
        <is>
          <t>$58.00</t>
        </is>
      </c>
      <c r="G2829" s="7" t="inlineStr">
        <is>
          <t>$29.00</t>
        </is>
      </c>
      <c r="H2829" s="7" t="inlineStr">
        <is>
          <t>Pink Organza</t>
        </is>
      </c>
      <c r="I2829" s="7">
        <f>IMAGE("https://images.lululemon.com/is/image/lululemon/70105",1)</f>
        <v/>
      </c>
      <c r="J2829" s="7" t="inlineStr">
        <is>
          <t>8</t>
        </is>
      </c>
      <c r="K2829" s="7" t="inlineStr">
        <is>
          <t>14/2605</t>
        </is>
      </c>
      <c r="L2829" s="7" t="inlineStr">
        <is>
          <t>Yes</t>
        </is>
      </c>
      <c r="M2829" s="7" t="inlineStr">
        <is>
          <t>Cushiony, pillowy, marshmallow-y. However we say it, it doesn't quite capture just how soft this yoga bra is.</t>
        </is>
      </c>
      <c r="N2829" s="7" t="inlineStr">
        <is>
          <t>Like-a-Cloud-Bra</t>
        </is>
      </c>
      <c r="O2829" s="7" t="inlineStr">
        <is>
          <t>Strappy Bras, Bralettes</t>
        </is>
      </c>
    </row>
    <row r="2830" ht="80" customHeight="1">
      <c r="A2830" s="4">
        <f>IMAGE("https://images.lululemon.com/is/image/lululemon/LW2BYCS_0001_1?wid=320&amp;op_usm=0.8",1)</f>
        <v/>
      </c>
      <c r="B2830" s="4" t="inlineStr">
        <is>
          <t>Like a Cloud Bra *Light Support, B/C Cup</t>
        </is>
      </c>
      <c r="C2830" s="4" t="inlineStr">
        <is>
          <t>156500736</t>
        </is>
      </c>
      <c r="D2830" s="4" t="inlineStr">
        <is>
          <t>156500736-pinkorganza</t>
        </is>
      </c>
      <c r="E2830" s="4" t="inlineStr">
        <is>
          <t>Like a Cloud Bra B/C BLK 2</t>
        </is>
      </c>
      <c r="F2830" s="4" t="inlineStr">
        <is>
          <t>$58.00</t>
        </is>
      </c>
      <c r="G2830" s="4" t="inlineStr">
        <is>
          <t>$29.00</t>
        </is>
      </c>
      <c r="H2830" s="4" t="inlineStr">
        <is>
          <t>Pink Organza</t>
        </is>
      </c>
      <c r="I2830" s="4">
        <f>IMAGE("https://images.lululemon.com/is/image/lululemon/70105",1)</f>
        <v/>
      </c>
      <c r="J2830" s="4" t="inlineStr">
        <is>
          <t>10</t>
        </is>
      </c>
      <c r="K2830" s="4" t="inlineStr">
        <is>
          <t>11/2605</t>
        </is>
      </c>
      <c r="L2830" s="4" t="inlineStr">
        <is>
          <t>Yes</t>
        </is>
      </c>
      <c r="M2830" s="4" t="inlineStr">
        <is>
          <t>Cushiony, pillowy, marshmallow-y. However we say it, it doesn't quite capture just how soft this yoga bra is.</t>
        </is>
      </c>
      <c r="N2830" s="4" t="inlineStr">
        <is>
          <t>Like-a-Cloud-Bra</t>
        </is>
      </c>
      <c r="O2830" s="4" t="inlineStr">
        <is>
          <t>Strappy Bras, Bralettes</t>
        </is>
      </c>
    </row>
    <row r="2831" ht="80" customHeight="1">
      <c r="A2831" s="5">
        <f>IMAGE("https://images.lululemon.com/is/image/lululemon/LW2BYCS_0001_1?wid=320&amp;op_usm=0.8",1)</f>
        <v/>
      </c>
      <c r="B2831" s="5" t="inlineStr">
        <is>
          <t>Like a Cloud Bra *Light Support, B/C Cup</t>
        </is>
      </c>
      <c r="C2831" s="5" t="inlineStr">
        <is>
          <t>156500753</t>
        </is>
      </c>
      <c r="D2831" s="5" t="inlineStr">
        <is>
          <t>156500753-pinkorganza</t>
        </is>
      </c>
      <c r="E2831" s="5" t="inlineStr">
        <is>
          <t>Like a Cloud Bra B/C BLK 2</t>
        </is>
      </c>
      <c r="F2831" s="5" t="inlineStr">
        <is>
          <t>$58.00</t>
        </is>
      </c>
      <c r="G2831" s="5" t="inlineStr">
        <is>
          <t>$29.00</t>
        </is>
      </c>
      <c r="H2831" s="5" t="inlineStr">
        <is>
          <t>Pink Organza</t>
        </is>
      </c>
      <c r="I2831" s="5">
        <f>IMAGE("https://images.lululemon.com/is/image/lululemon/70105",1)</f>
        <v/>
      </c>
      <c r="J2831" s="5" t="inlineStr">
        <is>
          <t>12</t>
        </is>
      </c>
      <c r="K2831" s="5" t="inlineStr">
        <is>
          <t>18/2605</t>
        </is>
      </c>
      <c r="L2831" s="5" t="inlineStr">
        <is>
          <t>Yes</t>
        </is>
      </c>
      <c r="M2831" s="5" t="inlineStr">
        <is>
          <t>Cushiony, pillowy, marshmallow-y. However we say it, it doesn't quite capture just how soft this yoga bra is.</t>
        </is>
      </c>
      <c r="N2831" s="5" t="inlineStr">
        <is>
          <t>Like-a-Cloud-Bra</t>
        </is>
      </c>
      <c r="O2831" s="5" t="inlineStr">
        <is>
          <t>Strappy Bras, Bralettes</t>
        </is>
      </c>
    </row>
    <row r="2832" ht="80" customHeight="1">
      <c r="A2832" s="6">
        <f>IMAGE("https://images.lululemon.com/is/image/lululemon/LW5EUSS_0001_1?wid=320&amp;op_usm=0.8",1)</f>
        <v/>
      </c>
      <c r="B2832" s="6" t="inlineStr">
        <is>
          <t>lululemon Align™ High-Rise Mini-Flare Pant *Regular</t>
        </is>
      </c>
      <c r="C2832" s="6" t="inlineStr">
        <is>
          <t>145450766</t>
        </is>
      </c>
      <c r="D2832" s="6" t="inlineStr">
        <is>
          <t>145450766-black</t>
        </is>
      </c>
      <c r="E2832" s="6" t="inlineStr">
        <is>
          <t>lululemon Align™ Mini-Flare Pant*Regular BLK 14</t>
        </is>
      </c>
      <c r="F2832" s="6" t="inlineStr">
        <is>
          <t>$128.00</t>
        </is>
      </c>
      <c r="G2832" s="6" t="inlineStr">
        <is>
          <t>$64.00</t>
        </is>
      </c>
      <c r="H2832" s="6" t="inlineStr">
        <is>
          <t>Black</t>
        </is>
      </c>
      <c r="I2832" s="6">
        <f>IMAGE("https://images.lululemon.com/is/image/lululemon/0001",1)</f>
        <v/>
      </c>
      <c r="J2832" s="6" t="inlineStr">
        <is>
          <t>14</t>
        </is>
      </c>
      <c r="K2832" s="6" t="inlineStr">
        <is>
          <t>79/79</t>
        </is>
      </c>
      <c r="L2832" s="6" t="inlineStr">
        <is>
          <t>Yes</t>
        </is>
      </c>
      <c r="M2832" s="6" t="inlineStr">
        <is>
          <t>When feeling nothing is everything. This version of our buttery-soft lululemon Align™ pants has subtle flares at the hems.</t>
        </is>
      </c>
      <c r="N2832" s="6" t="inlineStr">
        <is>
          <t>Align-HR-Mini-Flare-32</t>
        </is>
      </c>
      <c r="O2832" s="6" t="inlineStr"/>
    </row>
    <row r="2833" ht="80" customHeight="1">
      <c r="A2833" s="7">
        <f>IMAGE("https://images.lululemon.com/is/image/lululemon/LU9C80S_0001_1?wid=320&amp;op_usm=0.8",1)</f>
        <v/>
      </c>
      <c r="B2833" s="7" t="inlineStr">
        <is>
          <t>Everywhere Crossbody Bag 2L *Metal Hardware</t>
        </is>
      </c>
      <c r="C2833" s="7" t="inlineStr">
        <is>
          <t>153829113</t>
        </is>
      </c>
      <c r="D2833" s="7" t="inlineStr">
        <is>
          <t>153829113-black</t>
        </is>
      </c>
      <c r="E2833" s="7" t="inlineStr">
        <is>
          <t>Everywhere Crossbody Bag *Metal Hardware BLK ONE SIZE</t>
        </is>
      </c>
      <c r="F2833" s="7" t="inlineStr">
        <is>
          <t>$78.00</t>
        </is>
      </c>
      <c r="G2833" s="7" t="inlineStr">
        <is>
          <t>$39.00</t>
        </is>
      </c>
      <c r="H2833" s="7" t="inlineStr">
        <is>
          <t>Black</t>
        </is>
      </c>
      <c r="I2833" s="7">
        <f>IMAGE("https://images.lululemon.com/is/image/lululemon/0001",1)</f>
        <v/>
      </c>
      <c r="J2833" s="7" t="inlineStr">
        <is>
          <t>O/S</t>
        </is>
      </c>
      <c r="K2833" s="7" t="inlineStr">
        <is>
          <t>906/1282</t>
        </is>
      </c>
      <c r="L2833" s="7" t="inlineStr">
        <is>
          <t>Yes</t>
        </is>
      </c>
      <c r="M2833" s="7" t="inlineStr">
        <is>
          <t>Bringing you more of what you love. The Everywhere Crossbody comes equipped with strategically placed pockets inside and out and a removable strap to customize your look.</t>
        </is>
      </c>
      <c r="N2833" s="7" t="inlineStr">
        <is>
          <t>Everywhere-Crossbody-Bag-2L-Metal-Hardware</t>
        </is>
      </c>
      <c r="O2833" s="7" t="inlineStr">
        <is>
          <t>Crossbody Bags</t>
        </is>
      </c>
    </row>
    <row r="2834" ht="80" customHeight="1">
      <c r="A2834" s="6">
        <f>IMAGE("https://images.lululemon.com/is/image/lululemon/LU9C80S_0001_1?wid=320&amp;op_usm=0.8",1)</f>
        <v/>
      </c>
      <c r="B2834" s="6" t="inlineStr">
        <is>
          <t>Everywhere Crossbody Bag 2L *Metal Hardware</t>
        </is>
      </c>
      <c r="C2834" s="6" t="inlineStr">
        <is>
          <t>158020595</t>
        </is>
      </c>
      <c r="D2834" s="6" t="inlineStr">
        <is>
          <t>158020595-berryrumble/gold</t>
        </is>
      </c>
      <c r="E2834" s="6" t="inlineStr">
        <is>
          <t>Everywhere Crossbody Bag *Metal Hardware BLK ONE SIZE</t>
        </is>
      </c>
      <c r="F2834" s="6" t="inlineStr">
        <is>
          <t>$78.00</t>
        </is>
      </c>
      <c r="G2834" s="6" t="inlineStr">
        <is>
          <t>$39.00</t>
        </is>
      </c>
      <c r="H2834" s="6" t="inlineStr">
        <is>
          <t>Berry Rumble/Gold</t>
        </is>
      </c>
      <c r="I2834" s="6">
        <f>IMAGE("https://images.lululemon.com/is/image/lululemon/73255",1)</f>
        <v/>
      </c>
      <c r="J2834" s="6" t="inlineStr">
        <is>
          <t>O/S</t>
        </is>
      </c>
      <c r="K2834" s="6" t="inlineStr">
        <is>
          <t>376/1282</t>
        </is>
      </c>
      <c r="L2834" s="6" t="inlineStr">
        <is>
          <t>Yes</t>
        </is>
      </c>
      <c r="M2834" s="6" t="inlineStr">
        <is>
          <t>Bringing you more of what you love. The Everywhere Crossbody comes equipped with strategically placed pockets inside and out and a removable strap to customize your look.</t>
        </is>
      </c>
      <c r="N2834" s="6" t="inlineStr">
        <is>
          <t>Everywhere-Crossbody-Bag-2L-Metal-Hardware</t>
        </is>
      </c>
      <c r="O2834" s="6" t="inlineStr">
        <is>
          <t>Crossbody Bags</t>
        </is>
      </c>
    </row>
    <row r="2835" ht="80" customHeight="1">
      <c r="A2835" s="7">
        <f>IMAGE("https://images.lululemon.com/is/image/lululemon/LW5GZNT_068684_1?wid=320&amp;op_usm=0.8",1)</f>
        <v/>
      </c>
      <c r="B2835" s="7" t="inlineStr">
        <is>
          <t>Softstreme High-Rise Straight-Leg Pant *Tall</t>
        </is>
      </c>
      <c r="C2835" s="7" t="inlineStr">
        <is>
          <t>155853849</t>
        </is>
      </c>
      <c r="D2835" s="7" t="inlineStr">
        <is>
          <t>155853849-sheeroak</t>
        </is>
      </c>
      <c r="E2835" s="7" t="inlineStr">
        <is>
          <t>Softstreme™ HR Straight-Leg Pant *Tall SHOK XS</t>
        </is>
      </c>
      <c r="F2835" s="7" t="inlineStr">
        <is>
          <t>$128.00</t>
        </is>
      </c>
      <c r="G2835" s="7" t="inlineStr">
        <is>
          <t>$64.00</t>
        </is>
      </c>
      <c r="H2835" s="7" t="inlineStr">
        <is>
          <t>Sheer Oak</t>
        </is>
      </c>
      <c r="I2835" s="7">
        <f>IMAGE("https://images.lululemon.com/is/image/lululemon/68684",1)</f>
        <v/>
      </c>
      <c r="J2835" s="7" t="inlineStr">
        <is>
          <t>XS</t>
        </is>
      </c>
      <c r="K2835" s="7" t="inlineStr">
        <is>
          <t>26/530</t>
        </is>
      </c>
      <c r="L2835" s="7" t="inlineStr">
        <is>
          <t>Yes</t>
        </is>
      </c>
      <c r="M2835" s="7" t="inlineStr">
        <is>
          <t>Tailored for comfort. These pants have a trouser-inspired aesthetic and peach-fuzz touch that's impossible to resist. Dress them up or down, and enjoy the softness all day.</t>
        </is>
      </c>
      <c r="N2835" s="7" t="inlineStr">
        <is>
          <t>Softstreme-High-Rise-Straight-Leg-Pant-Tall</t>
        </is>
      </c>
      <c r="O2835" s="7" t="inlineStr"/>
    </row>
    <row r="2836" ht="80" customHeight="1">
      <c r="A2836" s="4">
        <f>IMAGE("https://images.lululemon.com/is/image/lululemon/LW5GZNT_068684_1?wid=320&amp;op_usm=0.8",1)</f>
        <v/>
      </c>
      <c r="B2836" s="4" t="inlineStr">
        <is>
          <t>Softstreme High-Rise Straight-Leg Pant *Tall</t>
        </is>
      </c>
      <c r="C2836" s="4" t="inlineStr">
        <is>
          <t>155853818</t>
        </is>
      </c>
      <c r="D2836" s="4" t="inlineStr">
        <is>
          <t>155853818-sheeroak</t>
        </is>
      </c>
      <c r="E2836" s="4" t="inlineStr">
        <is>
          <t>Softstreme™ HR Straight-Leg Pant *Tall SHOK XS</t>
        </is>
      </c>
      <c r="F2836" s="4" t="inlineStr">
        <is>
          <t>$128.00</t>
        </is>
      </c>
      <c r="G2836" s="4" t="inlineStr">
        <is>
          <t>$64.00</t>
        </is>
      </c>
      <c r="H2836" s="4" t="inlineStr">
        <is>
          <t>Sheer Oak</t>
        </is>
      </c>
      <c r="I2836" s="4">
        <f>IMAGE("https://images.lululemon.com/is/image/lululemon/68684",1)</f>
        <v/>
      </c>
      <c r="J2836" s="4" t="inlineStr">
        <is>
          <t>S</t>
        </is>
      </c>
      <c r="K2836" s="4" t="inlineStr">
        <is>
          <t>103/530</t>
        </is>
      </c>
      <c r="L2836" s="4" t="inlineStr">
        <is>
          <t>Yes</t>
        </is>
      </c>
      <c r="M2836" s="4" t="inlineStr">
        <is>
          <t>Tailored for comfort. These pants have a trouser-inspired aesthetic and peach-fuzz touch that's impossible to resist. Dress them up or down, and enjoy the softness all day.</t>
        </is>
      </c>
      <c r="N2836" s="4" t="inlineStr">
        <is>
          <t>Softstreme-High-Rise-Straight-Leg-Pant-Tall</t>
        </is>
      </c>
      <c r="O2836" s="4" t="inlineStr"/>
    </row>
    <row r="2837" ht="80" customHeight="1">
      <c r="A2837" s="7">
        <f>IMAGE("https://images.lululemon.com/is/image/lululemon/LW5GZNT_068684_1?wid=320&amp;op_usm=0.8",1)</f>
        <v/>
      </c>
      <c r="B2837" s="7" t="inlineStr">
        <is>
          <t>Softstreme High-Rise Straight-Leg Pant *Tall</t>
        </is>
      </c>
      <c r="C2837" s="7" t="inlineStr">
        <is>
          <t>155853801</t>
        </is>
      </c>
      <c r="D2837" s="7" t="inlineStr">
        <is>
          <t>155853801-sheeroak</t>
        </is>
      </c>
      <c r="E2837" s="7" t="inlineStr">
        <is>
          <t>Softstreme™ HR Straight-Leg Pant *Tall SHOK XS</t>
        </is>
      </c>
      <c r="F2837" s="7" t="inlineStr">
        <is>
          <t>$128.00</t>
        </is>
      </c>
      <c r="G2837" s="7" t="inlineStr">
        <is>
          <t>$64.00</t>
        </is>
      </c>
      <c r="H2837" s="7" t="inlineStr">
        <is>
          <t>Sheer Oak</t>
        </is>
      </c>
      <c r="I2837" s="7">
        <f>IMAGE("https://images.lululemon.com/is/image/lululemon/68684",1)</f>
        <v/>
      </c>
      <c r="J2837" s="7" t="inlineStr">
        <is>
          <t>M</t>
        </is>
      </c>
      <c r="K2837" s="7" t="inlineStr">
        <is>
          <t>187/530</t>
        </is>
      </c>
      <c r="L2837" s="7" t="inlineStr">
        <is>
          <t>Yes</t>
        </is>
      </c>
      <c r="M2837" s="7" t="inlineStr">
        <is>
          <t>Tailored for comfort. These pants have a trouser-inspired aesthetic and peach-fuzz touch that's impossible to resist. Dress them up or down, and enjoy the softness all day.</t>
        </is>
      </c>
      <c r="N2837" s="7" t="inlineStr">
        <is>
          <t>Softstreme-High-Rise-Straight-Leg-Pant-Tall</t>
        </is>
      </c>
      <c r="O2837" s="7" t="inlineStr"/>
    </row>
    <row r="2838" ht="80" customHeight="1">
      <c r="A2838" s="4">
        <f>IMAGE("https://images.lululemon.com/is/image/lululemon/LW5GZNT_068684_1?wid=320&amp;op_usm=0.8",1)</f>
        <v/>
      </c>
      <c r="B2838" s="4" t="inlineStr">
        <is>
          <t>Softstreme High-Rise Straight-Leg Pant *Tall</t>
        </is>
      </c>
      <c r="C2838" s="4" t="inlineStr">
        <is>
          <t>155853782</t>
        </is>
      </c>
      <c r="D2838" s="4" t="inlineStr">
        <is>
          <t>155853782-sheeroak</t>
        </is>
      </c>
      <c r="E2838" s="4" t="inlineStr">
        <is>
          <t>Softstreme™ HR Straight-Leg Pant *Tall SHOK XS</t>
        </is>
      </c>
      <c r="F2838" s="4" t="inlineStr">
        <is>
          <t>$128.00</t>
        </is>
      </c>
      <c r="G2838" s="4" t="inlineStr">
        <is>
          <t>$64.00</t>
        </is>
      </c>
      <c r="H2838" s="4" t="inlineStr">
        <is>
          <t>Sheer Oak</t>
        </is>
      </c>
      <c r="I2838" s="4">
        <f>IMAGE("https://images.lululemon.com/is/image/lululemon/68684",1)</f>
        <v/>
      </c>
      <c r="J2838" s="4" t="inlineStr">
        <is>
          <t>L</t>
        </is>
      </c>
      <c r="K2838" s="4" t="inlineStr">
        <is>
          <t>136/530</t>
        </is>
      </c>
      <c r="L2838" s="4" t="inlineStr">
        <is>
          <t>Yes</t>
        </is>
      </c>
      <c r="M2838" s="4" t="inlineStr">
        <is>
          <t>Tailored for comfort. These pants have a trouser-inspired aesthetic and peach-fuzz touch that's impossible to resist. Dress them up or down, and enjoy the softness all day.</t>
        </is>
      </c>
      <c r="N2838" s="4" t="inlineStr">
        <is>
          <t>Softstreme-High-Rise-Straight-Leg-Pant-Tall</t>
        </is>
      </c>
      <c r="O2838" s="4" t="inlineStr"/>
    </row>
    <row r="2839" ht="80" customHeight="1">
      <c r="A2839" s="5">
        <f>IMAGE("https://images.lululemon.com/is/image/lululemon/LW5GZNT_068684_1?wid=320&amp;op_usm=0.8",1)</f>
        <v/>
      </c>
      <c r="B2839" s="5" t="inlineStr">
        <is>
          <t>Softstreme High-Rise Straight-Leg Pant *Tall</t>
        </is>
      </c>
      <c r="C2839" s="5" t="inlineStr">
        <is>
          <t>155853832</t>
        </is>
      </c>
      <c r="D2839" s="5" t="inlineStr">
        <is>
          <t>155853832-sheeroak</t>
        </is>
      </c>
      <c r="E2839" s="5" t="inlineStr">
        <is>
          <t>Softstreme™ HR Straight-Leg Pant *Tall SHOK XS</t>
        </is>
      </c>
      <c r="F2839" s="5" t="inlineStr">
        <is>
          <t>$128.00</t>
        </is>
      </c>
      <c r="G2839" s="5" t="inlineStr">
        <is>
          <t>$64.00</t>
        </is>
      </c>
      <c r="H2839" s="5" t="inlineStr">
        <is>
          <t>Sheer Oak</t>
        </is>
      </c>
      <c r="I2839" s="5">
        <f>IMAGE("https://images.lululemon.com/is/image/lululemon/68684",1)</f>
        <v/>
      </c>
      <c r="J2839" s="5" t="inlineStr">
        <is>
          <t>XL</t>
        </is>
      </c>
      <c r="K2839" s="5" t="inlineStr">
        <is>
          <t>78/530</t>
        </is>
      </c>
      <c r="L2839" s="5" t="inlineStr">
        <is>
          <t>Yes</t>
        </is>
      </c>
      <c r="M2839" s="5" t="inlineStr">
        <is>
          <t>Tailored for comfort. These pants have a trouser-inspired aesthetic and peach-fuzz touch that's impossible to resist. Dress them up or down, and enjoy the softness all day.</t>
        </is>
      </c>
      <c r="N2839" s="5" t="inlineStr">
        <is>
          <t>Softstreme-High-Rise-Straight-Leg-Pant-Tall</t>
        </is>
      </c>
      <c r="O2839" s="5" t="inlineStr"/>
    </row>
    <row r="2840" ht="80" customHeight="1">
      <c r="A2840" s="4">
        <f>IMAGE("https://images.lululemon.com/is/image/lululemon/LW5HIWR_043731_1?wid=320&amp;op_usm=0.8",1)</f>
        <v/>
      </c>
      <c r="B2840" s="4" t="inlineStr">
        <is>
          <t>Stretch Twill Golf Pant Regular *Stitched Logo</t>
        </is>
      </c>
      <c r="C2840" s="4" t="inlineStr">
        <is>
          <t>158026069</t>
        </is>
      </c>
      <c r="D2840" s="4" t="inlineStr">
        <is>
          <t>158026069-ashenrose</t>
        </is>
      </c>
      <c r="E2840" s="4" t="inlineStr">
        <is>
          <t>Stretch Twill Golf Pant *Reg ASHR 22</t>
        </is>
      </c>
      <c r="F2840" s="4" t="inlineStr">
        <is>
          <t>$148.00</t>
        </is>
      </c>
      <c r="G2840" s="4" t="inlineStr">
        <is>
          <t>$74.00</t>
        </is>
      </c>
      <c r="H2840" s="4" t="inlineStr">
        <is>
          <t>Ashen Rose</t>
        </is>
      </c>
      <c r="I2840" s="4">
        <f>IMAGE("https://images.lululemon.com/is/image/lululemon/45797",1)</f>
        <v/>
      </c>
      <c r="J2840" s="4" t="inlineStr">
        <is>
          <t>22</t>
        </is>
      </c>
      <c r="K2840" s="4" t="inlineStr">
        <is>
          <t>4/2359</t>
        </is>
      </c>
      <c r="L2840" s="4" t="inlineStr">
        <is>
          <t>Yes</t>
        </is>
      </c>
      <c r="M2840" s="4" t="inlineStr">
        <is>
          <t>A good round, even in bad weather. These tailored golf pants are made from stretchy, water-repellent twill fabric that keeps you protected from the elements and looking smart.</t>
        </is>
      </c>
      <c r="N2840" s="4" t="inlineStr">
        <is>
          <t>Stretch-Twill-Golf-Pant-Regular-Stitched</t>
        </is>
      </c>
      <c r="O2840" s="4" t="inlineStr"/>
    </row>
    <row r="2841" ht="80" customHeight="1">
      <c r="A2841" s="7">
        <f>IMAGE("https://images.lululemon.com/is/image/lululemon/LW5HIWR_043731_1?wid=320&amp;op_usm=0.8",1)</f>
        <v/>
      </c>
      <c r="B2841" s="7" t="inlineStr">
        <is>
          <t>Stretch Twill Golf Pant Regular *Stitched Logo</t>
        </is>
      </c>
      <c r="C2841" s="7" t="inlineStr">
        <is>
          <t>158026130</t>
        </is>
      </c>
      <c r="D2841" s="7" t="inlineStr">
        <is>
          <t>158026130-ashenrose</t>
        </is>
      </c>
      <c r="E2841" s="7" t="inlineStr">
        <is>
          <t>Stretch Twill Golf Pant *Reg ASHR 22</t>
        </is>
      </c>
      <c r="F2841" s="7" t="inlineStr">
        <is>
          <t>$148.00</t>
        </is>
      </c>
      <c r="G2841" s="7" t="inlineStr">
        <is>
          <t>$74.00</t>
        </is>
      </c>
      <c r="H2841" s="7" t="inlineStr">
        <is>
          <t>Ashen Rose</t>
        </is>
      </c>
      <c r="I2841" s="7">
        <f>IMAGE("https://images.lululemon.com/is/image/lululemon/45797",1)</f>
        <v/>
      </c>
      <c r="J2841" s="7" t="inlineStr">
        <is>
          <t>24</t>
        </is>
      </c>
      <c r="K2841" s="7" t="inlineStr">
        <is>
          <t>10/2359</t>
        </is>
      </c>
      <c r="L2841" s="7" t="inlineStr">
        <is>
          <t>Yes</t>
        </is>
      </c>
      <c r="M2841" s="7" t="inlineStr">
        <is>
          <t>A good round, even in bad weather. These tailored golf pants are made from stretchy, water-repellent twill fabric that keeps you protected from the elements and looking smart.</t>
        </is>
      </c>
      <c r="N2841" s="7" t="inlineStr">
        <is>
          <t>Stretch-Twill-Golf-Pant-Regular-Stitched</t>
        </is>
      </c>
      <c r="O2841" s="7" t="inlineStr"/>
    </row>
    <row r="2842" ht="80" customHeight="1">
      <c r="A2842" s="4">
        <f>IMAGE("https://images.lululemon.com/is/image/lululemon/LW5HIWR_043731_1?wid=320&amp;op_usm=0.8",1)</f>
        <v/>
      </c>
      <c r="B2842" s="4" t="inlineStr">
        <is>
          <t>Stretch Twill Golf Pant Regular *Stitched Logo</t>
        </is>
      </c>
      <c r="C2842" s="4" t="inlineStr">
        <is>
          <t>158026156</t>
        </is>
      </c>
      <c r="D2842" s="4" t="inlineStr">
        <is>
          <t>158026156-ashenrose</t>
        </is>
      </c>
      <c r="E2842" s="4" t="inlineStr">
        <is>
          <t>Stretch Twill Golf Pant *Reg ASHR 22</t>
        </is>
      </c>
      <c r="F2842" s="4" t="inlineStr">
        <is>
          <t>$148.00</t>
        </is>
      </c>
      <c r="G2842" s="4" t="inlineStr">
        <is>
          <t>$74.00</t>
        </is>
      </c>
      <c r="H2842" s="4" t="inlineStr">
        <is>
          <t>Ashen Rose</t>
        </is>
      </c>
      <c r="I2842" s="4">
        <f>IMAGE("https://images.lululemon.com/is/image/lululemon/45797",1)</f>
        <v/>
      </c>
      <c r="J2842" s="4" t="inlineStr">
        <is>
          <t>25</t>
        </is>
      </c>
      <c r="K2842" s="4" t="inlineStr">
        <is>
          <t>48/2359</t>
        </is>
      </c>
      <c r="L2842" s="4" t="inlineStr">
        <is>
          <t>Yes</t>
        </is>
      </c>
      <c r="M2842" s="4" t="inlineStr">
        <is>
          <t>A good round, even in bad weather. These tailored golf pants are made from stretchy, water-repellent twill fabric that keeps you protected from the elements and looking smart.</t>
        </is>
      </c>
      <c r="N2842" s="4" t="inlineStr">
        <is>
          <t>Stretch-Twill-Golf-Pant-Regular-Stitched</t>
        </is>
      </c>
      <c r="O2842" s="4" t="inlineStr"/>
    </row>
    <row r="2843" ht="80" customHeight="1">
      <c r="A2843" s="7">
        <f>IMAGE("https://images.lululemon.com/is/image/lululemon/LW5HIWR_043731_1?wid=320&amp;op_usm=0.8",1)</f>
        <v/>
      </c>
      <c r="B2843" s="7" t="inlineStr">
        <is>
          <t>Stretch Twill Golf Pant Regular *Stitched Logo</t>
        </is>
      </c>
      <c r="C2843" s="7" t="inlineStr">
        <is>
          <t>158026188</t>
        </is>
      </c>
      <c r="D2843" s="7" t="inlineStr">
        <is>
          <t>158026188-ashenrose</t>
        </is>
      </c>
      <c r="E2843" s="7" t="inlineStr">
        <is>
          <t>Stretch Twill Golf Pant *Reg ASHR 22</t>
        </is>
      </c>
      <c r="F2843" s="7" t="inlineStr">
        <is>
          <t>$148.00</t>
        </is>
      </c>
      <c r="G2843" s="7" t="inlineStr">
        <is>
          <t>$74.00</t>
        </is>
      </c>
      <c r="H2843" s="7" t="inlineStr">
        <is>
          <t>Ashen Rose</t>
        </is>
      </c>
      <c r="I2843" s="7">
        <f>IMAGE("https://images.lululemon.com/is/image/lululemon/45797",1)</f>
        <v/>
      </c>
      <c r="J2843" s="7" t="inlineStr">
        <is>
          <t>26</t>
        </is>
      </c>
      <c r="K2843" s="7" t="inlineStr">
        <is>
          <t>69/2359</t>
        </is>
      </c>
      <c r="L2843" s="7" t="inlineStr">
        <is>
          <t>Yes</t>
        </is>
      </c>
      <c r="M2843" s="7" t="inlineStr">
        <is>
          <t>A good round, even in bad weather. These tailored golf pants are made from stretchy, water-repellent twill fabric that keeps you protected from the elements and looking smart.</t>
        </is>
      </c>
      <c r="N2843" s="7" t="inlineStr">
        <is>
          <t>Stretch-Twill-Golf-Pant-Regular-Stitched</t>
        </is>
      </c>
      <c r="O2843" s="7" t="inlineStr"/>
    </row>
    <row r="2844" ht="80" customHeight="1">
      <c r="A2844" s="4">
        <f>IMAGE("https://images.lululemon.com/is/image/lululemon/LW5HIWR_043731_1?wid=320&amp;op_usm=0.8",1)</f>
        <v/>
      </c>
      <c r="B2844" s="4" t="inlineStr">
        <is>
          <t>Stretch Twill Golf Pant Regular *Stitched Logo</t>
        </is>
      </c>
      <c r="C2844" s="4" t="inlineStr">
        <is>
          <t>158026211</t>
        </is>
      </c>
      <c r="D2844" s="4" t="inlineStr">
        <is>
          <t>158026211-ashenrose</t>
        </is>
      </c>
      <c r="E2844" s="4" t="inlineStr">
        <is>
          <t>Stretch Twill Golf Pant *Reg ASHR 22</t>
        </is>
      </c>
      <c r="F2844" s="4" t="inlineStr">
        <is>
          <t>$148.00</t>
        </is>
      </c>
      <c r="G2844" s="4" t="inlineStr">
        <is>
          <t>$74.00</t>
        </is>
      </c>
      <c r="H2844" s="4" t="inlineStr">
        <is>
          <t>Ashen Rose</t>
        </is>
      </c>
      <c r="I2844" s="4">
        <f>IMAGE("https://images.lululemon.com/is/image/lululemon/45797",1)</f>
        <v/>
      </c>
      <c r="J2844" s="4" t="inlineStr">
        <is>
          <t>27</t>
        </is>
      </c>
      <c r="K2844" s="4" t="inlineStr">
        <is>
          <t>71/2359</t>
        </is>
      </c>
      <c r="L2844" s="4" t="inlineStr">
        <is>
          <t>Yes</t>
        </is>
      </c>
      <c r="M2844" s="4" t="inlineStr">
        <is>
          <t>A good round, even in bad weather. These tailored golf pants are made from stretchy, water-repellent twill fabric that keeps you protected from the elements and looking smart.</t>
        </is>
      </c>
      <c r="N2844" s="4" t="inlineStr">
        <is>
          <t>Stretch-Twill-Golf-Pant-Regular-Stitched</t>
        </is>
      </c>
      <c r="O2844" s="4" t="inlineStr"/>
    </row>
    <row r="2845" ht="80" customHeight="1">
      <c r="A2845" s="7">
        <f>IMAGE("https://images.lululemon.com/is/image/lululemon/LW5HIWR_043731_1?wid=320&amp;op_usm=0.8",1)</f>
        <v/>
      </c>
      <c r="B2845" s="7" t="inlineStr">
        <is>
          <t>Stretch Twill Golf Pant Regular *Stitched Logo</t>
        </is>
      </c>
      <c r="C2845" s="7" t="inlineStr">
        <is>
          <t>158026238</t>
        </is>
      </c>
      <c r="D2845" s="7" t="inlineStr">
        <is>
          <t>158026238-ashenrose</t>
        </is>
      </c>
      <c r="E2845" s="7" t="inlineStr">
        <is>
          <t>Stretch Twill Golf Pant *Reg ASHR 22</t>
        </is>
      </c>
      <c r="F2845" s="7" t="inlineStr">
        <is>
          <t>$148.00</t>
        </is>
      </c>
      <c r="G2845" s="7" t="inlineStr">
        <is>
          <t>$74.00</t>
        </is>
      </c>
      <c r="H2845" s="7" t="inlineStr">
        <is>
          <t>Ashen Rose</t>
        </is>
      </c>
      <c r="I2845" s="7">
        <f>IMAGE("https://images.lululemon.com/is/image/lululemon/45797",1)</f>
        <v/>
      </c>
      <c r="J2845" s="7" t="inlineStr">
        <is>
          <t>28</t>
        </is>
      </c>
      <c r="K2845" s="7" t="inlineStr">
        <is>
          <t>61/2359</t>
        </is>
      </c>
      <c r="L2845" s="7" t="inlineStr">
        <is>
          <t>Yes</t>
        </is>
      </c>
      <c r="M2845" s="7" t="inlineStr">
        <is>
          <t>A good round, even in bad weather. These tailored golf pants are made from stretchy, water-repellent twill fabric that keeps you protected from the elements and looking smart.</t>
        </is>
      </c>
      <c r="N2845" s="7" t="inlineStr">
        <is>
          <t>Stretch-Twill-Golf-Pant-Regular-Stitched</t>
        </is>
      </c>
      <c r="O2845" s="7" t="inlineStr"/>
    </row>
    <row r="2846" ht="80" customHeight="1">
      <c r="A2846" s="4">
        <f>IMAGE("https://images.lululemon.com/is/image/lululemon/LW5HIWR_043731_1?wid=320&amp;op_usm=0.8",1)</f>
        <v/>
      </c>
      <c r="B2846" s="4" t="inlineStr">
        <is>
          <t>Stretch Twill Golf Pant Regular *Stitched Logo</t>
        </is>
      </c>
      <c r="C2846" s="4" t="inlineStr">
        <is>
          <t>158026265</t>
        </is>
      </c>
      <c r="D2846" s="4" t="inlineStr">
        <is>
          <t>158026265-ashenrose</t>
        </is>
      </c>
      <c r="E2846" s="4" t="inlineStr">
        <is>
          <t>Stretch Twill Golf Pant *Reg ASHR 22</t>
        </is>
      </c>
      <c r="F2846" s="4" t="inlineStr">
        <is>
          <t>$148.00</t>
        </is>
      </c>
      <c r="G2846" s="4" t="inlineStr">
        <is>
          <t>$74.00</t>
        </is>
      </c>
      <c r="H2846" s="4" t="inlineStr">
        <is>
          <t>Ashen Rose</t>
        </is>
      </c>
      <c r="I2846" s="4">
        <f>IMAGE("https://images.lululemon.com/is/image/lululemon/45797",1)</f>
        <v/>
      </c>
      <c r="J2846" s="4" t="inlineStr">
        <is>
          <t>29</t>
        </is>
      </c>
      <c r="K2846" s="4" t="inlineStr">
        <is>
          <t>66/2359</t>
        </is>
      </c>
      <c r="L2846" s="4" t="inlineStr">
        <is>
          <t>Yes</t>
        </is>
      </c>
      <c r="M2846" s="4" t="inlineStr">
        <is>
          <t>A good round, even in bad weather. These tailored golf pants are made from stretchy, water-repellent twill fabric that keeps you protected from the elements and looking smart.</t>
        </is>
      </c>
      <c r="N2846" s="4" t="inlineStr">
        <is>
          <t>Stretch-Twill-Golf-Pant-Regular-Stitched</t>
        </is>
      </c>
      <c r="O2846" s="4" t="inlineStr"/>
    </row>
    <row r="2847" ht="80" customHeight="1">
      <c r="A2847" s="7">
        <f>IMAGE("https://images.lululemon.com/is/image/lululemon/LW5HIWR_043731_1?wid=320&amp;op_usm=0.8",1)</f>
        <v/>
      </c>
      <c r="B2847" s="7" t="inlineStr">
        <is>
          <t>Stretch Twill Golf Pant Regular *Stitched Logo</t>
        </is>
      </c>
      <c r="C2847" s="7" t="inlineStr">
        <is>
          <t>158026297</t>
        </is>
      </c>
      <c r="D2847" s="7" t="inlineStr">
        <is>
          <t>158026297-ashenrose</t>
        </is>
      </c>
      <c r="E2847" s="7" t="inlineStr">
        <is>
          <t>Stretch Twill Golf Pant *Reg ASHR 22</t>
        </is>
      </c>
      <c r="F2847" s="7" t="inlineStr">
        <is>
          <t>$148.00</t>
        </is>
      </c>
      <c r="G2847" s="7" t="inlineStr">
        <is>
          <t>$74.00</t>
        </is>
      </c>
      <c r="H2847" s="7" t="inlineStr">
        <is>
          <t>Ashen Rose</t>
        </is>
      </c>
      <c r="I2847" s="7">
        <f>IMAGE("https://images.lululemon.com/is/image/lululemon/45797",1)</f>
        <v/>
      </c>
      <c r="J2847" s="7" t="inlineStr">
        <is>
          <t>30</t>
        </is>
      </c>
      <c r="K2847" s="7" t="inlineStr">
        <is>
          <t>40/2359</t>
        </is>
      </c>
      <c r="L2847" s="7" t="inlineStr">
        <is>
          <t>Yes</t>
        </is>
      </c>
      <c r="M2847" s="7" t="inlineStr">
        <is>
          <t>A good round, even in bad weather. These tailored golf pants are made from stretchy, water-repellent twill fabric that keeps you protected from the elements and looking smart.</t>
        </is>
      </c>
      <c r="N2847" s="7" t="inlineStr">
        <is>
          <t>Stretch-Twill-Golf-Pant-Regular-Stitched</t>
        </is>
      </c>
      <c r="O2847" s="7" t="inlineStr"/>
    </row>
    <row r="2848" ht="80" customHeight="1">
      <c r="A2848" s="4">
        <f>IMAGE("https://images.lululemon.com/is/image/lululemon/LW5HIWR_043731_1?wid=320&amp;op_usm=0.8",1)</f>
        <v/>
      </c>
      <c r="B2848" s="4" t="inlineStr">
        <is>
          <t>Stretch Twill Golf Pant Regular *Stitched Logo</t>
        </is>
      </c>
      <c r="C2848" s="4" t="inlineStr">
        <is>
          <t>158026323</t>
        </is>
      </c>
      <c r="D2848" s="4" t="inlineStr">
        <is>
          <t>158026323-ashenrose</t>
        </is>
      </c>
      <c r="E2848" s="4" t="inlineStr">
        <is>
          <t>Stretch Twill Golf Pant *Reg ASHR 22</t>
        </is>
      </c>
      <c r="F2848" s="4" t="inlineStr">
        <is>
          <t>$148.00</t>
        </is>
      </c>
      <c r="G2848" s="4" t="inlineStr">
        <is>
          <t>$74.00</t>
        </is>
      </c>
      <c r="H2848" s="4" t="inlineStr">
        <is>
          <t>Ashen Rose</t>
        </is>
      </c>
      <c r="I2848" s="4">
        <f>IMAGE("https://images.lululemon.com/is/image/lululemon/45797",1)</f>
        <v/>
      </c>
      <c r="J2848" s="4" t="inlineStr">
        <is>
          <t>31</t>
        </is>
      </c>
      <c r="K2848" s="4" t="inlineStr">
        <is>
          <t>24/2359</t>
        </is>
      </c>
      <c r="L2848" s="4" t="inlineStr">
        <is>
          <t>Yes</t>
        </is>
      </c>
      <c r="M2848" s="4" t="inlineStr">
        <is>
          <t>A good round, even in bad weather. These tailored golf pants are made from stretchy, water-repellent twill fabric that keeps you protected from the elements and looking smart.</t>
        </is>
      </c>
      <c r="N2848" s="4" t="inlineStr">
        <is>
          <t>Stretch-Twill-Golf-Pant-Regular-Stitched</t>
        </is>
      </c>
      <c r="O2848" s="4" t="inlineStr"/>
    </row>
    <row r="2849" ht="80" customHeight="1">
      <c r="A2849" s="7">
        <f>IMAGE("https://images.lululemon.com/is/image/lululemon/LW5HIWR_043731_1?wid=320&amp;op_usm=0.8",1)</f>
        <v/>
      </c>
      <c r="B2849" s="7" t="inlineStr">
        <is>
          <t>Stretch Twill Golf Pant Regular *Stitched Logo</t>
        </is>
      </c>
      <c r="C2849" s="7" t="inlineStr">
        <is>
          <t>158026353</t>
        </is>
      </c>
      <c r="D2849" s="7" t="inlineStr">
        <is>
          <t>158026353-ashenrose</t>
        </is>
      </c>
      <c r="E2849" s="7" t="inlineStr">
        <is>
          <t>Stretch Twill Golf Pant *Reg ASHR 22</t>
        </is>
      </c>
      <c r="F2849" s="7" t="inlineStr">
        <is>
          <t>$148.00</t>
        </is>
      </c>
      <c r="G2849" s="7" t="inlineStr">
        <is>
          <t>$74.00</t>
        </is>
      </c>
      <c r="H2849" s="7" t="inlineStr">
        <is>
          <t>Ashen Rose</t>
        </is>
      </c>
      <c r="I2849" s="7">
        <f>IMAGE("https://images.lululemon.com/is/image/lululemon/45797",1)</f>
        <v/>
      </c>
      <c r="J2849" s="7" t="inlineStr">
        <is>
          <t>32</t>
        </is>
      </c>
      <c r="K2849" s="7" t="inlineStr">
        <is>
          <t>34/2359</t>
        </is>
      </c>
      <c r="L2849" s="7" t="inlineStr">
        <is>
          <t>Yes</t>
        </is>
      </c>
      <c r="M2849" s="7" t="inlineStr">
        <is>
          <t>A good round, even in bad weather. These tailored golf pants are made from stretchy, water-repellent twill fabric that keeps you protected from the elements and looking smart.</t>
        </is>
      </c>
      <c r="N2849" s="7" t="inlineStr">
        <is>
          <t>Stretch-Twill-Golf-Pant-Regular-Stitched</t>
        </is>
      </c>
      <c r="O2849" s="7" t="inlineStr"/>
    </row>
    <row r="2850" ht="80" customHeight="1">
      <c r="A2850" s="4">
        <f>IMAGE("https://images.lululemon.com/is/image/lululemon/LW5HIWR_043731_1?wid=320&amp;op_usm=0.8",1)</f>
        <v/>
      </c>
      <c r="B2850" s="4" t="inlineStr">
        <is>
          <t>Stretch Twill Golf Pant Regular *Stitched Logo</t>
        </is>
      </c>
      <c r="C2850" s="4" t="inlineStr">
        <is>
          <t>158026377</t>
        </is>
      </c>
      <c r="D2850" s="4" t="inlineStr">
        <is>
          <t>158026377-ashenrose</t>
        </is>
      </c>
      <c r="E2850" s="4" t="inlineStr">
        <is>
          <t>Stretch Twill Golf Pant *Reg ASHR 22</t>
        </is>
      </c>
      <c r="F2850" s="4" t="inlineStr">
        <is>
          <t>$148.00</t>
        </is>
      </c>
      <c r="G2850" s="4" t="inlineStr">
        <is>
          <t>$74.00</t>
        </is>
      </c>
      <c r="H2850" s="4" t="inlineStr">
        <is>
          <t>Ashen Rose</t>
        </is>
      </c>
      <c r="I2850" s="4">
        <f>IMAGE("https://images.lululemon.com/is/image/lululemon/45797",1)</f>
        <v/>
      </c>
      <c r="J2850" s="4" t="inlineStr">
        <is>
          <t>33</t>
        </is>
      </c>
      <c r="K2850" s="4" t="inlineStr">
        <is>
          <t>12/2359</t>
        </is>
      </c>
      <c r="L2850" s="4" t="inlineStr">
        <is>
          <t>Yes</t>
        </is>
      </c>
      <c r="M2850" s="4" t="inlineStr">
        <is>
          <t>A good round, even in bad weather. These tailored golf pants are made from stretchy, water-repellent twill fabric that keeps you protected from the elements and looking smart.</t>
        </is>
      </c>
      <c r="N2850" s="4" t="inlineStr">
        <is>
          <t>Stretch-Twill-Golf-Pant-Regular-Stitched</t>
        </is>
      </c>
      <c r="O2850" s="4" t="inlineStr"/>
    </row>
    <row r="2851" ht="80" customHeight="1">
      <c r="A2851" s="7">
        <f>IMAGE("https://images.lululemon.com/is/image/lululemon/LW5HIWR_043731_1?wid=320&amp;op_usm=0.8",1)</f>
        <v/>
      </c>
      <c r="B2851" s="7" t="inlineStr">
        <is>
          <t>Stretch Twill Golf Pant Regular *Stitched Logo</t>
        </is>
      </c>
      <c r="C2851" s="7" t="inlineStr">
        <is>
          <t>158026402</t>
        </is>
      </c>
      <c r="D2851" s="7" t="inlineStr">
        <is>
          <t>158026402-clubblue</t>
        </is>
      </c>
      <c r="E2851" s="7" t="inlineStr">
        <is>
          <t>Stretch Twill Golf Pant *Reg ASHR 22</t>
        </is>
      </c>
      <c r="F2851" s="7" t="inlineStr">
        <is>
          <t>$148.00</t>
        </is>
      </c>
      <c r="G2851" s="7" t="inlineStr">
        <is>
          <t>$74.00</t>
        </is>
      </c>
      <c r="H2851" s="7" t="inlineStr">
        <is>
          <t>Club Blue</t>
        </is>
      </c>
      <c r="I2851" s="7">
        <f>IMAGE("https://images.lululemon.com/is/image/lululemon/68578",1)</f>
        <v/>
      </c>
      <c r="J2851" s="7" t="inlineStr">
        <is>
          <t>22</t>
        </is>
      </c>
      <c r="K2851" s="7" t="inlineStr">
        <is>
          <t>2/2359</t>
        </is>
      </c>
      <c r="L2851" s="7" t="inlineStr">
        <is>
          <t>Yes</t>
        </is>
      </c>
      <c r="M2851" s="7" t="inlineStr">
        <is>
          <t>A good round, even in bad weather. These tailored golf pants are made from stretchy, water-repellent twill fabric that keeps you protected from the elements and looking smart.</t>
        </is>
      </c>
      <c r="N2851" s="7" t="inlineStr">
        <is>
          <t>Stretch-Twill-Golf-Pant-Regular-Stitched</t>
        </is>
      </c>
      <c r="O2851" s="7" t="inlineStr"/>
    </row>
    <row r="2852" ht="80" customHeight="1">
      <c r="A2852" s="4">
        <f>IMAGE("https://images.lululemon.com/is/image/lululemon/LW5HIWR_043731_1?wid=320&amp;op_usm=0.8",1)</f>
        <v/>
      </c>
      <c r="B2852" s="4" t="inlineStr">
        <is>
          <t>Stretch Twill Golf Pant Regular *Stitched Logo</t>
        </is>
      </c>
      <c r="C2852" s="4" t="inlineStr">
        <is>
          <t>158026450</t>
        </is>
      </c>
      <c r="D2852" s="4" t="inlineStr">
        <is>
          <t>158026450-clubblue</t>
        </is>
      </c>
      <c r="E2852" s="4" t="inlineStr">
        <is>
          <t>Stretch Twill Golf Pant *Reg ASHR 22</t>
        </is>
      </c>
      <c r="F2852" s="4" t="inlineStr">
        <is>
          <t>$148.00</t>
        </is>
      </c>
      <c r="G2852" s="4" t="inlineStr">
        <is>
          <t>$74.00</t>
        </is>
      </c>
      <c r="H2852" s="4" t="inlineStr">
        <is>
          <t>Club Blue</t>
        </is>
      </c>
      <c r="I2852" s="4">
        <f>IMAGE("https://images.lululemon.com/is/image/lululemon/68578",1)</f>
        <v/>
      </c>
      <c r="J2852" s="4" t="inlineStr">
        <is>
          <t>24</t>
        </is>
      </c>
      <c r="K2852" s="4" t="inlineStr">
        <is>
          <t>9/2359</t>
        </is>
      </c>
      <c r="L2852" s="4" t="inlineStr">
        <is>
          <t>Yes</t>
        </is>
      </c>
      <c r="M2852" s="4" t="inlineStr">
        <is>
          <t>A good round, even in bad weather. These tailored golf pants are made from stretchy, water-repellent twill fabric that keeps you protected from the elements and looking smart.</t>
        </is>
      </c>
      <c r="N2852" s="4" t="inlineStr">
        <is>
          <t>Stretch-Twill-Golf-Pant-Regular-Stitched</t>
        </is>
      </c>
      <c r="O2852" s="4" t="inlineStr"/>
    </row>
    <row r="2853" ht="80" customHeight="1">
      <c r="A2853" s="7">
        <f>IMAGE("https://images.lululemon.com/is/image/lululemon/LW5HIWR_043731_1?wid=320&amp;op_usm=0.8",1)</f>
        <v/>
      </c>
      <c r="B2853" s="7" t="inlineStr">
        <is>
          <t>Stretch Twill Golf Pant Regular *Stitched Logo</t>
        </is>
      </c>
      <c r="C2853" s="7" t="inlineStr">
        <is>
          <t>158026473</t>
        </is>
      </c>
      <c r="D2853" s="7" t="inlineStr">
        <is>
          <t>158026473-clubblue</t>
        </is>
      </c>
      <c r="E2853" s="7" t="inlineStr">
        <is>
          <t>Stretch Twill Golf Pant *Reg ASHR 22</t>
        </is>
      </c>
      <c r="F2853" s="7" t="inlineStr">
        <is>
          <t>$148.00</t>
        </is>
      </c>
      <c r="G2853" s="7" t="inlineStr">
        <is>
          <t>$74.00</t>
        </is>
      </c>
      <c r="H2853" s="7" t="inlineStr">
        <is>
          <t>Club Blue</t>
        </is>
      </c>
      <c r="I2853" s="7">
        <f>IMAGE("https://images.lululemon.com/is/image/lululemon/68578",1)</f>
        <v/>
      </c>
      <c r="J2853" s="7" t="inlineStr">
        <is>
          <t>25</t>
        </is>
      </c>
      <c r="K2853" s="7" t="inlineStr">
        <is>
          <t>44/2359</t>
        </is>
      </c>
      <c r="L2853" s="7" t="inlineStr">
        <is>
          <t>Yes</t>
        </is>
      </c>
      <c r="M2853" s="7" t="inlineStr">
        <is>
          <t>A good round, even in bad weather. These tailored golf pants are made from stretchy, water-repellent twill fabric that keeps you protected from the elements and looking smart.</t>
        </is>
      </c>
      <c r="N2853" s="7" t="inlineStr">
        <is>
          <t>Stretch-Twill-Golf-Pant-Regular-Stitched</t>
        </is>
      </c>
      <c r="O2853" s="7" t="inlineStr"/>
    </row>
    <row r="2854" ht="80" customHeight="1">
      <c r="A2854" s="4">
        <f>IMAGE("https://images.lululemon.com/is/image/lululemon/LW5HIWR_043731_1?wid=320&amp;op_usm=0.8",1)</f>
        <v/>
      </c>
      <c r="B2854" s="4" t="inlineStr">
        <is>
          <t>Stretch Twill Golf Pant Regular *Stitched Logo</t>
        </is>
      </c>
      <c r="C2854" s="4" t="inlineStr">
        <is>
          <t>158026502</t>
        </is>
      </c>
      <c r="D2854" s="4" t="inlineStr">
        <is>
          <t>158026502-clubblue</t>
        </is>
      </c>
      <c r="E2854" s="4" t="inlineStr">
        <is>
          <t>Stretch Twill Golf Pant *Reg ASHR 22</t>
        </is>
      </c>
      <c r="F2854" s="4" t="inlineStr">
        <is>
          <t>$148.00</t>
        </is>
      </c>
      <c r="G2854" s="4" t="inlineStr">
        <is>
          <t>$74.00</t>
        </is>
      </c>
      <c r="H2854" s="4" t="inlineStr">
        <is>
          <t>Club Blue</t>
        </is>
      </c>
      <c r="I2854" s="4">
        <f>IMAGE("https://images.lululemon.com/is/image/lululemon/68578",1)</f>
        <v/>
      </c>
      <c r="J2854" s="4" t="inlineStr">
        <is>
          <t>26</t>
        </is>
      </c>
      <c r="K2854" s="4" t="inlineStr">
        <is>
          <t>62/2359</t>
        </is>
      </c>
      <c r="L2854" s="4" t="inlineStr">
        <is>
          <t>Yes</t>
        </is>
      </c>
      <c r="M2854" s="4" t="inlineStr">
        <is>
          <t>A good round, even in bad weather. These tailored golf pants are made from stretchy, water-repellent twill fabric that keeps you protected from the elements and looking smart.</t>
        </is>
      </c>
      <c r="N2854" s="4" t="inlineStr">
        <is>
          <t>Stretch-Twill-Golf-Pant-Regular-Stitched</t>
        </is>
      </c>
      <c r="O2854" s="4" t="inlineStr"/>
    </row>
    <row r="2855" ht="80" customHeight="1">
      <c r="A2855" s="7">
        <f>IMAGE("https://images.lululemon.com/is/image/lululemon/LW5HIWR_043731_1?wid=320&amp;op_usm=0.8",1)</f>
        <v/>
      </c>
      <c r="B2855" s="7" t="inlineStr">
        <is>
          <t>Stretch Twill Golf Pant Regular *Stitched Logo</t>
        </is>
      </c>
      <c r="C2855" s="7" t="inlineStr">
        <is>
          <t>158026531</t>
        </is>
      </c>
      <c r="D2855" s="7" t="inlineStr">
        <is>
          <t>158026531-clubblue</t>
        </is>
      </c>
      <c r="E2855" s="7" t="inlineStr">
        <is>
          <t>Stretch Twill Golf Pant *Reg ASHR 22</t>
        </is>
      </c>
      <c r="F2855" s="7" t="inlineStr">
        <is>
          <t>$148.00</t>
        </is>
      </c>
      <c r="G2855" s="7" t="inlineStr">
        <is>
          <t>$74.00</t>
        </is>
      </c>
      <c r="H2855" s="7" t="inlineStr">
        <is>
          <t>Club Blue</t>
        </is>
      </c>
      <c r="I2855" s="7">
        <f>IMAGE("https://images.lululemon.com/is/image/lululemon/68578",1)</f>
        <v/>
      </c>
      <c r="J2855" s="7" t="inlineStr">
        <is>
          <t>27</t>
        </is>
      </c>
      <c r="K2855" s="7" t="inlineStr">
        <is>
          <t>67/2359</t>
        </is>
      </c>
      <c r="L2855" s="7" t="inlineStr">
        <is>
          <t>Yes</t>
        </is>
      </c>
      <c r="M2855" s="7" t="inlineStr">
        <is>
          <t>A good round, even in bad weather. These tailored golf pants are made from stretchy, water-repellent twill fabric that keeps you protected from the elements and looking smart.</t>
        </is>
      </c>
      <c r="N2855" s="7" t="inlineStr">
        <is>
          <t>Stretch-Twill-Golf-Pant-Regular-Stitched</t>
        </is>
      </c>
      <c r="O2855" s="7" t="inlineStr"/>
    </row>
    <row r="2856" ht="80" customHeight="1">
      <c r="A2856" s="4">
        <f>IMAGE("https://images.lululemon.com/is/image/lululemon/LW5HIWR_043731_1?wid=320&amp;op_usm=0.8",1)</f>
        <v/>
      </c>
      <c r="B2856" s="4" t="inlineStr">
        <is>
          <t>Stretch Twill Golf Pant Regular *Stitched Logo</t>
        </is>
      </c>
      <c r="C2856" s="4" t="inlineStr">
        <is>
          <t>158026558</t>
        </is>
      </c>
      <c r="D2856" s="4" t="inlineStr">
        <is>
          <t>158026558-clubblue</t>
        </is>
      </c>
      <c r="E2856" s="4" t="inlineStr">
        <is>
          <t>Stretch Twill Golf Pant *Reg ASHR 22</t>
        </is>
      </c>
      <c r="F2856" s="4" t="inlineStr">
        <is>
          <t>$148.00</t>
        </is>
      </c>
      <c r="G2856" s="4" t="inlineStr">
        <is>
          <t>$74.00</t>
        </is>
      </c>
      <c r="H2856" s="4" t="inlineStr">
        <is>
          <t>Club Blue</t>
        </is>
      </c>
      <c r="I2856" s="4">
        <f>IMAGE("https://images.lululemon.com/is/image/lululemon/68578",1)</f>
        <v/>
      </c>
      <c r="J2856" s="4" t="inlineStr">
        <is>
          <t>28</t>
        </is>
      </c>
      <c r="K2856" s="4" t="inlineStr">
        <is>
          <t>54/2359</t>
        </is>
      </c>
      <c r="L2856" s="4" t="inlineStr">
        <is>
          <t>Yes</t>
        </is>
      </c>
      <c r="M2856" s="4" t="inlineStr">
        <is>
          <t>A good round, even in bad weather. These tailored golf pants are made from stretchy, water-repellent twill fabric that keeps you protected from the elements and looking smart.</t>
        </is>
      </c>
      <c r="N2856" s="4" t="inlineStr">
        <is>
          <t>Stretch-Twill-Golf-Pant-Regular-Stitched</t>
        </is>
      </c>
      <c r="O2856" s="4" t="inlineStr"/>
    </row>
    <row r="2857" ht="80" customHeight="1">
      <c r="A2857" s="7">
        <f>IMAGE("https://images.lululemon.com/is/image/lululemon/LW5HIWR_043731_1?wid=320&amp;op_usm=0.8",1)</f>
        <v/>
      </c>
      <c r="B2857" s="7" t="inlineStr">
        <is>
          <t>Stretch Twill Golf Pant Regular *Stitched Logo</t>
        </is>
      </c>
      <c r="C2857" s="7" t="inlineStr">
        <is>
          <t>158026581</t>
        </is>
      </c>
      <c r="D2857" s="7" t="inlineStr">
        <is>
          <t>158026581-clubblue</t>
        </is>
      </c>
      <c r="E2857" s="7" t="inlineStr">
        <is>
          <t>Stretch Twill Golf Pant *Reg ASHR 22</t>
        </is>
      </c>
      <c r="F2857" s="7" t="inlineStr">
        <is>
          <t>$148.00</t>
        </is>
      </c>
      <c r="G2857" s="7" t="inlineStr">
        <is>
          <t>$74.00</t>
        </is>
      </c>
      <c r="H2857" s="7" t="inlineStr">
        <is>
          <t>Club Blue</t>
        </is>
      </c>
      <c r="I2857" s="7">
        <f>IMAGE("https://images.lululemon.com/is/image/lululemon/68578",1)</f>
        <v/>
      </c>
      <c r="J2857" s="7" t="inlineStr">
        <is>
          <t>29</t>
        </is>
      </c>
      <c r="K2857" s="7" t="inlineStr">
        <is>
          <t>60/2359</t>
        </is>
      </c>
      <c r="L2857" s="7" t="inlineStr">
        <is>
          <t>Yes</t>
        </is>
      </c>
      <c r="M2857" s="7" t="inlineStr">
        <is>
          <t>A good round, even in bad weather. These tailored golf pants are made from stretchy, water-repellent twill fabric that keeps you protected from the elements and looking smart.</t>
        </is>
      </c>
      <c r="N2857" s="7" t="inlineStr">
        <is>
          <t>Stretch-Twill-Golf-Pant-Regular-Stitched</t>
        </is>
      </c>
      <c r="O2857" s="7" t="inlineStr"/>
    </row>
    <row r="2858" ht="80" customHeight="1">
      <c r="A2858" s="4">
        <f>IMAGE("https://images.lululemon.com/is/image/lululemon/LW5HIWR_043731_1?wid=320&amp;op_usm=0.8",1)</f>
        <v/>
      </c>
      <c r="B2858" s="4" t="inlineStr">
        <is>
          <t>Stretch Twill Golf Pant Regular *Stitched Logo</t>
        </is>
      </c>
      <c r="C2858" s="4" t="inlineStr">
        <is>
          <t>158026609</t>
        </is>
      </c>
      <c r="D2858" s="4" t="inlineStr">
        <is>
          <t>158026609-clubblue</t>
        </is>
      </c>
      <c r="E2858" s="4" t="inlineStr">
        <is>
          <t>Stretch Twill Golf Pant *Reg ASHR 22</t>
        </is>
      </c>
      <c r="F2858" s="4" t="inlineStr">
        <is>
          <t>$148.00</t>
        </is>
      </c>
      <c r="G2858" s="4" t="inlineStr">
        <is>
          <t>$74.00</t>
        </is>
      </c>
      <c r="H2858" s="4" t="inlineStr">
        <is>
          <t>Club Blue</t>
        </is>
      </c>
      <c r="I2858" s="4">
        <f>IMAGE("https://images.lululemon.com/is/image/lululemon/68578",1)</f>
        <v/>
      </c>
      <c r="J2858" s="4" t="inlineStr">
        <is>
          <t>30</t>
        </is>
      </c>
      <c r="K2858" s="4" t="inlineStr">
        <is>
          <t>36/2359</t>
        </is>
      </c>
      <c r="L2858" s="4" t="inlineStr">
        <is>
          <t>Yes</t>
        </is>
      </c>
      <c r="M2858" s="4" t="inlineStr">
        <is>
          <t>A good round, even in bad weather. These tailored golf pants are made from stretchy, water-repellent twill fabric that keeps you protected from the elements and looking smart.</t>
        </is>
      </c>
      <c r="N2858" s="4" t="inlineStr">
        <is>
          <t>Stretch-Twill-Golf-Pant-Regular-Stitched</t>
        </is>
      </c>
      <c r="O2858" s="4" t="inlineStr"/>
    </row>
    <row r="2859" ht="80" customHeight="1">
      <c r="A2859" s="7">
        <f>IMAGE("https://images.lululemon.com/is/image/lululemon/LW5HIWR_043731_1?wid=320&amp;op_usm=0.8",1)</f>
        <v/>
      </c>
      <c r="B2859" s="7" t="inlineStr">
        <is>
          <t>Stretch Twill Golf Pant Regular *Stitched Logo</t>
        </is>
      </c>
      <c r="C2859" s="7" t="inlineStr">
        <is>
          <t>158026638</t>
        </is>
      </c>
      <c r="D2859" s="7" t="inlineStr">
        <is>
          <t>158026638-clubblue</t>
        </is>
      </c>
      <c r="E2859" s="7" t="inlineStr">
        <is>
          <t>Stretch Twill Golf Pant *Reg ASHR 22</t>
        </is>
      </c>
      <c r="F2859" s="7" t="inlineStr">
        <is>
          <t>$148.00</t>
        </is>
      </c>
      <c r="G2859" s="7" t="inlineStr">
        <is>
          <t>$74.00</t>
        </is>
      </c>
      <c r="H2859" s="7" t="inlineStr">
        <is>
          <t>Club Blue</t>
        </is>
      </c>
      <c r="I2859" s="7">
        <f>IMAGE("https://images.lululemon.com/is/image/lululemon/68578",1)</f>
        <v/>
      </c>
      <c r="J2859" s="7" t="inlineStr">
        <is>
          <t>31</t>
        </is>
      </c>
      <c r="K2859" s="7" t="inlineStr">
        <is>
          <t>22/2359</t>
        </is>
      </c>
      <c r="L2859" s="7" t="inlineStr">
        <is>
          <t>Yes</t>
        </is>
      </c>
      <c r="M2859" s="7" t="inlineStr">
        <is>
          <t>A good round, even in bad weather. These tailored golf pants are made from stretchy, water-repellent twill fabric that keeps you protected from the elements and looking smart.</t>
        </is>
      </c>
      <c r="N2859" s="7" t="inlineStr">
        <is>
          <t>Stretch-Twill-Golf-Pant-Regular-Stitched</t>
        </is>
      </c>
      <c r="O2859" s="7" t="inlineStr"/>
    </row>
    <row r="2860" ht="80" customHeight="1">
      <c r="A2860" s="4">
        <f>IMAGE("https://images.lululemon.com/is/image/lululemon/LW5HIWR_043731_1?wid=320&amp;op_usm=0.8",1)</f>
        <v/>
      </c>
      <c r="B2860" s="4" t="inlineStr">
        <is>
          <t>Stretch Twill Golf Pant Regular *Stitched Logo</t>
        </is>
      </c>
      <c r="C2860" s="4" t="inlineStr">
        <is>
          <t>158026665</t>
        </is>
      </c>
      <c r="D2860" s="4" t="inlineStr">
        <is>
          <t>158026665-clubblue</t>
        </is>
      </c>
      <c r="E2860" s="4" t="inlineStr">
        <is>
          <t>Stretch Twill Golf Pant *Reg ASHR 22</t>
        </is>
      </c>
      <c r="F2860" s="4" t="inlineStr">
        <is>
          <t>$148.00</t>
        </is>
      </c>
      <c r="G2860" s="4" t="inlineStr">
        <is>
          <t>$74.00</t>
        </is>
      </c>
      <c r="H2860" s="4" t="inlineStr">
        <is>
          <t>Club Blue</t>
        </is>
      </c>
      <c r="I2860" s="4">
        <f>IMAGE("https://images.lululemon.com/is/image/lululemon/68578",1)</f>
        <v/>
      </c>
      <c r="J2860" s="4" t="inlineStr">
        <is>
          <t>32</t>
        </is>
      </c>
      <c r="K2860" s="4" t="inlineStr">
        <is>
          <t>32/2359</t>
        </is>
      </c>
      <c r="L2860" s="4" t="inlineStr">
        <is>
          <t>Yes</t>
        </is>
      </c>
      <c r="M2860" s="4" t="inlineStr">
        <is>
          <t>A good round, even in bad weather. These tailored golf pants are made from stretchy, water-repellent twill fabric that keeps you protected from the elements and looking smart.</t>
        </is>
      </c>
      <c r="N2860" s="4" t="inlineStr">
        <is>
          <t>Stretch-Twill-Golf-Pant-Regular-Stitched</t>
        </is>
      </c>
      <c r="O2860" s="4" t="inlineStr"/>
    </row>
    <row r="2861" ht="80" customHeight="1">
      <c r="A2861" s="7">
        <f>IMAGE("https://images.lululemon.com/is/image/lululemon/LW5HIWR_043731_1?wid=320&amp;op_usm=0.8",1)</f>
        <v/>
      </c>
      <c r="B2861" s="7" t="inlineStr">
        <is>
          <t>Stretch Twill Golf Pant Regular *Stitched Logo</t>
        </is>
      </c>
      <c r="C2861" s="7" t="inlineStr">
        <is>
          <t>158026690</t>
        </is>
      </c>
      <c r="D2861" s="7" t="inlineStr">
        <is>
          <t>158026690-clubblue</t>
        </is>
      </c>
      <c r="E2861" s="7" t="inlineStr">
        <is>
          <t>Stretch Twill Golf Pant *Reg ASHR 22</t>
        </is>
      </c>
      <c r="F2861" s="7" t="inlineStr">
        <is>
          <t>$148.00</t>
        </is>
      </c>
      <c r="G2861" s="7" t="inlineStr">
        <is>
          <t>$74.00</t>
        </is>
      </c>
      <c r="H2861" s="7" t="inlineStr">
        <is>
          <t>Club Blue</t>
        </is>
      </c>
      <c r="I2861" s="7">
        <f>IMAGE("https://images.lululemon.com/is/image/lululemon/68578",1)</f>
        <v/>
      </c>
      <c r="J2861" s="7" t="inlineStr">
        <is>
          <t>33</t>
        </is>
      </c>
      <c r="K2861" s="7" t="inlineStr">
        <is>
          <t>12/2359</t>
        </is>
      </c>
      <c r="L2861" s="7" t="inlineStr">
        <is>
          <t>Yes</t>
        </is>
      </c>
      <c r="M2861" s="7" t="inlineStr">
        <is>
          <t>A good round, even in bad weather. These tailored golf pants are made from stretchy, water-repellent twill fabric that keeps you protected from the elements and looking smart.</t>
        </is>
      </c>
      <c r="N2861" s="7" t="inlineStr">
        <is>
          <t>Stretch-Twill-Golf-Pant-Regular-Stitched</t>
        </is>
      </c>
      <c r="O2861" s="7" t="inlineStr"/>
    </row>
    <row r="2862" ht="80" customHeight="1">
      <c r="A2862" s="4">
        <f>IMAGE("https://images.lululemon.com/is/image/lululemon/LW5HIWR_043731_1?wid=320&amp;op_usm=0.8",1)</f>
        <v/>
      </c>
      <c r="B2862" s="4" t="inlineStr">
        <is>
          <t>Stretch Twill Golf Pant Regular *Stitched Logo</t>
        </is>
      </c>
      <c r="C2862" s="4" t="inlineStr">
        <is>
          <t>155826332</t>
        </is>
      </c>
      <c r="D2862" s="4" t="inlineStr">
        <is>
          <t>155826332-trench</t>
        </is>
      </c>
      <c r="E2862" s="4" t="inlineStr">
        <is>
          <t>Stretch Twill Golf Pant *Reg ASHR 22</t>
        </is>
      </c>
      <c r="F2862" s="4" t="inlineStr">
        <is>
          <t>$148.00</t>
        </is>
      </c>
      <c r="G2862" s="4" t="inlineStr">
        <is>
          <t>$74.00</t>
        </is>
      </c>
      <c r="H2862" s="4" t="inlineStr">
        <is>
          <t>Trench</t>
        </is>
      </c>
      <c r="I2862" s="4">
        <f>IMAGE("https://images.lululemon.com/is/image/lululemon/43731",1)</f>
        <v/>
      </c>
      <c r="J2862" s="4" t="inlineStr">
        <is>
          <t>24</t>
        </is>
      </c>
      <c r="K2862" s="4" t="inlineStr">
        <is>
          <t>34/2359</t>
        </is>
      </c>
      <c r="L2862" s="4" t="inlineStr">
        <is>
          <t>Yes</t>
        </is>
      </c>
      <c r="M2862" s="4" t="inlineStr">
        <is>
          <t>A good round, even in bad weather. These tailored golf pants are made from stretchy, water-repellent twill fabric that keeps you protected from the elements and looking smart.</t>
        </is>
      </c>
      <c r="N2862" s="4" t="inlineStr">
        <is>
          <t>Stretch-Twill-Golf-Pant-Regular-Stitched</t>
        </is>
      </c>
      <c r="O2862" s="4" t="inlineStr"/>
    </row>
    <row r="2863" ht="80" customHeight="1">
      <c r="A2863" s="7">
        <f>IMAGE("https://images.lululemon.com/is/image/lululemon/LW5HIWR_043731_1?wid=320&amp;op_usm=0.8",1)</f>
        <v/>
      </c>
      <c r="B2863" s="7" t="inlineStr">
        <is>
          <t>Stretch Twill Golf Pant Regular *Stitched Logo</t>
        </is>
      </c>
      <c r="C2863" s="7" t="inlineStr">
        <is>
          <t>155826343</t>
        </is>
      </c>
      <c r="D2863" s="7" t="inlineStr">
        <is>
          <t>155826343-trench</t>
        </is>
      </c>
      <c r="E2863" s="7" t="inlineStr">
        <is>
          <t>Stretch Twill Golf Pant *Reg ASHR 22</t>
        </is>
      </c>
      <c r="F2863" s="7" t="inlineStr">
        <is>
          <t>$148.00</t>
        </is>
      </c>
      <c r="G2863" s="7" t="inlineStr">
        <is>
          <t>$74.00</t>
        </is>
      </c>
      <c r="H2863" s="7" t="inlineStr">
        <is>
          <t>Trench</t>
        </is>
      </c>
      <c r="I2863" s="7">
        <f>IMAGE("https://images.lululemon.com/is/image/lululemon/43731",1)</f>
        <v/>
      </c>
      <c r="J2863" s="7" t="inlineStr">
        <is>
          <t>25</t>
        </is>
      </c>
      <c r="K2863" s="7" t="inlineStr">
        <is>
          <t>83/2359</t>
        </is>
      </c>
      <c r="L2863" s="7" t="inlineStr">
        <is>
          <t>Yes</t>
        </is>
      </c>
      <c r="M2863" s="7" t="inlineStr">
        <is>
          <t>A good round, even in bad weather. These tailored golf pants are made from stretchy, water-repellent twill fabric that keeps you protected from the elements and looking smart.</t>
        </is>
      </c>
      <c r="N2863" s="7" t="inlineStr">
        <is>
          <t>Stretch-Twill-Golf-Pant-Regular-Stitched</t>
        </is>
      </c>
      <c r="O2863" s="7" t="inlineStr"/>
    </row>
    <row r="2864" ht="80" customHeight="1">
      <c r="A2864" s="4">
        <f>IMAGE("https://images.lululemon.com/is/image/lululemon/LW5HIWR_043731_1?wid=320&amp;op_usm=0.8",1)</f>
        <v/>
      </c>
      <c r="B2864" s="4" t="inlineStr">
        <is>
          <t>Stretch Twill Golf Pant Regular *Stitched Logo</t>
        </is>
      </c>
      <c r="C2864" s="4" t="inlineStr">
        <is>
          <t>155826348</t>
        </is>
      </c>
      <c r="D2864" s="4" t="inlineStr">
        <is>
          <t>155826348-trench</t>
        </is>
      </c>
      <c r="E2864" s="4" t="inlineStr">
        <is>
          <t>Stretch Twill Golf Pant *Reg ASHR 22</t>
        </is>
      </c>
      <c r="F2864" s="4" t="inlineStr">
        <is>
          <t>$148.00</t>
        </is>
      </c>
      <c r="G2864" s="4" t="inlineStr">
        <is>
          <t>$74.00</t>
        </is>
      </c>
      <c r="H2864" s="4" t="inlineStr">
        <is>
          <t>Trench</t>
        </is>
      </c>
      <c r="I2864" s="4">
        <f>IMAGE("https://images.lululemon.com/is/image/lululemon/43731",1)</f>
        <v/>
      </c>
      <c r="J2864" s="4" t="inlineStr">
        <is>
          <t>26</t>
        </is>
      </c>
      <c r="K2864" s="4" t="inlineStr">
        <is>
          <t>166/2359</t>
        </is>
      </c>
      <c r="L2864" s="4" t="inlineStr">
        <is>
          <t>Yes</t>
        </is>
      </c>
      <c r="M2864" s="4" t="inlineStr">
        <is>
          <t>A good round, even in bad weather. These tailored golf pants are made from stretchy, water-repellent twill fabric that keeps you protected from the elements and looking smart.</t>
        </is>
      </c>
      <c r="N2864" s="4" t="inlineStr">
        <is>
          <t>Stretch-Twill-Golf-Pant-Regular-Stitched</t>
        </is>
      </c>
      <c r="O2864" s="4" t="inlineStr"/>
    </row>
    <row r="2865" ht="80" customHeight="1">
      <c r="A2865" s="7">
        <f>IMAGE("https://images.lululemon.com/is/image/lululemon/LW5HIWR_043731_1?wid=320&amp;op_usm=0.8",1)</f>
        <v/>
      </c>
      <c r="B2865" s="7" t="inlineStr">
        <is>
          <t>Stretch Twill Golf Pant Regular *Stitched Logo</t>
        </is>
      </c>
      <c r="C2865" s="7" t="inlineStr">
        <is>
          <t>155826359</t>
        </is>
      </c>
      <c r="D2865" s="7" t="inlineStr">
        <is>
          <t>155826359-trench</t>
        </is>
      </c>
      <c r="E2865" s="7" t="inlineStr">
        <is>
          <t>Stretch Twill Golf Pant *Reg ASHR 22</t>
        </is>
      </c>
      <c r="F2865" s="7" t="inlineStr">
        <is>
          <t>$148.00</t>
        </is>
      </c>
      <c r="G2865" s="7" t="inlineStr">
        <is>
          <t>$74.00</t>
        </is>
      </c>
      <c r="H2865" s="7" t="inlineStr">
        <is>
          <t>Trench</t>
        </is>
      </c>
      <c r="I2865" s="7">
        <f>IMAGE("https://images.lululemon.com/is/image/lululemon/43731",1)</f>
        <v/>
      </c>
      <c r="J2865" s="7" t="inlineStr">
        <is>
          <t>27</t>
        </is>
      </c>
      <c r="K2865" s="7" t="inlineStr">
        <is>
          <t>172/2359</t>
        </is>
      </c>
      <c r="L2865" s="7" t="inlineStr">
        <is>
          <t>Yes</t>
        </is>
      </c>
      <c r="M2865" s="7" t="inlineStr">
        <is>
          <t>A good round, even in bad weather. These tailored golf pants are made from stretchy, water-repellent twill fabric that keeps you protected from the elements and looking smart.</t>
        </is>
      </c>
      <c r="N2865" s="7" t="inlineStr">
        <is>
          <t>Stretch-Twill-Golf-Pant-Regular-Stitched</t>
        </is>
      </c>
      <c r="O2865" s="7" t="inlineStr"/>
    </row>
    <row r="2866" ht="80" customHeight="1">
      <c r="A2866" s="4">
        <f>IMAGE("https://images.lululemon.com/is/image/lululemon/LW5HIWR_043731_1?wid=320&amp;op_usm=0.8",1)</f>
        <v/>
      </c>
      <c r="B2866" s="4" t="inlineStr">
        <is>
          <t>Stretch Twill Golf Pant Regular *Stitched Logo</t>
        </is>
      </c>
      <c r="C2866" s="4" t="inlineStr">
        <is>
          <t>155826361</t>
        </is>
      </c>
      <c r="D2866" s="4" t="inlineStr">
        <is>
          <t>155826361-trench</t>
        </is>
      </c>
      <c r="E2866" s="4" t="inlineStr">
        <is>
          <t>Stretch Twill Golf Pant *Reg ASHR 22</t>
        </is>
      </c>
      <c r="F2866" s="4" t="inlineStr">
        <is>
          <t>$148.00</t>
        </is>
      </c>
      <c r="G2866" s="4" t="inlineStr">
        <is>
          <t>$74.00</t>
        </is>
      </c>
      <c r="H2866" s="4" t="inlineStr">
        <is>
          <t>Trench</t>
        </is>
      </c>
      <c r="I2866" s="4">
        <f>IMAGE("https://images.lululemon.com/is/image/lululemon/43731",1)</f>
        <v/>
      </c>
      <c r="J2866" s="4" t="inlineStr">
        <is>
          <t>28</t>
        </is>
      </c>
      <c r="K2866" s="4" t="inlineStr">
        <is>
          <t>159/2359</t>
        </is>
      </c>
      <c r="L2866" s="4" t="inlineStr">
        <is>
          <t>Yes</t>
        </is>
      </c>
      <c r="M2866" s="4" t="inlineStr">
        <is>
          <t>A good round, even in bad weather. These tailored golf pants are made from stretchy, water-repellent twill fabric that keeps you protected from the elements and looking smart.</t>
        </is>
      </c>
      <c r="N2866" s="4" t="inlineStr">
        <is>
          <t>Stretch-Twill-Golf-Pant-Regular-Stitched</t>
        </is>
      </c>
      <c r="O2866" s="4" t="inlineStr"/>
    </row>
    <row r="2867" ht="80" customHeight="1">
      <c r="A2867" s="7">
        <f>IMAGE("https://images.lululemon.com/is/image/lululemon/LW5HIWR_043731_1?wid=320&amp;op_usm=0.8",1)</f>
        <v/>
      </c>
      <c r="B2867" s="7" t="inlineStr">
        <is>
          <t>Stretch Twill Golf Pant Regular *Stitched Logo</t>
        </is>
      </c>
      <c r="C2867" s="7" t="inlineStr">
        <is>
          <t>155826367</t>
        </is>
      </c>
      <c r="D2867" s="7" t="inlineStr">
        <is>
          <t>155826367-trench</t>
        </is>
      </c>
      <c r="E2867" s="7" t="inlineStr">
        <is>
          <t>Stretch Twill Golf Pant *Reg ASHR 22</t>
        </is>
      </c>
      <c r="F2867" s="7" t="inlineStr">
        <is>
          <t>$148.00</t>
        </is>
      </c>
      <c r="G2867" s="7" t="inlineStr">
        <is>
          <t>$74.00</t>
        </is>
      </c>
      <c r="H2867" s="7" t="inlineStr">
        <is>
          <t>Trench</t>
        </is>
      </c>
      <c r="I2867" s="7">
        <f>IMAGE("https://images.lululemon.com/is/image/lululemon/43731",1)</f>
        <v/>
      </c>
      <c r="J2867" s="7" t="inlineStr">
        <is>
          <t>29</t>
        </is>
      </c>
      <c r="K2867" s="7" t="inlineStr">
        <is>
          <t>165/2359</t>
        </is>
      </c>
      <c r="L2867" s="7" t="inlineStr">
        <is>
          <t>Yes</t>
        </is>
      </c>
      <c r="M2867" s="7" t="inlineStr">
        <is>
          <t>A good round, even in bad weather. These tailored golf pants are made from stretchy, water-repellent twill fabric that keeps you protected from the elements and looking smart.</t>
        </is>
      </c>
      <c r="N2867" s="7" t="inlineStr">
        <is>
          <t>Stretch-Twill-Golf-Pant-Regular-Stitched</t>
        </is>
      </c>
      <c r="O2867" s="7" t="inlineStr"/>
    </row>
    <row r="2868" ht="80" customHeight="1">
      <c r="A2868" s="4">
        <f>IMAGE("https://images.lululemon.com/is/image/lululemon/LW5HIWR_043731_1?wid=320&amp;op_usm=0.8",1)</f>
        <v/>
      </c>
      <c r="B2868" s="4" t="inlineStr">
        <is>
          <t>Stretch Twill Golf Pant Regular *Stitched Logo</t>
        </is>
      </c>
      <c r="C2868" s="4" t="inlineStr">
        <is>
          <t>155826371</t>
        </is>
      </c>
      <c r="D2868" s="4" t="inlineStr">
        <is>
          <t>155826371-trench</t>
        </is>
      </c>
      <c r="E2868" s="4" t="inlineStr">
        <is>
          <t>Stretch Twill Golf Pant *Reg ASHR 22</t>
        </is>
      </c>
      <c r="F2868" s="4" t="inlineStr">
        <is>
          <t>$148.00</t>
        </is>
      </c>
      <c r="G2868" s="4" t="inlineStr">
        <is>
          <t>$74.00</t>
        </is>
      </c>
      <c r="H2868" s="4" t="inlineStr">
        <is>
          <t>Trench</t>
        </is>
      </c>
      <c r="I2868" s="4">
        <f>IMAGE("https://images.lululemon.com/is/image/lululemon/43731",1)</f>
        <v/>
      </c>
      <c r="J2868" s="4" t="inlineStr">
        <is>
          <t>30</t>
        </is>
      </c>
      <c r="K2868" s="4" t="inlineStr">
        <is>
          <t>101/2359</t>
        </is>
      </c>
      <c r="L2868" s="4" t="inlineStr">
        <is>
          <t>Yes</t>
        </is>
      </c>
      <c r="M2868" s="4" t="inlineStr">
        <is>
          <t>A good round, even in bad weather. These tailored golf pants are made from stretchy, water-repellent twill fabric that keeps you protected from the elements and looking smart.</t>
        </is>
      </c>
      <c r="N2868" s="4" t="inlineStr">
        <is>
          <t>Stretch-Twill-Golf-Pant-Regular-Stitched</t>
        </is>
      </c>
      <c r="O2868" s="4" t="inlineStr"/>
    </row>
    <row r="2869" ht="80" customHeight="1">
      <c r="A2869" s="7">
        <f>IMAGE("https://images.lululemon.com/is/image/lululemon/LW5HIWR_043731_1?wid=320&amp;op_usm=0.8",1)</f>
        <v/>
      </c>
      <c r="B2869" s="7" t="inlineStr">
        <is>
          <t>Stretch Twill Golf Pant Regular *Stitched Logo</t>
        </is>
      </c>
      <c r="C2869" s="7" t="inlineStr">
        <is>
          <t>155826375</t>
        </is>
      </c>
      <c r="D2869" s="7" t="inlineStr">
        <is>
          <t>155826375-trench</t>
        </is>
      </c>
      <c r="E2869" s="7" t="inlineStr">
        <is>
          <t>Stretch Twill Golf Pant *Reg ASHR 22</t>
        </is>
      </c>
      <c r="F2869" s="7" t="inlineStr">
        <is>
          <t>$148.00</t>
        </is>
      </c>
      <c r="G2869" s="7" t="inlineStr">
        <is>
          <t>$74.00</t>
        </is>
      </c>
      <c r="H2869" s="7" t="inlineStr">
        <is>
          <t>Trench</t>
        </is>
      </c>
      <c r="I2869" s="7">
        <f>IMAGE("https://images.lululemon.com/is/image/lululemon/43731",1)</f>
        <v/>
      </c>
      <c r="J2869" s="7" t="inlineStr">
        <is>
          <t>31</t>
        </is>
      </c>
      <c r="K2869" s="7" t="inlineStr">
        <is>
          <t>62/2359</t>
        </is>
      </c>
      <c r="L2869" s="7" t="inlineStr">
        <is>
          <t>Yes</t>
        </is>
      </c>
      <c r="M2869" s="7" t="inlineStr">
        <is>
          <t>A good round, even in bad weather. These tailored golf pants are made from stretchy, water-repellent twill fabric that keeps you protected from the elements and looking smart.</t>
        </is>
      </c>
      <c r="N2869" s="7" t="inlineStr">
        <is>
          <t>Stretch-Twill-Golf-Pant-Regular-Stitched</t>
        </is>
      </c>
      <c r="O2869" s="7" t="inlineStr"/>
    </row>
    <row r="2870" ht="80" customHeight="1">
      <c r="A2870" s="4">
        <f>IMAGE("https://images.lululemon.com/is/image/lululemon/LW5HIWR_043731_1?wid=320&amp;op_usm=0.8",1)</f>
        <v/>
      </c>
      <c r="B2870" s="4" t="inlineStr">
        <is>
          <t>Stretch Twill Golf Pant Regular *Stitched Logo</t>
        </is>
      </c>
      <c r="C2870" s="4" t="inlineStr">
        <is>
          <t>155826380</t>
        </is>
      </c>
      <c r="D2870" s="4" t="inlineStr">
        <is>
          <t>155826380-trench</t>
        </is>
      </c>
      <c r="E2870" s="4" t="inlineStr">
        <is>
          <t>Stretch Twill Golf Pant *Reg ASHR 22</t>
        </is>
      </c>
      <c r="F2870" s="4" t="inlineStr">
        <is>
          <t>$148.00</t>
        </is>
      </c>
      <c r="G2870" s="4" t="inlineStr">
        <is>
          <t>$74.00</t>
        </is>
      </c>
      <c r="H2870" s="4" t="inlineStr">
        <is>
          <t>Trench</t>
        </is>
      </c>
      <c r="I2870" s="4">
        <f>IMAGE("https://images.lululemon.com/is/image/lululemon/43731",1)</f>
        <v/>
      </c>
      <c r="J2870" s="4" t="inlineStr">
        <is>
          <t>32</t>
        </is>
      </c>
      <c r="K2870" s="4" t="inlineStr">
        <is>
          <t>52/2359</t>
        </is>
      </c>
      <c r="L2870" s="4" t="inlineStr">
        <is>
          <t>Yes</t>
        </is>
      </c>
      <c r="M2870" s="4" t="inlineStr">
        <is>
          <t>A good round, even in bad weather. These tailored golf pants are made from stretchy, water-repellent twill fabric that keeps you protected from the elements and looking smart.</t>
        </is>
      </c>
      <c r="N2870" s="4" t="inlineStr">
        <is>
          <t>Stretch-Twill-Golf-Pant-Regular-Stitched</t>
        </is>
      </c>
      <c r="O2870" s="4" t="inlineStr"/>
    </row>
    <row r="2871" ht="80" customHeight="1">
      <c r="A2871" s="7">
        <f>IMAGE("https://images.lululemon.com/is/image/lululemon/LW5HIWR_043731_1?wid=320&amp;op_usm=0.8",1)</f>
        <v/>
      </c>
      <c r="B2871" s="7" t="inlineStr">
        <is>
          <t>Stretch Twill Golf Pant Regular *Stitched Logo</t>
        </is>
      </c>
      <c r="C2871" s="7" t="inlineStr">
        <is>
          <t>155826385</t>
        </is>
      </c>
      <c r="D2871" s="7" t="inlineStr">
        <is>
          <t>155826385-trench</t>
        </is>
      </c>
      <c r="E2871" s="7" t="inlineStr">
        <is>
          <t>Stretch Twill Golf Pant *Reg ASHR 22</t>
        </is>
      </c>
      <c r="F2871" s="7" t="inlineStr">
        <is>
          <t>$148.00</t>
        </is>
      </c>
      <c r="G2871" s="7" t="inlineStr">
        <is>
          <t>$74.00</t>
        </is>
      </c>
      <c r="H2871" s="7" t="inlineStr">
        <is>
          <t>Trench</t>
        </is>
      </c>
      <c r="I2871" s="7">
        <f>IMAGE("https://images.lululemon.com/is/image/lululemon/43731",1)</f>
        <v/>
      </c>
      <c r="J2871" s="7" t="inlineStr">
        <is>
          <t>33</t>
        </is>
      </c>
      <c r="K2871" s="7" t="inlineStr">
        <is>
          <t>5/2359</t>
        </is>
      </c>
      <c r="L2871" s="7" t="inlineStr">
        <is>
          <t>Yes</t>
        </is>
      </c>
      <c r="M2871" s="7" t="inlineStr">
        <is>
          <t>A good round, even in bad weather. These tailored golf pants are made from stretchy, water-repellent twill fabric that keeps you protected from the elements and looking smart.</t>
        </is>
      </c>
      <c r="N2871" s="7" t="inlineStr">
        <is>
          <t>Stretch-Twill-Golf-Pant-Regular-Stitched</t>
        </is>
      </c>
      <c r="O2871" s="7" t="inlineStr"/>
    </row>
    <row r="2872" ht="80" customHeight="1">
      <c r="A2872" s="4">
        <f>IMAGE("https://images.lululemon.com/is/image/lululemon/LW5HIWR_043731_1?wid=320&amp;op_usm=0.8",1)</f>
        <v/>
      </c>
      <c r="B2872" s="4" t="inlineStr">
        <is>
          <t>Stretch Twill Golf Pant Regular *Stitched Logo</t>
        </is>
      </c>
      <c r="C2872" s="4" t="inlineStr">
        <is>
          <t>157716998</t>
        </is>
      </c>
      <c r="D2872" s="4" t="inlineStr">
        <is>
          <t>157716998-truenavy</t>
        </is>
      </c>
      <c r="E2872" s="4" t="inlineStr">
        <is>
          <t>Stretch Twill Golf Pant *Reg ASHR 22</t>
        </is>
      </c>
      <c r="F2872" s="4" t="inlineStr">
        <is>
          <t>$148.00</t>
        </is>
      </c>
      <c r="G2872" s="4" t="inlineStr">
        <is>
          <t>$74.00</t>
        </is>
      </c>
      <c r="H2872" s="4" t="inlineStr">
        <is>
          <t>True Navy</t>
        </is>
      </c>
      <c r="I2872" s="4">
        <f>IMAGE("https://images.lululemon.com/is/image/lululemon/31382",1)</f>
        <v/>
      </c>
      <c r="J2872" s="4" t="inlineStr">
        <is>
          <t>24</t>
        </is>
      </c>
      <c r="K2872" s="4" t="inlineStr">
        <is>
          <t>10/2359</t>
        </is>
      </c>
      <c r="L2872" s="4" t="inlineStr">
        <is>
          <t>Yes</t>
        </is>
      </c>
      <c r="M2872" s="4" t="inlineStr">
        <is>
          <t>A good round, even in bad weather. These tailored golf pants are made from stretchy, water-repellent twill fabric that keeps you protected from the elements and looking smart.</t>
        </is>
      </c>
      <c r="N2872" s="4" t="inlineStr">
        <is>
          <t>Stretch-Twill-Golf-Pant-Regular-Stitched</t>
        </is>
      </c>
      <c r="O2872" s="4" t="inlineStr"/>
    </row>
    <row r="2873" ht="80" customHeight="1">
      <c r="A2873" s="7">
        <f>IMAGE("https://images.lululemon.com/is/image/lululemon/LW5HIWR_043731_1?wid=320&amp;op_usm=0.8",1)</f>
        <v/>
      </c>
      <c r="B2873" s="7" t="inlineStr">
        <is>
          <t>Stretch Twill Golf Pant Regular *Stitched Logo</t>
        </is>
      </c>
      <c r="C2873" s="7" t="inlineStr">
        <is>
          <t>157717001</t>
        </is>
      </c>
      <c r="D2873" s="7" t="inlineStr">
        <is>
          <t>157717001-truenavy</t>
        </is>
      </c>
      <c r="E2873" s="7" t="inlineStr">
        <is>
          <t>Stretch Twill Golf Pant *Reg ASHR 22</t>
        </is>
      </c>
      <c r="F2873" s="7" t="inlineStr">
        <is>
          <t>$148.00</t>
        </is>
      </c>
      <c r="G2873" s="7" t="inlineStr">
        <is>
          <t>$74.00</t>
        </is>
      </c>
      <c r="H2873" s="7" t="inlineStr">
        <is>
          <t>True Navy</t>
        </is>
      </c>
      <c r="I2873" s="7">
        <f>IMAGE("https://images.lululemon.com/is/image/lululemon/31382",1)</f>
        <v/>
      </c>
      <c r="J2873" s="7" t="inlineStr">
        <is>
          <t>25</t>
        </is>
      </c>
      <c r="K2873" s="7" t="inlineStr">
        <is>
          <t>23/2359</t>
        </is>
      </c>
      <c r="L2873" s="7" t="inlineStr">
        <is>
          <t>Yes</t>
        </is>
      </c>
      <c r="M2873" s="7" t="inlineStr">
        <is>
          <t>A good round, even in bad weather. These tailored golf pants are made from stretchy, water-repellent twill fabric that keeps you protected from the elements and looking smart.</t>
        </is>
      </c>
      <c r="N2873" s="7" t="inlineStr">
        <is>
          <t>Stretch-Twill-Golf-Pant-Regular-Stitched</t>
        </is>
      </c>
      <c r="O2873" s="7" t="inlineStr"/>
    </row>
    <row r="2874" ht="80" customHeight="1">
      <c r="A2874" s="4">
        <f>IMAGE("https://images.lululemon.com/is/image/lululemon/LW5HIWR_043731_1?wid=320&amp;op_usm=0.8",1)</f>
        <v/>
      </c>
      <c r="B2874" s="4" t="inlineStr">
        <is>
          <t>Stretch Twill Golf Pant Regular *Stitched Logo</t>
        </is>
      </c>
      <c r="C2874" s="4" t="inlineStr">
        <is>
          <t>157717004</t>
        </is>
      </c>
      <c r="D2874" s="4" t="inlineStr">
        <is>
          <t>157717004-truenavy</t>
        </is>
      </c>
      <c r="E2874" s="4" t="inlineStr">
        <is>
          <t>Stretch Twill Golf Pant *Reg ASHR 22</t>
        </is>
      </c>
      <c r="F2874" s="4" t="inlineStr">
        <is>
          <t>$148.00</t>
        </is>
      </c>
      <c r="G2874" s="4" t="inlineStr">
        <is>
          <t>$74.00</t>
        </is>
      </c>
      <c r="H2874" s="4" t="inlineStr">
        <is>
          <t>True Navy</t>
        </is>
      </c>
      <c r="I2874" s="4">
        <f>IMAGE("https://images.lululemon.com/is/image/lululemon/31382",1)</f>
        <v/>
      </c>
      <c r="J2874" s="4" t="inlineStr">
        <is>
          <t>26</t>
        </is>
      </c>
      <c r="K2874" s="4" t="inlineStr">
        <is>
          <t>43/2359</t>
        </is>
      </c>
      <c r="L2874" s="4" t="inlineStr">
        <is>
          <t>Yes</t>
        </is>
      </c>
      <c r="M2874" s="4" t="inlineStr">
        <is>
          <t>A good round, even in bad weather. These tailored golf pants are made from stretchy, water-repellent twill fabric that keeps you protected from the elements and looking smart.</t>
        </is>
      </c>
      <c r="N2874" s="4" t="inlineStr">
        <is>
          <t>Stretch-Twill-Golf-Pant-Regular-Stitched</t>
        </is>
      </c>
      <c r="O2874" s="4" t="inlineStr"/>
    </row>
    <row r="2875" ht="80" customHeight="1">
      <c r="A2875" s="7">
        <f>IMAGE("https://images.lululemon.com/is/image/lululemon/LW5HIWR_043731_1?wid=320&amp;op_usm=0.8",1)</f>
        <v/>
      </c>
      <c r="B2875" s="7" t="inlineStr">
        <is>
          <t>Stretch Twill Golf Pant Regular *Stitched Logo</t>
        </is>
      </c>
      <c r="C2875" s="7" t="inlineStr">
        <is>
          <t>157717006</t>
        </is>
      </c>
      <c r="D2875" s="7" t="inlineStr">
        <is>
          <t>157717006-truenavy</t>
        </is>
      </c>
      <c r="E2875" s="7" t="inlineStr">
        <is>
          <t>Stretch Twill Golf Pant *Reg ASHR 22</t>
        </is>
      </c>
      <c r="F2875" s="7" t="inlineStr">
        <is>
          <t>$148.00</t>
        </is>
      </c>
      <c r="G2875" s="7" t="inlineStr">
        <is>
          <t>$74.00</t>
        </is>
      </c>
      <c r="H2875" s="7" t="inlineStr">
        <is>
          <t>True Navy</t>
        </is>
      </c>
      <c r="I2875" s="7">
        <f>IMAGE("https://images.lululemon.com/is/image/lululemon/31382",1)</f>
        <v/>
      </c>
      <c r="J2875" s="7" t="inlineStr">
        <is>
          <t>27</t>
        </is>
      </c>
      <c r="K2875" s="7" t="inlineStr">
        <is>
          <t>42/2359</t>
        </is>
      </c>
      <c r="L2875" s="7" t="inlineStr">
        <is>
          <t>Yes</t>
        </is>
      </c>
      <c r="M2875" s="7" t="inlineStr">
        <is>
          <t>A good round, even in bad weather. These tailored golf pants are made from stretchy, water-repellent twill fabric that keeps you protected from the elements and looking smart.</t>
        </is>
      </c>
      <c r="N2875" s="7" t="inlineStr">
        <is>
          <t>Stretch-Twill-Golf-Pant-Regular-Stitched</t>
        </is>
      </c>
      <c r="O2875" s="7" t="inlineStr"/>
    </row>
    <row r="2876" ht="80" customHeight="1">
      <c r="A2876" s="4">
        <f>IMAGE("https://images.lululemon.com/is/image/lululemon/LW5HIWR_043731_1?wid=320&amp;op_usm=0.8",1)</f>
        <v/>
      </c>
      <c r="B2876" s="4" t="inlineStr">
        <is>
          <t>Stretch Twill Golf Pant Regular *Stitched Logo</t>
        </is>
      </c>
      <c r="C2876" s="4" t="inlineStr">
        <is>
          <t>157717009</t>
        </is>
      </c>
      <c r="D2876" s="4" t="inlineStr">
        <is>
          <t>157717009-truenavy</t>
        </is>
      </c>
      <c r="E2876" s="4" t="inlineStr">
        <is>
          <t>Stretch Twill Golf Pant *Reg ASHR 22</t>
        </is>
      </c>
      <c r="F2876" s="4" t="inlineStr">
        <is>
          <t>$148.00</t>
        </is>
      </c>
      <c r="G2876" s="4" t="inlineStr">
        <is>
          <t>$74.00</t>
        </is>
      </c>
      <c r="H2876" s="4" t="inlineStr">
        <is>
          <t>True Navy</t>
        </is>
      </c>
      <c r="I2876" s="4">
        <f>IMAGE("https://images.lululemon.com/is/image/lululemon/31382",1)</f>
        <v/>
      </c>
      <c r="J2876" s="4" t="inlineStr">
        <is>
          <t>28</t>
        </is>
      </c>
      <c r="K2876" s="4" t="inlineStr">
        <is>
          <t>44/2359</t>
        </is>
      </c>
      <c r="L2876" s="4" t="inlineStr">
        <is>
          <t>Yes</t>
        </is>
      </c>
      <c r="M2876" s="4" t="inlineStr">
        <is>
          <t>A good round, even in bad weather. These tailored golf pants are made from stretchy, water-repellent twill fabric that keeps you protected from the elements and looking smart.</t>
        </is>
      </c>
      <c r="N2876" s="4" t="inlineStr">
        <is>
          <t>Stretch-Twill-Golf-Pant-Regular-Stitched</t>
        </is>
      </c>
      <c r="O2876" s="4" t="inlineStr"/>
    </row>
    <row r="2877" ht="80" customHeight="1">
      <c r="A2877" s="7">
        <f>IMAGE("https://images.lululemon.com/is/image/lululemon/LW5HIWR_043731_1?wid=320&amp;op_usm=0.8",1)</f>
        <v/>
      </c>
      <c r="B2877" s="7" t="inlineStr">
        <is>
          <t>Stretch Twill Golf Pant Regular *Stitched Logo</t>
        </is>
      </c>
      <c r="C2877" s="7" t="inlineStr">
        <is>
          <t>157717011</t>
        </is>
      </c>
      <c r="D2877" s="7" t="inlineStr">
        <is>
          <t>157717011-truenavy</t>
        </is>
      </c>
      <c r="E2877" s="7" t="inlineStr">
        <is>
          <t>Stretch Twill Golf Pant *Reg ASHR 22</t>
        </is>
      </c>
      <c r="F2877" s="7" t="inlineStr">
        <is>
          <t>$148.00</t>
        </is>
      </c>
      <c r="G2877" s="7" t="inlineStr">
        <is>
          <t>$74.00</t>
        </is>
      </c>
      <c r="H2877" s="7" t="inlineStr">
        <is>
          <t>True Navy</t>
        </is>
      </c>
      <c r="I2877" s="7">
        <f>IMAGE("https://images.lululemon.com/is/image/lululemon/31382",1)</f>
        <v/>
      </c>
      <c r="J2877" s="7" t="inlineStr">
        <is>
          <t>29</t>
        </is>
      </c>
      <c r="K2877" s="7" t="inlineStr">
        <is>
          <t>42/2359</t>
        </is>
      </c>
      <c r="L2877" s="7" t="inlineStr">
        <is>
          <t>Yes</t>
        </is>
      </c>
      <c r="M2877" s="7" t="inlineStr">
        <is>
          <t>A good round, even in bad weather. These tailored golf pants are made from stretchy, water-repellent twill fabric that keeps you protected from the elements and looking smart.</t>
        </is>
      </c>
      <c r="N2877" s="7" t="inlineStr">
        <is>
          <t>Stretch-Twill-Golf-Pant-Regular-Stitched</t>
        </is>
      </c>
      <c r="O2877" s="7" t="inlineStr"/>
    </row>
    <row r="2878" ht="80" customHeight="1">
      <c r="A2878" s="4">
        <f>IMAGE("https://images.lululemon.com/is/image/lululemon/LW5HIWR_043731_1?wid=320&amp;op_usm=0.8",1)</f>
        <v/>
      </c>
      <c r="B2878" s="4" t="inlineStr">
        <is>
          <t>Stretch Twill Golf Pant Regular *Stitched Logo</t>
        </is>
      </c>
      <c r="C2878" s="4" t="inlineStr">
        <is>
          <t>157717016</t>
        </is>
      </c>
      <c r="D2878" s="4" t="inlineStr">
        <is>
          <t>157717016-truenavy</t>
        </is>
      </c>
      <c r="E2878" s="4" t="inlineStr">
        <is>
          <t>Stretch Twill Golf Pant *Reg ASHR 22</t>
        </is>
      </c>
      <c r="F2878" s="4" t="inlineStr">
        <is>
          <t>$148.00</t>
        </is>
      </c>
      <c r="G2878" s="4" t="inlineStr">
        <is>
          <t>$74.00</t>
        </is>
      </c>
      <c r="H2878" s="4" t="inlineStr">
        <is>
          <t>True Navy</t>
        </is>
      </c>
      <c r="I2878" s="4">
        <f>IMAGE("https://images.lululemon.com/is/image/lululemon/31382",1)</f>
        <v/>
      </c>
      <c r="J2878" s="4" t="inlineStr">
        <is>
          <t>30</t>
        </is>
      </c>
      <c r="K2878" s="4" t="inlineStr">
        <is>
          <t>36/2359</t>
        </is>
      </c>
      <c r="L2878" s="4" t="inlineStr">
        <is>
          <t>Yes</t>
        </is>
      </c>
      <c r="M2878" s="4" t="inlineStr">
        <is>
          <t>A good round, even in bad weather. These tailored golf pants are made from stretchy, water-repellent twill fabric that keeps you protected from the elements and looking smart.</t>
        </is>
      </c>
      <c r="N2878" s="4" t="inlineStr">
        <is>
          <t>Stretch-Twill-Golf-Pant-Regular-Stitched</t>
        </is>
      </c>
      <c r="O2878" s="4" t="inlineStr"/>
    </row>
    <row r="2879" ht="80" customHeight="1">
      <c r="A2879" s="7">
        <f>IMAGE("https://images.lululemon.com/is/image/lululemon/LW5HIWR_043731_1?wid=320&amp;op_usm=0.8",1)</f>
        <v/>
      </c>
      <c r="B2879" s="7" t="inlineStr">
        <is>
          <t>Stretch Twill Golf Pant Regular *Stitched Logo</t>
        </is>
      </c>
      <c r="C2879" s="7" t="inlineStr">
        <is>
          <t>157717017</t>
        </is>
      </c>
      <c r="D2879" s="7" t="inlineStr">
        <is>
          <t>157717017-truenavy</t>
        </is>
      </c>
      <c r="E2879" s="7" t="inlineStr">
        <is>
          <t>Stretch Twill Golf Pant *Reg ASHR 22</t>
        </is>
      </c>
      <c r="F2879" s="7" t="inlineStr">
        <is>
          <t>$148.00</t>
        </is>
      </c>
      <c r="G2879" s="7" t="inlineStr">
        <is>
          <t>$74.00</t>
        </is>
      </c>
      <c r="H2879" s="7" t="inlineStr">
        <is>
          <t>True Navy</t>
        </is>
      </c>
      <c r="I2879" s="7">
        <f>IMAGE("https://images.lululemon.com/is/image/lululemon/31382",1)</f>
        <v/>
      </c>
      <c r="J2879" s="7" t="inlineStr">
        <is>
          <t>31</t>
        </is>
      </c>
      <c r="K2879" s="7" t="inlineStr">
        <is>
          <t>1/2359</t>
        </is>
      </c>
      <c r="L2879" s="7" t="inlineStr">
        <is>
          <t>Yes</t>
        </is>
      </c>
      <c r="M2879" s="7" t="inlineStr">
        <is>
          <t>A good round, even in bad weather. These tailored golf pants are made from stretchy, water-repellent twill fabric that keeps you protected from the elements and looking smart.</t>
        </is>
      </c>
      <c r="N2879" s="7" t="inlineStr">
        <is>
          <t>Stretch-Twill-Golf-Pant-Regular-Stitched</t>
        </is>
      </c>
      <c r="O2879" s="7" t="inlineStr"/>
    </row>
    <row r="2880" ht="80" customHeight="1">
      <c r="A2880" s="4">
        <f>IMAGE("https://images.lululemon.com/is/image/lululemon/LW5HIWR_043731_1?wid=320&amp;op_usm=0.8",1)</f>
        <v/>
      </c>
      <c r="B2880" s="4" t="inlineStr">
        <is>
          <t>Stretch Twill Golf Pant Regular *Stitched Logo</t>
        </is>
      </c>
      <c r="C2880" s="4" t="inlineStr">
        <is>
          <t>157717022</t>
        </is>
      </c>
      <c r="D2880" s="4" t="inlineStr">
        <is>
          <t>157717022-truenavy</t>
        </is>
      </c>
      <c r="E2880" s="4" t="inlineStr">
        <is>
          <t>Stretch Twill Golf Pant *Reg ASHR 22</t>
        </is>
      </c>
      <c r="F2880" s="4" t="inlineStr">
        <is>
          <t>$148.00</t>
        </is>
      </c>
      <c r="G2880" s="4" t="inlineStr">
        <is>
          <t>$74.00</t>
        </is>
      </c>
      <c r="H2880" s="4" t="inlineStr">
        <is>
          <t>True Navy</t>
        </is>
      </c>
      <c r="I2880" s="4">
        <f>IMAGE("https://images.lululemon.com/is/image/lululemon/31382",1)</f>
        <v/>
      </c>
      <c r="J2880" s="4" t="inlineStr">
        <is>
          <t>32</t>
        </is>
      </c>
      <c r="K2880" s="4" t="inlineStr">
        <is>
          <t>18/2359</t>
        </is>
      </c>
      <c r="L2880" s="4" t="inlineStr">
        <is>
          <t>Yes</t>
        </is>
      </c>
      <c r="M2880" s="4" t="inlineStr">
        <is>
          <t>A good round, even in bad weather. These tailored golf pants are made from stretchy, water-repellent twill fabric that keeps you protected from the elements and looking smart.</t>
        </is>
      </c>
      <c r="N2880" s="4" t="inlineStr">
        <is>
          <t>Stretch-Twill-Golf-Pant-Regular-Stitched</t>
        </is>
      </c>
      <c r="O2880" s="4" t="inlineStr"/>
    </row>
    <row r="2881" ht="80" customHeight="1">
      <c r="A2881" s="7">
        <f>IMAGE("https://images.lululemon.com/is/image/lululemon/LW5HIWR_043731_1?wid=320&amp;op_usm=0.8",1)</f>
        <v/>
      </c>
      <c r="B2881" s="7" t="inlineStr">
        <is>
          <t>Stretch Twill Golf Pant Regular *Stitched Logo</t>
        </is>
      </c>
      <c r="C2881" s="7" t="inlineStr">
        <is>
          <t>157717025</t>
        </is>
      </c>
      <c r="D2881" s="7" t="inlineStr">
        <is>
          <t>157717025-truenavy</t>
        </is>
      </c>
      <c r="E2881" s="7" t="inlineStr">
        <is>
          <t>Stretch Twill Golf Pant *Reg ASHR 22</t>
        </is>
      </c>
      <c r="F2881" s="7" t="inlineStr">
        <is>
          <t>$148.00</t>
        </is>
      </c>
      <c r="G2881" s="7" t="inlineStr">
        <is>
          <t>$74.00</t>
        </is>
      </c>
      <c r="H2881" s="7" t="inlineStr">
        <is>
          <t>True Navy</t>
        </is>
      </c>
      <c r="I2881" s="7">
        <f>IMAGE("https://images.lululemon.com/is/image/lululemon/31382",1)</f>
        <v/>
      </c>
      <c r="J2881" s="7" t="inlineStr">
        <is>
          <t>33</t>
        </is>
      </c>
      <c r="K2881" s="7" t="inlineStr">
        <is>
          <t>6/2359</t>
        </is>
      </c>
      <c r="L2881" s="7" t="inlineStr">
        <is>
          <t>Yes</t>
        </is>
      </c>
      <c r="M2881" s="7" t="inlineStr">
        <is>
          <t>A good round, even in bad weather. These tailored golf pants are made from stretchy, water-repellent twill fabric that keeps you protected from the elements and looking smart.</t>
        </is>
      </c>
      <c r="N2881" s="7" t="inlineStr">
        <is>
          <t>Stretch-Twill-Golf-Pant-Regular-Stitched</t>
        </is>
      </c>
      <c r="O2881" s="7" t="inlineStr"/>
    </row>
    <row r="2882" ht="80" customHeight="1">
      <c r="A2882" s="4">
        <f>IMAGE("https://images.lululemon.com/is/image/lululemon/LW5HIWR_043731_1?wid=320&amp;op_usm=0.8",1)</f>
        <v/>
      </c>
      <c r="B2882" s="4" t="inlineStr">
        <is>
          <t>Stretch Twill Golf Pant Regular *Stitched Logo</t>
        </is>
      </c>
      <c r="C2882" s="4" t="inlineStr">
        <is>
          <t>157717036</t>
        </is>
      </c>
      <c r="D2882" s="4" t="inlineStr">
        <is>
          <t>157717036-sheeroak</t>
        </is>
      </c>
      <c r="E2882" s="4" t="inlineStr">
        <is>
          <t>Stretch Twill Golf Pant *Reg ASHR 22</t>
        </is>
      </c>
      <c r="F2882" s="4" t="inlineStr">
        <is>
          <t>$148.00</t>
        </is>
      </c>
      <c r="G2882" s="4" t="inlineStr">
        <is>
          <t>$74.00</t>
        </is>
      </c>
      <c r="H2882" s="4" t="inlineStr">
        <is>
          <t>Sheer Oak</t>
        </is>
      </c>
      <c r="I2882" s="4">
        <f>IMAGE("https://images.lululemon.com/is/image/lululemon/68684",1)</f>
        <v/>
      </c>
      <c r="J2882" s="4" t="inlineStr">
        <is>
          <t>24</t>
        </is>
      </c>
      <c r="K2882" s="4" t="inlineStr">
        <is>
          <t>4/2359</t>
        </is>
      </c>
      <c r="L2882" s="4" t="inlineStr">
        <is>
          <t>Yes</t>
        </is>
      </c>
      <c r="M2882" s="4" t="inlineStr">
        <is>
          <t>A good round, even in bad weather. These tailored golf pants are made from stretchy, water-repellent twill fabric that keeps you protected from the elements and looking smart.</t>
        </is>
      </c>
      <c r="N2882" s="4" t="inlineStr">
        <is>
          <t>Stretch-Twill-Golf-Pant-Regular-Stitched</t>
        </is>
      </c>
      <c r="O2882" s="4" t="inlineStr"/>
    </row>
    <row r="2883" ht="80" customHeight="1">
      <c r="A2883" s="7">
        <f>IMAGE("https://images.lululemon.com/is/image/lululemon/LW5HIWR_043731_1?wid=320&amp;op_usm=0.8",1)</f>
        <v/>
      </c>
      <c r="B2883" s="7" t="inlineStr">
        <is>
          <t>Stretch Twill Golf Pant Regular *Stitched Logo</t>
        </is>
      </c>
      <c r="C2883" s="7" t="inlineStr">
        <is>
          <t>157717037</t>
        </is>
      </c>
      <c r="D2883" s="7" t="inlineStr">
        <is>
          <t>157717037-sheeroak</t>
        </is>
      </c>
      <c r="E2883" s="7" t="inlineStr">
        <is>
          <t>Stretch Twill Golf Pant *Reg ASHR 22</t>
        </is>
      </c>
      <c r="F2883" s="7" t="inlineStr">
        <is>
          <t>$148.00</t>
        </is>
      </c>
      <c r="G2883" s="7" t="inlineStr">
        <is>
          <t>$74.00</t>
        </is>
      </c>
      <c r="H2883" s="7" t="inlineStr">
        <is>
          <t>Sheer Oak</t>
        </is>
      </c>
      <c r="I2883" s="7">
        <f>IMAGE("https://images.lululemon.com/is/image/lululemon/68684",1)</f>
        <v/>
      </c>
      <c r="J2883" s="7" t="inlineStr">
        <is>
          <t>25</t>
        </is>
      </c>
      <c r="K2883" s="7" t="inlineStr">
        <is>
          <t>40/2359</t>
        </is>
      </c>
      <c r="L2883" s="7" t="inlineStr">
        <is>
          <t>Yes</t>
        </is>
      </c>
      <c r="M2883" s="7" t="inlineStr">
        <is>
          <t>A good round, even in bad weather. These tailored golf pants are made from stretchy, water-repellent twill fabric that keeps you protected from the elements and looking smart.</t>
        </is>
      </c>
      <c r="N2883" s="7" t="inlineStr">
        <is>
          <t>Stretch-Twill-Golf-Pant-Regular-Stitched</t>
        </is>
      </c>
      <c r="O2883" s="7" t="inlineStr"/>
    </row>
    <row r="2884" ht="80" customHeight="1">
      <c r="A2884" s="4">
        <f>IMAGE("https://images.lululemon.com/is/image/lululemon/LW5HIWR_043731_1?wid=320&amp;op_usm=0.8",1)</f>
        <v/>
      </c>
      <c r="B2884" s="4" t="inlineStr">
        <is>
          <t>Stretch Twill Golf Pant Regular *Stitched Logo</t>
        </is>
      </c>
      <c r="C2884" s="4" t="inlineStr">
        <is>
          <t>157717042</t>
        </is>
      </c>
      <c r="D2884" s="4" t="inlineStr">
        <is>
          <t>157717042-sheeroak</t>
        </is>
      </c>
      <c r="E2884" s="4" t="inlineStr">
        <is>
          <t>Stretch Twill Golf Pant *Reg ASHR 22</t>
        </is>
      </c>
      <c r="F2884" s="4" t="inlineStr">
        <is>
          <t>$148.00</t>
        </is>
      </c>
      <c r="G2884" s="4" t="inlineStr">
        <is>
          <t>$74.00</t>
        </is>
      </c>
      <c r="H2884" s="4" t="inlineStr">
        <is>
          <t>Sheer Oak</t>
        </is>
      </c>
      <c r="I2884" s="4">
        <f>IMAGE("https://images.lululemon.com/is/image/lululemon/68684",1)</f>
        <v/>
      </c>
      <c r="J2884" s="4" t="inlineStr">
        <is>
          <t>26</t>
        </is>
      </c>
      <c r="K2884" s="4" t="inlineStr">
        <is>
          <t>46/2359</t>
        </is>
      </c>
      <c r="L2884" s="4" t="inlineStr">
        <is>
          <t>Yes</t>
        </is>
      </c>
      <c r="M2884" s="4" t="inlineStr">
        <is>
          <t>A good round, even in bad weather. These tailored golf pants are made from stretchy, water-repellent twill fabric that keeps you protected from the elements and looking smart.</t>
        </is>
      </c>
      <c r="N2884" s="4" t="inlineStr">
        <is>
          <t>Stretch-Twill-Golf-Pant-Regular-Stitched</t>
        </is>
      </c>
      <c r="O2884" s="4" t="inlineStr"/>
    </row>
    <row r="2885" ht="80" customHeight="1">
      <c r="A2885" s="7">
        <f>IMAGE("https://images.lululemon.com/is/image/lululemon/LW5HIWR_043731_1?wid=320&amp;op_usm=0.8",1)</f>
        <v/>
      </c>
      <c r="B2885" s="7" t="inlineStr">
        <is>
          <t>Stretch Twill Golf Pant Regular *Stitched Logo</t>
        </is>
      </c>
      <c r="C2885" s="7" t="inlineStr">
        <is>
          <t>157717044</t>
        </is>
      </c>
      <c r="D2885" s="7" t="inlineStr">
        <is>
          <t>157717044-sheeroak</t>
        </is>
      </c>
      <c r="E2885" s="7" t="inlineStr">
        <is>
          <t>Stretch Twill Golf Pant *Reg ASHR 22</t>
        </is>
      </c>
      <c r="F2885" s="7" t="inlineStr">
        <is>
          <t>$148.00</t>
        </is>
      </c>
      <c r="G2885" s="7" t="inlineStr">
        <is>
          <t>$74.00</t>
        </is>
      </c>
      <c r="H2885" s="7" t="inlineStr">
        <is>
          <t>Sheer Oak</t>
        </is>
      </c>
      <c r="I2885" s="7">
        <f>IMAGE("https://images.lululemon.com/is/image/lululemon/68684",1)</f>
        <v/>
      </c>
      <c r="J2885" s="7" t="inlineStr">
        <is>
          <t>27</t>
        </is>
      </c>
      <c r="K2885" s="7" t="inlineStr">
        <is>
          <t>41/2359</t>
        </is>
      </c>
      <c r="L2885" s="7" t="inlineStr">
        <is>
          <t>Yes</t>
        </is>
      </c>
      <c r="M2885" s="7" t="inlineStr">
        <is>
          <t>A good round, even in bad weather. These tailored golf pants are made from stretchy, water-repellent twill fabric that keeps you protected from the elements and looking smart.</t>
        </is>
      </c>
      <c r="N2885" s="7" t="inlineStr">
        <is>
          <t>Stretch-Twill-Golf-Pant-Regular-Stitched</t>
        </is>
      </c>
      <c r="O2885" s="7" t="inlineStr"/>
    </row>
    <row r="2886" ht="80" customHeight="1">
      <c r="A2886" s="4">
        <f>IMAGE("https://images.lululemon.com/is/image/lululemon/LW5HIWR_043731_1?wid=320&amp;op_usm=0.8",1)</f>
        <v/>
      </c>
      <c r="B2886" s="4" t="inlineStr">
        <is>
          <t>Stretch Twill Golf Pant Regular *Stitched Logo</t>
        </is>
      </c>
      <c r="C2886" s="4" t="inlineStr">
        <is>
          <t>157717048</t>
        </is>
      </c>
      <c r="D2886" s="4" t="inlineStr">
        <is>
          <t>157717048-sheeroak</t>
        </is>
      </c>
      <c r="E2886" s="4" t="inlineStr">
        <is>
          <t>Stretch Twill Golf Pant *Reg ASHR 22</t>
        </is>
      </c>
      <c r="F2886" s="4" t="inlineStr">
        <is>
          <t>$148.00</t>
        </is>
      </c>
      <c r="G2886" s="4" t="inlineStr">
        <is>
          <t>$74.00</t>
        </is>
      </c>
      <c r="H2886" s="4" t="inlineStr">
        <is>
          <t>Sheer Oak</t>
        </is>
      </c>
      <c r="I2886" s="4">
        <f>IMAGE("https://images.lululemon.com/is/image/lululemon/68684",1)</f>
        <v/>
      </c>
      <c r="J2886" s="4" t="inlineStr">
        <is>
          <t>28</t>
        </is>
      </c>
      <c r="K2886" s="4" t="inlineStr">
        <is>
          <t>47/2359</t>
        </is>
      </c>
      <c r="L2886" s="4" t="inlineStr">
        <is>
          <t>Yes</t>
        </is>
      </c>
      <c r="M2886" s="4" t="inlineStr">
        <is>
          <t>A good round, even in bad weather. These tailored golf pants are made from stretchy, water-repellent twill fabric that keeps you protected from the elements and looking smart.</t>
        </is>
      </c>
      <c r="N2886" s="4" t="inlineStr">
        <is>
          <t>Stretch-Twill-Golf-Pant-Regular-Stitched</t>
        </is>
      </c>
      <c r="O2886" s="4" t="inlineStr"/>
    </row>
    <row r="2887" ht="80" customHeight="1">
      <c r="A2887" s="7">
        <f>IMAGE("https://images.lululemon.com/is/image/lululemon/LW5HIWR_043731_1?wid=320&amp;op_usm=0.8",1)</f>
        <v/>
      </c>
      <c r="B2887" s="7" t="inlineStr">
        <is>
          <t>Stretch Twill Golf Pant Regular *Stitched Logo</t>
        </is>
      </c>
      <c r="C2887" s="7" t="inlineStr">
        <is>
          <t>157717050</t>
        </is>
      </c>
      <c r="D2887" s="7" t="inlineStr">
        <is>
          <t>157717050-sheeroak</t>
        </is>
      </c>
      <c r="E2887" s="7" t="inlineStr">
        <is>
          <t>Stretch Twill Golf Pant *Reg ASHR 22</t>
        </is>
      </c>
      <c r="F2887" s="7" t="inlineStr">
        <is>
          <t>$148.00</t>
        </is>
      </c>
      <c r="G2887" s="7" t="inlineStr">
        <is>
          <t>$74.00</t>
        </is>
      </c>
      <c r="H2887" s="7" t="inlineStr">
        <is>
          <t>Sheer Oak</t>
        </is>
      </c>
      <c r="I2887" s="7">
        <f>IMAGE("https://images.lululemon.com/is/image/lululemon/68684",1)</f>
        <v/>
      </c>
      <c r="J2887" s="7" t="inlineStr">
        <is>
          <t>29</t>
        </is>
      </c>
      <c r="K2887" s="7" t="inlineStr">
        <is>
          <t>36/2359</t>
        </is>
      </c>
      <c r="L2887" s="7" t="inlineStr">
        <is>
          <t>Yes</t>
        </is>
      </c>
      <c r="M2887" s="7" t="inlineStr">
        <is>
          <t>A good round, even in bad weather. These tailored golf pants are made from stretchy, water-repellent twill fabric that keeps you protected from the elements and looking smart.</t>
        </is>
      </c>
      <c r="N2887" s="7" t="inlineStr">
        <is>
          <t>Stretch-Twill-Golf-Pant-Regular-Stitched</t>
        </is>
      </c>
      <c r="O2887" s="7" t="inlineStr"/>
    </row>
    <row r="2888" ht="80" customHeight="1">
      <c r="A2888" s="4">
        <f>IMAGE("https://images.lululemon.com/is/image/lululemon/LW5HIWR_043731_1?wid=320&amp;op_usm=0.8",1)</f>
        <v/>
      </c>
      <c r="B2888" s="4" t="inlineStr">
        <is>
          <t>Stretch Twill Golf Pant Regular *Stitched Logo</t>
        </is>
      </c>
      <c r="C2888" s="4" t="inlineStr">
        <is>
          <t>157717055</t>
        </is>
      </c>
      <c r="D2888" s="4" t="inlineStr">
        <is>
          <t>157717055-sheeroak</t>
        </is>
      </c>
      <c r="E2888" s="4" t="inlineStr">
        <is>
          <t>Stretch Twill Golf Pant *Reg ASHR 22</t>
        </is>
      </c>
      <c r="F2888" s="4" t="inlineStr">
        <is>
          <t>$148.00</t>
        </is>
      </c>
      <c r="G2888" s="4" t="inlineStr">
        <is>
          <t>$74.00</t>
        </is>
      </c>
      <c r="H2888" s="4" t="inlineStr">
        <is>
          <t>Sheer Oak</t>
        </is>
      </c>
      <c r="I2888" s="4">
        <f>IMAGE("https://images.lululemon.com/is/image/lululemon/68684",1)</f>
        <v/>
      </c>
      <c r="J2888" s="4" t="inlineStr">
        <is>
          <t>30</t>
        </is>
      </c>
      <c r="K2888" s="4" t="inlineStr">
        <is>
          <t>10/2359</t>
        </is>
      </c>
      <c r="L2888" s="4" t="inlineStr">
        <is>
          <t>Yes</t>
        </is>
      </c>
      <c r="M2888" s="4" t="inlineStr">
        <is>
          <t>A good round, even in bad weather. These tailored golf pants are made from stretchy, water-repellent twill fabric that keeps you protected from the elements and looking smart.</t>
        </is>
      </c>
      <c r="N2888" s="4" t="inlineStr">
        <is>
          <t>Stretch-Twill-Golf-Pant-Regular-Stitched</t>
        </is>
      </c>
      <c r="O2888" s="4" t="inlineStr"/>
    </row>
    <row r="2889" ht="80" customHeight="1">
      <c r="A2889" s="7">
        <f>IMAGE("https://images.lululemon.com/is/image/lululemon/LW5HIWR_043731_1?wid=320&amp;op_usm=0.8",1)</f>
        <v/>
      </c>
      <c r="B2889" s="7" t="inlineStr">
        <is>
          <t>Stretch Twill Golf Pant Regular *Stitched Logo</t>
        </is>
      </c>
      <c r="C2889" s="7" t="inlineStr">
        <is>
          <t>157717057</t>
        </is>
      </c>
      <c r="D2889" s="7" t="inlineStr">
        <is>
          <t>157717057-sheeroak</t>
        </is>
      </c>
      <c r="E2889" s="7" t="inlineStr">
        <is>
          <t>Stretch Twill Golf Pant *Reg ASHR 22</t>
        </is>
      </c>
      <c r="F2889" s="7" t="inlineStr">
        <is>
          <t>$148.00</t>
        </is>
      </c>
      <c r="G2889" s="7" t="inlineStr">
        <is>
          <t>$74.00</t>
        </is>
      </c>
      <c r="H2889" s="7" t="inlineStr">
        <is>
          <t>Sheer Oak</t>
        </is>
      </c>
      <c r="I2889" s="7">
        <f>IMAGE("https://images.lululemon.com/is/image/lululemon/68684",1)</f>
        <v/>
      </c>
      <c r="J2889" s="7" t="inlineStr">
        <is>
          <t>31</t>
        </is>
      </c>
      <c r="K2889" s="7" t="inlineStr">
        <is>
          <t>12/2359</t>
        </is>
      </c>
      <c r="L2889" s="7" t="inlineStr">
        <is>
          <t>Yes</t>
        </is>
      </c>
      <c r="M2889" s="7" t="inlineStr">
        <is>
          <t>A good round, even in bad weather. These tailored golf pants are made from stretchy, water-repellent twill fabric that keeps you protected from the elements and looking smart.</t>
        </is>
      </c>
      <c r="N2889" s="7" t="inlineStr">
        <is>
          <t>Stretch-Twill-Golf-Pant-Regular-Stitched</t>
        </is>
      </c>
      <c r="O2889" s="7" t="inlineStr"/>
    </row>
    <row r="2890" ht="80" customHeight="1">
      <c r="A2890" s="4">
        <f>IMAGE("https://images.lululemon.com/is/image/lululemon/LW5HIWR_043731_1?wid=320&amp;op_usm=0.8",1)</f>
        <v/>
      </c>
      <c r="B2890" s="4" t="inlineStr">
        <is>
          <t>Stretch Twill Golf Pant Regular *Stitched Logo</t>
        </is>
      </c>
      <c r="C2890" s="4" t="inlineStr">
        <is>
          <t>157717060</t>
        </is>
      </c>
      <c r="D2890" s="4" t="inlineStr">
        <is>
          <t>157717060-sheeroak</t>
        </is>
      </c>
      <c r="E2890" s="4" t="inlineStr">
        <is>
          <t>Stretch Twill Golf Pant *Reg ASHR 22</t>
        </is>
      </c>
      <c r="F2890" s="4" t="inlineStr">
        <is>
          <t>$148.00</t>
        </is>
      </c>
      <c r="G2890" s="4" t="inlineStr">
        <is>
          <t>$74.00</t>
        </is>
      </c>
      <c r="H2890" s="4" t="inlineStr">
        <is>
          <t>Sheer Oak</t>
        </is>
      </c>
      <c r="I2890" s="4">
        <f>IMAGE("https://images.lululemon.com/is/image/lululemon/68684",1)</f>
        <v/>
      </c>
      <c r="J2890" s="4" t="inlineStr">
        <is>
          <t>32</t>
        </is>
      </c>
      <c r="K2890" s="4" t="inlineStr">
        <is>
          <t>16/2359</t>
        </is>
      </c>
      <c r="L2890" s="4" t="inlineStr">
        <is>
          <t>Yes</t>
        </is>
      </c>
      <c r="M2890" s="4" t="inlineStr">
        <is>
          <t>A good round, even in bad weather. These tailored golf pants are made from stretchy, water-repellent twill fabric that keeps you protected from the elements and looking smart.</t>
        </is>
      </c>
      <c r="N2890" s="4" t="inlineStr">
        <is>
          <t>Stretch-Twill-Golf-Pant-Regular-Stitched</t>
        </is>
      </c>
      <c r="O2890" s="4" t="inlineStr"/>
    </row>
    <row r="2891" ht="80" customHeight="1">
      <c r="A2891" s="5">
        <f>IMAGE("https://images.lululemon.com/is/image/lululemon/LW5HIWR_043731_1?wid=320&amp;op_usm=0.8",1)</f>
        <v/>
      </c>
      <c r="B2891" s="5" t="inlineStr">
        <is>
          <t>Stretch Twill Golf Pant Regular *Stitched Logo</t>
        </is>
      </c>
      <c r="C2891" s="5" t="inlineStr">
        <is>
          <t>157717062</t>
        </is>
      </c>
      <c r="D2891" s="5" t="inlineStr">
        <is>
          <t>157717062-sheeroak</t>
        </is>
      </c>
      <c r="E2891" s="5" t="inlineStr">
        <is>
          <t>Stretch Twill Golf Pant *Reg ASHR 22</t>
        </is>
      </c>
      <c r="F2891" s="5" t="inlineStr">
        <is>
          <t>$148.00</t>
        </is>
      </c>
      <c r="G2891" s="5" t="inlineStr">
        <is>
          <t>$74.00</t>
        </is>
      </c>
      <c r="H2891" s="5" t="inlineStr">
        <is>
          <t>Sheer Oak</t>
        </is>
      </c>
      <c r="I2891" s="5">
        <f>IMAGE("https://images.lululemon.com/is/image/lululemon/68684",1)</f>
        <v/>
      </c>
      <c r="J2891" s="5" t="inlineStr">
        <is>
          <t>33</t>
        </is>
      </c>
      <c r="K2891" s="5" t="inlineStr">
        <is>
          <t>4/2359</t>
        </is>
      </c>
      <c r="L2891" s="5" t="inlineStr">
        <is>
          <t>Yes</t>
        </is>
      </c>
      <c r="M2891" s="5" t="inlineStr">
        <is>
          <t>A good round, even in bad weather. These tailored golf pants are made from stretchy, water-repellent twill fabric that keeps you protected from the elements and looking smart.</t>
        </is>
      </c>
      <c r="N2891" s="5" t="inlineStr">
        <is>
          <t>Stretch-Twill-Golf-Pant-Regular-Stitched</t>
        </is>
      </c>
      <c r="O2891" s="5" t="inlineStr"/>
    </row>
    <row r="2892" ht="80" customHeight="1">
      <c r="A2892" s="4">
        <f>IMAGE("https://images.lululemon.com/is/image/lululemon/LW5FZES_0001_1?wid=320&amp;op_usm=0.8",1)</f>
        <v/>
      </c>
      <c r="B2892" s="4" t="inlineStr">
        <is>
          <t>lululemon Glow Up™ Super-High-Rise Tight 25"</t>
        </is>
      </c>
      <c r="C2892" s="4" t="inlineStr">
        <is>
          <t>154884659</t>
        </is>
      </c>
      <c r="D2892" s="4" t="inlineStr">
        <is>
          <t>154884659-black</t>
        </is>
      </c>
      <c r="E2892" s="4" t="inlineStr">
        <is>
          <t>Glow Up SHR Tight 25" BLK 2</t>
        </is>
      </c>
      <c r="F2892" s="4" t="inlineStr">
        <is>
          <t>$118.00</t>
        </is>
      </c>
      <c r="G2892" s="4" t="inlineStr">
        <is>
          <t>$59.00</t>
        </is>
      </c>
      <c r="H2892" s="4" t="inlineStr">
        <is>
          <t>Black</t>
        </is>
      </c>
      <c r="I2892" s="4">
        <f>IMAGE("https://images.lululemon.com/is/image/lululemon/0001",1)</f>
        <v/>
      </c>
      <c r="J2892" s="4" t="inlineStr">
        <is>
          <t>2</t>
        </is>
      </c>
      <c r="K2892" s="4" t="inlineStr">
        <is>
          <t>39/367</t>
        </is>
      </c>
      <c r="L2892" s="4" t="inlineStr">
        <is>
          <t>Yes</t>
        </is>
      </c>
      <c r="M2892" s="4" t="inlineStr">
        <is>
          <t>Confident to your core. These training tights combine sleek fabric and smoothing waistband technology to keep you feeling sculpted and supported.</t>
        </is>
      </c>
      <c r="N2892" s="4" t="inlineStr">
        <is>
          <t>Glow-Up-Super-High-Rise-Tight-25</t>
        </is>
      </c>
      <c r="O2892" s="4" t="inlineStr">
        <is>
          <t>Athletic Pants</t>
        </is>
      </c>
    </row>
    <row r="2893" ht="80" customHeight="1">
      <c r="A2893" s="7">
        <f>IMAGE("https://images.lululemon.com/is/image/lululemon/LW5FZES_0001_1?wid=320&amp;op_usm=0.8",1)</f>
        <v/>
      </c>
      <c r="B2893" s="7" t="inlineStr">
        <is>
          <t>lululemon Glow Up™ Super-High-Rise Tight 25"</t>
        </is>
      </c>
      <c r="C2893" s="7" t="inlineStr">
        <is>
          <t>154884685</t>
        </is>
      </c>
      <c r="D2893" s="7" t="inlineStr">
        <is>
          <t>154884685-black</t>
        </is>
      </c>
      <c r="E2893" s="7" t="inlineStr">
        <is>
          <t>Glow Up SHR Tight 25" BLK 2</t>
        </is>
      </c>
      <c r="F2893" s="7" t="inlineStr">
        <is>
          <t>$118.00</t>
        </is>
      </c>
      <c r="G2893" s="7" t="inlineStr">
        <is>
          <t>$59.00</t>
        </is>
      </c>
      <c r="H2893" s="7" t="inlineStr">
        <is>
          <t>Black</t>
        </is>
      </c>
      <c r="I2893" s="7">
        <f>IMAGE("https://images.lululemon.com/is/image/lululemon/0001",1)</f>
        <v/>
      </c>
      <c r="J2893" s="7" t="inlineStr">
        <is>
          <t>4</t>
        </is>
      </c>
      <c r="K2893" s="7" t="inlineStr">
        <is>
          <t>96/367</t>
        </is>
      </c>
      <c r="L2893" s="7" t="inlineStr">
        <is>
          <t>Yes</t>
        </is>
      </c>
      <c r="M2893" s="7" t="inlineStr">
        <is>
          <t>Confident to your core. These training tights combine sleek fabric and smoothing waistband technology to keep you feeling sculpted and supported.</t>
        </is>
      </c>
      <c r="N2893" s="7" t="inlineStr">
        <is>
          <t>Glow-Up-Super-High-Rise-Tight-25</t>
        </is>
      </c>
      <c r="O2893" s="7" t="inlineStr">
        <is>
          <t>Athletic Pants</t>
        </is>
      </c>
    </row>
    <row r="2894" ht="80" customHeight="1">
      <c r="A2894" s="4">
        <f>IMAGE("https://images.lululemon.com/is/image/lululemon/LW5FZES_0001_1?wid=320&amp;op_usm=0.8",1)</f>
        <v/>
      </c>
      <c r="B2894" s="4" t="inlineStr">
        <is>
          <t>lululemon Glow Up™ Super-High-Rise Tight 25"</t>
        </is>
      </c>
      <c r="C2894" s="4" t="inlineStr">
        <is>
          <t>154884689</t>
        </is>
      </c>
      <c r="D2894" s="4" t="inlineStr">
        <is>
          <t>154884689-black</t>
        </is>
      </c>
      <c r="E2894" s="4" t="inlineStr">
        <is>
          <t>Glow Up SHR Tight 25" BLK 2</t>
        </is>
      </c>
      <c r="F2894" s="4" t="inlineStr">
        <is>
          <t>$118.00</t>
        </is>
      </c>
      <c r="G2894" s="4" t="inlineStr">
        <is>
          <t>$59.00</t>
        </is>
      </c>
      <c r="H2894" s="4" t="inlineStr">
        <is>
          <t>Black</t>
        </is>
      </c>
      <c r="I2894" s="4">
        <f>IMAGE("https://images.lululemon.com/is/image/lululemon/0001",1)</f>
        <v/>
      </c>
      <c r="J2894" s="4" t="inlineStr">
        <is>
          <t>6</t>
        </is>
      </c>
      <c r="K2894" s="4" t="inlineStr">
        <is>
          <t>60/367</t>
        </is>
      </c>
      <c r="L2894" s="4" t="inlineStr">
        <is>
          <t>Yes</t>
        </is>
      </c>
      <c r="M2894" s="4" t="inlineStr">
        <is>
          <t>Confident to your core. These training tights combine sleek fabric and smoothing waistband technology to keep you feeling sculpted and supported.</t>
        </is>
      </c>
      <c r="N2894" s="4" t="inlineStr">
        <is>
          <t>Glow-Up-Super-High-Rise-Tight-25</t>
        </is>
      </c>
      <c r="O2894" s="4" t="inlineStr">
        <is>
          <t>Athletic Pants</t>
        </is>
      </c>
    </row>
    <row r="2895" ht="80" customHeight="1">
      <c r="A2895" s="7">
        <f>IMAGE("https://images.lululemon.com/is/image/lululemon/LW5FZES_0001_1?wid=320&amp;op_usm=0.8",1)</f>
        <v/>
      </c>
      <c r="B2895" s="7" t="inlineStr">
        <is>
          <t>lululemon Glow Up™ Super-High-Rise Tight 25"</t>
        </is>
      </c>
      <c r="C2895" s="7" t="inlineStr">
        <is>
          <t>154884695</t>
        </is>
      </c>
      <c r="D2895" s="7" t="inlineStr">
        <is>
          <t>154884695-black</t>
        </is>
      </c>
      <c r="E2895" s="7" t="inlineStr">
        <is>
          <t>Glow Up SHR Tight 25" BLK 2</t>
        </is>
      </c>
      <c r="F2895" s="7" t="inlineStr">
        <is>
          <t>$118.00</t>
        </is>
      </c>
      <c r="G2895" s="7" t="inlineStr">
        <is>
          <t>$59.00</t>
        </is>
      </c>
      <c r="H2895" s="7" t="inlineStr">
        <is>
          <t>Black</t>
        </is>
      </c>
      <c r="I2895" s="7">
        <f>IMAGE("https://images.lululemon.com/is/image/lululemon/0001",1)</f>
        <v/>
      </c>
      <c r="J2895" s="7" t="inlineStr">
        <is>
          <t>8</t>
        </is>
      </c>
      <c r="K2895" s="7" t="inlineStr">
        <is>
          <t>100/367</t>
        </is>
      </c>
      <c r="L2895" s="7" t="inlineStr">
        <is>
          <t>Yes</t>
        </is>
      </c>
      <c r="M2895" s="7" t="inlineStr">
        <is>
          <t>Confident to your core. These training tights combine sleek fabric and smoothing waistband technology to keep you feeling sculpted and supported.</t>
        </is>
      </c>
      <c r="N2895" s="7" t="inlineStr">
        <is>
          <t>Glow-Up-Super-High-Rise-Tight-25</t>
        </is>
      </c>
      <c r="O2895" s="7" t="inlineStr">
        <is>
          <t>Athletic Pants</t>
        </is>
      </c>
    </row>
    <row r="2896" ht="80" customHeight="1">
      <c r="A2896" s="4">
        <f>IMAGE("https://images.lululemon.com/is/image/lululemon/LW5FZES_0001_1?wid=320&amp;op_usm=0.8",1)</f>
        <v/>
      </c>
      <c r="B2896" s="4" t="inlineStr">
        <is>
          <t>lululemon Glow Up™ Super-High-Rise Tight 25"</t>
        </is>
      </c>
      <c r="C2896" s="4" t="inlineStr">
        <is>
          <t>154884635</t>
        </is>
      </c>
      <c r="D2896" s="4" t="inlineStr">
        <is>
          <t>154884635-black</t>
        </is>
      </c>
      <c r="E2896" s="4" t="inlineStr">
        <is>
          <t>Glow Up SHR Tight 25" BLK 2</t>
        </is>
      </c>
      <c r="F2896" s="4" t="inlineStr">
        <is>
          <t>$118.00</t>
        </is>
      </c>
      <c r="G2896" s="4" t="inlineStr">
        <is>
          <t>$59.00</t>
        </is>
      </c>
      <c r="H2896" s="4" t="inlineStr">
        <is>
          <t>Black</t>
        </is>
      </c>
      <c r="I2896" s="4">
        <f>IMAGE("https://images.lululemon.com/is/image/lululemon/0001",1)</f>
        <v/>
      </c>
      <c r="J2896" s="4" t="inlineStr">
        <is>
          <t>10</t>
        </is>
      </c>
      <c r="K2896" s="4" t="inlineStr">
        <is>
          <t>44/367</t>
        </is>
      </c>
      <c r="L2896" s="4" t="inlineStr">
        <is>
          <t>Yes</t>
        </is>
      </c>
      <c r="M2896" s="4" t="inlineStr">
        <is>
          <t>Confident to your core. These training tights combine sleek fabric and smoothing waistband technology to keep you feeling sculpted and supported.</t>
        </is>
      </c>
      <c r="N2896" s="4" t="inlineStr">
        <is>
          <t>Glow-Up-Super-High-Rise-Tight-25</t>
        </is>
      </c>
      <c r="O2896" s="4" t="inlineStr">
        <is>
          <t>Athletic Pants</t>
        </is>
      </c>
    </row>
    <row r="2897" ht="80" customHeight="1">
      <c r="A2897" s="5">
        <f>IMAGE("https://images.lululemon.com/is/image/lululemon/LW5FZES_0001_1?wid=320&amp;op_usm=0.8",1)</f>
        <v/>
      </c>
      <c r="B2897" s="5" t="inlineStr">
        <is>
          <t>lululemon Glow Up™ Super-High-Rise Tight 25"</t>
        </is>
      </c>
      <c r="C2897" s="5" t="inlineStr">
        <is>
          <t>154884640</t>
        </is>
      </c>
      <c r="D2897" s="5" t="inlineStr">
        <is>
          <t>154884640-black</t>
        </is>
      </c>
      <c r="E2897" s="5" t="inlineStr">
        <is>
          <t>Glow Up SHR Tight 25" BLK 2</t>
        </is>
      </c>
      <c r="F2897" s="5" t="inlineStr">
        <is>
          <t>$118.00</t>
        </is>
      </c>
      <c r="G2897" s="5" t="inlineStr">
        <is>
          <t>$59.00</t>
        </is>
      </c>
      <c r="H2897" s="5" t="inlineStr">
        <is>
          <t>Black</t>
        </is>
      </c>
      <c r="I2897" s="5">
        <f>IMAGE("https://images.lululemon.com/is/image/lululemon/0001",1)</f>
        <v/>
      </c>
      <c r="J2897" s="5" t="inlineStr">
        <is>
          <t>12</t>
        </is>
      </c>
      <c r="K2897" s="5" t="inlineStr">
        <is>
          <t>28/367</t>
        </is>
      </c>
      <c r="L2897" s="5" t="inlineStr">
        <is>
          <t>Yes</t>
        </is>
      </c>
      <c r="M2897" s="5" t="inlineStr">
        <is>
          <t>Confident to your core. These training tights combine sleek fabric and smoothing waistband technology to keep you feeling sculpted and supported.</t>
        </is>
      </c>
      <c r="N2897" s="5" t="inlineStr">
        <is>
          <t>Glow-Up-Super-High-Rise-Tight-25</t>
        </is>
      </c>
      <c r="O2897" s="5" t="inlineStr">
        <is>
          <t>Athletic Pants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20" customWidth="1" min="1" max="1"/>
    <col width="30" customWidth="1" min="2" max="2"/>
    <col width="20" customWidth="1" min="3" max="3"/>
    <col width="25" customWidth="1" min="4" max="4"/>
    <col width="35" customWidth="1" min="5" max="5"/>
    <col width="15" customWidth="1" min="6" max="6"/>
    <col width="15" customWidth="1" min="7" max="7"/>
    <col width="20" customWidth="1" min="8" max="8"/>
    <col width="12" customWidth="1" min="9" max="9"/>
    <col width="12" customWidth="1" min="10" max="10"/>
    <col width="20" customWidth="1" min="11" max="11"/>
    <col width="12" customWidth="1" min="12" max="12"/>
    <col width="40" customWidth="1" min="13" max="13"/>
    <col width="25" customWidth="1" min="14" max="14"/>
    <col width="20" customWidth="1" min="15" max="15"/>
  </cols>
  <sheetData>
    <row r="1" ht="30" customHeight="1">
      <c r="A1" s="1" t="inlineStr">
        <is>
          <t>Product Image</t>
        </is>
      </c>
      <c r="B1" s="1" t="inlineStr">
        <is>
          <t>Product Name</t>
        </is>
      </c>
      <c r="C1" s="1" t="inlineStr">
        <is>
          <t>SKU</t>
        </is>
      </c>
      <c r="D1" s="1" t="inlineStr">
        <is>
          <t>colorSku</t>
        </is>
      </c>
      <c r="E1" s="1" t="inlineStr">
        <is>
          <t>sku name c</t>
        </is>
      </c>
      <c r="F1" s="1" t="inlineStr">
        <is>
          <t>Retail Price</t>
        </is>
      </c>
      <c r="G1" s="1" t="inlineStr">
        <is>
          <t>Wholesale Price</t>
        </is>
      </c>
      <c r="H1" s="1" t="inlineStr">
        <is>
          <t>color names</t>
        </is>
      </c>
      <c r="I1" s="1" t="inlineStr">
        <is>
          <t>Current Color Swatch</t>
        </is>
      </c>
      <c r="J1" s="1" t="inlineStr">
        <is>
          <t>Size</t>
        </is>
      </c>
      <c r="K1" s="1" t="inlineStr">
        <is>
          <t>Qty (Item/Total)</t>
        </is>
      </c>
      <c r="L1" s="1" t="inlineStr">
        <is>
          <t>instock</t>
        </is>
      </c>
      <c r="M1" s="1" t="inlineStr">
        <is>
          <t>Description</t>
        </is>
      </c>
      <c r="N1" s="1" t="inlineStr">
        <is>
          <t>Slug</t>
        </is>
      </c>
      <c r="O1" s="1" t="inlineStr">
        <is>
          <t>product type</t>
        </is>
      </c>
    </row>
    <row r="2" ht="80" customHeight="1">
      <c r="A2" s="6">
        <f>IMAGE("https://images.lululemon.com/is/image/lululemon/158035294_0001_1?wid=320&amp;op_usm=0.8",1)</f>
        <v/>
      </c>
      <c r="B2" s="6" t="inlineStr">
        <is>
          <t>Black Top Hangers (Box of 100)</t>
        </is>
      </c>
      <c r="C2" s="6" t="inlineStr">
        <is>
          <t>158035295</t>
        </is>
      </c>
      <c r="D2" s="6" t="inlineStr">
        <is>
          <t>158035295-black</t>
        </is>
      </c>
      <c r="E2" s="6" t="inlineStr">
        <is>
          <t>Black Top Hangers (Box of 100) BLK ONE SIZE</t>
        </is>
      </c>
      <c r="F2" s="6" t="inlineStr">
        <is>
          <t>$184.00</t>
        </is>
      </c>
      <c r="G2" s="6" t="inlineStr">
        <is>
          <t>$184.00</t>
        </is>
      </c>
      <c r="H2" s="6" t="inlineStr">
        <is>
          <t>Black</t>
        </is>
      </c>
      <c r="I2" s="6">
        <f>IMAGE("https://images.lululemon.com/is/image/lululemon/0001",1)</f>
        <v/>
      </c>
      <c r="J2" s="6" t="inlineStr">
        <is>
          <t>O/S</t>
        </is>
      </c>
      <c r="K2" s="6" t="inlineStr">
        <is>
          <t>58/58</t>
        </is>
      </c>
      <c r="L2" s="6" t="inlineStr">
        <is>
          <t>Yes</t>
        </is>
      </c>
      <c r="M2" s="6" t="inlineStr"/>
      <c r="N2" s="6" t="inlineStr">
        <is>
          <t>Black-Top-Hangers-Box-of-100</t>
        </is>
      </c>
      <c r="O2" s="6" t="inlineStr"/>
    </row>
    <row r="3" ht="80" customHeight="1">
      <c r="A3" s="5">
        <f>IMAGE("https://images.lululemon.com/is/image/lululemon/158035319_1426_1?wid=320&amp;op_usm=0.8",1)</f>
        <v/>
      </c>
      <c r="B3" s="5" t="inlineStr">
        <is>
          <t>Acrylic Bins (Small)</t>
        </is>
      </c>
      <c r="C3" s="5" t="inlineStr">
        <is>
          <t>158119689</t>
        </is>
      </c>
      <c r="D3" s="5" t="inlineStr">
        <is>
          <t>158119689-nocolour</t>
        </is>
      </c>
      <c r="E3" s="5" t="inlineStr">
        <is>
          <t>Acrylic Bins (Small)  NO COLOUR ONE SIZE</t>
        </is>
      </c>
      <c r="F3" s="5" t="inlineStr">
        <is>
          <t>$66.00</t>
        </is>
      </c>
      <c r="G3" s="5" t="inlineStr">
        <is>
          <t>$66.00</t>
        </is>
      </c>
      <c r="H3" s="5" t="inlineStr">
        <is>
          <t>No Colour</t>
        </is>
      </c>
      <c r="I3" s="5">
        <f>IMAGE("https://images.lululemon.com/is/image/lululemon/1426",1)</f>
        <v/>
      </c>
      <c r="J3" s="5" t="inlineStr">
        <is>
          <t>O/S</t>
        </is>
      </c>
      <c r="K3" s="5" t="inlineStr">
        <is>
          <t>181/181</t>
        </is>
      </c>
      <c r="L3" s="5" t="inlineStr">
        <is>
          <t>Yes</t>
        </is>
      </c>
      <c r="M3" s="5" t="inlineStr"/>
      <c r="N3" s="5" t="inlineStr">
        <is>
          <t>Acrylic-Bins-Small</t>
        </is>
      </c>
      <c r="O3" s="5" t="inlineStr"/>
    </row>
    <row r="4" ht="80" customHeight="1">
      <c r="A4" s="4">
        <f>IMAGE("https://images.lululemon.com/is/image/lululemon/158035289_0001_1?wid=320&amp;op_usm=0.8",1)</f>
        <v/>
      </c>
      <c r="B4" s="4" t="inlineStr">
        <is>
          <t>lululemon Signage Topper</t>
        </is>
      </c>
      <c r="C4" s="4" t="inlineStr">
        <is>
          <t>158035290</t>
        </is>
      </c>
      <c r="D4" s="4" t="inlineStr">
        <is>
          <t>158035290-black</t>
        </is>
      </c>
      <c r="E4" s="4" t="inlineStr">
        <is>
          <t>lululemon Signage Topper BLK ONE SIZE</t>
        </is>
      </c>
      <c r="F4" s="4" t="inlineStr">
        <is>
          <t>$271.00</t>
        </is>
      </c>
      <c r="G4" s="4" t="inlineStr">
        <is>
          <t>$271.00</t>
        </is>
      </c>
      <c r="H4" s="4" t="inlineStr">
        <is>
          <t>Black</t>
        </is>
      </c>
      <c r="I4" s="4">
        <f>IMAGE("https://images.lululemon.com/is/image/lululemon/0001",1)</f>
        <v/>
      </c>
      <c r="J4" s="4" t="inlineStr">
        <is>
          <t>O/S</t>
        </is>
      </c>
      <c r="K4" s="4" t="inlineStr">
        <is>
          <t>111/171</t>
        </is>
      </c>
      <c r="L4" s="4" t="inlineStr">
        <is>
          <t>Yes</t>
        </is>
      </c>
      <c r="M4" s="4" t="inlineStr"/>
      <c r="N4" s="4" t="inlineStr">
        <is>
          <t>lululemon-Signage-Topper</t>
        </is>
      </c>
      <c r="O4" s="4" t="inlineStr"/>
    </row>
    <row r="5" ht="80" customHeight="1">
      <c r="A5" s="5">
        <f>IMAGE("https://images.lululemon.com/is/image/lululemon/158035289_0001_1?wid=320&amp;op_usm=0.8",1)</f>
        <v/>
      </c>
      <c r="B5" s="5" t="inlineStr">
        <is>
          <t>lululemon Signage Topper</t>
        </is>
      </c>
      <c r="C5" s="5" t="inlineStr">
        <is>
          <t>158035291</t>
        </is>
      </c>
      <c r="D5" s="5" t="inlineStr">
        <is>
          <t>158035291-white</t>
        </is>
      </c>
      <c r="E5" s="5" t="inlineStr">
        <is>
          <t>lululemon Signage Topper BLK ONE SIZE</t>
        </is>
      </c>
      <c r="F5" s="5" t="inlineStr">
        <is>
          <t>$271.00</t>
        </is>
      </c>
      <c r="G5" s="5" t="inlineStr">
        <is>
          <t>$271.00</t>
        </is>
      </c>
      <c r="H5" s="5" t="inlineStr">
        <is>
          <t>White</t>
        </is>
      </c>
      <c r="I5" s="5">
        <f>IMAGE("https://images.lululemon.com/is/image/lululemon/0002",1)</f>
        <v/>
      </c>
      <c r="J5" s="5" t="inlineStr">
        <is>
          <t>O/S</t>
        </is>
      </c>
      <c r="K5" s="5" t="inlineStr">
        <is>
          <t>60/171</t>
        </is>
      </c>
      <c r="L5" s="5" t="inlineStr">
        <is>
          <t>Yes</t>
        </is>
      </c>
      <c r="M5" s="5" t="inlineStr"/>
      <c r="N5" s="5" t="inlineStr">
        <is>
          <t>lululemon-Signage-Topper</t>
        </is>
      </c>
      <c r="O5" s="5" t="inlineStr"/>
    </row>
    <row r="6" ht="80" customHeight="1">
      <c r="A6" s="6">
        <f>IMAGE("https://images.lululemon.com/is/image/lululemon/LU9490S_1426_1?wid=320&amp;op_usm=0.8",1)</f>
        <v/>
      </c>
      <c r="B6" s="6" t="inlineStr">
        <is>
          <t>Small Sustainable Shopper (Box of 200)</t>
        </is>
      </c>
      <c r="C6" s="6" t="inlineStr">
        <is>
          <t>93523</t>
        </is>
      </c>
      <c r="D6" s="6" t="inlineStr">
        <is>
          <t>93523-nocolour</t>
        </is>
      </c>
      <c r="E6" s="6" t="inlineStr">
        <is>
          <t>SMALL SUSTAINABLE SHOPPER NO COLOUR ONE SIZE</t>
        </is>
      </c>
      <c r="F6" s="6" t="inlineStr">
        <is>
          <t>$160.00</t>
        </is>
      </c>
      <c r="G6" s="6" t="inlineStr">
        <is>
          <t>$160.00</t>
        </is>
      </c>
      <c r="H6" s="6" t="inlineStr">
        <is>
          <t>No Colour</t>
        </is>
      </c>
      <c r="I6" s="6">
        <f>IMAGE("https://images.lululemon.com/is/image/lululemon/1426",1)</f>
        <v/>
      </c>
      <c r="J6" s="6" t="inlineStr">
        <is>
          <t>O/S</t>
        </is>
      </c>
      <c r="K6" s="6" t="inlineStr">
        <is>
          <t>3/3</t>
        </is>
      </c>
      <c r="L6" s="6" t="inlineStr">
        <is>
          <t>Yes</t>
        </is>
      </c>
      <c r="M6" s="6" t="inlineStr"/>
      <c r="N6" s="6" t="inlineStr">
        <is>
          <t>Small-Sustainable-Shopper</t>
        </is>
      </c>
      <c r="O6" s="6" t="inlineStr"/>
    </row>
    <row r="7" ht="80" customHeight="1">
      <c r="A7" s="5">
        <f>IMAGE("https://images.lululemon.com/is/image/lululemon/158218722_0001_1?wid=320&amp;op_usm=0.8",1)</f>
        <v/>
      </c>
      <c r="B7" s="5" t="inlineStr">
        <is>
          <t>Hat Stand</t>
        </is>
      </c>
      <c r="C7" s="5" t="inlineStr">
        <is>
          <t>158218723</t>
        </is>
      </c>
      <c r="D7" s="5" t="inlineStr">
        <is>
          <t>158218723-black</t>
        </is>
      </c>
      <c r="E7" s="5" t="inlineStr">
        <is>
          <t>Hat Stand BLK ONE SIZE</t>
        </is>
      </c>
      <c r="F7" s="5" t="inlineStr">
        <is>
          <t>$130.00</t>
        </is>
      </c>
      <c r="G7" s="5" t="inlineStr">
        <is>
          <t>$130.00</t>
        </is>
      </c>
      <c r="H7" s="5" t="inlineStr">
        <is>
          <t>Black</t>
        </is>
      </c>
      <c r="I7" s="5">
        <f>IMAGE("https://images.lululemon.com/is/image/lululemon/0001",1)</f>
        <v/>
      </c>
      <c r="J7" s="5" t="inlineStr">
        <is>
          <t>O/S</t>
        </is>
      </c>
      <c r="K7" s="5" t="inlineStr">
        <is>
          <t>10/10</t>
        </is>
      </c>
      <c r="L7" s="5" t="inlineStr">
        <is>
          <t>Yes</t>
        </is>
      </c>
      <c r="M7" s="5" t="inlineStr"/>
      <c r="N7" s="5" t="inlineStr">
        <is>
          <t>Hat-Stand</t>
        </is>
      </c>
      <c r="O7" s="5" t="inlineStr"/>
    </row>
    <row r="8" ht="80" customHeight="1">
      <c r="A8" s="6">
        <f>IMAGE("https://images.lululemon.com/is/image/lululemon/158035296_0001_1?wid=320&amp;op_usm=0.8",1)</f>
        <v/>
      </c>
      <c r="B8" s="6" t="inlineStr">
        <is>
          <t>Black Bottom Hangers (Box of 100)</t>
        </is>
      </c>
      <c r="C8" s="6" t="inlineStr">
        <is>
          <t>158035297</t>
        </is>
      </c>
      <c r="D8" s="6" t="inlineStr">
        <is>
          <t>158035297-black</t>
        </is>
      </c>
      <c r="E8" s="6" t="inlineStr">
        <is>
          <t>Black Bottom Hangers (Box of 100) BLK ONE SIZE</t>
        </is>
      </c>
      <c r="F8" s="6" t="inlineStr">
        <is>
          <t>$269.00</t>
        </is>
      </c>
      <c r="G8" s="6" t="inlineStr">
        <is>
          <t>$269.00</t>
        </is>
      </c>
      <c r="H8" s="6" t="inlineStr">
        <is>
          <t>Black</t>
        </is>
      </c>
      <c r="I8" s="6">
        <f>IMAGE("https://images.lululemon.com/is/image/lululemon/0001",1)</f>
        <v/>
      </c>
      <c r="J8" s="6" t="inlineStr">
        <is>
          <t>O/S</t>
        </is>
      </c>
      <c r="K8" s="6" t="inlineStr">
        <is>
          <t>60/60</t>
        </is>
      </c>
      <c r="L8" s="6" t="inlineStr">
        <is>
          <t>Yes</t>
        </is>
      </c>
      <c r="M8" s="6" t="inlineStr"/>
      <c r="N8" s="6" t="inlineStr">
        <is>
          <t>Black-Bottom-Hangers-Box-of-100</t>
        </is>
      </c>
      <c r="O8" s="6" t="inlineStr"/>
    </row>
    <row r="9" ht="80" customHeight="1">
      <c r="A9" s="5">
        <f>IMAGE("https://images.lululemon.com/is/image/lululemon/158218724_0351_1?wid=320&amp;op_usm=0.8",1)</f>
        <v/>
      </c>
      <c r="B9" s="5" t="inlineStr">
        <is>
          <t>Bag Stand</t>
        </is>
      </c>
      <c r="C9" s="5" t="inlineStr">
        <is>
          <t>158218725</t>
        </is>
      </c>
      <c r="D9" s="5" t="inlineStr">
        <is>
          <t>158218725-grey</t>
        </is>
      </c>
      <c r="E9" s="5" t="inlineStr">
        <is>
          <t>Bag Stand GRY ONE SIZE</t>
        </is>
      </c>
      <c r="F9" s="5" t="inlineStr">
        <is>
          <t>$114.00</t>
        </is>
      </c>
      <c r="G9" s="5" t="inlineStr">
        <is>
          <t>$114.00</t>
        </is>
      </c>
      <c r="H9" s="5" t="inlineStr">
        <is>
          <t>Grey</t>
        </is>
      </c>
      <c r="I9" s="5">
        <f>IMAGE("https://images.lululemon.com/is/image/lululemon/0351",1)</f>
        <v/>
      </c>
      <c r="J9" s="5" t="inlineStr">
        <is>
          <t>O/S</t>
        </is>
      </c>
      <c r="K9" s="5" t="inlineStr">
        <is>
          <t>1/1</t>
        </is>
      </c>
      <c r="L9" s="5" t="inlineStr">
        <is>
          <t>Yes</t>
        </is>
      </c>
      <c r="M9" s="5" t="inlineStr"/>
      <c r="N9" s="5" t="inlineStr">
        <is>
          <t>Bag-Stand</t>
        </is>
      </c>
      <c r="O9" s="5" t="inlineStr"/>
    </row>
    <row r="10" ht="80" customHeight="1">
      <c r="A10" s="6">
        <f>IMAGE("https://images.lululemon.com/is/image/lululemon/158035333_1426_1?wid=320&amp;op_usm=0.8",1)</f>
        <v/>
      </c>
      <c r="B10" s="6" t="inlineStr">
        <is>
          <t>Acrylic Bins (Large)</t>
        </is>
      </c>
      <c r="C10" s="6" t="inlineStr">
        <is>
          <t>158035349</t>
        </is>
      </c>
      <c r="D10" s="6" t="inlineStr">
        <is>
          <t>158035349-nocolour</t>
        </is>
      </c>
      <c r="E10" s="6" t="inlineStr">
        <is>
          <t>Acrylic Bins (Large)  NO COLOUR ONE SIZE</t>
        </is>
      </c>
      <c r="F10" s="6" t="inlineStr">
        <is>
          <t>$85.00</t>
        </is>
      </c>
      <c r="G10" s="6" t="inlineStr">
        <is>
          <t>$85.00</t>
        </is>
      </c>
      <c r="H10" s="6" t="inlineStr">
        <is>
          <t>No Colour</t>
        </is>
      </c>
      <c r="I10" s="6">
        <f>IMAGE("https://images.lululemon.com/is/image/lululemon/1426",1)</f>
        <v/>
      </c>
      <c r="J10" s="6" t="inlineStr">
        <is>
          <t>O/S</t>
        </is>
      </c>
      <c r="K10" s="6" t="inlineStr">
        <is>
          <t>179/179</t>
        </is>
      </c>
      <c r="L10" s="6" t="inlineStr">
        <is>
          <t>Yes</t>
        </is>
      </c>
      <c r="M10" s="6" t="inlineStr"/>
      <c r="N10" s="6" t="inlineStr">
        <is>
          <t>Acrylic-Bins-Large</t>
        </is>
      </c>
      <c r="O10" s="6" t="inlineStr"/>
    </row>
    <row r="11" ht="80" customHeight="1">
      <c r="A11" s="5">
        <f>IMAGE("https://images.lululemon.com/is/image/lululemon/LU9491S_1426_1?wid=320&amp;op_usm=0.8",1)</f>
        <v/>
      </c>
      <c r="B11" s="5" t="inlineStr">
        <is>
          <t>Large Sustainable Shopper (Box of 100)</t>
        </is>
      </c>
      <c r="C11" s="5" t="inlineStr">
        <is>
          <t>93525</t>
        </is>
      </c>
      <c r="D11" s="5" t="inlineStr">
        <is>
          <t>93525-nocolour</t>
        </is>
      </c>
      <c r="E11" s="5" t="inlineStr">
        <is>
          <t>LARGE SUSTAINABLE SHOPPER NO COLOUR ONE SIZE</t>
        </is>
      </c>
      <c r="F11" s="5" t="inlineStr">
        <is>
          <t>$90.00</t>
        </is>
      </c>
      <c r="G11" s="5" t="inlineStr">
        <is>
          <t>$90.00</t>
        </is>
      </c>
      <c r="H11" s="5" t="inlineStr">
        <is>
          <t>No Colour</t>
        </is>
      </c>
      <c r="I11" s="5">
        <f>IMAGE("https://images.lululemon.com/is/image/lululemon/1426",1)</f>
        <v/>
      </c>
      <c r="J11" s="5" t="inlineStr">
        <is>
          <t>O/S</t>
        </is>
      </c>
      <c r="K11" s="5" t="inlineStr">
        <is>
          <t>20/20</t>
        </is>
      </c>
      <c r="L11" s="5" t="inlineStr">
        <is>
          <t>Yes</t>
        </is>
      </c>
      <c r="M11" s="5" t="inlineStr"/>
      <c r="N11" s="5" t="inlineStr">
        <is>
          <t>Large-Sustainable-Shopper</t>
        </is>
      </c>
      <c r="O11" s="5" t="inlineStr"/>
    </row>
    <row r="12" ht="80" customHeight="1">
      <c r="A12" s="6">
        <f>IMAGE("https://images.lululemon.com/is/image/lululemon/158035292_0001_1?wid=320&amp;op_usm=0.8",1)</f>
        <v/>
      </c>
      <c r="B12" s="6" t="inlineStr">
        <is>
          <t>Black Bra Hangers (Box of 100)</t>
        </is>
      </c>
      <c r="C12" s="6" t="inlineStr">
        <is>
          <t>158035293</t>
        </is>
      </c>
      <c r="D12" s="6" t="inlineStr">
        <is>
          <t>158035293-black</t>
        </is>
      </c>
      <c r="E12" s="6" t="inlineStr">
        <is>
          <t>Black Bra Hangers (Box of 100) BLK ONE SIZE</t>
        </is>
      </c>
      <c r="F12" s="6" t="inlineStr">
        <is>
          <t>$309.00</t>
        </is>
      </c>
      <c r="G12" s="6" t="inlineStr">
        <is>
          <t>$309.00</t>
        </is>
      </c>
      <c r="H12" s="6" t="inlineStr">
        <is>
          <t>Black</t>
        </is>
      </c>
      <c r="I12" s="6">
        <f>IMAGE("https://images.lululemon.com/is/image/lululemon/0001",1)</f>
        <v/>
      </c>
      <c r="J12" s="6" t="inlineStr">
        <is>
          <t>O/S</t>
        </is>
      </c>
      <c r="K12" s="6" t="inlineStr">
        <is>
          <t>32/32</t>
        </is>
      </c>
      <c r="L12" s="6" t="inlineStr">
        <is>
          <t>Yes</t>
        </is>
      </c>
      <c r="M12" s="6" t="inlineStr"/>
      <c r="N12" s="6" t="inlineStr">
        <is>
          <t>Black-Bra-Hangers-Box-of-100</t>
        </is>
      </c>
      <c r="O12" s="6" t="inlineStr"/>
    </row>
    <row r="13" ht="80" customHeight="1">
      <c r="A13" s="5">
        <f>IMAGE("https://images.lululemon.com/is/image/lululemon/158035274_1426_1?wid=320&amp;op_usm=0.8",1)</f>
        <v/>
      </c>
      <c r="B13" s="5" t="inlineStr">
        <is>
          <t>Small Holiday Shopper (Box of 200)</t>
        </is>
      </c>
      <c r="C13" s="5" t="inlineStr">
        <is>
          <t>158119645</t>
        </is>
      </c>
      <c r="D13" s="5" t="inlineStr">
        <is>
          <t>158119645-nocolour</t>
        </is>
      </c>
      <c r="E13" s="5" t="inlineStr">
        <is>
          <t>Small Holiday Shopper (Box of 200) NO COLOUR ONE SIZE</t>
        </is>
      </c>
      <c r="F13" s="5" t="inlineStr">
        <is>
          <t>$160.00</t>
        </is>
      </c>
      <c r="G13" s="5" t="inlineStr">
        <is>
          <t>$160.00</t>
        </is>
      </c>
      <c r="H13" s="5" t="inlineStr">
        <is>
          <t>No Colour</t>
        </is>
      </c>
      <c r="I13" s="5">
        <f>IMAGE("https://images.lululemon.com/is/image/lululemon/1426",1)</f>
        <v/>
      </c>
      <c r="J13" s="5" t="inlineStr">
        <is>
          <t>O/S</t>
        </is>
      </c>
      <c r="K13" s="5" t="inlineStr">
        <is>
          <t>2/2</t>
        </is>
      </c>
      <c r="L13" s="5" t="inlineStr">
        <is>
          <t>Yes</t>
        </is>
      </c>
      <c r="M13" s="5" t="inlineStr"/>
      <c r="N13" s="5" t="inlineStr">
        <is>
          <t>Small-Holiday-Shopper-Box-of-200</t>
        </is>
      </c>
      <c r="O13"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2025-12-03T05:19:14Z</dcterms:created>
  <dcterms:modified xmlns:dcterms="http://purl.org/dc/terms/" xmlns:xsi="http://www.w3.org/2001/XMLSchema-instance" xsi:type="dcterms:W3CDTF">2025-12-03T05:19:35Z</dcterms:modified>
</cp:coreProperties>
</file>